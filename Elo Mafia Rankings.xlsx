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duction" sheetId="1" state="visible" r:id="rId1"/>
    <sheet xmlns:r="http://schemas.openxmlformats.org/officeDocument/2006/relationships" name="Stats Summary" sheetId="2" state="visible" r:id="rId2"/>
    <sheet xmlns:r="http://schemas.openxmlformats.org/officeDocument/2006/relationships" name="MatchRatings" sheetId="3" state="visible" r:id="rId3"/>
    <sheet xmlns:r="http://schemas.openxmlformats.org/officeDocument/2006/relationships" name="MatchHistory" sheetId="4" state="visible" r:id="rId4"/>
    <sheet xmlns:r="http://schemas.openxmlformats.org/officeDocument/2006/relationships" name="Season 1 - Stats Summary" sheetId="5" state="visible" r:id="rId5"/>
    <sheet xmlns:r="http://schemas.openxmlformats.org/officeDocument/2006/relationships" name="Season 1 - MafiaRatings" sheetId="6" state="visible" r:id="rId6"/>
    <sheet xmlns:r="http://schemas.openxmlformats.org/officeDocument/2006/relationships" name="Season 1 - MatchHistory" sheetId="7" state="visible" r:id="rId7"/>
    <sheet xmlns:r="http://schemas.openxmlformats.org/officeDocument/2006/relationships" name="Ego MatchHistory" sheetId="8" state="visible" r:id="rId8"/>
    <sheet xmlns:r="http://schemas.openxmlformats.org/officeDocument/2006/relationships" name="Ego Stats Summary" sheetId="9" state="visible" r:id="rId9"/>
    <sheet xmlns:r="http://schemas.openxmlformats.org/officeDocument/2006/relationships" name="Main MatchHistory" sheetId="10" state="visible" r:id="rId10"/>
    <sheet xmlns:r="http://schemas.openxmlformats.org/officeDocument/2006/relationships" name="Main Stats Summary" sheetId="11" state="visible" r:id="rId11"/>
  </sheets>
  <definedNames>
    <definedName name="Z_F3C2DE27_9A9B_485A_A2F4_CA0228C26477_.wvu.FilterData" localSheetId="1" hidden="1">'Stats Summary'!$A$1:$N$87</definedName>
    <definedName name="Z_73127374_F01B_4314_8C37_F263DB8CB446_.wvu.FilterData" localSheetId="1" hidden="1">'Stats Summary'!$A$1:$N$87</definedName>
    <definedName name="_xlnm._FilterDatabase" localSheetId="1" hidden="1">'Stats Summary'!$A$1:$N$87</definedName>
    <definedName name="Z_F3C2DE27_9A9B_485A_A2F4_CA0228C26477_.wvu.FilterData" localSheetId="4" hidden="1">'Season 1 - Stats Summary'!$A$1:$K$98</definedName>
    <definedName name="Z_73127374_F01B_4314_8C37_F263DB8CB446_.wvu.FilterData" localSheetId="4" hidden="1">'Season 1 - Stats Summary'!$A$1:$K$98</definedName>
    <definedName name="_xlnm._FilterDatabase" localSheetId="4" hidden="1">'Season 1 - Stats Summary'!$A$1:$K$98</definedName>
  </definedNames>
  <calcPr calcId="124519" fullCalcOnLoad="1"/>
</workbook>
</file>

<file path=xl/styles.xml><?xml version="1.0" encoding="utf-8"?>
<styleSheet xmlns="http://schemas.openxmlformats.org/spreadsheetml/2006/main">
  <numFmts count="1">
    <numFmt numFmtId="164" formatCode="0.0"/>
  </numFmts>
  <fonts count="5">
    <font>
      <name val="Arial"/>
      <color rgb="FF000000"/>
      <sz val="10"/>
      <scheme val="minor"/>
    </font>
    <font>
      <name val="Arial"/>
      <b val="1"/>
      <color theme="1"/>
      <scheme val="minor"/>
    </font>
    <font>
      <name val="Arial"/>
      <color theme="1"/>
      <scheme val="minor"/>
    </font>
    <font>
      <b val="1"/>
      <color rgb="FF0000FF"/>
      <sz val="32"/>
      <u val="single"/>
    </font>
    <font>
      <name val="Arial"/>
      <b val="1"/>
      <color theme="1"/>
      <sz val="11"/>
      <scheme val="minor"/>
    </font>
  </fonts>
  <fills count="2">
    <fill>
      <patternFill/>
    </fill>
    <fill>
      <patternFill patternType="lightGray"/>
    </fill>
  </fills>
  <borders count="3">
    <border/>
    <border>
      <left style="thin">
        <color rgb="FF000000"/>
      </left>
    </border>
    <border>
      <right style="thin">
        <color rgb="FF000000"/>
      </right>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horizontal="left" vertical="center"/>
    </xf>
    <xf numFmtId="49"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vertical="center"/>
    </xf>
    <xf numFmtId="0" fontId="2" fillId="0" borderId="0" applyAlignment="1" pivotButton="0" quotePrefix="0" xfId="0">
      <alignment vertical="center"/>
    </xf>
    <xf numFmtId="9" fontId="2"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4" fillId="0" borderId="1" applyAlignment="1" pivotButton="0" quotePrefix="0" xfId="0">
      <alignment vertical="center"/>
    </xf>
    <xf numFmtId="9" fontId="2" fillId="0" borderId="0" applyAlignment="1" pivotButton="0" quotePrefix="0" xfId="0">
      <alignment vertical="center"/>
    </xf>
    <xf numFmtId="0" fontId="2" fillId="0" borderId="0" applyAlignment="1" pivotButton="0" quotePrefix="0" xfId="0">
      <alignment vertical="center"/>
    </xf>
    <xf numFmtId="164" fontId="2" fillId="0" borderId="2" applyAlignment="1" pivotButton="0" quotePrefix="0" xfId="0">
      <alignment vertical="center"/>
    </xf>
    <xf numFmtId="0" fontId="4" fillId="0" borderId="0" applyAlignment="1" pivotButton="0" quotePrefix="0" xfId="0">
      <alignment vertical="center"/>
    </xf>
    <xf numFmtId="164" fontId="2" fillId="0" borderId="0" pivotButton="0" quotePrefix="0" xfId="0"/>
    <xf numFmtId="0" fontId="1" fillId="0" borderId="0" pivotButton="0" quotePrefix="0" xfId="0"/>
    <xf numFmtId="0" fontId="2" fillId="0" borderId="0" pivotButton="0" quotePrefix="0" xfId="0"/>
    <xf numFmtId="2" fontId="2" fillId="0" borderId="0" pivotButton="0" quotePrefix="0" xfId="0"/>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Stats Summary-style" pivot="0" count="4">
      <tableStyleElement type="headerRow" dxfId="1"/>
      <tableStyleElement type="firstRowStripe" dxfId="2"/>
      <tableStyleElement type="secondRowStripe" dxfId="3"/>
      <tableStyleElement type="wholeTable" size="0" dxfId="4"/>
    </tableStyle>
    <tableStyle name="Season 1 - Stats Summary-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None</author>
  </authors>
  <commentList>
    <comment ref="D1" authorId="0" shapeId="0">
      <text>
        <t>Percentage of games as town</t>
      </text>
    </comment>
    <comment ref="H1" authorId="0" shapeId="0">
      <text>
        <t>Percentage of games as Mafi</t>
      </text>
    </comment>
    <comment ref="L1" authorId="0" shapeId="0">
      <text>
        <t>Read the FAQ for an explanation of Mu and Sigma
https://pastebin.com/5GUvtZeQ</t>
      </text>
    </comment>
    <comment ref="M1" authorId="0" shapeId="0">
      <text>
        <t>Read the FAQ for an explanation of Mu and Sigma
https://pastebin.com/5GUvtZeQ</t>
      </text>
    </comment>
  </commentList>
</comments>
</file>

<file path=xl/comments/comment2.xml><?xml version="1.0" encoding="utf-8"?>
<comments xmlns="http://schemas.openxmlformats.org/spreadsheetml/2006/main">
  <authors>
    <author>None</author>
  </authors>
  <commentList>
    <comment ref="I1" authorId="0" shapeId="0">
      <text>
        <t>Read the FAQ for an explanation of Mu and Sigma
https://pastebin.com/5GUvtZeQ</t>
      </text>
    </comment>
    <comment ref="J1" authorId="0" shapeId="0">
      <text>
        <t>Read the FAQ for an explanation of Mu and Sigma
https://pastebin.com/5GUvtZeQ</t>
      </text>
    </comment>
  </commentList>
</comments>
</file>

<file path=xl/tables/table1.xml><?xml version="1.0" encoding="utf-8"?>
<table xmlns="http://schemas.openxmlformats.org/spreadsheetml/2006/main" id="1" name="Win_Rates_2" displayName="Win_Rates_2" ref="A1:N87" headerRowCount="1">
  <tableColumns count="14">
    <tableColumn id="1" name="Name"/>
    <tableColumn id="2" name="Town Games"/>
    <tableColumn id="3" name="Town Wins"/>
    <tableColumn id="4" name="Town %"/>
    <tableColumn id="5" name="Town Win %"/>
    <tableColumn id="6" name="Mafia Games"/>
    <tableColumn id="7" name="Mafia Wins"/>
    <tableColumn id="8" name="Mafia %"/>
    <tableColumn id="9" name="Mafia Win %"/>
    <tableColumn id="10" name="Total Games"/>
    <tableColumn id="11" name="Total Win %"/>
    <tableColumn id="12" name="Mu"/>
    <tableColumn id="13" name="Sigma"/>
    <tableColumn id="14" name="Rating"/>
  </tableColumns>
  <tableStyleInfo name="Stats Summary-style" showFirstColumn="1" showLastColumn="1" showRowStripes="1" showColumnStripes="0"/>
</table>
</file>

<file path=xl/tables/table2.xml><?xml version="1.0" encoding="utf-8"?>
<table xmlns="http://schemas.openxmlformats.org/spreadsheetml/2006/main" id="2" name="Win_Rates" displayName="Win_Rates" ref="A1:K98" headerRowCount="1">
  <tableColumns count="11">
    <tableColumn id="1" name="Name"/>
    <tableColumn id="2" name="Town Games"/>
    <tableColumn id="3" name="Town Wins"/>
    <tableColumn id="4" name="Town Win %"/>
    <tableColumn id="5" name="Mafia Games"/>
    <tableColumn id="6" name="Mafia Wins"/>
    <tableColumn id="7" name="Mafia Win %"/>
    <tableColumn id="8" name="Total Win %"/>
    <tableColumn id="9" name="Mu"/>
    <tableColumn id="10" name="Sigma"/>
    <tableColumn id="11" name="Rating"/>
  </tableColumns>
  <tableStyleInfo name="Season 1 - Stats Summary-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astebin.com/5GUvtZeQ" TargetMode="Externa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0" summaryRight="0"/>
    <pageSetUpPr/>
  </sheetPr>
  <dimension ref="A1:G19"/>
  <sheetViews>
    <sheetView workbookViewId="0">
      <selection activeCell="A1" sqref="A1"/>
    </sheetView>
  </sheetViews>
  <sheetFormatPr baseColWidth="8" defaultColWidth="12.63" defaultRowHeight="15.75" customHeight="1"/>
  <sheetData>
    <row r="1">
      <c r="A1" s="18" t="inlineStr">
        <is>
          <t>Welcome to the ELO Mafia Rankings Leaderboard!</t>
        </is>
      </c>
    </row>
    <row r="3">
      <c r="A3" s="19" t="inlineStr">
        <is>
          <t>How to use this sheet:
Start with the Stats Summary tab. This will give you your win rates, your 'sigma' and 'mu' (see FAQ) and, most
importantly, your Elo. The FAQ explains how the ratings are calculated, among other things, so if you want to figure
out how to reverse engineer everything head over there to take a look.
The MatchHistory tab shows how your stats are calculated on a game-by-game basis. The MafiaRatings tab is where
we calculate your 'sigma' and 'mu', but probably isn't terribly useful unless you're really interested in getting down into
the fine details.</t>
        </is>
      </c>
    </row>
    <row r="4"/>
    <row r="5"/>
    <row r="6"/>
    <row r="7"/>
    <row r="8"/>
    <row r="9"/>
    <row r="10"/>
    <row r="12">
      <c r="A12" s="3" t="inlineStr">
        <is>
          <t>FAQ</t>
        </is>
      </c>
    </row>
    <row r="13"/>
    <row r="14"/>
    <row r="19">
      <c r="A19" s="19" t="inlineStr">
        <is>
          <t>If you find an error, like two rankings for the same player, etc., tell Brown Kow in Discord</t>
        </is>
      </c>
    </row>
  </sheetData>
  <mergeCells count="2">
    <mergeCell ref="A12:A14"/>
    <mergeCell ref="A3:G10"/>
  </mergeCells>
  <hyperlinks>
    <hyperlink xmlns:r="http://schemas.openxmlformats.org/officeDocument/2006/relationships" ref="A12"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N9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1.88" customWidth="1" style="21" min="1" max="1"/>
    <col width="15.25" customWidth="1" style="21" min="2" max="2"/>
    <col width="13.63" customWidth="1" style="21" min="3" max="3"/>
    <col width="14.38" customWidth="1" style="21" min="4" max="5"/>
    <col width="15.38" customWidth="1" style="21" min="6" max="6"/>
    <col width="13.75" customWidth="1" style="21" min="7" max="7"/>
    <col width="14.5" customWidth="1" style="21" min="8" max="9"/>
    <col width="14.13" customWidth="1" style="21" min="10" max="11"/>
  </cols>
  <sheetData>
    <row r="1" ht="22.5" customHeight="1" s="21">
      <c r="A1" s="6" t="inlineStr">
        <is>
          <t>Name</t>
        </is>
      </c>
      <c r="B1" s="6" t="inlineStr">
        <is>
          <t>Town Games</t>
        </is>
      </c>
      <c r="C1" s="6" t="inlineStr">
        <is>
          <t>Town Wins</t>
        </is>
      </c>
      <c r="D1" s="5" t="inlineStr">
        <is>
          <t>Town %</t>
        </is>
      </c>
      <c r="E1" s="6" t="inlineStr">
        <is>
          <t>Town Win %</t>
        </is>
      </c>
      <c r="F1" s="5" t="inlineStr">
        <is>
          <t>Mafia Games</t>
        </is>
      </c>
      <c r="G1" s="6" t="inlineStr">
        <is>
          <t>Mafia Wins</t>
        </is>
      </c>
      <c r="H1" s="5" t="inlineStr">
        <is>
          <t>Mafia %</t>
        </is>
      </c>
      <c r="I1" s="6" t="inlineStr">
        <is>
          <t>Mafia Win %</t>
        </is>
      </c>
      <c r="J1" s="6" t="inlineStr">
        <is>
          <t>Total Games</t>
        </is>
      </c>
      <c r="K1" s="6" t="inlineStr">
        <is>
          <t>Total Win %</t>
        </is>
      </c>
      <c r="L1" s="6" t="inlineStr">
        <is>
          <t>Mu</t>
        </is>
      </c>
      <c r="M1" s="6" t="inlineStr">
        <is>
          <t>Sigma</t>
        </is>
      </c>
      <c r="N1" s="6" t="inlineStr">
        <is>
          <t>Rating</t>
        </is>
      </c>
    </row>
    <row r="2" ht="22.5" customHeight="1" s="21">
      <c r="A2" s="14" t="inlineStr">
        <is>
          <t>Rocker</t>
        </is>
      </c>
      <c r="B2" s="14">
        <f>COUNTIFS(MatchHistory!$B:$B, $A2, MatchHistory!$C:$C, "Town")</f>
        <v/>
      </c>
      <c r="C2" s="14">
        <f>COUNTIFS(MatchHistory!B:B, A2, MatchHistory!C:C, "Town", MatchHistory!D:D, "Win")</f>
        <v/>
      </c>
      <c r="D2" s="13">
        <f>IFERROR(__xludf.DUMMYFUNCTION("TO_PERCENT($B2/$J2)"),0.7777777777777778)</f>
        <v/>
      </c>
      <c r="E2" s="13">
        <f>IFERROR(__xludf.DUMMYFUNCTION("IF(EQ($B2, 0), TO_PERCENT(0), TO_PERCENT($C2/$B2))"),0.5714285714285714)</f>
        <v/>
      </c>
      <c r="F2" s="14">
        <f>COUNTIFS(MatchHistory!$B:$B, $A2, MatchHistory!$C:$C, "Mafia")</f>
        <v/>
      </c>
      <c r="G2" s="14">
        <f>COUNTIFS(MatchHistory!$B:$B, $A2, MatchHistory!$C:$C, "Mafia", MatchHistory!$D:$D, "Win")</f>
        <v/>
      </c>
      <c r="H2" s="13">
        <f>IFERROR(__xludf.DUMMYFUNCTION("TO_PERCENT($F2/$J2)"),0.2222222222222222)</f>
        <v/>
      </c>
      <c r="I2" s="13">
        <f>IFERROR(__xludf.DUMMYFUNCTION("TO_PERCENT(IFERROR($G2/$F2, 0))"),0.625)</f>
        <v/>
      </c>
      <c r="J2" s="14">
        <f>SUM(F2, B2)</f>
        <v/>
      </c>
      <c r="K2" s="13">
        <f>IFERROR(__xludf.DUMMYFUNCTION("TO_PERCENT(IFERROR(($G2+$C2)/($F2+$B2), 0))"),0.5833333333333334)</f>
        <v/>
      </c>
      <c r="L2" s="11">
        <f t="array" ref="L2">INDEX(MatchHistory!$G:$G,MATCH(1,(MatchHistory!$B:$B=$A2)*(MatchHistory!$G:$G&lt;&gt;""),0))</f>
        <v/>
      </c>
      <c r="M2" s="11">
        <f t="array" ref="M2">INDEX(MatchHistory!$H:$H,MATCH(1,(MatchHistory!$B:$B=$A2)*(MatchHistory!$H:$H&lt;&gt;""),0))</f>
        <v/>
      </c>
      <c r="N2" s="12">
        <f t="array" ref="N2">INDEX(MatchHistory!$J:$J,MATCH(1,(MatchHistory!$B:$B=$A2)*(MatchHistory!$J:$J&lt;&gt;""),0))</f>
        <v/>
      </c>
    </row>
    <row r="3" ht="22.5" customHeight="1" s="21">
      <c r="A3" s="14" t="inlineStr">
        <is>
          <t>Cyclone</t>
        </is>
      </c>
      <c r="B3" s="14">
        <f>COUNTIFS(MatchHistory!$B:$B, $A3, MatchHistory!$C:$C, "Town")</f>
        <v/>
      </c>
      <c r="C3" s="14">
        <f>COUNTIFS(MatchHistory!B:B, A3, MatchHistory!C:C, "Town", MatchHistory!D:D, "Win")</f>
        <v/>
      </c>
      <c r="D3" s="13">
        <f>IFERROR(__xludf.DUMMYFUNCTION("TO_PERCENT($B3/$J3)"),0.8095238095238095)</f>
        <v/>
      </c>
      <c r="E3" s="13">
        <f>IFERROR(__xludf.DUMMYFUNCTION("IF(EQ($B3, 0), TO_PERCENT(0), TO_PERCENT($C3/$B3))"),0.7058823529411765)</f>
        <v/>
      </c>
      <c r="F3" s="14">
        <f>COUNTIFS(MatchHistory!$B:$B, $A3, MatchHistory!$C:$C, "Mafia")</f>
        <v/>
      </c>
      <c r="G3" s="14">
        <f>COUNTIFS(MatchHistory!$B:$B, $A3, MatchHistory!$C:$C, "Mafia", MatchHistory!$D:$D, "Win")</f>
        <v/>
      </c>
      <c r="H3" s="13">
        <f>IFERROR(__xludf.DUMMYFUNCTION("TO_PERCENT($F3/$J3)"),0.19047619047619047)</f>
        <v/>
      </c>
      <c r="I3" s="13">
        <f>IFERROR(__xludf.DUMMYFUNCTION("TO_PERCENT(IFERROR($G3/$F3, 0))"),1.0)</f>
        <v/>
      </c>
      <c r="J3" s="14">
        <f>SUM(F3, B3)</f>
        <v/>
      </c>
      <c r="K3" s="13">
        <f>IFERROR(__xludf.DUMMYFUNCTION("TO_PERCENT(IFERROR(($G3+$C3)/($F3+$B3), 0))"),0.7619047619047619)</f>
        <v/>
      </c>
      <c r="L3" s="11">
        <f t="array" ref="L3">INDEX(MatchHistory!$G:$G,MATCH(1,(MatchHistory!$B:$B=$A3)*(MatchHistory!$G:$G&lt;&gt;""),0))</f>
        <v/>
      </c>
      <c r="M3" s="11">
        <f t="array" ref="M3">INDEX(MatchHistory!$H:$H,MATCH(1,(MatchHistory!$B:$B=$A3)*(MatchHistory!$H:$H&lt;&gt;""),0))</f>
        <v/>
      </c>
      <c r="N3" s="12">
        <f t="array" ref="N3">INDEX(MatchHistory!$J:$J,MATCH(1,(MatchHistory!$B:$B=$A3)*(MatchHistory!$J:$J&lt;&gt;""),0))</f>
        <v/>
      </c>
    </row>
    <row r="4" ht="22.5" customHeight="1" s="21">
      <c r="A4" s="14" t="inlineStr">
        <is>
          <t>Laur</t>
        </is>
      </c>
      <c r="B4" s="14">
        <f>COUNTIFS(MatchHistory!$B:$B, $A4, MatchHistory!$C:$C, "Town")</f>
        <v/>
      </c>
      <c r="C4" s="14">
        <f>COUNTIFS(MatchHistory!B:B, A4, MatchHistory!C:C, "Town", MatchHistory!D:D, "Win")</f>
        <v/>
      </c>
      <c r="D4" s="13">
        <f>IFERROR(__xludf.DUMMYFUNCTION("TO_PERCENT($B4/$J4)"),0.8076923076923077)</f>
        <v/>
      </c>
      <c r="E4" s="13">
        <f>IFERROR(__xludf.DUMMYFUNCTION("IF(EQ($B4, 0), TO_PERCENT(0), TO_PERCENT($C4/$B4))"),0.5476190476190477)</f>
        <v/>
      </c>
      <c r="F4" s="14">
        <f>COUNTIFS(MatchHistory!$B:$B, $A4, MatchHistory!$C:$C, "Mafia")</f>
        <v/>
      </c>
      <c r="G4" s="14">
        <f>COUNTIFS(MatchHistory!$B:$B, $A4, MatchHistory!$C:$C, "Mafia", MatchHistory!$D:$D, "Win")</f>
        <v/>
      </c>
      <c r="H4" s="13">
        <f>IFERROR(__xludf.DUMMYFUNCTION("TO_PERCENT($F4/$J4)"),0.19230769230769232)</f>
        <v/>
      </c>
      <c r="I4" s="13">
        <f>IFERROR(__xludf.DUMMYFUNCTION("TO_PERCENT(IFERROR($G4/$F4, 0))"),0.7)</f>
        <v/>
      </c>
      <c r="J4" s="14">
        <f>SUM(F4, B4)</f>
        <v/>
      </c>
      <c r="K4" s="13">
        <f>IFERROR(__xludf.DUMMYFUNCTION("TO_PERCENT(IFERROR(($G4+$C4)/($F4+$B4), 0))"),0.5769230769230769)</f>
        <v/>
      </c>
      <c r="L4" s="11">
        <f t="array" ref="L4">INDEX(MatchHistory!$G:$G,MATCH(1,(MatchHistory!$B:$B=$A4)*(MatchHistory!$G:$G&lt;&gt;""),0))</f>
        <v/>
      </c>
      <c r="M4" s="11">
        <f t="array" ref="M4">INDEX(MatchHistory!$H:$H,MATCH(1,(MatchHistory!$B:$B=$A4)*(MatchHistory!$H:$H&lt;&gt;""),0))</f>
        <v/>
      </c>
      <c r="N4" s="12">
        <f t="array" ref="N4">INDEX(MatchHistory!$J:$J,MATCH(1,(MatchHistory!$B:$B=$A4)*(MatchHistory!$J:$J&lt;&gt;""),0))</f>
        <v/>
      </c>
    </row>
    <row r="5" ht="22.5" customHeight="1" s="21">
      <c r="A5" s="14" t="inlineStr">
        <is>
          <t>Rollo</t>
        </is>
      </c>
      <c r="B5" s="14">
        <f>COUNTIFS(MatchHistory!$B:$B, $A5, MatchHistory!$C:$C, "Town")</f>
        <v/>
      </c>
      <c r="C5" s="14">
        <f>COUNTIFS(MatchHistory!B:B, A5, MatchHistory!C:C, "Town", MatchHistory!D:D, "Win")</f>
        <v/>
      </c>
      <c r="D5" s="13">
        <f>IFERROR(__xludf.DUMMYFUNCTION("TO_PERCENT($B5/$J5)"),0.7058823529411765)</f>
        <v/>
      </c>
      <c r="E5" s="13">
        <f>IFERROR(__xludf.DUMMYFUNCTION("IF(EQ($B5, 0), TO_PERCENT(0), TO_PERCENT($C5/$B5))"),0.75)</f>
        <v/>
      </c>
      <c r="F5" s="14">
        <f>COUNTIFS(MatchHistory!$B:$B, $A5, MatchHistory!$C:$C, "Mafia")</f>
        <v/>
      </c>
      <c r="G5" s="14">
        <f>COUNTIFS(MatchHistory!$B:$B, $A5, MatchHistory!$C:$C, "Mafia", MatchHistory!$D:$D, "Win")</f>
        <v/>
      </c>
      <c r="H5" s="13">
        <f>IFERROR(__xludf.DUMMYFUNCTION("TO_PERCENT($F5/$J5)"),0.29411764705882354)</f>
        <v/>
      </c>
      <c r="I5" s="13">
        <f>IFERROR(__xludf.DUMMYFUNCTION("TO_PERCENT(IFERROR($G5/$F5, 0))"),0.5)</f>
        <v/>
      </c>
      <c r="J5" s="14">
        <f>SUM(F5, B5)</f>
        <v/>
      </c>
      <c r="K5" s="13">
        <f>IFERROR(__xludf.DUMMYFUNCTION("TO_PERCENT(IFERROR(($G5+$C5)/($F5+$B5), 0))"),0.6764705882352942)</f>
        <v/>
      </c>
      <c r="L5" s="11">
        <f t="array" ref="L5">INDEX(MatchHistory!$G:$G,MATCH(1,(MatchHistory!$B:$B=$A5)*(MatchHistory!$G:$G&lt;&gt;""),0))</f>
        <v/>
      </c>
      <c r="M5" s="11">
        <f t="array" ref="M5">INDEX(MatchHistory!$H:$H,MATCH(1,(MatchHistory!$B:$B=$A5)*(MatchHistory!$H:$H&lt;&gt;""),0))</f>
        <v/>
      </c>
      <c r="N5" s="12">
        <f t="array" ref="N5">INDEX(MatchHistory!$J:$J,MATCH(1,(MatchHistory!$B:$B=$A5)*(MatchHistory!$J:$J&lt;&gt;""),0))</f>
        <v/>
      </c>
    </row>
    <row r="6" ht="22.5" customHeight="1" s="21">
      <c r="A6" s="14" t="inlineStr">
        <is>
          <t>Creatchee</t>
        </is>
      </c>
      <c r="B6" s="14">
        <f>COUNTIFS(MatchHistory!$B:$B, $A6, MatchHistory!$C:$C, "Town")</f>
        <v/>
      </c>
      <c r="C6" s="14">
        <f>COUNTIFS(MatchHistory!B:B, A6, MatchHistory!C:C, "Town", MatchHistory!D:D, "Win")</f>
        <v/>
      </c>
      <c r="D6" s="13">
        <f>IFERROR(__xludf.DUMMYFUNCTION("TO_PERCENT($B6/$J6)"),0.875)</f>
        <v/>
      </c>
      <c r="E6" s="13">
        <f>IFERROR(__xludf.DUMMYFUNCTION("IF(EQ($B6, 0), TO_PERCENT(0), TO_PERCENT($C6/$B6))"),0.7142857142857143)</f>
        <v/>
      </c>
      <c r="F6" s="14">
        <f>COUNTIFS(MatchHistory!$B:$B, $A6, MatchHistory!$C:$C, "Mafia")</f>
        <v/>
      </c>
      <c r="G6" s="14">
        <f>COUNTIFS(MatchHistory!$B:$B, $A6, MatchHistory!$C:$C, "Mafia", MatchHistory!$D:$D, "Win")</f>
        <v/>
      </c>
      <c r="H6" s="13">
        <f>IFERROR(__xludf.DUMMYFUNCTION("TO_PERCENT($F6/$J6)"),0.125)</f>
        <v/>
      </c>
      <c r="I6" s="13">
        <f>IFERROR(__xludf.DUMMYFUNCTION("TO_PERCENT(IFERROR($G6/$F6, 0))"),0.6666666666666666)</f>
        <v/>
      </c>
      <c r="J6" s="14">
        <f>SUM(F6, B6)</f>
        <v/>
      </c>
      <c r="K6" s="13">
        <f>IFERROR(__xludf.DUMMYFUNCTION("TO_PERCENT(IFERROR(($G6+$C6)/($F6+$B6), 0))"),0.7083333333333334)</f>
        <v/>
      </c>
      <c r="L6" s="11">
        <f t="array" ref="L6">INDEX(MatchHistory!$G:$G,MATCH(1,(MatchHistory!$B:$B=$A6)*(MatchHistory!$G:$G&lt;&gt;""),0))</f>
        <v/>
      </c>
      <c r="M6" s="11">
        <f t="array" ref="M6">INDEX(MatchHistory!$H:$H,MATCH(1,(MatchHistory!$B:$B=$A6)*(MatchHistory!$H:$H&lt;&gt;""),0))</f>
        <v/>
      </c>
      <c r="N6" s="12">
        <f t="array" ref="N6">INDEX(MatchHistory!$J:$J,MATCH(1,(MatchHistory!$B:$B=$A6)*(MatchHistory!$J:$J&lt;&gt;""),0))</f>
        <v/>
      </c>
    </row>
    <row r="7" ht="22.5" customHeight="1" s="21">
      <c r="A7" s="14" t="inlineStr">
        <is>
          <t>Noah</t>
        </is>
      </c>
      <c r="B7" s="14">
        <f>COUNTIFS(MatchHistory!$B:$B, $A7, MatchHistory!$C:$C, "Town")</f>
        <v/>
      </c>
      <c r="C7" s="14">
        <f>COUNTIFS(MatchHistory!B:B, A7, MatchHistory!C:C, "Town", MatchHistory!D:D, "Win")</f>
        <v/>
      </c>
      <c r="D7" s="13">
        <f>IFERROR(__xludf.DUMMYFUNCTION("TO_PERCENT($B7/$J7)"),0.6842105263157895)</f>
        <v/>
      </c>
      <c r="E7" s="13">
        <f>IFERROR(__xludf.DUMMYFUNCTION("IF(EQ($B7, 0), TO_PERCENT(0), TO_PERCENT($C7/$B7))"),0.5128205128205128)</f>
        <v/>
      </c>
      <c r="F7" s="14">
        <f>COUNTIFS(MatchHistory!$B:$B, $A7, MatchHistory!$C:$C, "Mafia")</f>
        <v/>
      </c>
      <c r="G7" s="14">
        <f>COUNTIFS(MatchHistory!$B:$B, $A7, MatchHistory!$C:$C, "Mafia", MatchHistory!$D:$D, "Win")</f>
        <v/>
      </c>
      <c r="H7" s="13">
        <f>IFERROR(__xludf.DUMMYFUNCTION("TO_PERCENT($F7/$J7)"),0.3157894736842105)</f>
        <v/>
      </c>
      <c r="I7" s="13">
        <f>IFERROR(__xludf.DUMMYFUNCTION("TO_PERCENT(IFERROR($G7/$F7, 0))"),0.6666666666666666)</f>
        <v/>
      </c>
      <c r="J7" s="14">
        <f>SUM(F7, B7)</f>
        <v/>
      </c>
      <c r="K7" s="13">
        <f>IFERROR(__xludf.DUMMYFUNCTION("TO_PERCENT(IFERROR(($G7+$C7)/($F7+$B7), 0))"),0.5614035087719298)</f>
        <v/>
      </c>
      <c r="L7" s="11">
        <f t="array" ref="L7">INDEX(MatchHistory!$G:$G,MATCH(1,(MatchHistory!$B:$B=$A7)*(MatchHistory!$G:$G&lt;&gt;""),0))</f>
        <v/>
      </c>
      <c r="M7" s="11">
        <f t="array" ref="M7">INDEX(MatchHistory!$H:$H,MATCH(1,(MatchHistory!$B:$B=$A7)*(MatchHistory!$H:$H&lt;&gt;""),0))</f>
        <v/>
      </c>
      <c r="N7" s="12">
        <f t="array" ref="N7">INDEX(MatchHistory!$J:$J,MATCH(1,(MatchHistory!$B:$B=$A7)*(MatchHistory!$J:$J&lt;&gt;""),0))</f>
        <v/>
      </c>
    </row>
    <row r="8" ht="22.5" customHeight="1" s="21">
      <c r="A8" s="14" t="inlineStr">
        <is>
          <t>Streety</t>
        </is>
      </c>
      <c r="B8" s="14">
        <f>COUNTIFS(MatchHistory!$B:$B, $A8, MatchHistory!$C:$C, "Town")</f>
        <v/>
      </c>
      <c r="C8" s="14">
        <f>COUNTIFS(MatchHistory!B:B, A8, MatchHistory!C:C, "Town", MatchHistory!D:D, "Win")</f>
        <v/>
      </c>
      <c r="D8" s="13">
        <f>IFERROR(__xludf.DUMMYFUNCTION("TO_PERCENT($B8/$J8)"),0.8148148148148148)</f>
        <v/>
      </c>
      <c r="E8" s="13">
        <f>IFERROR(__xludf.DUMMYFUNCTION("IF(EQ($B8, 0), TO_PERCENT(0), TO_PERCENT($C8/$B8))"),0.6363636363636364)</f>
        <v/>
      </c>
      <c r="F8" s="14">
        <f>COUNTIFS(MatchHistory!$B:$B, $A8, MatchHistory!$C:$C, "Mafia")</f>
        <v/>
      </c>
      <c r="G8" s="14">
        <f>COUNTIFS(MatchHistory!$B:$B, $A8, MatchHistory!$C:$C, "Mafia", MatchHistory!$D:$D, "Win")</f>
        <v/>
      </c>
      <c r="H8" s="13">
        <f>IFERROR(__xludf.DUMMYFUNCTION("TO_PERCENT($F8/$J8)"),0.18518518518518517)</f>
        <v/>
      </c>
      <c r="I8" s="13">
        <f>IFERROR(__xludf.DUMMYFUNCTION("TO_PERCENT(IFERROR($G8/$F8, 0))"),0.6)</f>
        <v/>
      </c>
      <c r="J8" s="14">
        <f>SUM(F8, B8)</f>
        <v/>
      </c>
      <c r="K8" s="13">
        <f>IFERROR(__xludf.DUMMYFUNCTION("TO_PERCENT(IFERROR(($G8+$C8)/($F8+$B8), 0))"),0.6296296296296297)</f>
        <v/>
      </c>
      <c r="L8" s="11">
        <f t="array" ref="L8">INDEX(MatchHistory!$G:$G,MATCH(1,(MatchHistory!$B:$B=$A8)*(MatchHistory!$G:$G&lt;&gt;""),0))</f>
        <v/>
      </c>
      <c r="M8" s="11">
        <f t="array" ref="M8">INDEX(MatchHistory!$H:$H,MATCH(1,(MatchHistory!$B:$B=$A8)*(MatchHistory!$H:$H&lt;&gt;""),0))</f>
        <v/>
      </c>
      <c r="N8" s="12">
        <f t="array" ref="N8">INDEX(MatchHistory!$J:$J,MATCH(1,(MatchHistory!$B:$B=$A8)*(MatchHistory!$J:$J&lt;&gt;""),0))</f>
        <v/>
      </c>
    </row>
    <row r="9" ht="22.5" customHeight="1" s="21">
      <c r="A9" s="14" t="inlineStr">
        <is>
          <t>Brownkow</t>
        </is>
      </c>
      <c r="B9" s="14">
        <f>COUNTIFS(MatchHistory!$B:$B, $A9, MatchHistory!$C:$C, "Town")</f>
        <v/>
      </c>
      <c r="C9" s="14">
        <f>COUNTIFS(MatchHistory!B:B, A9, MatchHistory!C:C, "Town", MatchHistory!D:D, "Win")</f>
        <v/>
      </c>
      <c r="D9" s="13">
        <f>IFERROR(__xludf.DUMMYFUNCTION("TO_PERCENT($B9/$J9)"),0.75)</f>
        <v/>
      </c>
      <c r="E9" s="13">
        <f>IFERROR(__xludf.DUMMYFUNCTION("IF(EQ($B9, 0), TO_PERCENT(0), TO_PERCENT($C9/$B9))"),0.5555555555555556)</f>
        <v/>
      </c>
      <c r="F9" s="14">
        <f>COUNTIFS(MatchHistory!$B:$B, $A9, MatchHistory!$C:$C, "Mafia")</f>
        <v/>
      </c>
      <c r="G9" s="14">
        <f>COUNTIFS(MatchHistory!$B:$B, $A9, MatchHistory!$C:$C, "Mafia", MatchHistory!$D:$D, "Win")</f>
        <v/>
      </c>
      <c r="H9" s="13">
        <f>IFERROR(__xludf.DUMMYFUNCTION("TO_PERCENT($F9/$J9)"),0.25)</f>
        <v/>
      </c>
      <c r="I9" s="13">
        <f>IFERROR(__xludf.DUMMYFUNCTION("TO_PERCENT(IFERROR($G9/$F9, 0))"),0.5555555555555556)</f>
        <v/>
      </c>
      <c r="J9" s="14">
        <f>SUM(F9, B9)</f>
        <v/>
      </c>
      <c r="K9" s="13">
        <f>IFERROR(__xludf.DUMMYFUNCTION("TO_PERCENT(IFERROR(($G9+$C9)/($F9+$B9), 0))"),0.5555555555555556)</f>
        <v/>
      </c>
      <c r="L9" s="11">
        <f t="array" ref="L9">INDEX(MatchHistory!$G:$G,MATCH(1,(MatchHistory!$B:$B=$A9)*(MatchHistory!$G:$G&lt;&gt;""),0))</f>
        <v/>
      </c>
      <c r="M9" s="11">
        <f t="array" ref="M9">INDEX(MatchHistory!$H:$H,MATCH(1,(MatchHistory!$B:$B=$A9)*(MatchHistory!$H:$H&lt;&gt;""),0))</f>
        <v/>
      </c>
      <c r="N9" s="12">
        <f t="array" ref="N9">INDEX(MatchHistory!$J:$J,MATCH(1,(MatchHistory!$B:$B=$A9)*(MatchHistory!$J:$J&lt;&gt;""),0))</f>
        <v/>
      </c>
    </row>
    <row r="10" ht="22.5" customHeight="1" s="21">
      <c r="A10" s="14" t="inlineStr">
        <is>
          <t>Iln</t>
        </is>
      </c>
      <c r="B10" s="14">
        <f>COUNTIFS(MatchHistory!$B:$B, $A10, MatchHistory!$C:$C, "Town")</f>
        <v/>
      </c>
      <c r="C10" s="14">
        <f>COUNTIFS(MatchHistory!B:B, A10, MatchHistory!C:C, "Town", MatchHistory!D:D, "Win")</f>
        <v/>
      </c>
      <c r="D10" s="13">
        <f>IFERROR(__xludf.DUMMYFUNCTION("TO_PERCENT($B10/$J10)"),0.8333333333333334)</f>
        <v/>
      </c>
      <c r="E10" s="13">
        <f>IFERROR(__xludf.DUMMYFUNCTION("IF(EQ($B10, 0), TO_PERCENT(0), TO_PERCENT($C10/$B10))"),0.45454545454545453)</f>
        <v/>
      </c>
      <c r="F10" s="14">
        <f>COUNTIFS(MatchHistory!$B:$B, $A10, MatchHistory!$C:$C, "Mafia")</f>
        <v/>
      </c>
      <c r="G10" s="14">
        <f>COUNTIFS(MatchHistory!$B:$B, $A10, MatchHistory!$C:$C, "Mafia", MatchHistory!$D:$D, "Win")</f>
        <v/>
      </c>
      <c r="H10" s="13">
        <f>IFERROR(__xludf.DUMMYFUNCTION("TO_PERCENT($F10/$J10)"),0.16666666666666666)</f>
        <v/>
      </c>
      <c r="I10" s="13">
        <f>IFERROR(__xludf.DUMMYFUNCTION("TO_PERCENT(IFERROR($G10/$F10, 0))"),0.6363636363636364)</f>
        <v/>
      </c>
      <c r="J10" s="14">
        <f>SUM(F10, B10)</f>
        <v/>
      </c>
      <c r="K10" s="13">
        <f>IFERROR(__xludf.DUMMYFUNCTION("TO_PERCENT(IFERROR(($G10+$C10)/($F10+$B10), 0))"),0.48484848484848486)</f>
        <v/>
      </c>
      <c r="L10" s="11">
        <f t="array" ref="L10">INDEX(MatchHistory!$G:$G,MATCH(1,(MatchHistory!$B:$B=$A10)*(MatchHistory!$G:$G&lt;&gt;""),0))</f>
        <v/>
      </c>
      <c r="M10" s="11">
        <f t="array" ref="M10">INDEX(MatchHistory!$H:$H,MATCH(1,(MatchHistory!$B:$B=$A10)*(MatchHistory!$H:$H&lt;&gt;""),0))</f>
        <v/>
      </c>
      <c r="N10" s="12">
        <f t="array" ref="N10">INDEX(MatchHistory!$J:$J,MATCH(1,(MatchHistory!$B:$B=$A10)*(MatchHistory!$J:$J&lt;&gt;""),0))</f>
        <v/>
      </c>
    </row>
    <row r="11" ht="22.5" customHeight="1" s="21">
      <c r="A11" s="14" t="inlineStr">
        <is>
          <t>Mintt</t>
        </is>
      </c>
      <c r="B11" s="14">
        <f>COUNTIFS(MatchHistory!$B:$B, $A11, MatchHistory!$C:$C, "Town")</f>
        <v/>
      </c>
      <c r="C11" s="14">
        <f>COUNTIFS(MatchHistory!B:B, A11, MatchHistory!C:C, "Town", MatchHistory!D:D, "Win")</f>
        <v/>
      </c>
      <c r="D11" s="13">
        <f>IFERROR(__xludf.DUMMYFUNCTION("TO_PERCENT($B11/$J11)"),0.8157894736842105)</f>
        <v/>
      </c>
      <c r="E11" s="13">
        <f>IFERROR(__xludf.DUMMYFUNCTION("IF(EQ($B11, 0), TO_PERCENT(0), TO_PERCENT($C11/$B11))"),0.5483870967741935)</f>
        <v/>
      </c>
      <c r="F11" s="14">
        <f>COUNTIFS(MatchHistory!$B:$B, $A11, MatchHistory!$C:$C, "Mafia")</f>
        <v/>
      </c>
      <c r="G11" s="14">
        <f>COUNTIFS(MatchHistory!$B:$B, $A11, MatchHistory!$C:$C, "Mafia", MatchHistory!$D:$D, "Win")</f>
        <v/>
      </c>
      <c r="H11" s="13">
        <f>IFERROR(__xludf.DUMMYFUNCTION("TO_PERCENT($F11/$J11)"),0.18421052631578946)</f>
        <v/>
      </c>
      <c r="I11" s="13">
        <f>IFERROR(__xludf.DUMMYFUNCTION("TO_PERCENT(IFERROR($G11/$F11, 0))"),0.5714285714285714)</f>
        <v/>
      </c>
      <c r="J11" s="14">
        <f>SUM(F11, B11)</f>
        <v/>
      </c>
      <c r="K11" s="13">
        <f>IFERROR(__xludf.DUMMYFUNCTION("TO_PERCENT(IFERROR(($G11+$C11)/($F11+$B11), 0))"),0.5526315789473685)</f>
        <v/>
      </c>
      <c r="L11" s="11">
        <f t="array" ref="L11">INDEX(MatchHistory!$G:$G,MATCH(1,(MatchHistory!$B:$B=$A11)*(MatchHistory!$G:$G&lt;&gt;""),0))</f>
        <v/>
      </c>
      <c r="M11" s="11">
        <f t="array" ref="M11">INDEX(MatchHistory!$H:$H,MATCH(1,(MatchHistory!$B:$B=$A11)*(MatchHistory!$H:$H&lt;&gt;""),0))</f>
        <v/>
      </c>
      <c r="N11" s="12">
        <f t="array" ref="N11">INDEX(MatchHistory!$J:$J,MATCH(1,(MatchHistory!$B:$B=$A11)*(MatchHistory!$J:$J&lt;&gt;""),0))</f>
        <v/>
      </c>
    </row>
    <row r="12" ht="22.5" customHeight="1" s="21">
      <c r="A12" s="14" t="inlineStr">
        <is>
          <t>Lou</t>
        </is>
      </c>
      <c r="B12" s="14">
        <f>COUNTIFS(MatchHistory!$B:$B, $A12, MatchHistory!$C:$C, "Town")</f>
        <v/>
      </c>
      <c r="C12" s="14">
        <f>COUNTIFS(MatchHistory!B:B, A12, MatchHistory!C:C, "Town", MatchHistory!D:D, "Win")</f>
        <v/>
      </c>
      <c r="D12" s="13">
        <f>IFERROR(__xludf.DUMMYFUNCTION("TO_PERCENT($B12/$J12)"),0.8275862068965517)</f>
        <v/>
      </c>
      <c r="E12" s="13">
        <f>IFERROR(__xludf.DUMMYFUNCTION("IF(EQ($B12, 0), TO_PERCENT(0), TO_PERCENT($C12/$B12))"),0.5)</f>
        <v/>
      </c>
      <c r="F12" s="14">
        <f>COUNTIFS(MatchHistory!$B:$B, $A12, MatchHistory!$C:$C, "Mafia")</f>
        <v/>
      </c>
      <c r="G12" s="14">
        <f>COUNTIFS(MatchHistory!$B:$B, $A12, MatchHistory!$C:$C, "Mafia", MatchHistory!$D:$D, "Win")</f>
        <v/>
      </c>
      <c r="H12" s="13">
        <f>IFERROR(__xludf.DUMMYFUNCTION("TO_PERCENT($F12/$J12)"),0.1724137931034483)</f>
        <v/>
      </c>
      <c r="I12" s="13">
        <f>IFERROR(__xludf.DUMMYFUNCTION("TO_PERCENT(IFERROR($G12/$F12, 0))"),0.4)</f>
        <v/>
      </c>
      <c r="J12" s="14">
        <f>SUM(F12, B12)</f>
        <v/>
      </c>
      <c r="K12" s="13">
        <f>IFERROR(__xludf.DUMMYFUNCTION("TO_PERCENT(IFERROR(($G12+$C12)/($F12+$B12), 0))"),0.4827586206896552)</f>
        <v/>
      </c>
      <c r="L12" s="11">
        <f t="array" ref="L12">INDEX(MatchHistory!$G:$G,MATCH(1,(MatchHistory!$B:$B=$A12)*(MatchHistory!$G:$G&lt;&gt;""),0))</f>
        <v/>
      </c>
      <c r="M12" s="11">
        <f t="array" ref="M12">INDEX(MatchHistory!$H:$H,MATCH(1,(MatchHistory!$B:$B=$A12)*(MatchHistory!$H:$H&lt;&gt;""),0))</f>
        <v/>
      </c>
      <c r="N12" s="12">
        <f t="array" ref="N12">INDEX(MatchHistory!$J:$J,MATCH(1,(MatchHistory!$B:$B=$A12)*(MatchHistory!$J:$J&lt;&gt;""),0))</f>
        <v/>
      </c>
    </row>
    <row r="13" ht="22.5" customHeight="1" s="21">
      <c r="A13" s="14" t="inlineStr">
        <is>
          <t>Heckmuffins</t>
        </is>
      </c>
      <c r="B13" s="14">
        <f>COUNTIFS(MatchHistory!$B:$B, $A13, MatchHistory!$C:$C, "Town")</f>
        <v/>
      </c>
      <c r="C13" s="14">
        <f>COUNTIFS(MatchHistory!B:B, A13, MatchHistory!C:C, "Town", MatchHistory!D:D, "Win")</f>
        <v/>
      </c>
      <c r="D13" s="13">
        <f>IFERROR(__xludf.DUMMYFUNCTION("TO_PERCENT($B13/$J13)"),0.9)</f>
        <v/>
      </c>
      <c r="E13" s="13">
        <f>IFERROR(__xludf.DUMMYFUNCTION("IF(EQ($B13, 0), TO_PERCENT(0), TO_PERCENT($C13/$B13))"),0.7777777777777778)</f>
        <v/>
      </c>
      <c r="F13" s="14">
        <f>COUNTIFS(MatchHistory!$B:$B, $A13, MatchHistory!$C:$C, "Mafia")</f>
        <v/>
      </c>
      <c r="G13" s="14">
        <f>COUNTIFS(MatchHistory!$B:$B, $A13, MatchHistory!$C:$C, "Mafia", MatchHistory!$D:$D, "Win")</f>
        <v/>
      </c>
      <c r="H13" s="13">
        <f>IFERROR(__xludf.DUMMYFUNCTION("TO_PERCENT($F13/$J13)"),0.1)</f>
        <v/>
      </c>
      <c r="I13" s="13">
        <f>IFERROR(__xludf.DUMMYFUNCTION("TO_PERCENT(IFERROR($G13/$F13, 0))"),1.0)</f>
        <v/>
      </c>
      <c r="J13" s="14">
        <f>SUM(F13, B13)</f>
        <v/>
      </c>
      <c r="K13" s="13">
        <f>IFERROR(__xludf.DUMMYFUNCTION("TO_PERCENT(IFERROR(($G13+$C13)/($F13+$B13), 0))"),0.8)</f>
        <v/>
      </c>
      <c r="L13" s="11">
        <f t="array" ref="L13">INDEX(MatchHistory!$G:$G,MATCH(1,(MatchHistory!$B:$B=$A13)*(MatchHistory!$G:$G&lt;&gt;""),0))</f>
        <v/>
      </c>
      <c r="M13" s="11">
        <f t="array" ref="M13">INDEX(MatchHistory!$H:$H,MATCH(1,(MatchHistory!$B:$B=$A13)*(MatchHistory!$H:$H&lt;&gt;""),0))</f>
        <v/>
      </c>
      <c r="N13" s="12">
        <f t="array" ref="N13">INDEX(MatchHistory!$J:$J,MATCH(1,(MatchHistory!$B:$B=$A13)*(MatchHistory!$J:$J&lt;&gt;""),0))</f>
        <v/>
      </c>
    </row>
    <row r="14" ht="22.5" customHeight="1" s="21">
      <c r="A14" s="14" t="inlineStr">
        <is>
          <t>Chester</t>
        </is>
      </c>
      <c r="B14" s="14">
        <f>COUNTIFS(MatchHistory!$B:$B, $A14, MatchHistory!$C:$C, "Town")</f>
        <v/>
      </c>
      <c r="C14" s="14">
        <f>COUNTIFS(MatchHistory!B:B, A14, MatchHistory!C:C, "Town", MatchHistory!D:D, "Win")</f>
        <v/>
      </c>
      <c r="D14" s="13">
        <f>IFERROR(__xludf.DUMMYFUNCTION("TO_PERCENT($B14/$J14)"),0.8214285714285714)</f>
        <v/>
      </c>
      <c r="E14" s="13">
        <f>IFERROR(__xludf.DUMMYFUNCTION("IF(EQ($B14, 0), TO_PERCENT(0), TO_PERCENT($C14/$B14))"),0.5217391304347826)</f>
        <v/>
      </c>
      <c r="F14" s="14">
        <f>COUNTIFS(MatchHistory!$B:$B, $A14, MatchHistory!$C:$C, "Mafia")</f>
        <v/>
      </c>
      <c r="G14" s="14">
        <f>COUNTIFS(MatchHistory!$B:$B, $A14, MatchHistory!$C:$C, "Mafia", MatchHistory!$D:$D, "Win")</f>
        <v/>
      </c>
      <c r="H14" s="13">
        <f>IFERROR(__xludf.DUMMYFUNCTION("TO_PERCENT($F14/$J14)"),0.17857142857142858)</f>
        <v/>
      </c>
      <c r="I14" s="13">
        <f>IFERROR(__xludf.DUMMYFUNCTION("TO_PERCENT(IFERROR($G14/$F14, 0))"),0.8)</f>
        <v/>
      </c>
      <c r="J14" s="14">
        <f>SUM(F14, B14)</f>
        <v/>
      </c>
      <c r="K14" s="13">
        <f>IFERROR(__xludf.DUMMYFUNCTION("TO_PERCENT(IFERROR(($G14+$C14)/($F14+$B14), 0))"),0.5714285714285714)</f>
        <v/>
      </c>
      <c r="L14" s="11">
        <f t="array" ref="L14">INDEX(MatchHistory!$G:$G,MATCH(1,(MatchHistory!$B:$B=$A14)*(MatchHistory!$G:$G&lt;&gt;""),0))</f>
        <v/>
      </c>
      <c r="M14" s="11">
        <f t="array" ref="M14">INDEX(MatchHistory!$H:$H,MATCH(1,(MatchHistory!$B:$B=$A14)*(MatchHistory!$H:$H&lt;&gt;""),0))</f>
        <v/>
      </c>
      <c r="N14" s="12">
        <f t="array" ref="N14">INDEX(MatchHistory!$J:$J,MATCH(1,(MatchHistory!$B:$B=$A14)*(MatchHistory!$J:$J&lt;&gt;""),0))</f>
        <v/>
      </c>
    </row>
    <row r="15" ht="22.5" customHeight="1" s="21">
      <c r="A15" s="14" t="inlineStr">
        <is>
          <t>Josh</t>
        </is>
      </c>
      <c r="B15" s="14">
        <f>COUNTIFS(MatchHistory!$B:$B, $A15, MatchHistory!$C:$C, "Town")</f>
        <v/>
      </c>
      <c r="C15" s="14">
        <f>COUNTIFS(MatchHistory!B:B, A15, MatchHistory!C:C, "Town", MatchHistory!D:D, "Win")</f>
        <v/>
      </c>
      <c r="D15" s="13">
        <f>IFERROR(__xludf.DUMMYFUNCTION("TO_PERCENT($B15/$J15)"),0.7222222222222222)</f>
        <v/>
      </c>
      <c r="E15" s="13">
        <f>IFERROR(__xludf.DUMMYFUNCTION("IF(EQ($B15, 0), TO_PERCENT(0), TO_PERCENT($C15/$B15))"),0.6923076923076923)</f>
        <v/>
      </c>
      <c r="F15" s="14">
        <f>COUNTIFS(MatchHistory!$B:$B, $A15, MatchHistory!$C:$C, "Mafia")</f>
        <v/>
      </c>
      <c r="G15" s="14">
        <f>COUNTIFS(MatchHistory!$B:$B, $A15, MatchHistory!$C:$C, "Mafia", MatchHistory!$D:$D, "Win")</f>
        <v/>
      </c>
      <c r="H15" s="13">
        <f>IFERROR(__xludf.DUMMYFUNCTION("TO_PERCENT($F15/$J15)"),0.2777777777777778)</f>
        <v/>
      </c>
      <c r="I15" s="13">
        <f>IFERROR(__xludf.DUMMYFUNCTION("TO_PERCENT(IFERROR($G15/$F15, 0))"),0.6)</f>
        <v/>
      </c>
      <c r="J15" s="14">
        <f>SUM(F15, B15)</f>
        <v/>
      </c>
      <c r="K15" s="13">
        <f>IFERROR(__xludf.DUMMYFUNCTION("TO_PERCENT(IFERROR(($G15+$C15)/($F15+$B15), 0))"),0.6666666666666666)</f>
        <v/>
      </c>
      <c r="L15" s="11">
        <f t="array" ref="L15">INDEX(MatchHistory!$G:$G,MATCH(1,(MatchHistory!$B:$B=$A15)*(MatchHistory!$G:$G&lt;&gt;""),0))</f>
        <v/>
      </c>
      <c r="M15" s="11">
        <f t="array" ref="M15">INDEX(MatchHistory!$H:$H,MATCH(1,(MatchHistory!$B:$B=$A15)*(MatchHistory!$H:$H&lt;&gt;""),0))</f>
        <v/>
      </c>
      <c r="N15" s="12">
        <f t="array" ref="N15">INDEX(MatchHistory!$J:$J,MATCH(1,(MatchHistory!$B:$B=$A15)*(MatchHistory!$J:$J&lt;&gt;""),0))</f>
        <v/>
      </c>
    </row>
    <row r="16" ht="22.5" customHeight="1" s="21">
      <c r="A16" s="14" t="inlineStr">
        <is>
          <t>Whyin</t>
        </is>
      </c>
      <c r="B16" s="14">
        <f>COUNTIFS(MatchHistory!$B:$B, $A16, MatchHistory!$C:$C, "Town")</f>
        <v/>
      </c>
      <c r="C16" s="14">
        <f>COUNTIFS(MatchHistory!B:B, A16, MatchHistory!C:C, "Town", MatchHistory!D:D, "Win")</f>
        <v/>
      </c>
      <c r="D16" s="13">
        <f>IFERROR(__xludf.DUMMYFUNCTION("TO_PERCENT($B16/$J16)"),0.75)</f>
        <v/>
      </c>
      <c r="E16" s="13">
        <f>IFERROR(__xludf.DUMMYFUNCTION("IF(EQ($B16, 0), TO_PERCENT(0), TO_PERCENT($C16/$B16))"),0.5555555555555556)</f>
        <v/>
      </c>
      <c r="F16" s="14">
        <f>COUNTIFS(MatchHistory!$B:$B, $A16, MatchHistory!$C:$C, "Mafia")</f>
        <v/>
      </c>
      <c r="G16" s="14">
        <f>COUNTIFS(MatchHistory!$B:$B, $A16, MatchHistory!$C:$C, "Mafia", MatchHistory!$D:$D, "Win")</f>
        <v/>
      </c>
      <c r="H16" s="13">
        <f>IFERROR(__xludf.DUMMYFUNCTION("TO_PERCENT($F16/$J16)"),0.25)</f>
        <v/>
      </c>
      <c r="I16" s="13">
        <f>IFERROR(__xludf.DUMMYFUNCTION("TO_PERCENT(IFERROR($G16/$F16, 0))"),0.3333333333333333)</f>
        <v/>
      </c>
      <c r="J16" s="14">
        <f>SUM(F16, B16)</f>
        <v/>
      </c>
      <c r="K16" s="13">
        <f>IFERROR(__xludf.DUMMYFUNCTION("TO_PERCENT(IFERROR(($G16+$C16)/($F16+$B16), 0))"),0.5)</f>
        <v/>
      </c>
      <c r="L16" s="11">
        <f t="array" ref="L16">INDEX(MatchHistory!$G:$G,MATCH(1,(MatchHistory!$B:$B=$A16)*(MatchHistory!$G:$G&lt;&gt;""),0))</f>
        <v/>
      </c>
      <c r="M16" s="11">
        <f t="array" ref="M16">INDEX(MatchHistory!$H:$H,MATCH(1,(MatchHistory!$B:$B=$A16)*(MatchHistory!$H:$H&lt;&gt;""),0))</f>
        <v/>
      </c>
      <c r="N16" s="12">
        <f t="array" ref="N16">INDEX(MatchHistory!$J:$J,MATCH(1,(MatchHistory!$B:$B=$A16)*(MatchHistory!$J:$J&lt;&gt;""),0))</f>
        <v/>
      </c>
    </row>
    <row r="17" ht="22.5" customHeight="1" s="21">
      <c r="A17" s="14" t="inlineStr">
        <is>
          <t>Keegan</t>
        </is>
      </c>
      <c r="B17" s="14">
        <f>COUNTIFS(MatchHistory!$B:$B, $A17, MatchHistory!$C:$C, "Town")</f>
        <v/>
      </c>
      <c r="C17" s="14">
        <f>COUNTIFS(MatchHistory!B:B, A17, MatchHistory!C:C, "Town", MatchHistory!D:D, "Win")</f>
        <v/>
      </c>
      <c r="D17" s="13">
        <f>IFERROR(__xludf.DUMMYFUNCTION("TO_PERCENT($B17/$J17)"),0.8421052631578947)</f>
        <v/>
      </c>
      <c r="E17" s="13">
        <f>IFERROR(__xludf.DUMMYFUNCTION("IF(EQ($B17, 0), TO_PERCENT(0), TO_PERCENT($C17/$B17))"),0.5625)</f>
        <v/>
      </c>
      <c r="F17" s="14">
        <f>COUNTIFS(MatchHistory!$B:$B, $A17, MatchHistory!$C:$C, "Mafia")</f>
        <v/>
      </c>
      <c r="G17" s="14">
        <f>COUNTIFS(MatchHistory!$B:$B, $A17, MatchHistory!$C:$C, "Mafia", MatchHistory!$D:$D, "Win")</f>
        <v/>
      </c>
      <c r="H17" s="13">
        <f>IFERROR(__xludf.DUMMYFUNCTION("TO_PERCENT($F17/$J17)"),0.15789473684210525)</f>
        <v/>
      </c>
      <c r="I17" s="13">
        <f>IFERROR(__xludf.DUMMYFUNCTION("TO_PERCENT(IFERROR($G17/$F17, 0))"),0.6666666666666666)</f>
        <v/>
      </c>
      <c r="J17" s="14">
        <f>SUM(F17, B17)</f>
        <v/>
      </c>
      <c r="K17" s="13">
        <f>IFERROR(__xludf.DUMMYFUNCTION("TO_PERCENT(IFERROR(($G17+$C17)/($F17+$B17), 0))"),0.5789473684210527)</f>
        <v/>
      </c>
      <c r="L17" s="11">
        <f t="array" ref="L17">INDEX(MatchHistory!$G:$G,MATCH(1,(MatchHistory!$B:$B=$A17)*(MatchHistory!$G:$G&lt;&gt;""),0))</f>
        <v/>
      </c>
      <c r="M17" s="11">
        <f t="array" ref="M17">INDEX(MatchHistory!$H:$H,MATCH(1,(MatchHistory!$B:$B=$A17)*(MatchHistory!$H:$H&lt;&gt;""),0))</f>
        <v/>
      </c>
      <c r="N17" s="12">
        <f t="array" ref="N17">INDEX(MatchHistory!$J:$J,MATCH(1,(MatchHistory!$B:$B=$A17)*(MatchHistory!$J:$J&lt;&gt;""),0))</f>
        <v/>
      </c>
    </row>
    <row r="18" ht="22.5" customHeight="1" s="21">
      <c r="A18" s="14" t="inlineStr">
        <is>
          <t>Strik3r</t>
        </is>
      </c>
      <c r="B18" s="14">
        <f>COUNTIFS(MatchHistory!$B:$B, $A18, MatchHistory!$C:$C, "Town")</f>
        <v/>
      </c>
      <c r="C18" s="14">
        <f>COUNTIFS(MatchHistory!B:B, A18, MatchHistory!C:C, "Town", MatchHistory!D:D, "Win")</f>
        <v/>
      </c>
      <c r="D18" s="13">
        <f>IFERROR(__xludf.DUMMYFUNCTION("TO_PERCENT($B18/$J18)"),0.75)</f>
        <v/>
      </c>
      <c r="E18" s="13">
        <f>IFERROR(__xludf.DUMMYFUNCTION("IF(EQ($B18, 0), TO_PERCENT(0), TO_PERCENT($C18/$B18))"),0.3611111111111111)</f>
        <v/>
      </c>
      <c r="F18" s="14">
        <f>COUNTIFS(MatchHistory!$B:$B, $A18, MatchHistory!$C:$C, "Mafia")</f>
        <v/>
      </c>
      <c r="G18" s="14">
        <f>COUNTIFS(MatchHistory!$B:$B, $A18, MatchHistory!$C:$C, "Mafia", MatchHistory!$D:$D, "Win")</f>
        <v/>
      </c>
      <c r="H18" s="13">
        <f>IFERROR(__xludf.DUMMYFUNCTION("TO_PERCENT($F18/$J18)"),0.25)</f>
        <v/>
      </c>
      <c r="I18" s="13">
        <f>IFERROR(__xludf.DUMMYFUNCTION("TO_PERCENT(IFERROR($G18/$F18, 0))"),0.6666666666666666)</f>
        <v/>
      </c>
      <c r="J18" s="14">
        <f>SUM(F18, B18)</f>
        <v/>
      </c>
      <c r="K18" s="13">
        <f>IFERROR(__xludf.DUMMYFUNCTION("TO_PERCENT(IFERROR(($G18+$C18)/($F18+$B18), 0))"),0.4375)</f>
        <v/>
      </c>
      <c r="L18" s="11">
        <f t="array" ref="L18">INDEX(MatchHistory!$G:$G,MATCH(1,(MatchHistory!$B:$B=$A18)*(MatchHistory!$G:$G&lt;&gt;""),0))</f>
        <v/>
      </c>
      <c r="M18" s="11">
        <f t="array" ref="M18">INDEX(MatchHistory!$H:$H,MATCH(1,(MatchHistory!$B:$B=$A18)*(MatchHistory!$H:$H&lt;&gt;""),0))</f>
        <v/>
      </c>
      <c r="N18" s="12">
        <f t="array" ref="N18">INDEX(MatchHistory!$J:$J,MATCH(1,(MatchHistory!$B:$B=$A18)*(MatchHistory!$J:$J&lt;&gt;""),0))</f>
        <v/>
      </c>
    </row>
    <row r="19" ht="22.5" customHeight="1" s="21">
      <c r="A19" s="14" t="inlineStr">
        <is>
          <t>Siggy</t>
        </is>
      </c>
      <c r="B19" s="14">
        <f>COUNTIFS(MatchHistory!$B:$B, $A19, MatchHistory!$C:$C, "Town")</f>
        <v/>
      </c>
      <c r="C19" s="14">
        <f>COUNTIFS(MatchHistory!B:B, A19, MatchHistory!C:C, "Town", MatchHistory!D:D, "Win")</f>
        <v/>
      </c>
      <c r="D19" s="13">
        <f>IFERROR(__xludf.DUMMYFUNCTION("TO_PERCENT($B19/$J19)"),0.7142857142857143)</f>
        <v/>
      </c>
      <c r="E19" s="13">
        <f>IFERROR(__xludf.DUMMYFUNCTION("IF(EQ($B19, 0), TO_PERCENT(0), TO_PERCENT($C19/$B19))"),0.7)</f>
        <v/>
      </c>
      <c r="F19" s="14">
        <f>COUNTIFS(MatchHistory!$B:$B, $A19, MatchHistory!$C:$C, "Mafia")</f>
        <v/>
      </c>
      <c r="G19" s="14">
        <f>COUNTIFS(MatchHistory!$B:$B, $A19, MatchHistory!$C:$C, "Mafia", MatchHistory!$D:$D, "Win")</f>
        <v/>
      </c>
      <c r="H19" s="13">
        <f>IFERROR(__xludf.DUMMYFUNCTION("TO_PERCENT($F19/$J19)"),0.2857142857142857)</f>
        <v/>
      </c>
      <c r="I19" s="13">
        <f>IFERROR(__xludf.DUMMYFUNCTION("TO_PERCENT(IFERROR($G19/$F19, 0))"),0.5)</f>
        <v/>
      </c>
      <c r="J19" s="14">
        <f>SUM(F19, B19)</f>
        <v/>
      </c>
      <c r="K19" s="13">
        <f>IFERROR(__xludf.DUMMYFUNCTION("TO_PERCENT(IFERROR(($G19+$C19)/($F19+$B19), 0))"),0.6428571428571429)</f>
        <v/>
      </c>
      <c r="L19" s="11">
        <f t="array" ref="L19">INDEX(MatchHistory!$G:$G,MATCH(1,(MatchHistory!$B:$B=$A19)*(MatchHistory!$G:$G&lt;&gt;""),0))</f>
        <v/>
      </c>
      <c r="M19" s="11">
        <f t="array" ref="M19">INDEX(MatchHistory!$H:$H,MATCH(1,(MatchHistory!$B:$B=$A19)*(MatchHistory!$H:$H&lt;&gt;""),0))</f>
        <v/>
      </c>
      <c r="N19" s="12">
        <f t="array" ref="N19">INDEX(MatchHistory!$J:$J,MATCH(1,(MatchHistory!$B:$B=$A19)*(MatchHistory!$J:$J&lt;&gt;""),0))</f>
        <v/>
      </c>
    </row>
    <row r="20" ht="22.5" customHeight="1" s="21">
      <c r="A20" s="14" t="inlineStr">
        <is>
          <t>Chipper</t>
        </is>
      </c>
      <c r="B20" s="14">
        <f>COUNTIFS(MatchHistory!$B:$B, $A20, MatchHistory!$C:$C, "Town")</f>
        <v/>
      </c>
      <c r="C20" s="14">
        <f>COUNTIFS(MatchHistory!B:B, A20, MatchHistory!C:C, "Town", MatchHistory!D:D, "Win")</f>
        <v/>
      </c>
      <c r="D20" s="13">
        <f>IFERROR(__xludf.DUMMYFUNCTION("TO_PERCENT($B20/$J20)"),0.7727272727272727)</f>
        <v/>
      </c>
      <c r="E20" s="13">
        <f>IFERROR(__xludf.DUMMYFUNCTION("IF(EQ($B20, 0), TO_PERCENT(0), TO_PERCENT($C20/$B20))"),0.4117647058823529)</f>
        <v/>
      </c>
      <c r="F20" s="14">
        <f>COUNTIFS(MatchHistory!$B:$B, $A20, MatchHistory!$C:$C, "Mafia")</f>
        <v/>
      </c>
      <c r="G20" s="14">
        <f>COUNTIFS(MatchHistory!$B:$B, $A20, MatchHistory!$C:$C, "Mafia", MatchHistory!$D:$D, "Win")</f>
        <v/>
      </c>
      <c r="H20" s="13">
        <f>IFERROR(__xludf.DUMMYFUNCTION("TO_PERCENT($F20/$J20)"),0.22727272727272727)</f>
        <v/>
      </c>
      <c r="I20" s="13">
        <f>IFERROR(__xludf.DUMMYFUNCTION("TO_PERCENT(IFERROR($G20/$F20, 0))"),0.5)</f>
        <v/>
      </c>
      <c r="J20" s="14">
        <f>SUM(F20, B20)</f>
        <v/>
      </c>
      <c r="K20" s="13">
        <f>IFERROR(__xludf.DUMMYFUNCTION("TO_PERCENT(IFERROR(($G20+$C20)/($F20+$B20), 0))"),0.4318181818181818)</f>
        <v/>
      </c>
      <c r="L20" s="11">
        <f t="array" ref="L20">INDEX(MatchHistory!$G:$G,MATCH(1,(MatchHistory!$B:$B=$A20)*(MatchHistory!$G:$G&lt;&gt;""),0))</f>
        <v/>
      </c>
      <c r="M20" s="11">
        <f t="array" ref="M20">INDEX(MatchHistory!$H:$H,MATCH(1,(MatchHistory!$B:$B=$A20)*(MatchHistory!$H:$H&lt;&gt;""),0))</f>
        <v/>
      </c>
      <c r="N20" s="12">
        <f t="array" ref="N20">INDEX(MatchHistory!$J:$J,MATCH(1,(MatchHistory!$B:$B=$A20)*(MatchHistory!$J:$J&lt;&gt;""),0))</f>
        <v/>
      </c>
    </row>
    <row r="21" ht="22.5" customHeight="1" s="21">
      <c r="A21" s="14" t="inlineStr">
        <is>
          <t>Carson</t>
        </is>
      </c>
      <c r="B21" s="14">
        <f>COUNTIFS(MatchHistory!$B:$B, $A21, MatchHistory!$C:$C, "Town")</f>
        <v/>
      </c>
      <c r="C21" s="14">
        <f>COUNTIFS(MatchHistory!B:B, A21, MatchHistory!C:C, "Town", MatchHistory!D:D, "Win")</f>
        <v/>
      </c>
      <c r="D21" s="13">
        <f>IFERROR(__xludf.DUMMYFUNCTION("TO_PERCENT($B21/$J21)"),0.8333333333333334)</f>
        <v/>
      </c>
      <c r="E21" s="13">
        <f>IFERROR(__xludf.DUMMYFUNCTION("IF(EQ($B21, 0), TO_PERCENT(0), TO_PERCENT($C21/$B21))"),0.4888888888888889)</f>
        <v/>
      </c>
      <c r="F21" s="14">
        <f>COUNTIFS(MatchHistory!$B:$B, $A21, MatchHistory!$C:$C, "Mafia")</f>
        <v/>
      </c>
      <c r="G21" s="14">
        <f>COUNTIFS(MatchHistory!$B:$B, $A21, MatchHistory!$C:$C, "Mafia", MatchHistory!$D:$D, "Win")</f>
        <v/>
      </c>
      <c r="H21" s="13">
        <f>IFERROR(__xludf.DUMMYFUNCTION("TO_PERCENT($F21/$J21)"),0.16666666666666666)</f>
        <v/>
      </c>
      <c r="I21" s="13">
        <f>IFERROR(__xludf.DUMMYFUNCTION("TO_PERCENT(IFERROR($G21/$F21, 0))"),0.3333333333333333)</f>
        <v/>
      </c>
      <c r="J21" s="14">
        <f>SUM(F21, B21)</f>
        <v/>
      </c>
      <c r="K21" s="13">
        <f>IFERROR(__xludf.DUMMYFUNCTION("TO_PERCENT(IFERROR(($G21+$C21)/($F21+$B21), 0))"),0.46296296296296297)</f>
        <v/>
      </c>
      <c r="L21" s="11">
        <f t="array" ref="L21">INDEX(MatchHistory!$G:$G,MATCH(1,(MatchHistory!$B:$B=$A21)*(MatchHistory!$G:$G&lt;&gt;""),0))</f>
        <v/>
      </c>
      <c r="M21" s="11">
        <f t="array" ref="M21">INDEX(MatchHistory!$H:$H,MATCH(1,(MatchHistory!$B:$B=$A21)*(MatchHistory!$H:$H&lt;&gt;""),0))</f>
        <v/>
      </c>
      <c r="N21" s="12">
        <f t="array" ref="N21">INDEX(MatchHistory!$J:$J,MATCH(1,(MatchHistory!$B:$B=$A21)*(MatchHistory!$J:$J&lt;&gt;""),0))</f>
        <v/>
      </c>
    </row>
    <row r="22" ht="22.5" customHeight="1" s="21">
      <c r="A22" s="14" t="inlineStr">
        <is>
          <t>Xcync</t>
        </is>
      </c>
      <c r="B22" s="14">
        <f>COUNTIFS(MatchHistory!$B:$B, $A22, MatchHistory!$C:$C, "Town")</f>
        <v/>
      </c>
      <c r="C22" s="14">
        <f>COUNTIFS(MatchHistory!B:B, A22, MatchHistory!C:C, "Town", MatchHistory!D:D, "Win")</f>
        <v/>
      </c>
      <c r="D22" s="13">
        <f>IFERROR(__xludf.DUMMYFUNCTION("TO_PERCENT($B22/$J22)"),0.7142857142857143)</f>
        <v/>
      </c>
      <c r="E22" s="13">
        <f>IFERROR(__xludf.DUMMYFUNCTION("IF(EQ($B22, 0), TO_PERCENT(0), TO_PERCENT($C22/$B22))"),0.7)</f>
        <v/>
      </c>
      <c r="F22" s="14">
        <f>COUNTIFS(MatchHistory!$B:$B, $A22, MatchHistory!$C:$C, "Mafia")</f>
        <v/>
      </c>
      <c r="G22" s="14">
        <f>COUNTIFS(MatchHistory!$B:$B, $A22, MatchHistory!$C:$C, "Mafia", MatchHistory!$D:$D, "Win")</f>
        <v/>
      </c>
      <c r="H22" s="13">
        <f>IFERROR(__xludf.DUMMYFUNCTION("TO_PERCENT($F22/$J22)"),0.2857142857142857)</f>
        <v/>
      </c>
      <c r="I22" s="13">
        <f>IFERROR(__xludf.DUMMYFUNCTION("TO_PERCENT(IFERROR($G22/$F22, 0))"),0.5)</f>
        <v/>
      </c>
      <c r="J22" s="14">
        <f>SUM(F22, B22)</f>
        <v/>
      </c>
      <c r="K22" s="13">
        <f>IFERROR(__xludf.DUMMYFUNCTION("TO_PERCENT(IFERROR(($G22+$C22)/($F22+$B22), 0))"),0.6428571428571429)</f>
        <v/>
      </c>
      <c r="L22" s="11">
        <f t="array" ref="L22">INDEX(MatchHistory!$G:$G,MATCH(1,(MatchHistory!$B:$B=$A22)*(MatchHistory!$G:$G&lt;&gt;""),0))</f>
        <v/>
      </c>
      <c r="M22" s="11">
        <f t="array" ref="M22">INDEX(MatchHistory!$H:$H,MATCH(1,(MatchHistory!$B:$B=$A22)*(MatchHistory!$H:$H&lt;&gt;""),0))</f>
        <v/>
      </c>
      <c r="N22" s="12">
        <f t="array" ref="N22">INDEX(MatchHistory!$J:$J,MATCH(1,(MatchHistory!$B:$B=$A22)*(MatchHistory!$J:$J&lt;&gt;""),0))</f>
        <v/>
      </c>
    </row>
    <row r="23" ht="22.5" customHeight="1" s="21">
      <c r="A23" s="14" t="inlineStr">
        <is>
          <t>Cj</t>
        </is>
      </c>
      <c r="B23" s="14">
        <f>COUNTIFS(MatchHistory!$B:$B, $A23, MatchHistory!$C:$C, "Town")</f>
        <v/>
      </c>
      <c r="C23" s="14">
        <f>COUNTIFS(MatchHistory!B:B, A23, MatchHistory!C:C, "Town", MatchHistory!D:D, "Win")</f>
        <v/>
      </c>
      <c r="D23" s="13">
        <f>IFERROR(__xludf.DUMMYFUNCTION("TO_PERCENT($B23/$J23)"),0.8333333333333334)</f>
        <v/>
      </c>
      <c r="E23" s="13">
        <f>IFERROR(__xludf.DUMMYFUNCTION("IF(EQ($B23, 0), TO_PERCENT(0), TO_PERCENT($C23/$B23))"),0.5333333333333333)</f>
        <v/>
      </c>
      <c r="F23" s="14">
        <f>COUNTIFS(MatchHistory!$B:$B, $A23, MatchHistory!$C:$C, "Mafia")</f>
        <v/>
      </c>
      <c r="G23" s="14">
        <f>COUNTIFS(MatchHistory!$B:$B, $A23, MatchHistory!$C:$C, "Mafia", MatchHistory!$D:$D, "Win")</f>
        <v/>
      </c>
      <c r="H23" s="13">
        <f>IFERROR(__xludf.DUMMYFUNCTION("TO_PERCENT($F23/$J23)"),0.16666666666666666)</f>
        <v/>
      </c>
      <c r="I23" s="13">
        <f>IFERROR(__xludf.DUMMYFUNCTION("TO_PERCENT(IFERROR($G23/$F23, 0))"),0.3333333333333333)</f>
        <v/>
      </c>
      <c r="J23" s="14">
        <f>SUM(F23, B23)</f>
        <v/>
      </c>
      <c r="K23" s="13">
        <f>IFERROR(__xludf.DUMMYFUNCTION("TO_PERCENT(IFERROR(($G23+$C23)/($F23+$B23), 0))"),0.5)</f>
        <v/>
      </c>
      <c r="L23" s="11">
        <f t="array" ref="L23">INDEX(MatchHistory!$G:$G,MATCH(1,(MatchHistory!$B:$B=$A23)*(MatchHistory!$G:$G&lt;&gt;""),0))</f>
        <v/>
      </c>
      <c r="M23" s="11">
        <f t="array" ref="M23">INDEX(MatchHistory!$H:$H,MATCH(1,(MatchHistory!$B:$B=$A23)*(MatchHistory!$H:$H&lt;&gt;""),0))</f>
        <v/>
      </c>
      <c r="N23" s="12">
        <f t="array" ref="N23">INDEX(MatchHistory!$J:$J,MATCH(1,(MatchHistory!$B:$B=$A23)*(MatchHistory!$J:$J&lt;&gt;""),0))</f>
        <v/>
      </c>
    </row>
    <row r="24" ht="22.5" customHeight="1" s="21">
      <c r="A24" s="14" t="inlineStr">
        <is>
          <t>Svaan</t>
        </is>
      </c>
      <c r="B24" s="14">
        <f>COUNTIFS(MatchHistory!$B:$B, $A24, MatchHistory!$C:$C, "Town")</f>
        <v/>
      </c>
      <c r="C24" s="14">
        <f>COUNTIFS(MatchHistory!B:B, A24, MatchHistory!C:C, "Town", MatchHistory!D:D, "Win")</f>
        <v/>
      </c>
      <c r="D24" s="13">
        <f>IFERROR(__xludf.DUMMYFUNCTION("TO_PERCENT($B24/$J24)"),0.7368421052631579)</f>
        <v/>
      </c>
      <c r="E24" s="13">
        <f>IFERROR(__xludf.DUMMYFUNCTION("IF(EQ($B24, 0), TO_PERCENT(0), TO_PERCENT($C24/$B24))"),0.5714285714285714)</f>
        <v/>
      </c>
      <c r="F24" s="14">
        <f>COUNTIFS(MatchHistory!$B:$B, $A24, MatchHistory!$C:$C, "Mafia")</f>
        <v/>
      </c>
      <c r="G24" s="14">
        <f>COUNTIFS(MatchHistory!$B:$B, $A24, MatchHistory!$C:$C, "Mafia", MatchHistory!$D:$D, "Win")</f>
        <v/>
      </c>
      <c r="H24" s="13">
        <f>IFERROR(__xludf.DUMMYFUNCTION("TO_PERCENT($F24/$J24)"),0.2631578947368421)</f>
        <v/>
      </c>
      <c r="I24" s="13">
        <f>IFERROR(__xludf.DUMMYFUNCTION("TO_PERCENT(IFERROR($G24/$F24, 0))"),0.6)</f>
        <v/>
      </c>
      <c r="J24" s="14">
        <f>SUM(F24, B24)</f>
        <v/>
      </c>
      <c r="K24" s="13">
        <f>IFERROR(__xludf.DUMMYFUNCTION("TO_PERCENT(IFERROR(($G24+$C24)/($F24+$B24), 0))"),0.5789473684210527)</f>
        <v/>
      </c>
      <c r="L24" s="11">
        <f t="array" ref="L24">INDEX(MatchHistory!$G:$G,MATCH(1,(MatchHistory!$B:$B=$A24)*(MatchHistory!$G:$G&lt;&gt;""),0))</f>
        <v/>
      </c>
      <c r="M24" s="11">
        <f t="array" ref="M24">INDEX(MatchHistory!$H:$H,MATCH(1,(MatchHistory!$B:$B=$A24)*(MatchHistory!$H:$H&lt;&gt;""),0))</f>
        <v/>
      </c>
      <c r="N24" s="12">
        <f t="array" ref="N24">INDEX(MatchHistory!$J:$J,MATCH(1,(MatchHistory!$B:$B=$A24)*(MatchHistory!$J:$J&lt;&gt;""),0))</f>
        <v/>
      </c>
    </row>
    <row r="25" ht="22.5" customHeight="1" s="21">
      <c r="A25" s="14" t="inlineStr">
        <is>
          <t>Rick</t>
        </is>
      </c>
      <c r="B25" s="14">
        <f>COUNTIFS(MatchHistory!$B:$B, $A25, MatchHistory!$C:$C, "Town")</f>
        <v/>
      </c>
      <c r="C25" s="14">
        <f>COUNTIFS(MatchHistory!B:B, A25, MatchHistory!C:C, "Town", MatchHistory!D:D, "Win")</f>
        <v/>
      </c>
      <c r="D25" s="13">
        <f>IFERROR(__xludf.DUMMYFUNCTION("TO_PERCENT($B25/$J25)"),0.6875)</f>
        <v/>
      </c>
      <c r="E25" s="13">
        <f>IFERROR(__xludf.DUMMYFUNCTION("IF(EQ($B25, 0), TO_PERCENT(0), TO_PERCENT($C25/$B25))"),0.45454545454545453)</f>
        <v/>
      </c>
      <c r="F25" s="14">
        <f>COUNTIFS(MatchHistory!$B:$B, $A25, MatchHistory!$C:$C, "Mafia")</f>
        <v/>
      </c>
      <c r="G25" s="14">
        <f>COUNTIFS(MatchHistory!$B:$B, $A25, MatchHistory!$C:$C, "Mafia", MatchHistory!$D:$D, "Win")</f>
        <v/>
      </c>
      <c r="H25" s="13">
        <f>IFERROR(__xludf.DUMMYFUNCTION("TO_PERCENT($F25/$J25)"),0.3125)</f>
        <v/>
      </c>
      <c r="I25" s="13">
        <f>IFERROR(__xludf.DUMMYFUNCTION("TO_PERCENT(IFERROR($G25/$F25, 0))"),1.0)</f>
        <v/>
      </c>
      <c r="J25" s="14">
        <f>SUM(F25, B25)</f>
        <v/>
      </c>
      <c r="K25" s="13">
        <f>IFERROR(__xludf.DUMMYFUNCTION("TO_PERCENT(IFERROR(($G25+$C25)/($F25+$B25), 0))"),0.625)</f>
        <v/>
      </c>
      <c r="L25" s="11">
        <f t="array" ref="L25">INDEX(MatchHistory!$G:$G,MATCH(1,(MatchHistory!$B:$B=$A25)*(MatchHistory!$G:$G&lt;&gt;""),0))</f>
        <v/>
      </c>
      <c r="M25" s="11">
        <f t="array" ref="M25">INDEX(MatchHistory!$H:$H,MATCH(1,(MatchHistory!$B:$B=$A25)*(MatchHistory!$H:$H&lt;&gt;""),0))</f>
        <v/>
      </c>
      <c r="N25" s="12">
        <f t="array" ref="N25">INDEX(MatchHistory!$J:$J,MATCH(1,(MatchHistory!$B:$B=$A25)*(MatchHistory!$J:$J&lt;&gt;""),0))</f>
        <v/>
      </c>
    </row>
    <row r="26" ht="22.5" customHeight="1" s="21">
      <c r="A26" s="14" t="inlineStr">
        <is>
          <t>Chelsea</t>
        </is>
      </c>
      <c r="B26" s="14">
        <f>COUNTIFS(MatchHistory!$B:$B, $A26, MatchHistory!$C:$C, "Town")</f>
        <v/>
      </c>
      <c r="C26" s="14">
        <f>COUNTIFS(MatchHistory!B:B, A26, MatchHistory!C:C, "Town", MatchHistory!D:D, "Win")</f>
        <v/>
      </c>
      <c r="D26" s="13">
        <f>IFERROR(__xludf.DUMMYFUNCTION("TO_PERCENT($B26/$J26)"),0.8181818181818182)</f>
        <v/>
      </c>
      <c r="E26" s="13">
        <f>IFERROR(__xludf.DUMMYFUNCTION("IF(EQ($B26, 0), TO_PERCENT(0), TO_PERCENT($C26/$B26))"),0.6111111111111112)</f>
        <v/>
      </c>
      <c r="F26" s="14">
        <f>COUNTIFS(MatchHistory!$B:$B, $A26, MatchHistory!$C:$C, "Mafia")</f>
        <v/>
      </c>
      <c r="G26" s="14">
        <f>COUNTIFS(MatchHistory!$B:$B, $A26, MatchHistory!$C:$C, "Mafia", MatchHistory!$D:$D, "Win")</f>
        <v/>
      </c>
      <c r="H26" s="13">
        <f>IFERROR(__xludf.DUMMYFUNCTION("TO_PERCENT($F26/$J26)"),0.18181818181818182)</f>
        <v/>
      </c>
      <c r="I26" s="13">
        <f>IFERROR(__xludf.DUMMYFUNCTION("TO_PERCENT(IFERROR($G26/$F26, 0))"),0.0)</f>
        <v/>
      </c>
      <c r="J26" s="14">
        <f>SUM(F26, B26)</f>
        <v/>
      </c>
      <c r="K26" s="13">
        <f>IFERROR(__xludf.DUMMYFUNCTION("TO_PERCENT(IFERROR(($G26+$C26)/($F26+$B26), 0))"),0.5)</f>
        <v/>
      </c>
      <c r="L26" s="11">
        <f t="array" ref="L26">INDEX(MatchHistory!$G:$G,MATCH(1,(MatchHistory!$B:$B=$A26)*(MatchHistory!$G:$G&lt;&gt;""),0))</f>
        <v/>
      </c>
      <c r="M26" s="11">
        <f t="array" ref="M26">INDEX(MatchHistory!$H:$H,MATCH(1,(MatchHistory!$B:$B=$A26)*(MatchHistory!$H:$H&lt;&gt;""),0))</f>
        <v/>
      </c>
      <c r="N26" s="12">
        <f t="array" ref="N26">INDEX(MatchHistory!$J:$J,MATCH(1,(MatchHistory!$B:$B=$A26)*(MatchHistory!$J:$J&lt;&gt;""),0))</f>
        <v/>
      </c>
    </row>
    <row r="27" ht="22.5" customHeight="1" s="21">
      <c r="A27" s="14" t="inlineStr">
        <is>
          <t>Kden</t>
        </is>
      </c>
      <c r="B27" s="14">
        <f>COUNTIFS(MatchHistory!$B:$B, $A27, MatchHistory!$C:$C, "Town")</f>
        <v/>
      </c>
      <c r="C27" s="14">
        <f>COUNTIFS(MatchHistory!B:B, A27, MatchHistory!C:C, "Town", MatchHistory!D:D, "Win")</f>
        <v/>
      </c>
      <c r="D27" s="13">
        <f>IFERROR(__xludf.DUMMYFUNCTION("TO_PERCENT($B27/$J27)"),0.8085106382978723)</f>
        <v/>
      </c>
      <c r="E27" s="13">
        <f>IFERROR(__xludf.DUMMYFUNCTION("IF(EQ($B27, 0), TO_PERCENT(0), TO_PERCENT($C27/$B27))"),0.39473684210526316)</f>
        <v/>
      </c>
      <c r="F27" s="14">
        <f>COUNTIFS(MatchHistory!$B:$B, $A27, MatchHistory!$C:$C, "Mafia")</f>
        <v/>
      </c>
      <c r="G27" s="14">
        <f>COUNTIFS(MatchHistory!$B:$B, $A27, MatchHistory!$C:$C, "Mafia", MatchHistory!$D:$D, "Win")</f>
        <v/>
      </c>
      <c r="H27" s="13">
        <f>IFERROR(__xludf.DUMMYFUNCTION("TO_PERCENT($F27/$J27)"),0.19148936170212766)</f>
        <v/>
      </c>
      <c r="I27" s="13">
        <f>IFERROR(__xludf.DUMMYFUNCTION("TO_PERCENT(IFERROR($G27/$F27, 0))"),0.4444444444444444)</f>
        <v/>
      </c>
      <c r="J27" s="14">
        <f>SUM(F27, B27)</f>
        <v/>
      </c>
      <c r="K27" s="13">
        <f>IFERROR(__xludf.DUMMYFUNCTION("TO_PERCENT(IFERROR(($G27+$C27)/($F27+$B27), 0))"),0.40425531914893614)</f>
        <v/>
      </c>
      <c r="L27" s="11">
        <f t="array" ref="L27">INDEX(MatchHistory!$G:$G,MATCH(1,(MatchHistory!$B:$B=$A27)*(MatchHistory!$G:$G&lt;&gt;""),0))</f>
        <v/>
      </c>
      <c r="M27" s="11">
        <f t="array" ref="M27">INDEX(MatchHistory!$H:$H,MATCH(1,(MatchHistory!$B:$B=$A27)*(MatchHistory!$H:$H&lt;&gt;""),0))</f>
        <v/>
      </c>
      <c r="N27" s="12">
        <f t="array" ref="N27">INDEX(MatchHistory!$J:$J,MATCH(1,(MatchHistory!$B:$B=$A27)*(MatchHistory!$J:$J&lt;&gt;""),0))</f>
        <v/>
      </c>
    </row>
    <row r="28" ht="22.5" customHeight="1" s="21">
      <c r="A28" s="14" t="inlineStr">
        <is>
          <t>Gilbert</t>
        </is>
      </c>
      <c r="B28" s="14">
        <f>COUNTIFS(MatchHistory!$B:$B, $A28, MatchHistory!$C:$C, "Town")</f>
        <v/>
      </c>
      <c r="C28" s="14">
        <f>COUNTIFS(MatchHistory!B:B, A28, MatchHistory!C:C, "Town", MatchHistory!D:D, "Win")</f>
        <v/>
      </c>
      <c r="D28" s="13">
        <f>IFERROR(__xludf.DUMMYFUNCTION("TO_PERCENT($B28/$J28)"),0.7894736842105263)</f>
        <v/>
      </c>
      <c r="E28" s="13">
        <f>IFERROR(__xludf.DUMMYFUNCTION("IF(EQ($B28, 0), TO_PERCENT(0), TO_PERCENT($C28/$B28))"),0.5)</f>
        <v/>
      </c>
      <c r="F28" s="14">
        <f>COUNTIFS(MatchHistory!$B:$B, $A28, MatchHistory!$C:$C, "Mafia")</f>
        <v/>
      </c>
      <c r="G28" s="14">
        <f>COUNTIFS(MatchHistory!$B:$B, $A28, MatchHistory!$C:$C, "Mafia", MatchHistory!$D:$D, "Win")</f>
        <v/>
      </c>
      <c r="H28" s="13">
        <f>IFERROR(__xludf.DUMMYFUNCTION("TO_PERCENT($F28/$J28)"),0.21052631578947367)</f>
        <v/>
      </c>
      <c r="I28" s="13">
        <f>IFERROR(__xludf.DUMMYFUNCTION("TO_PERCENT(IFERROR($G28/$F28, 0))"),0.375)</f>
        <v/>
      </c>
      <c r="J28" s="14">
        <f>SUM(F28, B28)</f>
        <v/>
      </c>
      <c r="K28" s="13">
        <f>IFERROR(__xludf.DUMMYFUNCTION("TO_PERCENT(IFERROR(($G28+$C28)/($F28+$B28), 0))"),0.47368421052631576)</f>
        <v/>
      </c>
      <c r="L28" s="11">
        <f t="array" ref="L28">INDEX(MatchHistory!$G:$G,MATCH(1,(MatchHistory!$B:$B=$A28)*(MatchHistory!$G:$G&lt;&gt;""),0))</f>
        <v/>
      </c>
      <c r="M28" s="11">
        <f t="array" ref="M28">INDEX(MatchHistory!$H:$H,MATCH(1,(MatchHistory!$B:$B=$A28)*(MatchHistory!$H:$H&lt;&gt;""),0))</f>
        <v/>
      </c>
      <c r="N28" s="12">
        <f t="array" ref="N28">INDEX(MatchHistory!$J:$J,MATCH(1,(MatchHistory!$B:$B=$A28)*(MatchHistory!$J:$J&lt;&gt;""),0))</f>
        <v/>
      </c>
    </row>
    <row r="29" ht="22.5" customHeight="1" s="21">
      <c r="A29" s="14" t="inlineStr">
        <is>
          <t>Lofty</t>
        </is>
      </c>
      <c r="B29" s="14">
        <f>COUNTIFS(MatchHistory!$B:$B, $A29, MatchHistory!$C:$C, "Town")</f>
        <v/>
      </c>
      <c r="C29" s="14">
        <f>COUNTIFS(MatchHistory!B:B, A29, MatchHistory!C:C, "Town", MatchHistory!D:D, "Win")</f>
        <v/>
      </c>
      <c r="D29" s="13">
        <f>IFERROR(__xludf.DUMMYFUNCTION("TO_PERCENT($B29/$J29)"),0.7142857142857143)</f>
        <v/>
      </c>
      <c r="E29" s="13">
        <f>IFERROR(__xludf.DUMMYFUNCTION("IF(EQ($B29, 0), TO_PERCENT(0), TO_PERCENT($C29/$B29))"),0.3)</f>
        <v/>
      </c>
      <c r="F29" s="14">
        <f>COUNTIFS(MatchHistory!$B:$B, $A29, MatchHistory!$C:$C, "Mafia")</f>
        <v/>
      </c>
      <c r="G29" s="14">
        <f>COUNTIFS(MatchHistory!$B:$B, $A29, MatchHistory!$C:$C, "Mafia", MatchHistory!$D:$D, "Win")</f>
        <v/>
      </c>
      <c r="H29" s="13">
        <f>IFERROR(__xludf.DUMMYFUNCTION("TO_PERCENT($F29/$J29)"),0.2857142857142857)</f>
        <v/>
      </c>
      <c r="I29" s="13">
        <f>IFERROR(__xludf.DUMMYFUNCTION("TO_PERCENT(IFERROR($G29/$F29, 0))"),1.0)</f>
        <v/>
      </c>
      <c r="J29" s="14">
        <f>SUM(F29, B29)</f>
        <v/>
      </c>
      <c r="K29" s="13">
        <f>IFERROR(__xludf.DUMMYFUNCTION("TO_PERCENT(IFERROR(($G29+$C29)/($F29+$B29), 0))"),0.5)</f>
        <v/>
      </c>
      <c r="L29" s="11">
        <f t="array" ref="L29">INDEX(MatchHistory!$G:$G,MATCH(1,(MatchHistory!$B:$B=$A29)*(MatchHistory!$G:$G&lt;&gt;""),0))</f>
        <v/>
      </c>
      <c r="M29" s="15">
        <f t="array" ref="M29">INDEX(MatchHistory!$H:$H,MATCH(1,(MatchHistory!$B:$B=$A29)*(MatchHistory!$H:$H&lt;&gt;""),0))</f>
        <v/>
      </c>
      <c r="N29" s="12">
        <f t="array" ref="N29">INDEX(MatchHistory!$J:$J,MATCH(1,(MatchHistory!$B:$B=$A29)*(MatchHistory!$J:$J&lt;&gt;""),0))</f>
        <v/>
      </c>
    </row>
    <row r="30" ht="22.5" customHeight="1" s="21">
      <c r="A30" s="14" t="inlineStr">
        <is>
          <t>Motr</t>
        </is>
      </c>
      <c r="B30" s="14">
        <f>COUNTIFS(MatchHistory!$B:$B, $A30, MatchHistory!$C:$C, "Town")</f>
        <v/>
      </c>
      <c r="C30" s="14">
        <f>COUNTIFS(MatchHistory!B:B, A30, MatchHistory!C:C, "Town", MatchHistory!D:D, "Win")</f>
        <v/>
      </c>
      <c r="D30" s="13">
        <f>IFERROR(__xludf.DUMMYFUNCTION("TO_PERCENT($B30/$J30)"),0.6071428571428571)</f>
        <v/>
      </c>
      <c r="E30" s="13">
        <f>IFERROR(__xludf.DUMMYFUNCTION("IF(EQ($B30, 0), TO_PERCENT(0), TO_PERCENT($C30/$B30))"),0.5882352941176471)</f>
        <v/>
      </c>
      <c r="F30" s="14">
        <f>COUNTIFS(MatchHistory!$B:$B, $A30, MatchHistory!$C:$C, "Mafia")</f>
        <v/>
      </c>
      <c r="G30" s="14">
        <f>COUNTIFS(MatchHistory!$B:$B, $A30, MatchHistory!$C:$C, "Mafia", MatchHistory!$D:$D, "Win")</f>
        <v/>
      </c>
      <c r="H30" s="13">
        <f>IFERROR(__xludf.DUMMYFUNCTION("TO_PERCENT($F30/$J30)"),0.39285714285714285)</f>
        <v/>
      </c>
      <c r="I30" s="13">
        <f>IFERROR(__xludf.DUMMYFUNCTION("TO_PERCENT(IFERROR($G30/$F30, 0))"),0.36363636363636365)</f>
        <v/>
      </c>
      <c r="J30" s="14">
        <f>SUM(F30, B30)</f>
        <v/>
      </c>
      <c r="K30" s="13">
        <f>IFERROR(__xludf.DUMMYFUNCTION("TO_PERCENT(IFERROR(($G30+$C30)/($F30+$B30), 0))"),0.5)</f>
        <v/>
      </c>
      <c r="L30" s="11">
        <f t="array" ref="L30">INDEX(MatchHistory!$G:$G,MATCH(1,(MatchHistory!$B:$B=$A30)*(MatchHistory!$G:$G&lt;&gt;""),0))</f>
        <v/>
      </c>
      <c r="M30" s="15">
        <f t="array" ref="M30">INDEX(MatchHistory!$H:$H,MATCH(1,(MatchHistory!$B:$B=$A30)*(MatchHistory!$H:$H&lt;&gt;""),0))</f>
        <v/>
      </c>
      <c r="N30" s="16">
        <f t="array" ref="N30">INDEX(MatchHistory!$J:$J,MATCH(1,(MatchHistory!$B:$B=$A30)*(MatchHistory!$J:$J&lt;&gt;""),0))</f>
        <v/>
      </c>
    </row>
    <row r="31" ht="22.5" customHeight="1" s="21">
      <c r="A31" s="14" t="inlineStr">
        <is>
          <t>Cody</t>
        </is>
      </c>
      <c r="B31" s="14">
        <f>COUNTIFS(MatchHistory!$B:$B, $A31, MatchHistory!$C:$C, "Town")</f>
        <v/>
      </c>
      <c r="C31" s="14">
        <f>COUNTIFS(MatchHistory!B:B, A31, MatchHistory!C:C, "Town", MatchHistory!D:D, "Win")</f>
        <v/>
      </c>
      <c r="D31" s="13">
        <f>IFERROR(__xludf.DUMMYFUNCTION("TO_PERCENT($B31/$J31)"),1.0)</f>
        <v/>
      </c>
      <c r="E31" s="13">
        <f>IFERROR(__xludf.DUMMYFUNCTION("IF(EQ($B31, 0), TO_PERCENT(0), TO_PERCENT($C31/$B31))"),1.0)</f>
        <v/>
      </c>
      <c r="F31" s="14">
        <f>COUNTIFS(MatchHistory!$B:$B, $A31, MatchHistory!$C:$C, "Mafia")</f>
        <v/>
      </c>
      <c r="G31" s="14">
        <f>COUNTIFS(MatchHistory!$B:$B, $A31, MatchHistory!$C:$C, "Mafia", MatchHistory!$D:$D, "Win")</f>
        <v/>
      </c>
      <c r="H31" s="13">
        <f>IFERROR(__xludf.DUMMYFUNCTION("TO_PERCENT($F31/$J31)"),0.0)</f>
        <v/>
      </c>
      <c r="I31" s="13">
        <f>IFERROR(__xludf.DUMMYFUNCTION("TO_PERCENT(IFERROR($G31/$F31, 0))"),0.0)</f>
        <v/>
      </c>
      <c r="J31" s="14">
        <f>SUM(F31, B31)</f>
        <v/>
      </c>
      <c r="K31" s="13">
        <f>IFERROR(__xludf.DUMMYFUNCTION("TO_PERCENT(IFERROR(($G31+$C31)/($F31+$B31), 0))"),1.0)</f>
        <v/>
      </c>
      <c r="L31" s="11">
        <f t="array" ref="L31">INDEX(MatchHistory!$G:$G,MATCH(1,(MatchHistory!$B:$B=$A31)*(MatchHistory!$G:$G&lt;&gt;""),0))</f>
        <v/>
      </c>
      <c r="M31" s="15">
        <f t="array" ref="M31">INDEX(MatchHistory!$H:$H,MATCH(1,(MatchHistory!$B:$B=$A31)*(MatchHistory!$H:$H&lt;&gt;""),0))</f>
        <v/>
      </c>
      <c r="N31" s="16">
        <f t="array" ref="N31">INDEX(MatchHistory!$J:$J,MATCH(1,(MatchHistory!$B:$B=$A31)*(MatchHistory!$J:$J&lt;&gt;""),0))</f>
        <v/>
      </c>
    </row>
    <row r="32" ht="22.5" customHeight="1" s="21">
      <c r="A32" s="14" t="inlineStr">
        <is>
          <t>Badpants</t>
        </is>
      </c>
      <c r="B32" s="14">
        <f>COUNTIFS(MatchHistory!$B:$B, $A32, MatchHistory!$C:$C, "Town")</f>
        <v/>
      </c>
      <c r="C32" s="14">
        <f>COUNTIFS(MatchHistory!B:B, A32, MatchHistory!C:C, "Town", MatchHistory!D:D, "Win")</f>
        <v/>
      </c>
      <c r="D32" s="13">
        <f>IFERROR(__xludf.DUMMYFUNCTION("TO_PERCENT($B32/$J32)"),0.7368421052631579)</f>
        <v/>
      </c>
      <c r="E32" s="13">
        <f>IFERROR(__xludf.DUMMYFUNCTION("IF(EQ($B32, 0), TO_PERCENT(0), TO_PERCENT($C32/$B32))"),0.40476190476190477)</f>
        <v/>
      </c>
      <c r="F32" s="14">
        <f>COUNTIFS(MatchHistory!$B:$B, $A32, MatchHistory!$C:$C, "Mafia")</f>
        <v/>
      </c>
      <c r="G32" s="14">
        <f>COUNTIFS(MatchHistory!$B:$B, $A32, MatchHistory!$C:$C, "Mafia", MatchHistory!$D:$D, "Win")</f>
        <v/>
      </c>
      <c r="H32" s="13">
        <f>IFERROR(__xludf.DUMMYFUNCTION("TO_PERCENT($F32/$J32)"),0.2631578947368421)</f>
        <v/>
      </c>
      <c r="I32" s="13">
        <f>IFERROR(__xludf.DUMMYFUNCTION("TO_PERCENT(IFERROR($G32/$F32, 0))"),0.4666666666666667)</f>
        <v/>
      </c>
      <c r="J32" s="14">
        <f>SUM(F32, B32)</f>
        <v/>
      </c>
      <c r="K32" s="13">
        <f>IFERROR(__xludf.DUMMYFUNCTION("TO_PERCENT(IFERROR(($G32+$C32)/($F32+$B32), 0))"),0.42105263157894735)</f>
        <v/>
      </c>
      <c r="L32" s="11">
        <f t="array" ref="L32">INDEX(MatchHistory!$G:$G,MATCH(1,(MatchHistory!$B:$B=$A32)*(MatchHistory!$G:$G&lt;&gt;""),0))</f>
        <v/>
      </c>
      <c r="M32" s="11">
        <f t="array" ref="M32">INDEX(MatchHistory!$H:$H,MATCH(1,(MatchHistory!$B:$B=$A32)*(MatchHistory!$H:$H&lt;&gt;""),0))</f>
        <v/>
      </c>
      <c r="N32" s="12">
        <f t="array" ref="N32">INDEX(MatchHistory!$J:$J,MATCH(1,(MatchHistory!$B:$B=$A32)*(MatchHistory!$J:$J&lt;&gt;""),0))</f>
        <v/>
      </c>
    </row>
    <row r="33" ht="22.5" customHeight="1" s="21">
      <c r="A33" s="14" t="inlineStr">
        <is>
          <t>Starv</t>
        </is>
      </c>
      <c r="B33" s="14">
        <f>COUNTIFS(MatchHistory!$B:$B, $A33, MatchHistory!$C:$C, "Town")</f>
        <v/>
      </c>
      <c r="C33" s="14">
        <f>COUNTIFS(MatchHistory!B:B, A33, MatchHistory!C:C, "Town", MatchHistory!D:D, "Win")</f>
        <v/>
      </c>
      <c r="D33" s="13">
        <f>IFERROR(__xludf.DUMMYFUNCTION("TO_PERCENT($B33/$J33)"),0.8)</f>
        <v/>
      </c>
      <c r="E33" s="13">
        <f>IFERROR(__xludf.DUMMYFUNCTION("IF(EQ($B33, 0), TO_PERCENT(0), TO_PERCENT($C33/$B33))"),0.75)</f>
        <v/>
      </c>
      <c r="F33" s="14">
        <f>COUNTIFS(MatchHistory!$B:$B, $A33, MatchHistory!$C:$C, "Mafia")</f>
        <v/>
      </c>
      <c r="G33" s="14">
        <f>COUNTIFS(MatchHistory!$B:$B, $A33, MatchHistory!$C:$C, "Mafia", MatchHistory!$D:$D, "Win")</f>
        <v/>
      </c>
      <c r="H33" s="13">
        <f>IFERROR(__xludf.DUMMYFUNCTION("TO_PERCENT($F33/$J33)"),0.2)</f>
        <v/>
      </c>
      <c r="I33" s="13">
        <f>IFERROR(__xludf.DUMMYFUNCTION("TO_PERCENT(IFERROR($G33/$F33, 0))"),1.0)</f>
        <v/>
      </c>
      <c r="J33" s="14">
        <f>SUM(F33, B33)</f>
        <v/>
      </c>
      <c r="K33" s="13">
        <f>IFERROR(__xludf.DUMMYFUNCTION("TO_PERCENT(IFERROR(($G33+$C33)/($F33+$B33), 0))"),0.8)</f>
        <v/>
      </c>
      <c r="L33" s="11">
        <f t="array" ref="L33">INDEX(MatchHistory!$G:$G,MATCH(1,(MatchHistory!$B:$B=$A33)*(MatchHistory!$G:$G&lt;&gt;""),0))</f>
        <v/>
      </c>
      <c r="M33" s="11">
        <f t="array" ref="M33">INDEX(MatchHistory!$H:$H,MATCH(1,(MatchHistory!$B:$B=$A33)*(MatchHistory!$H:$H&lt;&gt;""),0))</f>
        <v/>
      </c>
      <c r="N33" s="12">
        <f t="array" ref="N33">INDEX(MatchHistory!$J:$J,MATCH(1,(MatchHistory!$B:$B=$A33)*(MatchHistory!$J:$J&lt;&gt;""),0))</f>
        <v/>
      </c>
    </row>
    <row r="34" ht="22.5" customHeight="1" s="21">
      <c r="A34" s="14" t="inlineStr">
        <is>
          <t>Crispy</t>
        </is>
      </c>
      <c r="B34" s="14">
        <f>COUNTIFS(MatchHistory!$B:$B, $A34, MatchHistory!$C:$C, "Town")</f>
        <v/>
      </c>
      <c r="C34" s="14">
        <f>COUNTIFS(MatchHistory!B:B, A34, MatchHistory!C:C, "Town", MatchHistory!D:D, "Win")</f>
        <v/>
      </c>
      <c r="D34" s="13">
        <f>IFERROR(__xludf.DUMMYFUNCTION("TO_PERCENT($B34/$J34)"),0.75)</f>
        <v/>
      </c>
      <c r="E34" s="13">
        <f>IFERROR(__xludf.DUMMYFUNCTION("IF(EQ($B34, 0), TO_PERCENT(0), TO_PERCENT($C34/$B34))"),0.6666666666666666)</f>
        <v/>
      </c>
      <c r="F34" s="14">
        <f>COUNTIFS(MatchHistory!$B:$B, $A34, MatchHistory!$C:$C, "Mafia")</f>
        <v/>
      </c>
      <c r="G34" s="14">
        <f>COUNTIFS(MatchHistory!$B:$B, $A34, MatchHistory!$C:$C, "Mafia", MatchHistory!$D:$D, "Win")</f>
        <v/>
      </c>
      <c r="H34" s="13">
        <f>IFERROR(__xludf.DUMMYFUNCTION("TO_PERCENT($F34/$J34)"),0.25)</f>
        <v/>
      </c>
      <c r="I34" s="13">
        <f>IFERROR(__xludf.DUMMYFUNCTION("TO_PERCENT(IFERROR($G34/$F34, 0))"),1.0)</f>
        <v/>
      </c>
      <c r="J34" s="14">
        <f>SUM(F34, B34)</f>
        <v/>
      </c>
      <c r="K34" s="13">
        <f>IFERROR(__xludf.DUMMYFUNCTION("TO_PERCENT(IFERROR(($G34+$C34)/($F34+$B34), 0))"),0.75)</f>
        <v/>
      </c>
      <c r="L34" s="11">
        <f t="array" ref="L34">INDEX(MatchHistory!$G:$G,MATCH(1,(MatchHistory!$B:$B=$A34)*(MatchHistory!$G:$G&lt;&gt;""),0))</f>
        <v/>
      </c>
      <c r="M34" s="11">
        <f t="array" ref="M34">INDEX(MatchHistory!$H:$H,MATCH(1,(MatchHistory!$B:$B=$A34)*(MatchHistory!$H:$H&lt;&gt;""),0))</f>
        <v/>
      </c>
      <c r="N34" s="12">
        <f t="array" ref="N34">INDEX(MatchHistory!$J:$J,MATCH(1,(MatchHistory!$B:$B=$A34)*(MatchHistory!$J:$J&lt;&gt;""),0))</f>
        <v/>
      </c>
    </row>
    <row r="35" ht="22.5" customHeight="1" s="21">
      <c r="A35" s="14" t="inlineStr">
        <is>
          <t>Pinkee</t>
        </is>
      </c>
      <c r="B35" s="14">
        <f>COUNTIFS(MatchHistory!$B:$B, $A35, MatchHistory!$C:$C, "Town")</f>
        <v/>
      </c>
      <c r="C35" s="14">
        <f>COUNTIFS(MatchHistory!B:B, A35, MatchHistory!C:C, "Town", MatchHistory!D:D, "Win")</f>
        <v/>
      </c>
      <c r="D35" s="13">
        <f>IFERROR(__xludf.DUMMYFUNCTION("TO_PERCENT($B35/$J35)"),1.0)</f>
        <v/>
      </c>
      <c r="E35" s="13">
        <f>IFERROR(__xludf.DUMMYFUNCTION("IF(EQ($B35, 0), TO_PERCENT(0), TO_PERCENT($C35/$B35))"),0.75)</f>
        <v/>
      </c>
      <c r="F35" s="14">
        <f>COUNTIFS(MatchHistory!$B:$B, $A35, MatchHistory!$C:$C, "Mafia")</f>
        <v/>
      </c>
      <c r="G35" s="14">
        <f>COUNTIFS(MatchHistory!$B:$B, $A35, MatchHistory!$C:$C, "Mafia", MatchHistory!$D:$D, "Win")</f>
        <v/>
      </c>
      <c r="H35" s="13">
        <f>IFERROR(__xludf.DUMMYFUNCTION("TO_PERCENT($F35/$J35)"),0.0)</f>
        <v/>
      </c>
      <c r="I35" s="13">
        <f>IFERROR(__xludf.DUMMYFUNCTION("TO_PERCENT(IFERROR($G35/$F35, 0))"),0.0)</f>
        <v/>
      </c>
      <c r="J35" s="14">
        <f>SUM(F35, B35)</f>
        <v/>
      </c>
      <c r="K35" s="13">
        <f>IFERROR(__xludf.DUMMYFUNCTION("TO_PERCENT(IFERROR(($G35+$C35)/($F35+$B35), 0))"),0.75)</f>
        <v/>
      </c>
      <c r="L35" s="11">
        <f t="array" ref="L35">INDEX(MatchHistory!$G:$G,MATCH(1,(MatchHistory!$B:$B=$A35)*(MatchHistory!$G:$G&lt;&gt;""),0))</f>
        <v/>
      </c>
      <c r="M35" s="11">
        <f t="array" ref="M35">INDEX(MatchHistory!$H:$H,MATCH(1,(MatchHistory!$B:$B=$A35)*(MatchHistory!$H:$H&lt;&gt;""),0))</f>
        <v/>
      </c>
      <c r="N35" s="12">
        <f t="array" ref="N35">INDEX(MatchHistory!$J:$J,MATCH(1,(MatchHistory!$B:$B=$A35)*(MatchHistory!$J:$J&lt;&gt;""),0))</f>
        <v/>
      </c>
    </row>
    <row r="36" ht="22.5" customHeight="1" s="21">
      <c r="A36" s="14" t="inlineStr">
        <is>
          <t>Boobles</t>
        </is>
      </c>
      <c r="B36" s="14">
        <f>COUNTIFS(MatchHistory!$B:$B, $A36, MatchHistory!$C:$C, "Town")</f>
        <v/>
      </c>
      <c r="C36" s="14">
        <f>COUNTIFS(MatchHistory!B:B, A36, MatchHistory!C:C, "Town", MatchHistory!D:D, "Win")</f>
        <v/>
      </c>
      <c r="D36" s="13">
        <f>IFERROR(__xludf.DUMMYFUNCTION("TO_PERCENT($B36/$J36)"),0.75)</f>
        <v/>
      </c>
      <c r="E36" s="13">
        <f>IFERROR(__xludf.DUMMYFUNCTION("IF(EQ($B36, 0), TO_PERCENT(0), TO_PERCENT($C36/$B36))"),0.6666666666666666)</f>
        <v/>
      </c>
      <c r="F36" s="14">
        <f>COUNTIFS(MatchHistory!$B:$B, $A36, MatchHistory!$C:$C, "Mafia")</f>
        <v/>
      </c>
      <c r="G36" s="14">
        <f>COUNTIFS(MatchHistory!$B:$B, $A36, MatchHistory!$C:$C, "Mafia", MatchHistory!$D:$D, "Win")</f>
        <v/>
      </c>
      <c r="H36" s="13">
        <f>IFERROR(__xludf.DUMMYFUNCTION("TO_PERCENT($F36/$J36)"),0.25)</f>
        <v/>
      </c>
      <c r="I36" s="13">
        <f>IFERROR(__xludf.DUMMYFUNCTION("TO_PERCENT(IFERROR($G36/$F36, 0))"),0.5)</f>
        <v/>
      </c>
      <c r="J36" s="14">
        <f>SUM(F36, B36)</f>
        <v/>
      </c>
      <c r="K36" s="13">
        <f>IFERROR(__xludf.DUMMYFUNCTION("TO_PERCENT(IFERROR(($G36+$C36)/($F36+$B36), 0))"),0.625)</f>
        <v/>
      </c>
      <c r="L36" s="11">
        <f t="array" ref="L36">INDEX(MatchHistory!$G:$G,MATCH(1,(MatchHistory!$B:$B=$A36)*(MatchHistory!$G:$G&lt;&gt;""),0))</f>
        <v/>
      </c>
      <c r="M36" s="11">
        <f t="array" ref="M36">INDEX(MatchHistory!$H:$H,MATCH(1,(MatchHistory!$B:$B=$A36)*(MatchHistory!$H:$H&lt;&gt;""),0))</f>
        <v/>
      </c>
      <c r="N36" s="12">
        <f t="array" ref="N36">INDEX(MatchHistory!$J:$J,MATCH(1,(MatchHistory!$B:$B=$A36)*(MatchHistory!$J:$J&lt;&gt;""),0))</f>
        <v/>
      </c>
    </row>
    <row r="37" ht="22.5" customHeight="1" s="21">
      <c r="A37" s="14" t="inlineStr">
        <is>
          <t>Jake</t>
        </is>
      </c>
      <c r="B37" s="14">
        <f>COUNTIFS(MatchHistory!$B:$B, $A37, MatchHistory!$C:$C, "Town")</f>
        <v/>
      </c>
      <c r="C37" s="14">
        <f>COUNTIFS(MatchHistory!B:B, A37, MatchHistory!C:C, "Town", MatchHistory!D:D, "Win")</f>
        <v/>
      </c>
      <c r="D37" s="13">
        <f>IFERROR(__xludf.DUMMYFUNCTION("TO_PERCENT($B37/$J37)"),1.0)</f>
        <v/>
      </c>
      <c r="E37" s="13">
        <f>IFERROR(__xludf.DUMMYFUNCTION("IF(EQ($B37, 0), TO_PERCENT(0), TO_PERCENT($C37/$B37))"),0.6666666666666666)</f>
        <v/>
      </c>
      <c r="F37" s="14">
        <f>COUNTIFS(MatchHistory!$B:$B, $A37, MatchHistory!$C:$C, "Mafia")</f>
        <v/>
      </c>
      <c r="G37" s="14">
        <f>COUNTIFS(MatchHistory!$B:$B, $A37, MatchHistory!$C:$C, "Mafia", MatchHistory!$D:$D, "Win")</f>
        <v/>
      </c>
      <c r="H37" s="13">
        <f>IFERROR(__xludf.DUMMYFUNCTION("TO_PERCENT($F37/$J37)"),0.0)</f>
        <v/>
      </c>
      <c r="I37" s="13">
        <f>IFERROR(__xludf.DUMMYFUNCTION("TO_PERCENT(IFERROR($G37/$F37, 0))"),0.0)</f>
        <v/>
      </c>
      <c r="J37" s="14">
        <f>SUM(F37, B37)</f>
        <v/>
      </c>
      <c r="K37" s="13">
        <f>IFERROR(__xludf.DUMMYFUNCTION("TO_PERCENT(IFERROR(($G37+$C37)/($F37+$B37), 0))"),0.6666666666666666)</f>
        <v/>
      </c>
      <c r="L37" s="11">
        <f t="array" ref="L37">INDEX(MatchHistory!$G:$G,MATCH(1,(MatchHistory!$B:$B=$A37)*(MatchHistory!$G:$G&lt;&gt;""),0))</f>
        <v/>
      </c>
      <c r="M37" s="11">
        <f t="array" ref="M37">INDEX(MatchHistory!$H:$H,MATCH(1,(MatchHistory!$B:$B=$A37)*(MatchHistory!$H:$H&lt;&gt;""),0))</f>
        <v/>
      </c>
      <c r="N37" s="12">
        <f t="array" ref="N37">INDEX(MatchHistory!$J:$J,MATCH(1,(MatchHistory!$B:$B=$A37)*(MatchHistory!$J:$J&lt;&gt;""),0))</f>
        <v/>
      </c>
    </row>
    <row r="38" ht="22.5" customHeight="1" s="21">
      <c r="A38" s="14" t="inlineStr">
        <is>
          <t>Snazz</t>
        </is>
      </c>
      <c r="B38" s="14">
        <f>COUNTIFS(MatchHistory!$B:$B, $A38, MatchHistory!$C:$C, "Town")</f>
        <v/>
      </c>
      <c r="C38" s="14">
        <f>COUNTIFS(MatchHistory!B:B, A38, MatchHistory!C:C, "Town", MatchHistory!D:D, "Win")</f>
        <v/>
      </c>
      <c r="D38" s="13">
        <f>IFERROR(__xludf.DUMMYFUNCTION("TO_PERCENT($B38/$J38)"),0.7)</f>
        <v/>
      </c>
      <c r="E38" s="13">
        <f>IFERROR(__xludf.DUMMYFUNCTION("IF(EQ($B38, 0), TO_PERCENT(0), TO_PERCENT($C38/$B38))"),0.2857142857142857)</f>
        <v/>
      </c>
      <c r="F38" s="14">
        <f>COUNTIFS(MatchHistory!$B:$B, $A38, MatchHistory!$C:$C, "Mafia")</f>
        <v/>
      </c>
      <c r="G38" s="14">
        <f>COUNTIFS(MatchHistory!$B:$B, $A38, MatchHistory!$C:$C, "Mafia", MatchHistory!$D:$D, "Win")</f>
        <v/>
      </c>
      <c r="H38" s="13">
        <f>IFERROR(__xludf.DUMMYFUNCTION("TO_PERCENT($F38/$J38)"),0.3)</f>
        <v/>
      </c>
      <c r="I38" s="13">
        <f>IFERROR(__xludf.DUMMYFUNCTION("TO_PERCENT(IFERROR($G38/$F38, 0))"),1.0)</f>
        <v/>
      </c>
      <c r="J38" s="14">
        <f>SUM(F38, B38)</f>
        <v/>
      </c>
      <c r="K38" s="13">
        <f>IFERROR(__xludf.DUMMYFUNCTION("TO_PERCENT(IFERROR(($G38+$C38)/($F38+$B38), 0))"),0.5)</f>
        <v/>
      </c>
      <c r="L38" s="11">
        <f t="array" ref="L38">INDEX(MatchHistory!$G:$G,MATCH(1,(MatchHistory!$B:$B=$A38)*(MatchHistory!$G:$G&lt;&gt;""),0))</f>
        <v/>
      </c>
      <c r="M38" s="11">
        <f t="array" ref="M38">INDEX(MatchHistory!$H:$H,MATCH(1,(MatchHistory!$B:$B=$A38)*(MatchHistory!$H:$H&lt;&gt;""),0))</f>
        <v/>
      </c>
      <c r="N38" s="12">
        <f t="array" ref="N38">INDEX(MatchHistory!$J:$J,MATCH(1,(MatchHistory!$B:$B=$A38)*(MatchHistory!$J:$J&lt;&gt;""),0))</f>
        <v/>
      </c>
    </row>
    <row r="39" ht="22.5" customHeight="1" s="21">
      <c r="A39" s="14" t="inlineStr">
        <is>
          <t>Qe</t>
        </is>
      </c>
      <c r="B39" s="14">
        <f>COUNTIFS(MatchHistory!$B:$B, $A39, MatchHistory!$C:$C, "Town")</f>
        <v/>
      </c>
      <c r="C39" s="14">
        <f>COUNTIFS(MatchHistory!B:B, A39, MatchHistory!C:C, "Town", MatchHistory!D:D, "Win")</f>
        <v/>
      </c>
      <c r="D39" s="13">
        <f>IFERROR(__xludf.DUMMYFUNCTION("TO_PERCENT($B39/$J39)"),1.0)</f>
        <v/>
      </c>
      <c r="E39" s="13">
        <f>IFERROR(__xludf.DUMMYFUNCTION("IF(EQ($B39, 0), TO_PERCENT(0), TO_PERCENT($C39/$B39))"),1.0)</f>
        <v/>
      </c>
      <c r="F39" s="14">
        <f>COUNTIFS(MatchHistory!$B:$B, $A39, MatchHistory!$C:$C, "Mafia")</f>
        <v/>
      </c>
      <c r="G39" s="14">
        <f>COUNTIFS(MatchHistory!$B:$B, $A39, MatchHistory!$C:$C, "Mafia", MatchHistory!$D:$D, "Win")</f>
        <v/>
      </c>
      <c r="H39" s="13">
        <f>IFERROR(__xludf.DUMMYFUNCTION("TO_PERCENT($F39/$J39)"),0.0)</f>
        <v/>
      </c>
      <c r="I39" s="13">
        <f>IFERROR(__xludf.DUMMYFUNCTION("TO_PERCENT(IFERROR($G39/$F39, 0))"),0.0)</f>
        <v/>
      </c>
      <c r="J39" s="14">
        <f>SUM(F39, B39)</f>
        <v/>
      </c>
      <c r="K39" s="13">
        <f>IFERROR(__xludf.DUMMYFUNCTION("TO_PERCENT(IFERROR(($G39+$C39)/($F39+$B39), 0))"),1.0)</f>
        <v/>
      </c>
      <c r="L39" s="11">
        <f t="array" ref="L39">INDEX(MatchHistory!$G:$G,MATCH(1,(MatchHistory!$B:$B=$A39)*(MatchHistory!$G:$G&lt;&gt;""),0))</f>
        <v/>
      </c>
      <c r="M39" s="11">
        <f t="array" ref="M39">INDEX(MatchHistory!$H:$H,MATCH(1,(MatchHistory!$B:$B=$A39)*(MatchHistory!$H:$H&lt;&gt;""),0))</f>
        <v/>
      </c>
      <c r="N39" s="12">
        <f t="array" ref="N39">INDEX(MatchHistory!$J:$J,MATCH(1,(MatchHistory!$B:$B=$A39)*(MatchHistory!$J:$J&lt;&gt;""),0))</f>
        <v/>
      </c>
    </row>
    <row r="40" ht="22.5" customHeight="1" s="21">
      <c r="A40" s="14" t="inlineStr">
        <is>
          <t>Machop</t>
        </is>
      </c>
      <c r="B40" s="14">
        <f>COUNTIFS(MatchHistory!$B:$B, $A40, MatchHistory!$C:$C, "Town")</f>
        <v/>
      </c>
      <c r="C40" s="14">
        <f>COUNTIFS(MatchHistory!B:B, A40, MatchHistory!C:C, "Town", MatchHistory!D:D, "Win")</f>
        <v/>
      </c>
      <c r="D40" s="13">
        <f>IFERROR(__xludf.DUMMYFUNCTION("TO_PERCENT($B40/$J40)"),0.75)</f>
        <v/>
      </c>
      <c r="E40" s="13">
        <f>IFERROR(__xludf.DUMMYFUNCTION("IF(EQ($B40, 0), TO_PERCENT(0), TO_PERCENT($C40/$B40))"),0.4444444444444444)</f>
        <v/>
      </c>
      <c r="F40" s="14">
        <f>COUNTIFS(MatchHistory!$B:$B, $A40, MatchHistory!$C:$C, "Mafia")</f>
        <v/>
      </c>
      <c r="G40" s="14">
        <f>COUNTIFS(MatchHistory!$B:$B, $A40, MatchHistory!$C:$C, "Mafia", MatchHistory!$D:$D, "Win")</f>
        <v/>
      </c>
      <c r="H40" s="13">
        <f>IFERROR(__xludf.DUMMYFUNCTION("TO_PERCENT($F40/$J40)"),0.25)</f>
        <v/>
      </c>
      <c r="I40" s="13">
        <f>IFERROR(__xludf.DUMMYFUNCTION("TO_PERCENT(IFERROR($G40/$F40, 0))"),0.4444444444444444)</f>
        <v/>
      </c>
      <c r="J40" s="14">
        <f>SUM(F40, B40)</f>
        <v/>
      </c>
      <c r="K40" s="13">
        <f>IFERROR(__xludf.DUMMYFUNCTION("TO_PERCENT(IFERROR(($G40+$C40)/($F40+$B40), 0))"),0.4444444444444444)</f>
        <v/>
      </c>
      <c r="L40" s="11">
        <f t="array" ref="L40">INDEX(MatchHistory!$G:$G,MATCH(1,(MatchHistory!$B:$B=$A40)*(MatchHistory!$G:$G&lt;&gt;""),0))</f>
        <v/>
      </c>
      <c r="M40" s="11">
        <f t="array" ref="M40">INDEX(MatchHistory!$H:$H,MATCH(1,(MatchHistory!$B:$B=$A40)*(MatchHistory!$H:$H&lt;&gt;""),0))</f>
        <v/>
      </c>
      <c r="N40" s="12">
        <f t="array" ref="N40">INDEX(MatchHistory!$J:$J,MATCH(1,(MatchHistory!$B:$B=$A40)*(MatchHistory!$J:$J&lt;&gt;""),0))</f>
        <v/>
      </c>
    </row>
    <row r="41" ht="22.5" customHeight="1" s="21">
      <c r="A41" s="14" t="inlineStr">
        <is>
          <t>Kny</t>
        </is>
      </c>
      <c r="B41" s="14">
        <f>COUNTIFS(MatchHistory!$B:$B, $A41, MatchHistory!$C:$C, "Town")</f>
        <v/>
      </c>
      <c r="C41" s="14">
        <f>COUNTIFS(MatchHistory!B:B, A41, MatchHistory!C:C, "Town", MatchHistory!D:D, "Win")</f>
        <v/>
      </c>
      <c r="D41" s="13">
        <f>IFERROR(__xludf.DUMMYFUNCTION("TO_PERCENT($B41/$J41)"),0.7142857142857143)</f>
        <v/>
      </c>
      <c r="E41" s="13">
        <f>IFERROR(__xludf.DUMMYFUNCTION("IF(EQ($B41, 0), TO_PERCENT(0), TO_PERCENT($C41/$B41))"),0.6)</f>
        <v/>
      </c>
      <c r="F41" s="14">
        <f>COUNTIFS(MatchHistory!$B:$B, $A41, MatchHistory!$C:$C, "Mafia")</f>
        <v/>
      </c>
      <c r="G41" s="14">
        <f>COUNTIFS(MatchHistory!$B:$B, $A41, MatchHistory!$C:$C, "Mafia", MatchHistory!$D:$D, "Win")</f>
        <v/>
      </c>
      <c r="H41" s="13">
        <f>IFERROR(__xludf.DUMMYFUNCTION("TO_PERCENT($F41/$J41)"),0.2857142857142857)</f>
        <v/>
      </c>
      <c r="I41" s="13">
        <f>IFERROR(__xludf.DUMMYFUNCTION("TO_PERCENT(IFERROR($G41/$F41, 0))"),0.5)</f>
        <v/>
      </c>
      <c r="J41" s="14">
        <f>SUM(F41, B41)</f>
        <v/>
      </c>
      <c r="K41" s="13">
        <f>IFERROR(__xludf.DUMMYFUNCTION("TO_PERCENT(IFERROR(($G41+$C41)/($F41+$B41), 0))"),0.5714285714285714)</f>
        <v/>
      </c>
      <c r="L41" s="11">
        <f t="array" ref="L41">INDEX(MatchHistory!$G:$G,MATCH(1,(MatchHistory!$B:$B=$A41)*(MatchHistory!$G:$G&lt;&gt;""),0))</f>
        <v/>
      </c>
      <c r="M41" s="11">
        <f t="array" ref="M41">INDEX(MatchHistory!$H:$H,MATCH(1,(MatchHistory!$B:$B=$A41)*(MatchHistory!$H:$H&lt;&gt;""),0))</f>
        <v/>
      </c>
      <c r="N41" s="12">
        <f t="array" ref="N41">INDEX(MatchHistory!$J:$J,MATCH(1,(MatchHistory!$B:$B=$A41)*(MatchHistory!$J:$J&lt;&gt;""),0))</f>
        <v/>
      </c>
    </row>
    <row r="42" ht="22.5" customHeight="1" s="21">
      <c r="A42" s="14" t="inlineStr">
        <is>
          <t>5up</t>
        </is>
      </c>
      <c r="B42" s="14">
        <f>COUNTIFS(MatchHistory!$B:$B, $A42, MatchHistory!$C:$C, "Town")</f>
        <v/>
      </c>
      <c r="C42" s="14">
        <f>COUNTIFS(MatchHistory!B:B, A42, MatchHistory!C:C, "Town", MatchHistory!D:D, "Win")</f>
        <v/>
      </c>
      <c r="D42" s="13">
        <f>IFERROR(__xludf.DUMMYFUNCTION("TO_PERCENT($B42/$J42)"),0.5)</f>
        <v/>
      </c>
      <c r="E42" s="13">
        <f>IFERROR(__xludf.DUMMYFUNCTION("IF(EQ($B42, 0), TO_PERCENT(0), TO_PERCENT($C42/$B42))"),1.0)</f>
        <v/>
      </c>
      <c r="F42" s="14">
        <f>COUNTIFS(MatchHistory!$B:$B, $A42, MatchHistory!$C:$C, "Mafia")</f>
        <v/>
      </c>
      <c r="G42" s="14">
        <f>COUNTIFS(MatchHistory!$B:$B, $A42, MatchHistory!$C:$C, "Mafia", MatchHistory!$D:$D, "Win")</f>
        <v/>
      </c>
      <c r="H42" s="13">
        <f>IFERROR(__xludf.DUMMYFUNCTION("TO_PERCENT($F42/$J42)"),0.5)</f>
        <v/>
      </c>
      <c r="I42" s="13">
        <f>IFERROR(__xludf.DUMMYFUNCTION("TO_PERCENT(IFERROR($G42/$F42, 0))"),1.0)</f>
        <v/>
      </c>
      <c r="J42" s="14">
        <f>SUM(F42, B42)</f>
        <v/>
      </c>
      <c r="K42" s="13">
        <f>IFERROR(__xludf.DUMMYFUNCTION("TO_PERCENT(IFERROR(($G42+$C42)/($F42+$B42), 0))"),1.0)</f>
        <v/>
      </c>
      <c r="L42" s="11">
        <f t="array" ref="L42">INDEX(MatchHistory!$G:$G,MATCH(1,(MatchHistory!$B:$B=$A42)*(MatchHistory!$G:$G&lt;&gt;""),0))</f>
        <v/>
      </c>
      <c r="M42" s="11">
        <f t="array" ref="M42">INDEX(MatchHistory!$H:$H,MATCH(1,(MatchHistory!$B:$B=$A42)*(MatchHistory!$H:$H&lt;&gt;""),0))</f>
        <v/>
      </c>
      <c r="N42" s="12">
        <f t="array" ref="N42">INDEX(MatchHistory!$J:$J,MATCH(1,(MatchHistory!$B:$B=$A42)*(MatchHistory!$J:$J&lt;&gt;""),0))</f>
        <v/>
      </c>
    </row>
    <row r="43" ht="22.5" customHeight="1" s="21">
      <c r="A43" s="14" t="inlineStr">
        <is>
          <t>Smit</t>
        </is>
      </c>
      <c r="B43" s="14">
        <f>COUNTIFS(MatchHistory!$B:$B, $A43, MatchHistory!$C:$C, "Town")</f>
        <v/>
      </c>
      <c r="C43" s="14">
        <f>COUNTIFS(MatchHistory!B:B, A43, MatchHistory!C:C, "Town", MatchHistory!D:D, "Win")</f>
        <v/>
      </c>
      <c r="D43" s="13">
        <f>IFERROR(__xludf.DUMMYFUNCTION("TO_PERCENT($B43/$J43)"),0.7962962962962963)</f>
        <v/>
      </c>
      <c r="E43" s="13">
        <f>IFERROR(__xludf.DUMMYFUNCTION("IF(EQ($B43, 0), TO_PERCENT(0), TO_PERCENT($C43/$B43))"),0.37209302325581395)</f>
        <v/>
      </c>
      <c r="F43" s="14">
        <f>COUNTIFS(MatchHistory!$B:$B, $A43, MatchHistory!$C:$C, "Mafia")</f>
        <v/>
      </c>
      <c r="G43" s="14">
        <f>COUNTIFS(MatchHistory!$B:$B, $A43, MatchHistory!$C:$C, "Mafia", MatchHistory!$D:$D, "Win")</f>
        <v/>
      </c>
      <c r="H43" s="13">
        <f>IFERROR(__xludf.DUMMYFUNCTION("TO_PERCENT($F43/$J43)"),0.2037037037037037)</f>
        <v/>
      </c>
      <c r="I43" s="13">
        <f>IFERROR(__xludf.DUMMYFUNCTION("TO_PERCENT(IFERROR($G43/$F43, 0))"),0.45454545454545453)</f>
        <v/>
      </c>
      <c r="J43" s="14">
        <f>SUM(F43, B43)</f>
        <v/>
      </c>
      <c r="K43" s="13">
        <f>IFERROR(__xludf.DUMMYFUNCTION("TO_PERCENT(IFERROR(($G43+$C43)/($F43+$B43), 0))"),0.3888888888888889)</f>
        <v/>
      </c>
      <c r="L43" s="11">
        <f t="array" ref="L43">INDEX(MatchHistory!$G:$G,MATCH(1,(MatchHistory!$B:$B=$A43)*(MatchHistory!$G:$G&lt;&gt;""),0))</f>
        <v/>
      </c>
      <c r="M43" s="11">
        <f t="array" ref="M43">INDEX(MatchHistory!$H:$H,MATCH(1,(MatchHistory!$B:$B=$A43)*(MatchHistory!$H:$H&lt;&gt;""),0))</f>
        <v/>
      </c>
      <c r="N43" s="12">
        <f t="array" ref="N43">INDEX(MatchHistory!$J:$J,MATCH(1,(MatchHistory!$B:$B=$A43)*(MatchHistory!$J:$J&lt;&gt;""),0))</f>
        <v/>
      </c>
    </row>
    <row r="44" ht="22.5" customHeight="1" s="21">
      <c r="A44" s="14" t="inlineStr">
        <is>
          <t>Plen</t>
        </is>
      </c>
      <c r="B44" s="14">
        <f>COUNTIFS(MatchHistory!$B:$B, $A44, MatchHistory!$C:$C, "Town")</f>
        <v/>
      </c>
      <c r="C44" s="14">
        <f>COUNTIFS(MatchHistory!B:B, A44, MatchHistory!C:C, "Town", MatchHistory!D:D, "Win")</f>
        <v/>
      </c>
      <c r="D44" s="13">
        <f>IFERROR(__xludf.DUMMYFUNCTION("TO_PERCENT($B44/$J44)"),0.8333333333333334)</f>
        <v/>
      </c>
      <c r="E44" s="13">
        <f>IFERROR(__xludf.DUMMYFUNCTION("IF(EQ($B44, 0), TO_PERCENT(0), TO_PERCENT($C44/$B44))"),0.38)</f>
        <v/>
      </c>
      <c r="F44" s="14">
        <f>COUNTIFS(MatchHistory!$B:$B, $A44, MatchHistory!$C:$C, "Mafia")</f>
        <v/>
      </c>
      <c r="G44" s="14">
        <f>COUNTIFS(MatchHistory!$B:$B, $A44, MatchHistory!$C:$C, "Mafia", MatchHistory!$D:$D, "Win")</f>
        <v/>
      </c>
      <c r="H44" s="13">
        <f>IFERROR(__xludf.DUMMYFUNCTION("TO_PERCENT($F44/$J44)"),0.16666666666666666)</f>
        <v/>
      </c>
      <c r="I44" s="13">
        <f>IFERROR(__xludf.DUMMYFUNCTION("TO_PERCENT(IFERROR($G44/$F44, 0))"),0.3)</f>
        <v/>
      </c>
      <c r="J44" s="14">
        <f>SUM(F44, B44)</f>
        <v/>
      </c>
      <c r="K44" s="13">
        <f>IFERROR(__xludf.DUMMYFUNCTION("TO_PERCENT(IFERROR(($G44+$C44)/($F44+$B44), 0))"),0.36666666666666664)</f>
        <v/>
      </c>
      <c r="L44" s="11">
        <f t="array" ref="L44">INDEX(MatchHistory!$G:$G,MATCH(1,(MatchHistory!$B:$B=$A44)*(MatchHistory!$G:$G&lt;&gt;""),0))</f>
        <v/>
      </c>
      <c r="M44" s="11">
        <f t="array" ref="M44">INDEX(MatchHistory!$H:$H,MATCH(1,(MatchHistory!$B:$B=$A44)*(MatchHistory!$H:$H&lt;&gt;""),0))</f>
        <v/>
      </c>
      <c r="N44" s="12">
        <f t="array" ref="N44">INDEX(MatchHistory!$J:$J,MATCH(1,(MatchHistory!$B:$B=$A44)*(MatchHistory!$J:$J&lt;&gt;""),0))</f>
        <v/>
      </c>
    </row>
    <row r="45" ht="22.5" customHeight="1" s="21">
      <c r="A45" s="14" t="inlineStr">
        <is>
          <t>Nick</t>
        </is>
      </c>
      <c r="B45" s="14">
        <f>COUNTIFS(MatchHistory!$B:$B, $A45, MatchHistory!$C:$C, "Town")</f>
        <v/>
      </c>
      <c r="C45" s="14">
        <f>COUNTIFS(MatchHistory!B:B, A45, MatchHistory!C:C, "Town", MatchHistory!D:D, "Win")</f>
        <v/>
      </c>
      <c r="D45" s="13">
        <f>IFERROR(__xludf.DUMMYFUNCTION("TO_PERCENT($B45/$J45)"),1.0)</f>
        <v/>
      </c>
      <c r="E45" s="13">
        <f>IFERROR(__xludf.DUMMYFUNCTION("IF(EQ($B45, 0), TO_PERCENT(0), TO_PERCENT($C45/$B45))"),0.5)</f>
        <v/>
      </c>
      <c r="F45" s="14">
        <f>COUNTIFS(MatchHistory!$B:$B, $A45, MatchHistory!$C:$C, "Mafia")</f>
        <v/>
      </c>
      <c r="G45" s="14">
        <f>COUNTIFS(MatchHistory!$B:$B, $A45, MatchHistory!$C:$C, "Mafia", MatchHistory!$D:$D, "Win")</f>
        <v/>
      </c>
      <c r="H45" s="13">
        <f>IFERROR(__xludf.DUMMYFUNCTION("TO_PERCENT($F45/$J45)"),0.0)</f>
        <v/>
      </c>
      <c r="I45" s="13">
        <f>IFERROR(__xludf.DUMMYFUNCTION("TO_PERCENT(IFERROR($G45/$F45, 0))"),0.0)</f>
        <v/>
      </c>
      <c r="J45" s="14">
        <f>SUM(F45, B45)</f>
        <v/>
      </c>
      <c r="K45" s="13">
        <f>IFERROR(__xludf.DUMMYFUNCTION("TO_PERCENT(IFERROR(($G45+$C45)/($F45+$B45), 0))"),0.5)</f>
        <v/>
      </c>
      <c r="L45" s="11">
        <f t="array" ref="L45">INDEX(MatchHistory!$G:$G,MATCH(1,(MatchHistory!$B:$B=$A45)*(MatchHistory!$G:$G&lt;&gt;""),0))</f>
        <v/>
      </c>
      <c r="M45" s="11">
        <f t="array" ref="M45">INDEX(MatchHistory!$H:$H,MATCH(1,(MatchHistory!$B:$B=$A45)*(MatchHistory!$H:$H&lt;&gt;""),0))</f>
        <v/>
      </c>
      <c r="N45" s="12">
        <f t="array" ref="N45">INDEX(MatchHistory!$J:$J,MATCH(1,(MatchHistory!$B:$B=$A45)*(MatchHistory!$J:$J&lt;&gt;""),0))</f>
        <v/>
      </c>
    </row>
    <row r="46" ht="22.5" customHeight="1" s="21">
      <c r="A46" s="14" t="inlineStr">
        <is>
          <t>Levi</t>
        </is>
      </c>
      <c r="B46" s="14">
        <f>COUNTIFS(MatchHistory!$B:$B, $A46, MatchHistory!$C:$C, "Town")</f>
        <v/>
      </c>
      <c r="C46" s="14">
        <f>COUNTIFS(MatchHistory!B:B, A46, MatchHistory!C:C, "Town", MatchHistory!D:D, "Win")</f>
        <v/>
      </c>
      <c r="D46" s="13">
        <f>IFERROR(__xludf.DUMMYFUNCTION("TO_PERCENT($B46/$J46)"),0.42857142857142855)</f>
        <v/>
      </c>
      <c r="E46" s="13">
        <f>IFERROR(__xludf.DUMMYFUNCTION("IF(EQ($B46, 0), TO_PERCENT(0), TO_PERCENT($C46/$B46))"),0.6666666666666666)</f>
        <v/>
      </c>
      <c r="F46" s="14">
        <f>COUNTIFS(MatchHistory!$B:$B, $A46, MatchHistory!$C:$C, "Mafia")</f>
        <v/>
      </c>
      <c r="G46" s="14">
        <f>COUNTIFS(MatchHistory!$B:$B, $A46, MatchHistory!$C:$C, "Mafia", MatchHistory!$D:$D, "Win")</f>
        <v/>
      </c>
      <c r="H46" s="13">
        <f>IFERROR(__xludf.DUMMYFUNCTION("TO_PERCENT($F46/$J46)"),0.5714285714285714)</f>
        <v/>
      </c>
      <c r="I46" s="13">
        <f>IFERROR(__xludf.DUMMYFUNCTION("TO_PERCENT(IFERROR($G46/$F46, 0))"),0.5)</f>
        <v/>
      </c>
      <c r="J46" s="14">
        <f>SUM(F46, B46)</f>
        <v/>
      </c>
      <c r="K46" s="13">
        <f>IFERROR(__xludf.DUMMYFUNCTION("TO_PERCENT(IFERROR(($G46+$C46)/($F46+$B46), 0))"),0.5714285714285714)</f>
        <v/>
      </c>
      <c r="L46" s="11">
        <f t="array" ref="L46">INDEX(MatchHistory!$G:$G,MATCH(1,(MatchHistory!$B:$B=$A46)*(MatchHistory!$G:$G&lt;&gt;""),0))</f>
        <v/>
      </c>
      <c r="M46" s="11">
        <f t="array" ref="M46">INDEX(MatchHistory!$H:$H,MATCH(1,(MatchHistory!$B:$B=$A46)*(MatchHistory!$H:$H&lt;&gt;""),0))</f>
        <v/>
      </c>
      <c r="N46" s="12">
        <f t="array" ref="N46">INDEX(MatchHistory!$J:$J,MATCH(1,(MatchHistory!$B:$B=$A46)*(MatchHistory!$J:$J&lt;&gt;""),0))</f>
        <v/>
      </c>
    </row>
    <row r="47" ht="22.5" customHeight="1" s="21">
      <c r="A47" s="14" t="inlineStr">
        <is>
          <t>Ken</t>
        </is>
      </c>
      <c r="B47" s="14">
        <f>COUNTIFS(MatchHistory!$B:$B, $A47, MatchHistory!$C:$C, "Town")</f>
        <v/>
      </c>
      <c r="C47" s="14">
        <f>COUNTIFS(MatchHistory!B:B, A47, MatchHistory!C:C, "Town", MatchHistory!D:D, "Win")</f>
        <v/>
      </c>
      <c r="D47" s="13">
        <f>IFERROR(__xludf.DUMMYFUNCTION("TO_PERCENT($B47/$J47)"),0.84)</f>
        <v/>
      </c>
      <c r="E47" s="13">
        <f>IFERROR(__xludf.DUMMYFUNCTION("IF(EQ($B47, 0), TO_PERCENT(0), TO_PERCENT($C47/$B47))"),0.42857142857142855)</f>
        <v/>
      </c>
      <c r="F47" s="14">
        <f>COUNTIFS(MatchHistory!$B:$B, $A47, MatchHistory!$C:$C, "Mafia")</f>
        <v/>
      </c>
      <c r="G47" s="14">
        <f>COUNTIFS(MatchHistory!$B:$B, $A47, MatchHistory!$C:$C, "Mafia", MatchHistory!$D:$D, "Win")</f>
        <v/>
      </c>
      <c r="H47" s="13">
        <f>IFERROR(__xludf.DUMMYFUNCTION("TO_PERCENT($F47/$J47)"),0.16)</f>
        <v/>
      </c>
      <c r="I47" s="13">
        <f>IFERROR(__xludf.DUMMYFUNCTION("TO_PERCENT(IFERROR($G47/$F47, 0))"),0.0)</f>
        <v/>
      </c>
      <c r="J47" s="14">
        <f>SUM(F47, B47)</f>
        <v/>
      </c>
      <c r="K47" s="13">
        <f>IFERROR(__xludf.DUMMYFUNCTION("TO_PERCENT(IFERROR(($G47+$C47)/($F47+$B47), 0))"),0.36)</f>
        <v/>
      </c>
      <c r="L47" s="11">
        <f t="array" ref="L47">INDEX(MatchHistory!$G:$G,MATCH(1,(MatchHistory!$B:$B=$A47)*(MatchHistory!$G:$G&lt;&gt;""),0))</f>
        <v/>
      </c>
      <c r="M47" s="11">
        <f t="array" ref="M47">INDEX(MatchHistory!$H:$H,MATCH(1,(MatchHistory!$B:$B=$A47)*(MatchHistory!$H:$H&lt;&gt;""),0))</f>
        <v/>
      </c>
      <c r="N47" s="12">
        <f t="array" ref="N47">INDEX(MatchHistory!$J:$J,MATCH(1,(MatchHistory!$B:$B=$A47)*(MatchHistory!$J:$J&lt;&gt;""),0))</f>
        <v/>
      </c>
    </row>
    <row r="48" ht="22.5" customHeight="1" s="21">
      <c r="A48" s="14" t="inlineStr">
        <is>
          <t>Coffee</t>
        </is>
      </c>
      <c r="B48" s="14">
        <f>COUNTIFS(MatchHistory!$B:$B, $A48, MatchHistory!$C:$C, "Town")</f>
        <v/>
      </c>
      <c r="C48" s="14">
        <f>COUNTIFS(MatchHistory!B:B, A48, MatchHistory!C:C, "Town", MatchHistory!D:D, "Win")</f>
        <v/>
      </c>
      <c r="D48" s="13">
        <f>IFERROR(__xludf.DUMMYFUNCTION("TO_PERCENT($B48/$J48)"),1.0)</f>
        <v/>
      </c>
      <c r="E48" s="13">
        <f>IFERROR(__xludf.DUMMYFUNCTION("IF(EQ($B48, 0), TO_PERCENT(0), TO_PERCENT($C48/$B48))"),1.0)</f>
        <v/>
      </c>
      <c r="F48" s="14">
        <f>COUNTIFS(MatchHistory!$B:$B, $A48, MatchHistory!$C:$C, "Mafia")</f>
        <v/>
      </c>
      <c r="G48" s="14">
        <f>COUNTIFS(MatchHistory!$B:$B, $A48, MatchHistory!$C:$C, "Mafia", MatchHistory!$D:$D, "Win")</f>
        <v/>
      </c>
      <c r="H48" s="13">
        <f>IFERROR(__xludf.DUMMYFUNCTION("TO_PERCENT($F48/$J48)"),0.0)</f>
        <v/>
      </c>
      <c r="I48" s="13">
        <f>IFERROR(__xludf.DUMMYFUNCTION("TO_PERCENT(IFERROR($G48/$F48, 0))"),0.0)</f>
        <v/>
      </c>
      <c r="J48" s="14">
        <f>SUM(F48, B48)</f>
        <v/>
      </c>
      <c r="K48" s="13">
        <f>IFERROR(__xludf.DUMMYFUNCTION("TO_PERCENT(IFERROR(($G48+$C48)/($F48+$B48), 0))"),1.0)</f>
        <v/>
      </c>
      <c r="L48" s="11">
        <f t="array" ref="L48">INDEX(MatchHistory!$G:$G,MATCH(1,(MatchHistory!$B:$B=$A48)*(MatchHistory!$G:$G&lt;&gt;""),0))</f>
        <v/>
      </c>
      <c r="M48" s="11">
        <f t="array" ref="M48">INDEX(MatchHistory!$H:$H,MATCH(1,(MatchHistory!$B:$B=$A48)*(MatchHistory!$H:$H&lt;&gt;""),0))</f>
        <v/>
      </c>
      <c r="N48" s="12">
        <f t="array" ref="N48">INDEX(MatchHistory!$J:$J,MATCH(1,(MatchHistory!$B:$B=$A48)*(MatchHistory!$J:$J&lt;&gt;""),0))</f>
        <v/>
      </c>
    </row>
    <row r="49" ht="22.5" customHeight="1" s="21">
      <c r="A49" s="14" t="inlineStr">
        <is>
          <t>Sam</t>
        </is>
      </c>
      <c r="B49" s="14">
        <f>COUNTIFS(MatchHistory!$B:$B, $A49, MatchHistory!$C:$C, "Town")</f>
        <v/>
      </c>
      <c r="C49" s="14">
        <f>COUNTIFS(MatchHistory!B:B, A49, MatchHistory!C:C, "Town", MatchHistory!D:D, "Win")</f>
        <v/>
      </c>
      <c r="D49" s="13">
        <f>IFERROR(__xludf.DUMMYFUNCTION("TO_PERCENT($B49/$J49)"),0.625)</f>
        <v/>
      </c>
      <c r="E49" s="13">
        <f>IFERROR(__xludf.DUMMYFUNCTION("IF(EQ($B49, 0), TO_PERCENT(0), TO_PERCENT($C49/$B49))"),0.6)</f>
        <v/>
      </c>
      <c r="F49" s="14">
        <f>COUNTIFS(MatchHistory!$B:$B, $A49, MatchHistory!$C:$C, "Mafia")</f>
        <v/>
      </c>
      <c r="G49" s="14">
        <f>COUNTIFS(MatchHistory!$B:$B, $A49, MatchHistory!$C:$C, "Mafia", MatchHistory!$D:$D, "Win")</f>
        <v/>
      </c>
      <c r="H49" s="13">
        <f>IFERROR(__xludf.DUMMYFUNCTION("TO_PERCENT($F49/$J49)"),0.375)</f>
        <v/>
      </c>
      <c r="I49" s="13">
        <f>IFERROR(__xludf.DUMMYFUNCTION("TO_PERCENT(IFERROR($G49/$F49, 0))"),0.3333333333333333)</f>
        <v/>
      </c>
      <c r="J49" s="14">
        <f>SUM(F49, B49)</f>
        <v/>
      </c>
      <c r="K49" s="13">
        <f>IFERROR(__xludf.DUMMYFUNCTION("TO_PERCENT(IFERROR(($G49+$C49)/($F49+$B49), 0))"),0.5)</f>
        <v/>
      </c>
      <c r="L49" s="11">
        <f t="array" ref="L49">INDEX(MatchHistory!$G:$G,MATCH(1,(MatchHistory!$B:$B=$A49)*(MatchHistory!$G:$G&lt;&gt;""),0))</f>
        <v/>
      </c>
      <c r="M49" s="11">
        <f t="array" ref="M49">INDEX(MatchHistory!$H:$H,MATCH(1,(MatchHistory!$B:$B=$A49)*(MatchHistory!$H:$H&lt;&gt;""),0))</f>
        <v/>
      </c>
      <c r="N49" s="12">
        <f t="array" ref="N49">INDEX(MatchHistory!$J:$J,MATCH(1,(MatchHistory!$B:$B=$A49)*(MatchHistory!$J:$J&lt;&gt;""),0))</f>
        <v/>
      </c>
    </row>
    <row r="50" ht="22.5" customHeight="1" s="21">
      <c r="A50" s="14" t="inlineStr">
        <is>
          <t>Jerm</t>
        </is>
      </c>
      <c r="B50" s="14">
        <f>COUNTIFS(MatchHistory!$B:$B, $A50, MatchHistory!$C:$C, "Town")</f>
        <v/>
      </c>
      <c r="C50" s="14">
        <f>COUNTIFS(MatchHistory!B:B, A50, MatchHistory!C:C, "Town", MatchHistory!D:D, "Win")</f>
        <v/>
      </c>
      <c r="D50" s="13">
        <f>IFERROR(__xludf.DUMMYFUNCTION("TO_PERCENT($B50/$J50)"),1.0)</f>
        <v/>
      </c>
      <c r="E50" s="13">
        <f>IFERROR(__xludf.DUMMYFUNCTION("IF(EQ($B50, 0), TO_PERCENT(0), TO_PERCENT($C50/$B50))"),1.0)</f>
        <v/>
      </c>
      <c r="F50" s="14">
        <f>COUNTIFS(MatchHistory!$B:$B, $A50, MatchHistory!$C:$C, "Mafia")</f>
        <v/>
      </c>
      <c r="G50" s="14">
        <f>COUNTIFS(MatchHistory!$B:$B, $A50, MatchHistory!$C:$C, "Mafia", MatchHistory!$D:$D, "Win")</f>
        <v/>
      </c>
      <c r="H50" s="13">
        <f>IFERROR(__xludf.DUMMYFUNCTION("TO_PERCENT($F50/$J50)"),0.0)</f>
        <v/>
      </c>
      <c r="I50" s="13">
        <f>IFERROR(__xludf.DUMMYFUNCTION("TO_PERCENT(IFERROR($G50/$F50, 0))"),0.0)</f>
        <v/>
      </c>
      <c r="J50" s="14">
        <f>SUM(F50, B50)</f>
        <v/>
      </c>
      <c r="K50" s="13">
        <f>IFERROR(__xludf.DUMMYFUNCTION("TO_PERCENT(IFERROR(($G50+$C50)/($F50+$B50), 0))"),1.0)</f>
        <v/>
      </c>
      <c r="L50" s="11">
        <f t="array" ref="L50">INDEX(MatchHistory!$G:$G,MATCH(1,(MatchHistory!$B:$B=$A50)*(MatchHistory!$G:$G&lt;&gt;""),0))</f>
        <v/>
      </c>
      <c r="M50" s="11">
        <f t="array" ref="M50">INDEX(MatchHistory!$H:$H,MATCH(1,(MatchHistory!$B:$B=$A50)*(MatchHistory!$H:$H&lt;&gt;""),0))</f>
        <v/>
      </c>
      <c r="N50" s="12">
        <f t="array" ref="N50">INDEX(MatchHistory!$J:$J,MATCH(1,(MatchHistory!$B:$B=$A50)*(MatchHistory!$J:$J&lt;&gt;""),0))</f>
        <v/>
      </c>
    </row>
    <row r="51" ht="22.5" customHeight="1" s="21">
      <c r="A51" s="14" t="inlineStr">
        <is>
          <t>Gunny</t>
        </is>
      </c>
      <c r="B51" s="14">
        <f>COUNTIFS(MatchHistory!$B:$B, $A51, MatchHistory!$C:$C, "Town")</f>
        <v/>
      </c>
      <c r="C51" s="14">
        <f>COUNTIFS(MatchHistory!B:B, A51, MatchHistory!C:C, "Town", MatchHistory!D:D, "Win")</f>
        <v/>
      </c>
      <c r="D51" s="13">
        <f>IFERROR(__xludf.DUMMYFUNCTION("TO_PERCENT($B51/$J51)"),1.0)</f>
        <v/>
      </c>
      <c r="E51" s="13">
        <f>IFERROR(__xludf.DUMMYFUNCTION("IF(EQ($B51, 0), TO_PERCENT(0), TO_PERCENT($C51/$B51))"),1.0)</f>
        <v/>
      </c>
      <c r="F51" s="14">
        <f>COUNTIFS(MatchHistory!$B:$B, $A51, MatchHistory!$C:$C, "Mafia")</f>
        <v/>
      </c>
      <c r="G51" s="14">
        <f>COUNTIFS(MatchHistory!$B:$B, $A51, MatchHistory!$C:$C, "Mafia", MatchHistory!$D:$D, "Win")</f>
        <v/>
      </c>
      <c r="H51" s="13">
        <f>IFERROR(__xludf.DUMMYFUNCTION("TO_PERCENT($F51/$J51)"),0.0)</f>
        <v/>
      </c>
      <c r="I51" s="13">
        <f>IFERROR(__xludf.DUMMYFUNCTION("TO_PERCENT(IFERROR($G51/$F51, 0))"),0.0)</f>
        <v/>
      </c>
      <c r="J51" s="14">
        <f>SUM(F51, B51)</f>
        <v/>
      </c>
      <c r="K51" s="13">
        <f>IFERROR(__xludf.DUMMYFUNCTION("TO_PERCENT(IFERROR(($G51+$C51)/($F51+$B51), 0))"),1.0)</f>
        <v/>
      </c>
      <c r="L51" s="11">
        <f t="array" ref="L51">INDEX(MatchHistory!$G:$G,MATCH(1,(MatchHistory!$B:$B=$A51)*(MatchHistory!$G:$G&lt;&gt;""),0))</f>
        <v/>
      </c>
      <c r="M51" s="11">
        <f t="array" ref="M51">INDEX(MatchHistory!$H:$H,MATCH(1,(MatchHistory!$B:$B=$A51)*(MatchHistory!$H:$H&lt;&gt;""),0))</f>
        <v/>
      </c>
      <c r="N51" s="12">
        <f t="array" ref="N51">INDEX(MatchHistory!$J:$J,MATCH(1,(MatchHistory!$B:$B=$A51)*(MatchHistory!$J:$J&lt;&gt;""),0))</f>
        <v/>
      </c>
    </row>
    <row r="52" ht="22.5" customHeight="1" s="21">
      <c r="A52" s="14" t="inlineStr">
        <is>
          <t>Insomnia</t>
        </is>
      </c>
      <c r="B52" s="14">
        <f>COUNTIFS(MatchHistory!$B:$B, $A52, MatchHistory!$C:$C, "Town")</f>
        <v/>
      </c>
      <c r="C52" s="14">
        <f>COUNTIFS(MatchHistory!B:B, A52, MatchHistory!C:C, "Town", MatchHistory!D:D, "Win")</f>
        <v/>
      </c>
      <c r="D52" s="13">
        <f>IFERROR(__xludf.DUMMYFUNCTION("TO_PERCENT($B52/$J52)"),1.0)</f>
        <v/>
      </c>
      <c r="E52" s="13">
        <f>IFERROR(__xludf.DUMMYFUNCTION("IF(EQ($B52, 0), TO_PERCENT(0), TO_PERCENT($C52/$B52))"),1.0)</f>
        <v/>
      </c>
      <c r="F52" s="14">
        <f>COUNTIFS(MatchHistory!$B:$B, $A52, MatchHistory!$C:$C, "Mafia")</f>
        <v/>
      </c>
      <c r="G52" s="14">
        <f>COUNTIFS(MatchHistory!$B:$B, $A52, MatchHistory!$C:$C, "Mafia", MatchHistory!$D:$D, "Win")</f>
        <v/>
      </c>
      <c r="H52" s="13">
        <f>IFERROR(__xludf.DUMMYFUNCTION("TO_PERCENT($F52/$J52)"),0.0)</f>
        <v/>
      </c>
      <c r="I52" s="13">
        <f>IFERROR(__xludf.DUMMYFUNCTION("TO_PERCENT(IFERROR($G52/$F52, 0))"),0.0)</f>
        <v/>
      </c>
      <c r="J52" s="14">
        <f>SUM(F52, B52)</f>
        <v/>
      </c>
      <c r="K52" s="13">
        <f>IFERROR(__xludf.DUMMYFUNCTION("TO_PERCENT(IFERROR(($G52+$C52)/($F52+$B52), 0))"),1.0)</f>
        <v/>
      </c>
      <c r="L52" s="11">
        <f t="array" ref="L52">INDEX(MatchHistory!$G:$G,MATCH(1,(MatchHistory!$B:$B=$A52)*(MatchHistory!$G:$G&lt;&gt;""),0))</f>
        <v/>
      </c>
      <c r="M52" s="11">
        <f t="array" ref="M52">INDEX(MatchHistory!$H:$H,MATCH(1,(MatchHistory!$B:$B=$A52)*(MatchHistory!$H:$H&lt;&gt;""),0))</f>
        <v/>
      </c>
      <c r="N52" s="12">
        <f t="array" ref="N52">INDEX(MatchHistory!$J:$J,MATCH(1,(MatchHistory!$B:$B=$A52)*(MatchHistory!$J:$J&lt;&gt;""),0))</f>
        <v/>
      </c>
    </row>
    <row r="53" ht="22.5" customHeight="1" s="21">
      <c r="A53" s="14" t="inlineStr">
        <is>
          <t>Torharo</t>
        </is>
      </c>
      <c r="B53" s="14">
        <f>COUNTIFS(MatchHistory!$B:$B, $A53, MatchHistory!$C:$C, "Town")</f>
        <v/>
      </c>
      <c r="C53" s="14">
        <f>COUNTIFS(MatchHistory!B:B, A53, MatchHistory!C:C, "Town", MatchHistory!D:D, "Win")</f>
        <v/>
      </c>
      <c r="D53" s="13">
        <f>IFERROR(__xludf.DUMMYFUNCTION("TO_PERCENT($B53/$J53)"),0.8)</f>
        <v/>
      </c>
      <c r="E53" s="13">
        <f>IFERROR(__xludf.DUMMYFUNCTION("IF(EQ($B53, 0), TO_PERCENT(0), TO_PERCENT($C53/$B53))"),0.5)</f>
        <v/>
      </c>
      <c r="F53" s="14">
        <f>COUNTIFS(MatchHistory!$B:$B, $A53, MatchHistory!$C:$C, "Mafia")</f>
        <v/>
      </c>
      <c r="G53" s="14">
        <f>COUNTIFS(MatchHistory!$B:$B, $A53, MatchHistory!$C:$C, "Mafia", MatchHistory!$D:$D, "Win")</f>
        <v/>
      </c>
      <c r="H53" s="13">
        <f>IFERROR(__xludf.DUMMYFUNCTION("TO_PERCENT($F53/$J53)"),0.2)</f>
        <v/>
      </c>
      <c r="I53" s="13">
        <f>IFERROR(__xludf.DUMMYFUNCTION("TO_PERCENT(IFERROR($G53/$F53, 0))"),0.0)</f>
        <v/>
      </c>
      <c r="J53" s="14">
        <f>SUM(F53, B53)</f>
        <v/>
      </c>
      <c r="K53" s="13">
        <f>IFERROR(__xludf.DUMMYFUNCTION("TO_PERCENT(IFERROR(($G53+$C53)/($F53+$B53), 0))"),0.4)</f>
        <v/>
      </c>
      <c r="L53" s="11">
        <f t="array" ref="L53">INDEX(MatchHistory!$G:$G,MATCH(1,(MatchHistory!$B:$B=$A53)*(MatchHistory!$G:$G&lt;&gt;""),0))</f>
        <v/>
      </c>
      <c r="M53" s="11">
        <f t="array" ref="M53">INDEX(MatchHistory!$H:$H,MATCH(1,(MatchHistory!$B:$B=$A53)*(MatchHistory!$H:$H&lt;&gt;""),0))</f>
        <v/>
      </c>
      <c r="N53" s="12">
        <f t="array" ref="N53">INDEX(MatchHistory!$J:$J,MATCH(1,(MatchHistory!$B:$B=$A53)*(MatchHistory!$J:$J&lt;&gt;""),0))</f>
        <v/>
      </c>
    </row>
    <row r="54" ht="22.5" customHeight="1" s="21">
      <c r="A54" s="14" t="inlineStr">
        <is>
          <t>Vert</t>
        </is>
      </c>
      <c r="B54" s="14">
        <f>COUNTIFS(MatchHistory!$B:$B, $A54, MatchHistory!$C:$C, "Town")</f>
        <v/>
      </c>
      <c r="C54" s="14">
        <f>COUNTIFS(MatchHistory!B:B, A54, MatchHistory!C:C, "Town", MatchHistory!D:D, "Win")</f>
        <v/>
      </c>
      <c r="D54" s="13">
        <f>IFERROR(__xludf.DUMMYFUNCTION("TO_PERCENT($B54/$J54)"),0.75)</f>
        <v/>
      </c>
      <c r="E54" s="13">
        <f>IFERROR(__xludf.DUMMYFUNCTION("IF(EQ($B54, 0), TO_PERCENT(0), TO_PERCENT($C54/$B54))"),0.3333333333333333)</f>
        <v/>
      </c>
      <c r="F54" s="14">
        <f>COUNTIFS(MatchHistory!$B:$B, $A54, MatchHistory!$C:$C, "Mafia")</f>
        <v/>
      </c>
      <c r="G54" s="14">
        <f>COUNTIFS(MatchHistory!$B:$B, $A54, MatchHistory!$C:$C, "Mafia", MatchHistory!$D:$D, "Win")</f>
        <v/>
      </c>
      <c r="H54" s="13">
        <f>IFERROR(__xludf.DUMMYFUNCTION("TO_PERCENT($F54/$J54)"),0.25)</f>
        <v/>
      </c>
      <c r="I54" s="13">
        <f>IFERROR(__xludf.DUMMYFUNCTION("TO_PERCENT(IFERROR($G54/$F54, 0))"),1.0)</f>
        <v/>
      </c>
      <c r="J54" s="14">
        <f>SUM(F54, B54)</f>
        <v/>
      </c>
      <c r="K54" s="13">
        <f>IFERROR(__xludf.DUMMYFUNCTION("TO_PERCENT(IFERROR(($G54+$C54)/($F54+$B54), 0))"),0.5)</f>
        <v/>
      </c>
      <c r="L54" s="11">
        <f t="array" ref="L54">INDEX(MatchHistory!$G:$G,MATCH(1,(MatchHistory!$B:$B=$A54)*(MatchHistory!$G:$G&lt;&gt;""),0))</f>
        <v/>
      </c>
      <c r="M54" s="11">
        <f t="array" ref="M54">INDEX(MatchHistory!$H:$H,MATCH(1,(MatchHistory!$B:$B=$A54)*(MatchHistory!$H:$H&lt;&gt;""),0))</f>
        <v/>
      </c>
      <c r="N54" s="12">
        <f t="array" ref="N54">INDEX(MatchHistory!$J:$J,MATCH(1,(MatchHistory!$B:$B=$A54)*(MatchHistory!$J:$J&lt;&gt;""),0))</f>
        <v/>
      </c>
    </row>
    <row r="55" ht="22.5" customHeight="1" s="21">
      <c r="A55" s="14" t="inlineStr">
        <is>
          <t>TCP</t>
        </is>
      </c>
      <c r="B55" s="14">
        <f>COUNTIFS(MatchHistory!$B:$B, $A55, MatchHistory!$C:$C, "Town")</f>
        <v/>
      </c>
      <c r="C55" s="14">
        <f>COUNTIFS(MatchHistory!B:B, A55, MatchHistory!C:C, "Town", MatchHistory!D:D, "Win")</f>
        <v/>
      </c>
      <c r="D55" s="13">
        <f>IFERROR(__xludf.DUMMYFUNCTION("TO_PERCENT($B55/$J55)"),0.7777777777777778)</f>
        <v/>
      </c>
      <c r="E55" s="13">
        <f>IFERROR(__xludf.DUMMYFUNCTION("IF(EQ($B55, 0), TO_PERCENT(0), TO_PERCENT($C55/$B55))"),0.42857142857142855)</f>
        <v/>
      </c>
      <c r="F55" s="14">
        <f>COUNTIFS(MatchHistory!$B:$B, $A55, MatchHistory!$C:$C, "Mafia")</f>
        <v/>
      </c>
      <c r="G55" s="14">
        <f>COUNTIFS(MatchHistory!$B:$B, $A55, MatchHistory!$C:$C, "Mafia", MatchHistory!$D:$D, "Win")</f>
        <v/>
      </c>
      <c r="H55" s="13">
        <f>IFERROR(__xludf.DUMMYFUNCTION("TO_PERCENT($F55/$J55)"),0.2222222222222222)</f>
        <v/>
      </c>
      <c r="I55" s="13">
        <f>IFERROR(__xludf.DUMMYFUNCTION("TO_PERCENT(IFERROR($G55/$F55, 0))"),0.5)</f>
        <v/>
      </c>
      <c r="J55" s="14">
        <f>SUM(F55, B55)</f>
        <v/>
      </c>
      <c r="K55" s="13">
        <f>IFERROR(__xludf.DUMMYFUNCTION("TO_PERCENT(IFERROR(($G55+$C55)/($F55+$B55), 0))"),0.4444444444444444)</f>
        <v/>
      </c>
      <c r="L55" s="11">
        <f t="array" ref="L55">INDEX(MatchHistory!$G:$G,MATCH(1,(MatchHistory!$B:$B=$A55)*(MatchHistory!$G:$G&lt;&gt;""),0))</f>
        <v/>
      </c>
      <c r="M55" s="11">
        <f t="array" ref="M55">INDEX(MatchHistory!$H:$H,MATCH(1,(MatchHistory!$B:$B=$A55)*(MatchHistory!$H:$H&lt;&gt;""),0))</f>
        <v/>
      </c>
      <c r="N55" s="12">
        <f t="array" ref="N55">INDEX(MatchHistory!$J:$J,MATCH(1,(MatchHistory!$B:$B=$A55)*(MatchHistory!$J:$J&lt;&gt;""),0))</f>
        <v/>
      </c>
    </row>
    <row r="56" ht="22.5" customHeight="1" s="21">
      <c r="A56" s="14" t="inlineStr">
        <is>
          <t>Dlgn</t>
        </is>
      </c>
      <c r="B56" s="14">
        <f>COUNTIFS(MatchHistory!$B:$B, $A56, MatchHistory!$C:$C, "Town")</f>
        <v/>
      </c>
      <c r="C56" s="14">
        <f>COUNTIFS(MatchHistory!B:B, A56, MatchHistory!C:C, "Town", MatchHistory!D:D, "Win")</f>
        <v/>
      </c>
      <c r="D56" s="13">
        <f>IFERROR(__xludf.DUMMYFUNCTION("TO_PERCENT($B56/$J56)"),0.0)</f>
        <v/>
      </c>
      <c r="E56" s="13">
        <f>IFERROR(__xludf.DUMMYFUNCTION("IF(EQ($B56, 0), TO_PERCENT(0), TO_PERCENT($C56/$B56))"),0.0)</f>
        <v/>
      </c>
      <c r="F56" s="14">
        <f>COUNTIFS(MatchHistory!$B:$B, $A56, MatchHistory!$C:$C, "Mafia")</f>
        <v/>
      </c>
      <c r="G56" s="14">
        <f>COUNTIFS(MatchHistory!$B:$B, $A56, MatchHistory!$C:$C, "Mafia", MatchHistory!$D:$D, "Win")</f>
        <v/>
      </c>
      <c r="H56" s="13">
        <f>IFERROR(__xludf.DUMMYFUNCTION("TO_PERCENT($F56/$J56)"),1.0)</f>
        <v/>
      </c>
      <c r="I56" s="13">
        <f>IFERROR(__xludf.DUMMYFUNCTION("TO_PERCENT(IFERROR($G56/$F56, 0))"),1.0)</f>
        <v/>
      </c>
      <c r="J56" s="14">
        <f>SUM(F56, B56)</f>
        <v/>
      </c>
      <c r="K56" s="13">
        <f>IFERROR(__xludf.DUMMYFUNCTION("TO_PERCENT(IFERROR(($G56+$C56)/($F56+$B56), 0))"),1.0)</f>
        <v/>
      </c>
      <c r="L56" s="11">
        <f t="array" ref="L56">INDEX(MatchHistory!$G:$G,MATCH(1,(MatchHistory!$B:$B=$A56)*(MatchHistory!$G:$G&lt;&gt;""),0))</f>
        <v/>
      </c>
      <c r="M56" s="11">
        <f t="array" ref="M56">INDEX(MatchHistory!$H:$H,MATCH(1,(MatchHistory!$B:$B=$A56)*(MatchHistory!$H:$H&lt;&gt;""),0))</f>
        <v/>
      </c>
      <c r="N56" s="12">
        <f t="array" ref="N56">INDEX(MatchHistory!$J:$J,MATCH(1,(MatchHistory!$B:$B=$A56)*(MatchHistory!$J:$J&lt;&gt;""),0))</f>
        <v/>
      </c>
    </row>
    <row r="57" ht="22.5" customHeight="1" s="21">
      <c r="A57" s="14" t="inlineStr">
        <is>
          <t>Vandy</t>
        </is>
      </c>
      <c r="B57" s="14">
        <f>COUNTIFS(MatchHistory!$B:$B, $A57, MatchHistory!$C:$C, "Town")</f>
        <v/>
      </c>
      <c r="C57" s="14">
        <f>COUNTIFS(MatchHistory!B:B, A57, MatchHistory!C:C, "Town", MatchHistory!D:D, "Win")</f>
        <v/>
      </c>
      <c r="D57" s="13">
        <f>IFERROR(__xludf.DUMMYFUNCTION("TO_PERCENT($B57/$J57)"),1.0)</f>
        <v/>
      </c>
      <c r="E57" s="13">
        <f>IFERROR(__xludf.DUMMYFUNCTION("IF(EQ($B57, 0), TO_PERCENT(0), TO_PERCENT($C57/$B57))"),0.5)</f>
        <v/>
      </c>
      <c r="F57" s="14">
        <f>COUNTIFS(MatchHistory!$B:$B, $A57, MatchHistory!$C:$C, "Mafia")</f>
        <v/>
      </c>
      <c r="G57" s="14">
        <f>COUNTIFS(MatchHistory!$B:$B, $A57, MatchHistory!$C:$C, "Mafia", MatchHistory!$D:$D, "Win")</f>
        <v/>
      </c>
      <c r="H57" s="13">
        <f>IFERROR(__xludf.DUMMYFUNCTION("TO_PERCENT($F57/$J57)"),0.0)</f>
        <v/>
      </c>
      <c r="I57" s="13">
        <f>IFERROR(__xludf.DUMMYFUNCTION("TO_PERCENT(IFERROR($G57/$F57, 0))"),0.0)</f>
        <v/>
      </c>
      <c r="J57" s="14">
        <f>SUM(F57, B57)</f>
        <v/>
      </c>
      <c r="K57" s="13">
        <f>IFERROR(__xludf.DUMMYFUNCTION("TO_PERCENT(IFERROR(($G57+$C57)/($F57+$B57), 0))"),0.5)</f>
        <v/>
      </c>
      <c r="L57" s="11">
        <f t="array" ref="L57">INDEX(MatchHistory!$G:$G,MATCH(1,(MatchHistory!$B:$B=$A57)*(MatchHistory!$G:$G&lt;&gt;""),0))</f>
        <v/>
      </c>
      <c r="M57" s="11">
        <f t="array" ref="M57">INDEX(MatchHistory!$H:$H,MATCH(1,(MatchHistory!$B:$B=$A57)*(MatchHistory!$H:$H&lt;&gt;""),0))</f>
        <v/>
      </c>
      <c r="N57" s="12">
        <f t="array" ref="N57">INDEX(MatchHistory!$J:$J,MATCH(1,(MatchHistory!$B:$B=$A57)*(MatchHistory!$J:$J&lt;&gt;""),0))</f>
        <v/>
      </c>
    </row>
    <row r="58" ht="22.5" customHeight="1" s="21">
      <c r="A58" s="14" t="inlineStr">
        <is>
          <t>Laura</t>
        </is>
      </c>
      <c r="B58" s="14">
        <f>COUNTIFS(MatchHistory!$B:$B, $A58, MatchHistory!$C:$C, "Town")</f>
        <v/>
      </c>
      <c r="C58" s="14">
        <f>COUNTIFS(MatchHistory!B:B, A58, MatchHistory!C:C, "Town", MatchHistory!D:D, "Win")</f>
        <v/>
      </c>
      <c r="D58" s="13">
        <f>IFERROR(__xludf.DUMMYFUNCTION("TO_PERCENT($B58/$J58)"),1.0)</f>
        <v/>
      </c>
      <c r="E58" s="13">
        <f>IFERROR(__xludf.DUMMYFUNCTION("IF(EQ($B58, 0), TO_PERCENT(0), TO_PERCENT($C58/$B58))"),0.5)</f>
        <v/>
      </c>
      <c r="F58" s="14">
        <f>COUNTIFS(MatchHistory!$B:$B, $A58, MatchHistory!$C:$C, "Mafia")</f>
        <v/>
      </c>
      <c r="G58" s="14">
        <f>COUNTIFS(MatchHistory!$B:$B, $A58, MatchHistory!$C:$C, "Mafia", MatchHistory!$D:$D, "Win")</f>
        <v/>
      </c>
      <c r="H58" s="13">
        <f>IFERROR(__xludf.DUMMYFUNCTION("TO_PERCENT($F58/$J58)"),0.0)</f>
        <v/>
      </c>
      <c r="I58" s="13">
        <f>IFERROR(__xludf.DUMMYFUNCTION("TO_PERCENT(IFERROR($G58/$F58, 0))"),0.0)</f>
        <v/>
      </c>
      <c r="J58" s="14">
        <f>SUM(F58, B58)</f>
        <v/>
      </c>
      <c r="K58" s="13">
        <f>IFERROR(__xludf.DUMMYFUNCTION("TO_PERCENT(IFERROR(($G58+$C58)/($F58+$B58), 0))"),0.5)</f>
        <v/>
      </c>
      <c r="L58" s="11">
        <f t="array" ref="L58">INDEX(MatchHistory!$G:$G,MATCH(1,(MatchHistory!$B:$B=$A58)*(MatchHistory!$G:$G&lt;&gt;""),0))</f>
        <v/>
      </c>
      <c r="M58" s="11">
        <f t="array" ref="M58">INDEX(MatchHistory!$H:$H,MATCH(1,(MatchHistory!$B:$B=$A58)*(MatchHistory!$H:$H&lt;&gt;""),0))</f>
        <v/>
      </c>
      <c r="N58" s="12">
        <f t="array" ref="N58">INDEX(MatchHistory!$J:$J,MATCH(1,(MatchHistory!$B:$B=$A58)*(MatchHistory!$J:$J&lt;&gt;""),0))</f>
        <v/>
      </c>
    </row>
    <row r="59" ht="22.5" customHeight="1" s="21">
      <c r="A59" s="14" t="inlineStr">
        <is>
          <t>Dani</t>
        </is>
      </c>
      <c r="B59" s="14">
        <f>COUNTIFS(MatchHistory!$B:$B, $A59, MatchHistory!$C:$C, "Town")</f>
        <v/>
      </c>
      <c r="C59" s="14">
        <f>COUNTIFS(MatchHistory!B:B, A59, MatchHistory!C:C, "Town", MatchHistory!D:D, "Win")</f>
        <v/>
      </c>
      <c r="D59" s="13">
        <f>IFERROR(__xludf.DUMMYFUNCTION("TO_PERCENT($B59/$J59)"),1.0)</f>
        <v/>
      </c>
      <c r="E59" s="13">
        <f>IFERROR(__xludf.DUMMYFUNCTION("IF(EQ($B59, 0), TO_PERCENT(0), TO_PERCENT($C59/$B59))"),0.2222222222222222)</f>
        <v/>
      </c>
      <c r="F59" s="14">
        <f>COUNTIFS(MatchHistory!$B:$B, $A59, MatchHistory!$C:$C, "Mafia")</f>
        <v/>
      </c>
      <c r="G59" s="14">
        <f>COUNTIFS(MatchHistory!$B:$B, $A59, MatchHistory!$C:$C, "Mafia", MatchHistory!$D:$D, "Win")</f>
        <v/>
      </c>
      <c r="H59" s="13">
        <f>IFERROR(__xludf.DUMMYFUNCTION("TO_PERCENT($F59/$J59)"),0.0)</f>
        <v/>
      </c>
      <c r="I59" s="13">
        <f>IFERROR(__xludf.DUMMYFUNCTION("TO_PERCENT(IFERROR($G59/$F59, 0))"),0.0)</f>
        <v/>
      </c>
      <c r="J59" s="14">
        <f>SUM(F59, B59)</f>
        <v/>
      </c>
      <c r="K59" s="13">
        <f>IFERROR(__xludf.DUMMYFUNCTION("TO_PERCENT(IFERROR(($G59+$C59)/($F59+$B59), 0))"),0.2222222222222222)</f>
        <v/>
      </c>
      <c r="L59" s="11">
        <f t="array" ref="L59">INDEX(MatchHistory!$G:$G,MATCH(1,(MatchHistory!$B:$B=$A59)*(MatchHistory!$G:$G&lt;&gt;""),0))</f>
        <v/>
      </c>
      <c r="M59" s="11">
        <f t="array" ref="M59">INDEX(MatchHistory!$H:$H,MATCH(1,(MatchHistory!$B:$B=$A59)*(MatchHistory!$H:$H&lt;&gt;""),0))</f>
        <v/>
      </c>
      <c r="N59" s="12">
        <f t="array" ref="N59">INDEX(MatchHistory!$J:$J,MATCH(1,(MatchHistory!$B:$B=$A59)*(MatchHistory!$J:$J&lt;&gt;""),0))</f>
        <v/>
      </c>
    </row>
    <row r="60" ht="22.5" customHeight="1" s="21">
      <c r="A60" s="14" t="inlineStr">
        <is>
          <t>23flash</t>
        </is>
      </c>
      <c r="B60" s="14">
        <f>COUNTIFS(MatchHistory!$B:$B, $A60, MatchHistory!$C:$C, "Town")</f>
        <v/>
      </c>
      <c r="C60" s="14">
        <f>COUNTIFS(MatchHistory!B:B, A60, MatchHistory!C:C, "Town", MatchHistory!D:D, "Win")</f>
        <v/>
      </c>
      <c r="D60" s="13">
        <f>IFERROR(__xludf.DUMMYFUNCTION("TO_PERCENT($B60/$J60)"),0.7142857142857143)</f>
        <v/>
      </c>
      <c r="E60" s="13">
        <f>IFERROR(__xludf.DUMMYFUNCTION("IF(EQ($B60, 0), TO_PERCENT(0), TO_PERCENT($C60/$B60))"),0.4)</f>
        <v/>
      </c>
      <c r="F60" s="14">
        <f>COUNTIFS(MatchHistory!$B:$B, $A60, MatchHistory!$C:$C, "Mafia")</f>
        <v/>
      </c>
      <c r="G60" s="14">
        <f>COUNTIFS(MatchHistory!$B:$B, $A60, MatchHistory!$C:$C, "Mafia", MatchHistory!$D:$D, "Win")</f>
        <v/>
      </c>
      <c r="H60" s="13">
        <f>IFERROR(__xludf.DUMMYFUNCTION("TO_PERCENT($F60/$J60)"),0.2857142857142857)</f>
        <v/>
      </c>
      <c r="I60" s="13">
        <f>IFERROR(__xludf.DUMMYFUNCTION("TO_PERCENT(IFERROR($G60/$F60, 0))"),0.5)</f>
        <v/>
      </c>
      <c r="J60" s="14">
        <f>SUM(F60, B60)</f>
        <v/>
      </c>
      <c r="K60" s="13">
        <f>IFERROR(__xludf.DUMMYFUNCTION("TO_PERCENT(IFERROR(($G60+$C60)/($F60+$B60), 0))"),0.42857142857142855)</f>
        <v/>
      </c>
      <c r="L60" s="11">
        <f t="array" ref="L60">INDEX(MatchHistory!$G:$G,MATCH(1,(MatchHistory!$B:$B=$A60)*(MatchHistory!$G:$G&lt;&gt;""),0))</f>
        <v/>
      </c>
      <c r="M60" s="11">
        <f t="array" ref="M60">INDEX(MatchHistory!$H:$H,MATCH(1,(MatchHistory!$B:$B=$A60)*(MatchHistory!$H:$H&lt;&gt;""),0))</f>
        <v/>
      </c>
      <c r="N60" s="12">
        <f t="array" ref="N60">INDEX(MatchHistory!$J:$J,MATCH(1,(MatchHistory!$B:$B=$A60)*(MatchHistory!$J:$J&lt;&gt;""),0))</f>
        <v/>
      </c>
    </row>
    <row r="61" ht="22.5" customHeight="1" s="21">
      <c r="A61" s="14" t="inlineStr">
        <is>
          <t>Wyz</t>
        </is>
      </c>
      <c r="B61" s="14">
        <f>COUNTIFS(MatchHistory!$B:$B, $A61, MatchHistory!$C:$C, "Town")</f>
        <v/>
      </c>
      <c r="C61" s="14">
        <f>COUNTIFS(MatchHistory!B:B, A61, MatchHistory!C:C, "Town", MatchHistory!D:D, "Win")</f>
        <v/>
      </c>
      <c r="D61" s="13">
        <f>IFERROR(__xludf.DUMMYFUNCTION("TO_PERCENT($B61/$J61)"),1.0)</f>
        <v/>
      </c>
      <c r="E61" s="13">
        <f>IFERROR(__xludf.DUMMYFUNCTION("IF(EQ($B61, 0), TO_PERCENT(0), TO_PERCENT($C61/$B61))"),0.5)</f>
        <v/>
      </c>
      <c r="F61" s="14">
        <f>COUNTIFS(MatchHistory!$B:$B, $A61, MatchHistory!$C:$C, "Mafia")</f>
        <v/>
      </c>
      <c r="G61" s="14">
        <f>COUNTIFS(MatchHistory!$B:$B, $A61, MatchHistory!$C:$C, "Mafia", MatchHistory!$D:$D, "Win")</f>
        <v/>
      </c>
      <c r="H61" s="13">
        <f>IFERROR(__xludf.DUMMYFUNCTION("TO_PERCENT($F61/$J61)"),0.0)</f>
        <v/>
      </c>
      <c r="I61" s="13">
        <f>IFERROR(__xludf.DUMMYFUNCTION("TO_PERCENT(IFERROR($G61/$F61, 0))"),0.0)</f>
        <v/>
      </c>
      <c r="J61" s="14">
        <f>SUM(F61, B61)</f>
        <v/>
      </c>
      <c r="K61" s="13">
        <f>IFERROR(__xludf.DUMMYFUNCTION("TO_PERCENT(IFERROR(($G61+$C61)/($F61+$B61), 0))"),0.5)</f>
        <v/>
      </c>
      <c r="L61" s="11">
        <f t="array" ref="L61">INDEX(MatchHistory!$G:$G,MATCH(1,(MatchHistory!$B:$B=$A61)*(MatchHistory!$G:$G&lt;&gt;""),0))</f>
        <v/>
      </c>
      <c r="M61" s="11">
        <f t="array" ref="M61">INDEX(MatchHistory!$H:$H,MATCH(1,(MatchHistory!$B:$B=$A61)*(MatchHistory!$H:$H&lt;&gt;""),0))</f>
        <v/>
      </c>
      <c r="N61" s="12">
        <f t="array" ref="N61">INDEX(MatchHistory!$J:$J,MATCH(1,(MatchHistory!$B:$B=$A61)*(MatchHistory!$J:$J&lt;&gt;""),0))</f>
        <v/>
      </c>
    </row>
    <row r="62" ht="22.5" customHeight="1" s="21">
      <c r="A62" s="14" t="inlineStr">
        <is>
          <t>Heftyduck</t>
        </is>
      </c>
      <c r="B62" s="14">
        <f>COUNTIFS(MatchHistory!$B:$B, $A62, MatchHistory!$C:$C, "Town")</f>
        <v/>
      </c>
      <c r="C62" s="14">
        <f>COUNTIFS(MatchHistory!B:B, A62, MatchHistory!C:C, "Town", MatchHistory!D:D, "Win")</f>
        <v/>
      </c>
      <c r="D62" s="13">
        <f>IFERROR(__xludf.DUMMYFUNCTION("TO_PERCENT($B62/$J62)"),0.5)</f>
        <v/>
      </c>
      <c r="E62" s="13">
        <f>IFERROR(__xludf.DUMMYFUNCTION("IF(EQ($B62, 0), TO_PERCENT(0), TO_PERCENT($C62/$B62))"),0.0)</f>
        <v/>
      </c>
      <c r="F62" s="14">
        <f>COUNTIFS(MatchHistory!$B:$B, $A62, MatchHistory!$C:$C, "Mafia")</f>
        <v/>
      </c>
      <c r="G62" s="14">
        <f>COUNTIFS(MatchHistory!$B:$B, $A62, MatchHistory!$C:$C, "Mafia", MatchHistory!$D:$D, "Win")</f>
        <v/>
      </c>
      <c r="H62" s="13">
        <f>IFERROR(__xludf.DUMMYFUNCTION("TO_PERCENT($F62/$J62)"),0.5)</f>
        <v/>
      </c>
      <c r="I62" s="13">
        <f>IFERROR(__xludf.DUMMYFUNCTION("TO_PERCENT(IFERROR($G62/$F62, 0))"),1.0)</f>
        <v/>
      </c>
      <c r="J62" s="14">
        <f>SUM(F62, B62)</f>
        <v/>
      </c>
      <c r="K62" s="13">
        <f>IFERROR(__xludf.DUMMYFUNCTION("TO_PERCENT(IFERROR(($G62+$C62)/($F62+$B62), 0))"),0.5)</f>
        <v/>
      </c>
      <c r="L62" s="11">
        <f t="array" ref="L62">INDEX(MatchHistory!$G:$G,MATCH(1,(MatchHistory!$B:$B=$A62)*(MatchHistory!$G:$G&lt;&gt;""),0))</f>
        <v/>
      </c>
      <c r="M62" s="11">
        <f t="array" ref="M62">INDEX(MatchHistory!$H:$H,MATCH(1,(MatchHistory!$B:$B=$A62)*(MatchHistory!$H:$H&lt;&gt;""),0))</f>
        <v/>
      </c>
      <c r="N62" s="12">
        <f t="array" ref="N62">INDEX(MatchHistory!$J:$J,MATCH(1,(MatchHistory!$B:$B=$A62)*(MatchHistory!$J:$J&lt;&gt;""),0))</f>
        <v/>
      </c>
    </row>
    <row r="63" ht="22.5" customHeight="1" s="21">
      <c r="A63" s="14" t="inlineStr">
        <is>
          <t>Jonas</t>
        </is>
      </c>
      <c r="B63" s="14">
        <f>COUNTIFS(MatchHistory!$B:$B, $A63, MatchHistory!$C:$C, "Town")</f>
        <v/>
      </c>
      <c r="C63" s="14">
        <f>COUNTIFS(MatchHistory!B:B, A63, MatchHistory!C:C, "Town", MatchHistory!D:D, "Win")</f>
        <v/>
      </c>
      <c r="D63" s="13">
        <f>IFERROR(__xludf.DUMMYFUNCTION("TO_PERCENT($B63/$J63)"),0.5)</f>
        <v/>
      </c>
      <c r="E63" s="13">
        <f>IFERROR(__xludf.DUMMYFUNCTION("IF(EQ($B63, 0), TO_PERCENT(0), TO_PERCENT($C63/$B63))"),0.0)</f>
        <v/>
      </c>
      <c r="F63" s="14">
        <f>COUNTIFS(MatchHistory!$B:$B, $A63, MatchHistory!$C:$C, "Mafia")</f>
        <v/>
      </c>
      <c r="G63" s="14">
        <f>COUNTIFS(MatchHistory!$B:$B, $A63, MatchHistory!$C:$C, "Mafia", MatchHistory!$D:$D, "Win")</f>
        <v/>
      </c>
      <c r="H63" s="13">
        <f>IFERROR(__xludf.DUMMYFUNCTION("TO_PERCENT($F63/$J63)"),0.5)</f>
        <v/>
      </c>
      <c r="I63" s="13">
        <f>IFERROR(__xludf.DUMMYFUNCTION("TO_PERCENT(IFERROR($G63/$F63, 0))"),1.0)</f>
        <v/>
      </c>
      <c r="J63" s="14">
        <f>SUM(F63, B63)</f>
        <v/>
      </c>
      <c r="K63" s="13">
        <f>IFERROR(__xludf.DUMMYFUNCTION("TO_PERCENT(IFERROR(($G63+$C63)/($F63+$B63), 0))"),0.5)</f>
        <v/>
      </c>
      <c r="L63" s="11">
        <f t="array" ref="L63">INDEX(MatchHistory!$G:$G,MATCH(1,(MatchHistory!$B:$B=$A63)*(MatchHistory!$G:$G&lt;&gt;""),0))</f>
        <v/>
      </c>
      <c r="M63" s="11">
        <f t="array" ref="M63">INDEX(MatchHistory!$H:$H,MATCH(1,(MatchHistory!$B:$B=$A63)*(MatchHistory!$H:$H&lt;&gt;""),0))</f>
        <v/>
      </c>
      <c r="N63" s="12">
        <f t="array" ref="N63">INDEX(MatchHistory!$J:$J,MATCH(1,(MatchHistory!$B:$B=$A63)*(MatchHistory!$J:$J&lt;&gt;""),0))</f>
        <v/>
      </c>
    </row>
    <row r="64" ht="22.5" customHeight="1" s="21">
      <c r="A64" s="14" t="inlineStr">
        <is>
          <t>Asiansam</t>
        </is>
      </c>
      <c r="B64" s="14">
        <f>COUNTIFS(MatchHistory!$B:$B, $A64, MatchHistory!$C:$C, "Town")</f>
        <v/>
      </c>
      <c r="C64" s="14">
        <f>COUNTIFS(MatchHistory!B:B, A64, MatchHistory!C:C, "Town", MatchHistory!D:D, "Win")</f>
        <v/>
      </c>
      <c r="D64" s="13">
        <f>IFERROR(__xludf.DUMMYFUNCTION("TO_PERCENT($B64/$J64)"),0.5)</f>
        <v/>
      </c>
      <c r="E64" s="13">
        <f>IFERROR(__xludf.DUMMYFUNCTION("IF(EQ($B64, 0), TO_PERCENT(0), TO_PERCENT($C64/$B64))"),0.5)</f>
        <v/>
      </c>
      <c r="F64" s="14">
        <f>COUNTIFS(MatchHistory!$B:$B, $A64, MatchHistory!$C:$C, "Mafia")</f>
        <v/>
      </c>
      <c r="G64" s="14">
        <f>COUNTIFS(MatchHistory!$B:$B, $A64, MatchHistory!$C:$C, "Mafia", MatchHistory!$D:$D, "Win")</f>
        <v/>
      </c>
      <c r="H64" s="13">
        <f>IFERROR(__xludf.DUMMYFUNCTION("TO_PERCENT($F64/$J64)"),0.5)</f>
        <v/>
      </c>
      <c r="I64" s="13">
        <f>IFERROR(__xludf.DUMMYFUNCTION("TO_PERCENT(IFERROR($G64/$F64, 0))"),0.5)</f>
        <v/>
      </c>
      <c r="J64" s="14">
        <f>SUM(F64, B64)</f>
        <v/>
      </c>
      <c r="K64" s="13">
        <f>IFERROR(__xludf.DUMMYFUNCTION("TO_PERCENT(IFERROR(($G64+$C64)/($F64+$B64), 0))"),0.5)</f>
        <v/>
      </c>
      <c r="L64" s="11">
        <f t="array" ref="L64">INDEX(MatchHistory!$G:$G,MATCH(1,(MatchHistory!$B:$B=$A64)*(MatchHistory!$G:$G&lt;&gt;""),0))</f>
        <v/>
      </c>
      <c r="M64" s="11">
        <f t="array" ref="M64">INDEX(MatchHistory!$H:$H,MATCH(1,(MatchHistory!$B:$B=$A64)*(MatchHistory!$H:$H&lt;&gt;""),0))</f>
        <v/>
      </c>
      <c r="N64" s="12">
        <f t="array" ref="N64">INDEX(MatchHistory!$J:$J,MATCH(1,(MatchHistory!$B:$B=$A64)*(MatchHistory!$J:$J&lt;&gt;""),0))</f>
        <v/>
      </c>
    </row>
    <row r="65" ht="22.5" customHeight="1" s="21">
      <c r="A65" s="14" t="inlineStr">
        <is>
          <t>Steep</t>
        </is>
      </c>
      <c r="B65" s="14">
        <f>COUNTIFS(MatchHistory!$B:$B, $A65, MatchHistory!$C:$C, "Town")</f>
        <v/>
      </c>
      <c r="C65" s="14">
        <f>COUNTIFS(MatchHistory!B:B, A65, MatchHistory!C:C, "Town", MatchHistory!D:D, "Win")</f>
        <v/>
      </c>
      <c r="D65" s="13">
        <f>IFERROR(__xludf.DUMMYFUNCTION("TO_PERCENT($B65/$J65)"),0.6666666666666666)</f>
        <v/>
      </c>
      <c r="E65" s="13">
        <f>IFERROR(__xludf.DUMMYFUNCTION("IF(EQ($B65, 0), TO_PERCENT(0), TO_PERCENT($C65/$B65))"),0.5)</f>
        <v/>
      </c>
      <c r="F65" s="14">
        <f>COUNTIFS(MatchHistory!$B:$B, $A65, MatchHistory!$C:$C, "Mafia")</f>
        <v/>
      </c>
      <c r="G65" s="14">
        <f>COUNTIFS(MatchHistory!$B:$B, $A65, MatchHistory!$C:$C, "Mafia", MatchHistory!$D:$D, "Win")</f>
        <v/>
      </c>
      <c r="H65" s="13">
        <f>IFERROR(__xludf.DUMMYFUNCTION("TO_PERCENT($F65/$J65)"),0.3333333333333333)</f>
        <v/>
      </c>
      <c r="I65" s="13">
        <f>IFERROR(__xludf.DUMMYFUNCTION("TO_PERCENT(IFERROR($G65/$F65, 0))"),0.0)</f>
        <v/>
      </c>
      <c r="J65" s="14">
        <f>SUM(F65, B65)</f>
        <v/>
      </c>
      <c r="K65" s="13">
        <f>IFERROR(__xludf.DUMMYFUNCTION("TO_PERCENT(IFERROR(($G65+$C65)/($F65+$B65), 0))"),0.3333333333333333)</f>
        <v/>
      </c>
      <c r="L65" s="11">
        <f t="array" ref="L65">INDEX(MatchHistory!$G:$G,MATCH(1,(MatchHistory!$B:$B=$A65)*(MatchHistory!$G:$G&lt;&gt;""),0))</f>
        <v/>
      </c>
      <c r="M65" s="11">
        <f t="array" ref="M65">INDEX(MatchHistory!$H:$H,MATCH(1,(MatchHistory!$B:$B=$A65)*(MatchHistory!$H:$H&lt;&gt;""),0))</f>
        <v/>
      </c>
      <c r="N65" s="12">
        <f t="array" ref="N65">INDEX(MatchHistory!$J:$J,MATCH(1,(MatchHistory!$B:$B=$A65)*(MatchHistory!$J:$J&lt;&gt;""),0))</f>
        <v/>
      </c>
    </row>
    <row r="66" ht="22.5" customHeight="1" s="21">
      <c r="A66" s="14" t="inlineStr">
        <is>
          <t>Doublea</t>
        </is>
      </c>
      <c r="B66" s="14">
        <f>COUNTIFS(MatchHistory!$B:$B, $A66, MatchHistory!$C:$C, "Town")</f>
        <v/>
      </c>
      <c r="C66" s="14">
        <f>COUNTIFS(MatchHistory!B:B, A66, MatchHistory!C:C, "Town", MatchHistory!D:D, "Win")</f>
        <v/>
      </c>
      <c r="D66" s="13">
        <f>IFERROR(__xludf.DUMMYFUNCTION("TO_PERCENT($B66/$J66)"),0.7083333333333334)</f>
        <v/>
      </c>
      <c r="E66" s="13">
        <f>IFERROR(__xludf.DUMMYFUNCTION("IF(EQ($B66, 0), TO_PERCENT(0), TO_PERCENT($C66/$B66))"),0.35294117647058826)</f>
        <v/>
      </c>
      <c r="F66" s="14">
        <f>COUNTIFS(MatchHistory!$B:$B, $A66, MatchHistory!$C:$C, "Mafia")</f>
        <v/>
      </c>
      <c r="G66" s="14">
        <f>COUNTIFS(MatchHistory!$B:$B, $A66, MatchHistory!$C:$C, "Mafia", MatchHistory!$D:$D, "Win")</f>
        <v/>
      </c>
      <c r="H66" s="13">
        <f>IFERROR(__xludf.DUMMYFUNCTION("TO_PERCENT($F66/$J66)"),0.2916666666666667)</f>
        <v/>
      </c>
      <c r="I66" s="13">
        <f>IFERROR(__xludf.DUMMYFUNCTION("TO_PERCENT(IFERROR($G66/$F66, 0))"),0.5714285714285714)</f>
        <v/>
      </c>
      <c r="J66" s="14">
        <f>SUM(F66, B66)</f>
        <v/>
      </c>
      <c r="K66" s="13">
        <f>IFERROR(__xludf.DUMMYFUNCTION("TO_PERCENT(IFERROR(($G66+$C66)/($F66+$B66), 0))"),0.4166666666666667)</f>
        <v/>
      </c>
      <c r="L66" s="11">
        <f t="array" ref="L66">INDEX(MatchHistory!$G:$G,MATCH(1,(MatchHistory!$B:$B=$A66)*(MatchHistory!$G:$G&lt;&gt;""),0))</f>
        <v/>
      </c>
      <c r="M66" s="11">
        <f t="array" ref="M66">INDEX(MatchHistory!$H:$H,MATCH(1,(MatchHistory!$B:$B=$A66)*(MatchHistory!$H:$H&lt;&gt;""),0))</f>
        <v/>
      </c>
      <c r="N66" s="12">
        <f t="array" ref="N66">INDEX(MatchHistory!$J:$J,MATCH(1,(MatchHistory!$B:$B=$A66)*(MatchHistory!$J:$J&lt;&gt;""),0))</f>
        <v/>
      </c>
    </row>
    <row r="67" ht="22.5" customHeight="1" s="21">
      <c r="A67" s="14" t="inlineStr">
        <is>
          <t>Kango</t>
        </is>
      </c>
      <c r="B67" s="14">
        <f>COUNTIFS(MatchHistory!$B:$B, $A67, MatchHistory!$C:$C, "Town")</f>
        <v/>
      </c>
      <c r="C67" s="14">
        <f>COUNTIFS(MatchHistory!B:B, A67, MatchHistory!C:C, "Town", MatchHistory!D:D, "Win")</f>
        <v/>
      </c>
      <c r="D67" s="13">
        <f>IFERROR(__xludf.DUMMYFUNCTION("TO_PERCENT($B67/$J67)"),1.0)</f>
        <v/>
      </c>
      <c r="E67" s="13">
        <f>IFERROR(__xludf.DUMMYFUNCTION("IF(EQ($B67, 0), TO_PERCENT(0), TO_PERCENT($C67/$B67))"),0.0)</f>
        <v/>
      </c>
      <c r="F67" s="14">
        <f>COUNTIFS(MatchHistory!$B:$B, $A67, MatchHistory!$C:$C, "Mafia")</f>
        <v/>
      </c>
      <c r="G67" s="14">
        <f>COUNTIFS(MatchHistory!$B:$B, $A67, MatchHistory!$C:$C, "Mafia", MatchHistory!$D:$D, "Win")</f>
        <v/>
      </c>
      <c r="H67" s="13">
        <f>IFERROR(__xludf.DUMMYFUNCTION("TO_PERCENT($F67/$J67)"),0.0)</f>
        <v/>
      </c>
      <c r="I67" s="13">
        <f>IFERROR(__xludf.DUMMYFUNCTION("TO_PERCENT(IFERROR($G67/$F67, 0))"),0.0)</f>
        <v/>
      </c>
      <c r="J67" s="14">
        <f>SUM(F67, B67)</f>
        <v/>
      </c>
      <c r="K67" s="13">
        <f>IFERROR(__xludf.DUMMYFUNCTION("TO_PERCENT(IFERROR(($G67+$C67)/($F67+$B67), 0))"),0.0)</f>
        <v/>
      </c>
      <c r="L67" s="11">
        <f t="array" ref="L67">INDEX(MatchHistory!$G:$G,MATCH(1,(MatchHistory!$B:$B=$A67)*(MatchHistory!$G:$G&lt;&gt;""),0))</f>
        <v/>
      </c>
      <c r="M67" s="11">
        <f t="array" ref="M67">INDEX(MatchHistory!$H:$H,MATCH(1,(MatchHistory!$B:$B=$A67)*(MatchHistory!$H:$H&lt;&gt;""),0))</f>
        <v/>
      </c>
      <c r="N67" s="12">
        <f t="array" ref="N67">INDEX(MatchHistory!$J:$J,MATCH(1,(MatchHistory!$B:$B=$A67)*(MatchHistory!$J:$J&lt;&gt;""),0))</f>
        <v/>
      </c>
    </row>
    <row r="68" ht="22.5" customHeight="1" s="21">
      <c r="A68" s="14" t="inlineStr">
        <is>
          <t>Lombax</t>
        </is>
      </c>
      <c r="B68" s="14">
        <f>COUNTIFS(MatchHistory!$B:$B, $A68, MatchHistory!$C:$C, "Town")</f>
        <v/>
      </c>
      <c r="C68" s="14">
        <f>COUNTIFS(MatchHistory!B:B, A68, MatchHistory!C:C, "Town", MatchHistory!D:D, "Win")</f>
        <v/>
      </c>
      <c r="D68" s="13">
        <f>IFERROR(__xludf.DUMMYFUNCTION("TO_PERCENT($B68/$J68)"),0.625)</f>
        <v/>
      </c>
      <c r="E68" s="13">
        <f>IFERROR(__xludf.DUMMYFUNCTION("IF(EQ($B68, 0), TO_PERCENT(0), TO_PERCENT($C68/$B68))"),0.2)</f>
        <v/>
      </c>
      <c r="F68" s="14">
        <f>COUNTIFS(MatchHistory!$B:$B, $A68, MatchHistory!$C:$C, "Mafia")</f>
        <v/>
      </c>
      <c r="G68" s="14">
        <f>COUNTIFS(MatchHistory!$B:$B, $A68, MatchHistory!$C:$C, "Mafia", MatchHistory!$D:$D, "Win")</f>
        <v/>
      </c>
      <c r="H68" s="13">
        <f>IFERROR(__xludf.DUMMYFUNCTION("TO_PERCENT($F68/$J68)"),0.375)</f>
        <v/>
      </c>
      <c r="I68" s="13">
        <f>IFERROR(__xludf.DUMMYFUNCTION("TO_PERCENT(IFERROR($G68/$F68, 0))"),0.6666666666666666)</f>
        <v/>
      </c>
      <c r="J68" s="14">
        <f>SUM(F68, B68)</f>
        <v/>
      </c>
      <c r="K68" s="13">
        <f>IFERROR(__xludf.DUMMYFUNCTION("TO_PERCENT(IFERROR(($G68+$C68)/($F68+$B68), 0))"),0.375)</f>
        <v/>
      </c>
      <c r="L68" s="11">
        <f t="array" ref="L68">INDEX(MatchHistory!$G:$G,MATCH(1,(MatchHistory!$B:$B=$A68)*(MatchHistory!$G:$G&lt;&gt;""),0))</f>
        <v/>
      </c>
      <c r="M68" s="11">
        <f t="array" ref="M68">INDEX(MatchHistory!$H:$H,MATCH(1,(MatchHistory!$B:$B=$A68)*(MatchHistory!$H:$H&lt;&gt;""),0))</f>
        <v/>
      </c>
      <c r="N68" s="12">
        <f t="array" ref="N68">INDEX(MatchHistory!$J:$J,MATCH(1,(MatchHistory!$B:$B=$A68)*(MatchHistory!$J:$J&lt;&gt;""),0))</f>
        <v/>
      </c>
    </row>
    <row r="69" ht="22.5" customHeight="1" s="21">
      <c r="A69" s="14" t="inlineStr">
        <is>
          <t>Daniel</t>
        </is>
      </c>
      <c r="B69" s="14">
        <f>COUNTIFS(MatchHistory!$B:$B, $A69, MatchHistory!$C:$C, "Town")</f>
        <v/>
      </c>
      <c r="C69" s="14">
        <f>COUNTIFS(MatchHistory!B:B, A69, MatchHistory!C:C, "Town", MatchHistory!D:D, "Win")</f>
        <v/>
      </c>
      <c r="D69" s="13">
        <f>IFERROR(__xludf.DUMMYFUNCTION("TO_PERCENT($B69/$J69)"),1.0)</f>
        <v/>
      </c>
      <c r="E69" s="13">
        <f>IFERROR(__xludf.DUMMYFUNCTION("IF(EQ($B69, 0), TO_PERCENT(0), TO_PERCENT($C69/$B69))"),0.0)</f>
        <v/>
      </c>
      <c r="F69" s="14">
        <f>COUNTIFS(MatchHistory!$B:$B, $A69, MatchHistory!$C:$C, "Mafia")</f>
        <v/>
      </c>
      <c r="G69" s="14">
        <f>COUNTIFS(MatchHistory!$B:$B, $A69, MatchHistory!$C:$C, "Mafia", MatchHistory!$D:$D, "Win")</f>
        <v/>
      </c>
      <c r="H69" s="13">
        <f>IFERROR(__xludf.DUMMYFUNCTION("TO_PERCENT($F69/$J69)"),0.0)</f>
        <v/>
      </c>
      <c r="I69" s="13">
        <f>IFERROR(__xludf.DUMMYFUNCTION("TO_PERCENT(IFERROR($G69/$F69, 0))"),0.0)</f>
        <v/>
      </c>
      <c r="J69" s="14">
        <f>SUM(F69, B69)</f>
        <v/>
      </c>
      <c r="K69" s="13">
        <f>IFERROR(__xludf.DUMMYFUNCTION("TO_PERCENT(IFERROR(($G69+$C69)/($F69+$B69), 0))"),0.0)</f>
        <v/>
      </c>
      <c r="L69" s="11">
        <f t="array" ref="L69">INDEX(MatchHistory!$G:$G,MATCH(1,(MatchHistory!$B:$B=$A69)*(MatchHistory!$G:$G&lt;&gt;""),0))</f>
        <v/>
      </c>
      <c r="M69" s="11">
        <f t="array" ref="M69">INDEX(MatchHistory!$H:$H,MATCH(1,(MatchHistory!$B:$B=$A69)*(MatchHistory!$H:$H&lt;&gt;""),0))</f>
        <v/>
      </c>
      <c r="N69" s="12">
        <f t="array" ref="N69">INDEX(MatchHistory!$J:$J,MATCH(1,(MatchHistory!$B:$B=$A69)*(MatchHistory!$J:$J&lt;&gt;""),0))</f>
        <v/>
      </c>
    </row>
    <row r="70" ht="22.5" customHeight="1" s="21">
      <c r="A70" s="14" t="inlineStr">
        <is>
          <t>Kwix</t>
        </is>
      </c>
      <c r="B70" s="14">
        <f>COUNTIFS(MatchHistory!$B:$B, $A70, MatchHistory!$C:$C, "Town")</f>
        <v/>
      </c>
      <c r="C70" s="14">
        <f>COUNTIFS(MatchHistory!B:B, A70, MatchHistory!C:C, "Town", MatchHistory!D:D, "Win")</f>
        <v/>
      </c>
      <c r="D70" s="13">
        <f>IFERROR(__xludf.DUMMYFUNCTION("TO_PERCENT($B70/$J70)"),0.7555555555555555)</f>
        <v/>
      </c>
      <c r="E70" s="13">
        <f>IFERROR(__xludf.DUMMYFUNCTION("IF(EQ($B70, 0), TO_PERCENT(0), TO_PERCENT($C70/$B70))"),0.38235294117647056)</f>
        <v/>
      </c>
      <c r="F70" s="14">
        <f>COUNTIFS(MatchHistory!$B:$B, $A70, MatchHistory!$C:$C, "Mafia")</f>
        <v/>
      </c>
      <c r="G70" s="14">
        <f>COUNTIFS(MatchHistory!$B:$B, $A70, MatchHistory!$C:$C, "Mafia", MatchHistory!$D:$D, "Win")</f>
        <v/>
      </c>
      <c r="H70" s="13">
        <f>IFERROR(__xludf.DUMMYFUNCTION("TO_PERCENT($F70/$J70)"),0.24444444444444444)</f>
        <v/>
      </c>
      <c r="I70" s="13">
        <f>IFERROR(__xludf.DUMMYFUNCTION("TO_PERCENT(IFERROR($G70/$F70, 0))"),0.45454545454545453)</f>
        <v/>
      </c>
      <c r="J70" s="14">
        <f>SUM(F70, B70)</f>
        <v/>
      </c>
      <c r="K70" s="13">
        <f>IFERROR(__xludf.DUMMYFUNCTION("TO_PERCENT(IFERROR(($G70+$C70)/($F70+$B70), 0))"),0.4)</f>
        <v/>
      </c>
      <c r="L70" s="11">
        <f t="array" ref="L70">INDEX(MatchHistory!$G:$G,MATCH(1,(MatchHistory!$B:$B=$A70)*(MatchHistory!$G:$G&lt;&gt;""),0))</f>
        <v/>
      </c>
      <c r="M70" s="11">
        <f t="array" ref="M70">INDEX(MatchHistory!$H:$H,MATCH(1,(MatchHistory!$B:$B=$A70)*(MatchHistory!$H:$H&lt;&gt;""),0))</f>
        <v/>
      </c>
      <c r="N70" s="12">
        <f t="array" ref="N70">INDEX(MatchHistory!$J:$J,MATCH(1,(MatchHistory!$B:$B=$A70)*(MatchHistory!$J:$J&lt;&gt;""),0))</f>
        <v/>
      </c>
    </row>
    <row r="71" ht="22.5" customHeight="1" s="21">
      <c r="A71" s="14" t="inlineStr">
        <is>
          <t>Sunspot</t>
        </is>
      </c>
      <c r="B71" s="14">
        <f>COUNTIFS(MatchHistory!$B:$B, $A71, MatchHistory!$C:$C, "Town")</f>
        <v/>
      </c>
      <c r="C71" s="14">
        <f>COUNTIFS(MatchHistory!B:B, A71, MatchHistory!C:C, "Town", MatchHistory!D:D, "Win")</f>
        <v/>
      </c>
      <c r="D71" s="13">
        <f>IFERROR(__xludf.DUMMYFUNCTION("TO_PERCENT($B71/$J71)"),1.0)</f>
        <v/>
      </c>
      <c r="E71" s="13">
        <f>IFERROR(__xludf.DUMMYFUNCTION("IF(EQ($B71, 0), TO_PERCENT(0), TO_PERCENT($C71/$B71))"),0.0)</f>
        <v/>
      </c>
      <c r="F71" s="14">
        <f>COUNTIFS(MatchHistory!$B:$B, $A71, MatchHistory!$C:$C, "Mafia")</f>
        <v/>
      </c>
      <c r="G71" s="14">
        <f>COUNTIFS(MatchHistory!$B:$B, $A71, MatchHistory!$C:$C, "Mafia", MatchHistory!$D:$D, "Win")</f>
        <v/>
      </c>
      <c r="H71" s="13">
        <f>IFERROR(__xludf.DUMMYFUNCTION("TO_PERCENT($F71/$J71)"),0.0)</f>
        <v/>
      </c>
      <c r="I71" s="13">
        <f>IFERROR(__xludf.DUMMYFUNCTION("TO_PERCENT(IFERROR($G71/$F71, 0))"),0.0)</f>
        <v/>
      </c>
      <c r="J71" s="14">
        <f>SUM(F71, B71)</f>
        <v/>
      </c>
      <c r="K71" s="13">
        <f>IFERROR(__xludf.DUMMYFUNCTION("TO_PERCENT(IFERROR(($G71+$C71)/($F71+$B71), 0))"),0.0)</f>
        <v/>
      </c>
      <c r="L71" s="11">
        <f t="array" ref="L71">INDEX(MatchHistory!$G:$G,MATCH(1,(MatchHistory!$B:$B=$A71)*(MatchHistory!$G:$G&lt;&gt;""),0))</f>
        <v/>
      </c>
      <c r="M71" s="11">
        <f t="array" ref="M71">INDEX(MatchHistory!$H:$H,MATCH(1,(MatchHistory!$B:$B=$A71)*(MatchHistory!$H:$H&lt;&gt;""),0))</f>
        <v/>
      </c>
      <c r="N71" s="12">
        <f t="array" ref="N71">INDEX(MatchHistory!$J:$J,MATCH(1,(MatchHistory!$B:$B=$A71)*(MatchHistory!$J:$J&lt;&gt;""),0))</f>
        <v/>
      </c>
    </row>
    <row r="72" ht="22.5" customHeight="1" s="21">
      <c r="A72" s="14" t="inlineStr">
        <is>
          <t>Zesta</t>
        </is>
      </c>
      <c r="B72" s="14">
        <f>COUNTIFS(MatchHistory!$B:$B, $A72, MatchHistory!$C:$C, "Town")</f>
        <v/>
      </c>
      <c r="C72" s="14">
        <f>COUNTIFS(MatchHistory!B:B, A72, MatchHistory!C:C, "Town", MatchHistory!D:D, "Win")</f>
        <v/>
      </c>
      <c r="D72" s="13">
        <f>IFERROR(__xludf.DUMMYFUNCTION("TO_PERCENT($B72/$J72)"),1.0)</f>
        <v/>
      </c>
      <c r="E72" s="13">
        <f>IFERROR(__xludf.DUMMYFUNCTION("IF(EQ($B72, 0), TO_PERCENT(0), TO_PERCENT($C72/$B72))"),0.0)</f>
        <v/>
      </c>
      <c r="F72" s="14">
        <f>COUNTIFS(MatchHistory!$B:$B, $A72, MatchHistory!$C:$C, "Mafia")</f>
        <v/>
      </c>
      <c r="G72" s="14">
        <f>COUNTIFS(MatchHistory!$B:$B, $A72, MatchHistory!$C:$C, "Mafia", MatchHistory!$D:$D, "Win")</f>
        <v/>
      </c>
      <c r="H72" s="13">
        <f>IFERROR(__xludf.DUMMYFUNCTION("TO_PERCENT($F72/$J72)"),0.0)</f>
        <v/>
      </c>
      <c r="I72" s="13">
        <f>IFERROR(__xludf.DUMMYFUNCTION("TO_PERCENT(IFERROR($G72/$F72, 0))"),0.0)</f>
        <v/>
      </c>
      <c r="J72" s="14">
        <f>SUM(F72, B72)</f>
        <v/>
      </c>
      <c r="K72" s="13">
        <f>IFERROR(__xludf.DUMMYFUNCTION("TO_PERCENT(IFERROR(($G72+$C72)/($F72+$B72), 0))"),0.0)</f>
        <v/>
      </c>
      <c r="L72" s="11">
        <f t="array" ref="L72">INDEX(MatchHistory!$G:$G,MATCH(1,(MatchHistory!$B:$B=$A72)*(MatchHistory!$G:$G&lt;&gt;""),0))</f>
        <v/>
      </c>
      <c r="M72" s="11">
        <f t="array" ref="M72">INDEX(MatchHistory!$H:$H,MATCH(1,(MatchHistory!$B:$B=$A72)*(MatchHistory!$H:$H&lt;&gt;""),0))</f>
        <v/>
      </c>
      <c r="N72" s="12">
        <f t="array" ref="N72">INDEX(MatchHistory!$J:$J,MATCH(1,(MatchHistory!$B:$B=$A72)*(MatchHistory!$J:$J&lt;&gt;""),0))</f>
        <v/>
      </c>
    </row>
    <row r="73" ht="22.5" customHeight="1" s="21">
      <c r="A73" s="14" t="inlineStr">
        <is>
          <t>Relm</t>
        </is>
      </c>
      <c r="B73" s="14">
        <f>COUNTIFS(MatchHistory!$B:$B, $A73, MatchHistory!$C:$C, "Town")</f>
        <v/>
      </c>
      <c r="C73" s="14">
        <f>COUNTIFS(MatchHistory!B:B, A73, MatchHistory!C:C, "Town", MatchHistory!D:D, "Win")</f>
        <v/>
      </c>
      <c r="D73" s="13">
        <f>IFERROR(__xludf.DUMMYFUNCTION("TO_PERCENT($B73/$J73)"),1.0)</f>
        <v/>
      </c>
      <c r="E73" s="13">
        <f>IFERROR(__xludf.DUMMYFUNCTION("IF(EQ($B73, 0), TO_PERCENT(0), TO_PERCENT($C73/$B73))"),0.0)</f>
        <v/>
      </c>
      <c r="F73" s="14">
        <f>COUNTIFS(MatchHistory!$B:$B, $A73, MatchHistory!$C:$C, "Mafia")</f>
        <v/>
      </c>
      <c r="G73" s="14">
        <f>COUNTIFS(MatchHistory!$B:$B, $A73, MatchHistory!$C:$C, "Mafia", MatchHistory!$D:$D, "Win")</f>
        <v/>
      </c>
      <c r="H73" s="13">
        <f>IFERROR(__xludf.DUMMYFUNCTION("TO_PERCENT($F73/$J73)"),0.0)</f>
        <v/>
      </c>
      <c r="I73" s="13">
        <f>IFERROR(__xludf.DUMMYFUNCTION("TO_PERCENT(IFERROR($G73/$F73, 0))"),0.0)</f>
        <v/>
      </c>
      <c r="J73" s="14">
        <f>SUM(F73, B73)</f>
        <v/>
      </c>
      <c r="K73" s="13">
        <f>IFERROR(__xludf.DUMMYFUNCTION("TO_PERCENT(IFERROR(($G73+$C73)/($F73+$B73), 0))"),0.0)</f>
        <v/>
      </c>
      <c r="L73" s="11">
        <f t="array" ref="L73">INDEX(MatchHistory!$G:$G,MATCH(1,(MatchHistory!$B:$B=$A73)*(MatchHistory!$G:$G&lt;&gt;""),0))</f>
        <v/>
      </c>
      <c r="M73" s="11">
        <f t="array" ref="M73">INDEX(MatchHistory!$H:$H,MATCH(1,(MatchHistory!$B:$B=$A73)*(MatchHistory!$H:$H&lt;&gt;""),0))</f>
        <v/>
      </c>
      <c r="N73" s="12">
        <f t="array" ref="N73">INDEX(MatchHistory!$J:$J,MATCH(1,(MatchHistory!$B:$B=$A73)*(MatchHistory!$J:$J&lt;&gt;""),0))</f>
        <v/>
      </c>
    </row>
    <row r="74" ht="22.5" customHeight="1" s="21">
      <c r="A74" s="14" t="inlineStr">
        <is>
          <t>Pie</t>
        </is>
      </c>
      <c r="B74" s="14">
        <f>COUNTIFS(MatchHistory!$B:$B, $A74, MatchHistory!$C:$C, "Town")</f>
        <v/>
      </c>
      <c r="C74" s="14">
        <f>COUNTIFS(MatchHistory!B:B, A74, MatchHistory!C:C, "Town", MatchHistory!D:D, "Win")</f>
        <v/>
      </c>
      <c r="D74" s="13">
        <f>IFERROR(__xludf.DUMMYFUNCTION("TO_PERCENT($B74/$J74)"),0.0)</f>
        <v/>
      </c>
      <c r="E74" s="13">
        <f>IFERROR(__xludf.DUMMYFUNCTION("IF(EQ($B74, 0), TO_PERCENT(0), TO_PERCENT($C74/$B74))"),0.0)</f>
        <v/>
      </c>
      <c r="F74" s="14">
        <f>COUNTIFS(MatchHistory!$B:$B, $A74, MatchHistory!$C:$C, "Mafia")</f>
        <v/>
      </c>
      <c r="G74" s="14">
        <f>COUNTIFS(MatchHistory!$B:$B, $A74, MatchHistory!$C:$C, "Mafia", MatchHistory!$D:$D, "Win")</f>
        <v/>
      </c>
      <c r="H74" s="13">
        <f>IFERROR(__xludf.DUMMYFUNCTION("TO_PERCENT($F74/$J74)"),1.0)</f>
        <v/>
      </c>
      <c r="I74" s="13">
        <f>IFERROR(__xludf.DUMMYFUNCTION("TO_PERCENT(IFERROR($G74/$F74, 0))"),0.0)</f>
        <v/>
      </c>
      <c r="J74" s="14">
        <f>SUM(F74, B74)</f>
        <v/>
      </c>
      <c r="K74" s="13">
        <f>IFERROR(__xludf.DUMMYFUNCTION("TO_PERCENT(IFERROR(($G74+$C74)/($F74+$B74), 0))"),0.0)</f>
        <v/>
      </c>
      <c r="L74" s="11">
        <f t="array" ref="L74">INDEX(MatchHistory!$G:$G,MATCH(1,(MatchHistory!$B:$B=$A74)*(MatchHistory!$G:$G&lt;&gt;""),0))</f>
        <v/>
      </c>
      <c r="M74" s="11">
        <f t="array" ref="M74">INDEX(MatchHistory!$H:$H,MATCH(1,(MatchHistory!$B:$B=$A74)*(MatchHistory!$H:$H&lt;&gt;""),0))</f>
        <v/>
      </c>
      <c r="N74" s="12">
        <f t="array" ref="N74">INDEX(MatchHistory!$J:$J,MATCH(1,(MatchHistory!$B:$B=$A74)*(MatchHistory!$J:$J&lt;&gt;""),0))</f>
        <v/>
      </c>
    </row>
    <row r="75" ht="22.5" customHeight="1" s="21">
      <c r="A75" s="14" t="inlineStr">
        <is>
          <t>Raf</t>
        </is>
      </c>
      <c r="B75" s="14">
        <f>COUNTIFS(MatchHistory!$B:$B, $A75, MatchHistory!$C:$C, "Town")</f>
        <v/>
      </c>
      <c r="C75" s="14">
        <f>COUNTIFS(MatchHistory!B:B, A75, MatchHistory!C:C, "Town", MatchHistory!D:D, "Win")</f>
        <v/>
      </c>
      <c r="D75" s="13">
        <f>IFERROR(__xludf.DUMMYFUNCTION("TO_PERCENT($B75/$J75)"),1.0)</f>
        <v/>
      </c>
      <c r="E75" s="13">
        <f>IFERROR(__xludf.DUMMYFUNCTION("IF(EQ($B75, 0), TO_PERCENT(0), TO_PERCENT($C75/$B75))"),0.0)</f>
        <v/>
      </c>
      <c r="F75" s="14">
        <f>COUNTIFS(MatchHistory!$B:$B, $A75, MatchHistory!$C:$C, "Mafia")</f>
        <v/>
      </c>
      <c r="G75" s="14">
        <f>COUNTIFS(MatchHistory!$B:$B, $A75, MatchHistory!$C:$C, "Mafia", MatchHistory!$D:$D, "Win")</f>
        <v/>
      </c>
      <c r="H75" s="13">
        <f>IFERROR(__xludf.DUMMYFUNCTION("TO_PERCENT($F75/$J75)"),0.0)</f>
        <v/>
      </c>
      <c r="I75" s="13">
        <f>IFERROR(__xludf.DUMMYFUNCTION("TO_PERCENT(IFERROR($G75/$F75, 0))"),0.0)</f>
        <v/>
      </c>
      <c r="J75" s="14">
        <f>SUM(F75, B75)</f>
        <v/>
      </c>
      <c r="K75" s="13">
        <f>IFERROR(__xludf.DUMMYFUNCTION("TO_PERCENT(IFERROR(($G75+$C75)/($F75+$B75), 0))"),0.0)</f>
        <v/>
      </c>
      <c r="L75" s="11">
        <f t="array" ref="L75">INDEX(MatchHistory!$G:$G,MATCH(1,(MatchHistory!$B:$B=$A75)*(MatchHistory!$G:$G&lt;&gt;""),0))</f>
        <v/>
      </c>
      <c r="M75" s="11">
        <f t="array" ref="M75">INDEX(MatchHistory!$H:$H,MATCH(1,(MatchHistory!$B:$B=$A75)*(MatchHistory!$H:$H&lt;&gt;""),0))</f>
        <v/>
      </c>
      <c r="N75" s="12">
        <f t="array" ref="N75">INDEX(MatchHistory!$J:$J,MATCH(1,(MatchHistory!$B:$B=$A75)*(MatchHistory!$J:$J&lt;&gt;""),0))</f>
        <v/>
      </c>
    </row>
    <row r="76" ht="22.5" customHeight="1" s="21">
      <c r="A76" s="14" t="inlineStr">
        <is>
          <t>Decode</t>
        </is>
      </c>
      <c r="B76" s="14">
        <f>COUNTIFS(MatchHistory!$B:$B, $A76, MatchHistory!$C:$C, "Town")</f>
        <v/>
      </c>
      <c r="C76" s="14">
        <f>COUNTIFS(MatchHistory!B:B, A76, MatchHistory!C:C, "Town", MatchHistory!D:D, "Win")</f>
        <v/>
      </c>
      <c r="D76" s="13">
        <f>IFERROR(__xludf.DUMMYFUNCTION("TO_PERCENT($B76/$J76)"),0.8)</f>
        <v/>
      </c>
      <c r="E76" s="13">
        <f>IFERROR(__xludf.DUMMYFUNCTION("IF(EQ($B76, 0), TO_PERCENT(0), TO_PERCENT($C76/$B76))"),0.375)</f>
        <v/>
      </c>
      <c r="F76" s="14">
        <f>COUNTIFS(MatchHistory!$B:$B, $A76, MatchHistory!$C:$C, "Mafia")</f>
        <v/>
      </c>
      <c r="G76" s="14">
        <f>COUNTIFS(MatchHistory!$B:$B, $A76, MatchHistory!$C:$C, "Mafia", MatchHistory!$D:$D, "Win")</f>
        <v/>
      </c>
      <c r="H76" s="13">
        <f>IFERROR(__xludf.DUMMYFUNCTION("TO_PERCENT($F76/$J76)"),0.2)</f>
        <v/>
      </c>
      <c r="I76" s="13">
        <f>IFERROR(__xludf.DUMMYFUNCTION("TO_PERCENT(IFERROR($G76/$F76, 0))"),0.25)</f>
        <v/>
      </c>
      <c r="J76" s="14">
        <f>SUM(F76, B76)</f>
        <v/>
      </c>
      <c r="K76" s="13">
        <f>IFERROR(__xludf.DUMMYFUNCTION("TO_PERCENT(IFERROR(($G76+$C76)/($F76+$B76), 0))"),0.35)</f>
        <v/>
      </c>
      <c r="L76" s="11">
        <f t="array" ref="L76">INDEX(MatchHistory!$G:$G,MATCH(1,(MatchHistory!$B:$B=$A76)*(MatchHistory!$G:$G&lt;&gt;""),0))</f>
        <v/>
      </c>
      <c r="M76" s="11">
        <f t="array" ref="M76">INDEX(MatchHistory!$H:$H,MATCH(1,(MatchHistory!$B:$B=$A76)*(MatchHistory!$H:$H&lt;&gt;""),0))</f>
        <v/>
      </c>
      <c r="N76" s="12">
        <f t="array" ref="N76">INDEX(MatchHistory!$J:$J,MATCH(1,(MatchHistory!$B:$B=$A76)*(MatchHistory!$J:$J&lt;&gt;""),0))</f>
        <v/>
      </c>
    </row>
    <row r="77" ht="22.5" customHeight="1" s="21">
      <c r="A77" s="14" t="inlineStr">
        <is>
          <t>Matt</t>
        </is>
      </c>
      <c r="B77" s="14">
        <f>COUNTIFS(MatchHistory!$B:$B, $A77, MatchHistory!$C:$C, "Town")</f>
        <v/>
      </c>
      <c r="C77" s="14">
        <f>COUNTIFS(MatchHistory!B:B, A77, MatchHistory!C:C, "Town", MatchHistory!D:D, "Win")</f>
        <v/>
      </c>
      <c r="D77" s="13">
        <f>IFERROR(__xludf.DUMMYFUNCTION("TO_PERCENT($B77/$J77)"),1.0)</f>
        <v/>
      </c>
      <c r="E77" s="13">
        <f>IFERROR(__xludf.DUMMYFUNCTION("IF(EQ($B77, 0), TO_PERCENT(0), TO_PERCENT($C77/$B77))"),0.0)</f>
        <v/>
      </c>
      <c r="F77" s="14">
        <f>COUNTIFS(MatchHistory!$B:$B, $A77, MatchHistory!$C:$C, "Mafia")</f>
        <v/>
      </c>
      <c r="G77" s="14">
        <f>COUNTIFS(MatchHistory!$B:$B, $A77, MatchHistory!$C:$C, "Mafia", MatchHistory!$D:$D, "Win")</f>
        <v/>
      </c>
      <c r="H77" s="13">
        <f>IFERROR(__xludf.DUMMYFUNCTION("TO_PERCENT($F77/$J77)"),0.0)</f>
        <v/>
      </c>
      <c r="I77" s="13">
        <f>IFERROR(__xludf.DUMMYFUNCTION("TO_PERCENT(IFERROR($G77/$F77, 0))"),0.0)</f>
        <v/>
      </c>
      <c r="J77" s="14">
        <f>SUM(F77, B77)</f>
        <v/>
      </c>
      <c r="K77" s="13">
        <f>IFERROR(__xludf.DUMMYFUNCTION("TO_PERCENT(IFERROR(($G77+$C77)/($F77+$B77), 0))"),0.0)</f>
        <v/>
      </c>
      <c r="L77" s="11">
        <f t="array" ref="L77">INDEX(MatchHistory!$G:$G,MATCH(1,(MatchHistory!$B:$B=$A77)*(MatchHistory!$G:$G&lt;&gt;""),0))</f>
        <v/>
      </c>
      <c r="M77" s="11">
        <f t="array" ref="M77">INDEX(MatchHistory!$H:$H,MATCH(1,(MatchHistory!$B:$B=$A77)*(MatchHistory!$H:$H&lt;&gt;""),0))</f>
        <v/>
      </c>
      <c r="N77" s="12">
        <f t="array" ref="N77">INDEX(MatchHistory!$J:$J,MATCH(1,(MatchHistory!$B:$B=$A77)*(MatchHistory!$J:$J&lt;&gt;""),0))</f>
        <v/>
      </c>
    </row>
    <row r="78" ht="22.5" customHeight="1" s="21">
      <c r="A78" s="14" t="inlineStr">
        <is>
          <t>Lovekilling</t>
        </is>
      </c>
      <c r="B78" s="14">
        <f>COUNTIFS(MatchHistory!$B:$B, $A78, MatchHistory!$C:$C, "Town")</f>
        <v/>
      </c>
      <c r="C78" s="14">
        <f>COUNTIFS(MatchHistory!B:B, A78, MatchHistory!C:C, "Town", MatchHistory!D:D, "Win")</f>
        <v/>
      </c>
      <c r="D78" s="13">
        <f>IFERROR(__xludf.DUMMYFUNCTION("TO_PERCENT($B78/$J78)"),0.5833333333333334)</f>
        <v/>
      </c>
      <c r="E78" s="13">
        <f>IFERROR(__xludf.DUMMYFUNCTION("IF(EQ($B78, 0), TO_PERCENT(0), TO_PERCENT($C78/$B78))"),0.42857142857142855)</f>
        <v/>
      </c>
      <c r="F78" s="14">
        <f>COUNTIFS(MatchHistory!$B:$B, $A78, MatchHistory!$C:$C, "Mafia")</f>
        <v/>
      </c>
      <c r="G78" s="14">
        <f>COUNTIFS(MatchHistory!$B:$B, $A78, MatchHistory!$C:$C, "Mafia", MatchHistory!$D:$D, "Win")</f>
        <v/>
      </c>
      <c r="H78" s="13">
        <f>IFERROR(__xludf.DUMMYFUNCTION("TO_PERCENT($F78/$J78)"),0.4166666666666667)</f>
        <v/>
      </c>
      <c r="I78" s="13">
        <f>IFERROR(__xludf.DUMMYFUNCTION("TO_PERCENT(IFERROR($G78/$F78, 0))"),0.2)</f>
        <v/>
      </c>
      <c r="J78" s="14">
        <f>SUM(F78, B78)</f>
        <v/>
      </c>
      <c r="K78" s="13">
        <f>IFERROR(__xludf.DUMMYFUNCTION("TO_PERCENT(IFERROR(($G78+$C78)/($F78+$B78), 0))"),0.3333333333333333)</f>
        <v/>
      </c>
      <c r="L78" s="11">
        <f t="array" ref="L78">INDEX(MatchHistory!$G:$G,MATCH(1,(MatchHistory!$B:$B=$A78)*(MatchHistory!$G:$G&lt;&gt;""),0))</f>
        <v/>
      </c>
      <c r="M78" s="11">
        <f t="array" ref="M78">INDEX(MatchHistory!$H:$H,MATCH(1,(MatchHistory!$B:$B=$A78)*(MatchHistory!$H:$H&lt;&gt;""),0))</f>
        <v/>
      </c>
      <c r="N78" s="12">
        <f t="array" ref="N78">INDEX(MatchHistory!$J:$J,MATCH(1,(MatchHistory!$B:$B=$A78)*(MatchHistory!$J:$J&lt;&gt;""),0))</f>
        <v/>
      </c>
    </row>
    <row r="79" ht="22.5" customHeight="1" s="21">
      <c r="A79" s="14" t="inlineStr">
        <is>
          <t>Hunterxp</t>
        </is>
      </c>
      <c r="B79" s="14">
        <f>COUNTIFS(MatchHistory!$B:$B, $A79, MatchHistory!$C:$C, "Town")</f>
        <v/>
      </c>
      <c r="C79" s="14">
        <f>COUNTIFS(MatchHistory!B:B, A79, MatchHistory!C:C, "Town", MatchHistory!D:D, "Win")</f>
        <v/>
      </c>
      <c r="D79" s="13">
        <f>IFERROR(__xludf.DUMMYFUNCTION("TO_PERCENT($B79/$J79)"),0.7272727272727273)</f>
        <v/>
      </c>
      <c r="E79" s="13">
        <f>IFERROR(__xludf.DUMMYFUNCTION("IF(EQ($B79, 0), TO_PERCENT(0), TO_PERCENT($C79/$B79))"),0.25)</f>
        <v/>
      </c>
      <c r="F79" s="14">
        <f>COUNTIFS(MatchHistory!$B:$B, $A79, MatchHistory!$C:$C, "Mafia")</f>
        <v/>
      </c>
      <c r="G79" s="14">
        <f>COUNTIFS(MatchHistory!$B:$B, $A79, MatchHistory!$C:$C, "Mafia", MatchHistory!$D:$D, "Win")</f>
        <v/>
      </c>
      <c r="H79" s="13">
        <f>IFERROR(__xludf.DUMMYFUNCTION("TO_PERCENT($F79/$J79)"),0.2727272727272727)</f>
        <v/>
      </c>
      <c r="I79" s="13">
        <f>IFERROR(__xludf.DUMMYFUNCTION("TO_PERCENT(IFERROR($G79/$F79, 0))"),0.6666666666666666)</f>
        <v/>
      </c>
      <c r="J79" s="14">
        <f>SUM(F79, B79)</f>
        <v/>
      </c>
      <c r="K79" s="13">
        <f>IFERROR(__xludf.DUMMYFUNCTION("TO_PERCENT(IFERROR(($G79+$C79)/($F79+$B79), 0))"),0.36363636363636365)</f>
        <v/>
      </c>
      <c r="L79" s="11">
        <f t="array" ref="L79">INDEX(MatchHistory!$G:$G,MATCH(1,(MatchHistory!$B:$B=$A79)*(MatchHistory!$G:$G&lt;&gt;""),0))</f>
        <v/>
      </c>
      <c r="M79" s="11">
        <f t="array" ref="M79">INDEX(MatchHistory!$H:$H,MATCH(1,(MatchHistory!$B:$B=$A79)*(MatchHistory!$H:$H&lt;&gt;""),0))</f>
        <v/>
      </c>
      <c r="N79" s="12">
        <f t="array" ref="N79">INDEX(MatchHistory!$J:$J,MATCH(1,(MatchHistory!$B:$B=$A79)*(MatchHistory!$J:$J&lt;&gt;""),0))</f>
        <v/>
      </c>
    </row>
    <row r="80" ht="22.5" customHeight="1" s="21">
      <c r="A80" s="14" t="inlineStr">
        <is>
          <t>Paradox</t>
        </is>
      </c>
      <c r="B80" s="14">
        <f>COUNTIFS(MatchHistory!$B:$B, $A80, MatchHistory!$C:$C, "Town")</f>
        <v/>
      </c>
      <c r="C80" s="14">
        <f>COUNTIFS(MatchHistory!B:B, A80, MatchHistory!C:C, "Town", MatchHistory!D:D, "Win")</f>
        <v/>
      </c>
      <c r="D80" s="13">
        <f>IFERROR(__xludf.DUMMYFUNCTION("TO_PERCENT($B80/$J80)"),0.0)</f>
        <v/>
      </c>
      <c r="E80" s="13">
        <f>IFERROR(__xludf.DUMMYFUNCTION("IF(EQ($B80, 0), TO_PERCENT(0), TO_PERCENT($C80/$B80))"),0.0)</f>
        <v/>
      </c>
      <c r="F80" s="14">
        <f>COUNTIFS(MatchHistory!$B:$B, $A80, MatchHistory!$C:$C, "Mafia")</f>
        <v/>
      </c>
      <c r="G80" s="14">
        <f>COUNTIFS(MatchHistory!$B:$B, $A80, MatchHistory!$C:$C, "Mafia", MatchHistory!$D:$D, "Win")</f>
        <v/>
      </c>
      <c r="H80" s="13">
        <f>IFERROR(__xludf.DUMMYFUNCTION("TO_PERCENT($F80/$J80)"),1.0)</f>
        <v/>
      </c>
      <c r="I80" s="13">
        <f>IFERROR(__xludf.DUMMYFUNCTION("TO_PERCENT(IFERROR($G80/$F80, 0))"),0.0)</f>
        <v/>
      </c>
      <c r="J80" s="14">
        <f>SUM(F80, B80)</f>
        <v/>
      </c>
      <c r="K80" s="13">
        <f>IFERROR(__xludf.DUMMYFUNCTION("TO_PERCENT(IFERROR(($G80+$C80)/($F80+$B80), 0))"),0.0)</f>
        <v/>
      </c>
      <c r="L80" s="11">
        <f t="array" ref="L80">INDEX(MatchHistory!$G:$G,MATCH(1,(MatchHistory!$B:$B=$A80)*(MatchHistory!$G:$G&lt;&gt;""),0))</f>
        <v/>
      </c>
      <c r="M80" s="11">
        <f t="array" ref="M80">INDEX(MatchHistory!$H:$H,MATCH(1,(MatchHistory!$B:$B=$A80)*(MatchHistory!$H:$H&lt;&gt;""),0))</f>
        <v/>
      </c>
      <c r="N80" s="12">
        <f t="array" ref="N80">INDEX(MatchHistory!$J:$J,MATCH(1,(MatchHistory!$B:$B=$A80)*(MatchHistory!$J:$J&lt;&gt;""),0))</f>
        <v/>
      </c>
    </row>
    <row r="81" ht="22.5" customHeight="1" s="21">
      <c r="A81" s="14" t="inlineStr">
        <is>
          <t>Justice</t>
        </is>
      </c>
      <c r="B81" s="14">
        <f>COUNTIFS(MatchHistory!$B:$B, $A81, MatchHistory!$C:$C, "Town")</f>
        <v/>
      </c>
      <c r="C81" s="14">
        <f>COUNTIFS(MatchHistory!B:B, A81, MatchHistory!C:C, "Town", MatchHistory!D:D, "Win")</f>
        <v/>
      </c>
      <c r="D81" s="13">
        <f>IFERROR(__xludf.DUMMYFUNCTION("TO_PERCENT($B81/$J81)"),0.0)</f>
        <v/>
      </c>
      <c r="E81" s="13">
        <f>IFERROR(__xludf.DUMMYFUNCTION("IF(EQ($B81, 0), TO_PERCENT(0), TO_PERCENT($C81/$B81))"),0.0)</f>
        <v/>
      </c>
      <c r="F81" s="14">
        <f>COUNTIFS(MatchHistory!$B:$B, $A81, MatchHistory!$C:$C, "Mafia")</f>
        <v/>
      </c>
      <c r="G81" s="14">
        <f>COUNTIFS(MatchHistory!$B:$B, $A81, MatchHistory!$C:$C, "Mafia", MatchHistory!$D:$D, "Win")</f>
        <v/>
      </c>
      <c r="H81" s="13">
        <f>IFERROR(__xludf.DUMMYFUNCTION("TO_PERCENT($F81/$J81)"),1.0)</f>
        <v/>
      </c>
      <c r="I81" s="13">
        <f>IFERROR(__xludf.DUMMYFUNCTION("TO_PERCENT(IFERROR($G81/$F81, 0))"),0.0)</f>
        <v/>
      </c>
      <c r="J81" s="14">
        <f>SUM(F81, B81)</f>
        <v/>
      </c>
      <c r="K81" s="13">
        <f>IFERROR(__xludf.DUMMYFUNCTION("TO_PERCENT(IFERROR(($G81+$C81)/($F81+$B81), 0))"),0.0)</f>
        <v/>
      </c>
      <c r="L81" s="11">
        <f t="array" ref="L81">INDEX(MatchHistory!$G:$G,MATCH(1,(MatchHistory!$B:$B=$A81)*(MatchHistory!$G:$G&lt;&gt;""),0))</f>
        <v/>
      </c>
      <c r="M81" s="11">
        <f t="array" ref="M81">INDEX(MatchHistory!$H:$H,MATCH(1,(MatchHistory!$B:$B=$A81)*(MatchHistory!$H:$H&lt;&gt;""),0))</f>
        <v/>
      </c>
      <c r="N81" s="12">
        <f t="array" ref="N81">INDEX(MatchHistory!$J:$J,MATCH(1,(MatchHistory!$B:$B=$A81)*(MatchHistory!$J:$J&lt;&gt;""),0))</f>
        <v/>
      </c>
    </row>
    <row r="82" ht="22.5" customHeight="1" s="21">
      <c r="A82" s="14" t="inlineStr">
        <is>
          <t>Happymeal</t>
        </is>
      </c>
      <c r="B82" s="14">
        <f>COUNTIFS(MatchHistory!$B:$B, $A82, MatchHistory!$C:$C, "Town")</f>
        <v/>
      </c>
      <c r="C82" s="14">
        <f>COUNTIFS(MatchHistory!B:B, A82, MatchHistory!C:C, "Town", MatchHistory!D:D, "Win")</f>
        <v/>
      </c>
      <c r="D82" s="13">
        <f>IFERROR(__xludf.DUMMYFUNCTION("TO_PERCENT($B82/$J82)"),0.7142857142857143)</f>
        <v/>
      </c>
      <c r="E82" s="13">
        <f>IFERROR(__xludf.DUMMYFUNCTION("IF(EQ($B82, 0), TO_PERCENT(0), TO_PERCENT($C82/$B82))"),0.3)</f>
        <v/>
      </c>
      <c r="F82" s="14">
        <f>COUNTIFS(MatchHistory!$B:$B, $A82, MatchHistory!$C:$C, "Mafia")</f>
        <v/>
      </c>
      <c r="G82" s="14">
        <f>COUNTIFS(MatchHistory!$B:$B, $A82, MatchHistory!$C:$C, "Mafia", MatchHistory!$D:$D, "Win")</f>
        <v/>
      </c>
      <c r="H82" s="13">
        <f>IFERROR(__xludf.DUMMYFUNCTION("TO_PERCENT($F82/$J82)"),0.2857142857142857)</f>
        <v/>
      </c>
      <c r="I82" s="13">
        <f>IFERROR(__xludf.DUMMYFUNCTION("TO_PERCENT(IFERROR($G82/$F82, 0))"),0.25)</f>
        <v/>
      </c>
      <c r="J82" s="14">
        <f>SUM(F82, B82)</f>
        <v/>
      </c>
      <c r="K82" s="13">
        <f>IFERROR(__xludf.DUMMYFUNCTION("TO_PERCENT(IFERROR(($G82+$C82)/($F82+$B82), 0))"),0.2857142857142857)</f>
        <v/>
      </c>
      <c r="L82" s="11">
        <f t="array" ref="L82">INDEX(MatchHistory!$G:$G,MATCH(1,(MatchHistory!$B:$B=$A82)*(MatchHistory!$G:$G&lt;&gt;""),0))</f>
        <v/>
      </c>
      <c r="M82" s="11">
        <f t="array" ref="M82">INDEX(MatchHistory!$H:$H,MATCH(1,(MatchHistory!$B:$B=$A82)*(MatchHistory!$H:$H&lt;&gt;""),0))</f>
        <v/>
      </c>
      <c r="N82" s="12">
        <f t="array" ref="N82">INDEX(MatchHistory!$J:$J,MATCH(1,(MatchHistory!$B:$B=$A82)*(MatchHistory!$J:$J&lt;&gt;""),0))</f>
        <v/>
      </c>
    </row>
    <row r="83" ht="22.5" customHeight="1" s="21">
      <c r="A83" s="14" t="inlineStr">
        <is>
          <t>Brady</t>
        </is>
      </c>
      <c r="B83" s="14">
        <f>COUNTIFS(MatchHistory!$B:$B, $A83, MatchHistory!$C:$C, "Town")</f>
        <v/>
      </c>
      <c r="C83" s="14">
        <f>COUNTIFS(MatchHistory!B:B, A83, MatchHistory!C:C, "Town", MatchHistory!D:D, "Win")</f>
        <v/>
      </c>
      <c r="D83" s="13">
        <f>IFERROR(__xludf.DUMMYFUNCTION("TO_PERCENT($B83/$J83)"),0.5)</f>
        <v/>
      </c>
      <c r="E83" s="13">
        <f>IFERROR(__xludf.DUMMYFUNCTION("IF(EQ($B83, 0), TO_PERCENT(0), TO_PERCENT($C83/$B83))"),0.0)</f>
        <v/>
      </c>
      <c r="F83" s="14">
        <f>COUNTIFS(MatchHistory!$B:$B, $A83, MatchHistory!$C:$C, "Mafia")</f>
        <v/>
      </c>
      <c r="G83" s="14">
        <f>COUNTIFS(MatchHistory!$B:$B, $A83, MatchHistory!$C:$C, "Mafia", MatchHistory!$D:$D, "Win")</f>
        <v/>
      </c>
      <c r="H83" s="13">
        <f>IFERROR(__xludf.DUMMYFUNCTION("TO_PERCENT($F83/$J83)"),0.5)</f>
        <v/>
      </c>
      <c r="I83" s="13">
        <f>IFERROR(__xludf.DUMMYFUNCTION("TO_PERCENT(IFERROR($G83/$F83, 0))"),0.0)</f>
        <v/>
      </c>
      <c r="J83" s="14">
        <f>SUM(F83, B83)</f>
        <v/>
      </c>
      <c r="K83" s="13">
        <f>IFERROR(__xludf.DUMMYFUNCTION("TO_PERCENT(IFERROR(($G83+$C83)/($F83+$B83), 0))"),0.0)</f>
        <v/>
      </c>
      <c r="L83" s="11">
        <f t="array" ref="L83">INDEX(MatchHistory!$G:$G,MATCH(1,(MatchHistory!$B:$B=$A83)*(MatchHistory!$G:$G&lt;&gt;""),0))</f>
        <v/>
      </c>
      <c r="M83" s="11">
        <f t="array" ref="M83">INDEX(MatchHistory!$H:$H,MATCH(1,(MatchHistory!$B:$B=$A83)*(MatchHistory!$H:$H&lt;&gt;""),0))</f>
        <v/>
      </c>
      <c r="N83" s="12">
        <f t="array" ref="N83">INDEX(MatchHistory!$J:$J,MATCH(1,(MatchHistory!$B:$B=$A83)*(MatchHistory!$J:$J&lt;&gt;""),0))</f>
        <v/>
      </c>
    </row>
    <row r="84" ht="22.5" customHeight="1" s="21">
      <c r="A84" s="14" t="inlineStr">
        <is>
          <t>Kowa</t>
        </is>
      </c>
      <c r="B84" s="14">
        <f>COUNTIFS(MatchHistory!$B:$B, $A84, MatchHistory!$C:$C, "Town")</f>
        <v/>
      </c>
      <c r="C84" s="14">
        <f>COUNTIFS(MatchHistory!B:B, A84, MatchHistory!C:C, "Town", MatchHistory!D:D, "Win")</f>
        <v/>
      </c>
      <c r="D84" s="13">
        <f>IFERROR(__xludf.DUMMYFUNCTION("TO_PERCENT($B84/$J84)"),0.5)</f>
        <v/>
      </c>
      <c r="E84" s="13">
        <f>IFERROR(__xludf.DUMMYFUNCTION("IF(EQ($B84, 0), TO_PERCENT(0), TO_PERCENT($C84/$B84))"),0.0)</f>
        <v/>
      </c>
      <c r="F84" s="14">
        <f>COUNTIFS(MatchHistory!$B:$B, $A84, MatchHistory!$C:$C, "Mafia")</f>
        <v/>
      </c>
      <c r="G84" s="14">
        <f>COUNTIFS(MatchHistory!$B:$B, $A84, MatchHistory!$C:$C, "Mafia", MatchHistory!$D:$D, "Win")</f>
        <v/>
      </c>
      <c r="H84" s="13">
        <f>IFERROR(__xludf.DUMMYFUNCTION("TO_PERCENT($F84/$J84)"),0.5)</f>
        <v/>
      </c>
      <c r="I84" s="13">
        <f>IFERROR(__xludf.DUMMYFUNCTION("TO_PERCENT(IFERROR($G84/$F84, 0))"),0.0)</f>
        <v/>
      </c>
      <c r="J84" s="14">
        <f>SUM(F84, B84)</f>
        <v/>
      </c>
      <c r="K84" s="13">
        <f>IFERROR(__xludf.DUMMYFUNCTION("TO_PERCENT(IFERROR(($G84+$C84)/($F84+$B84), 0))"),0.0)</f>
        <v/>
      </c>
      <c r="L84" s="11">
        <f t="array" ref="L84">INDEX(MatchHistory!$G:$G,MATCH(1,(MatchHistory!$B:$B=$A84)*(MatchHistory!$G:$G&lt;&gt;""),0))</f>
        <v/>
      </c>
      <c r="M84" s="11">
        <f t="array" ref="M84">INDEX(MatchHistory!$H:$H,MATCH(1,(MatchHistory!$B:$B=$A84)*(MatchHistory!$H:$H&lt;&gt;""),0))</f>
        <v/>
      </c>
      <c r="N84" s="12">
        <f t="array" ref="N84">INDEX(MatchHistory!$J:$J,MATCH(1,(MatchHistory!$B:$B=$A84)*(MatchHistory!$J:$J&lt;&gt;""),0))</f>
        <v/>
      </c>
    </row>
    <row r="85" ht="22.5" customHeight="1" s="21">
      <c r="A85" s="14" t="inlineStr">
        <is>
          <t>Antfrost</t>
        </is>
      </c>
      <c r="B85" s="14">
        <f>COUNTIFS(MatchHistory!$B:$B, $A85, MatchHistory!$C:$C, "Town")</f>
        <v/>
      </c>
      <c r="C85" s="14">
        <f>COUNTIFS(MatchHistory!B:B, A85, MatchHistory!C:C, "Town", MatchHistory!D:D, "Win")</f>
        <v/>
      </c>
      <c r="D85" s="13">
        <f>IFERROR(__xludf.DUMMYFUNCTION("TO_PERCENT($B85/$J85)"),0.75)</f>
        <v/>
      </c>
      <c r="E85" s="13">
        <f>IFERROR(__xludf.DUMMYFUNCTION("IF(EQ($B85, 0), TO_PERCENT(0), TO_PERCENT($C85/$B85))"),0.3333333333333333)</f>
        <v/>
      </c>
      <c r="F85" s="14">
        <f>COUNTIFS(MatchHistory!$B:$B, $A85, MatchHistory!$C:$C, "Mafia")</f>
        <v/>
      </c>
      <c r="G85" s="14">
        <f>COUNTIFS(MatchHistory!$B:$B, $A85, MatchHistory!$C:$C, "Mafia", MatchHistory!$D:$D, "Win")</f>
        <v/>
      </c>
      <c r="H85" s="13">
        <f>IFERROR(__xludf.DUMMYFUNCTION("TO_PERCENT($F85/$J85)"),0.25)</f>
        <v/>
      </c>
      <c r="I85" s="13">
        <f>IFERROR(__xludf.DUMMYFUNCTION("TO_PERCENT(IFERROR($G85/$F85, 0))"),0.0)</f>
        <v/>
      </c>
      <c r="J85" s="14">
        <f>SUM(F85, B85)</f>
        <v/>
      </c>
      <c r="K85" s="13">
        <f>IFERROR(__xludf.DUMMYFUNCTION("TO_PERCENT(IFERROR(($G85+$C85)/($F85+$B85), 0))"),0.25)</f>
        <v/>
      </c>
      <c r="L85" s="11">
        <f t="array" ref="L85">INDEX(MatchHistory!$G:$G,MATCH(1,(MatchHistory!$B:$B=$A85)*(MatchHistory!$G:$G&lt;&gt;""),0))</f>
        <v/>
      </c>
      <c r="M85" s="11">
        <f t="array" ref="M85">INDEX(MatchHistory!$H:$H,MATCH(1,(MatchHistory!$B:$B=$A85)*(MatchHistory!$H:$H&lt;&gt;""),0))</f>
        <v/>
      </c>
      <c r="N85" s="12">
        <f t="array" ref="N85">INDEX(MatchHistory!$J:$J,MATCH(1,(MatchHistory!$B:$B=$A85)*(MatchHistory!$J:$J&lt;&gt;""),0))</f>
        <v/>
      </c>
    </row>
    <row r="86" ht="22.5" customHeight="1" s="21">
      <c r="A86" s="14" t="inlineStr">
        <is>
          <t>Aipha</t>
        </is>
      </c>
      <c r="B86" s="14">
        <f>COUNTIFS(MatchHistory!$B:$B, $A86, MatchHistory!$C:$C, "Town")</f>
        <v/>
      </c>
      <c r="C86" s="14">
        <f>COUNTIFS(MatchHistory!B:B, A86, MatchHistory!C:C, "Town", MatchHistory!D:D, "Win")</f>
        <v/>
      </c>
      <c r="D86" s="13">
        <f>IFERROR(__xludf.DUMMYFUNCTION("TO_PERCENT($B86/$J86)"),0.8421052631578947)</f>
        <v/>
      </c>
      <c r="E86" s="13">
        <f>IFERROR(__xludf.DUMMYFUNCTION("IF(EQ($B86, 0), TO_PERCENT(0), TO_PERCENT($C86/$B86))"),0.25)</f>
        <v/>
      </c>
      <c r="F86" s="14">
        <f>COUNTIFS(MatchHistory!$B:$B, $A86, MatchHistory!$C:$C, "Mafia")</f>
        <v/>
      </c>
      <c r="G86" s="14">
        <f>COUNTIFS(MatchHistory!$B:$B, $A86, MatchHistory!$C:$C, "Mafia", MatchHistory!$D:$D, "Win")</f>
        <v/>
      </c>
      <c r="H86" s="13">
        <f>IFERROR(__xludf.DUMMYFUNCTION("TO_PERCENT($F86/$J86)"),0.15789473684210525)</f>
        <v/>
      </c>
      <c r="I86" s="13">
        <f>IFERROR(__xludf.DUMMYFUNCTION("TO_PERCENT(IFERROR($G86/$F86, 0))"),0.6666666666666666)</f>
        <v/>
      </c>
      <c r="J86" s="14">
        <f>SUM(F86, B86)</f>
        <v/>
      </c>
      <c r="K86" s="13">
        <f>IFERROR(__xludf.DUMMYFUNCTION("TO_PERCENT(IFERROR(($G86+$C86)/($F86+$B86), 0))"),0.3157894736842105)</f>
        <v/>
      </c>
      <c r="L86" s="11">
        <f t="array" ref="L86">INDEX(MatchHistory!$G:$G,MATCH(1,(MatchHistory!$B:$B=$A86)*(MatchHistory!$G:$G&lt;&gt;""),0))</f>
        <v/>
      </c>
      <c r="M86" s="11">
        <f t="array" ref="M86">INDEX(MatchHistory!$H:$H,MATCH(1,(MatchHistory!$B:$B=$A86)*(MatchHistory!$H:$H&lt;&gt;""),0))</f>
        <v/>
      </c>
      <c r="N86" s="12">
        <f t="array" ref="N86">INDEX(MatchHistory!$J:$J,MATCH(1,(MatchHistory!$B:$B=$A86)*(MatchHistory!$J:$J&lt;&gt;""),0))</f>
        <v/>
      </c>
    </row>
    <row r="87" ht="22.5" customHeight="1" s="21">
      <c r="A87" s="14" t="inlineStr">
        <is>
          <t>Maz</t>
        </is>
      </c>
      <c r="B87" s="14">
        <f>COUNTIFS(MatchHistory!$B:$B, $A87, MatchHistory!$C:$C, "Town")</f>
        <v/>
      </c>
      <c r="C87" s="14">
        <f>COUNTIFS(MatchHistory!B:B, A87, MatchHistory!C:C, "Town", MatchHistory!D:D, "Win")</f>
        <v/>
      </c>
      <c r="D87" s="13">
        <f>IFERROR(__xludf.DUMMYFUNCTION("TO_PERCENT($B87/$J87)"),0.5714285714285714)</f>
        <v/>
      </c>
      <c r="E87" s="13">
        <f>IFERROR(__xludf.DUMMYFUNCTION("IF(EQ($B87, 0), TO_PERCENT(0), TO_PERCENT($C87/$B87))"),0.5)</f>
        <v/>
      </c>
      <c r="F87" s="14">
        <f>COUNTIFS(MatchHistory!$B:$B, $A87, MatchHistory!$C:$C, "Mafia")</f>
        <v/>
      </c>
      <c r="G87" s="14">
        <f>COUNTIFS(MatchHistory!$B:$B, $A87, MatchHistory!$C:$C, "Mafia", MatchHistory!$D:$D, "Win")</f>
        <v/>
      </c>
      <c r="H87" s="13">
        <f>IFERROR(__xludf.DUMMYFUNCTION("TO_PERCENT($F87/$J87)"),0.42857142857142855)</f>
        <v/>
      </c>
      <c r="I87" s="13">
        <f>IFERROR(__xludf.DUMMYFUNCTION("TO_PERCENT(IFERROR($G87/$F87, 0))"),0.0)</f>
        <v/>
      </c>
      <c r="J87" s="14">
        <f>SUM(F87, B87)</f>
        <v/>
      </c>
      <c r="K87" s="13">
        <f>IFERROR(__xludf.DUMMYFUNCTION("TO_PERCENT(IFERROR(($G87+$C87)/($F87+$B87), 0))"),0.2857142857142857)</f>
        <v/>
      </c>
      <c r="L87" s="11">
        <f t="array" ref="L87">INDEX(MatchHistory!$G:$G,MATCH(1,(MatchHistory!$B:$B=$A87)*(MatchHistory!$G:$G&lt;&gt;""),0))</f>
        <v/>
      </c>
      <c r="M87" s="11">
        <f t="array" ref="M87">INDEX(MatchHistory!$H:$H,MATCH(1,(MatchHistory!$B:$B=$A87)*(MatchHistory!$H:$H&lt;&gt;""),0))</f>
        <v/>
      </c>
      <c r="N87" s="12">
        <f t="array" ref="N87">INDEX(MatchHistory!$J:$J,MATCH(1,(MatchHistory!$B:$B=$A87)*(MatchHistory!$J:$J&lt;&gt;""),0))</f>
        <v/>
      </c>
    </row>
    <row r="88">
      <c r="B88" s="19" t="n"/>
      <c r="L88" s="17" t="n"/>
      <c r="M88" s="17" t="n"/>
      <c r="N88" s="18" t="n"/>
    </row>
    <row r="89">
      <c r="B89" s="19" t="n"/>
      <c r="L89" s="17" t="n"/>
      <c r="M89" s="17" t="n"/>
      <c r="N89" s="18" t="n"/>
    </row>
    <row r="90">
      <c r="B90" s="19" t="n"/>
      <c r="L90" s="17" t="n"/>
      <c r="M90" s="17" t="n"/>
      <c r="N90" s="18" t="n"/>
    </row>
    <row r="91">
      <c r="B91" s="19" t="n"/>
      <c r="L91" s="17" t="n"/>
      <c r="M91" s="17" t="n"/>
      <c r="N91" s="18" t="n"/>
    </row>
    <row r="92">
      <c r="B92" s="19" t="n"/>
      <c r="L92" s="17" t="n"/>
      <c r="M92" s="17" t="n"/>
      <c r="N92" s="18" t="n"/>
    </row>
    <row r="93">
      <c r="B93" s="19" t="n"/>
      <c r="L93" s="17" t="n"/>
      <c r="M93" s="17" t="n"/>
      <c r="N93" s="18" t="n"/>
    </row>
    <row r="94">
      <c r="B94" s="19" t="n"/>
      <c r="L94" s="17" t="n"/>
      <c r="M94" s="17" t="n"/>
      <c r="N94" s="18" t="n"/>
    </row>
    <row r="95">
      <c r="B95" s="19" t="n"/>
      <c r="L95" s="17" t="n"/>
      <c r="M95" s="17" t="n"/>
      <c r="N95" s="18" t="n"/>
    </row>
    <row r="96">
      <c r="B96" s="19" t="n"/>
      <c r="L96" s="17" t="n"/>
      <c r="M96" s="17" t="n"/>
      <c r="N96" s="18" t="n"/>
    </row>
    <row r="97">
      <c r="B97" s="19" t="n"/>
      <c r="L97" s="17" t="n"/>
      <c r="M97" s="17" t="n"/>
      <c r="N97" s="18" t="n"/>
    </row>
    <row r="98">
      <c r="B98" s="19" t="n"/>
      <c r="L98" s="17" t="n"/>
      <c r="M98" s="17" t="n"/>
      <c r="N98" s="18" t="n"/>
    </row>
    <row r="99">
      <c r="A99" s="19">
        <f>'Season 1 - MafiaRatings'!A:A</f>
        <v/>
      </c>
      <c r="B99" s="19" t="n"/>
      <c r="L99" s="17" t="n"/>
      <c r="M99" s="17" t="n"/>
      <c r="N99" s="18" t="n"/>
    </row>
    <row r="100">
      <c r="A100" s="19">
        <f>'Season 1 - MafiaRatings'!A:A</f>
        <v/>
      </c>
      <c r="B100" s="19" t="n"/>
      <c r="L100" s="17" t="n"/>
      <c r="M100" s="17" t="n"/>
      <c r="N100" s="18" t="n"/>
    </row>
    <row r="101">
      <c r="A101" s="19">
        <f>'Season 1 - MafiaRatings'!A:A</f>
        <v/>
      </c>
      <c r="B101" s="19" t="n"/>
      <c r="L101" s="17" t="n"/>
      <c r="M101" s="17" t="n"/>
      <c r="N101" s="18" t="n"/>
    </row>
    <row r="102">
      <c r="A102" s="19">
        <f>'Season 1 - MafiaRatings'!A:A</f>
        <v/>
      </c>
      <c r="B102" s="19" t="n"/>
      <c r="L102" s="17" t="n"/>
      <c r="M102" s="17" t="n"/>
      <c r="N102" s="18" t="n"/>
    </row>
    <row r="103">
      <c r="A103" s="19">
        <f>'Season 1 - MafiaRatings'!A:A</f>
        <v/>
      </c>
      <c r="B103" s="19" t="n"/>
      <c r="L103" s="17" t="n"/>
      <c r="M103" s="17" t="n"/>
      <c r="N103" s="18" t="n"/>
    </row>
    <row r="104">
      <c r="A104" s="19">
        <f>'Season 1 - MafiaRatings'!A:A</f>
        <v/>
      </c>
      <c r="B104" s="19" t="n"/>
      <c r="L104" s="17" t="n"/>
      <c r="M104" s="17" t="n"/>
      <c r="N104" s="18" t="n"/>
    </row>
    <row r="105">
      <c r="A105" s="19">
        <f>'Season 1 - MafiaRatings'!A:A</f>
        <v/>
      </c>
      <c r="B105" s="19" t="n"/>
      <c r="L105" s="17" t="n"/>
      <c r="M105" s="17" t="n"/>
      <c r="N105" s="18" t="n"/>
    </row>
    <row r="106">
      <c r="A106" s="19">
        <f>'Season 1 - MafiaRatings'!A:A</f>
        <v/>
      </c>
      <c r="B106" s="19" t="n"/>
      <c r="L106" s="17" t="n"/>
      <c r="M106" s="17" t="n"/>
      <c r="N106" s="18" t="n"/>
    </row>
    <row r="107">
      <c r="A107" s="19">
        <f>'Season 1 - MafiaRatings'!A:A</f>
        <v/>
      </c>
      <c r="B107" s="19" t="n"/>
      <c r="L107" s="17" t="n"/>
      <c r="M107" s="17" t="n"/>
      <c r="N107" s="18" t="n"/>
    </row>
    <row r="108">
      <c r="A108" s="19">
        <f>'Season 1 - MafiaRatings'!A:A</f>
        <v/>
      </c>
      <c r="B108" s="19" t="n"/>
      <c r="L108" s="17" t="n"/>
      <c r="M108" s="17" t="n"/>
      <c r="N108" s="18" t="n"/>
    </row>
    <row r="109">
      <c r="A109" s="19">
        <f>'Season 1 - MafiaRatings'!A:A</f>
        <v/>
      </c>
      <c r="B109" s="19" t="n"/>
      <c r="L109" s="17" t="n"/>
      <c r="M109" s="17" t="n"/>
      <c r="N109" s="18" t="n"/>
    </row>
    <row r="110">
      <c r="A110" s="19">
        <f>'Season 1 - MafiaRatings'!A:A</f>
        <v/>
      </c>
      <c r="B110" s="19" t="n"/>
      <c r="L110" s="17" t="n"/>
      <c r="M110" s="17" t="n"/>
      <c r="N110" s="18" t="n"/>
    </row>
    <row r="111">
      <c r="A111" s="19">
        <f>'Season 1 - MafiaRatings'!A:A</f>
        <v/>
      </c>
      <c r="B111" s="19" t="n"/>
      <c r="L111" s="17" t="n"/>
      <c r="M111" s="17" t="n"/>
      <c r="N111" s="18" t="n"/>
    </row>
    <row r="112">
      <c r="A112" s="19">
        <f>'Season 1 - MafiaRatings'!A:A</f>
        <v/>
      </c>
      <c r="B112" s="19" t="n"/>
      <c r="L112" s="17" t="n"/>
      <c r="M112" s="17" t="n"/>
      <c r="N112" s="18" t="n"/>
    </row>
    <row r="113">
      <c r="A113" s="19">
        <f>'Season 1 - MafiaRatings'!A:A</f>
        <v/>
      </c>
      <c r="B113" s="19" t="n"/>
      <c r="L113" s="17" t="n"/>
      <c r="M113" s="17" t="n"/>
      <c r="N113" s="18" t="n"/>
    </row>
    <row r="114">
      <c r="A114" s="19">
        <f>'Season 1 - MafiaRatings'!A:A</f>
        <v/>
      </c>
      <c r="B114" s="19" t="n"/>
      <c r="L114" s="17" t="n"/>
      <c r="M114" s="17" t="n"/>
      <c r="N114" s="18" t="n"/>
    </row>
    <row r="115">
      <c r="A115" s="19">
        <f>'Season 1 - MafiaRatings'!A:A</f>
        <v/>
      </c>
      <c r="B115" s="19" t="n"/>
      <c r="L115" s="17" t="n"/>
      <c r="M115" s="17" t="n"/>
      <c r="N115" s="18" t="n"/>
    </row>
    <row r="116">
      <c r="A116" s="19">
        <f>'Season 1 - MafiaRatings'!A:A</f>
        <v/>
      </c>
      <c r="B116" s="19" t="n"/>
      <c r="L116" s="17" t="n"/>
      <c r="M116" s="17" t="n"/>
      <c r="N116" s="18" t="n"/>
    </row>
    <row r="117">
      <c r="A117" s="19">
        <f>'Season 1 - MafiaRatings'!A:A</f>
        <v/>
      </c>
      <c r="B117" s="19" t="n"/>
      <c r="L117" s="17" t="n"/>
      <c r="M117" s="17" t="n"/>
      <c r="N117" s="18" t="n"/>
    </row>
    <row r="118">
      <c r="A118" s="19">
        <f>'Season 1 - MafiaRatings'!A:A</f>
        <v/>
      </c>
      <c r="B118" s="19" t="n"/>
      <c r="L118" s="17" t="n"/>
      <c r="M118" s="17" t="n"/>
      <c r="N118" s="18" t="n"/>
    </row>
    <row r="119">
      <c r="A119" s="19">
        <f>'Season 1 - MafiaRatings'!A:A</f>
        <v/>
      </c>
      <c r="B119" s="19" t="n"/>
      <c r="L119" s="17" t="n"/>
      <c r="M119" s="17" t="n"/>
      <c r="N119" s="18" t="n"/>
    </row>
    <row r="120">
      <c r="A120" s="19">
        <f>'Season 1 - MafiaRatings'!A:A</f>
        <v/>
      </c>
      <c r="B120" s="19" t="n"/>
      <c r="L120" s="17" t="n"/>
      <c r="M120" s="17" t="n"/>
      <c r="N120" s="18" t="n"/>
    </row>
    <row r="121">
      <c r="A121" s="19">
        <f>'Season 1 - MafiaRatings'!A:A</f>
        <v/>
      </c>
      <c r="B121" s="19" t="n"/>
      <c r="L121" s="17" t="n"/>
      <c r="M121" s="17" t="n"/>
      <c r="N121" s="18" t="n"/>
    </row>
    <row r="122">
      <c r="A122" s="19">
        <f>'Season 1 - MafiaRatings'!A:A</f>
        <v/>
      </c>
      <c r="B122" s="19" t="n"/>
      <c r="L122" s="17" t="n"/>
      <c r="M122" s="17" t="n"/>
      <c r="N122" s="18" t="n"/>
    </row>
    <row r="123">
      <c r="A123" s="19">
        <f>'Season 1 - MafiaRatings'!A:A</f>
        <v/>
      </c>
      <c r="B123" s="19" t="n"/>
      <c r="L123" s="17" t="n"/>
      <c r="M123" s="17" t="n"/>
      <c r="N123" s="18" t="n"/>
    </row>
    <row r="124">
      <c r="A124" s="19">
        <f>'Season 1 - MafiaRatings'!A:A</f>
        <v/>
      </c>
      <c r="B124" s="19" t="n"/>
      <c r="L124" s="17" t="n"/>
      <c r="M124" s="17" t="n"/>
      <c r="N124" s="18" t="n"/>
    </row>
    <row r="125">
      <c r="A125" s="19">
        <f>'Season 1 - MafiaRatings'!A:A</f>
        <v/>
      </c>
      <c r="B125" s="19" t="n"/>
      <c r="L125" s="17" t="n"/>
      <c r="M125" s="17" t="n"/>
      <c r="N125" s="18" t="n"/>
    </row>
    <row r="126">
      <c r="A126" s="19">
        <f>'Season 1 - MafiaRatings'!A:A</f>
        <v/>
      </c>
      <c r="B126" s="19" t="n"/>
      <c r="L126" s="17" t="n"/>
      <c r="M126" s="17" t="n"/>
      <c r="N126" s="18" t="n"/>
    </row>
    <row r="127">
      <c r="A127" s="19">
        <f>'Season 1 - MafiaRatings'!A:A</f>
        <v/>
      </c>
      <c r="B127" s="19" t="n"/>
      <c r="L127" s="17" t="n"/>
      <c r="M127" s="17" t="n"/>
      <c r="N127" s="18" t="n"/>
    </row>
    <row r="128">
      <c r="A128" s="19">
        <f>'Season 1 - MafiaRatings'!A:A</f>
        <v/>
      </c>
      <c r="B128" s="19" t="n"/>
      <c r="L128" s="17" t="n"/>
      <c r="M128" s="17" t="n"/>
      <c r="N128" s="18" t="n"/>
    </row>
    <row r="129">
      <c r="A129" s="19">
        <f>'Season 1 - MafiaRatings'!A:A</f>
        <v/>
      </c>
      <c r="B129" s="19" t="n"/>
      <c r="L129" s="17" t="n"/>
      <c r="M129" s="17" t="n"/>
      <c r="N129" s="18" t="n"/>
    </row>
    <row r="130">
      <c r="A130" s="19">
        <f>'Season 1 - MafiaRatings'!A:A</f>
        <v/>
      </c>
      <c r="B130" s="19" t="n"/>
      <c r="L130" s="17" t="n"/>
      <c r="M130" s="17" t="n"/>
      <c r="N130" s="18" t="n"/>
    </row>
    <row r="131">
      <c r="A131" s="19">
        <f>'Season 1 - MafiaRatings'!A:A</f>
        <v/>
      </c>
      <c r="B131" s="19" t="n"/>
      <c r="L131" s="17" t="n"/>
      <c r="M131" s="17" t="n"/>
      <c r="N131" s="18" t="n"/>
    </row>
    <row r="132">
      <c r="A132" s="19">
        <f>'Season 1 - MafiaRatings'!A:A</f>
        <v/>
      </c>
      <c r="B132" s="19" t="n"/>
      <c r="L132" s="17" t="n"/>
      <c r="M132" s="17" t="n"/>
      <c r="N132" s="18" t="n"/>
    </row>
    <row r="133">
      <c r="A133" s="19">
        <f>'Season 1 - MafiaRatings'!A:A</f>
        <v/>
      </c>
      <c r="B133" s="19" t="n"/>
      <c r="L133" s="17" t="n"/>
      <c r="M133" s="17" t="n"/>
      <c r="N133" s="18" t="n"/>
    </row>
    <row r="134">
      <c r="A134" s="19">
        <f>'Season 1 - MafiaRatings'!A:A</f>
        <v/>
      </c>
      <c r="B134" s="19" t="n"/>
      <c r="L134" s="17" t="n"/>
      <c r="M134" s="17" t="n"/>
      <c r="N134" s="18" t="n"/>
    </row>
    <row r="135">
      <c r="A135" s="19">
        <f>'Season 1 - MafiaRatings'!A:A</f>
        <v/>
      </c>
      <c r="B135" s="19" t="n"/>
      <c r="L135" s="17" t="n"/>
      <c r="M135" s="17" t="n"/>
      <c r="N135" s="18" t="n"/>
    </row>
    <row r="136">
      <c r="A136" s="19">
        <f>'Season 1 - MafiaRatings'!A:A</f>
        <v/>
      </c>
      <c r="B136" s="19" t="n"/>
      <c r="L136" s="17" t="n"/>
      <c r="M136" s="17" t="n"/>
      <c r="N136" s="18" t="n"/>
    </row>
    <row r="137">
      <c r="A137" s="19">
        <f>'Season 1 - MafiaRatings'!A:A</f>
        <v/>
      </c>
      <c r="B137" s="19" t="n"/>
      <c r="L137" s="17" t="n"/>
      <c r="M137" s="17" t="n"/>
      <c r="N137" s="18" t="n"/>
    </row>
    <row r="138">
      <c r="A138" s="19">
        <f>'Season 1 - MafiaRatings'!A:A</f>
        <v/>
      </c>
      <c r="B138" s="19" t="n"/>
      <c r="L138" s="17" t="n"/>
      <c r="M138" s="17" t="n"/>
      <c r="N138" s="18" t="n"/>
    </row>
    <row r="139">
      <c r="A139" s="19">
        <f>'Season 1 - MafiaRatings'!A:A</f>
        <v/>
      </c>
      <c r="B139" s="19" t="n"/>
      <c r="L139" s="17" t="n"/>
      <c r="M139" s="17" t="n"/>
      <c r="N139" s="18" t="n"/>
    </row>
    <row r="140">
      <c r="A140" s="19">
        <f>'Season 1 - MafiaRatings'!A:A</f>
        <v/>
      </c>
      <c r="B140" s="19" t="n"/>
      <c r="L140" s="17" t="n"/>
      <c r="M140" s="17" t="n"/>
      <c r="N140" s="18" t="n"/>
    </row>
    <row r="141">
      <c r="A141" s="19">
        <f>'Season 1 - MafiaRatings'!A:A</f>
        <v/>
      </c>
      <c r="B141" s="19" t="n"/>
      <c r="L141" s="17" t="n"/>
      <c r="M141" s="17" t="n"/>
      <c r="N141" s="18" t="n"/>
    </row>
    <row r="142">
      <c r="A142" s="19">
        <f>'Season 1 - MafiaRatings'!A:A</f>
        <v/>
      </c>
      <c r="B142" s="19" t="n"/>
      <c r="L142" s="17" t="n"/>
      <c r="M142" s="17" t="n"/>
      <c r="N142" s="18" t="n"/>
    </row>
    <row r="143">
      <c r="A143" s="19">
        <f>'Season 1 - MafiaRatings'!A:A</f>
        <v/>
      </c>
      <c r="B143" s="19" t="n"/>
      <c r="L143" s="17" t="n"/>
      <c r="M143" s="17" t="n"/>
      <c r="N143" s="18" t="n"/>
    </row>
    <row r="144">
      <c r="A144" s="19">
        <f>'Season 1 - MafiaRatings'!A:A</f>
        <v/>
      </c>
      <c r="B144" s="19" t="n"/>
      <c r="L144" s="17" t="n"/>
      <c r="M144" s="17" t="n"/>
      <c r="N144" s="18" t="n"/>
    </row>
    <row r="145">
      <c r="A145" s="19">
        <f>'Season 1 - MafiaRatings'!A:A</f>
        <v/>
      </c>
      <c r="B145" s="19" t="n"/>
      <c r="L145" s="17" t="n"/>
      <c r="M145" s="17" t="n"/>
      <c r="N145" s="18" t="n"/>
    </row>
    <row r="146">
      <c r="A146" s="19">
        <f>'Season 1 - MafiaRatings'!A:A</f>
        <v/>
      </c>
      <c r="B146" s="19" t="n"/>
      <c r="L146" s="17" t="n"/>
      <c r="M146" s="17" t="n"/>
      <c r="N146" s="18" t="n"/>
    </row>
    <row r="147">
      <c r="A147" s="19">
        <f>'Season 1 - MafiaRatings'!A:A</f>
        <v/>
      </c>
      <c r="B147" s="19" t="n"/>
      <c r="L147" s="17" t="n"/>
      <c r="M147" s="17" t="n"/>
      <c r="N147" s="18" t="n"/>
    </row>
    <row r="148">
      <c r="A148" s="19">
        <f>'Season 1 - MafiaRatings'!A:A</f>
        <v/>
      </c>
      <c r="B148" s="19" t="n"/>
      <c r="L148" s="17" t="n"/>
      <c r="M148" s="17" t="n"/>
      <c r="N148" s="18" t="n"/>
    </row>
    <row r="149">
      <c r="A149" s="19">
        <f>'Season 1 - MafiaRatings'!A:A</f>
        <v/>
      </c>
      <c r="B149" s="19" t="n"/>
      <c r="L149" s="17" t="n"/>
      <c r="M149" s="17" t="n"/>
      <c r="N149" s="18" t="n"/>
    </row>
    <row r="150">
      <c r="A150" s="19">
        <f>'Season 1 - MafiaRatings'!A:A</f>
        <v/>
      </c>
      <c r="B150" s="19" t="n"/>
      <c r="L150" s="17" t="n"/>
      <c r="M150" s="17" t="n"/>
      <c r="N150" s="18" t="n"/>
    </row>
    <row r="151">
      <c r="A151" s="19">
        <f>'Season 1 - MafiaRatings'!A:A</f>
        <v/>
      </c>
      <c r="B151" s="19" t="n"/>
      <c r="L151" s="17" t="n"/>
      <c r="M151" s="17" t="n"/>
      <c r="N151" s="18" t="n"/>
    </row>
    <row r="152">
      <c r="A152" s="19">
        <f>'Season 1 - MafiaRatings'!A:A</f>
        <v/>
      </c>
      <c r="B152" s="19" t="n"/>
      <c r="L152" s="17" t="n"/>
      <c r="M152" s="17" t="n"/>
      <c r="N152" s="18" t="n"/>
    </row>
    <row r="153">
      <c r="A153" s="19">
        <f>'Season 1 - MafiaRatings'!A:A</f>
        <v/>
      </c>
      <c r="B153" s="19" t="n"/>
      <c r="L153" s="17" t="n"/>
      <c r="M153" s="17" t="n"/>
      <c r="N153" s="18" t="n"/>
    </row>
    <row r="154">
      <c r="A154" s="19">
        <f>'Season 1 - MafiaRatings'!A:A</f>
        <v/>
      </c>
      <c r="B154" s="19" t="n"/>
      <c r="L154" s="17" t="n"/>
      <c r="M154" s="17" t="n"/>
      <c r="N154" s="18" t="n"/>
    </row>
    <row r="155">
      <c r="A155" s="19">
        <f>'Season 1 - MafiaRatings'!A:A</f>
        <v/>
      </c>
      <c r="B155" s="19" t="n"/>
      <c r="L155" s="17" t="n"/>
      <c r="M155" s="17" t="n"/>
      <c r="N155" s="18" t="n"/>
    </row>
    <row r="156">
      <c r="A156" s="19">
        <f>'Season 1 - MafiaRatings'!A:A</f>
        <v/>
      </c>
      <c r="B156" s="19" t="n"/>
      <c r="L156" s="17" t="n"/>
      <c r="M156" s="17" t="n"/>
      <c r="N156" s="18" t="n"/>
    </row>
    <row r="157">
      <c r="A157" s="19">
        <f>'Season 1 - MafiaRatings'!A:A</f>
        <v/>
      </c>
      <c r="B157" s="19" t="n"/>
      <c r="L157" s="17" t="n"/>
      <c r="M157" s="17" t="n"/>
      <c r="N157" s="18" t="n"/>
    </row>
    <row r="158">
      <c r="A158" s="19">
        <f>'Season 1 - MafiaRatings'!A:A</f>
        <v/>
      </c>
      <c r="B158" s="19" t="n"/>
      <c r="L158" s="17" t="n"/>
      <c r="M158" s="17" t="n"/>
      <c r="N158" s="18" t="n"/>
    </row>
    <row r="159">
      <c r="A159" s="19">
        <f>'Season 1 - MafiaRatings'!A:A</f>
        <v/>
      </c>
      <c r="B159" s="19" t="n"/>
      <c r="L159" s="17" t="n"/>
      <c r="M159" s="17" t="n"/>
      <c r="N159" s="18" t="n"/>
    </row>
    <row r="160">
      <c r="A160" s="19">
        <f>'Season 1 - MafiaRatings'!A:A</f>
        <v/>
      </c>
      <c r="B160" s="19" t="n"/>
      <c r="L160" s="17" t="n"/>
      <c r="M160" s="17" t="n"/>
      <c r="N160" s="18" t="n"/>
    </row>
    <row r="161">
      <c r="A161" s="19">
        <f>'Season 1 - MafiaRatings'!A:A</f>
        <v/>
      </c>
      <c r="B161" s="19" t="n"/>
      <c r="L161" s="17" t="n"/>
      <c r="M161" s="17" t="n"/>
      <c r="N161" s="18" t="n"/>
    </row>
    <row r="162">
      <c r="A162" s="19">
        <f>'Season 1 - MafiaRatings'!A:A</f>
        <v/>
      </c>
      <c r="B162" s="19" t="n"/>
      <c r="L162" s="17" t="n"/>
      <c r="M162" s="17" t="n"/>
      <c r="N162" s="18" t="n"/>
    </row>
    <row r="163">
      <c r="A163" s="19">
        <f>'Season 1 - MafiaRatings'!A:A</f>
        <v/>
      </c>
      <c r="B163" s="19" t="n"/>
      <c r="L163" s="17" t="n"/>
      <c r="M163" s="17" t="n"/>
      <c r="N163" s="18" t="n"/>
    </row>
    <row r="164">
      <c r="A164" s="19">
        <f>'Season 1 - MafiaRatings'!A:A</f>
        <v/>
      </c>
      <c r="B164" s="19" t="n"/>
      <c r="L164" s="17" t="n"/>
      <c r="M164" s="17" t="n"/>
      <c r="N164" s="18" t="n"/>
    </row>
    <row r="165">
      <c r="A165" s="19">
        <f>'Season 1 - MafiaRatings'!A:A</f>
        <v/>
      </c>
      <c r="B165" s="19" t="n"/>
      <c r="L165" s="17" t="n"/>
      <c r="M165" s="17" t="n"/>
      <c r="N165" s="18" t="n"/>
    </row>
    <row r="166">
      <c r="A166" s="19">
        <f>'Season 1 - MafiaRatings'!A:A</f>
        <v/>
      </c>
      <c r="B166" s="19" t="n"/>
      <c r="L166" s="17" t="n"/>
      <c r="M166" s="17" t="n"/>
      <c r="N166" s="18" t="n"/>
    </row>
    <row r="167">
      <c r="A167" s="19">
        <f>'Season 1 - MafiaRatings'!A:A</f>
        <v/>
      </c>
      <c r="B167" s="19" t="n"/>
      <c r="L167" s="17" t="n"/>
      <c r="M167" s="17" t="n"/>
      <c r="N167" s="18" t="n"/>
    </row>
    <row r="168">
      <c r="A168" s="19">
        <f>'Season 1 - MafiaRatings'!A:A</f>
        <v/>
      </c>
      <c r="B168" s="19" t="n"/>
      <c r="L168" s="17" t="n"/>
      <c r="M168" s="17" t="n"/>
      <c r="N168" s="18" t="n"/>
    </row>
    <row r="169">
      <c r="A169" s="19">
        <f>'Season 1 - MafiaRatings'!A:A</f>
        <v/>
      </c>
      <c r="B169" s="19" t="n"/>
      <c r="L169" s="17" t="n"/>
      <c r="M169" s="17" t="n"/>
      <c r="N169" s="18" t="n"/>
    </row>
    <row r="170">
      <c r="A170" s="19">
        <f>'Season 1 - MafiaRatings'!A:A</f>
        <v/>
      </c>
      <c r="B170" s="19" t="n"/>
      <c r="L170" s="17" t="n"/>
      <c r="M170" s="17" t="n"/>
      <c r="N170" s="18" t="n"/>
    </row>
    <row r="171">
      <c r="A171" s="19">
        <f>'Season 1 - MafiaRatings'!A:A</f>
        <v/>
      </c>
      <c r="B171" s="19" t="n"/>
      <c r="L171" s="17" t="n"/>
      <c r="M171" s="17" t="n"/>
      <c r="N171" s="18" t="n"/>
    </row>
    <row r="172">
      <c r="A172" s="19">
        <f>'Season 1 - MafiaRatings'!A:A</f>
        <v/>
      </c>
      <c r="B172" s="19" t="n"/>
      <c r="L172" s="17" t="n"/>
      <c r="M172" s="17" t="n"/>
      <c r="N172" s="18" t="n"/>
    </row>
    <row r="173">
      <c r="A173" s="19">
        <f>'Season 1 - MafiaRatings'!A:A</f>
        <v/>
      </c>
      <c r="B173" s="19" t="n"/>
      <c r="L173" s="17" t="n"/>
      <c r="M173" s="17" t="n"/>
      <c r="N173" s="18" t="n"/>
    </row>
    <row r="174">
      <c r="A174" s="19">
        <f>'Season 1 - MafiaRatings'!A:A</f>
        <v/>
      </c>
      <c r="B174" s="19" t="n"/>
      <c r="L174" s="17" t="n"/>
      <c r="M174" s="17" t="n"/>
      <c r="N174" s="18" t="n"/>
    </row>
    <row r="175">
      <c r="A175" s="19">
        <f>'Season 1 - MafiaRatings'!A:A</f>
        <v/>
      </c>
      <c r="B175" s="19" t="n"/>
      <c r="L175" s="17" t="n"/>
      <c r="M175" s="17" t="n"/>
      <c r="N175" s="18" t="n"/>
    </row>
    <row r="176">
      <c r="A176" s="19">
        <f>'Season 1 - MafiaRatings'!A:A</f>
        <v/>
      </c>
      <c r="B176" s="19" t="n"/>
      <c r="L176" s="17" t="n"/>
      <c r="M176" s="17" t="n"/>
      <c r="N176" s="18" t="n"/>
    </row>
    <row r="177">
      <c r="A177" s="19">
        <f>'Season 1 - MafiaRatings'!A:A</f>
        <v/>
      </c>
      <c r="B177" s="19" t="n"/>
      <c r="L177" s="17" t="n"/>
      <c r="M177" s="17" t="n"/>
      <c r="N177" s="18" t="n"/>
    </row>
    <row r="178">
      <c r="A178" s="19">
        <f>'Season 1 - MafiaRatings'!A:A</f>
        <v/>
      </c>
      <c r="B178" s="19" t="n"/>
      <c r="L178" s="17" t="n"/>
      <c r="M178" s="17" t="n"/>
      <c r="N178" s="18" t="n"/>
    </row>
    <row r="179">
      <c r="A179" s="19">
        <f>'Season 1 - MafiaRatings'!A:A</f>
        <v/>
      </c>
      <c r="B179" s="19" t="n"/>
      <c r="L179" s="17" t="n"/>
      <c r="M179" s="17" t="n"/>
      <c r="N179" s="18" t="n"/>
    </row>
    <row r="180">
      <c r="A180" s="19">
        <f>'Season 1 - MafiaRatings'!A:A</f>
        <v/>
      </c>
      <c r="B180" s="19" t="n"/>
      <c r="L180" s="17" t="n"/>
      <c r="M180" s="17" t="n"/>
      <c r="N180" s="18" t="n"/>
    </row>
    <row r="181">
      <c r="A181" s="19">
        <f>'Season 1 - MafiaRatings'!A:A</f>
        <v/>
      </c>
      <c r="B181" s="19" t="n"/>
      <c r="L181" s="17" t="n"/>
      <c r="M181" s="17" t="n"/>
      <c r="N181" s="18" t="n"/>
    </row>
    <row r="182">
      <c r="A182" s="19">
        <f>'Season 1 - MafiaRatings'!A:A</f>
        <v/>
      </c>
      <c r="B182" s="19" t="n"/>
      <c r="L182" s="17" t="n"/>
      <c r="M182" s="17" t="n"/>
      <c r="N182" s="18" t="n"/>
    </row>
    <row r="183">
      <c r="A183" s="19">
        <f>'Season 1 - MafiaRatings'!A:A</f>
        <v/>
      </c>
      <c r="B183" s="19" t="n"/>
      <c r="L183" s="17" t="n"/>
      <c r="M183" s="17" t="n"/>
      <c r="N183" s="18" t="n"/>
    </row>
    <row r="184">
      <c r="A184" s="19">
        <f>'Season 1 - MafiaRatings'!A:A</f>
        <v/>
      </c>
      <c r="B184" s="19" t="n"/>
      <c r="L184" s="17" t="n"/>
      <c r="M184" s="17" t="n"/>
      <c r="N184" s="18" t="n"/>
    </row>
    <row r="185">
      <c r="A185" s="19">
        <f>'Season 1 - MafiaRatings'!A:A</f>
        <v/>
      </c>
      <c r="B185" s="19" t="n"/>
      <c r="L185" s="17" t="n"/>
      <c r="M185" s="17" t="n"/>
      <c r="N185" s="18" t="n"/>
    </row>
    <row r="186">
      <c r="A186" s="19">
        <f>'Season 1 - MafiaRatings'!A:A</f>
        <v/>
      </c>
      <c r="B186" s="19" t="n"/>
      <c r="L186" s="17" t="n"/>
      <c r="M186" s="17" t="n"/>
      <c r="N186" s="18" t="n"/>
    </row>
    <row r="187">
      <c r="A187" s="19">
        <f>'Season 1 - MafiaRatings'!A:A</f>
        <v/>
      </c>
      <c r="B187" s="19" t="n"/>
      <c r="L187" s="17" t="n"/>
      <c r="M187" s="17" t="n"/>
      <c r="N187" s="18" t="n"/>
    </row>
    <row r="188">
      <c r="A188" s="19">
        <f>'Season 1 - MafiaRatings'!A:A</f>
        <v/>
      </c>
      <c r="B188" s="19" t="n"/>
      <c r="L188" s="17" t="n"/>
      <c r="M188" s="17" t="n"/>
      <c r="N188" s="18" t="n"/>
    </row>
    <row r="189">
      <c r="A189" s="19">
        <f>'Season 1 - MafiaRatings'!A:A</f>
        <v/>
      </c>
      <c r="B189" s="19" t="n"/>
      <c r="L189" s="17" t="n"/>
      <c r="M189" s="17" t="n"/>
      <c r="N189" s="18" t="n"/>
    </row>
    <row r="190">
      <c r="A190" s="19">
        <f>'Season 1 - MafiaRatings'!A:A</f>
        <v/>
      </c>
      <c r="B190" s="19" t="n"/>
      <c r="L190" s="17" t="n"/>
      <c r="M190" s="17" t="n"/>
      <c r="N190" s="18" t="n"/>
    </row>
    <row r="191">
      <c r="A191" s="19">
        <f>'Season 1 - MafiaRatings'!A:A</f>
        <v/>
      </c>
      <c r="B191" s="19" t="n"/>
      <c r="L191" s="17" t="n"/>
      <c r="M191" s="17" t="n"/>
      <c r="N191" s="18" t="n"/>
    </row>
    <row r="192">
      <c r="A192" s="19">
        <f>'Season 1 - MafiaRatings'!A:A</f>
        <v/>
      </c>
      <c r="B192" s="19" t="n"/>
      <c r="L192" s="17" t="n"/>
      <c r="M192" s="17" t="n"/>
      <c r="N192" s="18" t="n"/>
    </row>
    <row r="193">
      <c r="A193" s="19">
        <f>'Season 1 - MafiaRatings'!A:A</f>
        <v/>
      </c>
      <c r="B193" s="19" t="n"/>
      <c r="L193" s="17" t="n"/>
      <c r="M193" s="17" t="n"/>
      <c r="N193" s="18" t="n"/>
    </row>
    <row r="194">
      <c r="A194" s="19">
        <f>'Season 1 - MafiaRatings'!A:A</f>
        <v/>
      </c>
      <c r="B194" s="19" t="n"/>
      <c r="L194" s="17" t="n"/>
      <c r="M194" s="17" t="n"/>
      <c r="N194" s="18" t="n"/>
    </row>
    <row r="195">
      <c r="A195" s="19">
        <f>'Season 1 - MafiaRatings'!A:A</f>
        <v/>
      </c>
      <c r="B195" s="19" t="n"/>
      <c r="L195" s="17" t="n"/>
      <c r="M195" s="17" t="n"/>
      <c r="N195" s="18" t="n"/>
    </row>
    <row r="196">
      <c r="A196" s="19">
        <f>'Season 1 - MafiaRatings'!A:A</f>
        <v/>
      </c>
      <c r="B196" s="19" t="n"/>
      <c r="L196" s="17" t="n"/>
      <c r="M196" s="17" t="n"/>
      <c r="N196" s="18" t="n"/>
    </row>
    <row r="197">
      <c r="A197" s="19">
        <f>'Season 1 - MafiaRatings'!A:A</f>
        <v/>
      </c>
      <c r="B197" s="19" t="n"/>
      <c r="L197" s="17" t="n"/>
      <c r="M197" s="17" t="n"/>
      <c r="N197" s="18" t="n"/>
    </row>
    <row r="198">
      <c r="A198" s="19">
        <f>'Season 1 - MafiaRatings'!A:A</f>
        <v/>
      </c>
      <c r="B198" s="19" t="n"/>
      <c r="L198" s="17" t="n"/>
      <c r="M198" s="17" t="n"/>
      <c r="N198" s="18" t="n"/>
    </row>
    <row r="199">
      <c r="A199" s="19">
        <f>'Season 1 - MafiaRatings'!A:A</f>
        <v/>
      </c>
      <c r="B199" s="19" t="n"/>
      <c r="L199" s="17" t="n"/>
      <c r="M199" s="17" t="n"/>
      <c r="N199" s="18" t="n"/>
    </row>
    <row r="200">
      <c r="A200" s="19">
        <f>'Season 1 - MafiaRatings'!A:A</f>
        <v/>
      </c>
      <c r="B200" s="19" t="n"/>
      <c r="L200" s="17" t="n"/>
      <c r="M200" s="17" t="n"/>
      <c r="N200" s="18" t="n"/>
    </row>
    <row r="201">
      <c r="A201" s="19">
        <f>'Season 1 - MafiaRatings'!A:A</f>
        <v/>
      </c>
      <c r="B201" s="19" t="n"/>
      <c r="L201" s="17" t="n"/>
      <c r="M201" s="17" t="n"/>
      <c r="N201" s="18" t="n"/>
    </row>
    <row r="202">
      <c r="A202" s="19">
        <f>'Season 1 - MafiaRatings'!A:A</f>
        <v/>
      </c>
      <c r="B202" s="19" t="n"/>
      <c r="L202" s="17" t="n"/>
      <c r="M202" s="17" t="n"/>
      <c r="N202" s="18" t="n"/>
    </row>
    <row r="203">
      <c r="A203" s="19">
        <f>'Season 1 - MafiaRatings'!A:A</f>
        <v/>
      </c>
      <c r="B203" s="19" t="n"/>
      <c r="L203" s="17" t="n"/>
      <c r="M203" s="17" t="n"/>
      <c r="N203" s="18" t="n"/>
    </row>
    <row r="204">
      <c r="A204" s="19">
        <f>'Season 1 - MafiaRatings'!A:A</f>
        <v/>
      </c>
      <c r="B204" s="19" t="n"/>
      <c r="L204" s="17" t="n"/>
      <c r="M204" s="17" t="n"/>
      <c r="N204" s="18" t="n"/>
    </row>
    <row r="205">
      <c r="A205" s="19">
        <f>'Season 1 - MafiaRatings'!A:A</f>
        <v/>
      </c>
      <c r="B205" s="19" t="n"/>
      <c r="L205" s="17" t="n"/>
      <c r="M205" s="17" t="n"/>
      <c r="N205" s="18" t="n"/>
    </row>
    <row r="206">
      <c r="A206" s="19">
        <f>'Season 1 - MafiaRatings'!A:A</f>
        <v/>
      </c>
      <c r="B206" s="19" t="n"/>
      <c r="L206" s="17" t="n"/>
      <c r="M206" s="17" t="n"/>
      <c r="N206" s="18" t="n"/>
    </row>
    <row r="207">
      <c r="A207" s="19">
        <f>'Season 1 - MafiaRatings'!A:A</f>
        <v/>
      </c>
      <c r="B207" s="19" t="n"/>
      <c r="L207" s="17" t="n"/>
      <c r="M207" s="17" t="n"/>
      <c r="N207" s="18" t="n"/>
    </row>
    <row r="208">
      <c r="A208" s="19">
        <f>'Season 1 - MafiaRatings'!A:A</f>
        <v/>
      </c>
      <c r="B208" s="19" t="n"/>
      <c r="L208" s="17" t="n"/>
      <c r="M208" s="17" t="n"/>
      <c r="N208" s="18" t="n"/>
    </row>
    <row r="209">
      <c r="A209" s="19">
        <f>'Season 1 - MafiaRatings'!A:A</f>
        <v/>
      </c>
      <c r="B209" s="19" t="n"/>
      <c r="L209" s="17" t="n"/>
      <c r="M209" s="17" t="n"/>
      <c r="N209" s="18" t="n"/>
    </row>
    <row r="210">
      <c r="A210" s="19">
        <f>'Season 1 - MafiaRatings'!A:A</f>
        <v/>
      </c>
      <c r="B210" s="19" t="n"/>
      <c r="L210" s="17" t="n"/>
      <c r="M210" s="17" t="n"/>
      <c r="N210" s="18" t="n"/>
    </row>
    <row r="211">
      <c r="A211" s="19">
        <f>'Season 1 - MafiaRatings'!A:A</f>
        <v/>
      </c>
      <c r="B211" s="19" t="n"/>
      <c r="L211" s="17" t="n"/>
      <c r="M211" s="17" t="n"/>
      <c r="N211" s="18" t="n"/>
    </row>
    <row r="212">
      <c r="A212" s="19">
        <f>'Season 1 - MafiaRatings'!A:A</f>
        <v/>
      </c>
      <c r="B212" s="19" t="n"/>
      <c r="L212" s="17" t="n"/>
      <c r="M212" s="17" t="n"/>
      <c r="N212" s="18" t="n"/>
    </row>
    <row r="213">
      <c r="A213" s="19">
        <f>'Season 1 - MafiaRatings'!A:A</f>
        <v/>
      </c>
      <c r="B213" s="19" t="n"/>
      <c r="L213" s="17" t="n"/>
      <c r="M213" s="17" t="n"/>
      <c r="N213" s="18" t="n"/>
    </row>
    <row r="214">
      <c r="A214" s="19">
        <f>'Season 1 - MafiaRatings'!A:A</f>
        <v/>
      </c>
      <c r="B214" s="19" t="n"/>
      <c r="L214" s="17" t="n"/>
      <c r="M214" s="17" t="n"/>
      <c r="N214" s="18" t="n"/>
    </row>
    <row r="215">
      <c r="A215" s="19">
        <f>'Season 1 - MafiaRatings'!A:A</f>
        <v/>
      </c>
      <c r="B215" s="19" t="n"/>
      <c r="L215" s="17" t="n"/>
      <c r="M215" s="17" t="n"/>
      <c r="N215" s="18" t="n"/>
    </row>
    <row r="216">
      <c r="A216" s="19">
        <f>'Season 1 - MafiaRatings'!A:A</f>
        <v/>
      </c>
      <c r="B216" s="19" t="n"/>
      <c r="L216" s="17" t="n"/>
      <c r="M216" s="17" t="n"/>
      <c r="N216" s="18" t="n"/>
    </row>
    <row r="217">
      <c r="A217" s="19">
        <f>'Season 1 - MafiaRatings'!A:A</f>
        <v/>
      </c>
      <c r="B217" s="19" t="n"/>
      <c r="L217" s="17" t="n"/>
      <c r="M217" s="17" t="n"/>
      <c r="N217" s="18" t="n"/>
    </row>
    <row r="218">
      <c r="A218" s="19">
        <f>'Season 1 - MafiaRatings'!A:A</f>
        <v/>
      </c>
      <c r="B218" s="19" t="n"/>
      <c r="L218" s="17" t="n"/>
      <c r="M218" s="17" t="n"/>
      <c r="N218" s="18" t="n"/>
    </row>
    <row r="219">
      <c r="A219" s="19">
        <f>'Season 1 - MafiaRatings'!A:A</f>
        <v/>
      </c>
      <c r="B219" s="19" t="n"/>
      <c r="L219" s="17" t="n"/>
      <c r="M219" s="17" t="n"/>
      <c r="N219" s="18" t="n"/>
    </row>
    <row r="220">
      <c r="A220" s="19">
        <f>'Season 1 - MafiaRatings'!A:A</f>
        <v/>
      </c>
      <c r="B220" s="19" t="n"/>
      <c r="L220" s="17" t="n"/>
      <c r="M220" s="17" t="n"/>
      <c r="N220" s="18" t="n"/>
    </row>
    <row r="221">
      <c r="A221" s="19">
        <f>'Season 1 - MafiaRatings'!A:A</f>
        <v/>
      </c>
      <c r="B221" s="19" t="n"/>
      <c r="L221" s="17" t="n"/>
      <c r="M221" s="17" t="n"/>
      <c r="N221" s="18" t="n"/>
    </row>
    <row r="222">
      <c r="A222" s="19">
        <f>'Season 1 - MafiaRatings'!A:A</f>
        <v/>
      </c>
      <c r="B222" s="19" t="n"/>
      <c r="L222" s="17" t="n"/>
      <c r="M222" s="17" t="n"/>
      <c r="N222" s="18" t="n"/>
    </row>
    <row r="223">
      <c r="A223" s="19">
        <f>'Season 1 - MafiaRatings'!A:A</f>
        <v/>
      </c>
      <c r="B223" s="19" t="n"/>
      <c r="L223" s="17" t="n"/>
      <c r="M223" s="17" t="n"/>
      <c r="N223" s="18" t="n"/>
    </row>
    <row r="224">
      <c r="A224" s="19">
        <f>'Season 1 - MafiaRatings'!A:A</f>
        <v/>
      </c>
      <c r="B224" s="19" t="n"/>
      <c r="L224" s="17" t="n"/>
      <c r="M224" s="17" t="n"/>
      <c r="N224" s="18" t="n"/>
    </row>
    <row r="225">
      <c r="A225" s="19">
        <f>'Season 1 - MafiaRatings'!A:A</f>
        <v/>
      </c>
      <c r="B225" s="19" t="n"/>
      <c r="L225" s="17" t="n"/>
      <c r="M225" s="17" t="n"/>
      <c r="N225" s="18" t="n"/>
    </row>
    <row r="226">
      <c r="A226" s="19">
        <f>'Season 1 - MafiaRatings'!A:A</f>
        <v/>
      </c>
      <c r="B226" s="19" t="n"/>
      <c r="L226" s="17" t="n"/>
      <c r="M226" s="17" t="n"/>
      <c r="N226" s="18" t="n"/>
    </row>
    <row r="227">
      <c r="A227" s="19">
        <f>'Season 1 - MafiaRatings'!A:A</f>
        <v/>
      </c>
      <c r="B227" s="19" t="n"/>
      <c r="L227" s="17" t="n"/>
      <c r="M227" s="17" t="n"/>
      <c r="N227" s="18" t="n"/>
    </row>
    <row r="228">
      <c r="A228" s="19">
        <f>'Season 1 - MafiaRatings'!A:A</f>
        <v/>
      </c>
      <c r="B228" s="19" t="n"/>
      <c r="L228" s="17" t="n"/>
      <c r="M228" s="17" t="n"/>
      <c r="N228" s="18" t="n"/>
    </row>
    <row r="229">
      <c r="A229" s="19">
        <f>'Season 1 - MafiaRatings'!A:A</f>
        <v/>
      </c>
      <c r="B229" s="19" t="n"/>
      <c r="L229" s="17" t="n"/>
      <c r="M229" s="17" t="n"/>
      <c r="N229" s="18" t="n"/>
    </row>
    <row r="230">
      <c r="A230" s="19">
        <f>'Season 1 - MafiaRatings'!A:A</f>
        <v/>
      </c>
      <c r="B230" s="19" t="n"/>
      <c r="L230" s="17" t="n"/>
      <c r="M230" s="17" t="n"/>
      <c r="N230" s="18" t="n"/>
    </row>
    <row r="231">
      <c r="A231" s="19">
        <f>'Season 1 - MafiaRatings'!A:A</f>
        <v/>
      </c>
      <c r="B231" s="19" t="n"/>
      <c r="L231" s="17" t="n"/>
      <c r="M231" s="17" t="n"/>
      <c r="N231" s="18" t="n"/>
    </row>
    <row r="232">
      <c r="A232" s="19">
        <f>'Season 1 - MafiaRatings'!A:A</f>
        <v/>
      </c>
      <c r="B232" s="19" t="n"/>
      <c r="L232" s="17" t="n"/>
      <c r="M232" s="17" t="n"/>
      <c r="N232" s="18" t="n"/>
    </row>
    <row r="233">
      <c r="A233" s="19">
        <f>'Season 1 - MafiaRatings'!A:A</f>
        <v/>
      </c>
      <c r="B233" s="19" t="n"/>
      <c r="L233" s="17" t="n"/>
      <c r="M233" s="17" t="n"/>
      <c r="N233" s="18" t="n"/>
    </row>
    <row r="234">
      <c r="A234" s="19">
        <f>'Season 1 - MafiaRatings'!A:A</f>
        <v/>
      </c>
      <c r="B234" s="19" t="n"/>
      <c r="L234" s="17" t="n"/>
      <c r="M234" s="17" t="n"/>
      <c r="N234" s="18" t="n"/>
    </row>
    <row r="235">
      <c r="A235" s="19">
        <f>'Season 1 - MafiaRatings'!A:A</f>
        <v/>
      </c>
      <c r="B235" s="19" t="n"/>
      <c r="L235" s="17" t="n"/>
      <c r="M235" s="17" t="n"/>
      <c r="N235" s="18" t="n"/>
    </row>
    <row r="236">
      <c r="A236" s="19">
        <f>'Season 1 - MafiaRatings'!A:A</f>
        <v/>
      </c>
      <c r="B236" s="19" t="n"/>
      <c r="L236" s="17" t="n"/>
      <c r="M236" s="17" t="n"/>
      <c r="N236" s="18" t="n"/>
    </row>
    <row r="237">
      <c r="A237" s="19">
        <f>'Season 1 - MafiaRatings'!A:A</f>
        <v/>
      </c>
      <c r="B237" s="19" t="n"/>
      <c r="L237" s="17" t="n"/>
      <c r="M237" s="17" t="n"/>
      <c r="N237" s="18" t="n"/>
    </row>
    <row r="238">
      <c r="A238" s="19">
        <f>'Season 1 - MafiaRatings'!A:A</f>
        <v/>
      </c>
      <c r="B238" s="19" t="n"/>
      <c r="L238" s="17" t="n"/>
      <c r="M238" s="17" t="n"/>
      <c r="N238" s="18" t="n"/>
    </row>
    <row r="239">
      <c r="A239" s="19">
        <f>'Season 1 - MafiaRatings'!A:A</f>
        <v/>
      </c>
      <c r="B239" s="19" t="n"/>
      <c r="L239" s="17" t="n"/>
      <c r="M239" s="17" t="n"/>
      <c r="N239" s="18" t="n"/>
    </row>
    <row r="240">
      <c r="A240" s="19">
        <f>'Season 1 - MafiaRatings'!A:A</f>
        <v/>
      </c>
      <c r="B240" s="19" t="n"/>
      <c r="L240" s="17" t="n"/>
      <c r="M240" s="17" t="n"/>
      <c r="N240" s="18" t="n"/>
    </row>
    <row r="241">
      <c r="A241" s="19">
        <f>'Season 1 - MafiaRatings'!A:A</f>
        <v/>
      </c>
      <c r="B241" s="19" t="n"/>
      <c r="L241" s="17" t="n"/>
      <c r="M241" s="17" t="n"/>
      <c r="N241" s="18" t="n"/>
    </row>
    <row r="242">
      <c r="A242" s="19">
        <f>'Season 1 - MafiaRatings'!A:A</f>
        <v/>
      </c>
      <c r="B242" s="19" t="n"/>
      <c r="L242" s="17" t="n"/>
      <c r="M242" s="17" t="n"/>
      <c r="N242" s="18" t="n"/>
    </row>
    <row r="243">
      <c r="A243" s="19">
        <f>'Season 1 - MafiaRatings'!A:A</f>
        <v/>
      </c>
      <c r="B243" s="19" t="n"/>
      <c r="L243" s="17" t="n"/>
      <c r="M243" s="17" t="n"/>
      <c r="N243" s="18" t="n"/>
    </row>
    <row r="244">
      <c r="A244" s="19">
        <f>'Season 1 - MafiaRatings'!A:A</f>
        <v/>
      </c>
      <c r="B244" s="19" t="n"/>
      <c r="L244" s="17" t="n"/>
      <c r="M244" s="17" t="n"/>
      <c r="N244" s="18" t="n"/>
    </row>
    <row r="245">
      <c r="A245" s="19">
        <f>'Season 1 - MafiaRatings'!A:A</f>
        <v/>
      </c>
      <c r="B245" s="19" t="n"/>
      <c r="L245" s="17" t="n"/>
      <c r="M245" s="17" t="n"/>
      <c r="N245" s="18" t="n"/>
    </row>
    <row r="246">
      <c r="A246" s="19">
        <f>'Season 1 - MafiaRatings'!A:A</f>
        <v/>
      </c>
      <c r="B246" s="19" t="n"/>
      <c r="L246" s="17" t="n"/>
      <c r="M246" s="17" t="n"/>
      <c r="N246" s="18" t="n"/>
    </row>
    <row r="247">
      <c r="A247" s="19">
        <f>'Season 1 - MafiaRatings'!A:A</f>
        <v/>
      </c>
      <c r="B247" s="19" t="n"/>
      <c r="L247" s="17" t="n"/>
      <c r="M247" s="17" t="n"/>
      <c r="N247" s="18" t="n"/>
    </row>
    <row r="248">
      <c r="A248" s="19">
        <f>'Season 1 - MafiaRatings'!A:A</f>
        <v/>
      </c>
      <c r="B248" s="19" t="n"/>
      <c r="L248" s="17" t="n"/>
      <c r="M248" s="17" t="n"/>
      <c r="N248" s="18" t="n"/>
    </row>
    <row r="249">
      <c r="A249" s="19">
        <f>'Season 1 - MafiaRatings'!A:A</f>
        <v/>
      </c>
      <c r="B249" s="19" t="n"/>
      <c r="L249" s="17" t="n"/>
      <c r="M249" s="17" t="n"/>
      <c r="N249" s="18" t="n"/>
    </row>
    <row r="250">
      <c r="A250" s="19">
        <f>'Season 1 - MafiaRatings'!A:A</f>
        <v/>
      </c>
      <c r="B250" s="19" t="n"/>
      <c r="L250" s="17" t="n"/>
      <c r="M250" s="17" t="n"/>
      <c r="N250" s="18" t="n"/>
    </row>
    <row r="251">
      <c r="A251" s="19">
        <f>'Season 1 - MafiaRatings'!A:A</f>
        <v/>
      </c>
      <c r="B251" s="19" t="n"/>
      <c r="L251" s="17" t="n"/>
      <c r="M251" s="17" t="n"/>
      <c r="N251" s="18" t="n"/>
    </row>
    <row r="252">
      <c r="A252" s="19">
        <f>'Season 1 - MafiaRatings'!A:A</f>
        <v/>
      </c>
      <c r="B252" s="19" t="n"/>
      <c r="L252" s="17" t="n"/>
      <c r="M252" s="17" t="n"/>
      <c r="N252" s="18" t="n"/>
    </row>
    <row r="253">
      <c r="A253" s="19">
        <f>'Season 1 - MafiaRatings'!A:A</f>
        <v/>
      </c>
      <c r="B253" s="19" t="n"/>
      <c r="L253" s="17" t="n"/>
      <c r="M253" s="17" t="n"/>
      <c r="N253" s="18" t="n"/>
    </row>
    <row r="254">
      <c r="A254" s="19">
        <f>'Season 1 - MafiaRatings'!A:A</f>
        <v/>
      </c>
      <c r="B254" s="19" t="n"/>
      <c r="L254" s="17" t="n"/>
      <c r="M254" s="17" t="n"/>
      <c r="N254" s="18" t="n"/>
    </row>
    <row r="255">
      <c r="A255" s="19">
        <f>'Season 1 - MafiaRatings'!A:A</f>
        <v/>
      </c>
      <c r="B255" s="19" t="n"/>
      <c r="L255" s="17" t="n"/>
      <c r="M255" s="17" t="n"/>
      <c r="N255" s="18" t="n"/>
    </row>
    <row r="256">
      <c r="A256" s="19">
        <f>'Season 1 - MafiaRatings'!A:A</f>
        <v/>
      </c>
      <c r="B256" s="19" t="n"/>
      <c r="L256" s="17" t="n"/>
      <c r="M256" s="17" t="n"/>
      <c r="N256" s="18" t="n"/>
    </row>
    <row r="257">
      <c r="A257" s="19">
        <f>'Season 1 - MafiaRatings'!A:A</f>
        <v/>
      </c>
      <c r="B257" s="19" t="n"/>
      <c r="L257" s="17" t="n"/>
      <c r="M257" s="17" t="n"/>
      <c r="N257" s="18" t="n"/>
    </row>
    <row r="258">
      <c r="A258" s="19">
        <f>'Season 1 - MafiaRatings'!A:A</f>
        <v/>
      </c>
      <c r="B258" s="19" t="n"/>
      <c r="L258" s="17" t="n"/>
      <c r="M258" s="17" t="n"/>
      <c r="N258" s="18" t="n"/>
    </row>
    <row r="259">
      <c r="A259" s="19">
        <f>'Season 1 - MafiaRatings'!A:A</f>
        <v/>
      </c>
      <c r="B259" s="19" t="n"/>
      <c r="L259" s="17" t="n"/>
      <c r="M259" s="17" t="n"/>
      <c r="N259" s="18" t="n"/>
    </row>
    <row r="260">
      <c r="A260" s="19">
        <f>'Season 1 - MafiaRatings'!A:A</f>
        <v/>
      </c>
      <c r="B260" s="19" t="n"/>
      <c r="L260" s="17" t="n"/>
      <c r="M260" s="17" t="n"/>
      <c r="N260" s="18" t="n"/>
    </row>
    <row r="261">
      <c r="A261" s="19">
        <f>'Season 1 - MafiaRatings'!A:A</f>
        <v/>
      </c>
      <c r="B261" s="19" t="n"/>
      <c r="L261" s="17" t="n"/>
      <c r="M261" s="17" t="n"/>
      <c r="N261" s="18" t="n"/>
    </row>
    <row r="262">
      <c r="A262" s="19">
        <f>'Season 1 - MafiaRatings'!A:A</f>
        <v/>
      </c>
      <c r="B262" s="19" t="n"/>
      <c r="L262" s="17" t="n"/>
      <c r="M262" s="17" t="n"/>
      <c r="N262" s="18" t="n"/>
    </row>
    <row r="263">
      <c r="A263" s="19">
        <f>'Season 1 - MafiaRatings'!A:A</f>
        <v/>
      </c>
      <c r="B263" s="19" t="n"/>
      <c r="L263" s="17" t="n"/>
      <c r="M263" s="17" t="n"/>
      <c r="N263" s="18" t="n"/>
    </row>
    <row r="264">
      <c r="A264" s="19">
        <f>'Season 1 - MafiaRatings'!A:A</f>
        <v/>
      </c>
      <c r="B264" s="19" t="n"/>
      <c r="L264" s="17" t="n"/>
      <c r="M264" s="17" t="n"/>
      <c r="N264" s="18" t="n"/>
    </row>
    <row r="265">
      <c r="A265" s="19">
        <f>'Season 1 - MafiaRatings'!A:A</f>
        <v/>
      </c>
      <c r="B265" s="19" t="n"/>
      <c r="L265" s="17" t="n"/>
      <c r="M265" s="17" t="n"/>
      <c r="N265" s="18" t="n"/>
    </row>
    <row r="266">
      <c r="A266" s="19">
        <f>'Season 1 - MafiaRatings'!A:A</f>
        <v/>
      </c>
      <c r="B266" s="19" t="n"/>
      <c r="L266" s="17" t="n"/>
      <c r="M266" s="17" t="n"/>
      <c r="N266" s="18" t="n"/>
    </row>
    <row r="267">
      <c r="A267" s="19">
        <f>'Season 1 - MafiaRatings'!A:A</f>
        <v/>
      </c>
      <c r="B267" s="19" t="n"/>
      <c r="L267" s="17" t="n"/>
      <c r="M267" s="17" t="n"/>
      <c r="N267" s="18" t="n"/>
    </row>
    <row r="268">
      <c r="A268" s="19">
        <f>'Season 1 - MafiaRatings'!A:A</f>
        <v/>
      </c>
      <c r="B268" s="19" t="n"/>
      <c r="L268" s="17" t="n"/>
      <c r="M268" s="17" t="n"/>
      <c r="N268" s="18" t="n"/>
    </row>
    <row r="269">
      <c r="A269" s="19">
        <f>'Season 1 - MafiaRatings'!A:A</f>
        <v/>
      </c>
      <c r="B269" s="19" t="n"/>
      <c r="L269" s="17" t="n"/>
      <c r="M269" s="17" t="n"/>
      <c r="N269" s="18" t="n"/>
    </row>
    <row r="270">
      <c r="A270" s="19">
        <f>'Season 1 - MafiaRatings'!A:A</f>
        <v/>
      </c>
      <c r="B270" s="19" t="n"/>
      <c r="L270" s="17" t="n"/>
      <c r="M270" s="17" t="n"/>
      <c r="N270" s="18" t="n"/>
    </row>
    <row r="271">
      <c r="A271" s="19">
        <f>'Season 1 - MafiaRatings'!A:A</f>
        <v/>
      </c>
      <c r="B271" s="19" t="n"/>
      <c r="L271" s="17" t="n"/>
      <c r="M271" s="17" t="n"/>
      <c r="N271" s="18" t="n"/>
    </row>
    <row r="272">
      <c r="A272" s="19">
        <f>'Season 1 - MafiaRatings'!A:A</f>
        <v/>
      </c>
      <c r="B272" s="19" t="n"/>
      <c r="L272" s="17" t="n"/>
      <c r="M272" s="17" t="n"/>
      <c r="N272" s="18" t="n"/>
    </row>
    <row r="273">
      <c r="A273" s="19">
        <f>'Season 1 - MafiaRatings'!A:A</f>
        <v/>
      </c>
      <c r="B273" s="19" t="n"/>
      <c r="L273" s="17" t="n"/>
      <c r="M273" s="17" t="n"/>
      <c r="N273" s="18" t="n"/>
    </row>
    <row r="274">
      <c r="A274" s="19">
        <f>'Season 1 - MafiaRatings'!A:A</f>
        <v/>
      </c>
      <c r="B274" s="19" t="n"/>
      <c r="L274" s="17" t="n"/>
      <c r="M274" s="17" t="n"/>
      <c r="N274" s="18" t="n"/>
    </row>
    <row r="275">
      <c r="A275" s="19">
        <f>'Season 1 - MafiaRatings'!A:A</f>
        <v/>
      </c>
      <c r="B275" s="19" t="n"/>
      <c r="L275" s="17" t="n"/>
      <c r="M275" s="17" t="n"/>
      <c r="N275" s="18" t="n"/>
    </row>
    <row r="276">
      <c r="A276" s="19">
        <f>'Season 1 - MafiaRatings'!A:A</f>
        <v/>
      </c>
      <c r="B276" s="19" t="n"/>
      <c r="L276" s="17" t="n"/>
      <c r="M276" s="17" t="n"/>
      <c r="N276" s="18" t="n"/>
    </row>
    <row r="277">
      <c r="A277" s="19">
        <f>'Season 1 - MafiaRatings'!A:A</f>
        <v/>
      </c>
      <c r="B277" s="19" t="n"/>
      <c r="L277" s="17" t="n"/>
      <c r="M277" s="17" t="n"/>
      <c r="N277" s="18" t="n"/>
    </row>
    <row r="278">
      <c r="A278" s="19">
        <f>'Season 1 - MafiaRatings'!A:A</f>
        <v/>
      </c>
      <c r="B278" s="19" t="n"/>
      <c r="L278" s="17" t="n"/>
      <c r="M278" s="17" t="n"/>
      <c r="N278" s="18" t="n"/>
    </row>
    <row r="279">
      <c r="A279" s="19">
        <f>'Season 1 - MafiaRatings'!A:A</f>
        <v/>
      </c>
      <c r="B279" s="19" t="n"/>
      <c r="L279" s="17" t="n"/>
      <c r="M279" s="17" t="n"/>
      <c r="N279" s="18" t="n"/>
    </row>
    <row r="280">
      <c r="A280" s="19">
        <f>'Season 1 - MafiaRatings'!A:A</f>
        <v/>
      </c>
      <c r="B280" s="19" t="n"/>
      <c r="L280" s="17" t="n"/>
      <c r="M280" s="17" t="n"/>
      <c r="N280" s="18" t="n"/>
    </row>
    <row r="281">
      <c r="A281" s="19">
        <f>'Season 1 - MafiaRatings'!A:A</f>
        <v/>
      </c>
      <c r="B281" s="19" t="n"/>
      <c r="L281" s="17" t="n"/>
      <c r="M281" s="17" t="n"/>
      <c r="N281" s="18" t="n"/>
    </row>
    <row r="282">
      <c r="A282" s="19">
        <f>'Season 1 - MafiaRatings'!A:A</f>
        <v/>
      </c>
      <c r="B282" s="19" t="n"/>
      <c r="L282" s="17" t="n"/>
      <c r="M282" s="17" t="n"/>
      <c r="N282" s="18" t="n"/>
    </row>
    <row r="283">
      <c r="A283" s="19">
        <f>'Season 1 - MafiaRatings'!A:A</f>
        <v/>
      </c>
      <c r="B283" s="19" t="n"/>
      <c r="L283" s="17" t="n"/>
      <c r="M283" s="17" t="n"/>
      <c r="N283" s="18" t="n"/>
    </row>
    <row r="284">
      <c r="A284" s="19">
        <f>'Season 1 - MafiaRatings'!A:A</f>
        <v/>
      </c>
      <c r="B284" s="19" t="n"/>
      <c r="L284" s="17" t="n"/>
      <c r="M284" s="17" t="n"/>
      <c r="N284" s="18" t="n"/>
    </row>
    <row r="285">
      <c r="A285" s="19">
        <f>'Season 1 - MafiaRatings'!A:A</f>
        <v/>
      </c>
      <c r="B285" s="19" t="n"/>
      <c r="L285" s="17" t="n"/>
      <c r="M285" s="17" t="n"/>
      <c r="N285" s="18" t="n"/>
    </row>
    <row r="286">
      <c r="A286" s="19">
        <f>'Season 1 - MafiaRatings'!A:A</f>
        <v/>
      </c>
      <c r="B286" s="19" t="n"/>
      <c r="L286" s="17" t="n"/>
      <c r="M286" s="17" t="n"/>
      <c r="N286" s="18" t="n"/>
    </row>
    <row r="287">
      <c r="A287" s="19">
        <f>'Season 1 - MafiaRatings'!A:A</f>
        <v/>
      </c>
      <c r="B287" s="19" t="n"/>
      <c r="L287" s="17" t="n"/>
      <c r="M287" s="17" t="n"/>
      <c r="N287" s="18" t="n"/>
    </row>
    <row r="288">
      <c r="A288" s="19">
        <f>'Season 1 - MafiaRatings'!A:A</f>
        <v/>
      </c>
      <c r="B288" s="19" t="n"/>
      <c r="L288" s="17" t="n"/>
      <c r="M288" s="17" t="n"/>
      <c r="N288" s="18" t="n"/>
    </row>
    <row r="289">
      <c r="A289" s="19">
        <f>'Season 1 - MafiaRatings'!A:A</f>
        <v/>
      </c>
      <c r="B289" s="19" t="n"/>
      <c r="L289" s="17" t="n"/>
      <c r="M289" s="17" t="n"/>
      <c r="N289" s="18" t="n"/>
    </row>
    <row r="290">
      <c r="A290" s="19">
        <f>'Season 1 - MafiaRatings'!A:A</f>
        <v/>
      </c>
      <c r="B290" s="19" t="n"/>
      <c r="L290" s="17" t="n"/>
      <c r="M290" s="17" t="n"/>
      <c r="N290" s="18" t="n"/>
    </row>
    <row r="291">
      <c r="A291" s="19">
        <f>'Season 1 - MafiaRatings'!A:A</f>
        <v/>
      </c>
      <c r="B291" s="19" t="n"/>
      <c r="L291" s="17" t="n"/>
      <c r="M291" s="17" t="n"/>
      <c r="N291" s="18" t="n"/>
    </row>
    <row r="292">
      <c r="A292" s="19">
        <f>'Season 1 - MafiaRatings'!A:A</f>
        <v/>
      </c>
      <c r="B292" s="19" t="n"/>
      <c r="L292" s="17" t="n"/>
      <c r="M292" s="17" t="n"/>
      <c r="N292" s="18" t="n"/>
    </row>
    <row r="293">
      <c r="A293" s="19">
        <f>'Season 1 - MafiaRatings'!A:A</f>
        <v/>
      </c>
      <c r="B293" s="19" t="n"/>
      <c r="L293" s="17" t="n"/>
      <c r="M293" s="17" t="n"/>
      <c r="N293" s="18" t="n"/>
    </row>
    <row r="294">
      <c r="A294" s="19">
        <f>'Season 1 - MafiaRatings'!A:A</f>
        <v/>
      </c>
      <c r="B294" s="19" t="n"/>
      <c r="L294" s="17" t="n"/>
      <c r="M294" s="17" t="n"/>
      <c r="N294" s="18" t="n"/>
    </row>
    <row r="295">
      <c r="A295" s="19">
        <f>'Season 1 - MafiaRatings'!A:A</f>
        <v/>
      </c>
      <c r="B295" s="19" t="n"/>
      <c r="L295" s="17" t="n"/>
      <c r="M295" s="17" t="n"/>
      <c r="N295" s="18" t="n"/>
    </row>
    <row r="296">
      <c r="A296" s="19">
        <f>'Season 1 - MafiaRatings'!A:A</f>
        <v/>
      </c>
      <c r="B296" s="19" t="n"/>
      <c r="L296" s="17" t="n"/>
      <c r="M296" s="17" t="n"/>
      <c r="N296" s="18" t="n"/>
    </row>
    <row r="297">
      <c r="A297" s="19">
        <f>'Season 1 - MafiaRatings'!A:A</f>
        <v/>
      </c>
      <c r="B297" s="19" t="n"/>
      <c r="L297" s="17" t="n"/>
      <c r="M297" s="17" t="n"/>
      <c r="N297" s="18" t="n"/>
    </row>
    <row r="298">
      <c r="A298" s="19">
        <f>'Season 1 - MafiaRatings'!A:A</f>
        <v/>
      </c>
      <c r="B298" s="19" t="n"/>
      <c r="L298" s="17" t="n"/>
      <c r="M298" s="17" t="n"/>
      <c r="N298" s="18" t="n"/>
    </row>
    <row r="299">
      <c r="A299" s="19">
        <f>'Season 1 - MafiaRatings'!A:A</f>
        <v/>
      </c>
      <c r="B299" s="19" t="n"/>
      <c r="L299" s="17" t="n"/>
      <c r="M299" s="17" t="n"/>
      <c r="N299" s="18" t="n"/>
    </row>
    <row r="300">
      <c r="A300" s="19">
        <f>'Season 1 - MafiaRatings'!A:A</f>
        <v/>
      </c>
      <c r="B300" s="19" t="n"/>
      <c r="L300" s="17" t="n"/>
      <c r="M300" s="17" t="n"/>
      <c r="N300" s="18" t="n"/>
    </row>
    <row r="301">
      <c r="A301" s="19">
        <f>'Season 1 - MafiaRatings'!A:A</f>
        <v/>
      </c>
      <c r="B301" s="19" t="n"/>
      <c r="L301" s="17" t="n"/>
      <c r="M301" s="17" t="n"/>
      <c r="N301" s="18" t="n"/>
    </row>
    <row r="302">
      <c r="A302" s="19">
        <f>'Season 1 - MafiaRatings'!A:A</f>
        <v/>
      </c>
      <c r="B302" s="19" t="n"/>
      <c r="L302" s="17" t="n"/>
      <c r="M302" s="17" t="n"/>
      <c r="N302" s="18" t="n"/>
    </row>
    <row r="303">
      <c r="A303" s="19">
        <f>'Season 1 - MafiaRatings'!A:A</f>
        <v/>
      </c>
      <c r="B303" s="19" t="n"/>
      <c r="L303" s="17" t="n"/>
      <c r="M303" s="17" t="n"/>
      <c r="N303" s="18" t="n"/>
    </row>
    <row r="304">
      <c r="A304" s="19">
        <f>'Season 1 - MafiaRatings'!A:A</f>
        <v/>
      </c>
      <c r="B304" s="19" t="n"/>
      <c r="L304" s="17" t="n"/>
      <c r="M304" s="17" t="n"/>
      <c r="N304" s="18" t="n"/>
    </row>
    <row r="305">
      <c r="A305" s="19">
        <f>'Season 1 - MafiaRatings'!A:A</f>
        <v/>
      </c>
      <c r="B305" s="19" t="n"/>
      <c r="L305" s="17" t="n"/>
      <c r="M305" s="17" t="n"/>
      <c r="N305" s="18" t="n"/>
    </row>
    <row r="306">
      <c r="A306" s="19">
        <f>'Season 1 - MafiaRatings'!A:A</f>
        <v/>
      </c>
      <c r="B306" s="19" t="n"/>
      <c r="L306" s="17" t="n"/>
      <c r="M306" s="17" t="n"/>
      <c r="N306" s="18" t="n"/>
    </row>
    <row r="307">
      <c r="A307" s="19">
        <f>'Season 1 - MafiaRatings'!A:A</f>
        <v/>
      </c>
      <c r="B307" s="19" t="n"/>
      <c r="L307" s="17" t="n"/>
      <c r="M307" s="17" t="n"/>
      <c r="N307" s="18" t="n"/>
    </row>
    <row r="308">
      <c r="A308" s="19">
        <f>'Season 1 - MafiaRatings'!A:A</f>
        <v/>
      </c>
      <c r="B308" s="19" t="n"/>
      <c r="L308" s="17" t="n"/>
      <c r="M308" s="17" t="n"/>
      <c r="N308" s="18" t="n"/>
    </row>
    <row r="309">
      <c r="A309" s="19">
        <f>'Season 1 - MafiaRatings'!A:A</f>
        <v/>
      </c>
      <c r="B309" s="19" t="n"/>
      <c r="L309" s="17" t="n"/>
      <c r="M309" s="17" t="n"/>
      <c r="N309" s="18" t="n"/>
    </row>
    <row r="310">
      <c r="A310" s="19">
        <f>'Season 1 - MafiaRatings'!A:A</f>
        <v/>
      </c>
      <c r="B310" s="19" t="n"/>
      <c r="L310" s="17" t="n"/>
      <c r="M310" s="17" t="n"/>
      <c r="N310" s="18" t="n"/>
    </row>
    <row r="311">
      <c r="A311" s="19">
        <f>'Season 1 - MafiaRatings'!A:A</f>
        <v/>
      </c>
      <c r="B311" s="19" t="n"/>
      <c r="L311" s="17" t="n"/>
      <c r="M311" s="17" t="n"/>
      <c r="N311" s="18" t="n"/>
    </row>
    <row r="312">
      <c r="A312" s="19">
        <f>'Season 1 - MafiaRatings'!A:A</f>
        <v/>
      </c>
      <c r="B312" s="19" t="n"/>
      <c r="L312" s="17" t="n"/>
      <c r="M312" s="17" t="n"/>
      <c r="N312" s="18" t="n"/>
    </row>
    <row r="313">
      <c r="A313" s="19">
        <f>'Season 1 - MafiaRatings'!A:A</f>
        <v/>
      </c>
      <c r="B313" s="19" t="n"/>
      <c r="L313" s="17" t="n"/>
      <c r="M313" s="17" t="n"/>
      <c r="N313" s="18" t="n"/>
    </row>
    <row r="314">
      <c r="A314" s="19">
        <f>'Season 1 - MafiaRatings'!A:A</f>
        <v/>
      </c>
      <c r="B314" s="19" t="n"/>
      <c r="L314" s="17" t="n"/>
      <c r="M314" s="17" t="n"/>
      <c r="N314" s="18" t="n"/>
    </row>
    <row r="315">
      <c r="A315" s="19">
        <f>'Season 1 - MafiaRatings'!A:A</f>
        <v/>
      </c>
      <c r="B315" s="19" t="n"/>
      <c r="L315" s="17" t="n"/>
      <c r="M315" s="17" t="n"/>
      <c r="N315" s="18" t="n"/>
    </row>
    <row r="316">
      <c r="A316" s="19">
        <f>'Season 1 - MafiaRatings'!A:A</f>
        <v/>
      </c>
      <c r="B316" s="19" t="n"/>
      <c r="L316" s="17" t="n"/>
      <c r="M316" s="17" t="n"/>
      <c r="N316" s="18" t="n"/>
    </row>
    <row r="317">
      <c r="A317" s="19">
        <f>'Season 1 - MafiaRatings'!A:A</f>
        <v/>
      </c>
      <c r="B317" s="19" t="n"/>
      <c r="L317" s="17" t="n"/>
      <c r="M317" s="17" t="n"/>
      <c r="N317" s="18" t="n"/>
    </row>
    <row r="318">
      <c r="A318" s="19">
        <f>'Season 1 - MafiaRatings'!A:A</f>
        <v/>
      </c>
      <c r="B318" s="19" t="n"/>
      <c r="L318" s="17" t="n"/>
      <c r="M318" s="17" t="n"/>
      <c r="N318" s="18" t="n"/>
    </row>
    <row r="319">
      <c r="A319" s="19">
        <f>'Season 1 - MafiaRatings'!A:A</f>
        <v/>
      </c>
      <c r="B319" s="19" t="n"/>
      <c r="L319" s="17" t="n"/>
      <c r="M319" s="17" t="n"/>
      <c r="N319" s="18" t="n"/>
    </row>
    <row r="320">
      <c r="A320" s="19">
        <f>'Season 1 - MafiaRatings'!A:A</f>
        <v/>
      </c>
      <c r="B320" s="19" t="n"/>
      <c r="L320" s="17" t="n"/>
      <c r="M320" s="17" t="n"/>
      <c r="N320" s="18" t="n"/>
    </row>
    <row r="321">
      <c r="A321" s="19">
        <f>'Season 1 - MafiaRatings'!A:A</f>
        <v/>
      </c>
      <c r="B321" s="19" t="n"/>
      <c r="L321" s="17" t="n"/>
      <c r="M321" s="17" t="n"/>
      <c r="N321" s="18" t="n"/>
    </row>
    <row r="322">
      <c r="A322" s="19">
        <f>'Season 1 - MafiaRatings'!A:A</f>
        <v/>
      </c>
      <c r="B322" s="19" t="n"/>
      <c r="L322" s="17" t="n"/>
      <c r="M322" s="17" t="n"/>
      <c r="N322" s="18" t="n"/>
    </row>
    <row r="323">
      <c r="A323" s="19">
        <f>'Season 1 - MafiaRatings'!A:A</f>
        <v/>
      </c>
      <c r="B323" s="19" t="n"/>
      <c r="L323" s="17" t="n"/>
      <c r="M323" s="17" t="n"/>
      <c r="N323" s="18" t="n"/>
    </row>
    <row r="324">
      <c r="A324" s="19">
        <f>'Season 1 - MafiaRatings'!A:A</f>
        <v/>
      </c>
      <c r="B324" s="19" t="n"/>
      <c r="L324" s="17" t="n"/>
      <c r="M324" s="17" t="n"/>
      <c r="N324" s="18" t="n"/>
    </row>
    <row r="325">
      <c r="A325" s="19">
        <f>'Season 1 - MafiaRatings'!A:A</f>
        <v/>
      </c>
      <c r="B325" s="19" t="n"/>
      <c r="L325" s="17" t="n"/>
      <c r="M325" s="17" t="n"/>
      <c r="N325" s="18" t="n"/>
    </row>
    <row r="326">
      <c r="A326" s="19">
        <f>'Season 1 - MafiaRatings'!A:A</f>
        <v/>
      </c>
      <c r="B326" s="19" t="n"/>
      <c r="L326" s="17" t="n"/>
      <c r="M326" s="17" t="n"/>
      <c r="N326" s="18" t="n"/>
    </row>
    <row r="327">
      <c r="A327" s="19">
        <f>'Season 1 - MafiaRatings'!A:A</f>
        <v/>
      </c>
      <c r="B327" s="19" t="n"/>
      <c r="L327" s="17" t="n"/>
      <c r="M327" s="17" t="n"/>
      <c r="N327" s="18" t="n"/>
    </row>
    <row r="328">
      <c r="A328" s="19">
        <f>'Season 1 - MafiaRatings'!A:A</f>
        <v/>
      </c>
      <c r="B328" s="19" t="n"/>
      <c r="L328" s="17" t="n"/>
      <c r="M328" s="17" t="n"/>
      <c r="N328" s="18" t="n"/>
    </row>
    <row r="329">
      <c r="A329" s="19">
        <f>'Season 1 - MafiaRatings'!A:A</f>
        <v/>
      </c>
      <c r="B329" s="19" t="n"/>
      <c r="L329" s="17" t="n"/>
      <c r="M329" s="17" t="n"/>
      <c r="N329" s="18" t="n"/>
    </row>
    <row r="330">
      <c r="A330" s="19">
        <f>'Season 1 - MafiaRatings'!A:A</f>
        <v/>
      </c>
      <c r="B330" s="19" t="n"/>
      <c r="L330" s="17" t="n"/>
      <c r="M330" s="17" t="n"/>
      <c r="N330" s="18" t="n"/>
    </row>
    <row r="331">
      <c r="A331" s="19">
        <f>'Season 1 - MafiaRatings'!A:A</f>
        <v/>
      </c>
      <c r="B331" s="19" t="n"/>
      <c r="L331" s="17" t="n"/>
      <c r="M331" s="17" t="n"/>
      <c r="N331" s="18" t="n"/>
    </row>
    <row r="332">
      <c r="A332" s="19">
        <f>'Season 1 - MafiaRatings'!A:A</f>
        <v/>
      </c>
      <c r="B332" s="19" t="n"/>
      <c r="L332" s="17" t="n"/>
      <c r="M332" s="17" t="n"/>
      <c r="N332" s="18" t="n"/>
    </row>
    <row r="333">
      <c r="A333" s="19">
        <f>'Season 1 - MafiaRatings'!A:A</f>
        <v/>
      </c>
      <c r="B333" s="19" t="n"/>
      <c r="L333" s="17" t="n"/>
      <c r="M333" s="17" t="n"/>
      <c r="N333" s="18" t="n"/>
    </row>
    <row r="334">
      <c r="A334" s="19">
        <f>'Season 1 - MafiaRatings'!A:A</f>
        <v/>
      </c>
      <c r="B334" s="19" t="n"/>
      <c r="L334" s="17" t="n"/>
      <c r="M334" s="17" t="n"/>
      <c r="N334" s="18" t="n"/>
    </row>
    <row r="335">
      <c r="A335" s="19">
        <f>'Season 1 - MafiaRatings'!A:A</f>
        <v/>
      </c>
      <c r="B335" s="19" t="n"/>
      <c r="L335" s="17" t="n"/>
      <c r="M335" s="17" t="n"/>
      <c r="N335" s="18" t="n"/>
    </row>
    <row r="336">
      <c r="A336" s="19">
        <f>'Season 1 - MafiaRatings'!A:A</f>
        <v/>
      </c>
      <c r="B336" s="19" t="n"/>
      <c r="L336" s="17" t="n"/>
      <c r="M336" s="17" t="n"/>
      <c r="N336" s="18" t="n"/>
    </row>
    <row r="337">
      <c r="A337" s="19">
        <f>'Season 1 - MafiaRatings'!A:A</f>
        <v/>
      </c>
      <c r="B337" s="19" t="n"/>
      <c r="L337" s="17" t="n"/>
      <c r="M337" s="17" t="n"/>
      <c r="N337" s="18" t="n"/>
    </row>
    <row r="338">
      <c r="A338" s="19">
        <f>'Season 1 - MafiaRatings'!A:A</f>
        <v/>
      </c>
      <c r="B338" s="19" t="n"/>
      <c r="L338" s="17" t="n"/>
      <c r="M338" s="17" t="n"/>
      <c r="N338" s="18" t="n"/>
    </row>
    <row r="339">
      <c r="A339" s="19">
        <f>'Season 1 - MafiaRatings'!A:A</f>
        <v/>
      </c>
      <c r="B339" s="19" t="n"/>
      <c r="L339" s="17" t="n"/>
      <c r="M339" s="17" t="n"/>
      <c r="N339" s="18" t="n"/>
    </row>
    <row r="340">
      <c r="A340" s="19">
        <f>'Season 1 - MafiaRatings'!A:A</f>
        <v/>
      </c>
      <c r="B340" s="19" t="n"/>
      <c r="L340" s="17" t="n"/>
      <c r="M340" s="17" t="n"/>
      <c r="N340" s="18" t="n"/>
    </row>
    <row r="341">
      <c r="A341" s="19">
        <f>'Season 1 - MafiaRatings'!A:A</f>
        <v/>
      </c>
      <c r="B341" s="19" t="n"/>
      <c r="L341" s="17" t="n"/>
      <c r="M341" s="17" t="n"/>
      <c r="N341" s="18" t="n"/>
    </row>
    <row r="342">
      <c r="A342" s="19">
        <f>'Season 1 - MafiaRatings'!A:A</f>
        <v/>
      </c>
      <c r="B342" s="19" t="n"/>
      <c r="L342" s="17" t="n"/>
      <c r="M342" s="17" t="n"/>
      <c r="N342" s="18" t="n"/>
    </row>
    <row r="343">
      <c r="A343" s="19">
        <f>'Season 1 - MafiaRatings'!A:A</f>
        <v/>
      </c>
      <c r="B343" s="19" t="n"/>
      <c r="L343" s="17" t="n"/>
      <c r="M343" s="17" t="n"/>
      <c r="N343" s="18" t="n"/>
    </row>
    <row r="344">
      <c r="A344" s="19">
        <f>'Season 1 - MafiaRatings'!A:A</f>
        <v/>
      </c>
      <c r="B344" s="19" t="n"/>
      <c r="L344" s="17" t="n"/>
      <c r="M344" s="17" t="n"/>
      <c r="N344" s="18" t="n"/>
    </row>
    <row r="345">
      <c r="A345" s="19">
        <f>'Season 1 - MafiaRatings'!A:A</f>
        <v/>
      </c>
      <c r="B345" s="19" t="n"/>
      <c r="L345" s="17" t="n"/>
      <c r="M345" s="17" t="n"/>
      <c r="N345" s="18" t="n"/>
    </row>
    <row r="346">
      <c r="A346" s="19">
        <f>'Season 1 - MafiaRatings'!A:A</f>
        <v/>
      </c>
      <c r="B346" s="19" t="n"/>
      <c r="L346" s="17" t="n"/>
      <c r="M346" s="17" t="n"/>
      <c r="N346" s="18" t="n"/>
    </row>
    <row r="347">
      <c r="A347" s="19">
        <f>'Season 1 - MafiaRatings'!A:A</f>
        <v/>
      </c>
      <c r="B347" s="19" t="n"/>
      <c r="L347" s="17" t="n"/>
      <c r="M347" s="17" t="n"/>
      <c r="N347" s="18" t="n"/>
    </row>
    <row r="348">
      <c r="A348" s="19">
        <f>'Season 1 - MafiaRatings'!A:A</f>
        <v/>
      </c>
      <c r="B348" s="19" t="n"/>
      <c r="L348" s="17" t="n"/>
      <c r="M348" s="17" t="n"/>
      <c r="N348" s="18" t="n"/>
    </row>
    <row r="349">
      <c r="A349" s="19">
        <f>'Season 1 - MafiaRatings'!A:A</f>
        <v/>
      </c>
      <c r="B349" s="19" t="n"/>
      <c r="L349" s="17" t="n"/>
      <c r="M349" s="17" t="n"/>
      <c r="N349" s="18" t="n"/>
    </row>
    <row r="350">
      <c r="A350" s="19">
        <f>'Season 1 - MafiaRatings'!A:A</f>
        <v/>
      </c>
      <c r="B350" s="19" t="n"/>
      <c r="L350" s="17" t="n"/>
      <c r="M350" s="17" t="n"/>
      <c r="N350" s="18" t="n"/>
    </row>
    <row r="351">
      <c r="A351" s="19">
        <f>'Season 1 - MafiaRatings'!A:A</f>
        <v/>
      </c>
      <c r="B351" s="19" t="n"/>
      <c r="L351" s="17" t="n"/>
      <c r="M351" s="17" t="n"/>
      <c r="N351" s="18" t="n"/>
    </row>
    <row r="352">
      <c r="A352" s="19">
        <f>'Season 1 - MafiaRatings'!A:A</f>
        <v/>
      </c>
      <c r="B352" s="19" t="n"/>
      <c r="L352" s="17" t="n"/>
      <c r="M352" s="17" t="n"/>
      <c r="N352" s="18" t="n"/>
    </row>
    <row r="353">
      <c r="A353" s="19">
        <f>'Season 1 - MafiaRatings'!A:A</f>
        <v/>
      </c>
      <c r="B353" s="19" t="n"/>
      <c r="L353" s="17" t="n"/>
      <c r="M353" s="17" t="n"/>
      <c r="N353" s="18" t="n"/>
    </row>
    <row r="354">
      <c r="A354" s="19">
        <f>'Season 1 - MafiaRatings'!A:A</f>
        <v/>
      </c>
      <c r="B354" s="19" t="n"/>
      <c r="L354" s="17" t="n"/>
      <c r="M354" s="17" t="n"/>
      <c r="N354" s="18" t="n"/>
    </row>
    <row r="355">
      <c r="A355" s="19">
        <f>'Season 1 - MafiaRatings'!A:A</f>
        <v/>
      </c>
      <c r="B355" s="19" t="n"/>
      <c r="L355" s="17" t="n"/>
      <c r="M355" s="17" t="n"/>
      <c r="N355" s="18" t="n"/>
    </row>
    <row r="356">
      <c r="A356" s="19">
        <f>'Season 1 - MafiaRatings'!A:A</f>
        <v/>
      </c>
      <c r="B356" s="19" t="n"/>
      <c r="L356" s="17" t="n"/>
      <c r="M356" s="17" t="n"/>
      <c r="N356" s="18" t="n"/>
    </row>
    <row r="357">
      <c r="A357" s="19">
        <f>'Season 1 - MafiaRatings'!A:A</f>
        <v/>
      </c>
      <c r="B357" s="19" t="n"/>
      <c r="L357" s="17" t="n"/>
      <c r="M357" s="17" t="n"/>
      <c r="N357" s="18" t="n"/>
    </row>
    <row r="358">
      <c r="A358" s="19">
        <f>'Season 1 - MafiaRatings'!A:A</f>
        <v/>
      </c>
      <c r="B358" s="19" t="n"/>
      <c r="L358" s="17" t="n"/>
      <c r="M358" s="17" t="n"/>
      <c r="N358" s="18" t="n"/>
    </row>
    <row r="359">
      <c r="A359" s="19">
        <f>'Season 1 - MafiaRatings'!A:A</f>
        <v/>
      </c>
      <c r="B359" s="19" t="n"/>
      <c r="L359" s="17" t="n"/>
      <c r="M359" s="17" t="n"/>
      <c r="N359" s="18" t="n"/>
    </row>
    <row r="360">
      <c r="A360" s="19">
        <f>'Season 1 - MafiaRatings'!A:A</f>
        <v/>
      </c>
      <c r="B360" s="19" t="n"/>
      <c r="L360" s="17" t="n"/>
      <c r="M360" s="17" t="n"/>
      <c r="N360" s="18" t="n"/>
    </row>
    <row r="361">
      <c r="A361" s="19">
        <f>'Season 1 - MafiaRatings'!A:A</f>
        <v/>
      </c>
      <c r="B361" s="19" t="n"/>
      <c r="L361" s="17" t="n"/>
      <c r="M361" s="17" t="n"/>
      <c r="N361" s="18" t="n"/>
    </row>
    <row r="362">
      <c r="A362" s="19">
        <f>'Season 1 - MafiaRatings'!A:A</f>
        <v/>
      </c>
      <c r="B362" s="19" t="n"/>
      <c r="L362" s="17" t="n"/>
      <c r="M362" s="17" t="n"/>
      <c r="N362" s="18" t="n"/>
    </row>
    <row r="363">
      <c r="A363" s="19">
        <f>'Season 1 - MafiaRatings'!A:A</f>
        <v/>
      </c>
      <c r="B363" s="19" t="n"/>
      <c r="L363" s="17" t="n"/>
      <c r="M363" s="17" t="n"/>
      <c r="N363" s="18" t="n"/>
    </row>
    <row r="364">
      <c r="A364" s="19">
        <f>'Season 1 - MafiaRatings'!A:A</f>
        <v/>
      </c>
      <c r="B364" s="19" t="n"/>
      <c r="L364" s="17" t="n"/>
      <c r="M364" s="17" t="n"/>
      <c r="N364" s="18" t="n"/>
    </row>
    <row r="365">
      <c r="A365" s="19">
        <f>'Season 1 - MafiaRatings'!A:A</f>
        <v/>
      </c>
      <c r="B365" s="19" t="n"/>
      <c r="L365" s="17" t="n"/>
      <c r="M365" s="17" t="n"/>
      <c r="N365" s="18" t="n"/>
    </row>
    <row r="366">
      <c r="A366" s="19">
        <f>'Season 1 - MafiaRatings'!A:A</f>
        <v/>
      </c>
      <c r="B366" s="19" t="n"/>
      <c r="L366" s="17" t="n"/>
      <c r="M366" s="17" t="n"/>
      <c r="N366" s="18" t="n"/>
    </row>
    <row r="367">
      <c r="A367" s="19">
        <f>'Season 1 - MafiaRatings'!A:A</f>
        <v/>
      </c>
      <c r="B367" s="19" t="n"/>
      <c r="L367" s="17" t="n"/>
      <c r="M367" s="17" t="n"/>
      <c r="N367" s="18" t="n"/>
    </row>
    <row r="368">
      <c r="A368" s="19">
        <f>'Season 1 - MafiaRatings'!A:A</f>
        <v/>
      </c>
      <c r="B368" s="19" t="n"/>
      <c r="L368" s="17" t="n"/>
      <c r="M368" s="17" t="n"/>
      <c r="N368" s="18" t="n"/>
    </row>
    <row r="369">
      <c r="A369" s="19">
        <f>'Season 1 - MafiaRatings'!A:A</f>
        <v/>
      </c>
      <c r="B369" s="19" t="n"/>
      <c r="L369" s="17" t="n"/>
      <c r="M369" s="17" t="n"/>
      <c r="N369" s="18" t="n"/>
    </row>
    <row r="370">
      <c r="A370" s="19">
        <f>'Season 1 - MafiaRatings'!A:A</f>
        <v/>
      </c>
      <c r="B370" s="19" t="n"/>
      <c r="L370" s="17" t="n"/>
      <c r="M370" s="17" t="n"/>
      <c r="N370" s="18" t="n"/>
    </row>
    <row r="371">
      <c r="A371" s="19">
        <f>'Season 1 - MafiaRatings'!A:A</f>
        <v/>
      </c>
      <c r="B371" s="19" t="n"/>
      <c r="L371" s="17" t="n"/>
      <c r="M371" s="17" t="n"/>
      <c r="N371" s="18" t="n"/>
    </row>
    <row r="372">
      <c r="A372" s="19">
        <f>'Season 1 - MafiaRatings'!A:A</f>
        <v/>
      </c>
      <c r="B372" s="19" t="n"/>
      <c r="L372" s="17" t="n"/>
      <c r="M372" s="17" t="n"/>
      <c r="N372" s="18" t="n"/>
    </row>
    <row r="373">
      <c r="A373" s="19">
        <f>'Season 1 - MafiaRatings'!A:A</f>
        <v/>
      </c>
      <c r="B373" s="19" t="n"/>
      <c r="L373" s="17" t="n"/>
      <c r="M373" s="17" t="n"/>
      <c r="N373" s="18" t="n"/>
    </row>
    <row r="374">
      <c r="A374" s="19">
        <f>'Season 1 - MafiaRatings'!A:A</f>
        <v/>
      </c>
      <c r="B374" s="19" t="n"/>
      <c r="L374" s="17" t="n"/>
      <c r="M374" s="17" t="n"/>
      <c r="N374" s="18" t="n"/>
    </row>
    <row r="375">
      <c r="A375" s="19">
        <f>'Season 1 - MafiaRatings'!A:A</f>
        <v/>
      </c>
      <c r="B375" s="19" t="n"/>
      <c r="L375" s="17" t="n"/>
      <c r="M375" s="17" t="n"/>
      <c r="N375" s="18" t="n"/>
    </row>
    <row r="376">
      <c r="A376" s="19">
        <f>'Season 1 - MafiaRatings'!A:A</f>
        <v/>
      </c>
      <c r="B376" s="19" t="n"/>
      <c r="L376" s="17" t="n"/>
      <c r="M376" s="17" t="n"/>
      <c r="N376" s="18" t="n"/>
    </row>
    <row r="377">
      <c r="A377" s="19">
        <f>'Season 1 - MafiaRatings'!A:A</f>
        <v/>
      </c>
      <c r="B377" s="19" t="n"/>
      <c r="L377" s="17" t="n"/>
      <c r="M377" s="17" t="n"/>
      <c r="N377" s="18" t="n"/>
    </row>
    <row r="378">
      <c r="A378" s="19">
        <f>'Season 1 - MafiaRatings'!A:A</f>
        <v/>
      </c>
      <c r="B378" s="19" t="n"/>
      <c r="L378" s="17" t="n"/>
      <c r="M378" s="17" t="n"/>
      <c r="N378" s="18" t="n"/>
    </row>
    <row r="379">
      <c r="A379" s="19">
        <f>'Season 1 - MafiaRatings'!A:A</f>
        <v/>
      </c>
      <c r="B379" s="19" t="n"/>
      <c r="L379" s="17" t="n"/>
      <c r="M379" s="17" t="n"/>
      <c r="N379" s="18" t="n"/>
    </row>
    <row r="380">
      <c r="A380" s="19">
        <f>'Season 1 - MafiaRatings'!A:A</f>
        <v/>
      </c>
      <c r="B380" s="19" t="n"/>
      <c r="L380" s="17" t="n"/>
      <c r="M380" s="17" t="n"/>
      <c r="N380" s="18" t="n"/>
    </row>
    <row r="381">
      <c r="A381" s="19">
        <f>'Season 1 - MafiaRatings'!A:A</f>
        <v/>
      </c>
      <c r="B381" s="19" t="n"/>
      <c r="L381" s="17" t="n"/>
      <c r="M381" s="17" t="n"/>
      <c r="N381" s="18" t="n"/>
    </row>
    <row r="382">
      <c r="A382" s="19">
        <f>'Season 1 - MafiaRatings'!A:A</f>
        <v/>
      </c>
      <c r="B382" s="19" t="n"/>
      <c r="L382" s="17" t="n"/>
      <c r="M382" s="17" t="n"/>
      <c r="N382" s="18" t="n"/>
    </row>
    <row r="383">
      <c r="A383" s="19">
        <f>'Season 1 - MafiaRatings'!A:A</f>
        <v/>
      </c>
      <c r="B383" s="19" t="n"/>
      <c r="L383" s="17" t="n"/>
      <c r="M383" s="17" t="n"/>
      <c r="N383" s="18" t="n"/>
    </row>
    <row r="384">
      <c r="A384" s="19">
        <f>'Season 1 - MafiaRatings'!A:A</f>
        <v/>
      </c>
      <c r="B384" s="19" t="n"/>
      <c r="L384" s="17" t="n"/>
      <c r="M384" s="17" t="n"/>
      <c r="N384" s="18" t="n"/>
    </row>
    <row r="385">
      <c r="A385" s="19">
        <f>'Season 1 - MafiaRatings'!A:A</f>
        <v/>
      </c>
      <c r="B385" s="19" t="n"/>
      <c r="L385" s="17" t="n"/>
      <c r="M385" s="17" t="n"/>
      <c r="N385" s="18" t="n"/>
    </row>
    <row r="386">
      <c r="A386" s="19">
        <f>'Season 1 - MafiaRatings'!A:A</f>
        <v/>
      </c>
      <c r="B386" s="19" t="n"/>
      <c r="L386" s="17" t="n"/>
      <c r="M386" s="17" t="n"/>
      <c r="N386" s="18" t="n"/>
    </row>
    <row r="387">
      <c r="A387" s="19">
        <f>'Season 1 - MafiaRatings'!A:A</f>
        <v/>
      </c>
      <c r="B387" s="19" t="n"/>
      <c r="L387" s="17" t="n"/>
      <c r="M387" s="17" t="n"/>
      <c r="N387" s="18" t="n"/>
    </row>
    <row r="388">
      <c r="A388" s="19">
        <f>'Season 1 - MafiaRatings'!A:A</f>
        <v/>
      </c>
      <c r="B388" s="19" t="n"/>
      <c r="L388" s="17" t="n"/>
      <c r="M388" s="17" t="n"/>
      <c r="N388" s="18" t="n"/>
    </row>
    <row r="389">
      <c r="A389" s="19">
        <f>'Season 1 - MafiaRatings'!A:A</f>
        <v/>
      </c>
      <c r="B389" s="19" t="n"/>
      <c r="L389" s="17" t="n"/>
      <c r="M389" s="17" t="n"/>
      <c r="N389" s="18" t="n"/>
    </row>
    <row r="390">
      <c r="A390" s="19">
        <f>'Season 1 - MafiaRatings'!A:A</f>
        <v/>
      </c>
      <c r="B390" s="19" t="n"/>
      <c r="L390" s="17" t="n"/>
      <c r="M390" s="17" t="n"/>
      <c r="N390" s="18" t="n"/>
    </row>
    <row r="391">
      <c r="A391" s="19">
        <f>'Season 1 - MafiaRatings'!A:A</f>
        <v/>
      </c>
      <c r="B391" s="19" t="n"/>
      <c r="L391" s="17" t="n"/>
      <c r="M391" s="17" t="n"/>
      <c r="N391" s="18" t="n"/>
    </row>
    <row r="392">
      <c r="A392" s="19">
        <f>'Season 1 - MafiaRatings'!A:A</f>
        <v/>
      </c>
      <c r="B392" s="19" t="n"/>
      <c r="L392" s="17" t="n"/>
      <c r="M392" s="17" t="n"/>
      <c r="N392" s="18" t="n"/>
    </row>
    <row r="393">
      <c r="A393" s="19">
        <f>'Season 1 - MafiaRatings'!A:A</f>
        <v/>
      </c>
      <c r="B393" s="19" t="n"/>
      <c r="L393" s="17" t="n"/>
      <c r="M393" s="17" t="n"/>
      <c r="N393" s="18" t="n"/>
    </row>
    <row r="394">
      <c r="A394" s="19">
        <f>'Season 1 - MafiaRatings'!A:A</f>
        <v/>
      </c>
      <c r="B394" s="19" t="n"/>
      <c r="L394" s="17" t="n"/>
      <c r="M394" s="17" t="n"/>
      <c r="N394" s="18" t="n"/>
    </row>
    <row r="395">
      <c r="A395" s="19">
        <f>'Season 1 - MafiaRatings'!A:A</f>
        <v/>
      </c>
      <c r="B395" s="19" t="n"/>
      <c r="L395" s="17" t="n"/>
      <c r="M395" s="17" t="n"/>
      <c r="N395" s="18" t="n"/>
    </row>
    <row r="396">
      <c r="A396" s="19">
        <f>'Season 1 - MafiaRatings'!A:A</f>
        <v/>
      </c>
      <c r="B396" s="19" t="n"/>
      <c r="L396" s="17" t="n"/>
      <c r="M396" s="17" t="n"/>
      <c r="N396" s="18" t="n"/>
    </row>
    <row r="397">
      <c r="A397" s="19">
        <f>'Season 1 - MafiaRatings'!A:A</f>
        <v/>
      </c>
      <c r="B397" s="19" t="n"/>
      <c r="L397" s="17" t="n"/>
      <c r="M397" s="17" t="n"/>
      <c r="N397" s="18" t="n"/>
    </row>
    <row r="398">
      <c r="A398" s="19">
        <f>'Season 1 - MafiaRatings'!A:A</f>
        <v/>
      </c>
      <c r="B398" s="19" t="n"/>
      <c r="L398" s="17" t="n"/>
      <c r="M398" s="17" t="n"/>
      <c r="N398" s="18" t="n"/>
    </row>
    <row r="399">
      <c r="A399" s="19">
        <f>'Season 1 - MafiaRatings'!A:A</f>
        <v/>
      </c>
      <c r="B399" s="19" t="n"/>
      <c r="L399" s="17" t="n"/>
      <c r="M399" s="17" t="n"/>
      <c r="N399" s="18" t="n"/>
    </row>
    <row r="400">
      <c r="A400" s="19">
        <f>'Season 1 - MafiaRatings'!A:A</f>
        <v/>
      </c>
      <c r="B400" s="19" t="n"/>
      <c r="L400" s="17" t="n"/>
      <c r="M400" s="17" t="n"/>
      <c r="N400" s="18" t="n"/>
    </row>
    <row r="401">
      <c r="A401" s="19">
        <f>'Season 1 - MafiaRatings'!A:A</f>
        <v/>
      </c>
      <c r="B401" s="19" t="n"/>
      <c r="L401" s="17" t="n"/>
      <c r="M401" s="17" t="n"/>
      <c r="N401" s="18" t="n"/>
    </row>
    <row r="402">
      <c r="A402" s="19">
        <f>'Season 1 - MafiaRatings'!A:A</f>
        <v/>
      </c>
      <c r="B402" s="19" t="n"/>
      <c r="L402" s="17" t="n"/>
      <c r="M402" s="17" t="n"/>
      <c r="N402" s="18" t="n"/>
    </row>
    <row r="403">
      <c r="A403" s="19">
        <f>'Season 1 - MafiaRatings'!A:A</f>
        <v/>
      </c>
      <c r="B403" s="19" t="n"/>
      <c r="L403" s="17" t="n"/>
      <c r="M403" s="17" t="n"/>
      <c r="N403" s="18" t="n"/>
    </row>
    <row r="404">
      <c r="A404" s="19">
        <f>'Season 1 - MafiaRatings'!A:A</f>
        <v/>
      </c>
      <c r="B404" s="19" t="n"/>
      <c r="L404" s="17" t="n"/>
      <c r="M404" s="17" t="n"/>
      <c r="N404" s="18" t="n"/>
    </row>
    <row r="405">
      <c r="A405" s="19">
        <f>'Season 1 - MafiaRatings'!A:A</f>
        <v/>
      </c>
      <c r="B405" s="19" t="n"/>
      <c r="L405" s="17" t="n"/>
      <c r="M405" s="17" t="n"/>
      <c r="N405" s="18" t="n"/>
    </row>
    <row r="406">
      <c r="A406" s="19">
        <f>'Season 1 - MafiaRatings'!A:A</f>
        <v/>
      </c>
      <c r="B406" s="19" t="n"/>
      <c r="L406" s="17" t="n"/>
      <c r="M406" s="17" t="n"/>
      <c r="N406" s="18" t="n"/>
    </row>
    <row r="407">
      <c r="A407" s="19">
        <f>'Season 1 - MafiaRatings'!A:A</f>
        <v/>
      </c>
      <c r="B407" s="19" t="n"/>
      <c r="L407" s="17" t="n"/>
      <c r="M407" s="17" t="n"/>
      <c r="N407" s="18" t="n"/>
    </row>
    <row r="408">
      <c r="A408" s="19">
        <f>'Season 1 - MafiaRatings'!A:A</f>
        <v/>
      </c>
      <c r="B408" s="19" t="n"/>
      <c r="L408" s="17" t="n"/>
      <c r="M408" s="17" t="n"/>
      <c r="N408" s="18" t="n"/>
    </row>
    <row r="409">
      <c r="A409" s="19">
        <f>'Season 1 - MafiaRatings'!A:A</f>
        <v/>
      </c>
      <c r="B409" s="19" t="n"/>
      <c r="L409" s="17" t="n"/>
      <c r="M409" s="17" t="n"/>
      <c r="N409" s="18" t="n"/>
    </row>
    <row r="410">
      <c r="A410" s="19">
        <f>'Season 1 - MafiaRatings'!A:A</f>
        <v/>
      </c>
      <c r="B410" s="19" t="n"/>
      <c r="L410" s="17" t="n"/>
      <c r="M410" s="17" t="n"/>
      <c r="N410" s="18" t="n"/>
    </row>
    <row r="411">
      <c r="A411" s="19">
        <f>'Season 1 - MafiaRatings'!A:A</f>
        <v/>
      </c>
      <c r="B411" s="19" t="n"/>
      <c r="L411" s="17" t="n"/>
      <c r="M411" s="17" t="n"/>
      <c r="N411" s="18" t="n"/>
    </row>
    <row r="412">
      <c r="A412" s="19">
        <f>'Season 1 - MafiaRatings'!A:A</f>
        <v/>
      </c>
      <c r="B412" s="19" t="n"/>
      <c r="L412" s="17" t="n"/>
      <c r="M412" s="17" t="n"/>
      <c r="N412" s="18" t="n"/>
    </row>
    <row r="413">
      <c r="A413" s="19">
        <f>'Season 1 - MafiaRatings'!A:A</f>
        <v/>
      </c>
      <c r="B413" s="19" t="n"/>
      <c r="L413" s="17" t="n"/>
      <c r="M413" s="17" t="n"/>
      <c r="N413" s="18" t="n"/>
    </row>
    <row r="414">
      <c r="A414" s="19">
        <f>'Season 1 - MafiaRatings'!A:A</f>
        <v/>
      </c>
      <c r="B414" s="19" t="n"/>
      <c r="L414" s="17" t="n"/>
      <c r="M414" s="17" t="n"/>
      <c r="N414" s="18" t="n"/>
    </row>
    <row r="415">
      <c r="A415" s="19">
        <f>'Season 1 - MafiaRatings'!A:A</f>
        <v/>
      </c>
      <c r="B415" s="19" t="n"/>
      <c r="L415" s="17" t="n"/>
      <c r="M415" s="17" t="n"/>
      <c r="N415" s="18" t="n"/>
    </row>
    <row r="416">
      <c r="A416" s="19">
        <f>'Season 1 - MafiaRatings'!A:A</f>
        <v/>
      </c>
      <c r="B416" s="19" t="n"/>
      <c r="L416" s="17" t="n"/>
      <c r="M416" s="17" t="n"/>
      <c r="N416" s="18" t="n"/>
    </row>
    <row r="417">
      <c r="A417" s="19">
        <f>'Season 1 - MafiaRatings'!A:A</f>
        <v/>
      </c>
      <c r="B417" s="19" t="n"/>
      <c r="L417" s="17" t="n"/>
      <c r="M417" s="17" t="n"/>
      <c r="N417" s="18" t="n"/>
    </row>
    <row r="418">
      <c r="A418" s="19">
        <f>'Season 1 - MafiaRatings'!A:A</f>
        <v/>
      </c>
      <c r="B418" s="19" t="n"/>
      <c r="L418" s="17" t="n"/>
      <c r="M418" s="17" t="n"/>
      <c r="N418" s="18" t="n"/>
    </row>
    <row r="419">
      <c r="A419" s="19">
        <f>'Season 1 - MafiaRatings'!A:A</f>
        <v/>
      </c>
      <c r="B419" s="19" t="n"/>
      <c r="L419" s="17" t="n"/>
      <c r="M419" s="17" t="n"/>
      <c r="N419" s="18" t="n"/>
    </row>
    <row r="420">
      <c r="A420" s="19">
        <f>'Season 1 - MafiaRatings'!A:A</f>
        <v/>
      </c>
      <c r="B420" s="19" t="n"/>
      <c r="L420" s="17" t="n"/>
      <c r="M420" s="17" t="n"/>
      <c r="N420" s="18" t="n"/>
    </row>
    <row r="421">
      <c r="A421" s="19">
        <f>'Season 1 - MafiaRatings'!A:A</f>
        <v/>
      </c>
      <c r="B421" s="19" t="n"/>
      <c r="L421" s="17" t="n"/>
      <c r="M421" s="17" t="n"/>
      <c r="N421" s="18" t="n"/>
    </row>
    <row r="422">
      <c r="A422" s="19">
        <f>'Season 1 - MafiaRatings'!A:A</f>
        <v/>
      </c>
      <c r="B422" s="19" t="n"/>
      <c r="L422" s="17" t="n"/>
      <c r="M422" s="17" t="n"/>
      <c r="N422" s="18" t="n"/>
    </row>
    <row r="423">
      <c r="A423" s="19">
        <f>'Season 1 - MafiaRatings'!A:A</f>
        <v/>
      </c>
      <c r="B423" s="19" t="n"/>
      <c r="L423" s="17" t="n"/>
      <c r="M423" s="17" t="n"/>
      <c r="N423" s="18" t="n"/>
    </row>
    <row r="424">
      <c r="A424" s="19">
        <f>'Season 1 - MafiaRatings'!A:A</f>
        <v/>
      </c>
      <c r="B424" s="19" t="n"/>
      <c r="L424" s="17" t="n"/>
      <c r="M424" s="17" t="n"/>
      <c r="N424" s="18" t="n"/>
    </row>
    <row r="425">
      <c r="A425" s="19">
        <f>'Season 1 - MafiaRatings'!A:A</f>
        <v/>
      </c>
      <c r="B425" s="19" t="n"/>
      <c r="L425" s="17" t="n"/>
      <c r="M425" s="17" t="n"/>
      <c r="N425" s="18" t="n"/>
    </row>
    <row r="426">
      <c r="A426" s="19">
        <f>'Season 1 - MafiaRatings'!A:A</f>
        <v/>
      </c>
      <c r="B426" s="19" t="n"/>
      <c r="L426" s="17" t="n"/>
      <c r="M426" s="17" t="n"/>
      <c r="N426" s="18" t="n"/>
    </row>
    <row r="427">
      <c r="A427" s="19">
        <f>'Season 1 - MafiaRatings'!A:A</f>
        <v/>
      </c>
      <c r="B427" s="19" t="n"/>
      <c r="L427" s="17" t="n"/>
      <c r="M427" s="17" t="n"/>
      <c r="N427" s="18" t="n"/>
    </row>
    <row r="428">
      <c r="A428" s="19">
        <f>'Season 1 - MafiaRatings'!A:A</f>
        <v/>
      </c>
      <c r="B428" s="19" t="n"/>
      <c r="L428" s="17" t="n"/>
      <c r="M428" s="17" t="n"/>
      <c r="N428" s="18" t="n"/>
    </row>
    <row r="429">
      <c r="A429" s="19">
        <f>'Season 1 - MafiaRatings'!A:A</f>
        <v/>
      </c>
      <c r="B429" s="19" t="n"/>
      <c r="L429" s="17" t="n"/>
      <c r="M429" s="17" t="n"/>
      <c r="N429" s="18" t="n"/>
    </row>
    <row r="430">
      <c r="A430" s="19">
        <f>'Season 1 - MafiaRatings'!A:A</f>
        <v/>
      </c>
      <c r="B430" s="19" t="n"/>
      <c r="L430" s="17" t="n"/>
      <c r="M430" s="17" t="n"/>
      <c r="N430" s="18" t="n"/>
    </row>
    <row r="431">
      <c r="A431" s="19">
        <f>'Season 1 - MafiaRatings'!A:A</f>
        <v/>
      </c>
      <c r="B431" s="19" t="n"/>
      <c r="L431" s="17" t="n"/>
      <c r="M431" s="17" t="n"/>
      <c r="N431" s="18" t="n"/>
    </row>
    <row r="432">
      <c r="A432" s="19">
        <f>'Season 1 - MafiaRatings'!A:A</f>
        <v/>
      </c>
      <c r="B432" s="19" t="n"/>
      <c r="L432" s="17" t="n"/>
      <c r="M432" s="17" t="n"/>
      <c r="N432" s="18" t="n"/>
    </row>
    <row r="433">
      <c r="A433" s="19">
        <f>'Season 1 - MafiaRatings'!A:A</f>
        <v/>
      </c>
      <c r="B433" s="19" t="n"/>
      <c r="L433" s="17" t="n"/>
      <c r="M433" s="17" t="n"/>
      <c r="N433" s="18" t="n"/>
    </row>
    <row r="434">
      <c r="A434" s="19">
        <f>'Season 1 - MafiaRatings'!A:A</f>
        <v/>
      </c>
      <c r="B434" s="19" t="n"/>
      <c r="L434" s="17" t="n"/>
      <c r="M434" s="17" t="n"/>
      <c r="N434" s="18" t="n"/>
    </row>
    <row r="435">
      <c r="A435" s="19">
        <f>'Season 1 - MafiaRatings'!A:A</f>
        <v/>
      </c>
      <c r="B435" s="19" t="n"/>
      <c r="L435" s="17" t="n"/>
      <c r="M435" s="17" t="n"/>
      <c r="N435" s="18" t="n"/>
    </row>
    <row r="436">
      <c r="A436" s="19">
        <f>'Season 1 - MafiaRatings'!A:A</f>
        <v/>
      </c>
      <c r="B436" s="19" t="n"/>
      <c r="L436" s="17" t="n"/>
      <c r="M436" s="17" t="n"/>
      <c r="N436" s="18" t="n"/>
    </row>
    <row r="437">
      <c r="A437" s="19">
        <f>'Season 1 - MafiaRatings'!A:A</f>
        <v/>
      </c>
      <c r="B437" s="19" t="n"/>
      <c r="L437" s="17" t="n"/>
      <c r="M437" s="17" t="n"/>
      <c r="N437" s="18" t="n"/>
    </row>
    <row r="438">
      <c r="A438" s="19">
        <f>'Season 1 - MafiaRatings'!A:A</f>
        <v/>
      </c>
      <c r="B438" s="19" t="n"/>
      <c r="L438" s="17" t="n"/>
      <c r="M438" s="17" t="n"/>
      <c r="N438" s="18" t="n"/>
    </row>
    <row r="439">
      <c r="A439" s="19">
        <f>'Season 1 - MafiaRatings'!A:A</f>
        <v/>
      </c>
      <c r="B439" s="19" t="n"/>
      <c r="L439" s="17" t="n"/>
      <c r="M439" s="17" t="n"/>
      <c r="N439" s="18" t="n"/>
    </row>
    <row r="440">
      <c r="A440" s="19">
        <f>'Season 1 - MafiaRatings'!A:A</f>
        <v/>
      </c>
      <c r="B440" s="19" t="n"/>
      <c r="L440" s="17" t="n"/>
      <c r="M440" s="17" t="n"/>
      <c r="N440" s="18" t="n"/>
    </row>
    <row r="441">
      <c r="A441" s="19">
        <f>'Season 1 - MafiaRatings'!A:A</f>
        <v/>
      </c>
      <c r="B441" s="19" t="n"/>
      <c r="L441" s="17" t="n"/>
      <c r="M441" s="17" t="n"/>
      <c r="N441" s="18" t="n"/>
    </row>
    <row r="442">
      <c r="A442" s="19">
        <f>'Season 1 - MafiaRatings'!A:A</f>
        <v/>
      </c>
      <c r="B442" s="19" t="n"/>
      <c r="L442" s="17" t="n"/>
      <c r="M442" s="17" t="n"/>
      <c r="N442" s="18" t="n"/>
    </row>
    <row r="443">
      <c r="A443" s="19">
        <f>'Season 1 - MafiaRatings'!A:A</f>
        <v/>
      </c>
      <c r="B443" s="19" t="n"/>
      <c r="L443" s="17" t="n"/>
      <c r="M443" s="17" t="n"/>
      <c r="N443" s="18" t="n"/>
    </row>
    <row r="444">
      <c r="A444" s="19">
        <f>'Season 1 - MafiaRatings'!A:A</f>
        <v/>
      </c>
      <c r="B444" s="19" t="n"/>
      <c r="L444" s="17" t="n"/>
      <c r="M444" s="17" t="n"/>
      <c r="N444" s="18" t="n"/>
    </row>
    <row r="445">
      <c r="A445" s="19">
        <f>'Season 1 - MafiaRatings'!A:A</f>
        <v/>
      </c>
      <c r="B445" s="19" t="n"/>
      <c r="L445" s="17" t="n"/>
      <c r="M445" s="17" t="n"/>
      <c r="N445" s="18" t="n"/>
    </row>
    <row r="446">
      <c r="A446" s="19">
        <f>'Season 1 - MafiaRatings'!A:A</f>
        <v/>
      </c>
      <c r="B446" s="19" t="n"/>
      <c r="L446" s="17" t="n"/>
      <c r="M446" s="17" t="n"/>
      <c r="N446" s="18" t="n"/>
    </row>
    <row r="447">
      <c r="A447" s="19">
        <f>'Season 1 - MafiaRatings'!A:A</f>
        <v/>
      </c>
      <c r="B447" s="19" t="n"/>
      <c r="L447" s="17" t="n"/>
      <c r="M447" s="17" t="n"/>
      <c r="N447" s="18" t="n"/>
    </row>
    <row r="448">
      <c r="A448" s="19">
        <f>'Season 1 - MafiaRatings'!A:A</f>
        <v/>
      </c>
      <c r="B448" s="19" t="n"/>
      <c r="L448" s="17" t="n"/>
      <c r="M448" s="17" t="n"/>
      <c r="N448" s="18" t="n"/>
    </row>
    <row r="449">
      <c r="A449" s="19">
        <f>'Season 1 - MafiaRatings'!A:A</f>
        <v/>
      </c>
      <c r="B449" s="19" t="n"/>
      <c r="L449" s="17" t="n"/>
      <c r="M449" s="17" t="n"/>
      <c r="N449" s="18" t="n"/>
    </row>
    <row r="450">
      <c r="A450" s="19">
        <f>'Season 1 - MafiaRatings'!A:A</f>
        <v/>
      </c>
      <c r="B450" s="19" t="n"/>
      <c r="L450" s="17" t="n"/>
      <c r="M450" s="17" t="n"/>
      <c r="N450" s="18" t="n"/>
    </row>
    <row r="451">
      <c r="A451" s="19">
        <f>'Season 1 - MafiaRatings'!A:A</f>
        <v/>
      </c>
      <c r="B451" s="19" t="n"/>
      <c r="L451" s="17" t="n"/>
      <c r="M451" s="17" t="n"/>
      <c r="N451" s="18" t="n"/>
    </row>
    <row r="452">
      <c r="A452" s="19">
        <f>'Season 1 - MafiaRatings'!A:A</f>
        <v/>
      </c>
      <c r="B452" s="19" t="n"/>
      <c r="L452" s="17" t="n"/>
      <c r="M452" s="17" t="n"/>
      <c r="N452" s="18" t="n"/>
    </row>
    <row r="453">
      <c r="A453" s="19">
        <f>'Season 1 - MafiaRatings'!A:A</f>
        <v/>
      </c>
      <c r="B453" s="19" t="n"/>
      <c r="L453" s="17" t="n"/>
      <c r="M453" s="17" t="n"/>
      <c r="N453" s="18" t="n"/>
    </row>
    <row r="454">
      <c r="A454" s="19">
        <f>'Season 1 - MafiaRatings'!A:A</f>
        <v/>
      </c>
      <c r="B454" s="19" t="n"/>
      <c r="L454" s="17" t="n"/>
      <c r="M454" s="17" t="n"/>
      <c r="N454" s="18" t="n"/>
    </row>
    <row r="455">
      <c r="A455" s="19">
        <f>'Season 1 - MafiaRatings'!A:A</f>
        <v/>
      </c>
      <c r="B455" s="19" t="n"/>
      <c r="L455" s="17" t="n"/>
      <c r="M455" s="17" t="n"/>
      <c r="N455" s="18" t="n"/>
    </row>
    <row r="456">
      <c r="A456" s="19">
        <f>'Season 1 - MafiaRatings'!A:A</f>
        <v/>
      </c>
      <c r="B456" s="19" t="n"/>
      <c r="L456" s="17" t="n"/>
      <c r="M456" s="17" t="n"/>
      <c r="N456" s="18" t="n"/>
    </row>
    <row r="457">
      <c r="A457" s="19">
        <f>'Season 1 - MafiaRatings'!A:A</f>
        <v/>
      </c>
      <c r="B457" s="19" t="n"/>
      <c r="L457" s="17" t="n"/>
      <c r="M457" s="17" t="n"/>
      <c r="N457" s="18" t="n"/>
    </row>
    <row r="458">
      <c r="A458" s="19">
        <f>'Season 1 - MafiaRatings'!A:A</f>
        <v/>
      </c>
      <c r="B458" s="19" t="n"/>
      <c r="L458" s="17" t="n"/>
      <c r="M458" s="17" t="n"/>
      <c r="N458" s="18" t="n"/>
    </row>
    <row r="459">
      <c r="A459" s="19">
        <f>'Season 1 - MafiaRatings'!A:A</f>
        <v/>
      </c>
      <c r="B459" s="19" t="n"/>
      <c r="L459" s="17" t="n"/>
      <c r="M459" s="17" t="n"/>
      <c r="N459" s="18" t="n"/>
    </row>
    <row r="460">
      <c r="A460" s="19">
        <f>'Season 1 - MafiaRatings'!A:A</f>
        <v/>
      </c>
      <c r="B460" s="19" t="n"/>
      <c r="L460" s="17" t="n"/>
      <c r="M460" s="17" t="n"/>
      <c r="N460" s="18" t="n"/>
    </row>
    <row r="461">
      <c r="A461" s="19">
        <f>'Season 1 - MafiaRatings'!A:A</f>
        <v/>
      </c>
      <c r="B461" s="19" t="n"/>
      <c r="L461" s="17" t="n"/>
      <c r="M461" s="17" t="n"/>
      <c r="N461" s="18" t="n"/>
    </row>
    <row r="462">
      <c r="A462" s="19">
        <f>'Season 1 - MafiaRatings'!A:A</f>
        <v/>
      </c>
      <c r="B462" s="19" t="n"/>
      <c r="L462" s="17" t="n"/>
      <c r="M462" s="17" t="n"/>
      <c r="N462" s="18" t="n"/>
    </row>
    <row r="463">
      <c r="A463" s="19">
        <f>'Season 1 - MafiaRatings'!A:A</f>
        <v/>
      </c>
      <c r="B463" s="19" t="n"/>
      <c r="L463" s="17" t="n"/>
      <c r="M463" s="17" t="n"/>
      <c r="N463" s="18" t="n"/>
    </row>
    <row r="464">
      <c r="A464" s="19">
        <f>'Season 1 - MafiaRatings'!A:A</f>
        <v/>
      </c>
      <c r="B464" s="19" t="n"/>
      <c r="L464" s="17" t="n"/>
      <c r="M464" s="17" t="n"/>
      <c r="N464" s="18" t="n"/>
    </row>
    <row r="465">
      <c r="A465" s="19">
        <f>'Season 1 - MafiaRatings'!A:A</f>
        <v/>
      </c>
      <c r="B465" s="19" t="n"/>
      <c r="L465" s="17" t="n"/>
      <c r="M465" s="17" t="n"/>
      <c r="N465" s="18" t="n"/>
    </row>
    <row r="466">
      <c r="A466" s="19">
        <f>'Season 1 - MafiaRatings'!A:A</f>
        <v/>
      </c>
      <c r="B466" s="19" t="n"/>
      <c r="L466" s="17" t="n"/>
      <c r="M466" s="17" t="n"/>
      <c r="N466" s="18" t="n"/>
    </row>
    <row r="467">
      <c r="A467" s="19">
        <f>'Season 1 - MafiaRatings'!A:A</f>
        <v/>
      </c>
      <c r="B467" s="19" t="n"/>
      <c r="L467" s="17" t="n"/>
      <c r="M467" s="17" t="n"/>
      <c r="N467" s="18" t="n"/>
    </row>
    <row r="468">
      <c r="A468" s="19">
        <f>'Season 1 - MafiaRatings'!A:A</f>
        <v/>
      </c>
      <c r="B468" s="19" t="n"/>
      <c r="L468" s="17" t="n"/>
      <c r="M468" s="17" t="n"/>
      <c r="N468" s="18" t="n"/>
    </row>
    <row r="469">
      <c r="A469" s="19">
        <f>'Season 1 - MafiaRatings'!A:A</f>
        <v/>
      </c>
      <c r="B469" s="19" t="n"/>
      <c r="L469" s="17" t="n"/>
      <c r="M469" s="17" t="n"/>
      <c r="N469" s="18" t="n"/>
    </row>
    <row r="470">
      <c r="A470" s="19">
        <f>'Season 1 - MafiaRatings'!A:A</f>
        <v/>
      </c>
      <c r="B470" s="19" t="n"/>
      <c r="L470" s="17" t="n"/>
      <c r="M470" s="17" t="n"/>
      <c r="N470" s="18" t="n"/>
    </row>
    <row r="471">
      <c r="A471" s="19">
        <f>'Season 1 - MafiaRatings'!A:A</f>
        <v/>
      </c>
      <c r="B471" s="19" t="n"/>
      <c r="L471" s="17" t="n"/>
      <c r="M471" s="17" t="n"/>
      <c r="N471" s="18" t="n"/>
    </row>
    <row r="472">
      <c r="A472" s="19">
        <f>'Season 1 - MafiaRatings'!A:A</f>
        <v/>
      </c>
      <c r="B472" s="19" t="n"/>
      <c r="L472" s="17" t="n"/>
      <c r="M472" s="17" t="n"/>
      <c r="N472" s="18" t="n"/>
    </row>
    <row r="473">
      <c r="A473" s="19">
        <f>'Season 1 - MafiaRatings'!A:A</f>
        <v/>
      </c>
      <c r="B473" s="19" t="n"/>
      <c r="L473" s="17" t="n"/>
      <c r="M473" s="17" t="n"/>
      <c r="N473" s="18" t="n"/>
    </row>
    <row r="474">
      <c r="A474" s="19">
        <f>'Season 1 - MafiaRatings'!A:A</f>
        <v/>
      </c>
      <c r="B474" s="19" t="n"/>
      <c r="L474" s="17" t="n"/>
      <c r="M474" s="17" t="n"/>
      <c r="N474" s="18" t="n"/>
    </row>
    <row r="475">
      <c r="A475" s="19">
        <f>'Season 1 - MafiaRatings'!A:A</f>
        <v/>
      </c>
      <c r="B475" s="19" t="n"/>
      <c r="L475" s="17" t="n"/>
      <c r="M475" s="17" t="n"/>
      <c r="N475" s="18" t="n"/>
    </row>
    <row r="476">
      <c r="A476" s="19">
        <f>'Season 1 - MafiaRatings'!A:A</f>
        <v/>
      </c>
      <c r="B476" s="19" t="n"/>
      <c r="L476" s="17" t="n"/>
      <c r="M476" s="17" t="n"/>
      <c r="N476" s="18" t="n"/>
    </row>
    <row r="477">
      <c r="A477" s="19">
        <f>'Season 1 - MafiaRatings'!A:A</f>
        <v/>
      </c>
      <c r="B477" s="19" t="n"/>
      <c r="L477" s="17" t="n"/>
      <c r="M477" s="17" t="n"/>
      <c r="N477" s="18" t="n"/>
    </row>
    <row r="478">
      <c r="A478" s="19">
        <f>'Season 1 - MafiaRatings'!A:A</f>
        <v/>
      </c>
      <c r="B478" s="19" t="n"/>
      <c r="L478" s="17" t="n"/>
      <c r="M478" s="17" t="n"/>
      <c r="N478" s="18" t="n"/>
    </row>
    <row r="479">
      <c r="A479" s="19">
        <f>'Season 1 - MafiaRatings'!A:A</f>
        <v/>
      </c>
      <c r="B479" s="19" t="n"/>
      <c r="L479" s="17" t="n"/>
      <c r="M479" s="17" t="n"/>
      <c r="N479" s="18" t="n"/>
    </row>
    <row r="480">
      <c r="A480" s="19">
        <f>'Season 1 - MafiaRatings'!A:A</f>
        <v/>
      </c>
      <c r="B480" s="19" t="n"/>
      <c r="L480" s="17" t="n"/>
      <c r="M480" s="17" t="n"/>
      <c r="N480" s="18" t="n"/>
    </row>
    <row r="481">
      <c r="A481" s="19">
        <f>'Season 1 - MafiaRatings'!A:A</f>
        <v/>
      </c>
      <c r="B481" s="19" t="n"/>
      <c r="L481" s="17" t="n"/>
      <c r="M481" s="17" t="n"/>
      <c r="N481" s="18" t="n"/>
    </row>
    <row r="482">
      <c r="A482" s="19">
        <f>'Season 1 - MafiaRatings'!A:A</f>
        <v/>
      </c>
      <c r="B482" s="19" t="n"/>
      <c r="L482" s="17" t="n"/>
      <c r="M482" s="17" t="n"/>
      <c r="N482" s="18" t="n"/>
    </row>
    <row r="483">
      <c r="A483" s="19">
        <f>'Season 1 - MafiaRatings'!A:A</f>
        <v/>
      </c>
      <c r="B483" s="19" t="n"/>
      <c r="L483" s="17" t="n"/>
      <c r="M483" s="17" t="n"/>
      <c r="N483" s="18" t="n"/>
    </row>
    <row r="484">
      <c r="A484" s="19">
        <f>'Season 1 - MafiaRatings'!A:A</f>
        <v/>
      </c>
      <c r="B484" s="19" t="n"/>
      <c r="L484" s="17" t="n"/>
      <c r="M484" s="17" t="n"/>
      <c r="N484" s="18" t="n"/>
    </row>
    <row r="485">
      <c r="A485" s="19">
        <f>'Season 1 - MafiaRatings'!A:A</f>
        <v/>
      </c>
      <c r="B485" s="19" t="n"/>
      <c r="L485" s="17" t="n"/>
      <c r="M485" s="17" t="n"/>
      <c r="N485" s="18" t="n"/>
    </row>
    <row r="486">
      <c r="A486" s="19">
        <f>'Season 1 - MafiaRatings'!A:A</f>
        <v/>
      </c>
      <c r="B486" s="19" t="n"/>
      <c r="L486" s="17" t="n"/>
      <c r="M486" s="17" t="n"/>
      <c r="N486" s="18" t="n"/>
    </row>
    <row r="487">
      <c r="A487" s="19">
        <f>'Season 1 - MafiaRatings'!A:A</f>
        <v/>
      </c>
      <c r="B487" s="19" t="n"/>
      <c r="L487" s="17" t="n"/>
      <c r="M487" s="17" t="n"/>
      <c r="N487" s="18" t="n"/>
    </row>
    <row r="488">
      <c r="A488" s="19">
        <f>'Season 1 - MafiaRatings'!A:A</f>
        <v/>
      </c>
      <c r="B488" s="19" t="n"/>
      <c r="L488" s="17" t="n"/>
      <c r="M488" s="17" t="n"/>
      <c r="N488" s="18" t="n"/>
    </row>
    <row r="489">
      <c r="A489" s="19">
        <f>'Season 1 - MafiaRatings'!A:A</f>
        <v/>
      </c>
      <c r="B489" s="19" t="n"/>
      <c r="L489" s="17" t="n"/>
      <c r="M489" s="17" t="n"/>
      <c r="N489" s="18" t="n"/>
    </row>
    <row r="490">
      <c r="A490" s="19">
        <f>'Season 1 - MafiaRatings'!A:A</f>
        <v/>
      </c>
      <c r="B490" s="19" t="n"/>
      <c r="L490" s="17" t="n"/>
      <c r="M490" s="17" t="n"/>
      <c r="N490" s="18" t="n"/>
    </row>
    <row r="491">
      <c r="A491" s="19">
        <f>'Season 1 - MafiaRatings'!A:A</f>
        <v/>
      </c>
      <c r="B491" s="19" t="n"/>
      <c r="L491" s="17" t="n"/>
      <c r="M491" s="17" t="n"/>
      <c r="N491" s="18" t="n"/>
    </row>
    <row r="492">
      <c r="A492" s="19">
        <f>'Season 1 - MafiaRatings'!A:A</f>
        <v/>
      </c>
      <c r="B492" s="19" t="n"/>
      <c r="L492" s="17" t="n"/>
      <c r="M492" s="17" t="n"/>
      <c r="N492" s="18" t="n"/>
    </row>
    <row r="493">
      <c r="A493" s="19">
        <f>'Season 1 - MafiaRatings'!A:A</f>
        <v/>
      </c>
      <c r="B493" s="19" t="n"/>
      <c r="L493" s="17" t="n"/>
      <c r="M493" s="17" t="n"/>
      <c r="N493" s="18" t="n"/>
    </row>
    <row r="494">
      <c r="A494" s="19">
        <f>'Season 1 - MafiaRatings'!A:A</f>
        <v/>
      </c>
      <c r="B494" s="19" t="n"/>
      <c r="L494" s="17" t="n"/>
      <c r="M494" s="17" t="n"/>
      <c r="N494" s="18" t="n"/>
    </row>
    <row r="495">
      <c r="A495" s="19">
        <f>'Season 1 - MafiaRatings'!A:A</f>
        <v/>
      </c>
      <c r="B495" s="19" t="n"/>
      <c r="L495" s="17" t="n"/>
      <c r="M495" s="17" t="n"/>
      <c r="N495" s="18" t="n"/>
    </row>
    <row r="496">
      <c r="A496" s="19">
        <f>'Season 1 - MafiaRatings'!A:A</f>
        <v/>
      </c>
      <c r="B496" s="19" t="n"/>
      <c r="L496" s="17" t="n"/>
      <c r="M496" s="17" t="n"/>
      <c r="N496" s="18" t="n"/>
    </row>
    <row r="497">
      <c r="A497" s="19">
        <f>'Season 1 - MafiaRatings'!A:A</f>
        <v/>
      </c>
      <c r="B497" s="19" t="n"/>
      <c r="L497" s="17" t="n"/>
      <c r="M497" s="17" t="n"/>
      <c r="N497" s="18" t="n"/>
    </row>
    <row r="498">
      <c r="A498" s="19">
        <f>'Season 1 - MafiaRatings'!A:A</f>
        <v/>
      </c>
      <c r="B498" s="19" t="n"/>
      <c r="L498" s="17" t="n"/>
      <c r="M498" s="17" t="n"/>
      <c r="N498" s="18" t="n"/>
    </row>
    <row r="499">
      <c r="A499" s="19">
        <f>'Season 1 - MafiaRatings'!A:A</f>
        <v/>
      </c>
      <c r="B499" s="19" t="n"/>
      <c r="L499" s="17" t="n"/>
      <c r="M499" s="17" t="n"/>
      <c r="N499" s="18" t="n"/>
    </row>
    <row r="500">
      <c r="A500" s="19">
        <f>'Season 1 - MafiaRatings'!A:A</f>
        <v/>
      </c>
      <c r="B500" s="19" t="n"/>
      <c r="L500" s="17" t="n"/>
      <c r="M500" s="17" t="n"/>
      <c r="N500" s="18" t="n"/>
    </row>
    <row r="501">
      <c r="A501" s="19">
        <f>'Season 1 - MafiaRatings'!A:A</f>
        <v/>
      </c>
      <c r="B501" s="19" t="n"/>
      <c r="L501" s="17" t="n"/>
      <c r="M501" s="17" t="n"/>
      <c r="N501" s="18" t="n"/>
    </row>
    <row r="502">
      <c r="A502" s="19">
        <f>'Season 1 - MafiaRatings'!A:A</f>
        <v/>
      </c>
      <c r="B502" s="19" t="n"/>
      <c r="L502" s="17" t="n"/>
      <c r="M502" s="17" t="n"/>
      <c r="N502" s="18" t="n"/>
    </row>
    <row r="503">
      <c r="A503" s="19">
        <f>'Season 1 - MafiaRatings'!A:A</f>
        <v/>
      </c>
      <c r="B503" s="19" t="n"/>
      <c r="L503" s="17" t="n"/>
      <c r="M503" s="17" t="n"/>
      <c r="N503" s="18" t="n"/>
    </row>
    <row r="504">
      <c r="A504" s="19">
        <f>'Season 1 - MafiaRatings'!A:A</f>
        <v/>
      </c>
      <c r="B504" s="19" t="n"/>
      <c r="L504" s="17" t="n"/>
      <c r="M504" s="17" t="n"/>
      <c r="N504" s="18" t="n"/>
    </row>
    <row r="505">
      <c r="A505" s="19">
        <f>'Season 1 - MafiaRatings'!A:A</f>
        <v/>
      </c>
      <c r="B505" s="19" t="n"/>
      <c r="L505" s="17" t="n"/>
      <c r="M505" s="17" t="n"/>
      <c r="N505" s="18" t="n"/>
    </row>
    <row r="506">
      <c r="A506" s="19">
        <f>'Season 1 - MafiaRatings'!A:A</f>
        <v/>
      </c>
      <c r="B506" s="19" t="n"/>
      <c r="L506" s="17" t="n"/>
      <c r="M506" s="17" t="n"/>
      <c r="N506" s="18" t="n"/>
    </row>
    <row r="507">
      <c r="A507" s="19">
        <f>'Season 1 - MafiaRatings'!A:A</f>
        <v/>
      </c>
      <c r="B507" s="19" t="n"/>
      <c r="L507" s="17" t="n"/>
      <c r="M507" s="17" t="n"/>
      <c r="N507" s="18" t="n"/>
    </row>
    <row r="508">
      <c r="A508" s="19">
        <f>'Season 1 - MafiaRatings'!A:A</f>
        <v/>
      </c>
      <c r="B508" s="19" t="n"/>
      <c r="L508" s="17" t="n"/>
      <c r="M508" s="17" t="n"/>
      <c r="N508" s="18" t="n"/>
    </row>
    <row r="509">
      <c r="A509" s="19">
        <f>'Season 1 - MafiaRatings'!A:A</f>
        <v/>
      </c>
      <c r="B509" s="19" t="n"/>
      <c r="L509" s="17" t="n"/>
      <c r="M509" s="17" t="n"/>
      <c r="N509" s="18" t="n"/>
    </row>
    <row r="510">
      <c r="A510" s="19">
        <f>'Season 1 - MafiaRatings'!A:A</f>
        <v/>
      </c>
      <c r="B510" s="19" t="n"/>
      <c r="L510" s="17" t="n"/>
      <c r="M510" s="17" t="n"/>
      <c r="N510" s="18" t="n"/>
    </row>
    <row r="511">
      <c r="A511" s="19">
        <f>'Season 1 - MafiaRatings'!A:A</f>
        <v/>
      </c>
      <c r="B511" s="19" t="n"/>
      <c r="L511" s="17" t="n"/>
      <c r="M511" s="17" t="n"/>
      <c r="N511" s="18" t="n"/>
    </row>
    <row r="512">
      <c r="A512" s="19">
        <f>'Season 1 - MafiaRatings'!A:A</f>
        <v/>
      </c>
      <c r="B512" s="19" t="n"/>
      <c r="L512" s="17" t="n"/>
      <c r="M512" s="17" t="n"/>
      <c r="N512" s="18" t="n"/>
    </row>
    <row r="513">
      <c r="A513" s="19">
        <f>'Season 1 - MafiaRatings'!A:A</f>
        <v/>
      </c>
      <c r="B513" s="19" t="n"/>
      <c r="L513" s="17" t="n"/>
      <c r="M513" s="17" t="n"/>
      <c r="N513" s="18" t="n"/>
    </row>
    <row r="514">
      <c r="A514" s="19">
        <f>'Season 1 - MafiaRatings'!A:A</f>
        <v/>
      </c>
      <c r="B514" s="19" t="n"/>
      <c r="L514" s="17" t="n"/>
      <c r="M514" s="17" t="n"/>
      <c r="N514" s="18" t="n"/>
    </row>
    <row r="515">
      <c r="A515" s="19">
        <f>'Season 1 - MafiaRatings'!A:A</f>
        <v/>
      </c>
      <c r="B515" s="19" t="n"/>
      <c r="L515" s="17" t="n"/>
      <c r="M515" s="17" t="n"/>
      <c r="N515" s="18" t="n"/>
    </row>
    <row r="516">
      <c r="A516" s="19">
        <f>'Season 1 - MafiaRatings'!A:A</f>
        <v/>
      </c>
      <c r="B516" s="19" t="n"/>
      <c r="L516" s="17" t="n"/>
      <c r="M516" s="17" t="n"/>
      <c r="N516" s="18" t="n"/>
    </row>
    <row r="517">
      <c r="A517" s="19">
        <f>'Season 1 - MafiaRatings'!A:A</f>
        <v/>
      </c>
      <c r="B517" s="19" t="n"/>
      <c r="L517" s="17" t="n"/>
      <c r="M517" s="17" t="n"/>
      <c r="N517" s="18" t="n"/>
    </row>
    <row r="518">
      <c r="A518" s="19">
        <f>'Season 1 - MafiaRatings'!A:A</f>
        <v/>
      </c>
      <c r="B518" s="19" t="n"/>
      <c r="L518" s="17" t="n"/>
      <c r="M518" s="17" t="n"/>
      <c r="N518" s="18" t="n"/>
    </row>
    <row r="519">
      <c r="A519" s="19">
        <f>'Season 1 - MafiaRatings'!A:A</f>
        <v/>
      </c>
      <c r="B519" s="19" t="n"/>
      <c r="L519" s="17" t="n"/>
      <c r="M519" s="17" t="n"/>
      <c r="N519" s="18" t="n"/>
    </row>
    <row r="520">
      <c r="A520" s="19">
        <f>'Season 1 - MafiaRatings'!A:A</f>
        <v/>
      </c>
      <c r="B520" s="19" t="n"/>
      <c r="L520" s="17" t="n"/>
      <c r="M520" s="17" t="n"/>
      <c r="N520" s="18" t="n"/>
    </row>
    <row r="521">
      <c r="A521" s="19">
        <f>'Season 1 - MafiaRatings'!A:A</f>
        <v/>
      </c>
      <c r="B521" s="19" t="n"/>
      <c r="L521" s="17" t="n"/>
      <c r="M521" s="17" t="n"/>
      <c r="N521" s="18" t="n"/>
    </row>
    <row r="522">
      <c r="A522" s="19">
        <f>'Season 1 - MafiaRatings'!A:A</f>
        <v/>
      </c>
      <c r="B522" s="19" t="n"/>
      <c r="L522" s="17" t="n"/>
      <c r="M522" s="17" t="n"/>
      <c r="N522" s="18" t="n"/>
    </row>
    <row r="523">
      <c r="A523" s="19">
        <f>'Season 1 - MafiaRatings'!A:A</f>
        <v/>
      </c>
      <c r="B523" s="19" t="n"/>
      <c r="L523" s="17" t="n"/>
      <c r="M523" s="17" t="n"/>
      <c r="N523" s="18" t="n"/>
    </row>
    <row r="524">
      <c r="A524" s="19">
        <f>'Season 1 - MafiaRatings'!A:A</f>
        <v/>
      </c>
      <c r="B524" s="19" t="n"/>
      <c r="L524" s="17" t="n"/>
      <c r="M524" s="17" t="n"/>
      <c r="N524" s="18" t="n"/>
    </row>
    <row r="525">
      <c r="A525" s="19">
        <f>'Season 1 - MafiaRatings'!A:A</f>
        <v/>
      </c>
      <c r="B525" s="19" t="n"/>
      <c r="L525" s="17" t="n"/>
      <c r="M525" s="17" t="n"/>
      <c r="N525" s="18" t="n"/>
    </row>
    <row r="526">
      <c r="A526" s="19">
        <f>'Season 1 - MafiaRatings'!A:A</f>
        <v/>
      </c>
      <c r="B526" s="19" t="n"/>
      <c r="L526" s="17" t="n"/>
      <c r="M526" s="17" t="n"/>
      <c r="N526" s="18" t="n"/>
    </row>
    <row r="527">
      <c r="A527" s="19">
        <f>'Season 1 - MafiaRatings'!A:A</f>
        <v/>
      </c>
      <c r="B527" s="19" t="n"/>
      <c r="L527" s="17" t="n"/>
      <c r="M527" s="17" t="n"/>
      <c r="N527" s="18" t="n"/>
    </row>
    <row r="528">
      <c r="A528" s="19">
        <f>'Season 1 - MafiaRatings'!A:A</f>
        <v/>
      </c>
      <c r="B528" s="19" t="n"/>
      <c r="L528" s="17" t="n"/>
      <c r="M528" s="17" t="n"/>
      <c r="N528" s="18" t="n"/>
    </row>
    <row r="529">
      <c r="A529" s="19">
        <f>'Season 1 - MafiaRatings'!A:A</f>
        <v/>
      </c>
      <c r="B529" s="19" t="n"/>
      <c r="L529" s="17" t="n"/>
      <c r="M529" s="17" t="n"/>
      <c r="N529" s="18" t="n"/>
    </row>
    <row r="530">
      <c r="A530" s="19">
        <f>'Season 1 - MafiaRatings'!A:A</f>
        <v/>
      </c>
      <c r="B530" s="19" t="n"/>
      <c r="L530" s="17" t="n"/>
      <c r="M530" s="17" t="n"/>
      <c r="N530" s="18" t="n"/>
    </row>
    <row r="531">
      <c r="A531" s="19">
        <f>'Season 1 - MafiaRatings'!A:A</f>
        <v/>
      </c>
      <c r="B531" s="19" t="n"/>
      <c r="L531" s="17" t="n"/>
      <c r="M531" s="17" t="n"/>
      <c r="N531" s="18" t="n"/>
    </row>
    <row r="532">
      <c r="A532" s="19">
        <f>'Season 1 - MafiaRatings'!A:A</f>
        <v/>
      </c>
      <c r="B532" s="19" t="n"/>
      <c r="L532" s="17" t="n"/>
      <c r="M532" s="17" t="n"/>
      <c r="N532" s="18" t="n"/>
    </row>
    <row r="533">
      <c r="A533" s="19">
        <f>'Season 1 - MafiaRatings'!A:A</f>
        <v/>
      </c>
      <c r="B533" s="19" t="n"/>
      <c r="L533" s="17" t="n"/>
      <c r="M533" s="17" t="n"/>
      <c r="N533" s="18" t="n"/>
    </row>
    <row r="534">
      <c r="A534" s="19">
        <f>'Season 1 - MafiaRatings'!A:A</f>
        <v/>
      </c>
      <c r="B534" s="19" t="n"/>
      <c r="L534" s="17" t="n"/>
      <c r="M534" s="17" t="n"/>
      <c r="N534" s="18" t="n"/>
    </row>
    <row r="535">
      <c r="A535" s="19">
        <f>'Season 1 - MafiaRatings'!A:A</f>
        <v/>
      </c>
      <c r="B535" s="19" t="n"/>
      <c r="L535" s="17" t="n"/>
      <c r="M535" s="17" t="n"/>
      <c r="N535" s="18" t="n"/>
    </row>
    <row r="536">
      <c r="A536" s="19">
        <f>'Season 1 - MafiaRatings'!A:A</f>
        <v/>
      </c>
      <c r="B536" s="19" t="n"/>
      <c r="L536" s="17" t="n"/>
      <c r="M536" s="17" t="n"/>
      <c r="N536" s="18" t="n"/>
    </row>
    <row r="537">
      <c r="A537" s="19">
        <f>'Season 1 - MafiaRatings'!A:A</f>
        <v/>
      </c>
      <c r="B537" s="19" t="n"/>
      <c r="L537" s="17" t="n"/>
      <c r="M537" s="17" t="n"/>
      <c r="N537" s="18" t="n"/>
    </row>
    <row r="538">
      <c r="A538" s="19">
        <f>'Season 1 - MafiaRatings'!A:A</f>
        <v/>
      </c>
      <c r="B538" s="19" t="n"/>
      <c r="L538" s="17" t="n"/>
      <c r="M538" s="17" t="n"/>
      <c r="N538" s="18" t="n"/>
    </row>
    <row r="539">
      <c r="A539" s="19">
        <f>'Season 1 - MafiaRatings'!A:A</f>
        <v/>
      </c>
      <c r="B539" s="19" t="n"/>
      <c r="L539" s="17" t="n"/>
      <c r="M539" s="17" t="n"/>
      <c r="N539" s="18" t="n"/>
    </row>
    <row r="540">
      <c r="A540" s="19">
        <f>'Season 1 - MafiaRatings'!A:A</f>
        <v/>
      </c>
      <c r="B540" s="19" t="n"/>
      <c r="L540" s="17" t="n"/>
      <c r="M540" s="17" t="n"/>
      <c r="N540" s="18" t="n"/>
    </row>
    <row r="541">
      <c r="A541" s="19">
        <f>'Season 1 - MafiaRatings'!A:A</f>
        <v/>
      </c>
      <c r="B541" s="19" t="n"/>
      <c r="L541" s="17" t="n"/>
      <c r="M541" s="17" t="n"/>
      <c r="N541" s="18" t="n"/>
    </row>
    <row r="542">
      <c r="A542" s="19">
        <f>'Season 1 - MafiaRatings'!A:A</f>
        <v/>
      </c>
      <c r="B542" s="19" t="n"/>
      <c r="L542" s="17" t="n"/>
      <c r="M542" s="17" t="n"/>
      <c r="N542" s="18" t="n"/>
    </row>
    <row r="543">
      <c r="A543" s="19">
        <f>'Season 1 - MafiaRatings'!A:A</f>
        <v/>
      </c>
      <c r="B543" s="19" t="n"/>
      <c r="L543" s="17" t="n"/>
      <c r="M543" s="17" t="n"/>
      <c r="N543" s="18" t="n"/>
    </row>
    <row r="544">
      <c r="A544" s="19">
        <f>'Season 1 - MafiaRatings'!A:A</f>
        <v/>
      </c>
      <c r="B544" s="19" t="n"/>
      <c r="L544" s="17" t="n"/>
      <c r="M544" s="17" t="n"/>
      <c r="N544" s="18" t="n"/>
    </row>
    <row r="545">
      <c r="A545" s="19">
        <f>'Season 1 - MafiaRatings'!A:A</f>
        <v/>
      </c>
      <c r="B545" s="19" t="n"/>
      <c r="L545" s="17" t="n"/>
      <c r="M545" s="17" t="n"/>
      <c r="N545" s="18" t="n"/>
    </row>
    <row r="546">
      <c r="A546" s="19">
        <f>'Season 1 - MafiaRatings'!A:A</f>
        <v/>
      </c>
      <c r="B546" s="19" t="n"/>
      <c r="L546" s="17" t="n"/>
      <c r="M546" s="17" t="n"/>
      <c r="N546" s="18" t="n"/>
    </row>
    <row r="547">
      <c r="A547" s="19">
        <f>'Season 1 - MafiaRatings'!A:A</f>
        <v/>
      </c>
      <c r="B547" s="19" t="n"/>
      <c r="L547" s="17" t="n"/>
      <c r="M547" s="17" t="n"/>
      <c r="N547" s="18" t="n"/>
    </row>
    <row r="548">
      <c r="A548" s="19">
        <f>'Season 1 - MafiaRatings'!A:A</f>
        <v/>
      </c>
      <c r="B548" s="19" t="n"/>
      <c r="L548" s="17" t="n"/>
      <c r="M548" s="17" t="n"/>
      <c r="N548" s="18" t="n"/>
    </row>
    <row r="549">
      <c r="A549" s="19">
        <f>'Season 1 - MafiaRatings'!A:A</f>
        <v/>
      </c>
      <c r="B549" s="19" t="n"/>
      <c r="L549" s="17" t="n"/>
      <c r="M549" s="17" t="n"/>
      <c r="N549" s="18" t="n"/>
    </row>
    <row r="550">
      <c r="A550" s="19">
        <f>'Season 1 - MafiaRatings'!A:A</f>
        <v/>
      </c>
      <c r="B550" s="19" t="n"/>
      <c r="L550" s="17" t="n"/>
      <c r="M550" s="17" t="n"/>
      <c r="N550" s="18" t="n"/>
    </row>
    <row r="551">
      <c r="A551" s="19">
        <f>'Season 1 - MafiaRatings'!A:A</f>
        <v/>
      </c>
      <c r="B551" s="19" t="n"/>
      <c r="L551" s="17" t="n"/>
      <c r="M551" s="17" t="n"/>
      <c r="N551" s="18" t="n"/>
    </row>
    <row r="552">
      <c r="A552" s="19">
        <f>'Season 1 - MafiaRatings'!A:A</f>
        <v/>
      </c>
      <c r="B552" s="19" t="n"/>
      <c r="L552" s="17" t="n"/>
      <c r="M552" s="17" t="n"/>
      <c r="N552" s="18" t="n"/>
    </row>
    <row r="553">
      <c r="A553" s="19">
        <f>'Season 1 - MafiaRatings'!A:A</f>
        <v/>
      </c>
      <c r="B553" s="19" t="n"/>
      <c r="L553" s="17" t="n"/>
      <c r="M553" s="17" t="n"/>
      <c r="N553" s="18" t="n"/>
    </row>
    <row r="554">
      <c r="A554" s="19">
        <f>'Season 1 - MafiaRatings'!A:A</f>
        <v/>
      </c>
      <c r="B554" s="19" t="n"/>
      <c r="L554" s="17" t="n"/>
      <c r="M554" s="17" t="n"/>
      <c r="N554" s="18" t="n"/>
    </row>
    <row r="555">
      <c r="A555" s="19">
        <f>'Season 1 - MafiaRatings'!A:A</f>
        <v/>
      </c>
      <c r="B555" s="19" t="n"/>
      <c r="L555" s="17" t="n"/>
      <c r="M555" s="17" t="n"/>
      <c r="N555" s="18" t="n"/>
    </row>
    <row r="556">
      <c r="A556" s="19">
        <f>'Season 1 - MafiaRatings'!A:A</f>
        <v/>
      </c>
      <c r="B556" s="19" t="n"/>
      <c r="L556" s="17" t="n"/>
      <c r="M556" s="17" t="n"/>
      <c r="N556" s="18" t="n"/>
    </row>
    <row r="557">
      <c r="A557" s="19">
        <f>'Season 1 - MafiaRatings'!A:A</f>
        <v/>
      </c>
      <c r="B557" s="19" t="n"/>
      <c r="L557" s="17" t="n"/>
      <c r="M557" s="17" t="n"/>
      <c r="N557" s="18" t="n"/>
    </row>
    <row r="558">
      <c r="A558" s="19">
        <f>'Season 1 - MafiaRatings'!A:A</f>
        <v/>
      </c>
      <c r="B558" s="19" t="n"/>
      <c r="L558" s="17" t="n"/>
      <c r="M558" s="17" t="n"/>
      <c r="N558" s="18" t="n"/>
    </row>
    <row r="559">
      <c r="A559" s="19">
        <f>'Season 1 - MafiaRatings'!A:A</f>
        <v/>
      </c>
      <c r="B559" s="19" t="n"/>
      <c r="L559" s="17" t="n"/>
      <c r="M559" s="17" t="n"/>
      <c r="N559" s="18" t="n"/>
    </row>
    <row r="560">
      <c r="A560" s="19">
        <f>'Season 1 - MafiaRatings'!A:A</f>
        <v/>
      </c>
      <c r="B560" s="19" t="n"/>
      <c r="L560" s="17" t="n"/>
      <c r="M560" s="17" t="n"/>
      <c r="N560" s="18" t="n"/>
    </row>
    <row r="561">
      <c r="A561" s="19">
        <f>'Season 1 - MafiaRatings'!A:A</f>
        <v/>
      </c>
      <c r="B561" s="19" t="n"/>
      <c r="L561" s="17" t="n"/>
      <c r="M561" s="17" t="n"/>
      <c r="N561" s="18" t="n"/>
    </row>
    <row r="562">
      <c r="A562" s="19">
        <f>'Season 1 - MafiaRatings'!A:A</f>
        <v/>
      </c>
      <c r="B562" s="19" t="n"/>
      <c r="L562" s="17" t="n"/>
      <c r="M562" s="17" t="n"/>
      <c r="N562" s="18" t="n"/>
    </row>
    <row r="563">
      <c r="A563" s="19">
        <f>'Season 1 - MafiaRatings'!A:A</f>
        <v/>
      </c>
      <c r="B563" s="19" t="n"/>
      <c r="L563" s="17" t="n"/>
      <c r="M563" s="17" t="n"/>
      <c r="N563" s="18" t="n"/>
    </row>
    <row r="564">
      <c r="A564" s="19">
        <f>'Season 1 - MafiaRatings'!A:A</f>
        <v/>
      </c>
      <c r="B564" s="19" t="n"/>
      <c r="L564" s="17" t="n"/>
      <c r="M564" s="17" t="n"/>
      <c r="N564" s="18" t="n"/>
    </row>
    <row r="565">
      <c r="A565" s="19">
        <f>'Season 1 - MafiaRatings'!A:A</f>
        <v/>
      </c>
      <c r="B565" s="19" t="n"/>
      <c r="L565" s="17" t="n"/>
      <c r="M565" s="17" t="n"/>
      <c r="N565" s="18" t="n"/>
    </row>
    <row r="566">
      <c r="A566" s="19">
        <f>'Season 1 - MafiaRatings'!A:A</f>
        <v/>
      </c>
      <c r="B566" s="19" t="n"/>
      <c r="L566" s="17" t="n"/>
      <c r="M566" s="17" t="n"/>
      <c r="N566" s="18" t="n"/>
    </row>
    <row r="567">
      <c r="A567" s="19">
        <f>'Season 1 - MafiaRatings'!A:A</f>
        <v/>
      </c>
      <c r="B567" s="19" t="n"/>
      <c r="L567" s="17" t="n"/>
      <c r="M567" s="17" t="n"/>
      <c r="N567" s="18" t="n"/>
    </row>
    <row r="568">
      <c r="A568" s="19">
        <f>'Season 1 - MafiaRatings'!A:A</f>
        <v/>
      </c>
      <c r="B568" s="19" t="n"/>
      <c r="L568" s="17" t="n"/>
      <c r="M568" s="17" t="n"/>
      <c r="N568" s="18" t="n"/>
    </row>
    <row r="569">
      <c r="A569" s="19">
        <f>'Season 1 - MafiaRatings'!A:A</f>
        <v/>
      </c>
      <c r="B569" s="19" t="n"/>
      <c r="L569" s="17" t="n"/>
      <c r="M569" s="17" t="n"/>
      <c r="N569" s="18" t="n"/>
    </row>
    <row r="570">
      <c r="A570" s="19">
        <f>'Season 1 - MafiaRatings'!A:A</f>
        <v/>
      </c>
      <c r="B570" s="19" t="n"/>
      <c r="L570" s="17" t="n"/>
      <c r="M570" s="17" t="n"/>
      <c r="N570" s="18" t="n"/>
    </row>
    <row r="571">
      <c r="A571" s="19">
        <f>'Season 1 - MafiaRatings'!A:A</f>
        <v/>
      </c>
      <c r="B571" s="19" t="n"/>
      <c r="L571" s="17" t="n"/>
      <c r="M571" s="17" t="n"/>
      <c r="N571" s="18" t="n"/>
    </row>
    <row r="572">
      <c r="A572" s="19">
        <f>'Season 1 - MafiaRatings'!A:A</f>
        <v/>
      </c>
      <c r="B572" s="19" t="n"/>
      <c r="L572" s="17" t="n"/>
      <c r="M572" s="17" t="n"/>
      <c r="N572" s="18" t="n"/>
    </row>
    <row r="573">
      <c r="A573" s="19">
        <f>'Season 1 - MafiaRatings'!A:A</f>
        <v/>
      </c>
      <c r="B573" s="19" t="n"/>
      <c r="L573" s="17" t="n"/>
      <c r="M573" s="17" t="n"/>
      <c r="N573" s="18" t="n"/>
    </row>
    <row r="574">
      <c r="A574" s="19">
        <f>'Season 1 - MafiaRatings'!A:A</f>
        <v/>
      </c>
      <c r="B574" s="19" t="n"/>
      <c r="L574" s="17" t="n"/>
      <c r="M574" s="17" t="n"/>
      <c r="N574" s="18" t="n"/>
    </row>
    <row r="575">
      <c r="A575" s="19">
        <f>'Season 1 - MafiaRatings'!A:A</f>
        <v/>
      </c>
      <c r="B575" s="19" t="n"/>
      <c r="L575" s="17" t="n"/>
      <c r="M575" s="17" t="n"/>
      <c r="N575" s="18" t="n"/>
    </row>
    <row r="576">
      <c r="A576" s="19">
        <f>'Season 1 - MafiaRatings'!A:A</f>
        <v/>
      </c>
      <c r="B576" s="19" t="n"/>
      <c r="L576" s="17" t="n"/>
      <c r="M576" s="17" t="n"/>
      <c r="N576" s="18" t="n"/>
    </row>
    <row r="577">
      <c r="A577" s="19">
        <f>'Season 1 - MafiaRatings'!A:A</f>
        <v/>
      </c>
      <c r="B577" s="19" t="n"/>
      <c r="L577" s="17" t="n"/>
      <c r="M577" s="17" t="n"/>
      <c r="N577" s="18" t="n"/>
    </row>
    <row r="578">
      <c r="A578" s="19">
        <f>'Season 1 - MafiaRatings'!A:A</f>
        <v/>
      </c>
      <c r="B578" s="19" t="n"/>
      <c r="L578" s="17" t="n"/>
      <c r="M578" s="17" t="n"/>
      <c r="N578" s="18" t="n"/>
    </row>
    <row r="579">
      <c r="A579" s="19">
        <f>'Season 1 - MafiaRatings'!A:A</f>
        <v/>
      </c>
      <c r="B579" s="19" t="n"/>
      <c r="L579" s="17" t="n"/>
      <c r="M579" s="17" t="n"/>
      <c r="N579" s="18" t="n"/>
    </row>
    <row r="580">
      <c r="A580" s="19">
        <f>'Season 1 - MafiaRatings'!A:A</f>
        <v/>
      </c>
      <c r="B580" s="19" t="n"/>
      <c r="L580" s="17" t="n"/>
      <c r="M580" s="17" t="n"/>
      <c r="N580" s="18" t="n"/>
    </row>
    <row r="581">
      <c r="A581" s="19">
        <f>'Season 1 - MafiaRatings'!A:A</f>
        <v/>
      </c>
      <c r="B581" s="19" t="n"/>
      <c r="L581" s="17" t="n"/>
      <c r="M581" s="17" t="n"/>
      <c r="N581" s="18" t="n"/>
    </row>
    <row r="582">
      <c r="A582" s="19">
        <f>'Season 1 - MafiaRatings'!A:A</f>
        <v/>
      </c>
      <c r="B582" s="19" t="n"/>
      <c r="L582" s="17" t="n"/>
      <c r="M582" s="17" t="n"/>
      <c r="N582" s="18" t="n"/>
    </row>
    <row r="583">
      <c r="A583" s="19">
        <f>'Season 1 - MafiaRatings'!A:A</f>
        <v/>
      </c>
      <c r="B583" s="19" t="n"/>
      <c r="L583" s="17" t="n"/>
      <c r="M583" s="17" t="n"/>
      <c r="N583" s="18" t="n"/>
    </row>
    <row r="584">
      <c r="A584" s="19">
        <f>'Season 1 - MafiaRatings'!A:A</f>
        <v/>
      </c>
      <c r="B584" s="19" t="n"/>
      <c r="L584" s="17" t="n"/>
      <c r="M584" s="17" t="n"/>
      <c r="N584" s="18" t="n"/>
    </row>
    <row r="585">
      <c r="A585" s="19">
        <f>'Season 1 - MafiaRatings'!A:A</f>
        <v/>
      </c>
      <c r="B585" s="19" t="n"/>
      <c r="L585" s="17" t="n"/>
      <c r="M585" s="17" t="n"/>
      <c r="N585" s="18" t="n"/>
    </row>
    <row r="586">
      <c r="A586" s="19">
        <f>'Season 1 - MafiaRatings'!A:A</f>
        <v/>
      </c>
      <c r="B586" s="19" t="n"/>
      <c r="L586" s="17" t="n"/>
      <c r="M586" s="17" t="n"/>
      <c r="N586" s="18" t="n"/>
    </row>
    <row r="587">
      <c r="A587" s="19">
        <f>'Season 1 - MafiaRatings'!A:A</f>
        <v/>
      </c>
      <c r="B587" s="19" t="n"/>
      <c r="L587" s="17" t="n"/>
      <c r="M587" s="17" t="n"/>
      <c r="N587" s="18" t="n"/>
    </row>
    <row r="588">
      <c r="A588" s="19">
        <f>'Season 1 - MafiaRatings'!A:A</f>
        <v/>
      </c>
      <c r="B588" s="19" t="n"/>
      <c r="L588" s="17" t="n"/>
      <c r="M588" s="17" t="n"/>
      <c r="N588" s="18" t="n"/>
    </row>
    <row r="589">
      <c r="A589" s="19">
        <f>'Season 1 - MafiaRatings'!A:A</f>
        <v/>
      </c>
      <c r="B589" s="19" t="n"/>
      <c r="L589" s="17" t="n"/>
      <c r="M589" s="17" t="n"/>
      <c r="N589" s="18" t="n"/>
    </row>
    <row r="590">
      <c r="A590" s="19">
        <f>'Season 1 - MafiaRatings'!A:A</f>
        <v/>
      </c>
      <c r="B590" s="19" t="n"/>
      <c r="L590" s="17" t="n"/>
      <c r="M590" s="17" t="n"/>
      <c r="N590" s="18" t="n"/>
    </row>
    <row r="591">
      <c r="A591" s="19">
        <f>'Season 1 - MafiaRatings'!A:A</f>
        <v/>
      </c>
      <c r="B591" s="19" t="n"/>
      <c r="L591" s="17" t="n"/>
      <c r="M591" s="17" t="n"/>
      <c r="N591" s="18" t="n"/>
    </row>
    <row r="592">
      <c r="A592" s="19">
        <f>'Season 1 - MafiaRatings'!A:A</f>
        <v/>
      </c>
      <c r="B592" s="19" t="n"/>
      <c r="L592" s="17" t="n"/>
      <c r="M592" s="17" t="n"/>
      <c r="N592" s="18" t="n"/>
    </row>
    <row r="593">
      <c r="A593" s="19">
        <f>'Season 1 - MafiaRatings'!A:A</f>
        <v/>
      </c>
      <c r="B593" s="19" t="n"/>
      <c r="L593" s="17" t="n"/>
      <c r="M593" s="17" t="n"/>
      <c r="N593" s="18" t="n"/>
    </row>
    <row r="594">
      <c r="A594" s="19">
        <f>'Season 1 - MafiaRatings'!A:A</f>
        <v/>
      </c>
      <c r="B594" s="19" t="n"/>
      <c r="L594" s="17" t="n"/>
      <c r="M594" s="17" t="n"/>
      <c r="N594" s="18" t="n"/>
    </row>
    <row r="595">
      <c r="A595" s="19">
        <f>'Season 1 - MafiaRatings'!A:A</f>
        <v/>
      </c>
      <c r="B595" s="19" t="n"/>
      <c r="L595" s="17" t="n"/>
      <c r="M595" s="17" t="n"/>
      <c r="N595" s="18" t="n"/>
    </row>
    <row r="596">
      <c r="A596" s="19">
        <f>'Season 1 - MafiaRatings'!A:A</f>
        <v/>
      </c>
      <c r="B596" s="19" t="n"/>
      <c r="L596" s="17" t="n"/>
      <c r="M596" s="17" t="n"/>
      <c r="N596" s="18" t="n"/>
    </row>
    <row r="597">
      <c r="A597" s="19">
        <f>'Season 1 - MafiaRatings'!A:A</f>
        <v/>
      </c>
      <c r="B597" s="19" t="n"/>
      <c r="L597" s="17" t="n"/>
      <c r="M597" s="17" t="n"/>
      <c r="N597" s="18" t="n"/>
    </row>
    <row r="598">
      <c r="A598" s="19">
        <f>'Season 1 - MafiaRatings'!A:A</f>
        <v/>
      </c>
      <c r="B598" s="19" t="n"/>
      <c r="L598" s="17" t="n"/>
      <c r="M598" s="17" t="n"/>
      <c r="N598" s="18" t="n"/>
    </row>
    <row r="599">
      <c r="A599" s="19">
        <f>'Season 1 - MafiaRatings'!A:A</f>
        <v/>
      </c>
      <c r="B599" s="19" t="n"/>
      <c r="L599" s="17" t="n"/>
      <c r="M599" s="17" t="n"/>
      <c r="N599" s="18" t="n"/>
    </row>
    <row r="600">
      <c r="A600" s="19">
        <f>'Season 1 - MafiaRatings'!A:A</f>
        <v/>
      </c>
      <c r="B600" s="19" t="n"/>
      <c r="L600" s="17" t="n"/>
      <c r="M600" s="17" t="n"/>
      <c r="N600" s="18" t="n"/>
    </row>
    <row r="601">
      <c r="A601" s="19">
        <f>'Season 1 - MafiaRatings'!A:A</f>
        <v/>
      </c>
      <c r="B601" s="19" t="n"/>
      <c r="L601" s="17" t="n"/>
      <c r="M601" s="17" t="n"/>
      <c r="N601" s="18" t="n"/>
    </row>
    <row r="602">
      <c r="A602" s="19">
        <f>'Season 1 - MafiaRatings'!A:A</f>
        <v/>
      </c>
      <c r="B602" s="19" t="n"/>
      <c r="L602" s="17" t="n"/>
      <c r="M602" s="17" t="n"/>
      <c r="N602" s="18" t="n"/>
    </row>
    <row r="603">
      <c r="A603" s="19">
        <f>'Season 1 - MafiaRatings'!A:A</f>
        <v/>
      </c>
      <c r="B603" s="19" t="n"/>
      <c r="L603" s="17" t="n"/>
      <c r="M603" s="17" t="n"/>
      <c r="N603" s="18" t="n"/>
    </row>
    <row r="604">
      <c r="A604" s="19">
        <f>'Season 1 - MafiaRatings'!A:A</f>
        <v/>
      </c>
      <c r="B604" s="19" t="n"/>
      <c r="L604" s="17" t="n"/>
      <c r="M604" s="17" t="n"/>
      <c r="N604" s="18" t="n"/>
    </row>
    <row r="605">
      <c r="A605" s="19">
        <f>'Season 1 - MafiaRatings'!A:A</f>
        <v/>
      </c>
      <c r="B605" s="19" t="n"/>
      <c r="L605" s="17" t="n"/>
      <c r="M605" s="17" t="n"/>
      <c r="N605" s="18" t="n"/>
    </row>
    <row r="606">
      <c r="A606" s="19">
        <f>'Season 1 - MafiaRatings'!A:A</f>
        <v/>
      </c>
      <c r="B606" s="19" t="n"/>
      <c r="L606" s="17" t="n"/>
      <c r="M606" s="17" t="n"/>
      <c r="N606" s="18" t="n"/>
    </row>
    <row r="607">
      <c r="A607" s="19">
        <f>'Season 1 - MafiaRatings'!A:A</f>
        <v/>
      </c>
      <c r="B607" s="19" t="n"/>
      <c r="L607" s="17" t="n"/>
      <c r="M607" s="17" t="n"/>
      <c r="N607" s="18" t="n"/>
    </row>
    <row r="608">
      <c r="A608" s="19">
        <f>'Season 1 - MafiaRatings'!A:A</f>
        <v/>
      </c>
      <c r="B608" s="19" t="n"/>
      <c r="L608" s="17" t="n"/>
      <c r="M608" s="17" t="n"/>
      <c r="N608" s="18" t="n"/>
    </row>
    <row r="609">
      <c r="A609" s="19">
        <f>'Season 1 - MafiaRatings'!A:A</f>
        <v/>
      </c>
      <c r="B609" s="19" t="n"/>
      <c r="L609" s="17" t="n"/>
      <c r="M609" s="17" t="n"/>
      <c r="N609" s="18" t="n"/>
    </row>
    <row r="610">
      <c r="A610" s="19">
        <f>'Season 1 - MafiaRatings'!A:A</f>
        <v/>
      </c>
      <c r="B610" s="19" t="n"/>
      <c r="L610" s="17" t="n"/>
      <c r="M610" s="17" t="n"/>
      <c r="N610" s="18" t="n"/>
    </row>
    <row r="611">
      <c r="A611" s="19">
        <f>'Season 1 - MafiaRatings'!A:A</f>
        <v/>
      </c>
      <c r="B611" s="19" t="n"/>
      <c r="L611" s="17" t="n"/>
      <c r="M611" s="17" t="n"/>
      <c r="N611" s="18" t="n"/>
    </row>
    <row r="612">
      <c r="A612" s="19">
        <f>'Season 1 - MafiaRatings'!A:A</f>
        <v/>
      </c>
      <c r="B612" s="19" t="n"/>
      <c r="L612" s="17" t="n"/>
      <c r="M612" s="17" t="n"/>
      <c r="N612" s="18" t="n"/>
    </row>
    <row r="613">
      <c r="A613" s="19">
        <f>'Season 1 - MafiaRatings'!A:A</f>
        <v/>
      </c>
      <c r="B613" s="19" t="n"/>
      <c r="L613" s="17" t="n"/>
      <c r="M613" s="17" t="n"/>
      <c r="N613" s="18" t="n"/>
    </row>
    <row r="614">
      <c r="A614" s="19">
        <f>'Season 1 - MafiaRatings'!A:A</f>
        <v/>
      </c>
      <c r="B614" s="19" t="n"/>
      <c r="L614" s="17" t="n"/>
      <c r="M614" s="17" t="n"/>
      <c r="N614" s="18" t="n"/>
    </row>
    <row r="615">
      <c r="A615" s="19">
        <f>'Season 1 - MafiaRatings'!A:A</f>
        <v/>
      </c>
      <c r="B615" s="19" t="n"/>
      <c r="L615" s="17" t="n"/>
      <c r="M615" s="17" t="n"/>
      <c r="N615" s="18" t="n"/>
    </row>
    <row r="616">
      <c r="A616" s="19">
        <f>'Season 1 - MafiaRatings'!A:A</f>
        <v/>
      </c>
      <c r="B616" s="19" t="n"/>
      <c r="L616" s="17" t="n"/>
      <c r="M616" s="17" t="n"/>
      <c r="N616" s="18" t="n"/>
    </row>
    <row r="617">
      <c r="A617" s="19">
        <f>'Season 1 - MafiaRatings'!A:A</f>
        <v/>
      </c>
      <c r="B617" s="19" t="n"/>
      <c r="L617" s="17" t="n"/>
      <c r="M617" s="17" t="n"/>
      <c r="N617" s="18" t="n"/>
    </row>
    <row r="618">
      <c r="A618" s="19">
        <f>'Season 1 - MafiaRatings'!A:A</f>
        <v/>
      </c>
      <c r="B618" s="19" t="n"/>
      <c r="L618" s="17" t="n"/>
      <c r="M618" s="17" t="n"/>
      <c r="N618" s="18" t="n"/>
    </row>
    <row r="619">
      <c r="A619" s="19">
        <f>'Season 1 - MafiaRatings'!A:A</f>
        <v/>
      </c>
      <c r="B619" s="19" t="n"/>
      <c r="L619" s="17" t="n"/>
      <c r="M619" s="17" t="n"/>
      <c r="N619" s="18" t="n"/>
    </row>
    <row r="620">
      <c r="A620" s="19">
        <f>'Season 1 - MafiaRatings'!A:A</f>
        <v/>
      </c>
      <c r="B620" s="19" t="n"/>
      <c r="L620" s="17" t="n"/>
      <c r="M620" s="17" t="n"/>
      <c r="N620" s="18" t="n"/>
    </row>
    <row r="621">
      <c r="A621" s="19">
        <f>'Season 1 - MafiaRatings'!A:A</f>
        <v/>
      </c>
      <c r="B621" s="19" t="n"/>
      <c r="L621" s="17" t="n"/>
      <c r="M621" s="17" t="n"/>
      <c r="N621" s="18" t="n"/>
    </row>
    <row r="622">
      <c r="A622" s="19">
        <f>'Season 1 - MafiaRatings'!A:A</f>
        <v/>
      </c>
      <c r="B622" s="19" t="n"/>
      <c r="L622" s="17" t="n"/>
      <c r="M622" s="17" t="n"/>
      <c r="N622" s="18" t="n"/>
    </row>
    <row r="623">
      <c r="A623" s="19">
        <f>'Season 1 - MafiaRatings'!A:A</f>
        <v/>
      </c>
      <c r="B623" s="19" t="n"/>
      <c r="L623" s="17" t="n"/>
      <c r="M623" s="17" t="n"/>
      <c r="N623" s="18" t="n"/>
    </row>
    <row r="624">
      <c r="A624" s="19">
        <f>'Season 1 - MafiaRatings'!A:A</f>
        <v/>
      </c>
      <c r="B624" s="19" t="n"/>
      <c r="L624" s="17" t="n"/>
      <c r="M624" s="17" t="n"/>
      <c r="N624" s="18" t="n"/>
    </row>
    <row r="625">
      <c r="A625" s="19">
        <f>'Season 1 - MafiaRatings'!A:A</f>
        <v/>
      </c>
      <c r="B625" s="19" t="n"/>
      <c r="L625" s="17" t="n"/>
      <c r="M625" s="17" t="n"/>
      <c r="N625" s="18" t="n"/>
    </row>
    <row r="626">
      <c r="A626" s="19">
        <f>'Season 1 - MafiaRatings'!A:A</f>
        <v/>
      </c>
      <c r="B626" s="19" t="n"/>
      <c r="L626" s="17" t="n"/>
      <c r="M626" s="17" t="n"/>
      <c r="N626" s="18" t="n"/>
    </row>
    <row r="627">
      <c r="A627" s="19">
        <f>'Season 1 - MafiaRatings'!A:A</f>
        <v/>
      </c>
      <c r="B627" s="19" t="n"/>
      <c r="L627" s="17" t="n"/>
      <c r="M627" s="17" t="n"/>
      <c r="N627" s="18" t="n"/>
    </row>
    <row r="628">
      <c r="A628" s="19">
        <f>'Season 1 - MafiaRatings'!A:A</f>
        <v/>
      </c>
      <c r="B628" s="19" t="n"/>
      <c r="L628" s="17" t="n"/>
      <c r="M628" s="17" t="n"/>
      <c r="N628" s="18" t="n"/>
    </row>
    <row r="629">
      <c r="A629" s="19">
        <f>'Season 1 - MafiaRatings'!A:A</f>
        <v/>
      </c>
      <c r="B629" s="19" t="n"/>
      <c r="L629" s="17" t="n"/>
      <c r="M629" s="17" t="n"/>
      <c r="N629" s="18" t="n"/>
    </row>
    <row r="630">
      <c r="A630" s="19">
        <f>'Season 1 - MafiaRatings'!A:A</f>
        <v/>
      </c>
      <c r="B630" s="19" t="n"/>
      <c r="L630" s="17" t="n"/>
      <c r="M630" s="17" t="n"/>
      <c r="N630" s="18" t="n"/>
    </row>
    <row r="631">
      <c r="A631" s="19">
        <f>'Season 1 - MafiaRatings'!A:A</f>
        <v/>
      </c>
      <c r="B631" s="19" t="n"/>
      <c r="L631" s="17" t="n"/>
      <c r="M631" s="17" t="n"/>
      <c r="N631" s="18" t="n"/>
    </row>
    <row r="632">
      <c r="A632" s="19">
        <f>'Season 1 - MafiaRatings'!A:A</f>
        <v/>
      </c>
      <c r="B632" s="19" t="n"/>
      <c r="L632" s="17" t="n"/>
      <c r="M632" s="17" t="n"/>
      <c r="N632" s="18" t="n"/>
    </row>
    <row r="633">
      <c r="A633" s="19">
        <f>'Season 1 - MafiaRatings'!A:A</f>
        <v/>
      </c>
      <c r="B633" s="19" t="n"/>
      <c r="L633" s="17" t="n"/>
      <c r="M633" s="17" t="n"/>
      <c r="N633" s="18" t="n"/>
    </row>
    <row r="634">
      <c r="A634" s="19">
        <f>'Season 1 - MafiaRatings'!A:A</f>
        <v/>
      </c>
      <c r="B634" s="19" t="n"/>
      <c r="L634" s="17" t="n"/>
      <c r="M634" s="17" t="n"/>
      <c r="N634" s="18" t="n"/>
    </row>
    <row r="635">
      <c r="A635" s="19">
        <f>'Season 1 - MafiaRatings'!A:A</f>
        <v/>
      </c>
      <c r="B635" s="19" t="n"/>
      <c r="L635" s="17" t="n"/>
      <c r="M635" s="17" t="n"/>
      <c r="N635" s="18" t="n"/>
    </row>
    <row r="636">
      <c r="A636" s="19">
        <f>'Season 1 - MafiaRatings'!A:A</f>
        <v/>
      </c>
      <c r="B636" s="19" t="n"/>
      <c r="L636" s="17" t="n"/>
      <c r="M636" s="17" t="n"/>
      <c r="N636" s="18" t="n"/>
    </row>
    <row r="637">
      <c r="A637" s="19">
        <f>'Season 1 - MafiaRatings'!A:A</f>
        <v/>
      </c>
      <c r="B637" s="19" t="n"/>
      <c r="L637" s="17" t="n"/>
      <c r="M637" s="17" t="n"/>
      <c r="N637" s="18" t="n"/>
    </row>
    <row r="638">
      <c r="A638" s="19">
        <f>'Season 1 - MafiaRatings'!A:A</f>
        <v/>
      </c>
      <c r="B638" s="19" t="n"/>
      <c r="L638" s="17" t="n"/>
      <c r="M638" s="17" t="n"/>
      <c r="N638" s="18" t="n"/>
    </row>
    <row r="639">
      <c r="A639" s="19">
        <f>'Season 1 - MafiaRatings'!A:A</f>
        <v/>
      </c>
      <c r="B639" s="19" t="n"/>
      <c r="L639" s="17" t="n"/>
      <c r="M639" s="17" t="n"/>
      <c r="N639" s="18" t="n"/>
    </row>
    <row r="640">
      <c r="A640" s="19">
        <f>'Season 1 - MafiaRatings'!A:A</f>
        <v/>
      </c>
      <c r="B640" s="19" t="n"/>
      <c r="L640" s="17" t="n"/>
      <c r="M640" s="17" t="n"/>
      <c r="N640" s="18" t="n"/>
    </row>
    <row r="641">
      <c r="A641" s="19">
        <f>'Season 1 - MafiaRatings'!A:A</f>
        <v/>
      </c>
      <c r="B641" s="19" t="n"/>
      <c r="L641" s="17" t="n"/>
      <c r="M641" s="17" t="n"/>
      <c r="N641" s="18" t="n"/>
    </row>
    <row r="642">
      <c r="A642" s="19">
        <f>'Season 1 - MafiaRatings'!A:A</f>
        <v/>
      </c>
      <c r="B642" s="19" t="n"/>
      <c r="L642" s="17" t="n"/>
      <c r="M642" s="17" t="n"/>
      <c r="N642" s="18" t="n"/>
    </row>
    <row r="643">
      <c r="A643" s="19">
        <f>'Season 1 - MafiaRatings'!A:A</f>
        <v/>
      </c>
      <c r="B643" s="19" t="n"/>
      <c r="L643" s="17" t="n"/>
      <c r="M643" s="17" t="n"/>
      <c r="N643" s="18" t="n"/>
    </row>
    <row r="644">
      <c r="A644" s="19">
        <f>'Season 1 - MafiaRatings'!A:A</f>
        <v/>
      </c>
      <c r="B644" s="19" t="n"/>
      <c r="L644" s="17" t="n"/>
      <c r="M644" s="17" t="n"/>
      <c r="N644" s="18" t="n"/>
    </row>
    <row r="645">
      <c r="A645" s="19">
        <f>'Season 1 - MafiaRatings'!A:A</f>
        <v/>
      </c>
      <c r="B645" s="19" t="n"/>
      <c r="L645" s="17" t="n"/>
      <c r="M645" s="17" t="n"/>
      <c r="N645" s="18" t="n"/>
    </row>
    <row r="646">
      <c r="A646" s="19">
        <f>'Season 1 - MafiaRatings'!A:A</f>
        <v/>
      </c>
      <c r="B646" s="19" t="n"/>
      <c r="L646" s="17" t="n"/>
      <c r="M646" s="17" t="n"/>
      <c r="N646" s="18" t="n"/>
    </row>
    <row r="647">
      <c r="A647" s="19">
        <f>'Season 1 - MafiaRatings'!A:A</f>
        <v/>
      </c>
      <c r="B647" s="19" t="n"/>
      <c r="L647" s="17" t="n"/>
      <c r="M647" s="17" t="n"/>
      <c r="N647" s="18" t="n"/>
    </row>
    <row r="648">
      <c r="A648" s="19">
        <f>'Season 1 - MafiaRatings'!A:A</f>
        <v/>
      </c>
      <c r="B648" s="19" t="n"/>
      <c r="L648" s="17" t="n"/>
      <c r="M648" s="17" t="n"/>
      <c r="N648" s="18" t="n"/>
    </row>
    <row r="649">
      <c r="A649" s="19">
        <f>'Season 1 - MafiaRatings'!A:A</f>
        <v/>
      </c>
      <c r="B649" s="19" t="n"/>
      <c r="L649" s="17" t="n"/>
      <c r="M649" s="17" t="n"/>
      <c r="N649" s="18" t="n"/>
    </row>
    <row r="650">
      <c r="A650" s="19">
        <f>'Season 1 - MafiaRatings'!A:A</f>
        <v/>
      </c>
      <c r="B650" s="19" t="n"/>
      <c r="L650" s="17" t="n"/>
      <c r="M650" s="17" t="n"/>
      <c r="N650" s="18" t="n"/>
    </row>
    <row r="651">
      <c r="A651" s="19">
        <f>'Season 1 - MafiaRatings'!A:A</f>
        <v/>
      </c>
      <c r="B651" s="19" t="n"/>
      <c r="L651" s="17" t="n"/>
      <c r="M651" s="17" t="n"/>
      <c r="N651" s="18" t="n"/>
    </row>
    <row r="652">
      <c r="A652" s="19">
        <f>'Season 1 - MafiaRatings'!A:A</f>
        <v/>
      </c>
      <c r="B652" s="19" t="n"/>
      <c r="L652" s="17" t="n"/>
      <c r="M652" s="17" t="n"/>
      <c r="N652" s="18" t="n"/>
    </row>
    <row r="653">
      <c r="A653" s="19">
        <f>'Season 1 - MafiaRatings'!A:A</f>
        <v/>
      </c>
      <c r="B653" s="19" t="n"/>
      <c r="L653" s="17" t="n"/>
      <c r="M653" s="17" t="n"/>
      <c r="N653" s="18" t="n"/>
    </row>
    <row r="654">
      <c r="A654" s="19">
        <f>'Season 1 - MafiaRatings'!A:A</f>
        <v/>
      </c>
      <c r="B654" s="19" t="n"/>
      <c r="L654" s="17" t="n"/>
      <c r="M654" s="17" t="n"/>
      <c r="N654" s="18" t="n"/>
    </row>
    <row r="655">
      <c r="A655" s="19">
        <f>'Season 1 - MafiaRatings'!A:A</f>
        <v/>
      </c>
      <c r="B655" s="19" t="n"/>
      <c r="L655" s="17" t="n"/>
      <c r="M655" s="17" t="n"/>
      <c r="N655" s="18" t="n"/>
    </row>
    <row r="656">
      <c r="A656" s="19">
        <f>'Season 1 - MafiaRatings'!A:A</f>
        <v/>
      </c>
      <c r="B656" s="19" t="n"/>
      <c r="L656" s="17" t="n"/>
      <c r="M656" s="17" t="n"/>
      <c r="N656" s="18" t="n"/>
    </row>
    <row r="657">
      <c r="A657" s="19">
        <f>'Season 1 - MafiaRatings'!A:A</f>
        <v/>
      </c>
      <c r="B657" s="19" t="n"/>
      <c r="L657" s="17" t="n"/>
      <c r="M657" s="17" t="n"/>
      <c r="N657" s="18" t="n"/>
    </row>
    <row r="658">
      <c r="A658" s="19">
        <f>'Season 1 - MafiaRatings'!A:A</f>
        <v/>
      </c>
      <c r="B658" s="19" t="n"/>
      <c r="L658" s="17" t="n"/>
      <c r="M658" s="17" t="n"/>
      <c r="N658" s="18" t="n"/>
    </row>
    <row r="659">
      <c r="A659" s="19">
        <f>'Season 1 - MafiaRatings'!A:A</f>
        <v/>
      </c>
      <c r="B659" s="19" t="n"/>
      <c r="L659" s="17" t="n"/>
      <c r="M659" s="17" t="n"/>
      <c r="N659" s="18" t="n"/>
    </row>
    <row r="660">
      <c r="A660" s="19">
        <f>'Season 1 - MafiaRatings'!A:A</f>
        <v/>
      </c>
      <c r="B660" s="19" t="n"/>
      <c r="L660" s="17" t="n"/>
      <c r="M660" s="17" t="n"/>
      <c r="N660" s="18" t="n"/>
    </row>
    <row r="661">
      <c r="A661" s="19">
        <f>'Season 1 - MafiaRatings'!A:A</f>
        <v/>
      </c>
      <c r="B661" s="19" t="n"/>
      <c r="L661" s="17" t="n"/>
      <c r="M661" s="17" t="n"/>
      <c r="N661" s="18" t="n"/>
    </row>
    <row r="662">
      <c r="A662" s="19">
        <f>'Season 1 - MafiaRatings'!A:A</f>
        <v/>
      </c>
      <c r="B662" s="19" t="n"/>
      <c r="L662" s="17" t="n"/>
      <c r="M662" s="17" t="n"/>
      <c r="N662" s="18" t="n"/>
    </row>
    <row r="663">
      <c r="A663" s="19">
        <f>'Season 1 - MafiaRatings'!A:A</f>
        <v/>
      </c>
      <c r="B663" s="19" t="n"/>
      <c r="L663" s="17" t="n"/>
      <c r="M663" s="17" t="n"/>
      <c r="N663" s="18" t="n"/>
    </row>
    <row r="664">
      <c r="A664" s="19">
        <f>'Season 1 - MafiaRatings'!A:A</f>
        <v/>
      </c>
      <c r="B664" s="19" t="n"/>
      <c r="L664" s="17" t="n"/>
      <c r="M664" s="17" t="n"/>
      <c r="N664" s="18" t="n"/>
    </row>
    <row r="665">
      <c r="A665" s="19">
        <f>'Season 1 - MafiaRatings'!A:A</f>
        <v/>
      </c>
      <c r="B665" s="19" t="n"/>
      <c r="L665" s="17" t="n"/>
      <c r="M665" s="17" t="n"/>
      <c r="N665" s="18" t="n"/>
    </row>
    <row r="666">
      <c r="A666" s="19">
        <f>'Season 1 - MafiaRatings'!A:A</f>
        <v/>
      </c>
      <c r="B666" s="19" t="n"/>
      <c r="L666" s="17" t="n"/>
      <c r="M666" s="17" t="n"/>
      <c r="N666" s="18" t="n"/>
    </row>
    <row r="667">
      <c r="A667" s="19">
        <f>'Season 1 - MafiaRatings'!A:A</f>
        <v/>
      </c>
      <c r="B667" s="19" t="n"/>
      <c r="L667" s="17" t="n"/>
      <c r="M667" s="17" t="n"/>
      <c r="N667" s="18" t="n"/>
    </row>
    <row r="668">
      <c r="A668" s="19">
        <f>'Season 1 - MafiaRatings'!A:A</f>
        <v/>
      </c>
      <c r="B668" s="19" t="n"/>
      <c r="L668" s="17" t="n"/>
      <c r="M668" s="17" t="n"/>
      <c r="N668" s="18" t="n"/>
    </row>
    <row r="669">
      <c r="A669" s="19">
        <f>'Season 1 - MafiaRatings'!A:A</f>
        <v/>
      </c>
      <c r="B669" s="19" t="n"/>
      <c r="L669" s="17" t="n"/>
      <c r="M669" s="17" t="n"/>
      <c r="N669" s="18" t="n"/>
    </row>
    <row r="670">
      <c r="A670" s="19">
        <f>'Season 1 - MafiaRatings'!A:A</f>
        <v/>
      </c>
      <c r="B670" s="19" t="n"/>
      <c r="L670" s="17" t="n"/>
      <c r="M670" s="17" t="n"/>
      <c r="N670" s="18" t="n"/>
    </row>
    <row r="671">
      <c r="A671" s="19">
        <f>'Season 1 - MafiaRatings'!A:A</f>
        <v/>
      </c>
      <c r="B671" s="19" t="n"/>
      <c r="L671" s="17" t="n"/>
      <c r="M671" s="17" t="n"/>
      <c r="N671" s="18" t="n"/>
    </row>
    <row r="672">
      <c r="A672" s="19">
        <f>'Season 1 - MafiaRatings'!A:A</f>
        <v/>
      </c>
      <c r="B672" s="19" t="n"/>
      <c r="L672" s="17" t="n"/>
      <c r="M672" s="17" t="n"/>
      <c r="N672" s="18" t="n"/>
    </row>
    <row r="673">
      <c r="A673" s="19">
        <f>'Season 1 - MafiaRatings'!A:A</f>
        <v/>
      </c>
      <c r="B673" s="19" t="n"/>
      <c r="L673" s="17" t="n"/>
      <c r="M673" s="17" t="n"/>
      <c r="N673" s="18" t="n"/>
    </row>
    <row r="674">
      <c r="A674" s="19">
        <f>'Season 1 - MafiaRatings'!A:A</f>
        <v/>
      </c>
      <c r="B674" s="19" t="n"/>
      <c r="L674" s="17" t="n"/>
      <c r="M674" s="17" t="n"/>
      <c r="N674" s="18" t="n"/>
    </row>
    <row r="675">
      <c r="A675" s="19">
        <f>'Season 1 - MafiaRatings'!A:A</f>
        <v/>
      </c>
      <c r="B675" s="19" t="n"/>
      <c r="L675" s="17" t="n"/>
      <c r="M675" s="17" t="n"/>
      <c r="N675" s="18" t="n"/>
    </row>
    <row r="676">
      <c r="A676" s="19">
        <f>'Season 1 - MafiaRatings'!A:A</f>
        <v/>
      </c>
      <c r="B676" s="19" t="n"/>
      <c r="L676" s="17" t="n"/>
      <c r="M676" s="17" t="n"/>
      <c r="N676" s="18" t="n"/>
    </row>
    <row r="677">
      <c r="A677" s="19">
        <f>'Season 1 - MafiaRatings'!A:A</f>
        <v/>
      </c>
      <c r="B677" s="19" t="n"/>
      <c r="L677" s="17" t="n"/>
      <c r="M677" s="17" t="n"/>
      <c r="N677" s="18" t="n"/>
    </row>
    <row r="678">
      <c r="A678" s="19">
        <f>'Season 1 - MafiaRatings'!A:A</f>
        <v/>
      </c>
      <c r="B678" s="19" t="n"/>
      <c r="L678" s="17" t="n"/>
      <c r="M678" s="17" t="n"/>
      <c r="N678" s="18" t="n"/>
    </row>
    <row r="679">
      <c r="A679" s="19">
        <f>'Season 1 - MafiaRatings'!A:A</f>
        <v/>
      </c>
      <c r="B679" s="19" t="n"/>
      <c r="L679" s="17" t="n"/>
      <c r="M679" s="17" t="n"/>
      <c r="N679" s="18" t="n"/>
    </row>
    <row r="680">
      <c r="A680" s="19">
        <f>'Season 1 - MafiaRatings'!A:A</f>
        <v/>
      </c>
      <c r="B680" s="19" t="n"/>
      <c r="L680" s="17" t="n"/>
      <c r="M680" s="17" t="n"/>
      <c r="N680" s="18" t="n"/>
    </row>
    <row r="681">
      <c r="A681" s="19">
        <f>'Season 1 - MafiaRatings'!A:A</f>
        <v/>
      </c>
      <c r="B681" s="19" t="n"/>
      <c r="L681" s="17" t="n"/>
      <c r="M681" s="17" t="n"/>
      <c r="N681" s="18" t="n"/>
    </row>
    <row r="682">
      <c r="A682" s="19">
        <f>'Season 1 - MafiaRatings'!A:A</f>
        <v/>
      </c>
      <c r="B682" s="19" t="n"/>
      <c r="L682" s="17" t="n"/>
      <c r="M682" s="17" t="n"/>
      <c r="N682" s="18" t="n"/>
    </row>
    <row r="683">
      <c r="A683" s="19">
        <f>'Season 1 - MafiaRatings'!A:A</f>
        <v/>
      </c>
      <c r="B683" s="19" t="n"/>
      <c r="L683" s="17" t="n"/>
      <c r="M683" s="17" t="n"/>
      <c r="N683" s="18" t="n"/>
    </row>
    <row r="684">
      <c r="A684" s="19">
        <f>'Season 1 - MafiaRatings'!A:A</f>
        <v/>
      </c>
      <c r="B684" s="19" t="n"/>
      <c r="L684" s="17" t="n"/>
      <c r="M684" s="17" t="n"/>
      <c r="N684" s="18" t="n"/>
    </row>
    <row r="685">
      <c r="A685" s="19">
        <f>'Season 1 - MafiaRatings'!A:A</f>
        <v/>
      </c>
      <c r="B685" s="19" t="n"/>
      <c r="L685" s="17" t="n"/>
      <c r="M685" s="17" t="n"/>
      <c r="N685" s="18" t="n"/>
    </row>
    <row r="686">
      <c r="A686" s="19">
        <f>'Season 1 - MafiaRatings'!A:A</f>
        <v/>
      </c>
      <c r="B686" s="19" t="n"/>
      <c r="L686" s="17" t="n"/>
      <c r="M686" s="17" t="n"/>
      <c r="N686" s="18" t="n"/>
    </row>
    <row r="687">
      <c r="A687" s="19">
        <f>'Season 1 - MafiaRatings'!A:A</f>
        <v/>
      </c>
      <c r="B687" s="19" t="n"/>
      <c r="L687" s="17" t="n"/>
      <c r="M687" s="17" t="n"/>
      <c r="N687" s="18" t="n"/>
    </row>
    <row r="688">
      <c r="A688" s="19">
        <f>'Season 1 - MafiaRatings'!A:A</f>
        <v/>
      </c>
      <c r="B688" s="19" t="n"/>
      <c r="L688" s="17" t="n"/>
      <c r="M688" s="17" t="n"/>
      <c r="N688" s="18" t="n"/>
    </row>
    <row r="689">
      <c r="A689" s="19">
        <f>'Season 1 - MafiaRatings'!A:A</f>
        <v/>
      </c>
      <c r="B689" s="19" t="n"/>
      <c r="L689" s="17" t="n"/>
      <c r="M689" s="17" t="n"/>
      <c r="N689" s="18" t="n"/>
    </row>
    <row r="690">
      <c r="A690" s="19">
        <f>'Season 1 - MafiaRatings'!A:A</f>
        <v/>
      </c>
      <c r="B690" s="19" t="n"/>
      <c r="L690" s="17" t="n"/>
      <c r="M690" s="17" t="n"/>
      <c r="N690" s="18" t="n"/>
    </row>
    <row r="691">
      <c r="A691" s="19">
        <f>'Season 1 - MafiaRatings'!A:A</f>
        <v/>
      </c>
      <c r="B691" s="19" t="n"/>
      <c r="L691" s="17" t="n"/>
      <c r="M691" s="17" t="n"/>
      <c r="N691" s="18" t="n"/>
    </row>
    <row r="692">
      <c r="A692" s="19">
        <f>'Season 1 - MafiaRatings'!A:A</f>
        <v/>
      </c>
      <c r="B692" s="19" t="n"/>
      <c r="L692" s="17" t="n"/>
      <c r="M692" s="17" t="n"/>
      <c r="N692" s="18" t="n"/>
    </row>
    <row r="693">
      <c r="A693" s="19">
        <f>'Season 1 - MafiaRatings'!A:A</f>
        <v/>
      </c>
      <c r="B693" s="19" t="n"/>
      <c r="L693" s="17" t="n"/>
      <c r="M693" s="17" t="n"/>
      <c r="N693" s="18" t="n"/>
    </row>
    <row r="694">
      <c r="A694" s="19">
        <f>'Season 1 - MafiaRatings'!A:A</f>
        <v/>
      </c>
      <c r="B694" s="19" t="n"/>
      <c r="L694" s="17" t="n"/>
      <c r="M694" s="17" t="n"/>
      <c r="N694" s="18" t="n"/>
    </row>
    <row r="695">
      <c r="A695" s="19">
        <f>'Season 1 - MafiaRatings'!A:A</f>
        <v/>
      </c>
      <c r="B695" s="19" t="n"/>
      <c r="L695" s="17" t="n"/>
      <c r="M695" s="17" t="n"/>
      <c r="N695" s="18" t="n"/>
    </row>
    <row r="696">
      <c r="A696" s="19">
        <f>'Season 1 - MafiaRatings'!A:A</f>
        <v/>
      </c>
      <c r="B696" s="19" t="n"/>
      <c r="L696" s="17" t="n"/>
      <c r="M696" s="17" t="n"/>
      <c r="N696" s="18" t="n"/>
    </row>
    <row r="697">
      <c r="A697" s="19">
        <f>'Season 1 - MafiaRatings'!A:A</f>
        <v/>
      </c>
      <c r="B697" s="19" t="n"/>
      <c r="L697" s="17" t="n"/>
      <c r="M697" s="17" t="n"/>
      <c r="N697" s="18" t="n"/>
    </row>
    <row r="698">
      <c r="A698" s="19">
        <f>'Season 1 - MafiaRatings'!A:A</f>
        <v/>
      </c>
      <c r="B698" s="19" t="n"/>
      <c r="L698" s="17" t="n"/>
      <c r="M698" s="17" t="n"/>
      <c r="N698" s="18" t="n"/>
    </row>
    <row r="699">
      <c r="A699" s="19">
        <f>'Season 1 - MafiaRatings'!A:A</f>
        <v/>
      </c>
      <c r="B699" s="19" t="n"/>
      <c r="L699" s="17" t="n"/>
      <c r="M699" s="17" t="n"/>
      <c r="N699" s="18" t="n"/>
    </row>
    <row r="700">
      <c r="A700" s="19">
        <f>'Season 1 - MafiaRatings'!A:A</f>
        <v/>
      </c>
      <c r="B700" s="19" t="n"/>
      <c r="L700" s="17" t="n"/>
      <c r="M700" s="17" t="n"/>
      <c r="N700" s="18" t="n"/>
    </row>
    <row r="701">
      <c r="A701" s="19">
        <f>'Season 1 - MafiaRatings'!A:A</f>
        <v/>
      </c>
      <c r="B701" s="19" t="n"/>
      <c r="L701" s="17" t="n"/>
      <c r="M701" s="17" t="n"/>
      <c r="N701" s="18" t="n"/>
    </row>
    <row r="702">
      <c r="A702" s="19">
        <f>'Season 1 - MafiaRatings'!A:A</f>
        <v/>
      </c>
      <c r="B702" s="19" t="n"/>
      <c r="L702" s="17" t="n"/>
      <c r="M702" s="17" t="n"/>
      <c r="N702" s="18" t="n"/>
    </row>
    <row r="703">
      <c r="A703" s="19">
        <f>'Season 1 - MafiaRatings'!A:A</f>
        <v/>
      </c>
      <c r="B703" s="19" t="n"/>
      <c r="L703" s="17" t="n"/>
      <c r="M703" s="17" t="n"/>
      <c r="N703" s="18" t="n"/>
    </row>
    <row r="704">
      <c r="A704" s="19">
        <f>'Season 1 - MafiaRatings'!A:A</f>
        <v/>
      </c>
      <c r="B704" s="19" t="n"/>
      <c r="L704" s="17" t="n"/>
      <c r="M704" s="17" t="n"/>
      <c r="N704" s="18" t="n"/>
    </row>
    <row r="705">
      <c r="A705" s="19">
        <f>'Season 1 - MafiaRatings'!A:A</f>
        <v/>
      </c>
      <c r="B705" s="19" t="n"/>
      <c r="L705" s="17" t="n"/>
      <c r="M705" s="17" t="n"/>
      <c r="N705" s="18" t="n"/>
    </row>
    <row r="706">
      <c r="A706" s="19">
        <f>'Season 1 - MafiaRatings'!A:A</f>
        <v/>
      </c>
      <c r="B706" s="19" t="n"/>
      <c r="L706" s="17" t="n"/>
      <c r="M706" s="17" t="n"/>
      <c r="N706" s="18" t="n"/>
    </row>
    <row r="707">
      <c r="A707" s="19">
        <f>'Season 1 - MafiaRatings'!A:A</f>
        <v/>
      </c>
      <c r="B707" s="19" t="n"/>
      <c r="L707" s="17" t="n"/>
      <c r="M707" s="17" t="n"/>
      <c r="N707" s="18" t="n"/>
    </row>
    <row r="708">
      <c r="A708" s="19">
        <f>'Season 1 - MafiaRatings'!A:A</f>
        <v/>
      </c>
      <c r="B708" s="19" t="n"/>
      <c r="L708" s="17" t="n"/>
      <c r="M708" s="17" t="n"/>
      <c r="N708" s="18" t="n"/>
    </row>
    <row r="709">
      <c r="A709" s="19">
        <f>'Season 1 - MafiaRatings'!A:A</f>
        <v/>
      </c>
      <c r="B709" s="19" t="n"/>
      <c r="L709" s="17" t="n"/>
      <c r="M709" s="17" t="n"/>
      <c r="N709" s="18" t="n"/>
    </row>
    <row r="710">
      <c r="A710" s="19">
        <f>'Season 1 - MafiaRatings'!A:A</f>
        <v/>
      </c>
      <c r="B710" s="19" t="n"/>
      <c r="L710" s="17" t="n"/>
      <c r="M710" s="17" t="n"/>
      <c r="N710" s="18" t="n"/>
    </row>
    <row r="711">
      <c r="A711" s="19">
        <f>'Season 1 - MafiaRatings'!A:A</f>
        <v/>
      </c>
      <c r="B711" s="19" t="n"/>
      <c r="L711" s="17" t="n"/>
      <c r="M711" s="17" t="n"/>
      <c r="N711" s="18" t="n"/>
    </row>
    <row r="712">
      <c r="A712" s="19">
        <f>'Season 1 - MafiaRatings'!A:A</f>
        <v/>
      </c>
      <c r="B712" s="19" t="n"/>
      <c r="L712" s="17" t="n"/>
      <c r="M712" s="17" t="n"/>
      <c r="N712" s="18" t="n"/>
    </row>
    <row r="713">
      <c r="A713" s="19">
        <f>'Season 1 - MafiaRatings'!A:A</f>
        <v/>
      </c>
      <c r="B713" s="19" t="n"/>
      <c r="L713" s="17" t="n"/>
      <c r="M713" s="17" t="n"/>
      <c r="N713" s="18" t="n"/>
    </row>
    <row r="714">
      <c r="A714" s="19">
        <f>'Season 1 - MafiaRatings'!A:A</f>
        <v/>
      </c>
      <c r="B714" s="19" t="n"/>
      <c r="L714" s="17" t="n"/>
      <c r="M714" s="17" t="n"/>
      <c r="N714" s="18" t="n"/>
    </row>
    <row r="715">
      <c r="A715" s="19">
        <f>'Season 1 - MafiaRatings'!A:A</f>
        <v/>
      </c>
      <c r="B715" s="19" t="n"/>
      <c r="L715" s="17" t="n"/>
      <c r="M715" s="17" t="n"/>
      <c r="N715" s="18" t="n"/>
    </row>
    <row r="716">
      <c r="A716" s="19">
        <f>'Season 1 - MafiaRatings'!A:A</f>
        <v/>
      </c>
      <c r="B716" s="19" t="n"/>
      <c r="L716" s="17" t="n"/>
      <c r="M716" s="17" t="n"/>
      <c r="N716" s="18" t="n"/>
    </row>
    <row r="717">
      <c r="A717" s="19">
        <f>'Season 1 - MafiaRatings'!A:A</f>
        <v/>
      </c>
      <c r="B717" s="19" t="n"/>
      <c r="L717" s="17" t="n"/>
      <c r="M717" s="17" t="n"/>
      <c r="N717" s="18" t="n"/>
    </row>
    <row r="718">
      <c r="A718" s="19">
        <f>'Season 1 - MafiaRatings'!A:A</f>
        <v/>
      </c>
      <c r="B718" s="19" t="n"/>
      <c r="L718" s="17" t="n"/>
      <c r="M718" s="17" t="n"/>
      <c r="N718" s="18" t="n"/>
    </row>
    <row r="719">
      <c r="A719" s="19">
        <f>'Season 1 - MafiaRatings'!A:A</f>
        <v/>
      </c>
      <c r="B719" s="19" t="n"/>
      <c r="L719" s="17" t="n"/>
      <c r="M719" s="17" t="n"/>
      <c r="N719" s="18" t="n"/>
    </row>
    <row r="720">
      <c r="A720" s="19">
        <f>'Season 1 - MafiaRatings'!A:A</f>
        <v/>
      </c>
      <c r="B720" s="19" t="n"/>
      <c r="L720" s="17" t="n"/>
      <c r="M720" s="17" t="n"/>
      <c r="N720" s="18" t="n"/>
    </row>
    <row r="721">
      <c r="A721" s="19">
        <f>'Season 1 - MafiaRatings'!A:A</f>
        <v/>
      </c>
      <c r="B721" s="19" t="n"/>
      <c r="L721" s="17" t="n"/>
      <c r="M721" s="17" t="n"/>
      <c r="N721" s="18" t="n"/>
    </row>
    <row r="722">
      <c r="A722" s="19">
        <f>'Season 1 - MafiaRatings'!A:A</f>
        <v/>
      </c>
      <c r="B722" s="19" t="n"/>
      <c r="L722" s="17" t="n"/>
      <c r="M722" s="17" t="n"/>
      <c r="N722" s="18" t="n"/>
    </row>
    <row r="723">
      <c r="A723" s="19">
        <f>'Season 1 - MafiaRatings'!A:A</f>
        <v/>
      </c>
      <c r="B723" s="19" t="n"/>
      <c r="L723" s="17" t="n"/>
      <c r="M723" s="17" t="n"/>
      <c r="N723" s="18" t="n"/>
    </row>
    <row r="724">
      <c r="A724" s="19">
        <f>'Season 1 - MafiaRatings'!A:A</f>
        <v/>
      </c>
      <c r="B724" s="19" t="n"/>
      <c r="L724" s="17" t="n"/>
      <c r="M724" s="17" t="n"/>
      <c r="N724" s="18" t="n"/>
    </row>
    <row r="725">
      <c r="A725" s="19">
        <f>'Season 1 - MafiaRatings'!A:A</f>
        <v/>
      </c>
      <c r="B725" s="19" t="n"/>
      <c r="L725" s="17" t="n"/>
      <c r="M725" s="17" t="n"/>
      <c r="N725" s="18" t="n"/>
    </row>
    <row r="726">
      <c r="A726" s="19">
        <f>'Season 1 - MafiaRatings'!A:A</f>
        <v/>
      </c>
      <c r="B726" s="19" t="n"/>
      <c r="L726" s="17" t="n"/>
      <c r="M726" s="17" t="n"/>
      <c r="N726" s="18" t="n"/>
    </row>
    <row r="727">
      <c r="A727" s="19">
        <f>'Season 1 - MafiaRatings'!A:A</f>
        <v/>
      </c>
      <c r="B727" s="19" t="n"/>
      <c r="L727" s="17" t="n"/>
      <c r="M727" s="17" t="n"/>
      <c r="N727" s="18" t="n"/>
    </row>
    <row r="728">
      <c r="A728" s="19">
        <f>'Season 1 - MafiaRatings'!A:A</f>
        <v/>
      </c>
      <c r="B728" s="19" t="n"/>
      <c r="L728" s="17" t="n"/>
      <c r="M728" s="17" t="n"/>
      <c r="N728" s="18" t="n"/>
    </row>
    <row r="729">
      <c r="A729" s="19">
        <f>'Season 1 - MafiaRatings'!A:A</f>
        <v/>
      </c>
      <c r="B729" s="19" t="n"/>
      <c r="L729" s="17" t="n"/>
      <c r="M729" s="17" t="n"/>
      <c r="N729" s="18" t="n"/>
    </row>
    <row r="730">
      <c r="A730" s="19">
        <f>'Season 1 - MafiaRatings'!A:A</f>
        <v/>
      </c>
      <c r="B730" s="19" t="n"/>
      <c r="L730" s="17" t="n"/>
      <c r="M730" s="17" t="n"/>
      <c r="N730" s="18" t="n"/>
    </row>
    <row r="731">
      <c r="A731" s="19">
        <f>'Season 1 - MafiaRatings'!A:A</f>
        <v/>
      </c>
      <c r="B731" s="19" t="n"/>
      <c r="L731" s="17" t="n"/>
      <c r="M731" s="17" t="n"/>
      <c r="N731" s="18" t="n"/>
    </row>
    <row r="732">
      <c r="A732" s="19">
        <f>'Season 1 - MafiaRatings'!A:A</f>
        <v/>
      </c>
      <c r="B732" s="19" t="n"/>
      <c r="L732" s="17" t="n"/>
      <c r="M732" s="17" t="n"/>
      <c r="N732" s="18" t="n"/>
    </row>
    <row r="733">
      <c r="A733" s="19">
        <f>'Season 1 - MafiaRatings'!A:A</f>
        <v/>
      </c>
      <c r="B733" s="19" t="n"/>
      <c r="L733" s="17" t="n"/>
      <c r="M733" s="17" t="n"/>
      <c r="N733" s="18" t="n"/>
    </row>
    <row r="734">
      <c r="A734" s="19">
        <f>'Season 1 - MafiaRatings'!A:A</f>
        <v/>
      </c>
      <c r="B734" s="19" t="n"/>
      <c r="L734" s="17" t="n"/>
      <c r="M734" s="17" t="n"/>
      <c r="N734" s="18" t="n"/>
    </row>
    <row r="735">
      <c r="A735" s="19">
        <f>'Season 1 - MafiaRatings'!A:A</f>
        <v/>
      </c>
      <c r="B735" s="19" t="n"/>
      <c r="L735" s="17" t="n"/>
      <c r="M735" s="17" t="n"/>
      <c r="N735" s="18" t="n"/>
    </row>
    <row r="736">
      <c r="A736" s="19">
        <f>'Season 1 - MafiaRatings'!A:A</f>
        <v/>
      </c>
      <c r="B736" s="19" t="n"/>
      <c r="L736" s="17" t="n"/>
      <c r="M736" s="17" t="n"/>
      <c r="N736" s="18" t="n"/>
    </row>
    <row r="737">
      <c r="A737" s="19">
        <f>'Season 1 - MafiaRatings'!A:A</f>
        <v/>
      </c>
      <c r="B737" s="19" t="n"/>
      <c r="L737" s="17" t="n"/>
      <c r="M737" s="17" t="n"/>
      <c r="N737" s="18" t="n"/>
    </row>
    <row r="738">
      <c r="A738" s="19">
        <f>'Season 1 - MafiaRatings'!A:A</f>
        <v/>
      </c>
      <c r="B738" s="19" t="n"/>
      <c r="L738" s="17" t="n"/>
      <c r="M738" s="17" t="n"/>
      <c r="N738" s="18" t="n"/>
    </row>
    <row r="739">
      <c r="A739" s="19">
        <f>'Season 1 - MafiaRatings'!A:A</f>
        <v/>
      </c>
      <c r="B739" s="19" t="n"/>
      <c r="L739" s="17" t="n"/>
      <c r="M739" s="17" t="n"/>
      <c r="N739" s="18" t="n"/>
    </row>
    <row r="740">
      <c r="A740" s="19">
        <f>'Season 1 - MafiaRatings'!A:A</f>
        <v/>
      </c>
      <c r="B740" s="19" t="n"/>
      <c r="L740" s="17" t="n"/>
      <c r="M740" s="17" t="n"/>
      <c r="N740" s="18" t="n"/>
    </row>
    <row r="741">
      <c r="A741" s="19">
        <f>'Season 1 - MafiaRatings'!A:A</f>
        <v/>
      </c>
      <c r="B741" s="19" t="n"/>
      <c r="L741" s="17" t="n"/>
      <c r="M741" s="17" t="n"/>
      <c r="N741" s="18" t="n"/>
    </row>
    <row r="742">
      <c r="A742" s="19">
        <f>'Season 1 - MafiaRatings'!A:A</f>
        <v/>
      </c>
      <c r="B742" s="19" t="n"/>
      <c r="L742" s="17" t="n"/>
      <c r="M742" s="17" t="n"/>
      <c r="N742" s="18" t="n"/>
    </row>
    <row r="743">
      <c r="A743" s="19">
        <f>'Season 1 - MafiaRatings'!A:A</f>
        <v/>
      </c>
      <c r="B743" s="19" t="n"/>
      <c r="L743" s="17" t="n"/>
      <c r="M743" s="17" t="n"/>
      <c r="N743" s="18" t="n"/>
    </row>
    <row r="744">
      <c r="A744" s="19">
        <f>'Season 1 - MafiaRatings'!A:A</f>
        <v/>
      </c>
      <c r="B744" s="19" t="n"/>
      <c r="L744" s="17" t="n"/>
      <c r="M744" s="17" t="n"/>
      <c r="N744" s="18" t="n"/>
    </row>
    <row r="745">
      <c r="A745" s="19">
        <f>'Season 1 - MafiaRatings'!A:A</f>
        <v/>
      </c>
      <c r="B745" s="19" t="n"/>
      <c r="L745" s="17" t="n"/>
      <c r="M745" s="17" t="n"/>
      <c r="N745" s="18" t="n"/>
    </row>
    <row r="746">
      <c r="A746" s="19">
        <f>'Season 1 - MafiaRatings'!A:A</f>
        <v/>
      </c>
      <c r="B746" s="19" t="n"/>
      <c r="L746" s="17" t="n"/>
      <c r="M746" s="17" t="n"/>
      <c r="N746" s="18" t="n"/>
    </row>
    <row r="747">
      <c r="A747" s="19">
        <f>'Season 1 - MafiaRatings'!A:A</f>
        <v/>
      </c>
      <c r="B747" s="19" t="n"/>
      <c r="L747" s="17" t="n"/>
      <c r="M747" s="17" t="n"/>
      <c r="N747" s="18" t="n"/>
    </row>
    <row r="748">
      <c r="A748" s="19">
        <f>'Season 1 - MafiaRatings'!A:A</f>
        <v/>
      </c>
      <c r="B748" s="19" t="n"/>
      <c r="L748" s="17" t="n"/>
      <c r="M748" s="17" t="n"/>
      <c r="N748" s="18" t="n"/>
    </row>
    <row r="749">
      <c r="A749" s="19">
        <f>'Season 1 - MafiaRatings'!A:A</f>
        <v/>
      </c>
      <c r="B749" s="19" t="n"/>
      <c r="L749" s="17" t="n"/>
      <c r="M749" s="17" t="n"/>
      <c r="N749" s="18" t="n"/>
    </row>
    <row r="750">
      <c r="A750" s="19">
        <f>'Season 1 - MafiaRatings'!A:A</f>
        <v/>
      </c>
      <c r="B750" s="19" t="n"/>
      <c r="L750" s="17" t="n"/>
      <c r="M750" s="17" t="n"/>
      <c r="N750" s="18" t="n"/>
    </row>
    <row r="751">
      <c r="A751" s="19">
        <f>'Season 1 - MafiaRatings'!A:A</f>
        <v/>
      </c>
      <c r="B751" s="19" t="n"/>
      <c r="L751" s="17" t="n"/>
      <c r="M751" s="17" t="n"/>
      <c r="N751" s="18" t="n"/>
    </row>
    <row r="752">
      <c r="A752" s="19">
        <f>'Season 1 - MafiaRatings'!A:A</f>
        <v/>
      </c>
      <c r="B752" s="19" t="n"/>
      <c r="L752" s="17" t="n"/>
      <c r="M752" s="17" t="n"/>
      <c r="N752" s="18" t="n"/>
    </row>
    <row r="753">
      <c r="A753" s="19">
        <f>'Season 1 - MafiaRatings'!A:A</f>
        <v/>
      </c>
      <c r="B753" s="19" t="n"/>
      <c r="L753" s="17" t="n"/>
      <c r="M753" s="17" t="n"/>
      <c r="N753" s="18" t="n"/>
    </row>
    <row r="754">
      <c r="A754" s="19">
        <f>'Season 1 - MafiaRatings'!A:A</f>
        <v/>
      </c>
      <c r="B754" s="19" t="n"/>
      <c r="L754" s="17" t="n"/>
      <c r="M754" s="17" t="n"/>
      <c r="N754" s="18" t="n"/>
    </row>
    <row r="755">
      <c r="A755" s="19">
        <f>'Season 1 - MafiaRatings'!A:A</f>
        <v/>
      </c>
      <c r="B755" s="19" t="n"/>
      <c r="L755" s="17" t="n"/>
      <c r="M755" s="17" t="n"/>
      <c r="N755" s="18" t="n"/>
    </row>
    <row r="756">
      <c r="A756" s="19">
        <f>'Season 1 - MafiaRatings'!A:A</f>
        <v/>
      </c>
      <c r="B756" s="19" t="n"/>
      <c r="L756" s="17" t="n"/>
      <c r="M756" s="17" t="n"/>
      <c r="N756" s="18" t="n"/>
    </row>
    <row r="757">
      <c r="A757" s="19">
        <f>'Season 1 - MafiaRatings'!A:A</f>
        <v/>
      </c>
      <c r="B757" s="19" t="n"/>
      <c r="L757" s="17" t="n"/>
      <c r="M757" s="17" t="n"/>
      <c r="N757" s="18" t="n"/>
    </row>
    <row r="758">
      <c r="A758" s="19">
        <f>'Season 1 - MafiaRatings'!A:A</f>
        <v/>
      </c>
      <c r="B758" s="19" t="n"/>
      <c r="L758" s="17" t="n"/>
      <c r="M758" s="17" t="n"/>
      <c r="N758" s="18" t="n"/>
    </row>
    <row r="759">
      <c r="A759" s="19">
        <f>'Season 1 - MafiaRatings'!A:A</f>
        <v/>
      </c>
      <c r="B759" s="19" t="n"/>
      <c r="L759" s="17" t="n"/>
      <c r="M759" s="17" t="n"/>
      <c r="N759" s="18" t="n"/>
    </row>
    <row r="760">
      <c r="A760" s="19">
        <f>'Season 1 - MafiaRatings'!A:A</f>
        <v/>
      </c>
      <c r="B760" s="19" t="n"/>
      <c r="L760" s="17" t="n"/>
      <c r="M760" s="17" t="n"/>
      <c r="N760" s="18" t="n"/>
    </row>
    <row r="761">
      <c r="A761" s="19">
        <f>'Season 1 - MafiaRatings'!A:A</f>
        <v/>
      </c>
      <c r="B761" s="19" t="n"/>
      <c r="L761" s="17" t="n"/>
      <c r="M761" s="17" t="n"/>
      <c r="N761" s="18" t="n"/>
    </row>
    <row r="762">
      <c r="A762" s="19">
        <f>'Season 1 - MafiaRatings'!A:A</f>
        <v/>
      </c>
      <c r="B762" s="19" t="n"/>
      <c r="L762" s="17" t="n"/>
      <c r="M762" s="17" t="n"/>
      <c r="N762" s="18" t="n"/>
    </row>
    <row r="763">
      <c r="A763" s="19">
        <f>'Season 1 - MafiaRatings'!A:A</f>
        <v/>
      </c>
      <c r="B763" s="19" t="n"/>
      <c r="L763" s="17" t="n"/>
      <c r="M763" s="17" t="n"/>
      <c r="N763" s="18" t="n"/>
    </row>
    <row r="764">
      <c r="A764" s="19">
        <f>'Season 1 - MafiaRatings'!A:A</f>
        <v/>
      </c>
      <c r="B764" s="19" t="n"/>
      <c r="L764" s="17" t="n"/>
      <c r="M764" s="17" t="n"/>
      <c r="N764" s="18" t="n"/>
    </row>
    <row r="765">
      <c r="A765" s="19">
        <f>'Season 1 - MafiaRatings'!A:A</f>
        <v/>
      </c>
      <c r="B765" s="19" t="n"/>
      <c r="L765" s="17" t="n"/>
      <c r="M765" s="17" t="n"/>
      <c r="N765" s="18" t="n"/>
    </row>
    <row r="766">
      <c r="A766" s="19">
        <f>'Season 1 - MafiaRatings'!A:A</f>
        <v/>
      </c>
      <c r="B766" s="19" t="n"/>
      <c r="L766" s="17" t="n"/>
      <c r="M766" s="17" t="n"/>
      <c r="N766" s="18" t="n"/>
    </row>
    <row r="767">
      <c r="A767" s="19">
        <f>'Season 1 - MafiaRatings'!A:A</f>
        <v/>
      </c>
      <c r="B767" s="19" t="n"/>
      <c r="L767" s="17" t="n"/>
      <c r="M767" s="17" t="n"/>
      <c r="N767" s="18" t="n"/>
    </row>
    <row r="768">
      <c r="A768" s="19">
        <f>'Season 1 - MafiaRatings'!A:A</f>
        <v/>
      </c>
      <c r="B768" s="19" t="n"/>
      <c r="L768" s="17" t="n"/>
      <c r="M768" s="17" t="n"/>
      <c r="N768" s="18" t="n"/>
    </row>
    <row r="769">
      <c r="A769" s="19">
        <f>'Season 1 - MafiaRatings'!A:A</f>
        <v/>
      </c>
      <c r="B769" s="19" t="n"/>
      <c r="L769" s="17" t="n"/>
      <c r="M769" s="17" t="n"/>
      <c r="N769" s="18" t="n"/>
    </row>
    <row r="770">
      <c r="A770" s="19">
        <f>'Season 1 - MafiaRatings'!A:A</f>
        <v/>
      </c>
      <c r="B770" s="19" t="n"/>
      <c r="L770" s="17" t="n"/>
      <c r="M770" s="17" t="n"/>
      <c r="N770" s="18" t="n"/>
    </row>
    <row r="771">
      <c r="A771" s="19">
        <f>'Season 1 - MafiaRatings'!A:A</f>
        <v/>
      </c>
      <c r="B771" s="19" t="n"/>
      <c r="L771" s="17" t="n"/>
      <c r="M771" s="17" t="n"/>
      <c r="N771" s="18" t="n"/>
    </row>
    <row r="772">
      <c r="A772" s="19">
        <f>'Season 1 - MafiaRatings'!A:A</f>
        <v/>
      </c>
      <c r="B772" s="19" t="n"/>
      <c r="L772" s="17" t="n"/>
      <c r="M772" s="17" t="n"/>
      <c r="N772" s="18" t="n"/>
    </row>
    <row r="773">
      <c r="A773" s="19">
        <f>'Season 1 - MafiaRatings'!A:A</f>
        <v/>
      </c>
      <c r="B773" s="19" t="n"/>
      <c r="L773" s="17" t="n"/>
      <c r="M773" s="17" t="n"/>
      <c r="N773" s="18" t="n"/>
    </row>
    <row r="774">
      <c r="A774" s="19">
        <f>'Season 1 - MafiaRatings'!A:A</f>
        <v/>
      </c>
      <c r="B774" s="19" t="n"/>
      <c r="L774" s="17" t="n"/>
      <c r="M774" s="17" t="n"/>
      <c r="N774" s="18" t="n"/>
    </row>
    <row r="775">
      <c r="A775" s="19">
        <f>'Season 1 - MafiaRatings'!A:A</f>
        <v/>
      </c>
      <c r="B775" s="19" t="n"/>
      <c r="L775" s="17" t="n"/>
      <c r="M775" s="17" t="n"/>
      <c r="N775" s="18" t="n"/>
    </row>
    <row r="776">
      <c r="A776" s="19">
        <f>'Season 1 - MafiaRatings'!A:A</f>
        <v/>
      </c>
      <c r="B776" s="19" t="n"/>
      <c r="L776" s="17" t="n"/>
      <c r="M776" s="17" t="n"/>
      <c r="N776" s="18" t="n"/>
    </row>
    <row r="777">
      <c r="A777" s="19">
        <f>'Season 1 - MafiaRatings'!A:A</f>
        <v/>
      </c>
      <c r="B777" s="19" t="n"/>
      <c r="L777" s="17" t="n"/>
      <c r="M777" s="17" t="n"/>
      <c r="N777" s="18" t="n"/>
    </row>
    <row r="778">
      <c r="A778" s="19">
        <f>'Season 1 - MafiaRatings'!A:A</f>
        <v/>
      </c>
      <c r="B778" s="19" t="n"/>
      <c r="L778" s="17" t="n"/>
      <c r="M778" s="17" t="n"/>
      <c r="N778" s="18" t="n"/>
    </row>
    <row r="779">
      <c r="A779" s="19">
        <f>'Season 1 - MafiaRatings'!A:A</f>
        <v/>
      </c>
      <c r="B779" s="19" t="n"/>
      <c r="L779" s="17" t="n"/>
      <c r="M779" s="17" t="n"/>
      <c r="N779" s="18" t="n"/>
    </row>
    <row r="780">
      <c r="A780" s="19">
        <f>'Season 1 - MafiaRatings'!A:A</f>
        <v/>
      </c>
      <c r="B780" s="19" t="n"/>
      <c r="L780" s="17" t="n"/>
      <c r="M780" s="17" t="n"/>
      <c r="N780" s="18" t="n"/>
    </row>
    <row r="781">
      <c r="A781" s="19">
        <f>'Season 1 - MafiaRatings'!A:A</f>
        <v/>
      </c>
      <c r="B781" s="19" t="n"/>
      <c r="L781" s="17" t="n"/>
      <c r="M781" s="17" t="n"/>
      <c r="N781" s="18" t="n"/>
    </row>
    <row r="782">
      <c r="A782" s="19">
        <f>'Season 1 - MafiaRatings'!A:A</f>
        <v/>
      </c>
      <c r="B782" s="19" t="n"/>
      <c r="L782" s="17" t="n"/>
      <c r="M782" s="17" t="n"/>
      <c r="N782" s="18" t="n"/>
    </row>
    <row r="783">
      <c r="A783" s="19">
        <f>'Season 1 - MafiaRatings'!A:A</f>
        <v/>
      </c>
      <c r="B783" s="19" t="n"/>
      <c r="L783" s="17" t="n"/>
      <c r="M783" s="17" t="n"/>
      <c r="N783" s="18" t="n"/>
    </row>
    <row r="784">
      <c r="A784" s="19">
        <f>'Season 1 - MafiaRatings'!A:A</f>
        <v/>
      </c>
      <c r="B784" s="19" t="n"/>
      <c r="L784" s="17" t="n"/>
      <c r="M784" s="17" t="n"/>
      <c r="N784" s="18" t="n"/>
    </row>
    <row r="785">
      <c r="A785" s="19">
        <f>'Season 1 - MafiaRatings'!A:A</f>
        <v/>
      </c>
      <c r="B785" s="19" t="n"/>
      <c r="L785" s="17" t="n"/>
      <c r="M785" s="17" t="n"/>
      <c r="N785" s="18" t="n"/>
    </row>
    <row r="786">
      <c r="A786" s="19">
        <f>'Season 1 - MafiaRatings'!A:A</f>
        <v/>
      </c>
      <c r="B786" s="19" t="n"/>
      <c r="L786" s="17" t="n"/>
      <c r="M786" s="17" t="n"/>
      <c r="N786" s="18" t="n"/>
    </row>
    <row r="787">
      <c r="A787" s="19">
        <f>'Season 1 - MafiaRatings'!A:A</f>
        <v/>
      </c>
      <c r="B787" s="19" t="n"/>
      <c r="L787" s="17" t="n"/>
      <c r="M787" s="17" t="n"/>
      <c r="N787" s="18" t="n"/>
    </row>
    <row r="788">
      <c r="A788" s="19">
        <f>'Season 1 - MafiaRatings'!A:A</f>
        <v/>
      </c>
      <c r="B788" s="19" t="n"/>
      <c r="L788" s="17" t="n"/>
      <c r="M788" s="17" t="n"/>
      <c r="N788" s="18" t="n"/>
    </row>
    <row r="789">
      <c r="A789" s="19">
        <f>'Season 1 - MafiaRatings'!A:A</f>
        <v/>
      </c>
      <c r="B789" s="19" t="n"/>
      <c r="L789" s="17" t="n"/>
      <c r="M789" s="17" t="n"/>
      <c r="N789" s="18" t="n"/>
    </row>
    <row r="790">
      <c r="A790" s="19">
        <f>'Season 1 - MafiaRatings'!A:A</f>
        <v/>
      </c>
      <c r="B790" s="19" t="n"/>
      <c r="L790" s="17" t="n"/>
      <c r="M790" s="17" t="n"/>
      <c r="N790" s="18" t="n"/>
    </row>
    <row r="791">
      <c r="A791" s="19">
        <f>'Season 1 - MafiaRatings'!A:A</f>
        <v/>
      </c>
      <c r="B791" s="19" t="n"/>
      <c r="L791" s="17" t="n"/>
      <c r="M791" s="17" t="n"/>
      <c r="N791" s="18" t="n"/>
    </row>
    <row r="792">
      <c r="A792" s="19">
        <f>'Season 1 - MafiaRatings'!A:A</f>
        <v/>
      </c>
      <c r="B792" s="19" t="n"/>
      <c r="L792" s="17" t="n"/>
      <c r="M792" s="17" t="n"/>
      <c r="N792" s="18" t="n"/>
    </row>
    <row r="793">
      <c r="A793" s="19">
        <f>'Season 1 - MafiaRatings'!A:A</f>
        <v/>
      </c>
      <c r="B793" s="19" t="n"/>
      <c r="L793" s="17" t="n"/>
      <c r="M793" s="17" t="n"/>
      <c r="N793" s="18" t="n"/>
    </row>
    <row r="794">
      <c r="A794" s="19">
        <f>'Season 1 - MafiaRatings'!A:A</f>
        <v/>
      </c>
      <c r="B794" s="19" t="n"/>
      <c r="L794" s="17" t="n"/>
      <c r="M794" s="17" t="n"/>
      <c r="N794" s="18" t="n"/>
    </row>
    <row r="795">
      <c r="A795" s="19">
        <f>'Season 1 - MafiaRatings'!A:A</f>
        <v/>
      </c>
      <c r="B795" s="19" t="n"/>
      <c r="L795" s="17" t="n"/>
      <c r="M795" s="17" t="n"/>
      <c r="N795" s="18" t="n"/>
    </row>
    <row r="796">
      <c r="A796" s="19">
        <f>'Season 1 - MafiaRatings'!A:A</f>
        <v/>
      </c>
      <c r="B796" s="19" t="n"/>
      <c r="L796" s="17" t="n"/>
      <c r="M796" s="17" t="n"/>
      <c r="N796" s="18" t="n"/>
    </row>
    <row r="797">
      <c r="A797" s="19">
        <f>'Season 1 - MafiaRatings'!A:A</f>
        <v/>
      </c>
      <c r="B797" s="19" t="n"/>
      <c r="L797" s="17" t="n"/>
      <c r="M797" s="17" t="n"/>
      <c r="N797" s="18" t="n"/>
    </row>
    <row r="798">
      <c r="A798" s="19">
        <f>'Season 1 - MafiaRatings'!A:A</f>
        <v/>
      </c>
      <c r="B798" s="19" t="n"/>
      <c r="L798" s="17" t="n"/>
      <c r="M798" s="17" t="n"/>
      <c r="N798" s="18" t="n"/>
    </row>
    <row r="799">
      <c r="A799" s="19">
        <f>'Season 1 - MafiaRatings'!A:A</f>
        <v/>
      </c>
      <c r="B799" s="19" t="n"/>
      <c r="L799" s="17" t="n"/>
      <c r="M799" s="17" t="n"/>
      <c r="N799" s="18" t="n"/>
    </row>
    <row r="800">
      <c r="A800" s="19">
        <f>'Season 1 - MafiaRatings'!A:A</f>
        <v/>
      </c>
      <c r="B800" s="19" t="n"/>
      <c r="L800" s="17" t="n"/>
      <c r="M800" s="17" t="n"/>
      <c r="N800" s="18" t="n"/>
    </row>
    <row r="801">
      <c r="A801" s="19">
        <f>'Season 1 - MafiaRatings'!A:A</f>
        <v/>
      </c>
      <c r="B801" s="19" t="n"/>
      <c r="L801" s="17" t="n"/>
      <c r="M801" s="17" t="n"/>
      <c r="N801" s="18" t="n"/>
    </row>
    <row r="802">
      <c r="A802" s="19">
        <f>'Season 1 - MafiaRatings'!A:A</f>
        <v/>
      </c>
      <c r="B802" s="19" t="n"/>
      <c r="L802" s="17" t="n"/>
      <c r="M802" s="17" t="n"/>
      <c r="N802" s="18" t="n"/>
    </row>
    <row r="803">
      <c r="A803" s="19">
        <f>'Season 1 - MafiaRatings'!A:A</f>
        <v/>
      </c>
      <c r="B803" s="19" t="n"/>
      <c r="L803" s="17" t="n"/>
      <c r="M803" s="17" t="n"/>
      <c r="N803" s="18" t="n"/>
    </row>
    <row r="804">
      <c r="A804" s="19">
        <f>'Season 1 - MafiaRatings'!A:A</f>
        <v/>
      </c>
      <c r="B804" s="19" t="n"/>
      <c r="L804" s="17" t="n"/>
      <c r="M804" s="17" t="n"/>
      <c r="N804" s="18" t="n"/>
    </row>
    <row r="805">
      <c r="A805" s="19">
        <f>'Season 1 - MafiaRatings'!A:A</f>
        <v/>
      </c>
      <c r="B805" s="19" t="n"/>
      <c r="L805" s="17" t="n"/>
      <c r="M805" s="17" t="n"/>
      <c r="N805" s="18" t="n"/>
    </row>
    <row r="806">
      <c r="A806" s="19">
        <f>'Season 1 - MafiaRatings'!A:A</f>
        <v/>
      </c>
      <c r="B806" s="19" t="n"/>
      <c r="L806" s="17" t="n"/>
      <c r="M806" s="17" t="n"/>
      <c r="N806" s="18" t="n"/>
    </row>
    <row r="807">
      <c r="A807" s="19">
        <f>'Season 1 - MafiaRatings'!A:A</f>
        <v/>
      </c>
      <c r="B807" s="19" t="n"/>
      <c r="L807" s="17" t="n"/>
      <c r="M807" s="17" t="n"/>
      <c r="N807" s="18" t="n"/>
    </row>
    <row r="808">
      <c r="A808" s="19">
        <f>'Season 1 - MafiaRatings'!A:A</f>
        <v/>
      </c>
      <c r="B808" s="19" t="n"/>
      <c r="L808" s="17" t="n"/>
      <c r="M808" s="17" t="n"/>
      <c r="N808" s="18" t="n"/>
    </row>
    <row r="809">
      <c r="A809" s="19">
        <f>'Season 1 - MafiaRatings'!A:A</f>
        <v/>
      </c>
      <c r="B809" s="19" t="n"/>
      <c r="L809" s="17" t="n"/>
      <c r="M809" s="17" t="n"/>
      <c r="N809" s="18" t="n"/>
    </row>
    <row r="810">
      <c r="A810" s="19">
        <f>'Season 1 - MafiaRatings'!A:A</f>
        <v/>
      </c>
      <c r="B810" s="19" t="n"/>
      <c r="L810" s="17" t="n"/>
      <c r="M810" s="17" t="n"/>
      <c r="N810" s="18" t="n"/>
    </row>
    <row r="811">
      <c r="A811" s="19">
        <f>'Season 1 - MafiaRatings'!A:A</f>
        <v/>
      </c>
      <c r="B811" s="19" t="n"/>
      <c r="L811" s="17" t="n"/>
      <c r="M811" s="17" t="n"/>
      <c r="N811" s="18" t="n"/>
    </row>
    <row r="812">
      <c r="A812" s="19">
        <f>'Season 1 - MafiaRatings'!A:A</f>
        <v/>
      </c>
      <c r="B812" s="19" t="n"/>
      <c r="L812" s="17" t="n"/>
      <c r="M812" s="17" t="n"/>
      <c r="N812" s="18" t="n"/>
    </row>
    <row r="813">
      <c r="A813" s="19">
        <f>'Season 1 - MafiaRatings'!A:A</f>
        <v/>
      </c>
      <c r="B813" s="19" t="n"/>
      <c r="L813" s="17" t="n"/>
      <c r="M813" s="17" t="n"/>
      <c r="N813" s="18" t="n"/>
    </row>
    <row r="814">
      <c r="A814" s="19">
        <f>'Season 1 - MafiaRatings'!A:A</f>
        <v/>
      </c>
      <c r="B814" s="19" t="n"/>
      <c r="L814" s="17" t="n"/>
      <c r="M814" s="17" t="n"/>
      <c r="N814" s="18" t="n"/>
    </row>
    <row r="815">
      <c r="A815" s="19">
        <f>'Season 1 - MafiaRatings'!A:A</f>
        <v/>
      </c>
      <c r="B815" s="19" t="n"/>
      <c r="L815" s="17" t="n"/>
      <c r="M815" s="17" t="n"/>
      <c r="N815" s="18" t="n"/>
    </row>
    <row r="816">
      <c r="A816" s="19">
        <f>'Season 1 - MafiaRatings'!A:A</f>
        <v/>
      </c>
      <c r="B816" s="19" t="n"/>
      <c r="L816" s="17" t="n"/>
      <c r="M816" s="17" t="n"/>
      <c r="N816" s="18" t="n"/>
    </row>
    <row r="817">
      <c r="A817" s="19">
        <f>'Season 1 - MafiaRatings'!A:A</f>
        <v/>
      </c>
      <c r="B817" s="19" t="n"/>
      <c r="L817" s="17" t="n"/>
      <c r="M817" s="17" t="n"/>
      <c r="N817" s="18" t="n"/>
    </row>
    <row r="818">
      <c r="A818" s="19">
        <f>'Season 1 - MafiaRatings'!A:A</f>
        <v/>
      </c>
      <c r="B818" s="19" t="n"/>
      <c r="L818" s="17" t="n"/>
      <c r="M818" s="17" t="n"/>
      <c r="N818" s="18" t="n"/>
    </row>
    <row r="819">
      <c r="A819" s="19">
        <f>'Season 1 - MafiaRatings'!A:A</f>
        <v/>
      </c>
      <c r="B819" s="19" t="n"/>
      <c r="L819" s="17" t="n"/>
      <c r="M819" s="17" t="n"/>
      <c r="N819" s="18" t="n"/>
    </row>
    <row r="820">
      <c r="A820" s="19">
        <f>'Season 1 - MafiaRatings'!A:A</f>
        <v/>
      </c>
      <c r="B820" s="19" t="n"/>
      <c r="L820" s="17" t="n"/>
      <c r="M820" s="17" t="n"/>
      <c r="N820" s="18" t="n"/>
    </row>
    <row r="821">
      <c r="A821" s="19">
        <f>'Season 1 - MafiaRatings'!A:A</f>
        <v/>
      </c>
      <c r="B821" s="19" t="n"/>
      <c r="L821" s="17" t="n"/>
      <c r="M821" s="17" t="n"/>
      <c r="N821" s="18" t="n"/>
    </row>
    <row r="822">
      <c r="A822" s="19">
        <f>'Season 1 - MafiaRatings'!A:A</f>
        <v/>
      </c>
      <c r="B822" s="19" t="n"/>
      <c r="L822" s="17" t="n"/>
      <c r="M822" s="17" t="n"/>
      <c r="N822" s="18" t="n"/>
    </row>
    <row r="823">
      <c r="A823" s="19">
        <f>'Season 1 - MafiaRatings'!A:A</f>
        <v/>
      </c>
      <c r="B823" s="19" t="n"/>
      <c r="L823" s="17" t="n"/>
      <c r="M823" s="17" t="n"/>
      <c r="N823" s="18" t="n"/>
    </row>
    <row r="824">
      <c r="A824" s="19">
        <f>'Season 1 - MafiaRatings'!A:A</f>
        <v/>
      </c>
      <c r="B824" s="19" t="n"/>
      <c r="L824" s="17" t="n"/>
      <c r="M824" s="17" t="n"/>
      <c r="N824" s="18" t="n"/>
    </row>
    <row r="825">
      <c r="A825" s="19">
        <f>'Season 1 - MafiaRatings'!A:A</f>
        <v/>
      </c>
      <c r="B825" s="19" t="n"/>
      <c r="L825" s="17" t="n"/>
      <c r="M825" s="17" t="n"/>
      <c r="N825" s="18" t="n"/>
    </row>
    <row r="826">
      <c r="A826" s="19">
        <f>'Season 1 - MafiaRatings'!A:A</f>
        <v/>
      </c>
      <c r="B826" s="19" t="n"/>
      <c r="L826" s="17" t="n"/>
      <c r="M826" s="17" t="n"/>
      <c r="N826" s="18" t="n"/>
    </row>
    <row r="827">
      <c r="A827" s="19">
        <f>'Season 1 - MafiaRatings'!A:A</f>
        <v/>
      </c>
      <c r="B827" s="19" t="n"/>
      <c r="L827" s="17" t="n"/>
      <c r="M827" s="17" t="n"/>
      <c r="N827" s="18" t="n"/>
    </row>
    <row r="828">
      <c r="A828" s="19">
        <f>'Season 1 - MafiaRatings'!A:A</f>
        <v/>
      </c>
      <c r="B828" s="19" t="n"/>
      <c r="L828" s="17" t="n"/>
      <c r="M828" s="17" t="n"/>
      <c r="N828" s="18" t="n"/>
    </row>
    <row r="829">
      <c r="A829" s="19">
        <f>'Season 1 - MafiaRatings'!A:A</f>
        <v/>
      </c>
      <c r="B829" s="19" t="n"/>
      <c r="L829" s="17" t="n"/>
      <c r="M829" s="17" t="n"/>
      <c r="N829" s="18" t="n"/>
    </row>
    <row r="830">
      <c r="A830" s="19">
        <f>'Season 1 - MafiaRatings'!A:A</f>
        <v/>
      </c>
      <c r="B830" s="19" t="n"/>
      <c r="L830" s="17" t="n"/>
      <c r="M830" s="17" t="n"/>
      <c r="N830" s="18" t="n"/>
    </row>
    <row r="831">
      <c r="A831" s="19">
        <f>'Season 1 - MafiaRatings'!A:A</f>
        <v/>
      </c>
      <c r="B831" s="19" t="n"/>
      <c r="L831" s="17" t="n"/>
      <c r="M831" s="17" t="n"/>
      <c r="N831" s="18" t="n"/>
    </row>
    <row r="832">
      <c r="A832" s="19">
        <f>'Season 1 - MafiaRatings'!A:A</f>
        <v/>
      </c>
      <c r="B832" s="19" t="n"/>
      <c r="L832" s="17" t="n"/>
      <c r="M832" s="17" t="n"/>
      <c r="N832" s="18" t="n"/>
    </row>
    <row r="833">
      <c r="A833" s="19">
        <f>'Season 1 - MafiaRatings'!A:A</f>
        <v/>
      </c>
      <c r="B833" s="19" t="n"/>
      <c r="L833" s="17" t="n"/>
      <c r="M833" s="17" t="n"/>
      <c r="N833" s="18" t="n"/>
    </row>
    <row r="834">
      <c r="A834" s="19">
        <f>'Season 1 - MafiaRatings'!A:A</f>
        <v/>
      </c>
      <c r="B834" s="19" t="n"/>
      <c r="L834" s="17" t="n"/>
      <c r="M834" s="17" t="n"/>
      <c r="N834" s="18" t="n"/>
    </row>
    <row r="835">
      <c r="A835" s="19">
        <f>'Season 1 - MafiaRatings'!A:A</f>
        <v/>
      </c>
      <c r="B835" s="19" t="n"/>
      <c r="L835" s="17" t="n"/>
      <c r="M835" s="17" t="n"/>
      <c r="N835" s="18" t="n"/>
    </row>
    <row r="836">
      <c r="A836" s="19">
        <f>'Season 1 - MafiaRatings'!A:A</f>
        <v/>
      </c>
      <c r="B836" s="19" t="n"/>
      <c r="L836" s="17" t="n"/>
      <c r="M836" s="17" t="n"/>
      <c r="N836" s="18" t="n"/>
    </row>
    <row r="837">
      <c r="A837" s="19">
        <f>'Season 1 - MafiaRatings'!A:A</f>
        <v/>
      </c>
      <c r="B837" s="19" t="n"/>
      <c r="L837" s="17" t="n"/>
      <c r="M837" s="17" t="n"/>
      <c r="N837" s="18" t="n"/>
    </row>
    <row r="838">
      <c r="A838" s="19">
        <f>'Season 1 - MafiaRatings'!A:A</f>
        <v/>
      </c>
      <c r="B838" s="19" t="n"/>
      <c r="L838" s="17" t="n"/>
      <c r="M838" s="17" t="n"/>
      <c r="N838" s="18" t="n"/>
    </row>
    <row r="839">
      <c r="A839" s="19">
        <f>'Season 1 - MafiaRatings'!A:A</f>
        <v/>
      </c>
      <c r="B839" s="19" t="n"/>
      <c r="L839" s="17" t="n"/>
      <c r="M839" s="17" t="n"/>
      <c r="N839" s="18" t="n"/>
    </row>
    <row r="840">
      <c r="A840" s="19">
        <f>'Season 1 - MafiaRatings'!A:A</f>
        <v/>
      </c>
      <c r="B840" s="19" t="n"/>
      <c r="L840" s="17" t="n"/>
      <c r="M840" s="17" t="n"/>
      <c r="N840" s="18" t="n"/>
    </row>
    <row r="841">
      <c r="A841" s="19">
        <f>'Season 1 - MafiaRatings'!A:A</f>
        <v/>
      </c>
      <c r="B841" s="19" t="n"/>
      <c r="L841" s="17" t="n"/>
      <c r="M841" s="17" t="n"/>
      <c r="N841" s="18" t="n"/>
    </row>
    <row r="842">
      <c r="A842" s="19">
        <f>'Season 1 - MafiaRatings'!A:A</f>
        <v/>
      </c>
      <c r="B842" s="19" t="n"/>
      <c r="L842" s="17" t="n"/>
      <c r="M842" s="17" t="n"/>
      <c r="N842" s="18" t="n"/>
    </row>
    <row r="843">
      <c r="A843" s="19">
        <f>'Season 1 - MafiaRatings'!A:A</f>
        <v/>
      </c>
      <c r="B843" s="19" t="n"/>
      <c r="L843" s="17" t="n"/>
      <c r="M843" s="17" t="n"/>
      <c r="N843" s="18" t="n"/>
    </row>
    <row r="844">
      <c r="A844" s="19">
        <f>'Season 1 - MafiaRatings'!A:A</f>
        <v/>
      </c>
      <c r="B844" s="19" t="n"/>
      <c r="L844" s="17" t="n"/>
      <c r="M844" s="17" t="n"/>
      <c r="N844" s="18" t="n"/>
    </row>
    <row r="845">
      <c r="A845" s="19">
        <f>'Season 1 - MafiaRatings'!A:A</f>
        <v/>
      </c>
      <c r="B845" s="19" t="n"/>
      <c r="L845" s="17" t="n"/>
      <c r="M845" s="17" t="n"/>
      <c r="N845" s="18" t="n"/>
    </row>
    <row r="846">
      <c r="A846" s="19">
        <f>'Season 1 - MafiaRatings'!A:A</f>
        <v/>
      </c>
      <c r="B846" s="19" t="n"/>
      <c r="L846" s="17" t="n"/>
      <c r="M846" s="17" t="n"/>
      <c r="N846" s="18" t="n"/>
    </row>
    <row r="847">
      <c r="A847" s="19">
        <f>'Season 1 - MafiaRatings'!A:A</f>
        <v/>
      </c>
      <c r="B847" s="19" t="n"/>
      <c r="L847" s="17" t="n"/>
      <c r="M847" s="17" t="n"/>
      <c r="N847" s="18" t="n"/>
    </row>
    <row r="848">
      <c r="A848" s="19">
        <f>'Season 1 - MafiaRatings'!A:A</f>
        <v/>
      </c>
      <c r="B848" s="19" t="n"/>
      <c r="L848" s="17" t="n"/>
      <c r="M848" s="17" t="n"/>
      <c r="N848" s="18" t="n"/>
    </row>
    <row r="849">
      <c r="A849" s="19">
        <f>'Season 1 - MafiaRatings'!A:A</f>
        <v/>
      </c>
      <c r="B849" s="19" t="n"/>
      <c r="L849" s="17" t="n"/>
      <c r="M849" s="17" t="n"/>
      <c r="N849" s="18" t="n"/>
    </row>
    <row r="850">
      <c r="A850" s="19">
        <f>'Season 1 - MafiaRatings'!A:A</f>
        <v/>
      </c>
      <c r="B850" s="19" t="n"/>
      <c r="L850" s="17" t="n"/>
      <c r="M850" s="17" t="n"/>
      <c r="N850" s="18" t="n"/>
    </row>
    <row r="851">
      <c r="A851" s="19">
        <f>'Season 1 - MafiaRatings'!A:A</f>
        <v/>
      </c>
      <c r="B851" s="19" t="n"/>
      <c r="L851" s="17" t="n"/>
      <c r="M851" s="17" t="n"/>
      <c r="N851" s="18" t="n"/>
    </row>
    <row r="852">
      <c r="A852" s="19">
        <f>'Season 1 - MafiaRatings'!A:A</f>
        <v/>
      </c>
      <c r="B852" s="19" t="n"/>
      <c r="L852" s="17" t="n"/>
      <c r="M852" s="17" t="n"/>
      <c r="N852" s="18" t="n"/>
    </row>
    <row r="853">
      <c r="A853" s="19">
        <f>'Season 1 - MafiaRatings'!A:A</f>
        <v/>
      </c>
      <c r="B853" s="19" t="n"/>
      <c r="L853" s="17" t="n"/>
      <c r="M853" s="17" t="n"/>
      <c r="N853" s="18" t="n"/>
    </row>
    <row r="854">
      <c r="A854" s="19">
        <f>'Season 1 - MafiaRatings'!A:A</f>
        <v/>
      </c>
      <c r="B854" s="19" t="n"/>
      <c r="L854" s="17" t="n"/>
      <c r="M854" s="17" t="n"/>
      <c r="N854" s="18" t="n"/>
    </row>
    <row r="855">
      <c r="A855" s="19">
        <f>'Season 1 - MafiaRatings'!A:A</f>
        <v/>
      </c>
      <c r="B855" s="19" t="n"/>
      <c r="L855" s="17" t="n"/>
      <c r="M855" s="17" t="n"/>
      <c r="N855" s="18" t="n"/>
    </row>
    <row r="856">
      <c r="A856" s="19">
        <f>'Season 1 - MafiaRatings'!A:A</f>
        <v/>
      </c>
      <c r="B856" s="19" t="n"/>
      <c r="L856" s="17" t="n"/>
      <c r="M856" s="17" t="n"/>
      <c r="N856" s="18" t="n"/>
    </row>
    <row r="857">
      <c r="A857" s="19">
        <f>'Season 1 - MafiaRatings'!A:A</f>
        <v/>
      </c>
      <c r="B857" s="19" t="n"/>
      <c r="L857" s="17" t="n"/>
      <c r="M857" s="17" t="n"/>
      <c r="N857" s="18" t="n"/>
    </row>
    <row r="858">
      <c r="A858" s="19">
        <f>'Season 1 - MafiaRatings'!A:A</f>
        <v/>
      </c>
      <c r="B858" s="19" t="n"/>
      <c r="L858" s="17" t="n"/>
      <c r="M858" s="17" t="n"/>
      <c r="N858" s="18" t="n"/>
    </row>
    <row r="859">
      <c r="A859" s="19">
        <f>'Season 1 - MafiaRatings'!A:A</f>
        <v/>
      </c>
      <c r="B859" s="19" t="n"/>
      <c r="L859" s="17" t="n"/>
      <c r="M859" s="17" t="n"/>
      <c r="N859" s="18" t="n"/>
    </row>
    <row r="860">
      <c r="A860" s="19">
        <f>'Season 1 - MafiaRatings'!A:A</f>
        <v/>
      </c>
      <c r="B860" s="19" t="n"/>
      <c r="L860" s="17" t="n"/>
      <c r="M860" s="17" t="n"/>
      <c r="N860" s="18" t="n"/>
    </row>
    <row r="861">
      <c r="A861" s="19">
        <f>'Season 1 - MafiaRatings'!A:A</f>
        <v/>
      </c>
      <c r="B861" s="19" t="n"/>
      <c r="L861" s="17" t="n"/>
      <c r="M861" s="17" t="n"/>
      <c r="N861" s="18" t="n"/>
    </row>
    <row r="862">
      <c r="A862" s="19">
        <f>'Season 1 - MafiaRatings'!A:A</f>
        <v/>
      </c>
      <c r="B862" s="19" t="n"/>
      <c r="L862" s="17" t="n"/>
      <c r="M862" s="17" t="n"/>
      <c r="N862" s="18" t="n"/>
    </row>
    <row r="863">
      <c r="A863" s="19">
        <f>'Season 1 - MafiaRatings'!A:A</f>
        <v/>
      </c>
      <c r="B863" s="19" t="n"/>
      <c r="L863" s="17" t="n"/>
      <c r="M863" s="17" t="n"/>
      <c r="N863" s="18" t="n"/>
    </row>
    <row r="864">
      <c r="A864" s="19">
        <f>'Season 1 - MafiaRatings'!A:A</f>
        <v/>
      </c>
      <c r="B864" s="19" t="n"/>
      <c r="L864" s="17" t="n"/>
      <c r="M864" s="17" t="n"/>
      <c r="N864" s="18" t="n"/>
    </row>
    <row r="865">
      <c r="A865" s="19">
        <f>'Season 1 - MafiaRatings'!A:A</f>
        <v/>
      </c>
      <c r="B865" s="19" t="n"/>
      <c r="L865" s="17" t="n"/>
      <c r="M865" s="17" t="n"/>
      <c r="N865" s="18" t="n"/>
    </row>
    <row r="866">
      <c r="A866" s="19">
        <f>'Season 1 - MafiaRatings'!A:A</f>
        <v/>
      </c>
      <c r="B866" s="19" t="n"/>
      <c r="L866" s="17" t="n"/>
      <c r="M866" s="17" t="n"/>
      <c r="N866" s="18" t="n"/>
    </row>
    <row r="867">
      <c r="A867" s="19">
        <f>'Season 1 - MafiaRatings'!A:A</f>
        <v/>
      </c>
      <c r="B867" s="19" t="n"/>
      <c r="L867" s="17" t="n"/>
      <c r="M867" s="17" t="n"/>
      <c r="N867" s="18" t="n"/>
    </row>
    <row r="868">
      <c r="A868" s="19">
        <f>'Season 1 - MafiaRatings'!A:A</f>
        <v/>
      </c>
      <c r="B868" s="19" t="n"/>
      <c r="L868" s="17" t="n"/>
      <c r="M868" s="17" t="n"/>
      <c r="N868" s="18" t="n"/>
    </row>
    <row r="869">
      <c r="A869" s="19">
        <f>'Season 1 - MafiaRatings'!A:A</f>
        <v/>
      </c>
      <c r="B869" s="19" t="n"/>
      <c r="L869" s="17" t="n"/>
      <c r="M869" s="17" t="n"/>
      <c r="N869" s="18" t="n"/>
    </row>
    <row r="870">
      <c r="A870" s="19">
        <f>'Season 1 - MafiaRatings'!A:A</f>
        <v/>
      </c>
      <c r="B870" s="19" t="n"/>
      <c r="L870" s="17" t="n"/>
      <c r="M870" s="17" t="n"/>
      <c r="N870" s="18" t="n"/>
    </row>
    <row r="871">
      <c r="A871" s="19">
        <f>'Season 1 - MafiaRatings'!A:A</f>
        <v/>
      </c>
      <c r="B871" s="19" t="n"/>
      <c r="L871" s="17" t="n"/>
      <c r="M871" s="17" t="n"/>
      <c r="N871" s="18" t="n"/>
    </row>
    <row r="872">
      <c r="A872" s="19">
        <f>'Season 1 - MafiaRatings'!A:A</f>
        <v/>
      </c>
      <c r="B872" s="19" t="n"/>
      <c r="L872" s="17" t="n"/>
      <c r="M872" s="17" t="n"/>
      <c r="N872" s="18" t="n"/>
    </row>
    <row r="873">
      <c r="A873" s="19">
        <f>'Season 1 - MafiaRatings'!A:A</f>
        <v/>
      </c>
      <c r="B873" s="19" t="n"/>
      <c r="L873" s="17" t="n"/>
      <c r="M873" s="17" t="n"/>
      <c r="N873" s="18" t="n"/>
    </row>
    <row r="874">
      <c r="A874" s="19">
        <f>'Season 1 - MafiaRatings'!A:A</f>
        <v/>
      </c>
      <c r="B874" s="19" t="n"/>
      <c r="L874" s="17" t="n"/>
      <c r="M874" s="17" t="n"/>
      <c r="N874" s="18" t="n"/>
    </row>
    <row r="875">
      <c r="A875" s="19">
        <f>'Season 1 - MafiaRatings'!A:A</f>
        <v/>
      </c>
      <c r="B875" s="19" t="n"/>
      <c r="L875" s="17" t="n"/>
      <c r="M875" s="17" t="n"/>
      <c r="N875" s="18" t="n"/>
    </row>
    <row r="876">
      <c r="A876" s="19">
        <f>'Season 1 - MafiaRatings'!A:A</f>
        <v/>
      </c>
      <c r="B876" s="19" t="n"/>
      <c r="L876" s="17" t="n"/>
      <c r="M876" s="17" t="n"/>
      <c r="N876" s="18" t="n"/>
    </row>
    <row r="877">
      <c r="A877" s="19">
        <f>'Season 1 - MafiaRatings'!A:A</f>
        <v/>
      </c>
      <c r="B877" s="19" t="n"/>
      <c r="L877" s="17" t="n"/>
      <c r="M877" s="17" t="n"/>
      <c r="N877" s="18" t="n"/>
    </row>
    <row r="878">
      <c r="A878" s="19">
        <f>'Season 1 - MafiaRatings'!A:A</f>
        <v/>
      </c>
      <c r="B878" s="19" t="n"/>
      <c r="L878" s="17" t="n"/>
      <c r="M878" s="17" t="n"/>
      <c r="N878" s="18" t="n"/>
    </row>
    <row r="879">
      <c r="A879" s="19">
        <f>'Season 1 - MafiaRatings'!A:A</f>
        <v/>
      </c>
      <c r="B879" s="19" t="n"/>
      <c r="L879" s="17" t="n"/>
      <c r="M879" s="17" t="n"/>
      <c r="N879" s="18" t="n"/>
    </row>
    <row r="880">
      <c r="A880" s="19">
        <f>'Season 1 - MafiaRatings'!A:A</f>
        <v/>
      </c>
      <c r="B880" s="19" t="n"/>
      <c r="L880" s="17" t="n"/>
      <c r="M880" s="17" t="n"/>
      <c r="N880" s="18" t="n"/>
    </row>
    <row r="881">
      <c r="A881" s="19">
        <f>'Season 1 - MafiaRatings'!A:A</f>
        <v/>
      </c>
      <c r="B881" s="19" t="n"/>
      <c r="L881" s="17" t="n"/>
      <c r="M881" s="17" t="n"/>
      <c r="N881" s="18" t="n"/>
    </row>
    <row r="882">
      <c r="A882" s="19">
        <f>'Season 1 - MafiaRatings'!A:A</f>
        <v/>
      </c>
      <c r="B882" s="19" t="n"/>
      <c r="L882" s="17" t="n"/>
      <c r="M882" s="17" t="n"/>
      <c r="N882" s="18" t="n"/>
    </row>
    <row r="883">
      <c r="A883" s="19">
        <f>'Season 1 - MafiaRatings'!A:A</f>
        <v/>
      </c>
      <c r="B883" s="19" t="n"/>
      <c r="L883" s="17" t="n"/>
      <c r="M883" s="17" t="n"/>
      <c r="N883" s="18" t="n"/>
    </row>
    <row r="884">
      <c r="A884" s="19">
        <f>'Season 1 - MafiaRatings'!A:A</f>
        <v/>
      </c>
      <c r="B884" s="19" t="n"/>
      <c r="L884" s="17" t="n"/>
      <c r="M884" s="17" t="n"/>
      <c r="N884" s="18" t="n"/>
    </row>
    <row r="885">
      <c r="A885" s="19">
        <f>'Season 1 - MafiaRatings'!A:A</f>
        <v/>
      </c>
      <c r="B885" s="19" t="n"/>
      <c r="L885" s="17" t="n"/>
      <c r="M885" s="17" t="n"/>
      <c r="N885" s="18" t="n"/>
    </row>
    <row r="886">
      <c r="A886" s="19">
        <f>'Season 1 - MafiaRatings'!A:A</f>
        <v/>
      </c>
      <c r="B886" s="19" t="n"/>
      <c r="L886" s="17" t="n"/>
      <c r="M886" s="17" t="n"/>
      <c r="N886" s="18" t="n"/>
    </row>
    <row r="887">
      <c r="A887" s="19">
        <f>'Season 1 - MafiaRatings'!A:A</f>
        <v/>
      </c>
      <c r="B887" s="19" t="n"/>
      <c r="L887" s="17" t="n"/>
      <c r="M887" s="17" t="n"/>
      <c r="N887" s="18" t="n"/>
    </row>
    <row r="888">
      <c r="A888" s="19">
        <f>'Season 1 - MafiaRatings'!A:A</f>
        <v/>
      </c>
      <c r="B888" s="19" t="n"/>
      <c r="L888" s="17" t="n"/>
      <c r="M888" s="17" t="n"/>
      <c r="N888" s="18" t="n"/>
    </row>
    <row r="889">
      <c r="A889" s="19">
        <f>'Season 1 - MafiaRatings'!A:A</f>
        <v/>
      </c>
      <c r="B889" s="19" t="n"/>
      <c r="L889" s="17" t="n"/>
      <c r="M889" s="17" t="n"/>
      <c r="N889" s="18" t="n"/>
    </row>
    <row r="890">
      <c r="A890" s="19">
        <f>'Season 1 - MafiaRatings'!A:A</f>
        <v/>
      </c>
      <c r="B890" s="19" t="n"/>
      <c r="L890" s="17" t="n"/>
      <c r="M890" s="17" t="n"/>
      <c r="N890" s="18" t="n"/>
    </row>
    <row r="891">
      <c r="A891" s="19">
        <f>'Season 1 - MafiaRatings'!A:A</f>
        <v/>
      </c>
      <c r="B891" s="19" t="n"/>
      <c r="L891" s="17" t="n"/>
      <c r="M891" s="17" t="n"/>
      <c r="N891" s="18" t="n"/>
    </row>
    <row r="892">
      <c r="A892" s="19">
        <f>'Season 1 - MafiaRatings'!A:A</f>
        <v/>
      </c>
      <c r="B892" s="19" t="n"/>
      <c r="L892" s="17" t="n"/>
      <c r="M892" s="17" t="n"/>
      <c r="N892" s="18" t="n"/>
    </row>
    <row r="893">
      <c r="A893" s="19">
        <f>'Season 1 - MafiaRatings'!A:A</f>
        <v/>
      </c>
      <c r="B893" s="19" t="n"/>
      <c r="L893" s="17" t="n"/>
      <c r="M893" s="17" t="n"/>
      <c r="N893" s="18" t="n"/>
    </row>
    <row r="894">
      <c r="A894" s="19">
        <f>'Season 1 - MafiaRatings'!A:A</f>
        <v/>
      </c>
      <c r="B894" s="19" t="n"/>
      <c r="L894" s="17" t="n"/>
      <c r="M894" s="17" t="n"/>
      <c r="N894" s="18" t="n"/>
    </row>
    <row r="895">
      <c r="A895" s="19">
        <f>'Season 1 - MafiaRatings'!A:A</f>
        <v/>
      </c>
      <c r="B895" s="19" t="n"/>
      <c r="L895" s="17" t="n"/>
      <c r="M895" s="17" t="n"/>
      <c r="N895" s="18" t="n"/>
    </row>
    <row r="896">
      <c r="A896" s="19">
        <f>'Season 1 - MafiaRatings'!A:A</f>
        <v/>
      </c>
      <c r="B896" s="19" t="n"/>
      <c r="L896" s="17" t="n"/>
      <c r="M896" s="17" t="n"/>
      <c r="N896" s="18" t="n"/>
    </row>
    <row r="897">
      <c r="A897" s="19">
        <f>'Season 1 - MafiaRatings'!A:A</f>
        <v/>
      </c>
      <c r="B897" s="19" t="n"/>
      <c r="L897" s="17" t="n"/>
      <c r="M897" s="17" t="n"/>
      <c r="N897" s="18" t="n"/>
    </row>
    <row r="898">
      <c r="A898" s="19">
        <f>'Season 1 - MafiaRatings'!A:A</f>
        <v/>
      </c>
      <c r="B898" s="19" t="n"/>
      <c r="L898" s="17" t="n"/>
      <c r="M898" s="17" t="n"/>
      <c r="N898" s="18" t="n"/>
    </row>
    <row r="899">
      <c r="A899" s="19">
        <f>'Season 1 - MafiaRatings'!A:A</f>
        <v/>
      </c>
      <c r="B899" s="19" t="n"/>
      <c r="L899" s="17" t="n"/>
      <c r="M899" s="17" t="n"/>
      <c r="N899" s="18" t="n"/>
    </row>
    <row r="900">
      <c r="A900" s="19">
        <f>'Season 1 - MafiaRatings'!A:A</f>
        <v/>
      </c>
      <c r="B900" s="19" t="n"/>
      <c r="L900" s="17" t="n"/>
      <c r="M900" s="17" t="n"/>
      <c r="N900" s="18" t="n"/>
    </row>
  </sheetData>
  <autoFilter ref="$A$1:$N$87">
    <sortState ref="A1:N87">
      <sortCondition descending="1" ref="I1:I87"/>
    </sortState>
  </autoFilter>
  <dataValidations count="1">
    <dataValidation sqref="L2:M87" showDropDown="1" showInputMessage="0" showErrorMessage="0" allowBlank="1" type="custom">
      <formula1>AND(ISNUMBER(L2),(NOT(OR(NOT(ISERROR(DATEVALUE(L2))), AND(ISNUMBER(L2), LEFT(CELL("format", L2))="D")))))</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C1000"/>
  <sheetViews>
    <sheetView workbookViewId="0">
      <pane ySplit="1" topLeftCell="A2" activePane="bottomLeft" state="frozen"/>
      <selection pane="bottomLeft" activeCell="B3" sqref="B3"/>
    </sheetView>
  </sheetViews>
  <sheetFormatPr baseColWidth="8" defaultColWidth="12.63" defaultRowHeight="15.75" customHeight="1"/>
  <sheetData>
    <row r="1">
      <c r="A1" s="19" t="inlineStr">
        <is>
          <t>Player</t>
        </is>
      </c>
      <c r="B1" s="19" t="inlineStr">
        <is>
          <t>mu</t>
        </is>
      </c>
      <c r="C1" s="19" t="inlineStr">
        <is>
          <t>sigma</t>
        </is>
      </c>
    </row>
    <row r="2">
      <c r="A2" s="19" t="inlineStr">
        <is>
          <t>Jake</t>
        </is>
      </c>
      <c r="B2" s="19" t="n">
        <v>28.0035338195264</v>
      </c>
      <c r="C2" s="19" t="n">
        <v>8.126368457090059</v>
      </c>
    </row>
    <row r="3">
      <c r="A3" s="19" t="inlineStr">
        <is>
          <t>Carson</t>
        </is>
      </c>
      <c r="B3" s="19" t="n">
        <v>28.2968132821368</v>
      </c>
      <c r="C3" s="19" t="n">
        <v>6.3037995425715</v>
      </c>
    </row>
    <row r="4">
      <c r="A4" s="19" t="inlineStr">
        <is>
          <t>Creatchee</t>
        </is>
      </c>
      <c r="B4" s="19" t="n">
        <v>36.2786949691955</v>
      </c>
      <c r="C4" s="19" t="n">
        <v>7.16966762873551</v>
      </c>
    </row>
    <row r="5">
      <c r="A5" s="19" t="inlineStr">
        <is>
          <t>Smit</t>
        </is>
      </c>
      <c r="B5" s="19" t="n">
        <v>24.7038309502646</v>
      </c>
      <c r="C5" s="19" t="n">
        <v>6.3714387635022</v>
      </c>
    </row>
    <row r="6">
      <c r="A6" s="19" t="inlineStr">
        <is>
          <t>Boobles</t>
        </is>
      </c>
      <c r="B6" s="19" t="n">
        <v>28.0459811454124</v>
      </c>
      <c r="C6" s="19" t="n">
        <v>7.87942166758777</v>
      </c>
    </row>
    <row r="7">
      <c r="A7" s="19" t="inlineStr">
        <is>
          <t>Badpants</t>
        </is>
      </c>
      <c r="B7" s="19" t="n">
        <v>26.3007646750927</v>
      </c>
      <c r="C7" s="19" t="n">
        <v>6.26670516043161</v>
      </c>
    </row>
    <row r="8">
      <c r="A8" s="19" t="inlineStr">
        <is>
          <t>Kwix</t>
        </is>
      </c>
      <c r="B8" s="19" t="n">
        <v>21.5888535356722</v>
      </c>
      <c r="C8" s="19" t="n">
        <v>6.49902689338874</v>
      </c>
    </row>
    <row r="9">
      <c r="A9" s="19" t="inlineStr">
        <is>
          <t>Chipper</t>
        </is>
      </c>
      <c r="B9" s="19" t="n">
        <v>28.734034735286</v>
      </c>
      <c r="C9" s="19" t="n">
        <v>6.5538483177755</v>
      </c>
    </row>
    <row r="10">
      <c r="A10" s="19" t="inlineStr">
        <is>
          <t>Machop</t>
        </is>
      </c>
      <c r="B10" s="19" t="n">
        <v>25.6593338032096</v>
      </c>
      <c r="C10" s="19" t="n">
        <v>6.78827972466749</v>
      </c>
    </row>
    <row r="11">
      <c r="A11" s="19" t="inlineStr">
        <is>
          <t>Happymeal</t>
        </is>
      </c>
      <c r="B11" s="19" t="n">
        <v>22.3147096202177</v>
      </c>
      <c r="C11" s="19" t="n">
        <v>7.59367409456524</v>
      </c>
    </row>
    <row r="12">
      <c r="A12" s="19" t="inlineStr">
        <is>
          <t>Lou</t>
        </is>
      </c>
      <c r="B12" s="19" t="n">
        <v>31.8175053392367</v>
      </c>
      <c r="C12" s="19" t="n">
        <v>6.25629025526139</v>
      </c>
    </row>
    <row r="13">
      <c r="A13" s="19" t="inlineStr">
        <is>
          <t>Iln</t>
        </is>
      </c>
      <c r="B13" s="19" t="n">
        <v>32.1953211166561</v>
      </c>
      <c r="C13" s="19" t="n">
        <v>6.08144603247365</v>
      </c>
    </row>
    <row r="14">
      <c r="A14" s="19" t="inlineStr">
        <is>
          <t>Lombax</t>
        </is>
      </c>
      <c r="B14" s="19" t="n">
        <v>24.0149840083332</v>
      </c>
      <c r="C14" s="19" t="n">
        <v>7.97377178625316</v>
      </c>
    </row>
    <row r="15">
      <c r="A15" s="19" t="inlineStr">
        <is>
          <t>Chester</t>
        </is>
      </c>
      <c r="B15" s="19" t="n">
        <v>32.6205341776882</v>
      </c>
      <c r="C15" s="19" t="n">
        <v>7.05191357457091</v>
      </c>
    </row>
    <row r="16">
      <c r="A16" s="19" t="inlineStr">
        <is>
          <t>Starv</t>
        </is>
      </c>
      <c r="B16" s="19" t="n">
        <v>28.6868712847855</v>
      </c>
      <c r="C16" s="19" t="n">
        <v>8.049735470703929</v>
      </c>
    </row>
    <row r="17">
      <c r="A17" s="19" t="inlineStr">
        <is>
          <t>Kowa</t>
        </is>
      </c>
      <c r="B17" s="19" t="n">
        <v>22.9536739190734</v>
      </c>
      <c r="C17" s="19" t="n">
        <v>8.21592621119388</v>
      </c>
    </row>
    <row r="18">
      <c r="A18" s="19" t="inlineStr">
        <is>
          <t>Brownkow</t>
        </is>
      </c>
      <c r="B18" s="19" t="n">
        <v>32.0670881066492</v>
      </c>
      <c r="C18" s="19" t="n">
        <v>5.94725712991324</v>
      </c>
    </row>
    <row r="19">
      <c r="A19" s="19" t="inlineStr">
        <is>
          <t>Noah</t>
        </is>
      </c>
      <c r="B19" s="19" t="n">
        <v>34.6066904806581</v>
      </c>
      <c r="C19" s="19" t="n">
        <v>6.25206633570452</v>
      </c>
    </row>
    <row r="20">
      <c r="A20" s="19" t="inlineStr">
        <is>
          <t>Siggy</t>
        </is>
      </c>
      <c r="B20" s="19" t="n">
        <v>30.4184169032413</v>
      </c>
      <c r="C20" s="19" t="n">
        <v>7.56093841721511</v>
      </c>
    </row>
    <row r="21">
      <c r="A21" s="19" t="inlineStr">
        <is>
          <t>Rocker</t>
        </is>
      </c>
      <c r="B21" s="19" t="n">
        <v>38.6165215909118</v>
      </c>
      <c r="C21" s="19" t="n">
        <v>5.94411153525967</v>
      </c>
    </row>
    <row r="22">
      <c r="A22" s="19" t="inlineStr">
        <is>
          <t>Xcync</t>
        </is>
      </c>
      <c r="B22" s="19" t="n">
        <v>30.1545069100511</v>
      </c>
      <c r="C22" s="19" t="n">
        <v>7.55164616710312</v>
      </c>
    </row>
    <row r="23">
      <c r="A23" s="19" t="inlineStr">
        <is>
          <t>Asiansam</t>
        </is>
      </c>
      <c r="B23" s="19" t="n">
        <v>24.8895158049077</v>
      </c>
      <c r="C23" s="19" t="n">
        <v>8.095908235727199</v>
      </c>
    </row>
    <row r="24">
      <c r="A24" s="19" t="inlineStr">
        <is>
          <t>Whyin</t>
        </is>
      </c>
      <c r="B24" s="19" t="n">
        <v>30.5871929456465</v>
      </c>
      <c r="C24" s="19" t="n">
        <v>6.77545792008456</v>
      </c>
    </row>
    <row r="25">
      <c r="A25" s="19" t="inlineStr">
        <is>
          <t>Josh</t>
        </is>
      </c>
      <c r="B25" s="19" t="n">
        <v>32.61379801853</v>
      </c>
      <c r="C25" s="19" t="n">
        <v>7.40179036911317</v>
      </c>
    </row>
    <row r="26">
      <c r="A26" s="19" t="inlineStr">
        <is>
          <t>Rollo</t>
        </is>
      </c>
      <c r="B26" s="19" t="n">
        <v>36.4391235347975</v>
      </c>
      <c r="C26" s="19" t="n">
        <v>6.78053815556919</v>
      </c>
    </row>
    <row r="27">
      <c r="A27" s="19" t="inlineStr">
        <is>
          <t>Svaan</t>
        </is>
      </c>
      <c r="B27" s="19" t="n">
        <v>29.658653601386</v>
      </c>
      <c r="C27" s="19" t="n">
        <v>7.32091821964556</v>
      </c>
    </row>
    <row r="28">
      <c r="A28" s="19" t="inlineStr">
        <is>
          <t>Plen</t>
        </is>
      </c>
      <c r="B28" s="19" t="n">
        <v>23.928567178661</v>
      </c>
      <c r="C28" s="19" t="n">
        <v>6.19481624877346</v>
      </c>
    </row>
    <row r="29">
      <c r="A29" s="19" t="inlineStr">
        <is>
          <t>Mintt</t>
        </is>
      </c>
      <c r="B29" s="19" t="n">
        <v>33.0475987201968</v>
      </c>
      <c r="C29" s="19" t="n">
        <v>6.75357094374294</v>
      </c>
    </row>
    <row r="30">
      <c r="A30" s="19" t="inlineStr">
        <is>
          <t>Laur</t>
        </is>
      </c>
      <c r="B30" s="19" t="n">
        <v>36.2197006801719</v>
      </c>
      <c r="C30" s="19" t="n">
        <v>6.34515247844966</v>
      </c>
    </row>
    <row r="31">
      <c r="A31" s="19" t="inlineStr">
        <is>
          <t>Aipha</t>
        </is>
      </c>
      <c r="B31" s="19" t="n">
        <v>21.0633962532251</v>
      </c>
      <c r="C31" s="19" t="n">
        <v>7.42615716543315</v>
      </c>
    </row>
    <row r="32">
      <c r="A32" s="19" t="inlineStr">
        <is>
          <t>Lovekilling</t>
        </is>
      </c>
      <c r="B32" s="19" t="n">
        <v>22.8077588711382</v>
      </c>
      <c r="C32" s="19" t="n">
        <v>7.68967578736655</v>
      </c>
    </row>
    <row r="33">
      <c r="A33" s="19" t="inlineStr">
        <is>
          <t>Matt</t>
        </is>
      </c>
      <c r="B33" s="19" t="n">
        <v>23.7305146821809</v>
      </c>
      <c r="C33" s="19" t="n">
        <v>8.24617208997083</v>
      </c>
    </row>
    <row r="34">
      <c r="A34" s="19" t="inlineStr">
        <is>
          <t>Streety</t>
        </is>
      </c>
      <c r="B34" s="19" t="n">
        <v>35.2087587470549</v>
      </c>
      <c r="C34" s="19" t="n">
        <v>7.02261355262129</v>
      </c>
    </row>
    <row r="35">
      <c r="A35" s="19" t="inlineStr">
        <is>
          <t>Rick</t>
        </is>
      </c>
      <c r="B35" s="19" t="n">
        <v>29.8509361502659</v>
      </c>
      <c r="C35" s="19" t="n">
        <v>7.55411985210542</v>
      </c>
    </row>
    <row r="36">
      <c r="A36" s="19" t="inlineStr">
        <is>
          <t>Kny</t>
        </is>
      </c>
      <c r="B36" s="19" t="n">
        <v>27.2700396563638</v>
      </c>
      <c r="C36" s="19" t="n">
        <v>7.9327819816899</v>
      </c>
    </row>
    <row r="37">
      <c r="A37" s="19" t="inlineStr">
        <is>
          <t>Maz</t>
        </is>
      </c>
      <c r="B37" s="19" t="n">
        <v>21.6789085906495</v>
      </c>
      <c r="C37" s="19" t="n">
        <v>7.91378347493794</v>
      </c>
    </row>
    <row r="38">
      <c r="A38" s="19" t="inlineStr">
        <is>
          <t>Insomnia</t>
        </is>
      </c>
      <c r="B38" s="19" t="n">
        <v>26.269718971282</v>
      </c>
      <c r="C38" s="19" t="n">
        <v>8.266683343136529</v>
      </c>
    </row>
    <row r="39">
      <c r="A39" s="19" t="inlineStr">
        <is>
          <t>Vandy</t>
        </is>
      </c>
      <c r="B39" s="19" t="n">
        <v>25.3290169998723</v>
      </c>
      <c r="C39" s="19" t="n">
        <v>8.211989338009399</v>
      </c>
    </row>
    <row r="40">
      <c r="A40" s="19" t="inlineStr">
        <is>
          <t>Nick</t>
        </is>
      </c>
      <c r="B40" s="19" t="n">
        <v>26.5957678621264</v>
      </c>
      <c r="C40" s="19" t="n">
        <v>7.97538989065839</v>
      </c>
    </row>
    <row r="41">
      <c r="A41" s="19" t="inlineStr">
        <is>
          <t>Antfrost</t>
        </is>
      </c>
      <c r="B41" s="19" t="n">
        <v>22.7199450624699</v>
      </c>
      <c r="C41" s="19" t="n">
        <v>8.088794693913741</v>
      </c>
    </row>
    <row r="42">
      <c r="A42" s="19" t="inlineStr">
        <is>
          <t>Pinkee</t>
        </is>
      </c>
      <c r="B42" s="19" t="n">
        <v>28.5732401157714</v>
      </c>
      <c r="C42" s="19" t="n">
        <v>8.064898715307461</v>
      </c>
    </row>
    <row r="43">
      <c r="A43" s="19" t="inlineStr">
        <is>
          <t>Torharo</t>
        </is>
      </c>
      <c r="B43" s="19" t="n">
        <v>25.7768023827674</v>
      </c>
      <c r="C43" s="19" t="n">
        <v>8.0693159324522</v>
      </c>
    </row>
    <row r="44">
      <c r="A44" s="19" t="inlineStr">
        <is>
          <t>Dani</t>
        </is>
      </c>
      <c r="B44" s="19" t="n">
        <v>24.7256655561896</v>
      </c>
      <c r="C44" s="19" t="n">
        <v>7.87502899883567</v>
      </c>
    </row>
    <row r="45">
      <c r="A45" s="19" t="inlineStr">
        <is>
          <t>Laura</t>
        </is>
      </c>
      <c r="B45" s="19" t="n">
        <v>25.2913652730624</v>
      </c>
      <c r="C45" s="19" t="n">
        <v>8.212238334119951</v>
      </c>
    </row>
    <row r="46">
      <c r="A46" s="19" t="inlineStr">
        <is>
          <t>Cyclone</t>
        </is>
      </c>
      <c r="B46" s="19" t="n">
        <v>38.7412697135886</v>
      </c>
      <c r="C46" s="19" t="n">
        <v>7.25632964759447</v>
      </c>
    </row>
    <row r="47">
      <c r="A47" s="19" t="inlineStr">
        <is>
          <t>Levi</t>
        </is>
      </c>
      <c r="B47" s="19" t="n">
        <v>26.5536106752862</v>
      </c>
      <c r="C47" s="19" t="n">
        <v>7.96697952782531</v>
      </c>
    </row>
    <row r="48">
      <c r="A48" s="19" t="inlineStr">
        <is>
          <t>Coffee</t>
        </is>
      </c>
      <c r="B48" s="19" t="n">
        <v>26.5541887808928</v>
      </c>
      <c r="C48" s="19" t="n">
        <v>8.26138190836253</v>
      </c>
    </row>
    <row r="49">
      <c r="A49" s="19" t="inlineStr">
        <is>
          <t>Hunterxp</t>
        </is>
      </c>
      <c r="B49" s="19" t="n">
        <v>22.8881821927709</v>
      </c>
      <c r="C49" s="19" t="n">
        <v>7.75964528129198</v>
      </c>
    </row>
    <row r="50">
      <c r="A50" s="19" t="inlineStr">
        <is>
          <t>Chelsea</t>
        </is>
      </c>
      <c r="B50" s="19" t="n">
        <v>29.1236910716875</v>
      </c>
      <c r="C50" s="19" t="n">
        <v>7.2056812578795</v>
      </c>
    </row>
    <row r="51">
      <c r="A51" s="19" t="inlineStr">
        <is>
          <t>Ken</t>
        </is>
      </c>
      <c r="B51" s="19" t="n">
        <v>25.0605893505989</v>
      </c>
      <c r="C51" s="19" t="n">
        <v>7.22787938003381</v>
      </c>
    </row>
    <row r="52">
      <c r="A52" s="19" t="inlineStr">
        <is>
          <t>Strik3r</t>
        </is>
      </c>
      <c r="B52" s="19" t="n">
        <v>29.5049450025101</v>
      </c>
      <c r="C52" s="19" t="n">
        <v>6.45049989531465</v>
      </c>
    </row>
    <row r="53">
      <c r="A53" s="19" t="inlineStr">
        <is>
          <t>Gilbert</t>
        </is>
      </c>
      <c r="B53" s="19" t="n">
        <v>27.6848809110465</v>
      </c>
      <c r="C53" s="19" t="n">
        <v>6.71359209413573</v>
      </c>
    </row>
    <row r="54">
      <c r="A54" s="19" t="inlineStr">
        <is>
          <t>23flash</t>
        </is>
      </c>
      <c r="B54" s="19" t="n">
        <v>24.7930390718625</v>
      </c>
      <c r="C54" s="19" t="n">
        <v>7.94455508104567</v>
      </c>
    </row>
    <row r="55">
      <c r="A55" s="19" t="inlineStr">
        <is>
          <t>Dlgn</t>
        </is>
      </c>
      <c r="B55" s="19" t="n">
        <v>25.5582881768274</v>
      </c>
      <c r="C55" s="19" t="n">
        <v>8.29006917722233</v>
      </c>
    </row>
    <row r="56">
      <c r="A56" s="19" t="inlineStr">
        <is>
          <t>Cody</t>
        </is>
      </c>
      <c r="B56" s="19" t="n">
        <v>29.2491084306628</v>
      </c>
      <c r="C56" s="19" t="n">
        <v>8.12829949317133</v>
      </c>
    </row>
    <row r="57">
      <c r="A57" s="19" t="inlineStr">
        <is>
          <t>Kden</t>
        </is>
      </c>
      <c r="B57" s="19" t="n">
        <v>27.8058690150628</v>
      </c>
      <c r="C57" s="19" t="n">
        <v>6.50896477208999</v>
      </c>
    </row>
    <row r="58">
      <c r="A58" s="19" t="inlineStr">
        <is>
          <t>Doublea</t>
        </is>
      </c>
      <c r="B58" s="19" t="n">
        <v>23.1621784650686</v>
      </c>
      <c r="C58" s="19" t="n">
        <v>7.21913434947869</v>
      </c>
    </row>
    <row r="59">
      <c r="A59" s="19" t="inlineStr">
        <is>
          <t>Sunspot</t>
        </is>
      </c>
      <c r="B59" s="19" t="n">
        <v>24.267818245546</v>
      </c>
      <c r="C59" s="19" t="n">
        <v>8.28198677646767</v>
      </c>
    </row>
    <row r="60">
      <c r="A60" s="19" t="inlineStr">
        <is>
          <t>Keegan</t>
        </is>
      </c>
      <c r="B60" s="19" t="n">
        <v>31.4893380425164</v>
      </c>
      <c r="C60" s="19" t="n">
        <v>7.3916374412696</v>
      </c>
    </row>
    <row r="61">
      <c r="A61" s="19" t="inlineStr">
        <is>
          <t>5up</t>
        </is>
      </c>
      <c r="B61" s="19" t="n">
        <v>27.5763919474829</v>
      </c>
      <c r="C61" s="19" t="n">
        <v>8.20844441987655</v>
      </c>
    </row>
    <row r="62">
      <c r="A62" s="19" t="inlineStr">
        <is>
          <t>Qe</t>
        </is>
      </c>
      <c r="B62" s="19" t="n">
        <v>27.8664401082269</v>
      </c>
      <c r="C62" s="19" t="n">
        <v>8.192449815819099</v>
      </c>
    </row>
    <row r="63">
      <c r="A63" s="19" t="inlineStr">
        <is>
          <t>Wyz</t>
        </is>
      </c>
      <c r="B63" s="19" t="n">
        <v>25.1916258123676</v>
      </c>
      <c r="C63" s="19" t="n">
        <v>8.209193265518691</v>
      </c>
    </row>
    <row r="64">
      <c r="A64" s="19" t="inlineStr">
        <is>
          <t>Sam</t>
        </is>
      </c>
      <c r="B64" s="19" t="n">
        <v>25.877722162986</v>
      </c>
      <c r="C64" s="19" t="n">
        <v>7.8237556636899</v>
      </c>
    </row>
    <row r="65">
      <c r="A65" s="19" t="inlineStr">
        <is>
          <t>Crispy</t>
        </is>
      </c>
      <c r="B65" s="19" t="n">
        <v>28.6292510299881</v>
      </c>
      <c r="C65" s="19" t="n">
        <v>8.0690638484093</v>
      </c>
    </row>
    <row r="66">
      <c r="A66" s="19" t="inlineStr">
        <is>
          <t>Snazz</t>
        </is>
      </c>
      <c r="B66" s="19" t="n">
        <v>27.2834475733886</v>
      </c>
      <c r="C66" s="19" t="n">
        <v>7.77521639859954</v>
      </c>
    </row>
    <row r="67">
      <c r="A67" s="19" t="inlineStr">
        <is>
          <t>Zesta</t>
        </is>
      </c>
      <c r="B67" s="19" t="n">
        <v>24.2437668208212</v>
      </c>
      <c r="C67" s="19" t="n">
        <v>8.28023491094376</v>
      </c>
    </row>
    <row r="68">
      <c r="A68" s="19" t="inlineStr">
        <is>
          <t>Lofty</t>
        </is>
      </c>
      <c r="B68" s="19" t="n">
        <v>28.6061384858814</v>
      </c>
      <c r="C68" s="19" t="n">
        <v>7.5808213670157</v>
      </c>
    </row>
    <row r="69">
      <c r="A69" s="19" t="inlineStr">
        <is>
          <t>Steep</t>
        </is>
      </c>
      <c r="B69" s="19" t="n">
        <v>24.6225213419618</v>
      </c>
      <c r="C69" s="19" t="n">
        <v>8.14502617767241</v>
      </c>
    </row>
    <row r="70">
      <c r="A70" s="19" t="inlineStr">
        <is>
          <t>Heckmuffins</t>
        </is>
      </c>
      <c r="B70" s="19" t="n">
        <v>33.6798359646618</v>
      </c>
      <c r="C70" s="19" t="n">
        <v>7.72761586180871</v>
      </c>
    </row>
    <row r="71">
      <c r="A71" s="19" t="inlineStr">
        <is>
          <t>Gunny</t>
        </is>
      </c>
      <c r="B71" s="19" t="n">
        <v>26.3420428993666</v>
      </c>
      <c r="C71" s="19" t="n">
        <v>8.26785780891913</v>
      </c>
    </row>
    <row r="72">
      <c r="A72" s="19" t="inlineStr">
        <is>
          <t>Motr</t>
        </is>
      </c>
      <c r="B72" s="19" t="n">
        <v>27.6341445774197</v>
      </c>
      <c r="C72" s="19" t="n">
        <v>6.98448734023962</v>
      </c>
    </row>
    <row r="73">
      <c r="A73" s="19" t="inlineStr">
        <is>
          <t>Jerm</t>
        </is>
      </c>
      <c r="B73" s="19" t="n">
        <v>26.5003475027806</v>
      </c>
      <c r="C73" s="19" t="n">
        <v>8.266192969511589</v>
      </c>
    </row>
    <row r="74">
      <c r="A74" s="19" t="inlineStr">
        <is>
          <t>Justice</t>
        </is>
      </c>
      <c r="B74" s="19" t="n">
        <v>23.4996524972193</v>
      </c>
      <c r="C74" s="19" t="n">
        <v>8.266192969511589</v>
      </c>
    </row>
    <row r="75">
      <c r="A75" s="19" t="inlineStr">
        <is>
          <t>Cj</t>
        </is>
      </c>
      <c r="B75" s="19" t="n">
        <v>29.84010890444</v>
      </c>
      <c r="C75" s="19" t="n">
        <v>7.37252918103157</v>
      </c>
    </row>
    <row r="76">
      <c r="A76" s="19" t="inlineStr">
        <is>
          <t>Pie</t>
        </is>
      </c>
      <c r="B76" s="19" t="n">
        <v>24.1420708415601</v>
      </c>
      <c r="C76" s="19" t="n">
        <v>8.27473778040787</v>
      </c>
    </row>
    <row r="77">
      <c r="A77" s="19" t="inlineStr">
        <is>
          <t>Relm</t>
        </is>
      </c>
      <c r="B77" s="19" t="n">
        <v>24.187293811353</v>
      </c>
      <c r="C77" s="19" t="n">
        <v>8.28061875821588</v>
      </c>
    </row>
    <row r="78">
      <c r="A78" s="19" t="inlineStr">
        <is>
          <t>Daniel</t>
        </is>
      </c>
      <c r="B78" s="19" t="n">
        <v>24.4677084724765</v>
      </c>
      <c r="C78" s="19" t="n">
        <v>8.28880537243289</v>
      </c>
    </row>
    <row r="79">
      <c r="A79" s="19" t="inlineStr">
        <is>
          <t>Brady</t>
        </is>
      </c>
      <c r="B79" s="19" t="n">
        <v>23.1779178594505</v>
      </c>
      <c r="C79" s="19" t="n">
        <v>8.21481447630112</v>
      </c>
    </row>
    <row r="80">
      <c r="A80" s="19" t="inlineStr">
        <is>
          <t>Vert</t>
        </is>
      </c>
      <c r="B80" s="19" t="n">
        <v>25.8106383377028</v>
      </c>
      <c r="C80" s="19" t="n">
        <v>8.13556869467522</v>
      </c>
    </row>
    <row r="81">
      <c r="A81" s="19" t="inlineStr">
        <is>
          <t>Raf</t>
        </is>
      </c>
      <c r="B81" s="19" t="n">
        <v>24.0395399251175</v>
      </c>
      <c r="C81" s="19" t="n">
        <v>8.270294116471449</v>
      </c>
    </row>
    <row r="82">
      <c r="A82" s="19" t="inlineStr">
        <is>
          <t>Decode</t>
        </is>
      </c>
      <c r="B82" s="19" t="n">
        <v>22.4646617951186</v>
      </c>
      <c r="C82" s="19" t="n">
        <v>7.32021236618228</v>
      </c>
    </row>
    <row r="83">
      <c r="A83" s="19" t="inlineStr">
        <is>
          <t>Kango</t>
        </is>
      </c>
      <c r="B83" s="19" t="n">
        <v>24.5174946140195</v>
      </c>
      <c r="C83" s="19" t="n">
        <v>8.29359397642064</v>
      </c>
    </row>
    <row r="84">
      <c r="A84" s="19" t="inlineStr">
        <is>
          <t>TCP</t>
        </is>
      </c>
      <c r="B84" s="19" t="n">
        <v>24.8702625525821</v>
      </c>
      <c r="C84" s="19" t="n">
        <v>7.79840218284039</v>
      </c>
    </row>
    <row r="85">
      <c r="A85" s="19" t="inlineStr">
        <is>
          <t>Heftyduck</t>
        </is>
      </c>
      <c r="B85" s="19" t="n">
        <v>25.1459508722786</v>
      </c>
      <c r="C85" s="19" t="n">
        <v>8.21496077687901</v>
      </c>
    </row>
    <row r="86">
      <c r="A86" s="19" t="inlineStr">
        <is>
          <t>Paradox</t>
        </is>
      </c>
      <c r="B86" s="19" t="n">
        <v>23.5652928983084</v>
      </c>
      <c r="C86" s="19" t="n">
        <v>8.25756468261098</v>
      </c>
    </row>
    <row r="87">
      <c r="A87" s="19" t="inlineStr">
        <is>
          <t>Jonas</t>
        </is>
      </c>
      <c r="B87" s="19" t="n">
        <v>25.1479892751392</v>
      </c>
      <c r="C87" s="19" t="n">
        <v>8.23533850597091</v>
      </c>
    </row>
    <row r="88">
      <c r="A88" s="19" t="inlineStr">
        <is>
          <t>Ryan</t>
        </is>
      </c>
      <c r="B88" s="19" t="n">
        <v>24.3842253126186</v>
      </c>
      <c r="C88" s="19" t="n">
        <v>8.28756508731616</v>
      </c>
    </row>
    <row r="89">
      <c r="A89" s="19" t="inlineStr">
        <is>
          <t>Vandyfan</t>
        </is>
      </c>
      <c r="B89" s="19" t="n">
        <v>24.0295545228312</v>
      </c>
      <c r="C89" s="19" t="n">
        <v>8.266658682147639</v>
      </c>
    </row>
    <row r="90">
      <c r="A90" s="19" t="inlineStr">
        <is>
          <t>DrMorris</t>
        </is>
      </c>
      <c r="B90" s="19" t="n">
        <v>24.2413907911441</v>
      </c>
      <c r="C90" s="19" t="n">
        <v>8.27678510606604</v>
      </c>
    </row>
    <row r="91">
      <c r="B91" s="20" t="n"/>
      <c r="C91" s="20" t="n"/>
    </row>
    <row r="92">
      <c r="B92" s="20" t="n"/>
      <c r="C92" s="20" t="n"/>
    </row>
    <row r="93">
      <c r="B93" s="20" t="n"/>
      <c r="C93" s="20" t="n"/>
    </row>
    <row r="94">
      <c r="B94" s="20" t="n"/>
      <c r="C94" s="20" t="n"/>
    </row>
    <row r="95">
      <c r="B95" s="20" t="n"/>
      <c r="C95" s="20" t="n"/>
    </row>
    <row r="96">
      <c r="B96" s="20" t="n"/>
      <c r="C96" s="20" t="n"/>
    </row>
    <row r="97">
      <c r="B97" s="20" t="n"/>
      <c r="C97" s="20" t="n"/>
    </row>
    <row r="98">
      <c r="B98" s="20" t="n"/>
      <c r="C98" s="20" t="n"/>
    </row>
    <row r="99">
      <c r="B99" s="20" t="n"/>
      <c r="C99" s="20" t="n"/>
    </row>
    <row r="100">
      <c r="B100" s="20" t="n"/>
      <c r="C100" s="20" t="n"/>
    </row>
    <row r="101">
      <c r="B101" s="20" t="n"/>
      <c r="C101" s="20" t="n"/>
    </row>
    <row r="102">
      <c r="B102" s="20" t="n"/>
      <c r="C102" s="20" t="n"/>
    </row>
    <row r="103">
      <c r="B103" s="20" t="n"/>
      <c r="C103" s="20" t="n"/>
    </row>
    <row r="104">
      <c r="B104" s="20" t="n"/>
      <c r="C104" s="20" t="n"/>
    </row>
    <row r="105">
      <c r="B105" s="20" t="n"/>
      <c r="C105" s="20" t="n"/>
    </row>
    <row r="106">
      <c r="B106" s="20" t="n"/>
      <c r="C106" s="20" t="n"/>
    </row>
    <row r="107">
      <c r="B107" s="20" t="n"/>
      <c r="C107" s="20" t="n"/>
    </row>
    <row r="108">
      <c r="B108" s="20" t="n"/>
      <c r="C108" s="20" t="n"/>
    </row>
    <row r="109">
      <c r="B109" s="20" t="n"/>
      <c r="C109" s="20" t="n"/>
    </row>
    <row r="110">
      <c r="B110" s="20" t="n"/>
      <c r="C110" s="20" t="n"/>
    </row>
    <row r="111">
      <c r="B111" s="20" t="n"/>
      <c r="C111" s="20" t="n"/>
    </row>
    <row r="112">
      <c r="B112" s="20" t="n"/>
      <c r="C112" s="20" t="n"/>
    </row>
    <row r="113">
      <c r="B113" s="20" t="n"/>
      <c r="C113" s="20" t="n"/>
    </row>
    <row r="114">
      <c r="B114" s="20" t="n"/>
      <c r="C114" s="20" t="n"/>
    </row>
    <row r="115">
      <c r="B115" s="20" t="n"/>
      <c r="C115" s="20" t="n"/>
    </row>
    <row r="116">
      <c r="B116" s="20" t="n"/>
      <c r="C116" s="20" t="n"/>
    </row>
    <row r="117">
      <c r="B117" s="20" t="n"/>
      <c r="C117" s="20" t="n"/>
    </row>
    <row r="118">
      <c r="B118" s="20" t="n"/>
      <c r="C118" s="20" t="n"/>
    </row>
    <row r="119">
      <c r="B119" s="20" t="n"/>
      <c r="C119" s="20" t="n"/>
    </row>
    <row r="120">
      <c r="B120" s="20" t="n"/>
      <c r="C120" s="20" t="n"/>
    </row>
    <row r="121">
      <c r="B121" s="20" t="n"/>
      <c r="C121" s="20" t="n"/>
    </row>
    <row r="122">
      <c r="B122" s="20" t="n"/>
      <c r="C122" s="20" t="n"/>
    </row>
    <row r="123">
      <c r="B123" s="20" t="n"/>
      <c r="C123" s="20" t="n"/>
    </row>
    <row r="124">
      <c r="B124" s="20" t="n"/>
      <c r="C124" s="20" t="n"/>
    </row>
    <row r="125">
      <c r="B125" s="20" t="n"/>
      <c r="C125" s="20" t="n"/>
    </row>
    <row r="126">
      <c r="B126" s="20" t="n"/>
      <c r="C126" s="20" t="n"/>
    </row>
    <row r="127">
      <c r="B127" s="20" t="n"/>
      <c r="C127" s="20" t="n"/>
    </row>
    <row r="128">
      <c r="B128" s="20" t="n"/>
      <c r="C128" s="20" t="n"/>
    </row>
    <row r="129">
      <c r="B129" s="20" t="n"/>
      <c r="C129" s="20" t="n"/>
    </row>
    <row r="130">
      <c r="B130" s="20" t="n"/>
      <c r="C130" s="20" t="n"/>
    </row>
    <row r="131">
      <c r="B131" s="20" t="n"/>
      <c r="C131" s="20" t="n"/>
    </row>
    <row r="132">
      <c r="B132" s="20" t="n"/>
      <c r="C132" s="20" t="n"/>
    </row>
    <row r="133">
      <c r="B133" s="20" t="n"/>
      <c r="C133" s="20" t="n"/>
    </row>
    <row r="134">
      <c r="B134" s="20" t="n"/>
      <c r="C134" s="20" t="n"/>
    </row>
    <row r="135">
      <c r="B135" s="20" t="n"/>
      <c r="C135" s="20" t="n"/>
    </row>
    <row r="136">
      <c r="B136" s="20" t="n"/>
      <c r="C136" s="20" t="n"/>
    </row>
    <row r="137">
      <c r="B137" s="20" t="n"/>
      <c r="C137" s="20" t="n"/>
    </row>
    <row r="138">
      <c r="B138" s="20" t="n"/>
      <c r="C138" s="20" t="n"/>
    </row>
    <row r="139">
      <c r="B139" s="20" t="n"/>
      <c r="C139" s="20" t="n"/>
    </row>
    <row r="140">
      <c r="B140" s="20" t="n"/>
      <c r="C140" s="20" t="n"/>
    </row>
    <row r="141">
      <c r="B141" s="20" t="n"/>
      <c r="C141" s="20" t="n"/>
    </row>
    <row r="142">
      <c r="B142" s="20" t="n"/>
      <c r="C142" s="20" t="n"/>
    </row>
    <row r="143">
      <c r="B143" s="20" t="n"/>
      <c r="C143" s="20" t="n"/>
    </row>
    <row r="144">
      <c r="B144" s="20" t="n"/>
      <c r="C144" s="20" t="n"/>
    </row>
    <row r="145">
      <c r="B145" s="20" t="n"/>
      <c r="C145" s="20" t="n"/>
    </row>
    <row r="146">
      <c r="B146" s="20" t="n"/>
      <c r="C146" s="20" t="n"/>
    </row>
    <row r="147">
      <c r="B147" s="20" t="n"/>
      <c r="C147" s="20" t="n"/>
    </row>
    <row r="148">
      <c r="B148" s="20" t="n"/>
      <c r="C148" s="20" t="n"/>
    </row>
    <row r="149">
      <c r="B149" s="20" t="n"/>
      <c r="C149" s="20" t="n"/>
    </row>
    <row r="150">
      <c r="B150" s="20" t="n"/>
      <c r="C150" s="20" t="n"/>
    </row>
    <row r="151">
      <c r="B151" s="20" t="n"/>
      <c r="C151" s="20" t="n"/>
    </row>
    <row r="152">
      <c r="B152" s="20" t="n"/>
      <c r="C152" s="20" t="n"/>
    </row>
    <row r="153">
      <c r="B153" s="20" t="n"/>
      <c r="C153" s="20" t="n"/>
    </row>
    <row r="154">
      <c r="B154" s="20" t="n"/>
      <c r="C154" s="20" t="n"/>
    </row>
    <row r="155">
      <c r="B155" s="20" t="n"/>
      <c r="C155" s="20" t="n"/>
    </row>
    <row r="156">
      <c r="B156" s="20" t="n"/>
      <c r="C156" s="20" t="n"/>
    </row>
    <row r="157">
      <c r="B157" s="20" t="n"/>
      <c r="C157" s="20" t="n"/>
    </row>
    <row r="158">
      <c r="B158" s="20" t="n"/>
      <c r="C158" s="20" t="n"/>
    </row>
    <row r="159">
      <c r="B159" s="20" t="n"/>
      <c r="C159" s="20" t="n"/>
    </row>
    <row r="160">
      <c r="B160" s="20" t="n"/>
      <c r="C160" s="20" t="n"/>
    </row>
    <row r="161">
      <c r="B161" s="20" t="n"/>
      <c r="C161" s="20" t="n"/>
    </row>
    <row r="162">
      <c r="B162" s="20" t="n"/>
      <c r="C162" s="20" t="n"/>
    </row>
    <row r="163">
      <c r="B163" s="20" t="n"/>
      <c r="C163" s="20" t="n"/>
    </row>
    <row r="164">
      <c r="B164" s="20" t="n"/>
      <c r="C164" s="20" t="n"/>
    </row>
    <row r="165">
      <c r="B165" s="20" t="n"/>
      <c r="C165" s="20" t="n"/>
    </row>
    <row r="166">
      <c r="B166" s="20" t="n"/>
      <c r="C166" s="20" t="n"/>
    </row>
    <row r="167">
      <c r="B167" s="20" t="n"/>
      <c r="C167" s="20" t="n"/>
    </row>
    <row r="168">
      <c r="B168" s="20" t="n"/>
      <c r="C168" s="20" t="n"/>
    </row>
    <row r="169">
      <c r="B169" s="20" t="n"/>
      <c r="C169" s="20" t="n"/>
    </row>
    <row r="170">
      <c r="B170" s="20" t="n"/>
      <c r="C170" s="20" t="n"/>
    </row>
    <row r="171">
      <c r="B171" s="20" t="n"/>
      <c r="C171" s="20" t="n"/>
    </row>
    <row r="172">
      <c r="B172" s="20" t="n"/>
      <c r="C172" s="20" t="n"/>
    </row>
    <row r="173">
      <c r="B173" s="20" t="n"/>
      <c r="C173" s="20" t="n"/>
    </row>
    <row r="174">
      <c r="B174" s="20" t="n"/>
      <c r="C174" s="20" t="n"/>
    </row>
    <row r="175">
      <c r="B175" s="20" t="n"/>
      <c r="C175" s="20" t="n"/>
    </row>
    <row r="176">
      <c r="B176" s="20" t="n"/>
      <c r="C176" s="20" t="n"/>
    </row>
    <row r="177">
      <c r="B177" s="20" t="n"/>
      <c r="C177" s="20" t="n"/>
    </row>
    <row r="178">
      <c r="B178" s="20" t="n"/>
      <c r="C178" s="20" t="n"/>
    </row>
    <row r="179">
      <c r="B179" s="20" t="n"/>
      <c r="C179" s="20" t="n"/>
    </row>
    <row r="180">
      <c r="B180" s="20" t="n"/>
      <c r="C180" s="20" t="n"/>
    </row>
    <row r="181">
      <c r="B181" s="20" t="n"/>
      <c r="C181" s="20" t="n"/>
    </row>
    <row r="182">
      <c r="B182" s="20" t="n"/>
      <c r="C182" s="20" t="n"/>
    </row>
    <row r="183">
      <c r="B183" s="20" t="n"/>
      <c r="C183" s="20" t="n"/>
    </row>
    <row r="184">
      <c r="B184" s="20" t="n"/>
      <c r="C184" s="20" t="n"/>
    </row>
    <row r="185">
      <c r="B185" s="20" t="n"/>
      <c r="C185" s="20" t="n"/>
    </row>
    <row r="186">
      <c r="B186" s="20" t="n"/>
      <c r="C186" s="20" t="n"/>
    </row>
    <row r="187">
      <c r="B187" s="20" t="n"/>
      <c r="C187" s="20" t="n"/>
    </row>
    <row r="188">
      <c r="B188" s="20" t="n"/>
      <c r="C188" s="20" t="n"/>
    </row>
    <row r="189">
      <c r="B189" s="20" t="n"/>
      <c r="C189" s="20" t="n"/>
    </row>
    <row r="190">
      <c r="B190" s="20" t="n"/>
      <c r="C190" s="20" t="n"/>
    </row>
    <row r="191">
      <c r="B191" s="20" t="n"/>
      <c r="C191" s="20" t="n"/>
    </row>
    <row r="192">
      <c r="B192" s="20" t="n"/>
      <c r="C192" s="20" t="n"/>
    </row>
    <row r="193">
      <c r="B193" s="20" t="n"/>
      <c r="C193" s="20" t="n"/>
    </row>
    <row r="194">
      <c r="B194" s="20" t="n"/>
      <c r="C194" s="20" t="n"/>
    </row>
    <row r="195">
      <c r="B195" s="20" t="n"/>
      <c r="C195" s="20" t="n"/>
    </row>
    <row r="196">
      <c r="B196" s="20" t="n"/>
      <c r="C196" s="20" t="n"/>
    </row>
    <row r="197">
      <c r="B197" s="20" t="n"/>
      <c r="C197" s="20" t="n"/>
    </row>
    <row r="198">
      <c r="B198" s="20" t="n"/>
      <c r="C198" s="20" t="n"/>
    </row>
    <row r="199">
      <c r="B199" s="20" t="n"/>
      <c r="C199" s="20" t="n"/>
    </row>
    <row r="200">
      <c r="B200" s="20" t="n"/>
      <c r="C200" s="20" t="n"/>
    </row>
    <row r="201">
      <c r="B201" s="20" t="n"/>
      <c r="C201" s="20" t="n"/>
    </row>
    <row r="202">
      <c r="B202" s="20" t="n"/>
      <c r="C202" s="20" t="n"/>
    </row>
    <row r="203">
      <c r="B203" s="20" t="n"/>
      <c r="C203" s="20" t="n"/>
    </row>
    <row r="204">
      <c r="B204" s="20" t="n"/>
      <c r="C204" s="20" t="n"/>
    </row>
    <row r="205">
      <c r="B205" s="20" t="n"/>
      <c r="C205" s="20" t="n"/>
    </row>
    <row r="206">
      <c r="B206" s="20" t="n"/>
      <c r="C206" s="20" t="n"/>
    </row>
    <row r="207">
      <c r="B207" s="20" t="n"/>
      <c r="C207" s="20" t="n"/>
    </row>
    <row r="208">
      <c r="B208" s="20" t="n"/>
      <c r="C208" s="20" t="n"/>
    </row>
    <row r="209">
      <c r="B209" s="20" t="n"/>
      <c r="C209" s="20" t="n"/>
    </row>
    <row r="210">
      <c r="B210" s="20" t="n"/>
      <c r="C210" s="20" t="n"/>
    </row>
    <row r="211">
      <c r="B211" s="20" t="n"/>
      <c r="C211" s="20" t="n"/>
    </row>
    <row r="212">
      <c r="B212" s="20" t="n"/>
      <c r="C212" s="20" t="n"/>
    </row>
    <row r="213">
      <c r="B213" s="20" t="n"/>
      <c r="C213" s="20" t="n"/>
    </row>
    <row r="214">
      <c r="B214" s="20" t="n"/>
      <c r="C214" s="20" t="n"/>
    </row>
    <row r="215">
      <c r="B215" s="20" t="n"/>
      <c r="C215" s="20" t="n"/>
    </row>
    <row r="216">
      <c r="B216" s="20" t="n"/>
      <c r="C216" s="20" t="n"/>
    </row>
    <row r="217">
      <c r="B217" s="20" t="n"/>
      <c r="C217" s="20" t="n"/>
    </row>
    <row r="218">
      <c r="B218" s="20" t="n"/>
      <c r="C218" s="20" t="n"/>
    </row>
    <row r="219">
      <c r="B219" s="20" t="n"/>
      <c r="C219" s="20" t="n"/>
    </row>
    <row r="220">
      <c r="B220" s="20" t="n"/>
      <c r="C220" s="20" t="n"/>
    </row>
    <row r="221">
      <c r="B221" s="20" t="n"/>
      <c r="C221" s="20" t="n"/>
    </row>
    <row r="222">
      <c r="B222" s="20" t="n"/>
      <c r="C222" s="20" t="n"/>
    </row>
    <row r="223">
      <c r="B223" s="20" t="n"/>
      <c r="C223" s="20" t="n"/>
    </row>
    <row r="224">
      <c r="B224" s="20" t="n"/>
      <c r="C224" s="20" t="n"/>
    </row>
    <row r="225">
      <c r="B225" s="20" t="n"/>
      <c r="C225" s="20" t="n"/>
    </row>
    <row r="226">
      <c r="B226" s="20" t="n"/>
      <c r="C226" s="20" t="n"/>
    </row>
    <row r="227">
      <c r="B227" s="20" t="n"/>
      <c r="C227" s="20" t="n"/>
    </row>
    <row r="228">
      <c r="B228" s="20" t="n"/>
      <c r="C228" s="20" t="n"/>
    </row>
    <row r="229">
      <c r="B229" s="20" t="n"/>
      <c r="C229" s="20" t="n"/>
    </row>
    <row r="230">
      <c r="B230" s="20" t="n"/>
      <c r="C230" s="20" t="n"/>
    </row>
    <row r="231">
      <c r="B231" s="20" t="n"/>
      <c r="C231" s="20" t="n"/>
    </row>
    <row r="232">
      <c r="B232" s="20" t="n"/>
      <c r="C232" s="20" t="n"/>
    </row>
    <row r="233">
      <c r="B233" s="20" t="n"/>
      <c r="C233" s="20" t="n"/>
    </row>
    <row r="234">
      <c r="B234" s="20" t="n"/>
      <c r="C234" s="20" t="n"/>
    </row>
    <row r="235">
      <c r="B235" s="20" t="n"/>
      <c r="C235" s="20" t="n"/>
    </row>
    <row r="236">
      <c r="B236" s="20" t="n"/>
      <c r="C236" s="20" t="n"/>
    </row>
    <row r="237">
      <c r="B237" s="20" t="n"/>
      <c r="C237" s="20" t="n"/>
    </row>
    <row r="238">
      <c r="B238" s="20" t="n"/>
      <c r="C238" s="20" t="n"/>
    </row>
    <row r="239">
      <c r="B239" s="20" t="n"/>
      <c r="C239" s="20" t="n"/>
    </row>
    <row r="240">
      <c r="B240" s="20" t="n"/>
      <c r="C240" s="20" t="n"/>
    </row>
    <row r="241">
      <c r="B241" s="20" t="n"/>
      <c r="C241" s="20" t="n"/>
    </row>
    <row r="242">
      <c r="B242" s="20" t="n"/>
      <c r="C242" s="20" t="n"/>
    </row>
    <row r="243">
      <c r="B243" s="20" t="n"/>
      <c r="C243" s="20" t="n"/>
    </row>
    <row r="244">
      <c r="B244" s="20" t="n"/>
      <c r="C244" s="20" t="n"/>
    </row>
    <row r="245">
      <c r="B245" s="20" t="n"/>
      <c r="C245" s="20" t="n"/>
    </row>
    <row r="246">
      <c r="B246" s="20" t="n"/>
      <c r="C246" s="20" t="n"/>
    </row>
    <row r="247">
      <c r="B247" s="20" t="n"/>
      <c r="C247" s="20" t="n"/>
    </row>
    <row r="248">
      <c r="B248" s="20" t="n"/>
      <c r="C248" s="20" t="n"/>
    </row>
    <row r="249">
      <c r="B249" s="20" t="n"/>
      <c r="C249" s="20" t="n"/>
    </row>
    <row r="250">
      <c r="B250" s="20" t="n"/>
      <c r="C250" s="20" t="n"/>
    </row>
    <row r="251">
      <c r="B251" s="20" t="n"/>
      <c r="C251" s="20" t="n"/>
    </row>
    <row r="252">
      <c r="B252" s="20" t="n"/>
      <c r="C252" s="20" t="n"/>
    </row>
    <row r="253">
      <c r="B253" s="20" t="n"/>
      <c r="C253" s="20" t="n"/>
    </row>
    <row r="254">
      <c r="B254" s="20" t="n"/>
      <c r="C254" s="20" t="n"/>
    </row>
    <row r="255">
      <c r="B255" s="20" t="n"/>
      <c r="C255" s="20" t="n"/>
    </row>
    <row r="256">
      <c r="B256" s="20" t="n"/>
      <c r="C256" s="20" t="n"/>
    </row>
    <row r="257">
      <c r="B257" s="20" t="n"/>
      <c r="C257" s="20" t="n"/>
    </row>
    <row r="258">
      <c r="B258" s="20" t="n"/>
      <c r="C258" s="20" t="n"/>
    </row>
    <row r="259">
      <c r="B259" s="20" t="n"/>
      <c r="C259" s="20" t="n"/>
    </row>
    <row r="260">
      <c r="B260" s="20" t="n"/>
      <c r="C260" s="20" t="n"/>
    </row>
    <row r="261">
      <c r="B261" s="20" t="n"/>
      <c r="C261" s="20" t="n"/>
    </row>
    <row r="262">
      <c r="B262" s="20" t="n"/>
      <c r="C262" s="20" t="n"/>
    </row>
    <row r="263">
      <c r="B263" s="20" t="n"/>
      <c r="C263" s="20" t="n"/>
    </row>
    <row r="264">
      <c r="B264" s="20" t="n"/>
      <c r="C264" s="20" t="n"/>
    </row>
    <row r="265">
      <c r="B265" s="20" t="n"/>
      <c r="C265" s="20" t="n"/>
    </row>
    <row r="266">
      <c r="B266" s="20" t="n"/>
      <c r="C266" s="20" t="n"/>
    </row>
    <row r="267">
      <c r="B267" s="20" t="n"/>
      <c r="C267" s="20" t="n"/>
    </row>
    <row r="268">
      <c r="B268" s="20" t="n"/>
      <c r="C268" s="20" t="n"/>
    </row>
    <row r="269">
      <c r="B269" s="20" t="n"/>
      <c r="C269" s="20" t="n"/>
    </row>
    <row r="270">
      <c r="B270" s="20" t="n"/>
      <c r="C270" s="20" t="n"/>
    </row>
    <row r="271">
      <c r="B271" s="20" t="n"/>
      <c r="C271" s="20" t="n"/>
    </row>
    <row r="272">
      <c r="B272" s="20" t="n"/>
      <c r="C272" s="20" t="n"/>
    </row>
    <row r="273">
      <c r="B273" s="20" t="n"/>
      <c r="C273" s="20" t="n"/>
    </row>
    <row r="274">
      <c r="B274" s="20" t="n"/>
      <c r="C274" s="20" t="n"/>
    </row>
    <row r="275">
      <c r="B275" s="20" t="n"/>
      <c r="C275" s="20" t="n"/>
    </row>
    <row r="276">
      <c r="B276" s="20" t="n"/>
      <c r="C276" s="20" t="n"/>
    </row>
    <row r="277">
      <c r="B277" s="20" t="n"/>
      <c r="C277" s="20" t="n"/>
    </row>
    <row r="278">
      <c r="B278" s="20" t="n"/>
      <c r="C278" s="20" t="n"/>
    </row>
    <row r="279">
      <c r="B279" s="20" t="n"/>
      <c r="C279" s="20" t="n"/>
    </row>
    <row r="280">
      <c r="B280" s="20" t="n"/>
      <c r="C280" s="20" t="n"/>
    </row>
    <row r="281">
      <c r="B281" s="20" t="n"/>
      <c r="C281" s="20" t="n"/>
    </row>
    <row r="282">
      <c r="B282" s="20" t="n"/>
      <c r="C282" s="20" t="n"/>
    </row>
    <row r="283">
      <c r="B283" s="20" t="n"/>
      <c r="C283" s="20" t="n"/>
    </row>
    <row r="284">
      <c r="B284" s="20" t="n"/>
      <c r="C284" s="20" t="n"/>
    </row>
    <row r="285">
      <c r="B285" s="20" t="n"/>
      <c r="C285" s="20" t="n"/>
    </row>
    <row r="286">
      <c r="B286" s="20" t="n"/>
      <c r="C286" s="20" t="n"/>
    </row>
    <row r="287">
      <c r="B287" s="20" t="n"/>
      <c r="C287" s="20" t="n"/>
    </row>
    <row r="288">
      <c r="B288" s="20" t="n"/>
      <c r="C288" s="20" t="n"/>
    </row>
    <row r="289">
      <c r="B289" s="20" t="n"/>
      <c r="C289" s="20" t="n"/>
    </row>
    <row r="290">
      <c r="B290" s="20" t="n"/>
      <c r="C290" s="20" t="n"/>
    </row>
    <row r="291">
      <c r="B291" s="20" t="n"/>
      <c r="C291" s="20" t="n"/>
    </row>
    <row r="292">
      <c r="B292" s="20" t="n"/>
      <c r="C292" s="20" t="n"/>
    </row>
    <row r="293">
      <c r="B293" s="20" t="n"/>
      <c r="C293" s="20" t="n"/>
    </row>
    <row r="294">
      <c r="B294" s="20" t="n"/>
      <c r="C294" s="20" t="n"/>
    </row>
    <row r="295">
      <c r="B295" s="20" t="n"/>
      <c r="C295" s="20" t="n"/>
    </row>
    <row r="296">
      <c r="B296" s="20" t="n"/>
      <c r="C296" s="20" t="n"/>
    </row>
    <row r="297">
      <c r="B297" s="20" t="n"/>
      <c r="C297" s="20" t="n"/>
    </row>
    <row r="298">
      <c r="B298" s="20" t="n"/>
      <c r="C298" s="20" t="n"/>
    </row>
    <row r="299">
      <c r="B299" s="20" t="n"/>
      <c r="C299" s="20" t="n"/>
    </row>
    <row r="300">
      <c r="B300" s="20" t="n"/>
      <c r="C300" s="20" t="n"/>
    </row>
    <row r="301">
      <c r="B301" s="20" t="n"/>
      <c r="C301" s="20" t="n"/>
    </row>
    <row r="302">
      <c r="B302" s="20" t="n"/>
      <c r="C302" s="20" t="n"/>
    </row>
    <row r="303">
      <c r="B303" s="20" t="n"/>
      <c r="C303" s="20" t="n"/>
    </row>
    <row r="304">
      <c r="B304" s="20" t="n"/>
      <c r="C304" s="20" t="n"/>
    </row>
    <row r="305">
      <c r="B305" s="20" t="n"/>
      <c r="C305" s="20" t="n"/>
    </row>
    <row r="306">
      <c r="B306" s="20" t="n"/>
      <c r="C306" s="20" t="n"/>
    </row>
    <row r="307">
      <c r="B307" s="20" t="n"/>
      <c r="C307" s="20" t="n"/>
    </row>
    <row r="308">
      <c r="B308" s="20" t="n"/>
      <c r="C308" s="20" t="n"/>
    </row>
    <row r="309">
      <c r="B309" s="20" t="n"/>
      <c r="C309" s="20" t="n"/>
    </row>
    <row r="310">
      <c r="B310" s="20" t="n"/>
      <c r="C310" s="20" t="n"/>
    </row>
    <row r="311">
      <c r="B311" s="20" t="n"/>
      <c r="C311" s="20" t="n"/>
    </row>
    <row r="312">
      <c r="B312" s="20" t="n"/>
      <c r="C312" s="20" t="n"/>
    </row>
    <row r="313">
      <c r="B313" s="20" t="n"/>
      <c r="C313" s="20" t="n"/>
    </row>
    <row r="314">
      <c r="B314" s="20" t="n"/>
      <c r="C314" s="20" t="n"/>
    </row>
    <row r="315">
      <c r="B315" s="20" t="n"/>
      <c r="C315" s="20" t="n"/>
    </row>
    <row r="316">
      <c r="B316" s="20" t="n"/>
      <c r="C316" s="20" t="n"/>
    </row>
    <row r="317">
      <c r="B317" s="20" t="n"/>
      <c r="C317" s="20" t="n"/>
    </row>
    <row r="318">
      <c r="B318" s="20" t="n"/>
      <c r="C318" s="20" t="n"/>
    </row>
    <row r="319">
      <c r="B319" s="20" t="n"/>
      <c r="C319" s="20" t="n"/>
    </row>
    <row r="320">
      <c r="B320" s="20" t="n"/>
      <c r="C320" s="20" t="n"/>
    </row>
    <row r="321">
      <c r="B321" s="20" t="n"/>
      <c r="C321" s="20" t="n"/>
    </row>
    <row r="322">
      <c r="B322" s="20" t="n"/>
      <c r="C322" s="20" t="n"/>
    </row>
    <row r="323">
      <c r="B323" s="20" t="n"/>
      <c r="C323" s="20" t="n"/>
    </row>
    <row r="324">
      <c r="B324" s="20" t="n"/>
      <c r="C324" s="20" t="n"/>
    </row>
    <row r="325">
      <c r="B325" s="20" t="n"/>
      <c r="C325" s="20" t="n"/>
    </row>
    <row r="326">
      <c r="B326" s="20" t="n"/>
      <c r="C326" s="20" t="n"/>
    </row>
    <row r="327">
      <c r="B327" s="20" t="n"/>
      <c r="C327" s="20" t="n"/>
    </row>
    <row r="328">
      <c r="B328" s="20" t="n"/>
      <c r="C328" s="20" t="n"/>
    </row>
    <row r="329">
      <c r="B329" s="20" t="n"/>
      <c r="C329" s="20" t="n"/>
    </row>
    <row r="330">
      <c r="B330" s="20" t="n"/>
      <c r="C330" s="20" t="n"/>
    </row>
    <row r="331">
      <c r="B331" s="20" t="n"/>
      <c r="C331" s="20" t="n"/>
    </row>
    <row r="332">
      <c r="B332" s="20" t="n"/>
      <c r="C332" s="20" t="n"/>
    </row>
    <row r="333">
      <c r="B333" s="20" t="n"/>
      <c r="C333" s="20" t="n"/>
    </row>
    <row r="334">
      <c r="B334" s="20" t="n"/>
      <c r="C334" s="20" t="n"/>
    </row>
    <row r="335">
      <c r="B335" s="20" t="n"/>
      <c r="C335" s="20" t="n"/>
    </row>
    <row r="336">
      <c r="B336" s="20" t="n"/>
      <c r="C336" s="20" t="n"/>
    </row>
    <row r="337">
      <c r="B337" s="20" t="n"/>
      <c r="C337" s="20" t="n"/>
    </row>
    <row r="338">
      <c r="B338" s="20" t="n"/>
      <c r="C338" s="20" t="n"/>
    </row>
    <row r="339">
      <c r="B339" s="20" t="n"/>
      <c r="C339" s="20" t="n"/>
    </row>
    <row r="340">
      <c r="B340" s="20" t="n"/>
      <c r="C340" s="20" t="n"/>
    </row>
    <row r="341">
      <c r="B341" s="20" t="n"/>
      <c r="C341" s="20" t="n"/>
    </row>
    <row r="342">
      <c r="B342" s="20" t="n"/>
      <c r="C342" s="20" t="n"/>
    </row>
    <row r="343">
      <c r="B343" s="20" t="n"/>
      <c r="C343" s="20" t="n"/>
    </row>
    <row r="344">
      <c r="B344" s="20" t="n"/>
      <c r="C344" s="20" t="n"/>
    </row>
    <row r="345">
      <c r="B345" s="20" t="n"/>
      <c r="C345" s="20" t="n"/>
    </row>
    <row r="346">
      <c r="B346" s="20" t="n"/>
      <c r="C346" s="20" t="n"/>
    </row>
    <row r="347">
      <c r="B347" s="20" t="n"/>
      <c r="C347" s="20" t="n"/>
    </row>
    <row r="348">
      <c r="B348" s="20" t="n"/>
      <c r="C348" s="20" t="n"/>
    </row>
    <row r="349">
      <c r="B349" s="20" t="n"/>
      <c r="C349" s="20" t="n"/>
    </row>
    <row r="350">
      <c r="B350" s="20" t="n"/>
      <c r="C350" s="20" t="n"/>
    </row>
    <row r="351">
      <c r="B351" s="20" t="n"/>
      <c r="C351" s="20" t="n"/>
    </row>
    <row r="352">
      <c r="B352" s="20" t="n"/>
      <c r="C352" s="20" t="n"/>
    </row>
    <row r="353">
      <c r="B353" s="20" t="n"/>
      <c r="C353" s="20" t="n"/>
    </row>
    <row r="354">
      <c r="B354" s="20" t="n"/>
      <c r="C354" s="20" t="n"/>
    </row>
    <row r="355">
      <c r="B355" s="20" t="n"/>
      <c r="C355" s="20" t="n"/>
    </row>
    <row r="356">
      <c r="B356" s="20" t="n"/>
      <c r="C356" s="20" t="n"/>
    </row>
    <row r="357">
      <c r="B357" s="20" t="n"/>
      <c r="C357" s="20" t="n"/>
    </row>
    <row r="358">
      <c r="B358" s="20" t="n"/>
      <c r="C358" s="20" t="n"/>
    </row>
    <row r="359">
      <c r="B359" s="20" t="n"/>
      <c r="C359" s="20" t="n"/>
    </row>
    <row r="360">
      <c r="B360" s="20" t="n"/>
      <c r="C360" s="20" t="n"/>
    </row>
    <row r="361">
      <c r="B361" s="20" t="n"/>
      <c r="C361" s="20" t="n"/>
    </row>
    <row r="362">
      <c r="B362" s="20" t="n"/>
      <c r="C362" s="20" t="n"/>
    </row>
    <row r="363">
      <c r="B363" s="20" t="n"/>
      <c r="C363" s="20" t="n"/>
    </row>
    <row r="364">
      <c r="B364" s="20" t="n"/>
      <c r="C364" s="20" t="n"/>
    </row>
    <row r="365">
      <c r="B365" s="20" t="n"/>
      <c r="C365" s="20" t="n"/>
    </row>
    <row r="366">
      <c r="B366" s="20" t="n"/>
      <c r="C366" s="20" t="n"/>
    </row>
    <row r="367">
      <c r="B367" s="20" t="n"/>
      <c r="C367" s="20" t="n"/>
    </row>
    <row r="368">
      <c r="B368" s="20" t="n"/>
      <c r="C368" s="20" t="n"/>
    </row>
    <row r="369">
      <c r="B369" s="20" t="n"/>
      <c r="C369" s="20" t="n"/>
    </row>
    <row r="370">
      <c r="B370" s="20" t="n"/>
      <c r="C370" s="20" t="n"/>
    </row>
    <row r="371">
      <c r="B371" s="20" t="n"/>
      <c r="C371" s="20" t="n"/>
    </row>
    <row r="372">
      <c r="B372" s="20" t="n"/>
      <c r="C372" s="20" t="n"/>
    </row>
    <row r="373">
      <c r="B373" s="20" t="n"/>
      <c r="C373" s="20" t="n"/>
    </row>
    <row r="374">
      <c r="B374" s="20" t="n"/>
      <c r="C374" s="20" t="n"/>
    </row>
    <row r="375">
      <c r="B375" s="20" t="n"/>
      <c r="C375" s="20" t="n"/>
    </row>
    <row r="376">
      <c r="B376" s="20" t="n"/>
      <c r="C376" s="20" t="n"/>
    </row>
    <row r="377">
      <c r="B377" s="20" t="n"/>
      <c r="C377" s="20" t="n"/>
    </row>
    <row r="378">
      <c r="B378" s="20" t="n"/>
      <c r="C378" s="20" t="n"/>
    </row>
    <row r="379">
      <c r="B379" s="20" t="n"/>
      <c r="C379" s="20" t="n"/>
    </row>
    <row r="380">
      <c r="B380" s="20" t="n"/>
      <c r="C380" s="20" t="n"/>
    </row>
    <row r="381">
      <c r="B381" s="20" t="n"/>
      <c r="C381" s="20" t="n"/>
    </row>
    <row r="382">
      <c r="B382" s="20" t="n"/>
      <c r="C382" s="20" t="n"/>
    </row>
    <row r="383">
      <c r="B383" s="20" t="n"/>
      <c r="C383" s="20" t="n"/>
    </row>
    <row r="384">
      <c r="B384" s="20" t="n"/>
      <c r="C384" s="20" t="n"/>
    </row>
    <row r="385">
      <c r="B385" s="20" t="n"/>
      <c r="C385" s="20" t="n"/>
    </row>
    <row r="386">
      <c r="B386" s="20" t="n"/>
      <c r="C386" s="20" t="n"/>
    </row>
    <row r="387">
      <c r="B387" s="20" t="n"/>
      <c r="C387" s="20" t="n"/>
    </row>
    <row r="388">
      <c r="B388" s="20" t="n"/>
      <c r="C388" s="20" t="n"/>
    </row>
    <row r="389">
      <c r="B389" s="20" t="n"/>
      <c r="C389" s="20" t="n"/>
    </row>
    <row r="390">
      <c r="B390" s="20" t="n"/>
      <c r="C390" s="20" t="n"/>
    </row>
    <row r="391">
      <c r="B391" s="20" t="n"/>
      <c r="C391" s="20" t="n"/>
    </row>
    <row r="392">
      <c r="B392" s="20" t="n"/>
      <c r="C392" s="20" t="n"/>
    </row>
    <row r="393">
      <c r="B393" s="20" t="n"/>
      <c r="C393" s="20" t="n"/>
    </row>
    <row r="394">
      <c r="B394" s="20" t="n"/>
      <c r="C394" s="20" t="n"/>
    </row>
    <row r="395">
      <c r="B395" s="20" t="n"/>
      <c r="C395" s="20" t="n"/>
    </row>
    <row r="396">
      <c r="B396" s="20" t="n"/>
      <c r="C396" s="20" t="n"/>
    </row>
    <row r="397">
      <c r="B397" s="20" t="n"/>
      <c r="C397" s="20" t="n"/>
    </row>
    <row r="398">
      <c r="B398" s="20" t="n"/>
      <c r="C398" s="20" t="n"/>
    </row>
    <row r="399">
      <c r="B399" s="20" t="n"/>
      <c r="C399" s="20" t="n"/>
    </row>
    <row r="400">
      <c r="B400" s="20" t="n"/>
      <c r="C400" s="20" t="n"/>
    </row>
    <row r="401">
      <c r="B401" s="20" t="n"/>
      <c r="C401" s="20" t="n"/>
    </row>
    <row r="402">
      <c r="B402" s="20" t="n"/>
      <c r="C402" s="20" t="n"/>
    </row>
    <row r="403">
      <c r="B403" s="20" t="n"/>
      <c r="C403" s="20" t="n"/>
    </row>
    <row r="404">
      <c r="B404" s="20" t="n"/>
      <c r="C404" s="20" t="n"/>
    </row>
    <row r="405">
      <c r="B405" s="20" t="n"/>
      <c r="C405" s="20" t="n"/>
    </row>
    <row r="406">
      <c r="B406" s="20" t="n"/>
      <c r="C406" s="20" t="n"/>
    </row>
    <row r="407">
      <c r="B407" s="20" t="n"/>
      <c r="C407" s="20" t="n"/>
    </row>
    <row r="408">
      <c r="B408" s="20" t="n"/>
      <c r="C408" s="20" t="n"/>
    </row>
    <row r="409">
      <c r="B409" s="20" t="n"/>
      <c r="C409" s="20" t="n"/>
    </row>
    <row r="410">
      <c r="B410" s="20" t="n"/>
      <c r="C410" s="20" t="n"/>
    </row>
    <row r="411">
      <c r="B411" s="20" t="n"/>
      <c r="C411" s="20" t="n"/>
    </row>
    <row r="412">
      <c r="B412" s="20" t="n"/>
      <c r="C412" s="20" t="n"/>
    </row>
    <row r="413">
      <c r="B413" s="20" t="n"/>
      <c r="C413" s="20" t="n"/>
    </row>
    <row r="414">
      <c r="B414" s="20" t="n"/>
      <c r="C414" s="20" t="n"/>
    </row>
    <row r="415">
      <c r="B415" s="20" t="n"/>
      <c r="C415" s="20" t="n"/>
    </row>
    <row r="416">
      <c r="B416" s="20" t="n"/>
      <c r="C416" s="20" t="n"/>
    </row>
    <row r="417">
      <c r="B417" s="20" t="n"/>
      <c r="C417" s="20" t="n"/>
    </row>
    <row r="418">
      <c r="B418" s="20" t="n"/>
      <c r="C418" s="20" t="n"/>
    </row>
    <row r="419">
      <c r="B419" s="20" t="n"/>
      <c r="C419" s="20" t="n"/>
    </row>
    <row r="420">
      <c r="B420" s="20" t="n"/>
      <c r="C420" s="20" t="n"/>
    </row>
    <row r="421">
      <c r="B421" s="20" t="n"/>
      <c r="C421" s="20" t="n"/>
    </row>
    <row r="422">
      <c r="B422" s="20" t="n"/>
      <c r="C422" s="20" t="n"/>
    </row>
    <row r="423">
      <c r="B423" s="20" t="n"/>
      <c r="C423" s="20" t="n"/>
    </row>
    <row r="424">
      <c r="B424" s="20" t="n"/>
      <c r="C424" s="20" t="n"/>
    </row>
    <row r="425">
      <c r="B425" s="20" t="n"/>
      <c r="C425" s="20" t="n"/>
    </row>
    <row r="426">
      <c r="B426" s="20" t="n"/>
      <c r="C426" s="20" t="n"/>
    </row>
    <row r="427">
      <c r="B427" s="20" t="n"/>
      <c r="C427" s="20" t="n"/>
    </row>
    <row r="428">
      <c r="B428" s="20" t="n"/>
      <c r="C428" s="20" t="n"/>
    </row>
    <row r="429">
      <c r="B429" s="20" t="n"/>
      <c r="C429" s="20" t="n"/>
    </row>
    <row r="430">
      <c r="B430" s="20" t="n"/>
      <c r="C430" s="20" t="n"/>
    </row>
    <row r="431">
      <c r="B431" s="20" t="n"/>
      <c r="C431" s="20" t="n"/>
    </row>
    <row r="432">
      <c r="B432" s="20" t="n"/>
      <c r="C432" s="20" t="n"/>
    </row>
    <row r="433">
      <c r="B433" s="20" t="n"/>
      <c r="C433" s="20" t="n"/>
    </row>
    <row r="434">
      <c r="B434" s="20" t="n"/>
      <c r="C434" s="20" t="n"/>
    </row>
    <row r="435">
      <c r="B435" s="20" t="n"/>
      <c r="C435" s="20" t="n"/>
    </row>
    <row r="436">
      <c r="B436" s="20" t="n"/>
      <c r="C436" s="20" t="n"/>
    </row>
    <row r="437">
      <c r="B437" s="20" t="n"/>
      <c r="C437" s="20" t="n"/>
    </row>
    <row r="438">
      <c r="B438" s="20" t="n"/>
      <c r="C438" s="20" t="n"/>
    </row>
    <row r="439">
      <c r="B439" s="20" t="n"/>
      <c r="C439" s="20" t="n"/>
    </row>
    <row r="440">
      <c r="B440" s="20" t="n"/>
      <c r="C440" s="20" t="n"/>
    </row>
    <row r="441">
      <c r="B441" s="20" t="n"/>
      <c r="C441" s="20" t="n"/>
    </row>
    <row r="442">
      <c r="B442" s="20" t="n"/>
      <c r="C442" s="20" t="n"/>
    </row>
    <row r="443">
      <c r="B443" s="20" t="n"/>
      <c r="C443" s="20" t="n"/>
    </row>
    <row r="444">
      <c r="B444" s="20" t="n"/>
      <c r="C444" s="20" t="n"/>
    </row>
    <row r="445">
      <c r="B445" s="20" t="n"/>
      <c r="C445" s="20" t="n"/>
    </row>
    <row r="446">
      <c r="B446" s="20" t="n"/>
      <c r="C446" s="20" t="n"/>
    </row>
    <row r="447">
      <c r="B447" s="20" t="n"/>
      <c r="C447" s="20" t="n"/>
    </row>
    <row r="448">
      <c r="B448" s="20" t="n"/>
      <c r="C448" s="20" t="n"/>
    </row>
    <row r="449">
      <c r="B449" s="20" t="n"/>
      <c r="C449" s="20" t="n"/>
    </row>
    <row r="450">
      <c r="B450" s="20" t="n"/>
      <c r="C450" s="20" t="n"/>
    </row>
    <row r="451">
      <c r="B451" s="20" t="n"/>
      <c r="C451" s="20" t="n"/>
    </row>
    <row r="452">
      <c r="B452" s="20" t="n"/>
      <c r="C452" s="20" t="n"/>
    </row>
    <row r="453">
      <c r="B453" s="20" t="n"/>
      <c r="C453" s="20" t="n"/>
    </row>
    <row r="454">
      <c r="B454" s="20" t="n"/>
      <c r="C454" s="20" t="n"/>
    </row>
    <row r="455">
      <c r="B455" s="20" t="n"/>
      <c r="C455" s="20" t="n"/>
    </row>
    <row r="456">
      <c r="B456" s="20" t="n"/>
      <c r="C456" s="20" t="n"/>
    </row>
    <row r="457">
      <c r="B457" s="20" t="n"/>
      <c r="C457" s="20" t="n"/>
    </row>
    <row r="458">
      <c r="B458" s="20" t="n"/>
      <c r="C458" s="20" t="n"/>
    </row>
    <row r="459">
      <c r="B459" s="20" t="n"/>
      <c r="C459" s="20" t="n"/>
    </row>
    <row r="460">
      <c r="B460" s="20" t="n"/>
      <c r="C460" s="20" t="n"/>
    </row>
    <row r="461">
      <c r="B461" s="20" t="n"/>
      <c r="C461" s="20" t="n"/>
    </row>
    <row r="462">
      <c r="B462" s="20" t="n"/>
      <c r="C462" s="20" t="n"/>
    </row>
    <row r="463">
      <c r="B463" s="20" t="n"/>
      <c r="C463" s="20" t="n"/>
    </row>
    <row r="464">
      <c r="B464" s="20" t="n"/>
      <c r="C464" s="20" t="n"/>
    </row>
    <row r="465">
      <c r="B465" s="20" t="n"/>
      <c r="C465" s="20" t="n"/>
    </row>
    <row r="466">
      <c r="B466" s="20" t="n"/>
      <c r="C466" s="20" t="n"/>
    </row>
    <row r="467">
      <c r="B467" s="20" t="n"/>
      <c r="C467" s="20" t="n"/>
    </row>
    <row r="468">
      <c r="B468" s="20" t="n"/>
      <c r="C468" s="20" t="n"/>
    </row>
    <row r="469">
      <c r="B469" s="20" t="n"/>
      <c r="C469" s="20" t="n"/>
    </row>
    <row r="470">
      <c r="B470" s="20" t="n"/>
      <c r="C470" s="20" t="n"/>
    </row>
    <row r="471">
      <c r="B471" s="20" t="n"/>
      <c r="C471" s="20" t="n"/>
    </row>
    <row r="472">
      <c r="B472" s="20" t="n"/>
      <c r="C472" s="20" t="n"/>
    </row>
    <row r="473">
      <c r="B473" s="20" t="n"/>
      <c r="C473" s="20" t="n"/>
    </row>
    <row r="474">
      <c r="B474" s="20" t="n"/>
      <c r="C474" s="20" t="n"/>
    </row>
    <row r="475">
      <c r="B475" s="20" t="n"/>
      <c r="C475" s="20" t="n"/>
    </row>
    <row r="476">
      <c r="B476" s="20" t="n"/>
      <c r="C476" s="20" t="n"/>
    </row>
    <row r="477">
      <c r="B477" s="20" t="n"/>
      <c r="C477" s="20" t="n"/>
    </row>
    <row r="478">
      <c r="B478" s="20" t="n"/>
      <c r="C478" s="20" t="n"/>
    </row>
    <row r="479">
      <c r="B479" s="20" t="n"/>
      <c r="C479" s="20" t="n"/>
    </row>
    <row r="480">
      <c r="B480" s="20" t="n"/>
      <c r="C480" s="20" t="n"/>
    </row>
    <row r="481">
      <c r="B481" s="20" t="n"/>
      <c r="C481" s="20" t="n"/>
    </row>
    <row r="482">
      <c r="B482" s="20" t="n"/>
      <c r="C482" s="20" t="n"/>
    </row>
    <row r="483">
      <c r="B483" s="20" t="n"/>
      <c r="C483" s="20" t="n"/>
    </row>
    <row r="484">
      <c r="B484" s="20" t="n"/>
      <c r="C484" s="20" t="n"/>
    </row>
    <row r="485">
      <c r="B485" s="20" t="n"/>
      <c r="C485" s="20" t="n"/>
    </row>
    <row r="486">
      <c r="B486" s="20" t="n"/>
      <c r="C486" s="20" t="n"/>
    </row>
    <row r="487">
      <c r="B487" s="20" t="n"/>
      <c r="C487" s="20" t="n"/>
    </row>
    <row r="488">
      <c r="B488" s="20" t="n"/>
      <c r="C488" s="20" t="n"/>
    </row>
    <row r="489">
      <c r="B489" s="20" t="n"/>
      <c r="C489" s="20" t="n"/>
    </row>
    <row r="490">
      <c r="B490" s="20" t="n"/>
      <c r="C490" s="20" t="n"/>
    </row>
    <row r="491">
      <c r="B491" s="20" t="n"/>
      <c r="C491" s="20" t="n"/>
    </row>
    <row r="492">
      <c r="B492" s="20" t="n"/>
      <c r="C492" s="20" t="n"/>
    </row>
    <row r="493">
      <c r="B493" s="20" t="n"/>
      <c r="C493" s="20" t="n"/>
    </row>
    <row r="494">
      <c r="B494" s="20" t="n"/>
      <c r="C494" s="20" t="n"/>
    </row>
    <row r="495">
      <c r="B495" s="20" t="n"/>
      <c r="C495" s="20" t="n"/>
    </row>
    <row r="496">
      <c r="B496" s="20" t="n"/>
      <c r="C496" s="20" t="n"/>
    </row>
    <row r="497">
      <c r="B497" s="20" t="n"/>
      <c r="C497" s="20" t="n"/>
    </row>
    <row r="498">
      <c r="B498" s="20" t="n"/>
      <c r="C498" s="20" t="n"/>
    </row>
    <row r="499">
      <c r="B499" s="20" t="n"/>
      <c r="C499" s="20" t="n"/>
    </row>
    <row r="500">
      <c r="B500" s="20" t="n"/>
      <c r="C500" s="20" t="n"/>
    </row>
    <row r="501">
      <c r="B501" s="20" t="n"/>
      <c r="C501" s="20" t="n"/>
    </row>
    <row r="502">
      <c r="B502" s="20" t="n"/>
      <c r="C502" s="20" t="n"/>
    </row>
    <row r="503">
      <c r="B503" s="20" t="n"/>
      <c r="C503" s="20" t="n"/>
    </row>
    <row r="504">
      <c r="B504" s="20" t="n"/>
      <c r="C504" s="20" t="n"/>
    </row>
    <row r="505">
      <c r="B505" s="20" t="n"/>
      <c r="C505" s="20" t="n"/>
    </row>
    <row r="506">
      <c r="B506" s="20" t="n"/>
      <c r="C506" s="20" t="n"/>
    </row>
    <row r="507">
      <c r="B507" s="20" t="n"/>
      <c r="C507" s="20" t="n"/>
    </row>
    <row r="508">
      <c r="B508" s="20" t="n"/>
      <c r="C508" s="20" t="n"/>
    </row>
    <row r="509">
      <c r="B509" s="20" t="n"/>
      <c r="C509" s="20" t="n"/>
    </row>
    <row r="510">
      <c r="B510" s="20" t="n"/>
      <c r="C510" s="20" t="n"/>
    </row>
    <row r="511">
      <c r="B511" s="20" t="n"/>
      <c r="C511" s="20" t="n"/>
    </row>
    <row r="512">
      <c r="B512" s="20" t="n"/>
      <c r="C512" s="20" t="n"/>
    </row>
    <row r="513">
      <c r="B513" s="20" t="n"/>
      <c r="C513" s="20" t="n"/>
    </row>
    <row r="514">
      <c r="B514" s="20" t="n"/>
      <c r="C514" s="20" t="n"/>
    </row>
    <row r="515">
      <c r="B515" s="20" t="n"/>
      <c r="C515" s="20" t="n"/>
    </row>
    <row r="516">
      <c r="B516" s="20" t="n"/>
      <c r="C516" s="20" t="n"/>
    </row>
    <row r="517">
      <c r="B517" s="20" t="n"/>
      <c r="C517" s="20" t="n"/>
    </row>
    <row r="518">
      <c r="B518" s="20" t="n"/>
      <c r="C518" s="20" t="n"/>
    </row>
    <row r="519">
      <c r="B519" s="20" t="n"/>
      <c r="C519" s="20" t="n"/>
    </row>
    <row r="520">
      <c r="B520" s="20" t="n"/>
      <c r="C520" s="20" t="n"/>
    </row>
    <row r="521">
      <c r="B521" s="20" t="n"/>
      <c r="C521" s="20" t="n"/>
    </row>
    <row r="522">
      <c r="B522" s="20" t="n"/>
      <c r="C522" s="20" t="n"/>
    </row>
    <row r="523">
      <c r="B523" s="20" t="n"/>
      <c r="C523" s="20" t="n"/>
    </row>
    <row r="524">
      <c r="B524" s="20" t="n"/>
      <c r="C524" s="20" t="n"/>
    </row>
    <row r="525">
      <c r="B525" s="20" t="n"/>
      <c r="C525" s="20" t="n"/>
    </row>
    <row r="526">
      <c r="B526" s="20" t="n"/>
      <c r="C526" s="20" t="n"/>
    </row>
    <row r="527">
      <c r="B527" s="20" t="n"/>
      <c r="C527" s="20" t="n"/>
    </row>
    <row r="528">
      <c r="B528" s="20" t="n"/>
      <c r="C528" s="20" t="n"/>
    </row>
    <row r="529">
      <c r="B529" s="20" t="n"/>
      <c r="C529" s="20" t="n"/>
    </row>
    <row r="530">
      <c r="B530" s="20" t="n"/>
      <c r="C530" s="20" t="n"/>
    </row>
    <row r="531">
      <c r="B531" s="20" t="n"/>
      <c r="C531" s="20" t="n"/>
    </row>
    <row r="532">
      <c r="B532" s="20" t="n"/>
      <c r="C532" s="20" t="n"/>
    </row>
    <row r="533">
      <c r="B533" s="20" t="n"/>
      <c r="C533" s="20" t="n"/>
    </row>
    <row r="534">
      <c r="B534" s="20" t="n"/>
      <c r="C534" s="20" t="n"/>
    </row>
    <row r="535">
      <c r="B535" s="20" t="n"/>
      <c r="C535" s="20" t="n"/>
    </row>
    <row r="536">
      <c r="B536" s="20" t="n"/>
      <c r="C536" s="20" t="n"/>
    </row>
    <row r="537">
      <c r="B537" s="20" t="n"/>
      <c r="C537" s="20" t="n"/>
    </row>
    <row r="538">
      <c r="B538" s="20" t="n"/>
      <c r="C538" s="20" t="n"/>
    </row>
    <row r="539">
      <c r="B539" s="20" t="n"/>
      <c r="C539" s="20" t="n"/>
    </row>
    <row r="540">
      <c r="B540" s="20" t="n"/>
      <c r="C540" s="20" t="n"/>
    </row>
    <row r="541">
      <c r="B541" s="20" t="n"/>
      <c r="C541" s="20" t="n"/>
    </row>
    <row r="542">
      <c r="B542" s="20" t="n"/>
      <c r="C542" s="20" t="n"/>
    </row>
    <row r="543">
      <c r="B543" s="20" t="n"/>
      <c r="C543" s="20" t="n"/>
    </row>
    <row r="544">
      <c r="B544" s="20" t="n"/>
      <c r="C544" s="20" t="n"/>
    </row>
    <row r="545">
      <c r="B545" s="20" t="n"/>
      <c r="C545" s="20" t="n"/>
    </row>
    <row r="546">
      <c r="B546" s="20" t="n"/>
      <c r="C546" s="20" t="n"/>
    </row>
    <row r="547">
      <c r="B547" s="20" t="n"/>
      <c r="C547" s="20" t="n"/>
    </row>
    <row r="548">
      <c r="B548" s="20" t="n"/>
      <c r="C548" s="20" t="n"/>
    </row>
    <row r="549">
      <c r="B549" s="20" t="n"/>
      <c r="C549" s="20" t="n"/>
    </row>
    <row r="550">
      <c r="B550" s="20" t="n"/>
      <c r="C550" s="20" t="n"/>
    </row>
    <row r="551">
      <c r="B551" s="20" t="n"/>
      <c r="C551" s="20" t="n"/>
    </row>
    <row r="552">
      <c r="B552" s="20" t="n"/>
      <c r="C552" s="20" t="n"/>
    </row>
    <row r="553">
      <c r="B553" s="20" t="n"/>
      <c r="C553" s="20" t="n"/>
    </row>
    <row r="554">
      <c r="B554" s="20" t="n"/>
      <c r="C554" s="20" t="n"/>
    </row>
    <row r="555">
      <c r="B555" s="20" t="n"/>
      <c r="C555" s="20" t="n"/>
    </row>
    <row r="556">
      <c r="B556" s="20" t="n"/>
      <c r="C556" s="20" t="n"/>
    </row>
    <row r="557">
      <c r="B557" s="20" t="n"/>
      <c r="C557" s="20" t="n"/>
    </row>
    <row r="558">
      <c r="B558" s="20" t="n"/>
      <c r="C558" s="20" t="n"/>
    </row>
    <row r="559">
      <c r="B559" s="20" t="n"/>
      <c r="C559" s="20" t="n"/>
    </row>
    <row r="560">
      <c r="B560" s="20" t="n"/>
      <c r="C560" s="20" t="n"/>
    </row>
    <row r="561">
      <c r="B561" s="20" t="n"/>
      <c r="C561" s="20" t="n"/>
    </row>
    <row r="562">
      <c r="B562" s="20" t="n"/>
      <c r="C562" s="20" t="n"/>
    </row>
    <row r="563">
      <c r="B563" s="20" t="n"/>
      <c r="C563" s="20" t="n"/>
    </row>
    <row r="564">
      <c r="B564" s="20" t="n"/>
      <c r="C564" s="20" t="n"/>
    </row>
    <row r="565">
      <c r="B565" s="20" t="n"/>
      <c r="C565" s="20" t="n"/>
    </row>
    <row r="566">
      <c r="B566" s="20" t="n"/>
      <c r="C566" s="20" t="n"/>
    </row>
    <row r="567">
      <c r="B567" s="20" t="n"/>
      <c r="C567" s="20" t="n"/>
    </row>
    <row r="568">
      <c r="B568" s="20" t="n"/>
      <c r="C568" s="20" t="n"/>
    </row>
    <row r="569">
      <c r="B569" s="20" t="n"/>
      <c r="C569" s="20" t="n"/>
    </row>
    <row r="570">
      <c r="B570" s="20" t="n"/>
      <c r="C570" s="20" t="n"/>
    </row>
    <row r="571">
      <c r="B571" s="20" t="n"/>
      <c r="C571" s="20" t="n"/>
    </row>
    <row r="572">
      <c r="B572" s="20" t="n"/>
      <c r="C572" s="20" t="n"/>
    </row>
    <row r="573">
      <c r="B573" s="20" t="n"/>
      <c r="C573" s="20" t="n"/>
    </row>
    <row r="574">
      <c r="B574" s="20" t="n"/>
      <c r="C574" s="20" t="n"/>
    </row>
    <row r="575">
      <c r="B575" s="20" t="n"/>
      <c r="C575" s="20" t="n"/>
    </row>
    <row r="576">
      <c r="B576" s="20" t="n"/>
      <c r="C576" s="20" t="n"/>
    </row>
    <row r="577">
      <c r="B577" s="20" t="n"/>
      <c r="C577" s="20" t="n"/>
    </row>
    <row r="578">
      <c r="B578" s="20" t="n"/>
      <c r="C578" s="20" t="n"/>
    </row>
    <row r="579">
      <c r="B579" s="20" t="n"/>
      <c r="C579" s="20" t="n"/>
    </row>
    <row r="580">
      <c r="B580" s="20" t="n"/>
      <c r="C580" s="20" t="n"/>
    </row>
    <row r="581">
      <c r="B581" s="20" t="n"/>
      <c r="C581" s="20" t="n"/>
    </row>
    <row r="582">
      <c r="B582" s="20" t="n"/>
      <c r="C582" s="20" t="n"/>
    </row>
    <row r="583">
      <c r="B583" s="20" t="n"/>
      <c r="C583" s="20" t="n"/>
    </row>
    <row r="584">
      <c r="B584" s="20" t="n"/>
      <c r="C584" s="20" t="n"/>
    </row>
    <row r="585">
      <c r="B585" s="20" t="n"/>
      <c r="C585" s="20" t="n"/>
    </row>
    <row r="586">
      <c r="B586" s="20" t="n"/>
      <c r="C586" s="20" t="n"/>
    </row>
    <row r="587">
      <c r="B587" s="20" t="n"/>
      <c r="C587" s="20" t="n"/>
    </row>
    <row r="588">
      <c r="B588" s="20" t="n"/>
      <c r="C588" s="20" t="n"/>
    </row>
    <row r="589">
      <c r="B589" s="20" t="n"/>
      <c r="C589" s="20" t="n"/>
    </row>
    <row r="590">
      <c r="B590" s="20" t="n"/>
      <c r="C590" s="20" t="n"/>
    </row>
    <row r="591">
      <c r="B591" s="20" t="n"/>
      <c r="C591" s="20" t="n"/>
    </row>
    <row r="592">
      <c r="B592" s="20" t="n"/>
      <c r="C592" s="20" t="n"/>
    </row>
    <row r="593">
      <c r="B593" s="20" t="n"/>
      <c r="C593" s="20" t="n"/>
    </row>
    <row r="594">
      <c r="B594" s="20" t="n"/>
      <c r="C594" s="20" t="n"/>
    </row>
    <row r="595">
      <c r="B595" s="20" t="n"/>
      <c r="C595" s="20" t="n"/>
    </row>
    <row r="596">
      <c r="B596" s="20" t="n"/>
      <c r="C596" s="20" t="n"/>
    </row>
    <row r="597">
      <c r="B597" s="20" t="n"/>
      <c r="C597" s="20" t="n"/>
    </row>
    <row r="598">
      <c r="B598" s="20" t="n"/>
      <c r="C598" s="20" t="n"/>
    </row>
    <row r="599">
      <c r="B599" s="20" t="n"/>
      <c r="C599" s="20" t="n"/>
    </row>
    <row r="600">
      <c r="B600" s="20" t="n"/>
      <c r="C600" s="20" t="n"/>
    </row>
    <row r="601">
      <c r="B601" s="20" t="n"/>
      <c r="C601" s="20" t="n"/>
    </row>
    <row r="602">
      <c r="B602" s="20" t="n"/>
      <c r="C602" s="20" t="n"/>
    </row>
    <row r="603">
      <c r="B603" s="20" t="n"/>
      <c r="C603" s="20" t="n"/>
    </row>
    <row r="604">
      <c r="B604" s="20" t="n"/>
      <c r="C604" s="20" t="n"/>
    </row>
    <row r="605">
      <c r="B605" s="20" t="n"/>
      <c r="C605" s="20" t="n"/>
    </row>
    <row r="606">
      <c r="B606" s="20" t="n"/>
      <c r="C606" s="20" t="n"/>
    </row>
    <row r="607">
      <c r="B607" s="20" t="n"/>
      <c r="C607" s="20" t="n"/>
    </row>
    <row r="608">
      <c r="B608" s="20" t="n"/>
      <c r="C608" s="20" t="n"/>
    </row>
    <row r="609">
      <c r="B609" s="20" t="n"/>
      <c r="C609" s="20" t="n"/>
    </row>
    <row r="610">
      <c r="B610" s="20" t="n"/>
      <c r="C610" s="20" t="n"/>
    </row>
    <row r="611">
      <c r="B611" s="20" t="n"/>
      <c r="C611" s="20" t="n"/>
    </row>
    <row r="612">
      <c r="B612" s="20" t="n"/>
      <c r="C612" s="20" t="n"/>
    </row>
    <row r="613">
      <c r="B613" s="20" t="n"/>
      <c r="C613" s="20" t="n"/>
    </row>
    <row r="614">
      <c r="B614" s="20" t="n"/>
      <c r="C614" s="20" t="n"/>
    </row>
    <row r="615">
      <c r="B615" s="20" t="n"/>
      <c r="C615" s="20" t="n"/>
    </row>
    <row r="616">
      <c r="B616" s="20" t="n"/>
      <c r="C616" s="20" t="n"/>
    </row>
    <row r="617">
      <c r="B617" s="20" t="n"/>
      <c r="C617" s="20" t="n"/>
    </row>
    <row r="618">
      <c r="B618" s="20" t="n"/>
      <c r="C618" s="20" t="n"/>
    </row>
    <row r="619">
      <c r="B619" s="20" t="n"/>
      <c r="C619" s="20" t="n"/>
    </row>
    <row r="620">
      <c r="B620" s="20" t="n"/>
      <c r="C620" s="20" t="n"/>
    </row>
    <row r="621">
      <c r="B621" s="20" t="n"/>
      <c r="C621" s="20" t="n"/>
    </row>
    <row r="622">
      <c r="B622" s="20" t="n"/>
      <c r="C622" s="20" t="n"/>
    </row>
    <row r="623">
      <c r="B623" s="20" t="n"/>
      <c r="C623" s="20" t="n"/>
    </row>
    <row r="624">
      <c r="B624" s="20" t="n"/>
      <c r="C624" s="20" t="n"/>
    </row>
    <row r="625">
      <c r="B625" s="20" t="n"/>
      <c r="C625" s="20" t="n"/>
    </row>
    <row r="626">
      <c r="B626" s="20" t="n"/>
      <c r="C626" s="20" t="n"/>
    </row>
    <row r="627">
      <c r="B627" s="20" t="n"/>
      <c r="C627" s="20" t="n"/>
    </row>
    <row r="628">
      <c r="B628" s="20" t="n"/>
      <c r="C628" s="20" t="n"/>
    </row>
    <row r="629">
      <c r="B629" s="20" t="n"/>
      <c r="C629" s="20" t="n"/>
    </row>
    <row r="630">
      <c r="B630" s="20" t="n"/>
      <c r="C630" s="20" t="n"/>
    </row>
    <row r="631">
      <c r="B631" s="20" t="n"/>
      <c r="C631" s="20" t="n"/>
    </row>
    <row r="632">
      <c r="B632" s="20" t="n"/>
      <c r="C632" s="20" t="n"/>
    </row>
    <row r="633">
      <c r="B633" s="20" t="n"/>
      <c r="C633" s="20" t="n"/>
    </row>
    <row r="634">
      <c r="B634" s="20" t="n"/>
      <c r="C634" s="20" t="n"/>
    </row>
    <row r="635">
      <c r="B635" s="20" t="n"/>
      <c r="C635" s="20" t="n"/>
    </row>
    <row r="636">
      <c r="B636" s="20" t="n"/>
      <c r="C636" s="20" t="n"/>
    </row>
    <row r="637">
      <c r="B637" s="20" t="n"/>
      <c r="C637" s="20" t="n"/>
    </row>
    <row r="638">
      <c r="B638" s="20" t="n"/>
      <c r="C638" s="20" t="n"/>
    </row>
    <row r="639">
      <c r="B639" s="20" t="n"/>
      <c r="C639" s="20" t="n"/>
    </row>
    <row r="640">
      <c r="B640" s="20" t="n"/>
      <c r="C640" s="20" t="n"/>
    </row>
    <row r="641">
      <c r="B641" s="20" t="n"/>
      <c r="C641" s="20" t="n"/>
    </row>
    <row r="642">
      <c r="B642" s="20" t="n"/>
      <c r="C642" s="20" t="n"/>
    </row>
    <row r="643">
      <c r="B643" s="20" t="n"/>
      <c r="C643" s="20" t="n"/>
    </row>
    <row r="644">
      <c r="B644" s="20" t="n"/>
      <c r="C644" s="20" t="n"/>
    </row>
    <row r="645">
      <c r="B645" s="20" t="n"/>
      <c r="C645" s="20" t="n"/>
    </row>
    <row r="646">
      <c r="B646" s="20" t="n"/>
      <c r="C646" s="20" t="n"/>
    </row>
    <row r="647">
      <c r="B647" s="20" t="n"/>
      <c r="C647" s="20" t="n"/>
    </row>
    <row r="648">
      <c r="B648" s="20" t="n"/>
      <c r="C648" s="20" t="n"/>
    </row>
    <row r="649">
      <c r="B649" s="20" t="n"/>
      <c r="C649" s="20" t="n"/>
    </row>
    <row r="650">
      <c r="B650" s="20" t="n"/>
      <c r="C650" s="20" t="n"/>
    </row>
    <row r="651">
      <c r="B651" s="20" t="n"/>
      <c r="C651" s="20" t="n"/>
    </row>
    <row r="652">
      <c r="B652" s="20" t="n"/>
      <c r="C652" s="20" t="n"/>
    </row>
    <row r="653">
      <c r="B653" s="20" t="n"/>
      <c r="C653" s="20" t="n"/>
    </row>
    <row r="654">
      <c r="B654" s="20" t="n"/>
      <c r="C654" s="20" t="n"/>
    </row>
    <row r="655">
      <c r="B655" s="20" t="n"/>
      <c r="C655" s="20" t="n"/>
    </row>
    <row r="656">
      <c r="B656" s="20" t="n"/>
      <c r="C656" s="20" t="n"/>
    </row>
    <row r="657">
      <c r="B657" s="20" t="n"/>
      <c r="C657" s="20" t="n"/>
    </row>
    <row r="658">
      <c r="B658" s="20" t="n"/>
      <c r="C658" s="20" t="n"/>
    </row>
    <row r="659">
      <c r="B659" s="20" t="n"/>
      <c r="C659" s="20" t="n"/>
    </row>
    <row r="660">
      <c r="B660" s="20" t="n"/>
      <c r="C660" s="20" t="n"/>
    </row>
    <row r="661">
      <c r="B661" s="20" t="n"/>
      <c r="C661" s="20" t="n"/>
    </row>
    <row r="662">
      <c r="B662" s="20" t="n"/>
      <c r="C662" s="20" t="n"/>
    </row>
    <row r="663">
      <c r="B663" s="20" t="n"/>
      <c r="C663" s="20" t="n"/>
    </row>
    <row r="664">
      <c r="B664" s="20" t="n"/>
      <c r="C664" s="20" t="n"/>
    </row>
    <row r="665">
      <c r="B665" s="20" t="n"/>
      <c r="C665" s="20" t="n"/>
    </row>
    <row r="666">
      <c r="B666" s="20" t="n"/>
      <c r="C666" s="20" t="n"/>
    </row>
    <row r="667">
      <c r="B667" s="20" t="n"/>
      <c r="C667" s="20" t="n"/>
    </row>
    <row r="668">
      <c r="B668" s="20" t="n"/>
      <c r="C668" s="20" t="n"/>
    </row>
    <row r="669">
      <c r="B669" s="20" t="n"/>
      <c r="C669" s="20" t="n"/>
    </row>
    <row r="670">
      <c r="B670" s="20" t="n"/>
      <c r="C670" s="20" t="n"/>
    </row>
    <row r="671">
      <c r="B671" s="20" t="n"/>
      <c r="C671" s="20" t="n"/>
    </row>
    <row r="672">
      <c r="B672" s="20" t="n"/>
      <c r="C672" s="20" t="n"/>
    </row>
    <row r="673">
      <c r="B673" s="20" t="n"/>
      <c r="C673" s="20" t="n"/>
    </row>
    <row r="674">
      <c r="B674" s="20" t="n"/>
      <c r="C674" s="20" t="n"/>
    </row>
    <row r="675">
      <c r="B675" s="20" t="n"/>
      <c r="C675" s="20" t="n"/>
    </row>
    <row r="676">
      <c r="B676" s="20" t="n"/>
      <c r="C676" s="20" t="n"/>
    </row>
    <row r="677">
      <c r="B677" s="20" t="n"/>
      <c r="C677" s="20" t="n"/>
    </row>
    <row r="678">
      <c r="B678" s="20" t="n"/>
      <c r="C678" s="20" t="n"/>
    </row>
    <row r="679">
      <c r="B679" s="20" t="n"/>
      <c r="C679" s="20" t="n"/>
    </row>
    <row r="680">
      <c r="B680" s="20" t="n"/>
      <c r="C680" s="20" t="n"/>
    </row>
    <row r="681">
      <c r="B681" s="20" t="n"/>
      <c r="C681" s="20" t="n"/>
    </row>
    <row r="682">
      <c r="B682" s="20" t="n"/>
      <c r="C682" s="20" t="n"/>
    </row>
    <row r="683">
      <c r="B683" s="20" t="n"/>
      <c r="C683" s="20" t="n"/>
    </row>
    <row r="684">
      <c r="B684" s="20" t="n"/>
      <c r="C684" s="20" t="n"/>
    </row>
    <row r="685">
      <c r="B685" s="20" t="n"/>
      <c r="C685" s="20" t="n"/>
    </row>
    <row r="686">
      <c r="B686" s="20" t="n"/>
      <c r="C686" s="20" t="n"/>
    </row>
    <row r="687">
      <c r="B687" s="20" t="n"/>
      <c r="C687" s="20" t="n"/>
    </row>
    <row r="688">
      <c r="B688" s="20" t="n"/>
      <c r="C688" s="20" t="n"/>
    </row>
    <row r="689">
      <c r="B689" s="20" t="n"/>
      <c r="C689" s="20" t="n"/>
    </row>
    <row r="690">
      <c r="B690" s="20" t="n"/>
      <c r="C690" s="20" t="n"/>
    </row>
    <row r="691">
      <c r="B691" s="20" t="n"/>
      <c r="C691" s="20" t="n"/>
    </row>
    <row r="692">
      <c r="B692" s="20" t="n"/>
      <c r="C692" s="20" t="n"/>
    </row>
    <row r="693">
      <c r="B693" s="20" t="n"/>
      <c r="C693" s="20" t="n"/>
    </row>
    <row r="694">
      <c r="B694" s="20" t="n"/>
      <c r="C694" s="20" t="n"/>
    </row>
    <row r="695">
      <c r="B695" s="20" t="n"/>
      <c r="C695" s="20" t="n"/>
    </row>
    <row r="696">
      <c r="B696" s="20" t="n"/>
      <c r="C696" s="20" t="n"/>
    </row>
    <row r="697">
      <c r="B697" s="20" t="n"/>
      <c r="C697" s="20" t="n"/>
    </row>
    <row r="698">
      <c r="B698" s="20" t="n"/>
      <c r="C698" s="20" t="n"/>
    </row>
    <row r="699">
      <c r="B699" s="20" t="n"/>
      <c r="C699" s="20" t="n"/>
    </row>
    <row r="700">
      <c r="B700" s="20" t="n"/>
      <c r="C700" s="20" t="n"/>
    </row>
    <row r="701">
      <c r="B701" s="20" t="n"/>
      <c r="C701" s="20" t="n"/>
    </row>
    <row r="702">
      <c r="B702" s="20" t="n"/>
      <c r="C702" s="20" t="n"/>
    </row>
    <row r="703">
      <c r="B703" s="20" t="n"/>
      <c r="C703" s="20" t="n"/>
    </row>
    <row r="704">
      <c r="B704" s="20" t="n"/>
      <c r="C704" s="20" t="n"/>
    </row>
    <row r="705">
      <c r="B705" s="20" t="n"/>
      <c r="C705" s="20" t="n"/>
    </row>
    <row r="706">
      <c r="B706" s="20" t="n"/>
      <c r="C706" s="20" t="n"/>
    </row>
    <row r="707">
      <c r="B707" s="20" t="n"/>
      <c r="C707" s="20" t="n"/>
    </row>
    <row r="708">
      <c r="B708" s="20" t="n"/>
      <c r="C708" s="20" t="n"/>
    </row>
    <row r="709">
      <c r="B709" s="20" t="n"/>
      <c r="C709" s="20" t="n"/>
    </row>
    <row r="710">
      <c r="B710" s="20" t="n"/>
      <c r="C710" s="20" t="n"/>
    </row>
    <row r="711">
      <c r="B711" s="20" t="n"/>
      <c r="C711" s="20" t="n"/>
    </row>
    <row r="712">
      <c r="B712" s="20" t="n"/>
      <c r="C712" s="20" t="n"/>
    </row>
    <row r="713">
      <c r="B713" s="20" t="n"/>
      <c r="C713" s="20" t="n"/>
    </row>
    <row r="714">
      <c r="B714" s="20" t="n"/>
      <c r="C714" s="20" t="n"/>
    </row>
    <row r="715">
      <c r="B715" s="20" t="n"/>
      <c r="C715" s="20" t="n"/>
    </row>
    <row r="716">
      <c r="B716" s="20" t="n"/>
      <c r="C716" s="20" t="n"/>
    </row>
    <row r="717">
      <c r="B717" s="20" t="n"/>
      <c r="C717" s="20" t="n"/>
    </row>
    <row r="718">
      <c r="B718" s="20" t="n"/>
      <c r="C718" s="20" t="n"/>
    </row>
    <row r="719">
      <c r="B719" s="20" t="n"/>
      <c r="C719" s="20" t="n"/>
    </row>
    <row r="720">
      <c r="B720" s="20" t="n"/>
      <c r="C720" s="20" t="n"/>
    </row>
    <row r="721">
      <c r="B721" s="20" t="n"/>
      <c r="C721" s="20" t="n"/>
    </row>
    <row r="722">
      <c r="B722" s="20" t="n"/>
      <c r="C722" s="20" t="n"/>
    </row>
    <row r="723">
      <c r="B723" s="20" t="n"/>
      <c r="C723" s="20" t="n"/>
    </row>
    <row r="724">
      <c r="B724" s="20" t="n"/>
      <c r="C724" s="20" t="n"/>
    </row>
    <row r="725">
      <c r="B725" s="20" t="n"/>
      <c r="C725" s="20" t="n"/>
    </row>
    <row r="726">
      <c r="B726" s="20" t="n"/>
      <c r="C726" s="20" t="n"/>
    </row>
    <row r="727">
      <c r="B727" s="20" t="n"/>
      <c r="C727" s="20" t="n"/>
    </row>
    <row r="728">
      <c r="B728" s="20" t="n"/>
      <c r="C728" s="20" t="n"/>
    </row>
    <row r="729">
      <c r="B729" s="20" t="n"/>
      <c r="C729" s="20" t="n"/>
    </row>
    <row r="730">
      <c r="B730" s="20" t="n"/>
      <c r="C730" s="20" t="n"/>
    </row>
    <row r="731">
      <c r="B731" s="20" t="n"/>
      <c r="C731" s="20" t="n"/>
    </row>
    <row r="732">
      <c r="B732" s="20" t="n"/>
      <c r="C732" s="20" t="n"/>
    </row>
    <row r="733">
      <c r="B733" s="20" t="n"/>
      <c r="C733" s="20" t="n"/>
    </row>
    <row r="734">
      <c r="B734" s="20" t="n"/>
      <c r="C734" s="20" t="n"/>
    </row>
    <row r="735">
      <c r="B735" s="20" t="n"/>
      <c r="C735" s="20" t="n"/>
    </row>
    <row r="736">
      <c r="B736" s="20" t="n"/>
      <c r="C736" s="20" t="n"/>
    </row>
    <row r="737">
      <c r="B737" s="20" t="n"/>
      <c r="C737" s="20" t="n"/>
    </row>
    <row r="738">
      <c r="B738" s="20" t="n"/>
      <c r="C738" s="20" t="n"/>
    </row>
    <row r="739">
      <c r="B739" s="20" t="n"/>
      <c r="C739" s="20" t="n"/>
    </row>
    <row r="740">
      <c r="B740" s="20" t="n"/>
      <c r="C740" s="20" t="n"/>
    </row>
    <row r="741">
      <c r="B741" s="20" t="n"/>
      <c r="C741" s="20" t="n"/>
    </row>
    <row r="742">
      <c r="B742" s="20" t="n"/>
      <c r="C742" s="20" t="n"/>
    </row>
    <row r="743">
      <c r="B743" s="20" t="n"/>
      <c r="C743" s="20" t="n"/>
    </row>
    <row r="744">
      <c r="B744" s="20" t="n"/>
      <c r="C744" s="20" t="n"/>
    </row>
    <row r="745">
      <c r="B745" s="20" t="n"/>
      <c r="C745" s="20" t="n"/>
    </row>
    <row r="746">
      <c r="B746" s="20" t="n"/>
      <c r="C746" s="20" t="n"/>
    </row>
    <row r="747">
      <c r="B747" s="20" t="n"/>
      <c r="C747" s="20" t="n"/>
    </row>
    <row r="748">
      <c r="B748" s="20" t="n"/>
      <c r="C748" s="20" t="n"/>
    </row>
    <row r="749">
      <c r="B749" s="20" t="n"/>
      <c r="C749" s="20" t="n"/>
    </row>
    <row r="750">
      <c r="B750" s="20" t="n"/>
      <c r="C750" s="20" t="n"/>
    </row>
    <row r="751">
      <c r="B751" s="20" t="n"/>
      <c r="C751" s="20" t="n"/>
    </row>
    <row r="752">
      <c r="B752" s="20" t="n"/>
      <c r="C752" s="20" t="n"/>
    </row>
    <row r="753">
      <c r="B753" s="20" t="n"/>
      <c r="C753" s="20" t="n"/>
    </row>
    <row r="754">
      <c r="B754" s="20" t="n"/>
      <c r="C754" s="20" t="n"/>
    </row>
    <row r="755">
      <c r="B755" s="20" t="n"/>
      <c r="C755" s="20" t="n"/>
    </row>
    <row r="756">
      <c r="B756" s="20" t="n"/>
      <c r="C756" s="20" t="n"/>
    </row>
    <row r="757">
      <c r="B757" s="20" t="n"/>
      <c r="C757" s="20" t="n"/>
    </row>
    <row r="758">
      <c r="B758" s="20" t="n"/>
      <c r="C758" s="20" t="n"/>
    </row>
    <row r="759">
      <c r="B759" s="20" t="n"/>
      <c r="C759" s="20" t="n"/>
    </row>
    <row r="760">
      <c r="B760" s="20" t="n"/>
      <c r="C760" s="20" t="n"/>
    </row>
    <row r="761">
      <c r="B761" s="20" t="n"/>
      <c r="C761" s="20" t="n"/>
    </row>
    <row r="762">
      <c r="B762" s="20" t="n"/>
      <c r="C762" s="20" t="n"/>
    </row>
    <row r="763">
      <c r="B763" s="20" t="n"/>
      <c r="C763" s="20" t="n"/>
    </row>
    <row r="764">
      <c r="B764" s="20" t="n"/>
      <c r="C764" s="20" t="n"/>
    </row>
    <row r="765">
      <c r="B765" s="20" t="n"/>
      <c r="C765" s="20" t="n"/>
    </row>
    <row r="766">
      <c r="B766" s="20" t="n"/>
      <c r="C766" s="20" t="n"/>
    </row>
    <row r="767">
      <c r="B767" s="20" t="n"/>
      <c r="C767" s="20" t="n"/>
    </row>
    <row r="768">
      <c r="B768" s="20" t="n"/>
      <c r="C768" s="20" t="n"/>
    </row>
    <row r="769">
      <c r="B769" s="20" t="n"/>
      <c r="C769" s="20" t="n"/>
    </row>
    <row r="770">
      <c r="B770" s="20" t="n"/>
      <c r="C770" s="20" t="n"/>
    </row>
    <row r="771">
      <c r="B771" s="20" t="n"/>
      <c r="C771" s="20" t="n"/>
    </row>
    <row r="772">
      <c r="B772" s="20" t="n"/>
      <c r="C772" s="20" t="n"/>
    </row>
    <row r="773">
      <c r="B773" s="20" t="n"/>
      <c r="C773" s="20" t="n"/>
    </row>
    <row r="774">
      <c r="B774" s="20" t="n"/>
      <c r="C774" s="20" t="n"/>
    </row>
    <row r="775">
      <c r="B775" s="20" t="n"/>
      <c r="C775" s="20" t="n"/>
    </row>
    <row r="776">
      <c r="B776" s="20" t="n"/>
      <c r="C776" s="20" t="n"/>
    </row>
    <row r="777">
      <c r="B777" s="20" t="n"/>
      <c r="C777" s="20" t="n"/>
    </row>
    <row r="778">
      <c r="B778" s="20" t="n"/>
      <c r="C778" s="20" t="n"/>
    </row>
    <row r="779">
      <c r="B779" s="20" t="n"/>
      <c r="C779" s="20" t="n"/>
    </row>
    <row r="780">
      <c r="B780" s="20" t="n"/>
      <c r="C780" s="20" t="n"/>
    </row>
    <row r="781">
      <c r="B781" s="20" t="n"/>
      <c r="C781" s="20" t="n"/>
    </row>
    <row r="782">
      <c r="B782" s="20" t="n"/>
      <c r="C782" s="20" t="n"/>
    </row>
    <row r="783">
      <c r="B783" s="20" t="n"/>
      <c r="C783" s="20" t="n"/>
    </row>
    <row r="784">
      <c r="B784" s="20" t="n"/>
      <c r="C784" s="20" t="n"/>
    </row>
    <row r="785">
      <c r="B785" s="20" t="n"/>
      <c r="C785" s="20" t="n"/>
    </row>
    <row r="786">
      <c r="B786" s="20" t="n"/>
      <c r="C786" s="20" t="n"/>
    </row>
    <row r="787">
      <c r="B787" s="20" t="n"/>
      <c r="C787" s="20" t="n"/>
    </row>
    <row r="788">
      <c r="B788" s="20" t="n"/>
      <c r="C788" s="20" t="n"/>
    </row>
    <row r="789">
      <c r="B789" s="20" t="n"/>
      <c r="C789" s="20" t="n"/>
    </row>
    <row r="790">
      <c r="B790" s="20" t="n"/>
      <c r="C790" s="20" t="n"/>
    </row>
    <row r="791">
      <c r="B791" s="20" t="n"/>
      <c r="C791" s="20" t="n"/>
    </row>
    <row r="792">
      <c r="B792" s="20" t="n"/>
      <c r="C792" s="20" t="n"/>
    </row>
    <row r="793">
      <c r="B793" s="20" t="n"/>
      <c r="C793" s="20" t="n"/>
    </row>
    <row r="794">
      <c r="B794" s="20" t="n"/>
      <c r="C794" s="20" t="n"/>
    </row>
    <row r="795">
      <c r="B795" s="20" t="n"/>
      <c r="C795" s="20" t="n"/>
    </row>
    <row r="796">
      <c r="B796" s="20" t="n"/>
      <c r="C796" s="20" t="n"/>
    </row>
    <row r="797">
      <c r="B797" s="20" t="n"/>
      <c r="C797" s="20" t="n"/>
    </row>
    <row r="798">
      <c r="B798" s="20" t="n"/>
      <c r="C798" s="20" t="n"/>
    </row>
    <row r="799">
      <c r="B799" s="20" t="n"/>
      <c r="C799" s="20" t="n"/>
    </row>
    <row r="800">
      <c r="B800" s="20" t="n"/>
      <c r="C800" s="20" t="n"/>
    </row>
    <row r="801">
      <c r="B801" s="20" t="n"/>
      <c r="C801" s="20" t="n"/>
    </row>
    <row r="802">
      <c r="B802" s="20" t="n"/>
      <c r="C802" s="20" t="n"/>
    </row>
    <row r="803">
      <c r="B803" s="20" t="n"/>
      <c r="C803" s="20" t="n"/>
    </row>
    <row r="804">
      <c r="B804" s="20" t="n"/>
      <c r="C804" s="20" t="n"/>
    </row>
    <row r="805">
      <c r="B805" s="20" t="n"/>
      <c r="C805" s="20" t="n"/>
    </row>
    <row r="806">
      <c r="B806" s="20" t="n"/>
      <c r="C806" s="20" t="n"/>
    </row>
    <row r="807">
      <c r="B807" s="20" t="n"/>
      <c r="C807" s="20" t="n"/>
    </row>
    <row r="808">
      <c r="B808" s="20" t="n"/>
      <c r="C808" s="20" t="n"/>
    </row>
    <row r="809">
      <c r="B809" s="20" t="n"/>
      <c r="C809" s="20" t="n"/>
    </row>
    <row r="810">
      <c r="B810" s="20" t="n"/>
      <c r="C810" s="20" t="n"/>
    </row>
    <row r="811">
      <c r="B811" s="20" t="n"/>
      <c r="C811" s="20" t="n"/>
    </row>
    <row r="812">
      <c r="B812" s="20" t="n"/>
      <c r="C812" s="20" t="n"/>
    </row>
    <row r="813">
      <c r="B813" s="20" t="n"/>
      <c r="C813" s="20" t="n"/>
    </row>
    <row r="814">
      <c r="B814" s="20" t="n"/>
      <c r="C814" s="20" t="n"/>
    </row>
    <row r="815">
      <c r="B815" s="20" t="n"/>
      <c r="C815" s="20" t="n"/>
    </row>
    <row r="816">
      <c r="B816" s="20" t="n"/>
      <c r="C816" s="20" t="n"/>
    </row>
    <row r="817">
      <c r="B817" s="20" t="n"/>
      <c r="C817" s="20" t="n"/>
    </row>
    <row r="818">
      <c r="B818" s="20" t="n"/>
      <c r="C818" s="20" t="n"/>
    </row>
    <row r="819">
      <c r="B819" s="20" t="n"/>
      <c r="C819" s="20" t="n"/>
    </row>
    <row r="820">
      <c r="B820" s="20" t="n"/>
      <c r="C820" s="20" t="n"/>
    </row>
    <row r="821">
      <c r="B821" s="20" t="n"/>
      <c r="C821" s="20" t="n"/>
    </row>
    <row r="822">
      <c r="B822" s="20" t="n"/>
      <c r="C822" s="20" t="n"/>
    </row>
    <row r="823">
      <c r="B823" s="20" t="n"/>
      <c r="C823" s="20" t="n"/>
    </row>
    <row r="824">
      <c r="B824" s="20" t="n"/>
      <c r="C824" s="20" t="n"/>
    </row>
    <row r="825">
      <c r="B825" s="20" t="n"/>
      <c r="C825" s="20" t="n"/>
    </row>
    <row r="826">
      <c r="B826" s="20" t="n"/>
      <c r="C826" s="20" t="n"/>
    </row>
    <row r="827">
      <c r="B827" s="20" t="n"/>
      <c r="C827" s="20" t="n"/>
    </row>
    <row r="828">
      <c r="B828" s="20" t="n"/>
      <c r="C828" s="20" t="n"/>
    </row>
    <row r="829">
      <c r="B829" s="20" t="n"/>
      <c r="C829" s="20" t="n"/>
    </row>
    <row r="830">
      <c r="B830" s="20" t="n"/>
      <c r="C830" s="20" t="n"/>
    </row>
    <row r="831">
      <c r="B831" s="20" t="n"/>
      <c r="C831" s="20" t="n"/>
    </row>
    <row r="832">
      <c r="B832" s="20" t="n"/>
      <c r="C832" s="20" t="n"/>
    </row>
    <row r="833">
      <c r="B833" s="20" t="n"/>
      <c r="C833" s="20" t="n"/>
    </row>
    <row r="834">
      <c r="B834" s="20" t="n"/>
      <c r="C834" s="20" t="n"/>
    </row>
    <row r="835">
      <c r="B835" s="20" t="n"/>
      <c r="C835" s="20" t="n"/>
    </row>
    <row r="836">
      <c r="B836" s="20" t="n"/>
      <c r="C836" s="20" t="n"/>
    </row>
    <row r="837">
      <c r="B837" s="20" t="n"/>
      <c r="C837" s="20" t="n"/>
    </row>
    <row r="838">
      <c r="B838" s="20" t="n"/>
      <c r="C838" s="20" t="n"/>
    </row>
    <row r="839">
      <c r="B839" s="20" t="n"/>
      <c r="C839" s="20" t="n"/>
    </row>
    <row r="840">
      <c r="B840" s="20" t="n"/>
      <c r="C840" s="20" t="n"/>
    </row>
    <row r="841">
      <c r="B841" s="20" t="n"/>
      <c r="C841" s="20" t="n"/>
    </row>
    <row r="842">
      <c r="B842" s="20" t="n"/>
      <c r="C842" s="20" t="n"/>
    </row>
    <row r="843">
      <c r="B843" s="20" t="n"/>
      <c r="C843" s="20" t="n"/>
    </row>
    <row r="844">
      <c r="B844" s="20" t="n"/>
      <c r="C844" s="20" t="n"/>
    </row>
    <row r="845">
      <c r="B845" s="20" t="n"/>
      <c r="C845" s="20" t="n"/>
    </row>
    <row r="846">
      <c r="B846" s="20" t="n"/>
      <c r="C846" s="20" t="n"/>
    </row>
    <row r="847">
      <c r="B847" s="20" t="n"/>
      <c r="C847" s="20" t="n"/>
    </row>
    <row r="848">
      <c r="B848" s="20" t="n"/>
      <c r="C848" s="20" t="n"/>
    </row>
    <row r="849">
      <c r="B849" s="20" t="n"/>
      <c r="C849" s="20" t="n"/>
    </row>
    <row r="850">
      <c r="B850" s="20" t="n"/>
      <c r="C850" s="20" t="n"/>
    </row>
    <row r="851">
      <c r="B851" s="20" t="n"/>
      <c r="C851" s="20" t="n"/>
    </row>
    <row r="852">
      <c r="B852" s="20" t="n"/>
      <c r="C852" s="20" t="n"/>
    </row>
    <row r="853">
      <c r="B853" s="20" t="n"/>
      <c r="C853" s="20" t="n"/>
    </row>
    <row r="854">
      <c r="B854" s="20" t="n"/>
      <c r="C854" s="20" t="n"/>
    </row>
    <row r="855">
      <c r="B855" s="20" t="n"/>
      <c r="C855" s="20" t="n"/>
    </row>
    <row r="856">
      <c r="B856" s="20" t="n"/>
      <c r="C856" s="20" t="n"/>
    </row>
    <row r="857">
      <c r="B857" s="20" t="n"/>
      <c r="C857" s="20" t="n"/>
    </row>
    <row r="858">
      <c r="B858" s="20" t="n"/>
      <c r="C858" s="20" t="n"/>
    </row>
    <row r="859">
      <c r="B859" s="20" t="n"/>
      <c r="C859" s="20" t="n"/>
    </row>
    <row r="860">
      <c r="B860" s="20" t="n"/>
      <c r="C860" s="20" t="n"/>
    </row>
    <row r="861">
      <c r="B861" s="20" t="n"/>
      <c r="C861" s="20" t="n"/>
    </row>
    <row r="862">
      <c r="B862" s="20" t="n"/>
      <c r="C862" s="20" t="n"/>
    </row>
    <row r="863">
      <c r="B863" s="20" t="n"/>
      <c r="C863" s="20" t="n"/>
    </row>
    <row r="864">
      <c r="B864" s="20" t="n"/>
      <c r="C864" s="20" t="n"/>
    </row>
    <row r="865">
      <c r="B865" s="20" t="n"/>
      <c r="C865" s="20" t="n"/>
    </row>
    <row r="866">
      <c r="B866" s="20" t="n"/>
      <c r="C866" s="20" t="n"/>
    </row>
    <row r="867">
      <c r="B867" s="20" t="n"/>
      <c r="C867" s="20" t="n"/>
    </row>
    <row r="868">
      <c r="B868" s="20" t="n"/>
      <c r="C868" s="20" t="n"/>
    </row>
    <row r="869">
      <c r="B869" s="20" t="n"/>
      <c r="C869" s="20" t="n"/>
    </row>
    <row r="870">
      <c r="B870" s="20" t="n"/>
      <c r="C870" s="20" t="n"/>
    </row>
    <row r="871">
      <c r="B871" s="20" t="n"/>
      <c r="C871" s="20" t="n"/>
    </row>
    <row r="872">
      <c r="B872" s="20" t="n"/>
      <c r="C872" s="20" t="n"/>
    </row>
    <row r="873">
      <c r="B873" s="20" t="n"/>
      <c r="C873" s="20" t="n"/>
    </row>
    <row r="874">
      <c r="B874" s="20" t="n"/>
      <c r="C874" s="20" t="n"/>
    </row>
    <row r="875">
      <c r="B875" s="20" t="n"/>
      <c r="C875" s="20" t="n"/>
    </row>
    <row r="876">
      <c r="B876" s="20" t="n"/>
      <c r="C876" s="20" t="n"/>
    </row>
    <row r="877">
      <c r="B877" s="20" t="n"/>
      <c r="C877" s="20" t="n"/>
    </row>
    <row r="878">
      <c r="B878" s="20" t="n"/>
      <c r="C878" s="20" t="n"/>
    </row>
    <row r="879">
      <c r="B879" s="20" t="n"/>
      <c r="C879" s="20" t="n"/>
    </row>
    <row r="880">
      <c r="B880" s="20" t="n"/>
      <c r="C880" s="20" t="n"/>
    </row>
    <row r="881">
      <c r="B881" s="20" t="n"/>
      <c r="C881" s="20" t="n"/>
    </row>
    <row r="882">
      <c r="B882" s="20" t="n"/>
      <c r="C882" s="20" t="n"/>
    </row>
    <row r="883">
      <c r="B883" s="20" t="n"/>
      <c r="C883" s="20" t="n"/>
    </row>
    <row r="884">
      <c r="B884" s="20" t="n"/>
      <c r="C884" s="20" t="n"/>
    </row>
    <row r="885">
      <c r="B885" s="20" t="n"/>
      <c r="C885" s="20" t="n"/>
    </row>
    <row r="886">
      <c r="B886" s="20" t="n"/>
      <c r="C886" s="20" t="n"/>
    </row>
    <row r="887">
      <c r="B887" s="20" t="n"/>
      <c r="C887" s="20" t="n"/>
    </row>
    <row r="888">
      <c r="B888" s="20" t="n"/>
      <c r="C888" s="20" t="n"/>
    </row>
    <row r="889">
      <c r="B889" s="20" t="n"/>
      <c r="C889" s="20" t="n"/>
    </row>
    <row r="890">
      <c r="B890" s="20" t="n"/>
      <c r="C890" s="20" t="n"/>
    </row>
    <row r="891">
      <c r="B891" s="20" t="n"/>
      <c r="C891" s="20" t="n"/>
    </row>
    <row r="892">
      <c r="B892" s="20" t="n"/>
      <c r="C892" s="20" t="n"/>
    </row>
    <row r="893">
      <c r="B893" s="20" t="n"/>
      <c r="C893" s="20" t="n"/>
    </row>
    <row r="894">
      <c r="B894" s="20" t="n"/>
      <c r="C894" s="20" t="n"/>
    </row>
    <row r="895">
      <c r="B895" s="20" t="n"/>
      <c r="C895" s="20" t="n"/>
    </row>
    <row r="896">
      <c r="B896" s="20" t="n"/>
      <c r="C896" s="20" t="n"/>
    </row>
    <row r="897">
      <c r="B897" s="20" t="n"/>
      <c r="C897" s="20" t="n"/>
    </row>
    <row r="898">
      <c r="B898" s="20" t="n"/>
      <c r="C898" s="20" t="n"/>
    </row>
    <row r="899">
      <c r="B899" s="20" t="n"/>
      <c r="C899" s="20" t="n"/>
    </row>
    <row r="900">
      <c r="B900" s="20" t="n"/>
      <c r="C900" s="20" t="n"/>
    </row>
    <row r="901">
      <c r="B901" s="20" t="n"/>
      <c r="C901" s="20" t="n"/>
    </row>
    <row r="902">
      <c r="B902" s="20" t="n"/>
      <c r="C902" s="20" t="n"/>
    </row>
    <row r="903">
      <c r="B903" s="20" t="n"/>
      <c r="C903" s="20" t="n"/>
    </row>
    <row r="904">
      <c r="B904" s="20" t="n"/>
      <c r="C904" s="20" t="n"/>
    </row>
    <row r="905">
      <c r="B905" s="20" t="n"/>
      <c r="C905" s="20" t="n"/>
    </row>
    <row r="906">
      <c r="B906" s="20" t="n"/>
      <c r="C906" s="20" t="n"/>
    </row>
    <row r="907">
      <c r="B907" s="20" t="n"/>
      <c r="C907" s="20" t="n"/>
    </row>
    <row r="908">
      <c r="B908" s="20" t="n"/>
      <c r="C908" s="20" t="n"/>
    </row>
    <row r="909">
      <c r="B909" s="20" t="n"/>
      <c r="C909" s="20" t="n"/>
    </row>
    <row r="910">
      <c r="B910" s="20" t="n"/>
      <c r="C910" s="20" t="n"/>
    </row>
    <row r="911">
      <c r="B911" s="20" t="n"/>
      <c r="C911" s="20" t="n"/>
    </row>
    <row r="912">
      <c r="B912" s="20" t="n"/>
      <c r="C912" s="20" t="n"/>
    </row>
    <row r="913">
      <c r="B913" s="20" t="n"/>
      <c r="C913" s="20" t="n"/>
    </row>
    <row r="914">
      <c r="B914" s="20" t="n"/>
      <c r="C914" s="20" t="n"/>
    </row>
    <row r="915">
      <c r="B915" s="20" t="n"/>
      <c r="C915" s="20" t="n"/>
    </row>
    <row r="916">
      <c r="B916" s="20" t="n"/>
      <c r="C916" s="20" t="n"/>
    </row>
    <row r="917">
      <c r="B917" s="20" t="n"/>
      <c r="C917" s="20" t="n"/>
    </row>
    <row r="918">
      <c r="B918" s="20" t="n"/>
      <c r="C918" s="20" t="n"/>
    </row>
    <row r="919">
      <c r="B919" s="20" t="n"/>
      <c r="C919" s="20" t="n"/>
    </row>
    <row r="920">
      <c r="B920" s="20" t="n"/>
      <c r="C920" s="20" t="n"/>
    </row>
    <row r="921">
      <c r="B921" s="20" t="n"/>
      <c r="C921" s="20" t="n"/>
    </row>
    <row r="922">
      <c r="B922" s="20" t="n"/>
      <c r="C922" s="20" t="n"/>
    </row>
    <row r="923">
      <c r="B923" s="20" t="n"/>
      <c r="C923" s="20" t="n"/>
    </row>
    <row r="924">
      <c r="B924" s="20" t="n"/>
      <c r="C924" s="20" t="n"/>
    </row>
    <row r="925">
      <c r="B925" s="20" t="n"/>
      <c r="C925" s="20" t="n"/>
    </row>
    <row r="926">
      <c r="B926" s="20" t="n"/>
      <c r="C926" s="20" t="n"/>
    </row>
    <row r="927">
      <c r="B927" s="20" t="n"/>
      <c r="C927" s="20" t="n"/>
    </row>
    <row r="928">
      <c r="B928" s="20" t="n"/>
      <c r="C928" s="20" t="n"/>
    </row>
    <row r="929">
      <c r="B929" s="20" t="n"/>
      <c r="C929" s="20" t="n"/>
    </row>
    <row r="930">
      <c r="B930" s="20" t="n"/>
      <c r="C930" s="20" t="n"/>
    </row>
    <row r="931">
      <c r="B931" s="20" t="n"/>
      <c r="C931" s="20" t="n"/>
    </row>
    <row r="932">
      <c r="B932" s="20" t="n"/>
      <c r="C932" s="20" t="n"/>
    </row>
    <row r="933">
      <c r="B933" s="20" t="n"/>
      <c r="C933" s="20" t="n"/>
    </row>
    <row r="934">
      <c r="B934" s="20" t="n"/>
      <c r="C934" s="20" t="n"/>
    </row>
    <row r="935">
      <c r="B935" s="20" t="n"/>
      <c r="C935" s="20" t="n"/>
    </row>
    <row r="936">
      <c r="B936" s="20" t="n"/>
      <c r="C936" s="20" t="n"/>
    </row>
    <row r="937">
      <c r="B937" s="20" t="n"/>
      <c r="C937" s="20" t="n"/>
    </row>
    <row r="938">
      <c r="B938" s="20" t="n"/>
      <c r="C938" s="20" t="n"/>
    </row>
    <row r="939">
      <c r="B939" s="20" t="n"/>
      <c r="C939" s="20" t="n"/>
    </row>
    <row r="940">
      <c r="B940" s="20" t="n"/>
      <c r="C940" s="20" t="n"/>
    </row>
    <row r="941">
      <c r="B941" s="20" t="n"/>
      <c r="C941" s="20" t="n"/>
    </row>
    <row r="942">
      <c r="B942" s="20" t="n"/>
      <c r="C942" s="20" t="n"/>
    </row>
    <row r="943">
      <c r="B943" s="20" t="n"/>
      <c r="C943" s="20" t="n"/>
    </row>
    <row r="944">
      <c r="B944" s="20" t="n"/>
      <c r="C944" s="20" t="n"/>
    </row>
    <row r="945">
      <c r="B945" s="20" t="n"/>
      <c r="C945" s="20" t="n"/>
    </row>
    <row r="946">
      <c r="B946" s="20" t="n"/>
      <c r="C946" s="20" t="n"/>
    </row>
    <row r="947">
      <c r="B947" s="20" t="n"/>
      <c r="C947" s="20" t="n"/>
    </row>
    <row r="948">
      <c r="B948" s="20" t="n"/>
      <c r="C948" s="20" t="n"/>
    </row>
    <row r="949">
      <c r="B949" s="20" t="n"/>
      <c r="C949" s="20" t="n"/>
    </row>
    <row r="950">
      <c r="B950" s="20" t="n"/>
      <c r="C950" s="20" t="n"/>
    </row>
    <row r="951">
      <c r="B951" s="20" t="n"/>
      <c r="C951" s="20" t="n"/>
    </row>
    <row r="952">
      <c r="B952" s="20" t="n"/>
      <c r="C952" s="20" t="n"/>
    </row>
    <row r="953">
      <c r="B953" s="20" t="n"/>
      <c r="C953" s="20" t="n"/>
    </row>
    <row r="954">
      <c r="B954" s="20" t="n"/>
      <c r="C954" s="20" t="n"/>
    </row>
    <row r="955">
      <c r="B955" s="20" t="n"/>
      <c r="C955" s="20" t="n"/>
    </row>
    <row r="956">
      <c r="B956" s="20" t="n"/>
      <c r="C956" s="20" t="n"/>
    </row>
    <row r="957">
      <c r="B957" s="20" t="n"/>
      <c r="C957" s="20" t="n"/>
    </row>
    <row r="958">
      <c r="B958" s="20" t="n"/>
      <c r="C958" s="20" t="n"/>
    </row>
    <row r="959">
      <c r="B959" s="20" t="n"/>
      <c r="C959" s="20" t="n"/>
    </row>
    <row r="960">
      <c r="B960" s="20" t="n"/>
      <c r="C960" s="20" t="n"/>
    </row>
    <row r="961">
      <c r="B961" s="20" t="n"/>
      <c r="C961" s="20" t="n"/>
    </row>
    <row r="962">
      <c r="B962" s="20" t="n"/>
      <c r="C962" s="20" t="n"/>
    </row>
    <row r="963">
      <c r="B963" s="20" t="n"/>
      <c r="C963" s="20" t="n"/>
    </row>
    <row r="964">
      <c r="B964" s="20" t="n"/>
      <c r="C964" s="20" t="n"/>
    </row>
    <row r="965">
      <c r="B965" s="20" t="n"/>
      <c r="C965" s="20" t="n"/>
    </row>
    <row r="966">
      <c r="B966" s="20" t="n"/>
      <c r="C966" s="20" t="n"/>
    </row>
    <row r="967">
      <c r="B967" s="20" t="n"/>
      <c r="C967" s="20" t="n"/>
    </row>
    <row r="968">
      <c r="B968" s="20" t="n"/>
      <c r="C968" s="20" t="n"/>
    </row>
    <row r="969">
      <c r="B969" s="20" t="n"/>
      <c r="C969" s="20" t="n"/>
    </row>
    <row r="970">
      <c r="B970" s="20" t="n"/>
      <c r="C970" s="20" t="n"/>
    </row>
    <row r="971">
      <c r="B971" s="20" t="n"/>
      <c r="C971" s="20" t="n"/>
    </row>
    <row r="972">
      <c r="B972" s="20" t="n"/>
      <c r="C972" s="20" t="n"/>
    </row>
    <row r="973">
      <c r="B973" s="20" t="n"/>
      <c r="C973" s="20" t="n"/>
    </row>
    <row r="974">
      <c r="B974" s="20" t="n"/>
      <c r="C974" s="20" t="n"/>
    </row>
    <row r="975">
      <c r="B975" s="20" t="n"/>
      <c r="C975" s="20" t="n"/>
    </row>
    <row r="976">
      <c r="B976" s="20" t="n"/>
      <c r="C976" s="20" t="n"/>
    </row>
    <row r="977">
      <c r="B977" s="20" t="n"/>
      <c r="C977" s="20" t="n"/>
    </row>
    <row r="978">
      <c r="B978" s="20" t="n"/>
      <c r="C978" s="20" t="n"/>
    </row>
    <row r="979">
      <c r="B979" s="20" t="n"/>
      <c r="C979" s="20" t="n"/>
    </row>
    <row r="980">
      <c r="B980" s="20" t="n"/>
      <c r="C980" s="20" t="n"/>
    </row>
    <row r="981">
      <c r="B981" s="20" t="n"/>
      <c r="C981" s="20" t="n"/>
    </row>
    <row r="982">
      <c r="B982" s="20" t="n"/>
      <c r="C982" s="20" t="n"/>
    </row>
    <row r="983">
      <c r="B983" s="20" t="n"/>
      <c r="C983" s="20" t="n"/>
    </row>
    <row r="984">
      <c r="B984" s="20" t="n"/>
      <c r="C984" s="20" t="n"/>
    </row>
    <row r="985">
      <c r="B985" s="20" t="n"/>
      <c r="C985" s="20" t="n"/>
    </row>
    <row r="986">
      <c r="B986" s="20" t="n"/>
      <c r="C986" s="20" t="n"/>
    </row>
    <row r="987">
      <c r="B987" s="20" t="n"/>
      <c r="C987" s="20" t="n"/>
    </row>
    <row r="988">
      <c r="B988" s="20" t="n"/>
      <c r="C988" s="20" t="n"/>
    </row>
    <row r="989">
      <c r="B989" s="20" t="n"/>
      <c r="C989" s="20" t="n"/>
    </row>
    <row r="990">
      <c r="B990" s="20" t="n"/>
      <c r="C990" s="20" t="n"/>
    </row>
    <row r="991">
      <c r="B991" s="20" t="n"/>
      <c r="C991" s="20" t="n"/>
    </row>
    <row r="992">
      <c r="B992" s="20" t="n"/>
      <c r="C992" s="20" t="n"/>
    </row>
    <row r="993">
      <c r="B993" s="20" t="n"/>
      <c r="C993" s="20" t="n"/>
    </row>
    <row r="994">
      <c r="B994" s="20" t="n"/>
      <c r="C994" s="20" t="n"/>
    </row>
    <row r="995">
      <c r="B995" s="20" t="n"/>
      <c r="C995" s="20" t="n"/>
    </row>
    <row r="996">
      <c r="B996" s="20" t="n"/>
      <c r="C996" s="20" t="n"/>
    </row>
    <row r="997">
      <c r="B997" s="20" t="n"/>
      <c r="C997" s="20" t="n"/>
    </row>
    <row r="998">
      <c r="B998" s="20" t="n"/>
      <c r="C998" s="20" t="n"/>
    </row>
    <row r="999">
      <c r="B999" s="20" t="n"/>
      <c r="C999" s="20" t="n"/>
    </row>
    <row r="1000">
      <c r="B1000" s="20" t="n"/>
      <c r="C1000" s="20"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K1548"/>
  <sheetViews>
    <sheetView workbookViewId="0">
      <pane ySplit="1" topLeftCell="A2" activePane="bottomLeft" state="frozen"/>
      <selection pane="bottomLeft" activeCell="B3" sqref="B3"/>
    </sheetView>
  </sheetViews>
  <sheetFormatPr baseColWidth="8" defaultColWidth="12.63" defaultRowHeight="15.75" customHeight="1"/>
  <sheetData>
    <row r="1">
      <c r="A1" s="19" t="inlineStr">
        <is>
          <t>GameID</t>
        </is>
      </c>
      <c r="B1" s="19" t="inlineStr">
        <is>
          <t>Player</t>
        </is>
      </c>
      <c r="C1" s="19" t="inlineStr">
        <is>
          <t>Alignment</t>
        </is>
      </c>
      <c r="D1" s="19" t="inlineStr">
        <is>
          <t>Result</t>
        </is>
      </c>
      <c r="E1" s="19" t="inlineStr">
        <is>
          <t>RateChange</t>
        </is>
      </c>
      <c r="F1" s="19" t="inlineStr">
        <is>
          <t>old_mu</t>
        </is>
      </c>
      <c r="G1" s="19" t="inlineStr">
        <is>
          <t>new_mu</t>
        </is>
      </c>
      <c r="H1" s="19" t="inlineStr">
        <is>
          <t>new_sigma</t>
        </is>
      </c>
      <c r="I1" s="19" t="inlineStr">
        <is>
          <t>old_rating</t>
        </is>
      </c>
      <c r="J1" s="19" t="inlineStr">
        <is>
          <t>new_rating</t>
        </is>
      </c>
      <c r="K1" s="19" t="inlineStr">
        <is>
          <t>old_sigma</t>
        </is>
      </c>
    </row>
    <row r="2">
      <c r="A2" s="19" t="n">
        <v>162</v>
      </c>
      <c r="B2" s="19" t="inlineStr">
        <is>
          <t>Noah</t>
        </is>
      </c>
      <c r="C2" s="19" t="inlineStr">
        <is>
          <t>Town</t>
        </is>
      </c>
      <c r="D2" s="19" t="inlineStr">
        <is>
          <t>Win</t>
        </is>
      </c>
      <c r="E2" s="19" t="n">
        <v>51</v>
      </c>
      <c r="F2" s="19" t="n">
        <v>33.9093142142213</v>
      </c>
      <c r="G2" s="19" t="n">
        <v>34.6066904806581</v>
      </c>
      <c r="H2" s="19" t="n">
        <v>6.25206633570452</v>
      </c>
      <c r="I2" s="19" t="n">
        <v>1665</v>
      </c>
      <c r="J2" s="19" t="n">
        <v>1716</v>
      </c>
      <c r="K2" s="19" t="n">
        <v>6.2797034442297</v>
      </c>
    </row>
    <row r="3">
      <c r="A3" s="19" t="n">
        <v>162</v>
      </c>
      <c r="B3" s="19" t="inlineStr">
        <is>
          <t>Badpants</t>
        </is>
      </c>
      <c r="C3" s="19" t="inlineStr">
        <is>
          <t>Town</t>
        </is>
      </c>
      <c r="D3" s="19" t="inlineStr">
        <is>
          <t>Win</t>
        </is>
      </c>
      <c r="E3" s="19" t="n">
        <v>50</v>
      </c>
      <c r="F3" s="19" t="n">
        <v>25.6000817721412</v>
      </c>
      <c r="G3" s="19" t="n">
        <v>26.3007646750927</v>
      </c>
      <c r="H3" s="19" t="n">
        <v>6.26670516043161</v>
      </c>
      <c r="I3" s="19" t="n">
        <v>1099</v>
      </c>
      <c r="J3" s="19" t="n">
        <v>1149</v>
      </c>
      <c r="K3" s="19" t="n">
        <v>6.29460746376644</v>
      </c>
    </row>
    <row r="4">
      <c r="A4" s="19" t="n">
        <v>162</v>
      </c>
      <c r="B4" s="19" t="inlineStr">
        <is>
          <t>Decode</t>
        </is>
      </c>
      <c r="C4" s="19" t="inlineStr">
        <is>
          <t>Town</t>
        </is>
      </c>
      <c r="D4" s="19" t="inlineStr">
        <is>
          <t>Win</t>
        </is>
      </c>
      <c r="E4" s="19" t="n">
        <v>70</v>
      </c>
      <c r="F4" s="19" t="n">
        <v>21.5046041141424</v>
      </c>
      <c r="G4" s="19" t="n">
        <v>22.4646617951186</v>
      </c>
      <c r="H4" s="19" t="n">
        <v>7.32021236618228</v>
      </c>
      <c r="I4" s="19" t="n">
        <v>711</v>
      </c>
      <c r="J4" s="19" t="n">
        <v>781</v>
      </c>
      <c r="K4" s="19" t="n">
        <v>7.37037816343565</v>
      </c>
    </row>
    <row r="5">
      <c r="A5" s="19" t="n">
        <v>162</v>
      </c>
      <c r="B5" s="19" t="inlineStr">
        <is>
          <t>Kden</t>
        </is>
      </c>
      <c r="C5" s="19" t="inlineStr">
        <is>
          <t>Town</t>
        </is>
      </c>
      <c r="D5" s="19" t="inlineStr">
        <is>
          <t>Win</t>
        </is>
      </c>
      <c r="E5" s="19" t="n">
        <v>55</v>
      </c>
      <c r="F5" s="19" t="n">
        <v>27.0492876726871</v>
      </c>
      <c r="G5" s="19" t="n">
        <v>27.8058690150628</v>
      </c>
      <c r="H5" s="19" t="n">
        <v>6.50896477208999</v>
      </c>
      <c r="I5" s="19" t="n">
        <v>1172</v>
      </c>
      <c r="J5" s="19" t="n">
        <v>1227</v>
      </c>
      <c r="K5" s="19" t="n">
        <v>6.54142166115641</v>
      </c>
    </row>
    <row r="6">
      <c r="A6" s="19" t="n">
        <v>162</v>
      </c>
      <c r="B6" s="19" t="inlineStr">
        <is>
          <t>Heckmuffins</t>
        </is>
      </c>
      <c r="C6" s="19" t="inlineStr">
        <is>
          <t>Town</t>
        </is>
      </c>
      <c r="D6" s="19" t="inlineStr">
        <is>
          <t>Win</t>
        </is>
      </c>
      <c r="E6" s="19" t="n">
        <v>79</v>
      </c>
      <c r="F6" s="19" t="n">
        <v>32.608015737753</v>
      </c>
      <c r="G6" s="19" t="n">
        <v>33.6798359646618</v>
      </c>
      <c r="H6" s="19" t="n">
        <v>7.72761586180871</v>
      </c>
      <c r="I6" s="19" t="n">
        <v>1423</v>
      </c>
      <c r="J6" s="19" t="n">
        <v>1502</v>
      </c>
      <c r="K6" s="19" t="n">
        <v>7.78824478706393</v>
      </c>
    </row>
    <row r="7">
      <c r="A7" s="19" t="n">
        <v>162</v>
      </c>
      <c r="B7" s="19" t="inlineStr">
        <is>
          <t>Rocker</t>
        </is>
      </c>
      <c r="C7" s="19" t="inlineStr">
        <is>
          <t>Town</t>
        </is>
      </c>
      <c r="D7" s="19" t="inlineStr">
        <is>
          <t>Win</t>
        </is>
      </c>
      <c r="E7" s="19" t="n">
        <v>45</v>
      </c>
      <c r="F7" s="19" t="n">
        <v>37.9868362402506</v>
      </c>
      <c r="G7" s="19" t="n">
        <v>38.6165215909118</v>
      </c>
      <c r="H7" s="19" t="n">
        <v>5.94411153525967</v>
      </c>
      <c r="I7" s="19" t="n">
        <v>1975</v>
      </c>
      <c r="J7" s="19" t="n">
        <v>2020</v>
      </c>
      <c r="K7" s="19" t="n">
        <v>5.96642336081645</v>
      </c>
    </row>
    <row r="8">
      <c r="A8" s="19" t="n">
        <v>162</v>
      </c>
      <c r="B8" s="19" t="inlineStr">
        <is>
          <t>Brownkow</t>
        </is>
      </c>
      <c r="C8" s="19" t="inlineStr">
        <is>
          <t>Town</t>
        </is>
      </c>
      <c r="D8" s="19" t="inlineStr">
        <is>
          <t>Win</t>
        </is>
      </c>
      <c r="E8" s="19" t="n">
        <v>45</v>
      </c>
      <c r="F8" s="19" t="n">
        <v>31.4367293392873</v>
      </c>
      <c r="G8" s="19" t="n">
        <v>32.0670881066492</v>
      </c>
      <c r="H8" s="19" t="n">
        <v>5.94725712991324</v>
      </c>
      <c r="I8" s="19" t="n">
        <v>1529</v>
      </c>
      <c r="J8" s="19" t="n">
        <v>1574</v>
      </c>
      <c r="K8" s="19" t="n">
        <v>5.96962096429692</v>
      </c>
    </row>
    <row r="9">
      <c r="A9" s="19" t="n">
        <v>162</v>
      </c>
      <c r="B9" s="19" t="inlineStr">
        <is>
          <t>Gilbert</t>
        </is>
      </c>
      <c r="C9" s="19" t="inlineStr">
        <is>
          <t>Town</t>
        </is>
      </c>
      <c r="D9" s="19" t="inlineStr">
        <is>
          <t>Win</t>
        </is>
      </c>
      <c r="E9" s="19" t="n">
        <v>59</v>
      </c>
      <c r="F9" s="19" t="n">
        <v>26.8793495868329</v>
      </c>
      <c r="G9" s="19" t="n">
        <v>27.6848809110465</v>
      </c>
      <c r="H9" s="19" t="n">
        <v>6.71359209413573</v>
      </c>
      <c r="I9" s="19" t="n">
        <v>1139</v>
      </c>
      <c r="J9" s="19" t="n">
        <v>1198</v>
      </c>
      <c r="K9" s="19" t="n">
        <v>6.75014807384061</v>
      </c>
    </row>
    <row r="10">
      <c r="A10" s="19" t="n">
        <v>162</v>
      </c>
      <c r="B10" s="19" t="inlineStr">
        <is>
          <t>Lou</t>
        </is>
      </c>
      <c r="C10" s="19" t="inlineStr">
        <is>
          <t>Town</t>
        </is>
      </c>
      <c r="D10" s="19" t="inlineStr">
        <is>
          <t>Win</t>
        </is>
      </c>
      <c r="E10" s="19" t="n">
        <v>50</v>
      </c>
      <c r="F10" s="19" t="n">
        <v>31.1191757985082</v>
      </c>
      <c r="G10" s="19" t="n">
        <v>31.8175053392367</v>
      </c>
      <c r="H10" s="19" t="n">
        <v>6.25629025526139</v>
      </c>
      <c r="I10" s="19" t="n">
        <v>1475</v>
      </c>
      <c r="J10" s="19" t="n">
        <v>1525</v>
      </c>
      <c r="K10" s="19" t="n">
        <v>6.28400376866841</v>
      </c>
    </row>
    <row r="11">
      <c r="A11" s="19" t="n">
        <v>162</v>
      </c>
      <c r="B11" s="19" t="inlineStr">
        <is>
          <t>Iln</t>
        </is>
      </c>
      <c r="C11" s="19" t="inlineStr">
        <is>
          <t>Town</t>
        </is>
      </c>
      <c r="D11" s="19" t="inlineStr">
        <is>
          <t>Win</t>
        </is>
      </c>
      <c r="E11" s="19" t="n">
        <v>47</v>
      </c>
      <c r="F11" s="19" t="n">
        <v>31.5358891107261</v>
      </c>
      <c r="G11" s="19" t="n">
        <v>32.1953211166561</v>
      </c>
      <c r="H11" s="19" t="n">
        <v>6.08144603247365</v>
      </c>
      <c r="I11" s="19" t="n">
        <v>1522</v>
      </c>
      <c r="J11" s="19" t="n">
        <v>1569</v>
      </c>
      <c r="K11" s="19" t="n">
        <v>6.10607375898342</v>
      </c>
    </row>
    <row r="12">
      <c r="A12" s="19" t="n">
        <v>162</v>
      </c>
      <c r="B12" s="19" t="inlineStr">
        <is>
          <t>Chipper</t>
        </is>
      </c>
      <c r="C12" s="19" t="inlineStr">
        <is>
          <t>Mafia</t>
        </is>
      </c>
      <c r="D12" s="19" t="inlineStr">
        <is>
          <t>Loss</t>
        </is>
      </c>
      <c r="E12" s="19" t="n">
        <v>-49</v>
      </c>
      <c r="F12" s="19" t="n">
        <v>29.5012165956147</v>
      </c>
      <c r="G12" s="19" t="n">
        <v>28.734034735286</v>
      </c>
      <c r="H12" s="19" t="n">
        <v>6.5538483177755</v>
      </c>
      <c r="I12" s="19" t="n">
        <v>1334</v>
      </c>
      <c r="J12" s="19" t="n">
        <v>1285</v>
      </c>
      <c r="K12" s="19" t="n">
        <v>6.58718414888526</v>
      </c>
    </row>
    <row r="13">
      <c r="A13" s="19" t="n">
        <v>162</v>
      </c>
      <c r="B13" s="19" t="inlineStr">
        <is>
          <t>Strik3r</t>
        </is>
      </c>
      <c r="C13" s="19" t="inlineStr">
        <is>
          <t>Mafia</t>
        </is>
      </c>
      <c r="D13" s="19" t="inlineStr">
        <is>
          <t>Loss</t>
        </is>
      </c>
      <c r="E13" s="19" t="n">
        <v>-48</v>
      </c>
      <c r="F13" s="19" t="n">
        <v>30.2478328533157</v>
      </c>
      <c r="G13" s="19" t="n">
        <v>29.5049450025101</v>
      </c>
      <c r="H13" s="19" t="n">
        <v>6.45049989531465</v>
      </c>
      <c r="I13" s="19" t="n">
        <v>1396</v>
      </c>
      <c r="J13" s="19" t="n">
        <v>1348</v>
      </c>
      <c r="K13" s="19" t="n">
        <v>6.48182856331987</v>
      </c>
    </row>
    <row r="14">
      <c r="A14" s="19" t="n">
        <v>162</v>
      </c>
      <c r="B14" s="19" t="inlineStr">
        <is>
          <t>Ken</t>
        </is>
      </c>
      <c r="C14" s="19" t="inlineStr">
        <is>
          <t>Mafia</t>
        </is>
      </c>
      <c r="D14" s="19" t="inlineStr">
        <is>
          <t>Loss</t>
        </is>
      </c>
      <c r="E14" s="19" t="n">
        <v>-59</v>
      </c>
      <c r="F14" s="19" t="n">
        <v>25.996213051133</v>
      </c>
      <c r="G14" s="19" t="n">
        <v>25.0605893505989</v>
      </c>
      <c r="H14" s="19" t="n">
        <v>7.22787938003381</v>
      </c>
      <c r="I14" s="19" t="n">
        <v>1026</v>
      </c>
      <c r="J14" s="19" t="n">
        <v>967</v>
      </c>
      <c r="K14" s="19" t="n">
        <v>7.27582625943188</v>
      </c>
    </row>
    <row r="15">
      <c r="A15" s="19" t="n">
        <v>161</v>
      </c>
      <c r="B15" s="19" t="inlineStr">
        <is>
          <t>Chipper</t>
        </is>
      </c>
      <c r="C15" s="19" t="inlineStr">
        <is>
          <t>Town</t>
        </is>
      </c>
      <c r="D15" s="19" t="inlineStr">
        <is>
          <t>Loss</t>
        </is>
      </c>
      <c r="E15" s="19" t="n">
        <v>-30</v>
      </c>
      <c r="F15" s="19" t="n">
        <v>29.9790605022295</v>
      </c>
      <c r="G15" s="19" t="n">
        <v>29.5012165956147</v>
      </c>
      <c r="H15" s="19" t="n">
        <v>6.58718414888526</v>
      </c>
      <c r="I15" s="19" t="n">
        <v>1364</v>
      </c>
      <c r="J15" s="19" t="n">
        <v>1334</v>
      </c>
      <c r="K15" s="19" t="n">
        <v>6.611306738717</v>
      </c>
    </row>
    <row r="16">
      <c r="A16" s="19" t="n">
        <v>161</v>
      </c>
      <c r="B16" s="19" t="inlineStr">
        <is>
          <t>Cj</t>
        </is>
      </c>
      <c r="C16" s="19" t="inlineStr">
        <is>
          <t>Town</t>
        </is>
      </c>
      <c r="D16" s="19" t="inlineStr">
        <is>
          <t>Loss</t>
        </is>
      </c>
      <c r="E16" s="19" t="n">
        <v>-37</v>
      </c>
      <c r="F16" s="19" t="n">
        <v>30.4401289890265</v>
      </c>
      <c r="G16" s="19" t="n">
        <v>29.84010890444</v>
      </c>
      <c r="H16" s="19" t="n">
        <v>7.37252918103157</v>
      </c>
      <c r="I16" s="19" t="n">
        <v>1314</v>
      </c>
      <c r="J16" s="19" t="n">
        <v>1277</v>
      </c>
      <c r="K16" s="19" t="n">
        <v>7.40999983168071</v>
      </c>
    </row>
    <row r="17">
      <c r="A17" s="19" t="n">
        <v>161</v>
      </c>
      <c r="B17" s="19" t="inlineStr">
        <is>
          <t>Strik3r</t>
        </is>
      </c>
      <c r="C17" s="19" t="inlineStr">
        <is>
          <t>Town</t>
        </is>
      </c>
      <c r="D17" s="19" t="inlineStr">
        <is>
          <t>Loss</t>
        </is>
      </c>
      <c r="E17" s="19" t="n">
        <v>-29</v>
      </c>
      <c r="F17" s="19" t="n">
        <v>30.7103742925475</v>
      </c>
      <c r="G17" s="19" t="n">
        <v>30.2478328533157</v>
      </c>
      <c r="H17" s="19" t="n">
        <v>6.48182856331987</v>
      </c>
      <c r="I17" s="19" t="n">
        <v>1425</v>
      </c>
      <c r="J17" s="19" t="n">
        <v>1396</v>
      </c>
      <c r="K17" s="19" t="n">
        <v>6.50436361915271</v>
      </c>
    </row>
    <row r="18">
      <c r="A18" s="19" t="n">
        <v>161</v>
      </c>
      <c r="B18" s="19" t="inlineStr">
        <is>
          <t>Rocker</t>
        </is>
      </c>
      <c r="C18" s="19" t="inlineStr">
        <is>
          <t>Town</t>
        </is>
      </c>
      <c r="D18" s="19" t="inlineStr">
        <is>
          <t>Loss</t>
        </is>
      </c>
      <c r="E18" s="19" t="n">
        <v>-25</v>
      </c>
      <c r="F18" s="19" t="n">
        <v>38.3781953266087</v>
      </c>
      <c r="G18" s="19" t="n">
        <v>37.9868362402506</v>
      </c>
      <c r="H18" s="19" t="n">
        <v>5.96642336081645</v>
      </c>
      <c r="I18" s="19" t="n">
        <v>2000</v>
      </c>
      <c r="J18" s="19" t="n">
        <v>1975</v>
      </c>
      <c r="K18" s="19" t="n">
        <v>5.98181754904883</v>
      </c>
    </row>
    <row r="19">
      <c r="A19" s="19" t="n">
        <v>161</v>
      </c>
      <c r="B19" s="19" t="inlineStr">
        <is>
          <t>Laur</t>
        </is>
      </c>
      <c r="C19" s="19" t="inlineStr">
        <is>
          <t>Town</t>
        </is>
      </c>
      <c r="D19" s="19" t="inlineStr">
        <is>
          <t>Loss</t>
        </is>
      </c>
      <c r="E19" s="19" t="n">
        <v>-28</v>
      </c>
      <c r="F19" s="19" t="n">
        <v>36.6627715782138</v>
      </c>
      <c r="G19" s="19" t="n">
        <v>36.2197006801719</v>
      </c>
      <c r="H19" s="19" t="n">
        <v>6.34515247844966</v>
      </c>
      <c r="I19" s="19" t="n">
        <v>1844</v>
      </c>
      <c r="J19" s="19" t="n">
        <v>1816</v>
      </c>
      <c r="K19" s="19" t="n">
        <v>6.36569461721325</v>
      </c>
    </row>
    <row r="20">
      <c r="A20" s="19" t="n">
        <v>161</v>
      </c>
      <c r="B20" s="19" t="inlineStr">
        <is>
          <t>DrMorris</t>
        </is>
      </c>
      <c r="C20" s="19" t="inlineStr">
        <is>
          <t>Town</t>
        </is>
      </c>
      <c r="D20" s="19" t="inlineStr">
        <is>
          <t>Loss</t>
        </is>
      </c>
      <c r="E20" s="19" t="n">
        <v>-46</v>
      </c>
      <c r="F20" s="19" t="n">
        <v>25</v>
      </c>
      <c r="G20" s="19" t="n">
        <v>24.2413907911441</v>
      </c>
      <c r="H20" s="19" t="n">
        <v>8.27678510606604</v>
      </c>
      <c r="I20" s="19" t="n">
        <v>850</v>
      </c>
      <c r="J20" s="19" t="n">
        <v>804</v>
      </c>
      <c r="K20" s="19" t="n">
        <v>8.33333333333333</v>
      </c>
    </row>
    <row r="21">
      <c r="A21" s="19" t="n">
        <v>161</v>
      </c>
      <c r="B21" s="19" t="inlineStr">
        <is>
          <t>Kwix</t>
        </is>
      </c>
      <c r="C21" s="19" t="inlineStr">
        <is>
          <t>Town</t>
        </is>
      </c>
      <c r="D21" s="19" t="inlineStr">
        <is>
          <t>Loss</t>
        </is>
      </c>
      <c r="E21" s="19" t="n">
        <v>-29</v>
      </c>
      <c r="F21" s="19" t="n">
        <v>22.0538754795123</v>
      </c>
      <c r="G21" s="19" t="n">
        <v>21.5888535356722</v>
      </c>
      <c r="H21" s="19" t="n">
        <v>6.49902689338874</v>
      </c>
      <c r="I21" s="19" t="n">
        <v>834</v>
      </c>
      <c r="J21" s="19" t="n">
        <v>805</v>
      </c>
      <c r="K21" s="19" t="n">
        <v>6.52181801364868</v>
      </c>
    </row>
    <row r="22">
      <c r="A22" s="19" t="n">
        <v>161</v>
      </c>
      <c r="B22" s="19" t="inlineStr">
        <is>
          <t>Ken</t>
        </is>
      </c>
      <c r="C22" s="19" t="inlineStr">
        <is>
          <t>Town</t>
        </is>
      </c>
      <c r="D22" s="19" t="inlineStr">
        <is>
          <t>Loss</t>
        </is>
      </c>
      <c r="E22" s="19" t="n">
        <v>-36</v>
      </c>
      <c r="F22" s="19" t="n">
        <v>26.5804133855599</v>
      </c>
      <c r="G22" s="19" t="n">
        <v>25.996213051133</v>
      </c>
      <c r="H22" s="19" t="n">
        <v>7.27582625943188</v>
      </c>
      <c r="I22" s="19" t="n">
        <v>1062</v>
      </c>
      <c r="J22" s="19" t="n">
        <v>1026</v>
      </c>
      <c r="K22" s="19" t="n">
        <v>7.31150138082304</v>
      </c>
    </row>
    <row r="23">
      <c r="A23" s="19" t="n">
        <v>161</v>
      </c>
      <c r="B23" s="19" t="inlineStr">
        <is>
          <t>Noah</t>
        </is>
      </c>
      <c r="C23" s="19" t="inlineStr">
        <is>
          <t>Town</t>
        </is>
      </c>
      <c r="D23" s="19" t="inlineStr">
        <is>
          <t>Loss</t>
        </is>
      </c>
      <c r="E23" s="19" t="n">
        <v>-28</v>
      </c>
      <c r="F23" s="19" t="n">
        <v>34.3432135419564</v>
      </c>
      <c r="G23" s="19" t="n">
        <v>33.9093142142213</v>
      </c>
      <c r="H23" s="19" t="n">
        <v>6.2797034442297</v>
      </c>
      <c r="I23" s="19" t="n">
        <v>1693</v>
      </c>
      <c r="J23" s="19" t="n">
        <v>1665</v>
      </c>
      <c r="K23" s="19" t="n">
        <v>6.29931725695591</v>
      </c>
    </row>
    <row r="24">
      <c r="A24" s="19" t="n">
        <v>161</v>
      </c>
      <c r="B24" s="19" t="inlineStr">
        <is>
          <t>Smit</t>
        </is>
      </c>
      <c r="C24" s="19" t="inlineStr">
        <is>
          <t>Town</t>
        </is>
      </c>
      <c r="D24" s="19" t="inlineStr">
        <is>
          <t>Loss</t>
        </is>
      </c>
      <c r="E24" s="19" t="n">
        <v>-28</v>
      </c>
      <c r="F24" s="19" t="n">
        <v>25.1506131395571</v>
      </c>
      <c r="G24" s="19" t="n">
        <v>24.7038309502646</v>
      </c>
      <c r="H24" s="19" t="n">
        <v>6.3714387635022</v>
      </c>
      <c r="I24" s="19" t="n">
        <v>1058</v>
      </c>
      <c r="J24" s="19" t="n">
        <v>1030</v>
      </c>
      <c r="K24" s="19" t="n">
        <v>6.392358446027</v>
      </c>
    </row>
    <row r="25">
      <c r="A25" s="19" t="n">
        <v>161</v>
      </c>
      <c r="B25" s="19" t="inlineStr">
        <is>
          <t>Keegan</t>
        </is>
      </c>
      <c r="C25" s="19" t="inlineStr">
        <is>
          <t>Mafia</t>
        </is>
      </c>
      <c r="D25" s="19" t="inlineStr">
        <is>
          <t>Win</t>
        </is>
      </c>
      <c r="E25" s="19" t="n">
        <v>45</v>
      </c>
      <c r="F25" s="19" t="n">
        <v>30.8861661057349</v>
      </c>
      <c r="G25" s="19" t="n">
        <v>31.4893380425164</v>
      </c>
      <c r="H25" s="19" t="n">
        <v>7.3916374412696</v>
      </c>
      <c r="I25" s="19" t="n">
        <v>1342</v>
      </c>
      <c r="J25" s="19" t="n">
        <v>1387</v>
      </c>
      <c r="K25" s="19" t="n">
        <v>7.42946819263337</v>
      </c>
    </row>
    <row r="26">
      <c r="A26" s="19" t="n">
        <v>161</v>
      </c>
      <c r="B26" s="19" t="inlineStr">
        <is>
          <t>Heckmuffins</t>
        </is>
      </c>
      <c r="C26" s="19" t="inlineStr">
        <is>
          <t>Mafia</t>
        </is>
      </c>
      <c r="D26" s="19" t="inlineStr">
        <is>
          <t>Win</t>
        </is>
      </c>
      <c r="E26" s="19" t="n">
        <v>50</v>
      </c>
      <c r="F26" s="19" t="n">
        <v>31.9374876586023</v>
      </c>
      <c r="G26" s="19" t="n">
        <v>32.608015737753</v>
      </c>
      <c r="H26" s="19" t="n">
        <v>7.78824478706393</v>
      </c>
      <c r="I26" s="19" t="n">
        <v>1373</v>
      </c>
      <c r="J26" s="19" t="n">
        <v>1423</v>
      </c>
      <c r="K26" s="19" t="n">
        <v>7.8339575206001</v>
      </c>
    </row>
    <row r="27">
      <c r="A27" s="19" t="n">
        <v>161</v>
      </c>
      <c r="B27" s="19" t="inlineStr">
        <is>
          <t>Lofty</t>
        </is>
      </c>
      <c r="C27" s="19" t="inlineStr">
        <is>
          <t>Mafia</t>
        </is>
      </c>
      <c r="D27" s="19" t="inlineStr">
        <is>
          <t>Win</t>
        </is>
      </c>
      <c r="E27" s="19" t="n">
        <v>47</v>
      </c>
      <c r="F27" s="19" t="n">
        <v>27.9712989321547</v>
      </c>
      <c r="G27" s="19" t="n">
        <v>28.6061384858814</v>
      </c>
      <c r="H27" s="19" t="n">
        <v>7.5808213670157</v>
      </c>
      <c r="I27" s="19" t="n">
        <v>1125</v>
      </c>
      <c r="J27" s="19" t="n">
        <v>1172</v>
      </c>
      <c r="K27" s="19" t="n">
        <v>7.62231362086052</v>
      </c>
    </row>
    <row r="28">
      <c r="A28" s="19" t="n">
        <v>160</v>
      </c>
      <c r="B28" s="19" t="inlineStr">
        <is>
          <t>Strik3r</t>
        </is>
      </c>
      <c r="C28" s="19" t="inlineStr">
        <is>
          <t>Town</t>
        </is>
      </c>
      <c r="D28" s="19" t="inlineStr">
        <is>
          <t>Win</t>
        </is>
      </c>
      <c r="E28" s="19" t="n">
        <v>59</v>
      </c>
      <c r="F28" s="19" t="n">
        <v>29.8854913726856</v>
      </c>
      <c r="G28" s="19" t="n">
        <v>30.7103742925475</v>
      </c>
      <c r="H28" s="19" t="n">
        <v>6.50436361915271</v>
      </c>
      <c r="I28" s="19" t="n">
        <v>1366</v>
      </c>
      <c r="J28" s="19" t="n">
        <v>1425</v>
      </c>
      <c r="K28" s="19" t="n">
        <v>6.53573348382224</v>
      </c>
    </row>
    <row r="29">
      <c r="A29" s="19" t="n">
        <v>160</v>
      </c>
      <c r="B29" s="19" t="inlineStr">
        <is>
          <t>Chipper</t>
        </is>
      </c>
      <c r="C29" s="19" t="inlineStr">
        <is>
          <t>Town</t>
        </is>
      </c>
      <c r="D29" s="19" t="inlineStr">
        <is>
          <t>Win</t>
        </is>
      </c>
      <c r="E29" s="19" t="n">
        <v>61</v>
      </c>
      <c r="F29" s="19" t="n">
        <v>29.1264920028746</v>
      </c>
      <c r="G29" s="19" t="n">
        <v>29.9790605022295</v>
      </c>
      <c r="H29" s="19" t="n">
        <v>6.611306738717</v>
      </c>
      <c r="I29" s="19" t="n">
        <v>1303</v>
      </c>
      <c r="J29" s="19" t="n">
        <v>1364</v>
      </c>
      <c r="K29" s="19" t="n">
        <v>6.64473516497234</v>
      </c>
    </row>
    <row r="30">
      <c r="A30" s="19" t="n">
        <v>160</v>
      </c>
      <c r="B30" s="19" t="inlineStr">
        <is>
          <t>Keegan</t>
        </is>
      </c>
      <c r="C30" s="19" t="inlineStr">
        <is>
          <t>Town</t>
        </is>
      </c>
      <c r="D30" s="19" t="inlineStr">
        <is>
          <t>Win</t>
        </is>
      </c>
      <c r="E30" s="19" t="n">
        <v>78</v>
      </c>
      <c r="F30" s="19" t="n">
        <v>29.8060101432036</v>
      </c>
      <c r="G30" s="19" t="n">
        <v>30.8861661057349</v>
      </c>
      <c r="H30" s="19" t="n">
        <v>7.42946819263337</v>
      </c>
      <c r="I30" s="19" t="n">
        <v>1264</v>
      </c>
      <c r="J30" s="19" t="n">
        <v>1342</v>
      </c>
      <c r="K30" s="19" t="n">
        <v>7.48082525923955</v>
      </c>
    </row>
    <row r="31">
      <c r="A31" s="19" t="n">
        <v>160</v>
      </c>
      <c r="B31" s="19" t="inlineStr">
        <is>
          <t>Gilbert</t>
        </is>
      </c>
      <c r="C31" s="19" t="inlineStr">
        <is>
          <t>Town</t>
        </is>
      </c>
      <c r="D31" s="19" t="inlineStr">
        <is>
          <t>Win</t>
        </is>
      </c>
      <c r="E31" s="19" t="n">
        <v>64</v>
      </c>
      <c r="F31" s="19" t="n">
        <v>25.9901299462676</v>
      </c>
      <c r="G31" s="19" t="n">
        <v>26.8793495868329</v>
      </c>
      <c r="H31" s="19" t="n">
        <v>6.75014807384061</v>
      </c>
      <c r="I31" s="19" t="n">
        <v>1075</v>
      </c>
      <c r="J31" s="19" t="n">
        <v>1139</v>
      </c>
      <c r="K31" s="19" t="n">
        <v>6.78634292660406</v>
      </c>
    </row>
    <row r="32">
      <c r="A32" s="19" t="n">
        <v>160</v>
      </c>
      <c r="B32" s="19" t="inlineStr">
        <is>
          <t>Decode</t>
        </is>
      </c>
      <c r="C32" s="19" t="inlineStr">
        <is>
          <t>Town</t>
        </is>
      </c>
      <c r="D32" s="19" t="inlineStr">
        <is>
          <t>Win</t>
        </is>
      </c>
      <c r="E32" s="19" t="n">
        <v>78</v>
      </c>
      <c r="F32" s="19" t="n">
        <v>20.4418268899121</v>
      </c>
      <c r="G32" s="19" t="n">
        <v>21.5046041141424</v>
      </c>
      <c r="H32" s="19" t="n">
        <v>7.37037816343565</v>
      </c>
      <c r="I32" s="19" t="n">
        <v>633</v>
      </c>
      <c r="J32" s="19" t="n">
        <v>711</v>
      </c>
      <c r="K32" s="19" t="n">
        <v>7.42030378505458</v>
      </c>
    </row>
    <row r="33">
      <c r="A33" s="19" t="n">
        <v>160</v>
      </c>
      <c r="B33" s="19" t="inlineStr">
        <is>
          <t>Brownkow</t>
        </is>
      </c>
      <c r="C33" s="19" t="inlineStr">
        <is>
          <t>Town</t>
        </is>
      </c>
      <c r="D33" s="19" t="inlineStr">
        <is>
          <t>Win</t>
        </is>
      </c>
      <c r="E33" s="19" t="n">
        <v>50</v>
      </c>
      <c r="F33" s="19" t="n">
        <v>30.7432059187136</v>
      </c>
      <c r="G33" s="19" t="n">
        <v>31.4367293392873</v>
      </c>
      <c r="H33" s="19" t="n">
        <v>5.96962096429692</v>
      </c>
      <c r="I33" s="19" t="n">
        <v>1479</v>
      </c>
      <c r="J33" s="19" t="n">
        <v>1529</v>
      </c>
      <c r="K33" s="19" t="n">
        <v>5.99158975130383</v>
      </c>
    </row>
    <row r="34">
      <c r="A34" s="19" t="n">
        <v>160</v>
      </c>
      <c r="B34" s="19" t="inlineStr">
        <is>
          <t>Laur</t>
        </is>
      </c>
      <c r="C34" s="19" t="inlineStr">
        <is>
          <t>Town</t>
        </is>
      </c>
      <c r="D34" s="19" t="inlineStr">
        <is>
          <t>Win</t>
        </is>
      </c>
      <c r="E34" s="19" t="n">
        <v>57</v>
      </c>
      <c r="F34" s="19" t="n">
        <v>35.873083175327</v>
      </c>
      <c r="G34" s="19" t="n">
        <v>36.6627715782138</v>
      </c>
      <c r="H34" s="19" t="n">
        <v>6.36569461721325</v>
      </c>
      <c r="I34" s="19" t="n">
        <v>1787</v>
      </c>
      <c r="J34" s="19" t="n">
        <v>1844</v>
      </c>
      <c r="K34" s="19" t="n">
        <v>6.39448638716626</v>
      </c>
    </row>
    <row r="35">
      <c r="A35" s="19" t="n">
        <v>160</v>
      </c>
      <c r="B35" s="19" t="inlineStr">
        <is>
          <t>Cyclone</t>
        </is>
      </c>
      <c r="C35" s="19" t="inlineStr">
        <is>
          <t>Town</t>
        </is>
      </c>
      <c r="D35" s="19" t="inlineStr">
        <is>
          <t>Win</t>
        </is>
      </c>
      <c r="E35" s="19" t="n">
        <v>75</v>
      </c>
      <c r="F35" s="19" t="n">
        <v>37.7116180685485</v>
      </c>
      <c r="G35" s="19" t="n">
        <v>38.7412697135886</v>
      </c>
      <c r="H35" s="19" t="n">
        <v>7.25632964759447</v>
      </c>
      <c r="I35" s="19" t="n">
        <v>1819</v>
      </c>
      <c r="J35" s="19" t="n">
        <v>1894</v>
      </c>
      <c r="K35" s="19" t="n">
        <v>7.30355502775359</v>
      </c>
    </row>
    <row r="36">
      <c r="A36" s="19" t="n">
        <v>160</v>
      </c>
      <c r="B36" s="19" t="inlineStr">
        <is>
          <t>Iln</t>
        </is>
      </c>
      <c r="C36" s="19" t="inlineStr">
        <is>
          <t>Town</t>
        </is>
      </c>
      <c r="D36" s="19" t="inlineStr">
        <is>
          <t>Win</t>
        </is>
      </c>
      <c r="E36" s="19" t="n">
        <v>52</v>
      </c>
      <c r="F36" s="19" t="n">
        <v>30.8099626535187</v>
      </c>
      <c r="G36" s="19" t="n">
        <v>31.5358891107261</v>
      </c>
      <c r="H36" s="19" t="n">
        <v>6.10607375898342</v>
      </c>
      <c r="I36" s="19" t="n">
        <v>1470</v>
      </c>
      <c r="J36" s="19" t="n">
        <v>1522</v>
      </c>
      <c r="K36" s="19" t="n">
        <v>6.13030545107676</v>
      </c>
    </row>
    <row r="37">
      <c r="A37" s="19" t="n">
        <v>160</v>
      </c>
      <c r="B37" s="19" t="inlineStr">
        <is>
          <t>Smit</t>
        </is>
      </c>
      <c r="C37" s="19" t="inlineStr">
        <is>
          <t>Town</t>
        </is>
      </c>
      <c r="D37" s="19" t="inlineStr">
        <is>
          <t>Win</t>
        </is>
      </c>
      <c r="E37" s="19" t="n">
        <v>57</v>
      </c>
      <c r="F37" s="19" t="n">
        <v>24.3542190523551</v>
      </c>
      <c r="G37" s="19" t="n">
        <v>25.1506131395571</v>
      </c>
      <c r="H37" s="19" t="n">
        <v>6.392358446027</v>
      </c>
      <c r="I37" s="19" t="n">
        <v>1001</v>
      </c>
      <c r="J37" s="19" t="n">
        <v>1058</v>
      </c>
      <c r="K37" s="19" t="n">
        <v>6.42163807414853</v>
      </c>
    </row>
    <row r="38">
      <c r="A38" s="19" t="n">
        <v>160</v>
      </c>
      <c r="B38" s="19" t="inlineStr">
        <is>
          <t>Lou</t>
        </is>
      </c>
      <c r="C38" s="19" t="inlineStr">
        <is>
          <t>Town</t>
        </is>
      </c>
      <c r="D38" s="19" t="inlineStr">
        <is>
          <t>Win</t>
        </is>
      </c>
      <c r="E38" s="19" t="n">
        <v>55</v>
      </c>
      <c r="F38" s="19" t="n">
        <v>30.3498493677876</v>
      </c>
      <c r="G38" s="19" t="n">
        <v>31.1191757985082</v>
      </c>
      <c r="H38" s="19" t="n">
        <v>6.28400376866841</v>
      </c>
      <c r="I38" s="19" t="n">
        <v>1420</v>
      </c>
      <c r="J38" s="19" t="n">
        <v>1475</v>
      </c>
      <c r="K38" s="19" t="n">
        <v>6.31132381637089</v>
      </c>
    </row>
    <row r="39">
      <c r="A39" s="19" t="n">
        <v>160</v>
      </c>
      <c r="B39" s="19" t="inlineStr">
        <is>
          <t>Badpants</t>
        </is>
      </c>
      <c r="C39" s="19" t="inlineStr">
        <is>
          <t>Mafia</t>
        </is>
      </c>
      <c r="D39" s="19" t="inlineStr">
        <is>
          <t>Loss</t>
        </is>
      </c>
      <c r="E39" s="19" t="n">
        <v>-49</v>
      </c>
      <c r="F39" s="19" t="n">
        <v>26.372035715962</v>
      </c>
      <c r="G39" s="19" t="n">
        <v>25.6000817721412</v>
      </c>
      <c r="H39" s="19" t="n">
        <v>6.29460746376644</v>
      </c>
      <c r="I39" s="19" t="n">
        <v>1148</v>
      </c>
      <c r="J39" s="19" t="n">
        <v>1099</v>
      </c>
      <c r="K39" s="19" t="n">
        <v>6.32211660529912</v>
      </c>
    </row>
    <row r="40">
      <c r="A40" s="19" t="n">
        <v>160</v>
      </c>
      <c r="B40" s="19" t="inlineStr">
        <is>
          <t>Kwix</t>
        </is>
      </c>
      <c r="C40" s="19" t="inlineStr">
        <is>
          <t>Mafia</t>
        </is>
      </c>
      <c r="D40" s="19" t="inlineStr">
        <is>
          <t>Loss</t>
        </is>
      </c>
      <c r="E40" s="19" t="n">
        <v>-54</v>
      </c>
      <c r="F40" s="19" t="n">
        <v>22.8832446791752</v>
      </c>
      <c r="G40" s="19" t="n">
        <v>22.0538754795123</v>
      </c>
      <c r="H40" s="19" t="n">
        <v>6.52181801364868</v>
      </c>
      <c r="I40" s="19" t="n">
        <v>888</v>
      </c>
      <c r="J40" s="19" t="n">
        <v>834</v>
      </c>
      <c r="K40" s="19" t="n">
        <v>6.55351963259011</v>
      </c>
    </row>
    <row r="41">
      <c r="A41" s="19" t="n">
        <v>160</v>
      </c>
      <c r="B41" s="19" t="inlineStr">
        <is>
          <t>Rocker</t>
        </is>
      </c>
      <c r="C41" s="19" t="inlineStr">
        <is>
          <t>Mafia</t>
        </is>
      </c>
      <c r="D41" s="19" t="inlineStr">
        <is>
          <t>Loss</t>
        </is>
      </c>
      <c r="E41" s="19" t="n">
        <v>-45</v>
      </c>
      <c r="F41" s="19" t="n">
        <v>39.0745840108115</v>
      </c>
      <c r="G41" s="19" t="n">
        <v>38.3781953266087</v>
      </c>
      <c r="H41" s="19" t="n">
        <v>5.98181754904883</v>
      </c>
      <c r="I41" s="19" t="n">
        <v>2045</v>
      </c>
      <c r="J41" s="19" t="n">
        <v>2000</v>
      </c>
      <c r="K41" s="19" t="n">
        <v>6.00398496325234</v>
      </c>
    </row>
    <row r="42">
      <c r="A42" s="19" t="n">
        <v>159</v>
      </c>
      <c r="B42" s="19" t="inlineStr">
        <is>
          <t>Brownkow</t>
        </is>
      </c>
      <c r="C42" s="19" t="inlineStr">
        <is>
          <t>Town</t>
        </is>
      </c>
      <c r="D42" s="19" t="inlineStr">
        <is>
          <t>Loss</t>
        </is>
      </c>
      <c r="E42" s="19" t="n">
        <v>-33</v>
      </c>
      <c r="F42" s="19" t="n">
        <v>31.2487591602623</v>
      </c>
      <c r="G42" s="19" t="n">
        <v>30.7432059187136</v>
      </c>
      <c r="H42" s="19" t="n">
        <v>5.99158975130383</v>
      </c>
      <c r="I42" s="19" t="n">
        <v>1512</v>
      </c>
      <c r="J42" s="19" t="n">
        <v>1479</v>
      </c>
      <c r="K42" s="19" t="n">
        <v>6.01115173687505</v>
      </c>
    </row>
    <row r="43">
      <c r="A43" s="19" t="n">
        <v>159</v>
      </c>
      <c r="B43" s="19" t="inlineStr">
        <is>
          <t>Decode</t>
        </is>
      </c>
      <c r="C43" s="19" t="inlineStr">
        <is>
          <t>Town</t>
        </is>
      </c>
      <c r="D43" s="19" t="inlineStr">
        <is>
          <t>Loss</t>
        </is>
      </c>
      <c r="E43" s="19" t="n">
        <v>-48</v>
      </c>
      <c r="F43" s="19" t="n">
        <v>21.2210437398598</v>
      </c>
      <c r="G43" s="19" t="n">
        <v>20.4418268899121</v>
      </c>
      <c r="H43" s="19" t="n">
        <v>7.42030378505458</v>
      </c>
      <c r="I43" s="19" t="n">
        <v>681</v>
      </c>
      <c r="J43" s="19" t="n">
        <v>633</v>
      </c>
      <c r="K43" s="19" t="n">
        <v>7.46609095007602</v>
      </c>
    </row>
    <row r="44">
      <c r="A44" s="19" t="n">
        <v>159</v>
      </c>
      <c r="B44" s="19" t="inlineStr">
        <is>
          <t>Strik3r</t>
        </is>
      </c>
      <c r="C44" s="19" t="inlineStr">
        <is>
          <t>Town</t>
        </is>
      </c>
      <c r="D44" s="19" t="inlineStr">
        <is>
          <t>Loss</t>
        </is>
      </c>
      <c r="E44" s="19" t="n">
        <v>-38</v>
      </c>
      <c r="F44" s="19" t="n">
        <v>30.4880874839659</v>
      </c>
      <c r="G44" s="19" t="n">
        <v>29.8854913726856</v>
      </c>
      <c r="H44" s="19" t="n">
        <v>6.53573348382224</v>
      </c>
      <c r="I44" s="19" t="n">
        <v>1404</v>
      </c>
      <c r="J44" s="19" t="n">
        <v>1366</v>
      </c>
      <c r="K44" s="19" t="n">
        <v>6.56408938216407</v>
      </c>
    </row>
    <row r="45">
      <c r="A45" s="19" t="n">
        <v>159</v>
      </c>
      <c r="B45" s="19" t="inlineStr">
        <is>
          <t>Svaan</t>
        </is>
      </c>
      <c r="C45" s="19" t="inlineStr">
        <is>
          <t>Town</t>
        </is>
      </c>
      <c r="D45" s="19" t="inlineStr">
        <is>
          <t>Loss</t>
        </is>
      </c>
      <c r="E45" s="19" t="n">
        <v>-47</v>
      </c>
      <c r="F45" s="19" t="n">
        <v>30.4168503698765</v>
      </c>
      <c r="G45" s="19" t="n">
        <v>29.658653601386</v>
      </c>
      <c r="H45" s="19" t="n">
        <v>7.32091821964556</v>
      </c>
      <c r="I45" s="19" t="n">
        <v>1317</v>
      </c>
      <c r="J45" s="19" t="n">
        <v>1270</v>
      </c>
      <c r="K45" s="19" t="n">
        <v>7.36453537941429</v>
      </c>
    </row>
    <row r="46">
      <c r="A46" s="19" t="n">
        <v>159</v>
      </c>
      <c r="B46" s="19" t="inlineStr">
        <is>
          <t>Smit</t>
        </is>
      </c>
      <c r="C46" s="19" t="inlineStr">
        <is>
          <t>Town</t>
        </is>
      </c>
      <c r="D46" s="19" t="inlineStr">
        <is>
          <t>Loss</t>
        </is>
      </c>
      <c r="E46" s="19" t="n">
        <v>-37</v>
      </c>
      <c r="F46" s="19" t="n">
        <v>24.9357398480869</v>
      </c>
      <c r="G46" s="19" t="n">
        <v>24.3542190523551</v>
      </c>
      <c r="H46" s="19" t="n">
        <v>6.42163807414853</v>
      </c>
      <c r="I46" s="19" t="n">
        <v>1038</v>
      </c>
      <c r="J46" s="19" t="n">
        <v>1001</v>
      </c>
      <c r="K46" s="19" t="n">
        <v>6.44803683758931</v>
      </c>
    </row>
    <row r="47">
      <c r="A47" s="19" t="n">
        <v>159</v>
      </c>
      <c r="B47" s="19" t="inlineStr">
        <is>
          <t>Vandyfan</t>
        </is>
      </c>
      <c r="C47" s="19" t="inlineStr">
        <is>
          <t>Town</t>
        </is>
      </c>
      <c r="D47" s="19" t="inlineStr">
        <is>
          <t>Loss</t>
        </is>
      </c>
      <c r="E47" s="19" t="n">
        <v>-59</v>
      </c>
      <c r="F47" s="19" t="n">
        <v>25</v>
      </c>
      <c r="G47" s="19" t="n">
        <v>24.0295545228312</v>
      </c>
      <c r="H47" s="19" t="n">
        <v>8.266658682147639</v>
      </c>
      <c r="I47" s="19" t="n">
        <v>850</v>
      </c>
      <c r="J47" s="19" t="n">
        <v>791</v>
      </c>
      <c r="K47" s="19" t="n">
        <v>8.33333333333333</v>
      </c>
    </row>
    <row r="48">
      <c r="A48" s="19" t="n">
        <v>159</v>
      </c>
      <c r="B48" s="19" t="inlineStr">
        <is>
          <t>Cyclone</t>
        </is>
      </c>
      <c r="C48" s="19" t="inlineStr">
        <is>
          <t>Town</t>
        </is>
      </c>
      <c r="D48" s="19" t="inlineStr">
        <is>
          <t>Loss</t>
        </is>
      </c>
      <c r="E48" s="19" t="n">
        <v>-47</v>
      </c>
      <c r="F48" s="19" t="n">
        <v>38.466173237765</v>
      </c>
      <c r="G48" s="19" t="n">
        <v>37.7116180685485</v>
      </c>
      <c r="H48" s="19" t="n">
        <v>7.30355502775359</v>
      </c>
      <c r="I48" s="19" t="n">
        <v>1866</v>
      </c>
      <c r="J48" s="19" t="n">
        <v>1819</v>
      </c>
      <c r="K48" s="19" t="n">
        <v>7.34679883786634</v>
      </c>
    </row>
    <row r="49">
      <c r="A49" s="19" t="n">
        <v>159</v>
      </c>
      <c r="B49" s="19" t="inlineStr">
        <is>
          <t>Iln</t>
        </is>
      </c>
      <c r="C49" s="19" t="inlineStr">
        <is>
          <t>Town</t>
        </is>
      </c>
      <c r="D49" s="19" t="inlineStr">
        <is>
          <t>Loss</t>
        </is>
      </c>
      <c r="E49" s="19" t="n">
        <v>-34</v>
      </c>
      <c r="F49" s="19" t="n">
        <v>31.3394222634378</v>
      </c>
      <c r="G49" s="19" t="n">
        <v>30.8099626535187</v>
      </c>
      <c r="H49" s="19" t="n">
        <v>6.13030545107676</v>
      </c>
      <c r="I49" s="19" t="n">
        <v>1504</v>
      </c>
      <c r="J49" s="19" t="n">
        <v>1470</v>
      </c>
      <c r="K49" s="19" t="n">
        <v>6.15198231523439</v>
      </c>
    </row>
    <row r="50">
      <c r="A50" s="19" t="n">
        <v>159</v>
      </c>
      <c r="B50" s="19" t="inlineStr">
        <is>
          <t>Mintt</t>
        </is>
      </c>
      <c r="C50" s="19" t="inlineStr">
        <is>
          <t>Town</t>
        </is>
      </c>
      <c r="D50" s="19" t="inlineStr">
        <is>
          <t>Loss</t>
        </is>
      </c>
      <c r="E50" s="19" t="n">
        <v>-41</v>
      </c>
      <c r="F50" s="19" t="n">
        <v>33.6915105178401</v>
      </c>
      <c r="G50" s="19" t="n">
        <v>33.0475987201968</v>
      </c>
      <c r="H50" s="19" t="n">
        <v>6.75357094374294</v>
      </c>
      <c r="I50" s="19" t="n">
        <v>1599</v>
      </c>
      <c r="J50" s="19" t="n">
        <v>1558</v>
      </c>
      <c r="K50" s="19" t="n">
        <v>6.78584000695343</v>
      </c>
    </row>
    <row r="51">
      <c r="A51" s="19" t="n">
        <v>159</v>
      </c>
      <c r="B51" s="19" t="inlineStr">
        <is>
          <t>Gilbert</t>
        </is>
      </c>
      <c r="C51" s="19" t="inlineStr">
        <is>
          <t>Town</t>
        </is>
      </c>
      <c r="D51" s="19" t="inlineStr">
        <is>
          <t>Loss</t>
        </is>
      </c>
      <c r="E51" s="19" t="n">
        <v>-41</v>
      </c>
      <c r="F51" s="19" t="n">
        <v>26.640380065874</v>
      </c>
      <c r="G51" s="19" t="n">
        <v>25.9901299462676</v>
      </c>
      <c r="H51" s="19" t="n">
        <v>6.78634292660406</v>
      </c>
      <c r="I51" s="19" t="n">
        <v>1116</v>
      </c>
      <c r="J51" s="19" t="n">
        <v>1075</v>
      </c>
      <c r="K51" s="19" t="n">
        <v>6.81922126061211</v>
      </c>
    </row>
    <row r="52">
      <c r="A52" s="19" t="n">
        <v>159</v>
      </c>
      <c r="B52" s="19" t="inlineStr">
        <is>
          <t>Chipper</t>
        </is>
      </c>
      <c r="C52" s="19" t="inlineStr">
        <is>
          <t>Mafia</t>
        </is>
      </c>
      <c r="D52" s="19" t="inlineStr">
        <is>
          <t>Win</t>
        </is>
      </c>
      <c r="E52" s="19" t="n">
        <v>46</v>
      </c>
      <c r="F52" s="19" t="n">
        <v>28.5033993659109</v>
      </c>
      <c r="G52" s="19" t="n">
        <v>29.1264920028746</v>
      </c>
      <c r="H52" s="19" t="n">
        <v>6.64473516497234</v>
      </c>
      <c r="I52" s="19" t="n">
        <v>1257</v>
      </c>
      <c r="J52" s="19" t="n">
        <v>1303</v>
      </c>
      <c r="K52" s="19" t="n">
        <v>6.67501972079304</v>
      </c>
    </row>
    <row r="53">
      <c r="A53" s="19" t="n">
        <v>159</v>
      </c>
      <c r="B53" s="19" t="inlineStr">
        <is>
          <t>Doublea</t>
        </is>
      </c>
      <c r="C53" s="19" t="inlineStr">
        <is>
          <t>Mafia</t>
        </is>
      </c>
      <c r="D53" s="19" t="inlineStr">
        <is>
          <t>Win</t>
        </is>
      </c>
      <c r="E53" s="19" t="n">
        <v>55</v>
      </c>
      <c r="F53" s="19" t="n">
        <v>22.4251989032352</v>
      </c>
      <c r="G53" s="19" t="n">
        <v>23.1621784650686</v>
      </c>
      <c r="H53" s="19" t="n">
        <v>7.21913434947869</v>
      </c>
      <c r="I53" s="19" t="n">
        <v>784</v>
      </c>
      <c r="J53" s="19" t="n">
        <v>839</v>
      </c>
      <c r="K53" s="19" t="n">
        <v>7.26058704254456</v>
      </c>
    </row>
    <row r="54">
      <c r="A54" s="19" t="n">
        <v>159</v>
      </c>
      <c r="B54" s="19" t="inlineStr">
        <is>
          <t>Laur</t>
        </is>
      </c>
      <c r="C54" s="19" t="inlineStr">
        <is>
          <t>Mafia</t>
        </is>
      </c>
      <c r="D54" s="19" t="inlineStr">
        <is>
          <t>Win</t>
        </is>
      </c>
      <c r="E54" s="19" t="n">
        <v>42</v>
      </c>
      <c r="F54" s="19" t="n">
        <v>35.2965207361872</v>
      </c>
      <c r="G54" s="19" t="n">
        <v>35.873083175327</v>
      </c>
      <c r="H54" s="19" t="n">
        <v>6.39448638716626</v>
      </c>
      <c r="I54" s="19" t="n">
        <v>1745</v>
      </c>
      <c r="J54" s="19" t="n">
        <v>1787</v>
      </c>
      <c r="K54" s="19" t="n">
        <v>6.42042852600179</v>
      </c>
    </row>
    <row r="55">
      <c r="A55" s="19" t="n">
        <v>158</v>
      </c>
      <c r="B55" s="19" t="inlineStr">
        <is>
          <t>Lovekilling</t>
        </is>
      </c>
      <c r="C55" s="19" t="inlineStr">
        <is>
          <t>Town</t>
        </is>
      </c>
      <c r="D55" s="19" t="inlineStr">
        <is>
          <t>Loss</t>
        </is>
      </c>
      <c r="E55" s="19" t="n">
        <v>-26</v>
      </c>
      <c r="F55" s="19" t="n">
        <v>23.2541034122006</v>
      </c>
      <c r="G55" s="19" t="n">
        <v>22.8077588711382</v>
      </c>
      <c r="H55" s="19" t="n">
        <v>7.68967578736655</v>
      </c>
      <c r="I55" s="19" t="n">
        <v>793</v>
      </c>
      <c r="J55" s="19" t="n">
        <v>767</v>
      </c>
      <c r="K55" s="19" t="n">
        <v>7.72584439776206</v>
      </c>
    </row>
    <row r="56">
      <c r="A56" s="19" t="n">
        <v>158</v>
      </c>
      <c r="B56" s="19" t="inlineStr">
        <is>
          <t>Chipper</t>
        </is>
      </c>
      <c r="C56" s="19" t="inlineStr">
        <is>
          <t>Town</t>
        </is>
      </c>
      <c r="D56" s="19" t="inlineStr">
        <is>
          <t>Loss</t>
        </is>
      </c>
      <c r="E56" s="19" t="n">
        <v>-21</v>
      </c>
      <c r="F56" s="19" t="n">
        <v>28.8388115489402</v>
      </c>
      <c r="G56" s="19" t="n">
        <v>28.5033993659109</v>
      </c>
      <c r="H56" s="19" t="n">
        <v>6.67501972079304</v>
      </c>
      <c r="I56" s="19" t="n">
        <v>1278</v>
      </c>
      <c r="J56" s="19" t="n">
        <v>1257</v>
      </c>
      <c r="K56" s="19" t="n">
        <v>6.69563766630193</v>
      </c>
    </row>
    <row r="57">
      <c r="A57" s="19" t="n">
        <v>158</v>
      </c>
      <c r="B57" s="19" t="inlineStr">
        <is>
          <t>Keegan</t>
        </is>
      </c>
      <c r="C57" s="19" t="inlineStr">
        <is>
          <t>Town</t>
        </is>
      </c>
      <c r="D57" s="19" t="inlineStr">
        <is>
          <t>Loss</t>
        </is>
      </c>
      <c r="E57" s="19" t="n">
        <v>-25</v>
      </c>
      <c r="F57" s="19" t="n">
        <v>30.2281882997853</v>
      </c>
      <c r="G57" s="19" t="n">
        <v>29.8060101432036</v>
      </c>
      <c r="H57" s="19" t="n">
        <v>7.48082525923955</v>
      </c>
      <c r="I57" s="19" t="n">
        <v>1289</v>
      </c>
      <c r="J57" s="19" t="n">
        <v>1264</v>
      </c>
      <c r="K57" s="19" t="n">
        <v>7.5134600197417</v>
      </c>
    </row>
    <row r="58">
      <c r="A58" s="19" t="n">
        <v>158</v>
      </c>
      <c r="B58" s="19" t="inlineStr">
        <is>
          <t>Carson</t>
        </is>
      </c>
      <c r="C58" s="19" t="inlineStr">
        <is>
          <t>Town</t>
        </is>
      </c>
      <c r="D58" s="19" t="inlineStr">
        <is>
          <t>Loss</t>
        </is>
      </c>
      <c r="E58" s="19" t="n">
        <v>-19</v>
      </c>
      <c r="F58" s="19" t="n">
        <v>28.5956888591657</v>
      </c>
      <c r="G58" s="19" t="n">
        <v>28.2968132821368</v>
      </c>
      <c r="H58" s="19" t="n">
        <v>6.3037995425715</v>
      </c>
      <c r="I58" s="19" t="n">
        <v>1300</v>
      </c>
      <c r="J58" s="19" t="n">
        <v>1281</v>
      </c>
      <c r="K58" s="19" t="n">
        <v>6.31967062466618</v>
      </c>
    </row>
    <row r="59">
      <c r="A59" s="19" t="n">
        <v>158</v>
      </c>
      <c r="B59" s="19" t="inlineStr">
        <is>
          <t>Doublea</t>
        </is>
      </c>
      <c r="C59" s="19" t="inlineStr">
        <is>
          <t>Town</t>
        </is>
      </c>
      <c r="D59" s="19" t="inlineStr">
        <is>
          <t>Loss</t>
        </is>
      </c>
      <c r="E59" s="19" t="n">
        <v>-24</v>
      </c>
      <c r="F59" s="19" t="n">
        <v>22.8226437769466</v>
      </c>
      <c r="G59" s="19" t="n">
        <v>22.4251989032352</v>
      </c>
      <c r="H59" s="19" t="n">
        <v>7.26058704254456</v>
      </c>
      <c r="I59" s="19" t="n">
        <v>808</v>
      </c>
      <c r="J59" s="19" t="n">
        <v>784</v>
      </c>
      <c r="K59" s="19" t="n">
        <v>7.28968908100702</v>
      </c>
    </row>
    <row r="60">
      <c r="A60" s="19" t="n">
        <v>158</v>
      </c>
      <c r="B60" s="19" t="inlineStr">
        <is>
          <t>Smit</t>
        </is>
      </c>
      <c r="C60" s="19" t="inlineStr">
        <is>
          <t>Town</t>
        </is>
      </c>
      <c r="D60" s="19" t="inlineStr">
        <is>
          <t>Loss</t>
        </is>
      </c>
      <c r="E60" s="19" t="n">
        <v>-19</v>
      </c>
      <c r="F60" s="19" t="n">
        <v>25.2485556544254</v>
      </c>
      <c r="G60" s="19" t="n">
        <v>24.9357398480869</v>
      </c>
      <c r="H60" s="19" t="n">
        <v>6.44803683758931</v>
      </c>
      <c r="I60" s="19" t="n">
        <v>1057</v>
      </c>
      <c r="J60" s="19" t="n">
        <v>1038</v>
      </c>
      <c r="K60" s="19" t="n">
        <v>6.46569747378988</v>
      </c>
    </row>
    <row r="61">
      <c r="A61" s="19" t="n">
        <v>158</v>
      </c>
      <c r="B61" s="19" t="inlineStr">
        <is>
          <t>Strik3r</t>
        </is>
      </c>
      <c r="C61" s="19" t="inlineStr">
        <is>
          <t>Town</t>
        </is>
      </c>
      <c r="D61" s="19" t="inlineStr">
        <is>
          <t>Loss</t>
        </is>
      </c>
      <c r="E61" s="19" t="n">
        <v>-20</v>
      </c>
      <c r="F61" s="19" t="n">
        <v>30.8123556323626</v>
      </c>
      <c r="G61" s="19" t="n">
        <v>30.4880874839659</v>
      </c>
      <c r="H61" s="19" t="n">
        <v>6.56408938216407</v>
      </c>
      <c r="I61" s="19" t="n">
        <v>1424</v>
      </c>
      <c r="J61" s="19" t="n">
        <v>1404</v>
      </c>
      <c r="K61" s="19" t="n">
        <v>6.5832400465081</v>
      </c>
    </row>
    <row r="62">
      <c r="A62" s="19" t="n">
        <v>158</v>
      </c>
      <c r="B62" s="19" t="inlineStr">
        <is>
          <t>Brownkow</t>
        </is>
      </c>
      <c r="C62" s="19" t="inlineStr">
        <is>
          <t>Town</t>
        </is>
      </c>
      <c r="D62" s="19" t="inlineStr">
        <is>
          <t>Loss</t>
        </is>
      </c>
      <c r="E62" s="19" t="n">
        <v>-17</v>
      </c>
      <c r="F62" s="19" t="n">
        <v>31.5203476788365</v>
      </c>
      <c r="G62" s="19" t="n">
        <v>31.2487591602623</v>
      </c>
      <c r="H62" s="19" t="n">
        <v>6.01115173687505</v>
      </c>
      <c r="I62" s="19" t="n">
        <v>1529</v>
      </c>
      <c r="J62" s="19" t="n">
        <v>1512</v>
      </c>
      <c r="K62" s="19" t="n">
        <v>6.02359498270888</v>
      </c>
    </row>
    <row r="63">
      <c r="A63" s="19" t="n">
        <v>158</v>
      </c>
      <c r="B63" s="19" t="inlineStr">
        <is>
          <t>Kden</t>
        </is>
      </c>
      <c r="C63" s="19" t="inlineStr">
        <is>
          <t>Town</t>
        </is>
      </c>
      <c r="D63" s="19" t="inlineStr">
        <is>
          <t>Loss</t>
        </is>
      </c>
      <c r="E63" s="19" t="n">
        <v>-20</v>
      </c>
      <c r="F63" s="19" t="n">
        <v>27.3713023515695</v>
      </c>
      <c r="G63" s="19" t="n">
        <v>27.0492876726871</v>
      </c>
      <c r="H63" s="19" t="n">
        <v>6.54142166115641</v>
      </c>
      <c r="I63" s="19" t="n">
        <v>1192</v>
      </c>
      <c r="J63" s="19" t="n">
        <v>1172</v>
      </c>
      <c r="K63" s="19" t="n">
        <v>6.56027770859234</v>
      </c>
    </row>
    <row r="64">
      <c r="A64" s="19" t="n">
        <v>158</v>
      </c>
      <c r="B64" s="19" t="inlineStr">
        <is>
          <t>Badpants</t>
        </is>
      </c>
      <c r="C64" s="19" t="inlineStr">
        <is>
          <t>Town</t>
        </is>
      </c>
      <c r="D64" s="19" t="inlineStr">
        <is>
          <t>Loss</t>
        </is>
      </c>
      <c r="E64" s="19" t="n">
        <v>-19</v>
      </c>
      <c r="F64" s="19" t="n">
        <v>26.6726635910164</v>
      </c>
      <c r="G64" s="19" t="n">
        <v>26.372035715962</v>
      </c>
      <c r="H64" s="19" t="n">
        <v>6.32211660529912</v>
      </c>
      <c r="I64" s="19" t="n">
        <v>1167</v>
      </c>
      <c r="J64" s="19" t="n">
        <v>1148</v>
      </c>
      <c r="K64" s="19" t="n">
        <v>6.33821118981127</v>
      </c>
    </row>
    <row r="65">
      <c r="A65" s="19" t="n">
        <v>158</v>
      </c>
      <c r="B65" s="19" t="inlineStr">
        <is>
          <t>Mintt</t>
        </is>
      </c>
      <c r="C65" s="19" t="inlineStr">
        <is>
          <t>Mafia</t>
        </is>
      </c>
      <c r="D65" s="19" t="inlineStr">
        <is>
          <t>Win</t>
        </is>
      </c>
      <c r="E65" s="19" t="n">
        <v>26</v>
      </c>
      <c r="F65" s="19" t="n">
        <v>33.3447726056018</v>
      </c>
      <c r="G65" s="19" t="n">
        <v>33.6915105178401</v>
      </c>
      <c r="H65" s="19" t="n">
        <v>6.78584000695343</v>
      </c>
      <c r="I65" s="19" t="n">
        <v>1573</v>
      </c>
      <c r="J65" s="19" t="n">
        <v>1599</v>
      </c>
      <c r="K65" s="19" t="n">
        <v>6.80796682267085</v>
      </c>
    </row>
    <row r="66">
      <c r="A66" s="19" t="n">
        <v>158</v>
      </c>
      <c r="B66" s="19" t="inlineStr">
        <is>
          <t>Kwix</t>
        </is>
      </c>
      <c r="C66" s="19" t="inlineStr">
        <is>
          <t>Mafia</t>
        </is>
      </c>
      <c r="D66" s="19" t="inlineStr">
        <is>
          <t>Win</t>
        </is>
      </c>
      <c r="E66" s="19" t="n">
        <v>24</v>
      </c>
      <c r="F66" s="19" t="n">
        <v>22.5600283040154</v>
      </c>
      <c r="G66" s="19" t="n">
        <v>22.8832446791752</v>
      </c>
      <c r="H66" s="19" t="n">
        <v>6.55351963259011</v>
      </c>
      <c r="I66" s="19" t="n">
        <v>864</v>
      </c>
      <c r="J66" s="19" t="n">
        <v>888</v>
      </c>
      <c r="K66" s="19" t="n">
        <v>6.57253270177187</v>
      </c>
    </row>
    <row r="67">
      <c r="A67" s="19" t="n">
        <v>158</v>
      </c>
      <c r="B67" s="19" t="inlineStr">
        <is>
          <t>Noah</t>
        </is>
      </c>
      <c r="C67" s="19" t="inlineStr">
        <is>
          <t>Mafia</t>
        </is>
      </c>
      <c r="D67" s="19" t="inlineStr">
        <is>
          <t>Win</t>
        </is>
      </c>
      <c r="E67" s="19" t="n">
        <v>22</v>
      </c>
      <c r="F67" s="19" t="n">
        <v>34.0447659645704</v>
      </c>
      <c r="G67" s="19" t="n">
        <v>34.3432135419564</v>
      </c>
      <c r="H67" s="19" t="n">
        <v>6.29931725695591</v>
      </c>
      <c r="I67" s="19" t="n">
        <v>1671</v>
      </c>
      <c r="J67" s="19" t="n">
        <v>1693</v>
      </c>
      <c r="K67" s="19" t="n">
        <v>6.3151338112844</v>
      </c>
    </row>
    <row r="68">
      <c r="A68" s="19" t="n">
        <v>157</v>
      </c>
      <c r="B68" s="19" t="inlineStr">
        <is>
          <t>Kwix</t>
        </is>
      </c>
      <c r="C68" s="19" t="inlineStr">
        <is>
          <t>Town</t>
        </is>
      </c>
      <c r="D68" s="19" t="inlineStr">
        <is>
          <t>Loss</t>
        </is>
      </c>
      <c r="E68" s="19" t="n">
        <v>-24</v>
      </c>
      <c r="F68" s="19" t="n">
        <v>22.9560681938245</v>
      </c>
      <c r="G68" s="19" t="n">
        <v>22.5600283040154</v>
      </c>
      <c r="H68" s="19" t="n">
        <v>6.57253270177187</v>
      </c>
      <c r="I68" s="19" t="n">
        <v>888</v>
      </c>
      <c r="J68" s="19" t="n">
        <v>864</v>
      </c>
      <c r="K68" s="19" t="n">
        <v>6.59474385673067</v>
      </c>
    </row>
    <row r="69">
      <c r="A69" s="19" t="n">
        <v>157</v>
      </c>
      <c r="B69" s="19" t="inlineStr">
        <is>
          <t>Rocker</t>
        </is>
      </c>
      <c r="C69" s="19" t="inlineStr">
        <is>
          <t>Town</t>
        </is>
      </c>
      <c r="D69" s="19" t="inlineStr">
        <is>
          <t>Loss</t>
        </is>
      </c>
      <c r="E69" s="19" t="n">
        <v>-21</v>
      </c>
      <c r="F69" s="19" t="n">
        <v>39.4045824608646</v>
      </c>
      <c r="G69" s="19" t="n">
        <v>39.0745840108115</v>
      </c>
      <c r="H69" s="19" t="n">
        <v>6.00398496325234</v>
      </c>
      <c r="I69" s="19" t="n">
        <v>2066</v>
      </c>
      <c r="J69" s="19" t="n">
        <v>2045</v>
      </c>
      <c r="K69" s="19" t="n">
        <v>6.01858596003122</v>
      </c>
    </row>
    <row r="70">
      <c r="A70" s="19" t="n">
        <v>157</v>
      </c>
      <c r="B70" s="19" t="inlineStr">
        <is>
          <t>Chelsea</t>
        </is>
      </c>
      <c r="C70" s="19" t="inlineStr">
        <is>
          <t>Town</t>
        </is>
      </c>
      <c r="D70" s="19" t="inlineStr">
        <is>
          <t>Loss</t>
        </is>
      </c>
      <c r="E70" s="19" t="n">
        <v>-30</v>
      </c>
      <c r="F70" s="19" t="n">
        <v>29.6005710466676</v>
      </c>
      <c r="G70" s="19" t="n">
        <v>29.1236910716875</v>
      </c>
      <c r="H70" s="19" t="n">
        <v>7.2056812578795</v>
      </c>
      <c r="I70" s="19" t="n">
        <v>1275</v>
      </c>
      <c r="J70" s="19" t="n">
        <v>1245</v>
      </c>
      <c r="K70" s="19" t="n">
        <v>7.2378432311775</v>
      </c>
    </row>
    <row r="71">
      <c r="A71" s="19" t="n">
        <v>157</v>
      </c>
      <c r="B71" s="19" t="inlineStr">
        <is>
          <t>Levi</t>
        </is>
      </c>
      <c r="C71" s="19" t="inlineStr">
        <is>
          <t>Town</t>
        </is>
      </c>
      <c r="D71" s="19" t="inlineStr">
        <is>
          <t>Loss</t>
        </is>
      </c>
      <c r="E71" s="19" t="n">
        <v>-35</v>
      </c>
      <c r="F71" s="19" t="n">
        <v>27.1379878096381</v>
      </c>
      <c r="G71" s="19" t="n">
        <v>26.5536106752862</v>
      </c>
      <c r="H71" s="19" t="n">
        <v>7.96697952782531</v>
      </c>
      <c r="I71" s="19" t="n">
        <v>1028</v>
      </c>
      <c r="J71" s="19" t="n">
        <v>993</v>
      </c>
      <c r="K71" s="19" t="n">
        <v>8.013455887404801</v>
      </c>
    </row>
    <row r="72">
      <c r="A72" s="19" t="n">
        <v>157</v>
      </c>
      <c r="B72" s="19" t="inlineStr">
        <is>
          <t>Kden</t>
        </is>
      </c>
      <c r="C72" s="19" t="inlineStr">
        <is>
          <t>Town</t>
        </is>
      </c>
      <c r="D72" s="19" t="inlineStr">
        <is>
          <t>Loss</t>
        </is>
      </c>
      <c r="E72" s="19" t="n">
        <v>-25</v>
      </c>
      <c r="F72" s="19" t="n">
        <v>27.7658535941669</v>
      </c>
      <c r="G72" s="19" t="n">
        <v>27.3713023515695</v>
      </c>
      <c r="H72" s="19" t="n">
        <v>6.56027770859234</v>
      </c>
      <c r="I72" s="19" t="n">
        <v>1217</v>
      </c>
      <c r="J72" s="19" t="n">
        <v>1192</v>
      </c>
      <c r="K72" s="19" t="n">
        <v>6.58231222512622</v>
      </c>
    </row>
    <row r="73">
      <c r="A73" s="19" t="n">
        <v>157</v>
      </c>
      <c r="B73" s="19" t="inlineStr">
        <is>
          <t>Carson</t>
        </is>
      </c>
      <c r="C73" s="19" t="inlineStr">
        <is>
          <t>Town</t>
        </is>
      </c>
      <c r="D73" s="19" t="inlineStr">
        <is>
          <t>Loss</t>
        </is>
      </c>
      <c r="E73" s="19" t="n">
        <v>-23</v>
      </c>
      <c r="F73" s="19" t="n">
        <v>28.9615951229623</v>
      </c>
      <c r="G73" s="19" t="n">
        <v>28.5956888591657</v>
      </c>
      <c r="H73" s="19" t="n">
        <v>6.31967062466618</v>
      </c>
      <c r="I73" s="19" t="n">
        <v>1323</v>
      </c>
      <c r="J73" s="19" t="n">
        <v>1300</v>
      </c>
      <c r="K73" s="19" t="n">
        <v>6.33835235659736</v>
      </c>
    </row>
    <row r="74">
      <c r="A74" s="19" t="n">
        <v>157</v>
      </c>
      <c r="B74" s="19" t="inlineStr">
        <is>
          <t>Noah</t>
        </is>
      </c>
      <c r="C74" s="19" t="inlineStr">
        <is>
          <t>Town</t>
        </is>
      </c>
      <c r="D74" s="19" t="inlineStr">
        <is>
          <t>Loss</t>
        </is>
      </c>
      <c r="E74" s="19" t="n">
        <v>-23</v>
      </c>
      <c r="F74" s="19" t="n">
        <v>34.410142735722</v>
      </c>
      <c r="G74" s="19" t="n">
        <v>34.0447659645704</v>
      </c>
      <c r="H74" s="19" t="n">
        <v>6.3151338112844</v>
      </c>
      <c r="I74" s="19" t="n">
        <v>1694</v>
      </c>
      <c r="J74" s="19" t="n">
        <v>1671</v>
      </c>
      <c r="K74" s="19" t="n">
        <v>6.33375438962794</v>
      </c>
    </row>
    <row r="75">
      <c r="A75" s="19" t="n">
        <v>157</v>
      </c>
      <c r="B75" s="19" t="inlineStr">
        <is>
          <t>Brownkow</t>
        </is>
      </c>
      <c r="C75" s="19" t="inlineStr">
        <is>
          <t>Town</t>
        </is>
      </c>
      <c r="D75" s="19" t="inlineStr">
        <is>
          <t>Loss</t>
        </is>
      </c>
      <c r="E75" s="19" t="n">
        <v>-21</v>
      </c>
      <c r="F75" s="19" t="n">
        <v>31.8525214393276</v>
      </c>
      <c r="G75" s="19" t="n">
        <v>31.5203476788365</v>
      </c>
      <c r="H75" s="19" t="n">
        <v>6.02359498270888</v>
      </c>
      <c r="I75" s="19" t="n">
        <v>1550</v>
      </c>
      <c r="J75" s="19" t="n">
        <v>1529</v>
      </c>
      <c r="K75" s="19" t="n">
        <v>6.0384394018371</v>
      </c>
    </row>
    <row r="76">
      <c r="A76" s="19" t="n">
        <v>157</v>
      </c>
      <c r="B76" s="19" t="inlineStr">
        <is>
          <t>Strik3r</t>
        </is>
      </c>
      <c r="C76" s="19" t="inlineStr">
        <is>
          <t>Town</t>
        </is>
      </c>
      <c r="D76" s="19" t="inlineStr">
        <is>
          <t>Loss</t>
        </is>
      </c>
      <c r="E76" s="19" t="n">
        <v>-24</v>
      </c>
      <c r="F76" s="19" t="n">
        <v>31.2096985285268</v>
      </c>
      <c r="G76" s="19" t="n">
        <v>30.8123556323626</v>
      </c>
      <c r="H76" s="19" t="n">
        <v>6.5832400465081</v>
      </c>
      <c r="I76" s="19" t="n">
        <v>1448</v>
      </c>
      <c r="J76" s="19" t="n">
        <v>1424</v>
      </c>
      <c r="K76" s="19" t="n">
        <v>6.60560600758009</v>
      </c>
    </row>
    <row r="77">
      <c r="A77" s="19" t="n">
        <v>157</v>
      </c>
      <c r="B77" s="19" t="inlineStr">
        <is>
          <t>Iln</t>
        </is>
      </c>
      <c r="C77" s="19" t="inlineStr">
        <is>
          <t>Town</t>
        </is>
      </c>
      <c r="D77" s="19" t="inlineStr">
        <is>
          <t>Loss</t>
        </is>
      </c>
      <c r="E77" s="19" t="n">
        <v>-21</v>
      </c>
      <c r="F77" s="19" t="n">
        <v>31.6860184673575</v>
      </c>
      <c r="G77" s="19" t="n">
        <v>31.3394222634378</v>
      </c>
      <c r="H77" s="19" t="n">
        <v>6.15198231523439</v>
      </c>
      <c r="I77" s="19" t="n">
        <v>1525</v>
      </c>
      <c r="J77" s="19" t="n">
        <v>1504</v>
      </c>
      <c r="K77" s="19" t="n">
        <v>6.1684529075378</v>
      </c>
    </row>
    <row r="78">
      <c r="A78" s="19" t="n">
        <v>157</v>
      </c>
      <c r="B78" s="19" t="inlineStr">
        <is>
          <t>Chipper</t>
        </is>
      </c>
      <c r="C78" s="19" t="inlineStr">
        <is>
          <t>Mafia</t>
        </is>
      </c>
      <c r="D78" s="19" t="inlineStr">
        <is>
          <t>Win</t>
        </is>
      </c>
      <c r="E78" s="19" t="n">
        <v>30</v>
      </c>
      <c r="F78" s="19" t="n">
        <v>28.4276579764306</v>
      </c>
      <c r="G78" s="19" t="n">
        <v>28.8388115489402</v>
      </c>
      <c r="H78" s="19" t="n">
        <v>6.69563766630193</v>
      </c>
      <c r="I78" s="19" t="n">
        <v>1248</v>
      </c>
      <c r="J78" s="19" t="n">
        <v>1278</v>
      </c>
      <c r="K78" s="19" t="n">
        <v>6.71965565309388</v>
      </c>
    </row>
    <row r="79">
      <c r="A79" s="19" t="n">
        <v>157</v>
      </c>
      <c r="B79" s="19" t="inlineStr">
        <is>
          <t>Josh</t>
        </is>
      </c>
      <c r="C79" s="19" t="inlineStr">
        <is>
          <t>Mafia</t>
        </is>
      </c>
      <c r="D79" s="19" t="inlineStr">
        <is>
          <t>Win</t>
        </is>
      </c>
      <c r="E79" s="19" t="n">
        <v>38</v>
      </c>
      <c r="F79" s="19" t="n">
        <v>32.1103073138275</v>
      </c>
      <c r="G79" s="19" t="n">
        <v>32.61379801853</v>
      </c>
      <c r="H79" s="19" t="n">
        <v>7.40179036911317</v>
      </c>
      <c r="I79" s="19" t="n">
        <v>1425</v>
      </c>
      <c r="J79" s="19" t="n">
        <v>1463</v>
      </c>
      <c r="K79" s="19" t="n">
        <v>7.43738175441859</v>
      </c>
    </row>
    <row r="80">
      <c r="A80" s="19" t="n">
        <v>157</v>
      </c>
      <c r="B80" s="19" t="inlineStr">
        <is>
          <t>Laur</t>
        </is>
      </c>
      <c r="C80" s="19" t="inlineStr">
        <is>
          <t>Mafia</t>
        </is>
      </c>
      <c r="D80" s="19" t="inlineStr">
        <is>
          <t>Win</t>
        </is>
      </c>
      <c r="E80" s="19" t="n">
        <v>27</v>
      </c>
      <c r="F80" s="19" t="n">
        <v>34.918753681925</v>
      </c>
      <c r="G80" s="19" t="n">
        <v>35.2965207361872</v>
      </c>
      <c r="H80" s="19" t="n">
        <v>6.42042852600179</v>
      </c>
      <c r="I80" s="19" t="n">
        <v>1718</v>
      </c>
      <c r="J80" s="19" t="n">
        <v>1745</v>
      </c>
      <c r="K80" s="19" t="n">
        <v>6.44048790617366</v>
      </c>
    </row>
    <row r="81">
      <c r="A81" s="19" t="n">
        <v>156</v>
      </c>
      <c r="B81" s="19" t="inlineStr">
        <is>
          <t>Siggy</t>
        </is>
      </c>
      <c r="C81" s="19" t="inlineStr">
        <is>
          <t>Town</t>
        </is>
      </c>
      <c r="D81" s="19" t="inlineStr">
        <is>
          <t>Win</t>
        </is>
      </c>
      <c r="E81" s="19" t="n">
        <v>38</v>
      </c>
      <c r="F81" s="19" t="n">
        <v>29.9069600388589</v>
      </c>
      <c r="G81" s="19" t="n">
        <v>30.4184169032413</v>
      </c>
      <c r="H81" s="19" t="n">
        <v>7.56093841721511</v>
      </c>
      <c r="I81" s="19" t="n">
        <v>1259</v>
      </c>
      <c r="J81" s="19" t="n">
        <v>1297</v>
      </c>
      <c r="K81" s="19" t="n">
        <v>7.59372624040047</v>
      </c>
    </row>
    <row r="82">
      <c r="A82" s="19" t="n">
        <v>156</v>
      </c>
      <c r="B82" s="19" t="inlineStr">
        <is>
          <t>Laur</t>
        </is>
      </c>
      <c r="C82" s="19" t="inlineStr">
        <is>
          <t>Town</t>
        </is>
      </c>
      <c r="D82" s="19" t="inlineStr">
        <is>
          <t>Win</t>
        </is>
      </c>
      <c r="E82" s="19" t="n">
        <v>27</v>
      </c>
      <c r="F82" s="19" t="n">
        <v>34.5487004139708</v>
      </c>
      <c r="G82" s="19" t="n">
        <v>34.918753681925</v>
      </c>
      <c r="H82" s="19" t="n">
        <v>6.44048790617366</v>
      </c>
      <c r="I82" s="19" t="n">
        <v>1691</v>
      </c>
      <c r="J82" s="19" t="n">
        <v>1718</v>
      </c>
      <c r="K82" s="19" t="n">
        <v>6.45733042205345</v>
      </c>
    </row>
    <row r="83">
      <c r="A83" s="19" t="n">
        <v>156</v>
      </c>
      <c r="B83" s="19" t="inlineStr">
        <is>
          <t>Rollo</t>
        </is>
      </c>
      <c r="C83" s="19" t="inlineStr">
        <is>
          <t>Town</t>
        </is>
      </c>
      <c r="D83" s="19" t="inlineStr">
        <is>
          <t>Win</t>
        </is>
      </c>
      <c r="E83" s="19" t="n">
        <v>30</v>
      </c>
      <c r="F83" s="19" t="n">
        <v>36.0286296329601</v>
      </c>
      <c r="G83" s="19" t="n">
        <v>36.4391235347975</v>
      </c>
      <c r="H83" s="19" t="n">
        <v>6.78053815556919</v>
      </c>
      <c r="I83" s="19" t="n">
        <v>1756</v>
      </c>
      <c r="J83" s="19" t="n">
        <v>1786</v>
      </c>
      <c r="K83" s="19" t="n">
        <v>6.80174603928708</v>
      </c>
    </row>
    <row r="84">
      <c r="A84" s="19" t="n">
        <v>156</v>
      </c>
      <c r="B84" s="19" t="inlineStr">
        <is>
          <t>Strik3r</t>
        </is>
      </c>
      <c r="C84" s="19" t="inlineStr">
        <is>
          <t>Town</t>
        </is>
      </c>
      <c r="D84" s="19" t="inlineStr">
        <is>
          <t>Win</t>
        </is>
      </c>
      <c r="E84" s="19" t="n">
        <v>28</v>
      </c>
      <c r="F84" s="19" t="n">
        <v>30.8202765711904</v>
      </c>
      <c r="G84" s="19" t="n">
        <v>31.2096985285268</v>
      </c>
      <c r="H84" s="19" t="n">
        <v>6.60560600758009</v>
      </c>
      <c r="I84" s="19" t="n">
        <v>1420</v>
      </c>
      <c r="J84" s="19" t="n">
        <v>1448</v>
      </c>
      <c r="K84" s="19" t="n">
        <v>6.62452000401826</v>
      </c>
    </row>
    <row r="85">
      <c r="A85" s="19" t="n">
        <v>156</v>
      </c>
      <c r="B85" s="19" t="inlineStr">
        <is>
          <t>Chelsea</t>
        </is>
      </c>
      <c r="C85" s="19" t="inlineStr">
        <is>
          <t>Town</t>
        </is>
      </c>
      <c r="D85" s="19" t="inlineStr">
        <is>
          <t>Win</t>
        </is>
      </c>
      <c r="E85" s="19" t="n">
        <v>35</v>
      </c>
      <c r="F85" s="19" t="n">
        <v>29.1322974420624</v>
      </c>
      <c r="G85" s="19" t="n">
        <v>29.6005710466676</v>
      </c>
      <c r="H85" s="19" t="n">
        <v>7.2378432311775</v>
      </c>
      <c r="I85" s="19" t="n">
        <v>1240</v>
      </c>
      <c r="J85" s="19" t="n">
        <v>1275</v>
      </c>
      <c r="K85" s="19" t="n">
        <v>7.26555866387329</v>
      </c>
    </row>
    <row r="86">
      <c r="A86" s="19" t="n">
        <v>156</v>
      </c>
      <c r="B86" s="19" t="inlineStr">
        <is>
          <t>Mintt</t>
        </is>
      </c>
      <c r="C86" s="19" t="inlineStr">
        <is>
          <t>Town</t>
        </is>
      </c>
      <c r="D86" s="19" t="inlineStr">
        <is>
          <t>Win</t>
        </is>
      </c>
      <c r="E86" s="19" t="n">
        <v>30</v>
      </c>
      <c r="F86" s="19" t="n">
        <v>32.9309231044087</v>
      </c>
      <c r="G86" s="19" t="n">
        <v>33.3447726056018</v>
      </c>
      <c r="H86" s="19" t="n">
        <v>6.80796682267085</v>
      </c>
      <c r="I86" s="19" t="n">
        <v>1543</v>
      </c>
      <c r="J86" s="19" t="n">
        <v>1573</v>
      </c>
      <c r="K86" s="19" t="n">
        <v>6.82954389547827</v>
      </c>
    </row>
    <row r="87">
      <c r="A87" s="19" t="n">
        <v>156</v>
      </c>
      <c r="B87" s="19" t="inlineStr">
        <is>
          <t>Rocker</t>
        </is>
      </c>
      <c r="C87" s="19" t="inlineStr">
        <is>
          <t>Town</t>
        </is>
      </c>
      <c r="D87" s="19" t="inlineStr">
        <is>
          <t>Win</t>
        </is>
      </c>
      <c r="E87" s="19" t="n">
        <v>24</v>
      </c>
      <c r="F87" s="19" t="n">
        <v>39.0817289247561</v>
      </c>
      <c r="G87" s="19" t="n">
        <v>39.4045824608646</v>
      </c>
      <c r="H87" s="19" t="n">
        <v>6.01858596003122</v>
      </c>
      <c r="I87" s="19" t="n">
        <v>2042</v>
      </c>
      <c r="J87" s="19" t="n">
        <v>2066</v>
      </c>
      <c r="K87" s="19" t="n">
        <v>6.0305251037853</v>
      </c>
    </row>
    <row r="88">
      <c r="A88" s="19" t="n">
        <v>156</v>
      </c>
      <c r="B88" s="19" t="inlineStr">
        <is>
          <t>Noah</t>
        </is>
      </c>
      <c r="C88" s="19" t="inlineStr">
        <is>
          <t>Town</t>
        </is>
      </c>
      <c r="D88" s="19" t="inlineStr">
        <is>
          <t>Win</t>
        </is>
      </c>
      <c r="E88" s="19" t="n">
        <v>26</v>
      </c>
      <c r="F88" s="19" t="n">
        <v>34.0523408216514</v>
      </c>
      <c r="G88" s="19" t="n">
        <v>34.410142735722</v>
      </c>
      <c r="H88" s="19" t="n">
        <v>6.33375438962794</v>
      </c>
      <c r="I88" s="19" t="n">
        <v>1668</v>
      </c>
      <c r="J88" s="19" t="n">
        <v>1694</v>
      </c>
      <c r="K88" s="19" t="n">
        <v>6.34930469308762</v>
      </c>
    </row>
    <row r="89">
      <c r="A89" s="19" t="n">
        <v>156</v>
      </c>
      <c r="B89" s="19" t="inlineStr">
        <is>
          <t>Rick</t>
        </is>
      </c>
      <c r="C89" s="19" t="inlineStr">
        <is>
          <t>Town</t>
        </is>
      </c>
      <c r="D89" s="19" t="inlineStr">
        <is>
          <t>Win</t>
        </is>
      </c>
      <c r="E89" s="19" t="n">
        <v>38</v>
      </c>
      <c r="F89" s="19" t="n">
        <v>29.3404108950713</v>
      </c>
      <c r="G89" s="19" t="n">
        <v>29.8509361502659</v>
      </c>
      <c r="H89" s="19" t="n">
        <v>7.55411985210542</v>
      </c>
      <c r="I89" s="19" t="n">
        <v>1221</v>
      </c>
      <c r="J89" s="19" t="n">
        <v>1259</v>
      </c>
      <c r="K89" s="19" t="n">
        <v>7.5867963686577</v>
      </c>
    </row>
    <row r="90">
      <c r="A90" s="19" t="n">
        <v>156</v>
      </c>
      <c r="B90" s="19" t="inlineStr">
        <is>
          <t>Keegan</t>
        </is>
      </c>
      <c r="C90" s="19" t="inlineStr">
        <is>
          <t>Town</t>
        </is>
      </c>
      <c r="D90" s="19" t="inlineStr">
        <is>
          <t>Win</t>
        </is>
      </c>
      <c r="E90" s="19" t="n">
        <v>37</v>
      </c>
      <c r="F90" s="19" t="n">
        <v>29.723200153452</v>
      </c>
      <c r="G90" s="19" t="n">
        <v>30.2281882997853</v>
      </c>
      <c r="H90" s="19" t="n">
        <v>7.5134600197417</v>
      </c>
      <c r="I90" s="19" t="n">
        <v>1252</v>
      </c>
      <c r="J90" s="19" t="n">
        <v>1289</v>
      </c>
      <c r="K90" s="19" t="n">
        <v>7.54547667913512</v>
      </c>
    </row>
    <row r="91">
      <c r="A91" s="19" t="n">
        <v>156</v>
      </c>
      <c r="B91" s="19" t="inlineStr">
        <is>
          <t>Josh</t>
        </is>
      </c>
      <c r="C91" s="19" t="inlineStr">
        <is>
          <t>Town</t>
        </is>
      </c>
      <c r="D91" s="19" t="inlineStr">
        <is>
          <t>Win</t>
        </is>
      </c>
      <c r="E91" s="19" t="n">
        <v>37</v>
      </c>
      <c r="F91" s="19" t="n">
        <v>31.6155960403078</v>
      </c>
      <c r="G91" s="19" t="n">
        <v>32.1103073138275</v>
      </c>
      <c r="H91" s="19" t="n">
        <v>7.43738175441859</v>
      </c>
      <c r="I91" s="19" t="n">
        <v>1388</v>
      </c>
      <c r="J91" s="19" t="n">
        <v>1425</v>
      </c>
      <c r="K91" s="19" t="n">
        <v>7.46818146304977</v>
      </c>
    </row>
    <row r="92">
      <c r="A92" s="19" t="n">
        <v>156</v>
      </c>
      <c r="B92" s="19" t="inlineStr">
        <is>
          <t>Levi</t>
        </is>
      </c>
      <c r="C92" s="19" t="inlineStr">
        <is>
          <t>Mafia</t>
        </is>
      </c>
      <c r="D92" s="19" t="inlineStr">
        <is>
          <t>Loss</t>
        </is>
      </c>
      <c r="E92" s="19" t="n">
        <v>-35</v>
      </c>
      <c r="F92" s="19" t="n">
        <v>27.7132339783349</v>
      </c>
      <c r="G92" s="19" t="n">
        <v>27.1379878096381</v>
      </c>
      <c r="H92" s="19" t="n">
        <v>8.013455887404801</v>
      </c>
      <c r="I92" s="19" t="n">
        <v>1063</v>
      </c>
      <c r="J92" s="19" t="n">
        <v>1028</v>
      </c>
      <c r="K92" s="19" t="n">
        <v>8.054060300417129</v>
      </c>
    </row>
    <row r="93">
      <c r="A93" s="19" t="n">
        <v>156</v>
      </c>
      <c r="B93" s="19" t="inlineStr">
        <is>
          <t>Ryan</t>
        </is>
      </c>
      <c r="C93" s="19" t="inlineStr">
        <is>
          <t>Mafia</t>
        </is>
      </c>
      <c r="D93" s="19" t="inlineStr">
        <is>
          <t>Loss</t>
        </is>
      </c>
      <c r="E93" s="19" t="n">
        <v>-37</v>
      </c>
      <c r="F93" s="19" t="n">
        <v>25</v>
      </c>
      <c r="G93" s="19" t="n">
        <v>24.3842253126186</v>
      </c>
      <c r="H93" s="19" t="n">
        <v>8.28756508731616</v>
      </c>
      <c r="I93" s="19" t="n">
        <v>850</v>
      </c>
      <c r="J93" s="19" t="n">
        <v>813</v>
      </c>
      <c r="K93" s="19" t="n">
        <v>8.33333333333333</v>
      </c>
    </row>
    <row r="94">
      <c r="A94" s="19" t="n">
        <v>156</v>
      </c>
      <c r="B94" s="19" t="inlineStr">
        <is>
          <t>Whyin</t>
        </is>
      </c>
      <c r="C94" s="19" t="inlineStr">
        <is>
          <t>Mafia</t>
        </is>
      </c>
      <c r="D94" s="19" t="inlineStr">
        <is>
          <t>Loss</t>
        </is>
      </c>
      <c r="E94" s="19" t="n">
        <v>-26</v>
      </c>
      <c r="F94" s="19" t="n">
        <v>30.9970668725579</v>
      </c>
      <c r="G94" s="19" t="n">
        <v>30.5871929456465</v>
      </c>
      <c r="H94" s="19" t="n">
        <v>6.77545792008456</v>
      </c>
      <c r="I94" s="19" t="n">
        <v>1415</v>
      </c>
      <c r="J94" s="19" t="n">
        <v>1389</v>
      </c>
      <c r="K94" s="19" t="n">
        <v>6.79659771059173</v>
      </c>
    </row>
    <row r="95">
      <c r="A95" s="19" t="n">
        <v>155</v>
      </c>
      <c r="B95" s="19" t="inlineStr">
        <is>
          <t>Badpants</t>
        </is>
      </c>
      <c r="C95" s="19" t="inlineStr">
        <is>
          <t>Town</t>
        </is>
      </c>
      <c r="D95" s="19" t="inlineStr">
        <is>
          <t>Loss</t>
        </is>
      </c>
      <c r="E95" s="19" t="n">
        <v>-37</v>
      </c>
      <c r="F95" s="19" t="n">
        <v>27.2466164297832</v>
      </c>
      <c r="G95" s="19" t="n">
        <v>26.6726635910164</v>
      </c>
      <c r="H95" s="19" t="n">
        <v>6.33821118981127</v>
      </c>
      <c r="I95" s="19" t="n">
        <v>1204</v>
      </c>
      <c r="J95" s="19" t="n">
        <v>1167</v>
      </c>
      <c r="K95" s="19" t="n">
        <v>6.36430399221725</v>
      </c>
    </row>
    <row r="96">
      <c r="A96" s="19" t="n">
        <v>155</v>
      </c>
      <c r="B96" s="19" t="inlineStr">
        <is>
          <t>Ken</t>
        </is>
      </c>
      <c r="C96" s="19" t="inlineStr">
        <is>
          <t>Town</t>
        </is>
      </c>
      <c r="D96" s="19" t="inlineStr">
        <is>
          <t>Loss</t>
        </is>
      </c>
      <c r="E96" s="19" t="n">
        <v>-47</v>
      </c>
      <c r="F96" s="19" t="n">
        <v>27.3468684883504</v>
      </c>
      <c r="G96" s="19" t="n">
        <v>26.5804133855599</v>
      </c>
      <c r="H96" s="19" t="n">
        <v>7.31150138082304</v>
      </c>
      <c r="I96" s="19" t="n">
        <v>1109</v>
      </c>
      <c r="J96" s="19" t="n">
        <v>1062</v>
      </c>
      <c r="K96" s="19" t="n">
        <v>7.35660302429965</v>
      </c>
    </row>
    <row r="97">
      <c r="A97" s="19" t="n">
        <v>155</v>
      </c>
      <c r="B97" s="19" t="inlineStr">
        <is>
          <t>Iln</t>
        </is>
      </c>
      <c r="C97" s="19" t="inlineStr">
        <is>
          <t>Town</t>
        </is>
      </c>
      <c r="D97" s="19" t="inlineStr">
        <is>
          <t>Loss</t>
        </is>
      </c>
      <c r="E97" s="19" t="n">
        <v>-35</v>
      </c>
      <c r="F97" s="19" t="n">
        <v>32.2293340626247</v>
      </c>
      <c r="G97" s="19" t="n">
        <v>31.6860184673575</v>
      </c>
      <c r="H97" s="19" t="n">
        <v>6.1684529075378</v>
      </c>
      <c r="I97" s="19" t="n">
        <v>1560</v>
      </c>
      <c r="J97" s="19" t="n">
        <v>1525</v>
      </c>
      <c r="K97" s="19" t="n">
        <v>6.19172540403614</v>
      </c>
    </row>
    <row r="98">
      <c r="A98" s="19" t="n">
        <v>155</v>
      </c>
      <c r="B98" s="19" t="inlineStr">
        <is>
          <t>Laur</t>
        </is>
      </c>
      <c r="C98" s="19" t="inlineStr">
        <is>
          <t>Town</t>
        </is>
      </c>
      <c r="D98" s="19" t="inlineStr">
        <is>
          <t>Loss</t>
        </is>
      </c>
      <c r="E98" s="19" t="n">
        <v>-37</v>
      </c>
      <c r="F98" s="19" t="n">
        <v>35.144669340759</v>
      </c>
      <c r="G98" s="19" t="n">
        <v>34.5487004139708</v>
      </c>
      <c r="H98" s="19" t="n">
        <v>6.45733042205345</v>
      </c>
      <c r="I98" s="19" t="n">
        <v>1728</v>
      </c>
      <c r="J98" s="19" t="n">
        <v>1691</v>
      </c>
      <c r="K98" s="19" t="n">
        <v>6.48548476343256</v>
      </c>
    </row>
    <row r="99">
      <c r="A99" s="19" t="n">
        <v>155</v>
      </c>
      <c r="B99" s="19" t="inlineStr">
        <is>
          <t>Kwix</t>
        </is>
      </c>
      <c r="C99" s="19" t="inlineStr">
        <is>
          <t>Town</t>
        </is>
      </c>
      <c r="D99" s="19" t="inlineStr">
        <is>
          <t>Loss</t>
        </is>
      </c>
      <c r="E99" s="19" t="n">
        <v>-40</v>
      </c>
      <c r="F99" s="19" t="n">
        <v>23.5779665692773</v>
      </c>
      <c r="G99" s="19" t="n">
        <v>22.9560681938245</v>
      </c>
      <c r="H99" s="19" t="n">
        <v>6.59474385673067</v>
      </c>
      <c r="I99" s="19" t="n">
        <v>928</v>
      </c>
      <c r="J99" s="19" t="n">
        <v>888</v>
      </c>
      <c r="K99" s="19" t="n">
        <v>6.62536360762322</v>
      </c>
    </row>
    <row r="100">
      <c r="A100" s="19" t="n">
        <v>155</v>
      </c>
      <c r="B100" s="19" t="inlineStr">
        <is>
          <t>Brownkow</t>
        </is>
      </c>
      <c r="C100" s="19" t="inlineStr">
        <is>
          <t>Town</t>
        </is>
      </c>
      <c r="D100" s="19" t="inlineStr">
        <is>
          <t>Loss</t>
        </is>
      </c>
      <c r="E100" s="19" t="n">
        <v>-33</v>
      </c>
      <c r="F100" s="19" t="n">
        <v>32.3729577760747</v>
      </c>
      <c r="G100" s="19" t="n">
        <v>31.8525214393276</v>
      </c>
      <c r="H100" s="19" t="n">
        <v>6.0384394018371</v>
      </c>
      <c r="I100" s="19" t="n">
        <v>1583</v>
      </c>
      <c r="J100" s="19" t="n">
        <v>1550</v>
      </c>
      <c r="K100" s="19" t="n">
        <v>6.05964240709578</v>
      </c>
    </row>
    <row r="101">
      <c r="A101" s="19" t="n">
        <v>155</v>
      </c>
      <c r="B101" s="19" t="inlineStr">
        <is>
          <t>Rocker</t>
        </is>
      </c>
      <c r="C101" s="19" t="inlineStr">
        <is>
          <t>Town</t>
        </is>
      </c>
      <c r="D101" s="19" t="inlineStr">
        <is>
          <t>Loss</t>
        </is>
      </c>
      <c r="E101" s="19" t="n">
        <v>-34</v>
      </c>
      <c r="F101" s="19" t="n">
        <v>39.6007888872608</v>
      </c>
      <c r="G101" s="19" t="n">
        <v>39.0817289247561</v>
      </c>
      <c r="H101" s="19" t="n">
        <v>6.0305251037853</v>
      </c>
      <c r="I101" s="19" t="n">
        <v>2076</v>
      </c>
      <c r="J101" s="19" t="n">
        <v>2042</v>
      </c>
      <c r="K101" s="19" t="n">
        <v>6.05160460660688</v>
      </c>
    </row>
    <row r="102">
      <c r="A102" s="19" t="n">
        <v>155</v>
      </c>
      <c r="B102" s="19" t="inlineStr">
        <is>
          <t>Hunterxp</t>
        </is>
      </c>
      <c r="C102" s="19" t="inlineStr">
        <is>
          <t>Town</t>
        </is>
      </c>
      <c r="D102" s="19" t="inlineStr">
        <is>
          <t>Loss</t>
        </is>
      </c>
      <c r="E102" s="19" t="n">
        <v>-53</v>
      </c>
      <c r="F102" s="19" t="n">
        <v>23.7530343505754</v>
      </c>
      <c r="G102" s="19" t="n">
        <v>22.8881821927709</v>
      </c>
      <c r="H102" s="19" t="n">
        <v>7.75964528129198</v>
      </c>
      <c r="I102" s="19" t="n">
        <v>818</v>
      </c>
      <c r="J102" s="19" t="n">
        <v>765</v>
      </c>
      <c r="K102" s="19" t="n">
        <v>7.81530585681044</v>
      </c>
    </row>
    <row r="103">
      <c r="A103" s="19" t="n">
        <v>155</v>
      </c>
      <c r="B103" s="19" t="inlineStr">
        <is>
          <t>Ken</t>
        </is>
      </c>
      <c r="C103" s="19" t="inlineStr">
        <is>
          <t>Town</t>
        </is>
      </c>
      <c r="D103" s="19" t="inlineStr">
        <is>
          <t>Loss</t>
        </is>
      </c>
      <c r="E103" s="19" t="n">
        <v>-47</v>
      </c>
      <c r="F103" s="19" t="n">
        <v>27.3468684883504</v>
      </c>
      <c r="G103" s="19" t="n">
        <v>26.5804133855599</v>
      </c>
      <c r="H103" s="19" t="n">
        <v>7.31150138082304</v>
      </c>
      <c r="I103" s="19" t="n">
        <v>1109</v>
      </c>
      <c r="J103" s="19" t="n">
        <v>1062</v>
      </c>
      <c r="K103" s="19" t="n">
        <v>7.35660302429965</v>
      </c>
    </row>
    <row r="104">
      <c r="A104" s="19" t="n">
        <v>155</v>
      </c>
      <c r="B104" s="19" t="inlineStr">
        <is>
          <t>Strik3r</t>
        </is>
      </c>
      <c r="C104" s="19" t="inlineStr">
        <is>
          <t>Town</t>
        </is>
      </c>
      <c r="D104" s="19" t="inlineStr">
        <is>
          <t>Loss</t>
        </is>
      </c>
      <c r="E104" s="19" t="n">
        <v>-40</v>
      </c>
      <c r="F104" s="19" t="n">
        <v>31.4478689067349</v>
      </c>
      <c r="G104" s="19" t="n">
        <v>30.8202765711904</v>
      </c>
      <c r="H104" s="19" t="n">
        <v>6.62452000401826</v>
      </c>
      <c r="I104" s="19" t="n">
        <v>1460</v>
      </c>
      <c r="J104" s="19" t="n">
        <v>1420</v>
      </c>
      <c r="K104" s="19" t="n">
        <v>6.65568656454152</v>
      </c>
    </row>
    <row r="105">
      <c r="A105" s="19" t="n">
        <v>155</v>
      </c>
      <c r="B105" s="19" t="inlineStr">
        <is>
          <t>Svaan</t>
        </is>
      </c>
      <c r="C105" s="19" t="inlineStr">
        <is>
          <t>Mafia</t>
        </is>
      </c>
      <c r="D105" s="19" t="inlineStr">
        <is>
          <t>Win</t>
        </is>
      </c>
      <c r="E105" s="19" t="n">
        <v>57</v>
      </c>
      <c r="F105" s="19" t="n">
        <v>29.6390744646795</v>
      </c>
      <c r="G105" s="19" t="n">
        <v>30.4168503698765</v>
      </c>
      <c r="H105" s="19" t="n">
        <v>7.36453537941429</v>
      </c>
      <c r="I105" s="19" t="n">
        <v>1260</v>
      </c>
      <c r="J105" s="19" t="n">
        <v>1317</v>
      </c>
      <c r="K105" s="19" t="n">
        <v>7.41082332776938</v>
      </c>
    </row>
    <row r="106">
      <c r="A106" s="19" t="n">
        <v>155</v>
      </c>
      <c r="B106" s="19" t="inlineStr">
        <is>
          <t>Lou</t>
        </is>
      </c>
      <c r="C106" s="19" t="inlineStr">
        <is>
          <t>Mafia</t>
        </is>
      </c>
      <c r="D106" s="19" t="inlineStr">
        <is>
          <t>Win</t>
        </is>
      </c>
      <c r="E106" s="19" t="n">
        <v>41</v>
      </c>
      <c r="F106" s="19" t="n">
        <v>29.7808068116541</v>
      </c>
      <c r="G106" s="19" t="n">
        <v>30.3498493677876</v>
      </c>
      <c r="H106" s="19" t="n">
        <v>6.31132381637089</v>
      </c>
      <c r="I106" s="19" t="n">
        <v>1379</v>
      </c>
      <c r="J106" s="19" t="n">
        <v>1420</v>
      </c>
      <c r="K106" s="19" t="n">
        <v>6.33696080931889</v>
      </c>
    </row>
    <row r="107">
      <c r="A107" s="19" t="n">
        <v>155</v>
      </c>
      <c r="B107" s="19" t="inlineStr">
        <is>
          <t>Decode</t>
        </is>
      </c>
      <c r="C107" s="19" t="inlineStr">
        <is>
          <t>Mafia</t>
        </is>
      </c>
      <c r="D107" s="19" t="inlineStr">
        <is>
          <t>Win</t>
        </is>
      </c>
      <c r="E107" s="19" t="n">
        <v>59</v>
      </c>
      <c r="F107" s="19" t="n">
        <v>20.4213475592043</v>
      </c>
      <c r="G107" s="19" t="n">
        <v>21.2210437398598</v>
      </c>
      <c r="H107" s="19" t="n">
        <v>7.46609095007602</v>
      </c>
      <c r="I107" s="19" t="n">
        <v>622</v>
      </c>
      <c r="J107" s="19" t="n">
        <v>681</v>
      </c>
      <c r="K107" s="19" t="n">
        <v>7.51469713989751</v>
      </c>
    </row>
    <row r="108">
      <c r="A108" s="19" t="n">
        <v>154</v>
      </c>
      <c r="B108" s="19" t="inlineStr">
        <is>
          <t>Machop</t>
        </is>
      </c>
      <c r="C108" s="19" t="inlineStr">
        <is>
          <t>Town</t>
        </is>
      </c>
      <c r="D108" s="19" t="inlineStr">
        <is>
          <t>Loss</t>
        </is>
      </c>
      <c r="E108" s="19" t="n">
        <v>-47</v>
      </c>
      <c r="F108" s="19" t="n">
        <v>26.3915227697812</v>
      </c>
      <c r="G108" s="19" t="n">
        <v>25.6593338032096</v>
      </c>
      <c r="H108" s="19" t="n">
        <v>6.78827972466749</v>
      </c>
      <c r="I108" s="19" t="n">
        <v>1099</v>
      </c>
      <c r="J108" s="19" t="n">
        <v>1052</v>
      </c>
      <c r="K108" s="19" t="n">
        <v>6.8199114476637</v>
      </c>
    </row>
    <row r="109">
      <c r="A109" s="19" t="n">
        <v>154</v>
      </c>
      <c r="B109" s="19" t="inlineStr">
        <is>
          <t>Iln</t>
        </is>
      </c>
      <c r="C109" s="19" t="inlineStr">
        <is>
          <t>Town</t>
        </is>
      </c>
      <c r="D109" s="19" t="inlineStr">
        <is>
          <t>Loss</t>
        </is>
      </c>
      <c r="E109" s="19" t="n">
        <v>-39</v>
      </c>
      <c r="F109" s="19" t="n">
        <v>32.8373232500543</v>
      </c>
      <c r="G109" s="19" t="n">
        <v>32.2293340626247</v>
      </c>
      <c r="H109" s="19" t="n">
        <v>6.19172540403614</v>
      </c>
      <c r="I109" s="19" t="n">
        <v>1599</v>
      </c>
      <c r="J109" s="19" t="n">
        <v>1560</v>
      </c>
      <c r="K109" s="19" t="n">
        <v>6.21339868975687</v>
      </c>
    </row>
    <row r="110">
      <c r="A110" s="19" t="n">
        <v>154</v>
      </c>
      <c r="B110" s="19" t="inlineStr">
        <is>
          <t>Decode</t>
        </is>
      </c>
      <c r="C110" s="19" t="inlineStr">
        <is>
          <t>Town</t>
        </is>
      </c>
      <c r="D110" s="19" t="inlineStr">
        <is>
          <t>Loss</t>
        </is>
      </c>
      <c r="E110" s="19" t="n">
        <v>-57</v>
      </c>
      <c r="F110" s="19" t="n">
        <v>21.3209479870707</v>
      </c>
      <c r="G110" s="19" t="n">
        <v>20.4213475592043</v>
      </c>
      <c r="H110" s="19" t="n">
        <v>7.51469713989751</v>
      </c>
      <c r="I110" s="19" t="n">
        <v>679</v>
      </c>
      <c r="J110" s="19" t="n">
        <v>622</v>
      </c>
      <c r="K110" s="19" t="n">
        <v>7.56084182187761</v>
      </c>
    </row>
    <row r="111">
      <c r="A111" s="19" t="n">
        <v>154</v>
      </c>
      <c r="B111" s="19" t="inlineStr">
        <is>
          <t>Doublea</t>
        </is>
      </c>
      <c r="C111" s="19" t="inlineStr">
        <is>
          <t>Town</t>
        </is>
      </c>
      <c r="D111" s="19" t="inlineStr">
        <is>
          <t>Loss</t>
        </is>
      </c>
      <c r="E111" s="19" t="n">
        <v>-54</v>
      </c>
      <c r="F111" s="19" t="n">
        <v>23.6684749902701</v>
      </c>
      <c r="G111" s="19" t="n">
        <v>22.8226437769466</v>
      </c>
      <c r="H111" s="19" t="n">
        <v>7.28968908100702</v>
      </c>
      <c r="I111" s="19" t="n">
        <v>862</v>
      </c>
      <c r="J111" s="19" t="n">
        <v>808</v>
      </c>
      <c r="K111" s="19" t="n">
        <v>7.33103758659455</v>
      </c>
    </row>
    <row r="112">
      <c r="A112" s="19" t="n">
        <v>154</v>
      </c>
      <c r="B112" s="19" t="inlineStr">
        <is>
          <t>Lou</t>
        </is>
      </c>
      <c r="C112" s="19" t="inlineStr">
        <is>
          <t>Town</t>
        </is>
      </c>
      <c r="D112" s="19" t="inlineStr">
        <is>
          <t>Loss</t>
        </is>
      </c>
      <c r="E112" s="19" t="n">
        <v>-41</v>
      </c>
      <c r="F112" s="19" t="n">
        <v>30.417938823576</v>
      </c>
      <c r="G112" s="19" t="n">
        <v>29.7808068116541</v>
      </c>
      <c r="H112" s="19" t="n">
        <v>6.33696080931889</v>
      </c>
      <c r="I112" s="19" t="n">
        <v>1420</v>
      </c>
      <c r="J112" s="19" t="n">
        <v>1379</v>
      </c>
      <c r="K112" s="19" t="n">
        <v>6.36090867369245</v>
      </c>
    </row>
    <row r="113">
      <c r="A113" s="19" t="n">
        <v>154</v>
      </c>
      <c r="B113" s="19" t="inlineStr">
        <is>
          <t>Laur</t>
        </is>
      </c>
      <c r="C113" s="19" t="inlineStr">
        <is>
          <t>Town</t>
        </is>
      </c>
      <c r="D113" s="19" t="inlineStr">
        <is>
          <t>Loss</t>
        </is>
      </c>
      <c r="E113" s="19" t="n">
        <v>-43</v>
      </c>
      <c r="F113" s="19" t="n">
        <v>35.8123311630804</v>
      </c>
      <c r="G113" s="19" t="n">
        <v>35.144669340759</v>
      </c>
      <c r="H113" s="19" t="n">
        <v>6.48548476343256</v>
      </c>
      <c r="I113" s="19" t="n">
        <v>1771</v>
      </c>
      <c r="J113" s="19" t="n">
        <v>1728</v>
      </c>
      <c r="K113" s="19" t="n">
        <v>6.51185624017237</v>
      </c>
    </row>
    <row r="114">
      <c r="A114" s="19" t="n">
        <v>154</v>
      </c>
      <c r="B114" s="19" t="inlineStr">
        <is>
          <t>Gilbert</t>
        </is>
      </c>
      <c r="C114" s="19" t="inlineStr">
        <is>
          <t>Town</t>
        </is>
      </c>
      <c r="D114" s="19" t="inlineStr">
        <is>
          <t>Loss</t>
        </is>
      </c>
      <c r="E114" s="19" t="n">
        <v>-47</v>
      </c>
      <c r="F114" s="19" t="n">
        <v>27.3793361354505</v>
      </c>
      <c r="G114" s="19" t="n">
        <v>26.640380065874</v>
      </c>
      <c r="H114" s="19" t="n">
        <v>6.81922126061211</v>
      </c>
      <c r="I114" s="19" t="n">
        <v>1163</v>
      </c>
      <c r="J114" s="19" t="n">
        <v>1116</v>
      </c>
      <c r="K114" s="19" t="n">
        <v>6.85141546700702</v>
      </c>
    </row>
    <row r="115">
      <c r="A115" s="19" t="n">
        <v>154</v>
      </c>
      <c r="B115" s="19" t="inlineStr">
        <is>
          <t>Svaan</t>
        </is>
      </c>
      <c r="C115" s="19" t="inlineStr">
        <is>
          <t>Town</t>
        </is>
      </c>
      <c r="D115" s="19" t="inlineStr">
        <is>
          <t>Loss</t>
        </is>
      </c>
      <c r="E115" s="19" t="n">
        <v>-55</v>
      </c>
      <c r="F115" s="19" t="n">
        <v>30.5136382348278</v>
      </c>
      <c r="G115" s="19" t="n">
        <v>29.6390744646795</v>
      </c>
      <c r="H115" s="19" t="n">
        <v>7.41082332776938</v>
      </c>
      <c r="I115" s="19" t="n">
        <v>1315</v>
      </c>
      <c r="J115" s="19" t="n">
        <v>1260</v>
      </c>
      <c r="K115" s="19" t="n">
        <v>7.45471903648932</v>
      </c>
    </row>
    <row r="116">
      <c r="A116" s="19" t="n">
        <v>154</v>
      </c>
      <c r="B116" s="19" t="inlineStr">
        <is>
          <t>Kwix</t>
        </is>
      </c>
      <c r="C116" s="19" t="inlineStr">
        <is>
          <t>Town</t>
        </is>
      </c>
      <c r="D116" s="19" t="inlineStr">
        <is>
          <t>Loss</t>
        </is>
      </c>
      <c r="E116" s="19" t="n">
        <v>-44</v>
      </c>
      <c r="F116" s="19" t="n">
        <v>24.2750553245002</v>
      </c>
      <c r="G116" s="19" t="n">
        <v>23.5779665692773</v>
      </c>
      <c r="H116" s="19" t="n">
        <v>6.62536360762322</v>
      </c>
      <c r="I116" s="19" t="n">
        <v>972</v>
      </c>
      <c r="J116" s="19" t="n">
        <v>928</v>
      </c>
      <c r="K116" s="19" t="n">
        <v>6.65411076308741</v>
      </c>
    </row>
    <row r="117">
      <c r="A117" s="19" t="n">
        <v>154</v>
      </c>
      <c r="B117" s="19" t="inlineStr">
        <is>
          <t>Chipper</t>
        </is>
      </c>
      <c r="C117" s="19" t="inlineStr">
        <is>
          <t>Town</t>
        </is>
      </c>
      <c r="D117" s="19" t="inlineStr">
        <is>
          <t>Loss</t>
        </is>
      </c>
      <c r="E117" s="19" t="n">
        <v>-45</v>
      </c>
      <c r="F117" s="19" t="n">
        <v>29.1449532895983</v>
      </c>
      <c r="G117" s="19" t="n">
        <v>28.4276579764306</v>
      </c>
      <c r="H117" s="19" t="n">
        <v>6.71965565309388</v>
      </c>
      <c r="I117" s="19" t="n">
        <v>1293</v>
      </c>
      <c r="J117" s="19" t="n">
        <v>1248</v>
      </c>
      <c r="K117" s="19" t="n">
        <v>6.7500566461044</v>
      </c>
    </row>
    <row r="118">
      <c r="A118" s="19" t="n">
        <v>154</v>
      </c>
      <c r="B118" s="19" t="inlineStr">
        <is>
          <t>Brownkow</t>
        </is>
      </c>
      <c r="C118" s="19" t="inlineStr">
        <is>
          <t>Town</t>
        </is>
      </c>
      <c r="D118" s="19" t="inlineStr">
        <is>
          <t>Loss</t>
        </is>
      </c>
      <c r="E118" s="19" t="n">
        <v>-38</v>
      </c>
      <c r="F118" s="19" t="n">
        <v>32.9550521008452</v>
      </c>
      <c r="G118" s="19" t="n">
        <v>32.3729577760747</v>
      </c>
      <c r="H118" s="19" t="n">
        <v>6.05964240709578</v>
      </c>
      <c r="I118" s="19" t="n">
        <v>1621</v>
      </c>
      <c r="J118" s="19" t="n">
        <v>1583</v>
      </c>
      <c r="K118" s="19" t="n">
        <v>6.07932631794718</v>
      </c>
    </row>
    <row r="119">
      <c r="A119" s="19" t="n">
        <v>154</v>
      </c>
      <c r="B119" s="19" t="inlineStr">
        <is>
          <t>Motr</t>
        </is>
      </c>
      <c r="C119" s="19" t="inlineStr">
        <is>
          <t>Mafia</t>
        </is>
      </c>
      <c r="D119" s="19" t="inlineStr">
        <is>
          <t>Win</t>
        </is>
      </c>
      <c r="E119" s="19" t="n">
        <v>57</v>
      </c>
      <c r="F119" s="19" t="n">
        <v>26.8584977535298</v>
      </c>
      <c r="G119" s="19" t="n">
        <v>27.6341445774197</v>
      </c>
      <c r="H119" s="19" t="n">
        <v>6.98448734023962</v>
      </c>
      <c r="I119" s="19" t="n">
        <v>1110</v>
      </c>
      <c r="J119" s="19" t="n">
        <v>1167</v>
      </c>
      <c r="K119" s="19" t="n">
        <v>7.01976697209509</v>
      </c>
    </row>
    <row r="120">
      <c r="A120" s="19" t="n">
        <v>154</v>
      </c>
      <c r="B120" s="19" t="inlineStr">
        <is>
          <t>Hunterxp</t>
        </is>
      </c>
      <c r="C120" s="19" t="inlineStr">
        <is>
          <t>Mafia</t>
        </is>
      </c>
      <c r="D120" s="19" t="inlineStr">
        <is>
          <t>Win</t>
        </is>
      </c>
      <c r="E120" s="19" t="n">
        <v>72</v>
      </c>
      <c r="F120" s="19" t="n">
        <v>22.7788984372898</v>
      </c>
      <c r="G120" s="19" t="n">
        <v>23.7530343505754</v>
      </c>
      <c r="H120" s="19" t="n">
        <v>7.81530585681044</v>
      </c>
      <c r="I120" s="19" t="n">
        <v>746</v>
      </c>
      <c r="J120" s="19" t="n">
        <v>818</v>
      </c>
      <c r="K120" s="19" t="n">
        <v>7.86830632387902</v>
      </c>
    </row>
    <row r="121">
      <c r="A121" s="19" t="n">
        <v>154</v>
      </c>
      <c r="B121" s="19" t="inlineStr">
        <is>
          <t>Strik3r</t>
        </is>
      </c>
      <c r="C121" s="19" t="inlineStr">
        <is>
          <t>Mafia</t>
        </is>
      </c>
      <c r="D121" s="19" t="inlineStr">
        <is>
          <t>Win</t>
        </is>
      </c>
      <c r="E121" s="19" t="n">
        <v>51</v>
      </c>
      <c r="F121" s="19" t="n">
        <v>30.7443145486865</v>
      </c>
      <c r="G121" s="19" t="n">
        <v>31.4478689067349</v>
      </c>
      <c r="H121" s="19" t="n">
        <v>6.65568656454152</v>
      </c>
      <c r="I121" s="19" t="n">
        <v>1409</v>
      </c>
      <c r="J121" s="19" t="n">
        <v>1460</v>
      </c>
      <c r="K121" s="19" t="n">
        <v>6.68496091191716</v>
      </c>
    </row>
    <row r="122">
      <c r="A122" s="19" t="n">
        <v>153</v>
      </c>
      <c r="B122" s="19" t="inlineStr">
        <is>
          <t>Gilbert</t>
        </is>
      </c>
      <c r="C122" s="19" t="inlineStr">
        <is>
          <t>Town</t>
        </is>
      </c>
      <c r="D122" s="19" t="inlineStr">
        <is>
          <t>Loss</t>
        </is>
      </c>
      <c r="E122" s="19" t="n">
        <v>-23</v>
      </c>
      <c r="F122" s="19" t="n">
        <v>27.746292591801</v>
      </c>
      <c r="G122" s="19" t="n">
        <v>27.3793361354505</v>
      </c>
      <c r="H122" s="19" t="n">
        <v>6.85141546700702</v>
      </c>
      <c r="I122" s="19" t="n">
        <v>1186</v>
      </c>
      <c r="J122" s="19" t="n">
        <v>1163</v>
      </c>
      <c r="K122" s="19" t="n">
        <v>6.87466326560124</v>
      </c>
    </row>
    <row r="123">
      <c r="A123" s="19" t="n">
        <v>153</v>
      </c>
      <c r="B123" s="19" t="inlineStr">
        <is>
          <t>Badpants</t>
        </is>
      </c>
      <c r="C123" s="19" t="inlineStr">
        <is>
          <t>Town</t>
        </is>
      </c>
      <c r="D123" s="19" t="inlineStr">
        <is>
          <t>Loss</t>
        </is>
      </c>
      <c r="E123" s="19" t="n">
        <v>-19</v>
      </c>
      <c r="F123" s="19" t="n">
        <v>27.5628682902636</v>
      </c>
      <c r="G123" s="19" t="n">
        <v>27.2466164297832</v>
      </c>
      <c r="H123" s="19" t="n">
        <v>6.36430399221725</v>
      </c>
      <c r="I123" s="19" t="n">
        <v>1223</v>
      </c>
      <c r="J123" s="19" t="n">
        <v>1204</v>
      </c>
      <c r="K123" s="19" t="n">
        <v>6.38108308012636</v>
      </c>
    </row>
    <row r="124">
      <c r="A124" s="19" t="n">
        <v>153</v>
      </c>
      <c r="B124" s="19" t="inlineStr">
        <is>
          <t>Carson</t>
        </is>
      </c>
      <c r="C124" s="19" t="inlineStr">
        <is>
          <t>Town</t>
        </is>
      </c>
      <c r="D124" s="19" t="inlineStr">
        <is>
          <t>Loss</t>
        </is>
      </c>
      <c r="E124" s="19" t="n">
        <v>-20</v>
      </c>
      <c r="F124" s="19" t="n">
        <v>29.2752537960499</v>
      </c>
      <c r="G124" s="19" t="n">
        <v>28.9615951229623</v>
      </c>
      <c r="H124" s="19" t="n">
        <v>6.33835235659736</v>
      </c>
      <c r="I124" s="19" t="n">
        <v>1343</v>
      </c>
      <c r="J124" s="19" t="n">
        <v>1323</v>
      </c>
      <c r="K124" s="19" t="n">
        <v>6.3548095099906</v>
      </c>
    </row>
    <row r="125">
      <c r="A125" s="19" t="n">
        <v>153</v>
      </c>
      <c r="B125" s="19" t="inlineStr">
        <is>
          <t>Siggy</t>
        </is>
      </c>
      <c r="C125" s="19" t="inlineStr">
        <is>
          <t>Town</t>
        </is>
      </c>
      <c r="D125" s="19" t="inlineStr">
        <is>
          <t>Loss</t>
        </is>
      </c>
      <c r="E125" s="19" t="n">
        <v>-27</v>
      </c>
      <c r="F125" s="19" t="n">
        <v>30.3586481156151</v>
      </c>
      <c r="G125" s="19" t="n">
        <v>29.9069600388589</v>
      </c>
      <c r="H125" s="19" t="n">
        <v>7.59372624040047</v>
      </c>
      <c r="I125" s="19" t="n">
        <v>1286</v>
      </c>
      <c r="J125" s="19" t="n">
        <v>1259</v>
      </c>
      <c r="K125" s="19" t="n">
        <v>7.62853309249482</v>
      </c>
    </row>
    <row r="126">
      <c r="A126" s="19" t="n">
        <v>153</v>
      </c>
      <c r="B126" s="19" t="inlineStr">
        <is>
          <t>Iln</t>
        </is>
      </c>
      <c r="C126" s="19" t="inlineStr">
        <is>
          <t>Town</t>
        </is>
      </c>
      <c r="D126" s="19" t="inlineStr">
        <is>
          <t>Loss</t>
        </is>
      </c>
      <c r="E126" s="19" t="n">
        <v>-19</v>
      </c>
      <c r="F126" s="19" t="n">
        <v>33.1386488006352</v>
      </c>
      <c r="G126" s="19" t="n">
        <v>32.8373232500543</v>
      </c>
      <c r="H126" s="19" t="n">
        <v>6.21339868975687</v>
      </c>
      <c r="I126" s="19" t="n">
        <v>1618</v>
      </c>
      <c r="J126" s="19" t="n">
        <v>1599</v>
      </c>
      <c r="K126" s="19" t="n">
        <v>6.22833634377531</v>
      </c>
    </row>
    <row r="127">
      <c r="A127" s="19" t="n">
        <v>153</v>
      </c>
      <c r="B127" s="19" t="inlineStr">
        <is>
          <t>Mintt</t>
        </is>
      </c>
      <c r="C127" s="19" t="inlineStr">
        <is>
          <t>Town</t>
        </is>
      </c>
      <c r="D127" s="19" t="inlineStr">
        <is>
          <t>Loss</t>
        </is>
      </c>
      <c r="E127" s="19" t="n">
        <v>-22</v>
      </c>
      <c r="F127" s="19" t="n">
        <v>33.2955200204201</v>
      </c>
      <c r="G127" s="19" t="n">
        <v>32.9309231044087</v>
      </c>
      <c r="H127" s="19" t="n">
        <v>6.82954389547827</v>
      </c>
      <c r="I127" s="19" t="n">
        <v>1565</v>
      </c>
      <c r="J127" s="19" t="n">
        <v>1543</v>
      </c>
      <c r="K127" s="19" t="n">
        <v>6.85248325683294</v>
      </c>
    </row>
    <row r="128">
      <c r="A128" s="19" t="n">
        <v>153</v>
      </c>
      <c r="B128" s="19" t="inlineStr">
        <is>
          <t>Rocker</t>
        </is>
      </c>
      <c r="C128" s="19" t="inlineStr">
        <is>
          <t>Town</t>
        </is>
      </c>
      <c r="D128" s="19" t="inlineStr">
        <is>
          <t>Loss</t>
        </is>
      </c>
      <c r="E128" s="19" t="n">
        <v>-18</v>
      </c>
      <c r="F128" s="19" t="n">
        <v>39.8865203359379</v>
      </c>
      <c r="G128" s="19" t="n">
        <v>39.6007888872608</v>
      </c>
      <c r="H128" s="19" t="n">
        <v>6.05160460660688</v>
      </c>
      <c r="I128" s="19" t="n">
        <v>2094</v>
      </c>
      <c r="J128" s="19" t="n">
        <v>2076</v>
      </c>
      <c r="K128" s="19" t="n">
        <v>6.0646480530025</v>
      </c>
    </row>
    <row r="129">
      <c r="A129" s="19" t="n">
        <v>153</v>
      </c>
      <c r="B129" s="19" t="inlineStr">
        <is>
          <t>Strik3r</t>
        </is>
      </c>
      <c r="C129" s="19" t="inlineStr">
        <is>
          <t>Town</t>
        </is>
      </c>
      <c r="D129" s="19" t="inlineStr">
        <is>
          <t>Loss</t>
        </is>
      </c>
      <c r="E129" s="19" t="n">
        <v>-21</v>
      </c>
      <c r="F129" s="19" t="n">
        <v>31.0935099501596</v>
      </c>
      <c r="G129" s="19" t="n">
        <v>30.7443145486865</v>
      </c>
      <c r="H129" s="19" t="n">
        <v>6.68496091191716</v>
      </c>
      <c r="I129" s="19" t="n">
        <v>1430</v>
      </c>
      <c r="J129" s="19" t="n">
        <v>1409</v>
      </c>
      <c r="K129" s="19" t="n">
        <v>6.70590486771887</v>
      </c>
    </row>
    <row r="130">
      <c r="A130" s="19" t="n">
        <v>153</v>
      </c>
      <c r="B130" s="19" t="inlineStr">
        <is>
          <t>Kwix</t>
        </is>
      </c>
      <c r="C130" s="19" t="inlineStr">
        <is>
          <t>Town</t>
        </is>
      </c>
      <c r="D130" s="19" t="inlineStr">
        <is>
          <t>Loss</t>
        </is>
      </c>
      <c r="E130" s="19" t="n">
        <v>-21</v>
      </c>
      <c r="F130" s="19" t="n">
        <v>24.6210085608484</v>
      </c>
      <c r="G130" s="19" t="n">
        <v>24.2750553245002</v>
      </c>
      <c r="H130" s="19" t="n">
        <v>6.65411076308741</v>
      </c>
      <c r="I130" s="19" t="n">
        <v>993</v>
      </c>
      <c r="J130" s="19" t="n">
        <v>972</v>
      </c>
      <c r="K130" s="19" t="n">
        <v>6.67463860644048</v>
      </c>
    </row>
    <row r="131">
      <c r="A131" s="19" t="n">
        <v>153</v>
      </c>
      <c r="B131" s="19" t="inlineStr">
        <is>
          <t>Plen</t>
        </is>
      </c>
      <c r="C131" s="19" t="inlineStr">
        <is>
          <t>Town</t>
        </is>
      </c>
      <c r="D131" s="19" t="inlineStr">
        <is>
          <t>Loss</t>
        </is>
      </c>
      <c r="E131" s="19" t="n">
        <v>-19</v>
      </c>
      <c r="F131" s="19" t="n">
        <v>24.2280801998779</v>
      </c>
      <c r="G131" s="19" t="n">
        <v>23.928567178661</v>
      </c>
      <c r="H131" s="19" t="n">
        <v>6.19481624877346</v>
      </c>
      <c r="I131" s="19" t="n">
        <v>1014</v>
      </c>
      <c r="J131" s="19" t="n">
        <v>995</v>
      </c>
      <c r="K131" s="19" t="n">
        <v>6.20953219558189</v>
      </c>
    </row>
    <row r="132">
      <c r="A132" s="19" t="n">
        <v>153</v>
      </c>
      <c r="B132" s="19" t="inlineStr">
        <is>
          <t>Levi</t>
        </is>
      </c>
      <c r="C132" s="19" t="inlineStr">
        <is>
          <t>Mafia</t>
        </is>
      </c>
      <c r="D132" s="19" t="inlineStr">
        <is>
          <t>Win</t>
        </is>
      </c>
      <c r="E132" s="19" t="n">
        <v>39</v>
      </c>
      <c r="F132" s="19" t="n">
        <v>27.2044315309978</v>
      </c>
      <c r="G132" s="19" t="n">
        <v>27.7132339783349</v>
      </c>
      <c r="H132" s="19" t="n">
        <v>8.054060300417129</v>
      </c>
      <c r="I132" s="19" t="n">
        <v>1024</v>
      </c>
      <c r="J132" s="19" t="n">
        <v>1063</v>
      </c>
      <c r="K132" s="19" t="n">
        <v>8.097184053093381</v>
      </c>
    </row>
    <row r="133">
      <c r="A133" s="19" t="n">
        <v>153</v>
      </c>
      <c r="B133" s="19" t="inlineStr">
        <is>
          <t>Noah</t>
        </is>
      </c>
      <c r="C133" s="19" t="inlineStr">
        <is>
          <t>Mafia</t>
        </is>
      </c>
      <c r="D133" s="19" t="inlineStr">
        <is>
          <t>Win</t>
        </is>
      </c>
      <c r="E133" s="19" t="n">
        <v>23</v>
      </c>
      <c r="F133" s="19" t="n">
        <v>33.7375890803699</v>
      </c>
      <c r="G133" s="19" t="n">
        <v>34.0523408216514</v>
      </c>
      <c r="H133" s="19" t="n">
        <v>6.34930469308762</v>
      </c>
      <c r="I133" s="19" t="n">
        <v>1645</v>
      </c>
      <c r="J133" s="19" t="n">
        <v>1668</v>
      </c>
      <c r="K133" s="19" t="n">
        <v>6.36589744280565</v>
      </c>
    </row>
    <row r="134">
      <c r="A134" s="19" t="n">
        <v>153</v>
      </c>
      <c r="B134" s="19" t="inlineStr">
        <is>
          <t>Rollo</t>
        </is>
      </c>
      <c r="C134" s="19" t="inlineStr">
        <is>
          <t>Mafia</t>
        </is>
      </c>
      <c r="D134" s="19" t="inlineStr">
        <is>
          <t>Win</t>
        </is>
      </c>
      <c r="E134" s="19" t="n">
        <v>27</v>
      </c>
      <c r="F134" s="19" t="n">
        <v>35.6670203241192</v>
      </c>
      <c r="G134" s="19" t="n">
        <v>36.0286296329601</v>
      </c>
      <c r="H134" s="19" t="n">
        <v>6.80174603928708</v>
      </c>
      <c r="I134" s="19" t="n">
        <v>1729</v>
      </c>
      <c r="J134" s="19" t="n">
        <v>1756</v>
      </c>
      <c r="K134" s="19" t="n">
        <v>6.82429590769149</v>
      </c>
    </row>
    <row r="135">
      <c r="A135" s="19" t="n">
        <v>152</v>
      </c>
      <c r="B135" s="19" t="inlineStr">
        <is>
          <t>Rollo</t>
        </is>
      </c>
      <c r="C135" s="19" t="inlineStr">
        <is>
          <t>Town</t>
        </is>
      </c>
      <c r="D135" s="19" t="inlineStr">
        <is>
          <t>Win</t>
        </is>
      </c>
      <c r="E135" s="19" t="n">
        <v>35</v>
      </c>
      <c r="F135" s="19" t="n">
        <v>35.188348849439</v>
      </c>
      <c r="G135" s="19" t="n">
        <v>35.6670203241192</v>
      </c>
      <c r="H135" s="19" t="n">
        <v>6.82429590769149</v>
      </c>
      <c r="I135" s="19" t="n">
        <v>1694</v>
      </c>
      <c r="J135" s="19" t="n">
        <v>1729</v>
      </c>
      <c r="K135" s="19" t="n">
        <v>6.85194842977851</v>
      </c>
    </row>
    <row r="136">
      <c r="A136" s="19" t="n">
        <v>152</v>
      </c>
      <c r="B136" s="19" t="inlineStr">
        <is>
          <t>Carson</t>
        </is>
      </c>
      <c r="C136" s="19" t="inlineStr">
        <is>
          <t>Town</t>
        </is>
      </c>
      <c r="D136" s="19" t="inlineStr">
        <is>
          <t>Win</t>
        </is>
      </c>
      <c r="E136" s="19" t="n">
        <v>31</v>
      </c>
      <c r="F136" s="19" t="n">
        <v>28.8607369786263</v>
      </c>
      <c r="G136" s="19" t="n">
        <v>29.2752537960499</v>
      </c>
      <c r="H136" s="19" t="n">
        <v>6.3548095099906</v>
      </c>
      <c r="I136" s="19" t="n">
        <v>1312</v>
      </c>
      <c r="J136" s="19" t="n">
        <v>1343</v>
      </c>
      <c r="K136" s="19" t="n">
        <v>6.37531950690191</v>
      </c>
    </row>
    <row r="137">
      <c r="A137" s="19" t="n">
        <v>152</v>
      </c>
      <c r="B137" s="19" t="inlineStr">
        <is>
          <t>Ken</t>
        </is>
      </c>
      <c r="C137" s="19" t="inlineStr">
        <is>
          <t>Town</t>
        </is>
      </c>
      <c r="D137" s="19" t="inlineStr">
        <is>
          <t>Win</t>
        </is>
      </c>
      <c r="E137" s="19" t="n">
        <v>41</v>
      </c>
      <c r="F137" s="19" t="n">
        <v>26.7896915455895</v>
      </c>
      <c r="G137" s="19" t="n">
        <v>27.3468684883504</v>
      </c>
      <c r="H137" s="19" t="n">
        <v>7.35660302429965</v>
      </c>
      <c r="I137" s="19" t="n">
        <v>1068</v>
      </c>
      <c r="J137" s="19" t="n">
        <v>1109</v>
      </c>
      <c r="K137" s="19" t="n">
        <v>7.39350758938952</v>
      </c>
    </row>
    <row r="138">
      <c r="A138" s="19" t="n">
        <v>152</v>
      </c>
      <c r="B138" s="19" t="inlineStr">
        <is>
          <t>Laur</t>
        </is>
      </c>
      <c r="C138" s="19" t="inlineStr">
        <is>
          <t>Town</t>
        </is>
      </c>
      <c r="D138" s="19" t="inlineStr">
        <is>
          <t>Win</t>
        </is>
      </c>
      <c r="E138" s="19" t="n">
        <v>32</v>
      </c>
      <c r="F138" s="19" t="n">
        <v>35.3768820603446</v>
      </c>
      <c r="G138" s="19" t="n">
        <v>35.8123311630804</v>
      </c>
      <c r="H138" s="19" t="n">
        <v>6.51185624017237</v>
      </c>
      <c r="I138" s="19" t="n">
        <v>1739</v>
      </c>
      <c r="J138" s="19" t="n">
        <v>1771</v>
      </c>
      <c r="K138" s="19" t="n">
        <v>6.53465539385013</v>
      </c>
    </row>
    <row r="139">
      <c r="A139" s="19" t="n">
        <v>152</v>
      </c>
      <c r="B139" s="19" t="inlineStr">
        <is>
          <t>Brownkow</t>
        </is>
      </c>
      <c r="C139" s="19" t="inlineStr">
        <is>
          <t>Town</t>
        </is>
      </c>
      <c r="D139" s="19" t="inlineStr">
        <is>
          <t>Win</t>
        </is>
      </c>
      <c r="E139" s="19" t="n">
        <v>28</v>
      </c>
      <c r="F139" s="19" t="n">
        <v>32.5759769811998</v>
      </c>
      <c r="G139" s="19" t="n">
        <v>32.9550521008452</v>
      </c>
      <c r="H139" s="19" t="n">
        <v>6.07932631794718</v>
      </c>
      <c r="I139" s="19" t="n">
        <v>1593</v>
      </c>
      <c r="J139" s="19" t="n">
        <v>1621</v>
      </c>
      <c r="K139" s="19" t="n">
        <v>6.09605052140163</v>
      </c>
    </row>
    <row r="140">
      <c r="A140" s="19" t="n">
        <v>152</v>
      </c>
      <c r="B140" s="19" t="inlineStr">
        <is>
          <t>Rocker</t>
        </is>
      </c>
      <c r="C140" s="19" t="inlineStr">
        <is>
          <t>Town</t>
        </is>
      </c>
      <c r="D140" s="19" t="inlineStr">
        <is>
          <t>Win</t>
        </is>
      </c>
      <c r="E140" s="19" t="n">
        <v>28</v>
      </c>
      <c r="F140" s="19" t="n">
        <v>39.5092880967454</v>
      </c>
      <c r="G140" s="19" t="n">
        <v>39.8865203359379</v>
      </c>
      <c r="H140" s="19" t="n">
        <v>6.0646480530025</v>
      </c>
      <c r="I140" s="19" t="n">
        <v>2066</v>
      </c>
      <c r="J140" s="19" t="n">
        <v>2094</v>
      </c>
      <c r="K140" s="19" t="n">
        <v>6.08117846426366</v>
      </c>
    </row>
    <row r="141">
      <c r="A141" s="19" t="n">
        <v>152</v>
      </c>
      <c r="B141" s="19" t="inlineStr">
        <is>
          <t>Whyin</t>
        </is>
      </c>
      <c r="C141" s="19" t="inlineStr">
        <is>
          <t>Town</t>
        </is>
      </c>
      <c r="D141" s="19" t="inlineStr">
        <is>
          <t>Win</t>
        </is>
      </c>
      <c r="E141" s="19" t="n">
        <v>36</v>
      </c>
      <c r="F141" s="19" t="n">
        <v>30.5223121939378</v>
      </c>
      <c r="G141" s="19" t="n">
        <v>30.9970668725579</v>
      </c>
      <c r="H141" s="19" t="n">
        <v>6.79659771059173</v>
      </c>
      <c r="I141" s="19" t="n">
        <v>1379</v>
      </c>
      <c r="J141" s="19" t="n">
        <v>1415</v>
      </c>
      <c r="K141" s="19" t="n">
        <v>6.823803374667</v>
      </c>
    </row>
    <row r="142">
      <c r="A142" s="19" t="n">
        <v>152</v>
      </c>
      <c r="B142" s="19" t="inlineStr">
        <is>
          <t>Heckmuffins</t>
        </is>
      </c>
      <c r="C142" s="19" t="inlineStr">
        <is>
          <t>Town</t>
        </is>
      </c>
      <c r="D142" s="19" t="inlineStr">
        <is>
          <t>Win</t>
        </is>
      </c>
      <c r="E142" s="19" t="n">
        <v>48</v>
      </c>
      <c r="F142" s="19" t="n">
        <v>31.3046494079946</v>
      </c>
      <c r="G142" s="19" t="n">
        <v>31.9374876586023</v>
      </c>
      <c r="H142" s="19" t="n">
        <v>7.8339575206001</v>
      </c>
      <c r="I142" s="19" t="n">
        <v>1325</v>
      </c>
      <c r="J142" s="19" t="n">
        <v>1373</v>
      </c>
      <c r="K142" s="19" t="n">
        <v>7.88030552315171</v>
      </c>
    </row>
    <row r="143">
      <c r="A143" s="19" t="n">
        <v>152</v>
      </c>
      <c r="B143" s="19" t="inlineStr">
        <is>
          <t>Streety</t>
        </is>
      </c>
      <c r="C143" s="19" t="inlineStr">
        <is>
          <t>Town</t>
        </is>
      </c>
      <c r="D143" s="19" t="inlineStr">
        <is>
          <t>Win</t>
        </is>
      </c>
      <c r="E143" s="19" t="n">
        <v>38</v>
      </c>
      <c r="F143" s="19" t="n">
        <v>34.7015582368133</v>
      </c>
      <c r="G143" s="19" t="n">
        <v>35.2087587470549</v>
      </c>
      <c r="H143" s="19" t="n">
        <v>7.02261355262129</v>
      </c>
      <c r="I143" s="19" t="n">
        <v>1640</v>
      </c>
      <c r="J143" s="19" t="n">
        <v>1678</v>
      </c>
      <c r="K143" s="19" t="n">
        <v>7.05356325813378</v>
      </c>
    </row>
    <row r="144">
      <c r="A144" s="19" t="n">
        <v>152</v>
      </c>
      <c r="B144" s="19" t="inlineStr">
        <is>
          <t>Smit</t>
        </is>
      </c>
      <c r="C144" s="19" t="inlineStr">
        <is>
          <t>Town</t>
        </is>
      </c>
      <c r="D144" s="19" t="inlineStr">
        <is>
          <t>Win</t>
        </is>
      </c>
      <c r="E144" s="19" t="n">
        <v>31</v>
      </c>
      <c r="F144" s="19" t="n">
        <v>24.8193138717797</v>
      </c>
      <c r="G144" s="19" t="n">
        <v>25.2485556544254</v>
      </c>
      <c r="H144" s="19" t="n">
        <v>6.46569747378988</v>
      </c>
      <c r="I144" s="19" t="n">
        <v>1026</v>
      </c>
      <c r="J144" s="19" t="n">
        <v>1057</v>
      </c>
      <c r="K144" s="19" t="n">
        <v>6.48781363842441</v>
      </c>
    </row>
    <row r="145">
      <c r="A145" s="19" t="n">
        <v>152</v>
      </c>
      <c r="B145" s="19" t="inlineStr">
        <is>
          <t>Motr</t>
        </is>
      </c>
      <c r="C145" s="19" t="inlineStr">
        <is>
          <t>Mafia</t>
        </is>
      </c>
      <c r="D145" s="19" t="inlineStr">
        <is>
          <t>Loss</t>
        </is>
      </c>
      <c r="E145" s="19" t="n">
        <v>-32</v>
      </c>
      <c r="F145" s="19" t="n">
        <v>27.3652827395381</v>
      </c>
      <c r="G145" s="19" t="n">
        <v>26.8584977535298</v>
      </c>
      <c r="H145" s="19" t="n">
        <v>7.01976697209509</v>
      </c>
      <c r="I145" s="19" t="n">
        <v>1142</v>
      </c>
      <c r="J145" s="19" t="n">
        <v>1110</v>
      </c>
      <c r="K145" s="19" t="n">
        <v>7.05066812001565</v>
      </c>
    </row>
    <row r="146">
      <c r="A146" s="19" t="n">
        <v>152</v>
      </c>
      <c r="B146" s="19" t="inlineStr">
        <is>
          <t>Siggy</t>
        </is>
      </c>
      <c r="C146" s="19" t="inlineStr">
        <is>
          <t>Mafia</t>
        </is>
      </c>
      <c r="D146" s="19" t="inlineStr">
        <is>
          <t>Loss</t>
        </is>
      </c>
      <c r="E146" s="19" t="n">
        <v>-37</v>
      </c>
      <c r="F146" s="19" t="n">
        <v>30.9583134113757</v>
      </c>
      <c r="G146" s="19" t="n">
        <v>30.3586481156151</v>
      </c>
      <c r="H146" s="19" t="n">
        <v>7.62853309249482</v>
      </c>
      <c r="I146" s="19" t="n">
        <v>1323</v>
      </c>
      <c r="J146" s="19" t="n">
        <v>1286</v>
      </c>
      <c r="K146" s="19" t="n">
        <v>7.67067782978557</v>
      </c>
    </row>
    <row r="147">
      <c r="A147" s="19" t="n">
        <v>152</v>
      </c>
      <c r="B147" s="19" t="inlineStr">
        <is>
          <t>Plen</t>
        </is>
      </c>
      <c r="C147" s="19" t="inlineStr">
        <is>
          <t>Mafia</t>
        </is>
      </c>
      <c r="D147" s="19" t="inlineStr">
        <is>
          <t>Loss</t>
        </is>
      </c>
      <c r="E147" s="19" t="n">
        <v>-25</v>
      </c>
      <c r="F147" s="19" t="n">
        <v>24.6237043479944</v>
      </c>
      <c r="G147" s="19" t="n">
        <v>24.2280801998779</v>
      </c>
      <c r="H147" s="19" t="n">
        <v>6.20953219558189</v>
      </c>
      <c r="I147" s="19" t="n">
        <v>1039</v>
      </c>
      <c r="J147" s="19" t="n">
        <v>1014</v>
      </c>
      <c r="K147" s="19" t="n">
        <v>6.22801013358241</v>
      </c>
    </row>
    <row r="148">
      <c r="A148" s="19" t="n">
        <v>151</v>
      </c>
      <c r="B148" s="19" t="inlineStr">
        <is>
          <t>Badpants</t>
        </is>
      </c>
      <c r="C148" s="19" t="inlineStr">
        <is>
          <t>Town</t>
        </is>
      </c>
      <c r="D148" s="19" t="inlineStr">
        <is>
          <t>Win</t>
        </is>
      </c>
      <c r="E148" s="19" t="n">
        <v>117</v>
      </c>
      <c r="F148" s="19" t="n">
        <v>25.8922235243635</v>
      </c>
      <c r="G148" s="19" t="n">
        <v>27.5628682902636</v>
      </c>
      <c r="H148" s="19" t="n">
        <v>6.38108308012636</v>
      </c>
      <c r="I148" s="19" t="n">
        <v>1106</v>
      </c>
      <c r="J148" s="19" t="n">
        <v>1223</v>
      </c>
      <c r="K148" s="19" t="n">
        <v>6.42026969687183</v>
      </c>
    </row>
    <row r="149">
      <c r="A149" s="19" t="n">
        <v>151</v>
      </c>
      <c r="B149" s="19" t="inlineStr">
        <is>
          <t>Lou</t>
        </is>
      </c>
      <c r="C149" s="19" t="inlineStr">
        <is>
          <t>Town</t>
        </is>
      </c>
      <c r="D149" s="19" t="inlineStr">
        <is>
          <t>Win</t>
        </is>
      </c>
      <c r="E149" s="19" t="n">
        <v>117</v>
      </c>
      <c r="F149" s="19" t="n">
        <v>28.7579956657607</v>
      </c>
      <c r="G149" s="19" t="n">
        <v>30.417938823576</v>
      </c>
      <c r="H149" s="19" t="n">
        <v>6.36090867369245</v>
      </c>
      <c r="I149" s="19" t="n">
        <v>1303</v>
      </c>
      <c r="J149" s="19" t="n">
        <v>1420</v>
      </c>
      <c r="K149" s="19" t="n">
        <v>6.39962853666984</v>
      </c>
    </row>
    <row r="150">
      <c r="A150" s="19" t="n">
        <v>151</v>
      </c>
      <c r="B150" s="19" t="inlineStr">
        <is>
          <t>Laur</t>
        </is>
      </c>
      <c r="C150" s="19" t="inlineStr">
        <is>
          <t>Town</t>
        </is>
      </c>
      <c r="D150" s="19" t="inlineStr">
        <is>
          <t>Win</t>
        </is>
      </c>
      <c r="E150" s="19" t="n">
        <v>123</v>
      </c>
      <c r="F150" s="19" t="n">
        <v>33.6235952568396</v>
      </c>
      <c r="G150" s="19" t="n">
        <v>35.3768820603446</v>
      </c>
      <c r="H150" s="19" t="n">
        <v>6.53465539385013</v>
      </c>
      <c r="I150" s="19" t="n">
        <v>1616</v>
      </c>
      <c r="J150" s="19" t="n">
        <v>1739</v>
      </c>
      <c r="K150" s="19" t="n">
        <v>6.5774876835915</v>
      </c>
    </row>
    <row r="151">
      <c r="A151" s="19" t="n">
        <v>151</v>
      </c>
      <c r="B151" s="19" t="inlineStr">
        <is>
          <t>Kden</t>
        </is>
      </c>
      <c r="C151" s="19" t="inlineStr">
        <is>
          <t>Town</t>
        </is>
      </c>
      <c r="D151" s="19" t="inlineStr">
        <is>
          <t>Win</t>
        </is>
      </c>
      <c r="E151" s="19" t="n">
        <v>126</v>
      </c>
      <c r="F151" s="19" t="n">
        <v>25.9864965738767</v>
      </c>
      <c r="G151" s="19" t="n">
        <v>27.7658535941669</v>
      </c>
      <c r="H151" s="19" t="n">
        <v>6.58231222512622</v>
      </c>
      <c r="I151" s="19" t="n">
        <v>1091</v>
      </c>
      <c r="J151" s="19" t="n">
        <v>1217</v>
      </c>
      <c r="K151" s="19" t="n">
        <v>6.62630966852132</v>
      </c>
    </row>
    <row r="152">
      <c r="A152" s="19" t="n">
        <v>151</v>
      </c>
      <c r="B152" s="19" t="inlineStr">
        <is>
          <t>Strik3r</t>
        </is>
      </c>
      <c r="C152" s="19" t="inlineStr">
        <is>
          <t>Town</t>
        </is>
      </c>
      <c r="D152" s="19" t="inlineStr">
        <is>
          <t>Win</t>
        </is>
      </c>
      <c r="E152" s="19" t="n">
        <v>130</v>
      </c>
      <c r="F152" s="19" t="n">
        <v>29.2456027178956</v>
      </c>
      <c r="G152" s="19" t="n">
        <v>31.0935099501596</v>
      </c>
      <c r="H152" s="19" t="n">
        <v>6.70590486771887</v>
      </c>
      <c r="I152" s="19" t="n">
        <v>1300</v>
      </c>
      <c r="J152" s="19" t="n">
        <v>1430</v>
      </c>
      <c r="K152" s="19" t="n">
        <v>6.7530003652569</v>
      </c>
    </row>
    <row r="153">
      <c r="A153" s="19" t="n">
        <v>151</v>
      </c>
      <c r="B153" s="19" t="inlineStr">
        <is>
          <t>Chipper</t>
        </is>
      </c>
      <c r="C153" s="19" t="inlineStr">
        <is>
          <t>Town</t>
        </is>
      </c>
      <c r="D153" s="19" t="inlineStr">
        <is>
          <t>Win</t>
        </is>
      </c>
      <c r="E153" s="19" t="n">
        <v>132</v>
      </c>
      <c r="F153" s="19" t="n">
        <v>27.2722277972221</v>
      </c>
      <c r="G153" s="19" t="n">
        <v>29.1449532895983</v>
      </c>
      <c r="H153" s="19" t="n">
        <v>6.7500566461044</v>
      </c>
      <c r="I153" s="19" t="n">
        <v>1161</v>
      </c>
      <c r="J153" s="19" t="n">
        <v>1293</v>
      </c>
      <c r="K153" s="19" t="n">
        <v>6.79828599893772</v>
      </c>
    </row>
    <row r="154">
      <c r="A154" s="19" t="n">
        <v>151</v>
      </c>
      <c r="B154" s="19" t="inlineStr">
        <is>
          <t>Kden</t>
        </is>
      </c>
      <c r="C154" s="19" t="inlineStr">
        <is>
          <t>Town</t>
        </is>
      </c>
      <c r="D154" s="19" t="inlineStr">
        <is>
          <t>Win</t>
        </is>
      </c>
      <c r="E154" s="19" t="n">
        <v>126</v>
      </c>
      <c r="F154" s="19" t="n">
        <v>25.9864965738767</v>
      </c>
      <c r="G154" s="19" t="n">
        <v>27.7658535941669</v>
      </c>
      <c r="H154" s="19" t="n">
        <v>6.58231222512622</v>
      </c>
      <c r="I154" s="19" t="n">
        <v>1091</v>
      </c>
      <c r="J154" s="19" t="n">
        <v>1217</v>
      </c>
      <c r="K154" s="19" t="n">
        <v>6.62630966852132</v>
      </c>
    </row>
    <row r="155">
      <c r="A155" s="19" t="n">
        <v>151</v>
      </c>
      <c r="B155" s="19" t="inlineStr">
        <is>
          <t>Rocker</t>
        </is>
      </c>
      <c r="C155" s="19" t="inlineStr">
        <is>
          <t>Town</t>
        </is>
      </c>
      <c r="D155" s="19" t="inlineStr">
        <is>
          <t>Win</t>
        </is>
      </c>
      <c r="E155" s="19" t="n">
        <v>106</v>
      </c>
      <c r="F155" s="19" t="n">
        <v>37.9940382375958</v>
      </c>
      <c r="G155" s="19" t="n">
        <v>39.5092880967454</v>
      </c>
      <c r="H155" s="19" t="n">
        <v>6.08117846426366</v>
      </c>
      <c r="I155" s="19" t="n">
        <v>1960</v>
      </c>
      <c r="J155" s="19" t="n">
        <v>2066</v>
      </c>
      <c r="K155" s="19" t="n">
        <v>6.11370828118714</v>
      </c>
    </row>
    <row r="156">
      <c r="A156" s="19" t="n">
        <v>151</v>
      </c>
      <c r="B156" s="19" t="inlineStr">
        <is>
          <t>Machop</t>
        </is>
      </c>
      <c r="C156" s="19" t="inlineStr">
        <is>
          <t>Town</t>
        </is>
      </c>
      <c r="D156" s="19" t="inlineStr">
        <is>
          <t>Win</t>
        </is>
      </c>
      <c r="E156" s="19" t="n">
        <v>135</v>
      </c>
      <c r="F156" s="19" t="n">
        <v>24.4791757352108</v>
      </c>
      <c r="G156" s="19" t="n">
        <v>26.3915227697812</v>
      </c>
      <c r="H156" s="19" t="n">
        <v>6.8199114476637</v>
      </c>
      <c r="I156" s="19" t="n">
        <v>964</v>
      </c>
      <c r="J156" s="19" t="n">
        <v>1099</v>
      </c>
      <c r="K156" s="19" t="n">
        <v>6.86996436395099</v>
      </c>
    </row>
    <row r="157">
      <c r="A157" s="19" t="n">
        <v>151</v>
      </c>
      <c r="B157" s="19" t="inlineStr">
        <is>
          <t>Streety</t>
        </is>
      </c>
      <c r="C157" s="19" t="inlineStr">
        <is>
          <t>Town</t>
        </is>
      </c>
      <c r="D157" s="19" t="inlineStr">
        <is>
          <t>Win</t>
        </is>
      </c>
      <c r="E157" s="19" t="n">
        <v>145</v>
      </c>
      <c r="F157" s="19" t="n">
        <v>32.6535093279736</v>
      </c>
      <c r="G157" s="19" t="n">
        <v>34.7015582368133</v>
      </c>
      <c r="H157" s="19" t="n">
        <v>7.05356325813378</v>
      </c>
      <c r="I157" s="19" t="n">
        <v>1495</v>
      </c>
      <c r="J157" s="19" t="n">
        <v>1640</v>
      </c>
      <c r="K157" s="19" t="n">
        <v>7.10998570930608</v>
      </c>
    </row>
    <row r="158">
      <c r="A158" s="19" t="n">
        <v>151</v>
      </c>
      <c r="B158" s="19" t="inlineStr">
        <is>
          <t>Cyclone</t>
        </is>
      </c>
      <c r="C158" s="19" t="inlineStr">
        <is>
          <t>Town</t>
        </is>
      </c>
      <c r="D158" s="19" t="inlineStr">
        <is>
          <t>Win</t>
        </is>
      </c>
      <c r="E158" s="19" t="n">
        <v>158</v>
      </c>
      <c r="F158" s="19" t="n">
        <v>36.2408567255979</v>
      </c>
      <c r="G158" s="19" t="n">
        <v>38.466173237765</v>
      </c>
      <c r="H158" s="19" t="n">
        <v>7.34679883786634</v>
      </c>
      <c r="I158" s="19" t="n">
        <v>1708</v>
      </c>
      <c r="J158" s="19" t="n">
        <v>1866</v>
      </c>
      <c r="K158" s="19" t="n">
        <v>7.4118266817497</v>
      </c>
    </row>
    <row r="159">
      <c r="A159" s="19" t="n">
        <v>151</v>
      </c>
      <c r="B159" s="19" t="inlineStr">
        <is>
          <t>Iln</t>
        </is>
      </c>
      <c r="C159" s="19" t="inlineStr">
        <is>
          <t>Mafia</t>
        </is>
      </c>
      <c r="D159" s="19" t="inlineStr">
        <is>
          <t>Loss</t>
        </is>
      </c>
      <c r="E159" s="19" t="n">
        <v>-105</v>
      </c>
      <c r="F159" s="19" t="n">
        <v>34.7291604617208</v>
      </c>
      <c r="G159" s="19" t="n">
        <v>33.1386488006352</v>
      </c>
      <c r="H159" s="19" t="n">
        <v>6.22833634377531</v>
      </c>
      <c r="I159" s="19" t="n">
        <v>1723</v>
      </c>
      <c r="J159" s="19" t="n">
        <v>1618</v>
      </c>
      <c r="K159" s="19" t="n">
        <v>6.26405777902266</v>
      </c>
    </row>
    <row r="160">
      <c r="A160" s="19" t="n">
        <v>151</v>
      </c>
      <c r="B160" s="19" t="inlineStr">
        <is>
          <t>Gilbert</t>
        </is>
      </c>
      <c r="C160" s="19" t="inlineStr">
        <is>
          <t>Mafia</t>
        </is>
      </c>
      <c r="D160" s="19" t="inlineStr">
        <is>
          <t>Loss</t>
        </is>
      </c>
      <c r="E160" s="19" t="n">
        <v>-126</v>
      </c>
      <c r="F160" s="19" t="n">
        <v>29.6899996657885</v>
      </c>
      <c r="G160" s="19" t="n">
        <v>27.746292591801</v>
      </c>
      <c r="H160" s="19" t="n">
        <v>6.87466326560124</v>
      </c>
      <c r="I160" s="19" t="n">
        <v>1312</v>
      </c>
      <c r="J160" s="19" t="n">
        <v>1186</v>
      </c>
      <c r="K160" s="19" t="n">
        <v>6.92617115459761</v>
      </c>
    </row>
    <row r="161">
      <c r="A161" s="19" t="n">
        <v>151</v>
      </c>
      <c r="B161" s="19" t="inlineStr">
        <is>
          <t>Brownkow</t>
        </is>
      </c>
      <c r="C161" s="19" t="inlineStr">
        <is>
          <t>Mafia</t>
        </is>
      </c>
      <c r="D161" s="19" t="inlineStr">
        <is>
          <t>Loss</t>
        </is>
      </c>
      <c r="E161" s="19" t="n">
        <v>-101</v>
      </c>
      <c r="F161" s="19" t="n">
        <v>34.0987467157053</v>
      </c>
      <c r="G161" s="19" t="n">
        <v>32.5759769811998</v>
      </c>
      <c r="H161" s="19" t="n">
        <v>6.09605052140163</v>
      </c>
      <c r="I161" s="19" t="n">
        <v>1694</v>
      </c>
      <c r="J161" s="19" t="n">
        <v>1593</v>
      </c>
      <c r="K161" s="19" t="n">
        <v>6.12889648627911</v>
      </c>
    </row>
    <row r="162">
      <c r="A162" s="19" t="n">
        <v>150</v>
      </c>
      <c r="B162" s="19" t="inlineStr">
        <is>
          <t>Brownkow</t>
        </is>
      </c>
      <c r="C162" s="19" t="inlineStr">
        <is>
          <t>Town</t>
        </is>
      </c>
      <c r="D162" s="19" t="inlineStr">
        <is>
          <t>Win</t>
        </is>
      </c>
      <c r="E162" s="19" t="n">
        <v>43</v>
      </c>
      <c r="F162" s="19" t="n">
        <v>33.5134070707208</v>
      </c>
      <c r="G162" s="19" t="n">
        <v>34.0987467157053</v>
      </c>
      <c r="H162" s="19" t="n">
        <v>6.12889648627911</v>
      </c>
      <c r="I162" s="19" t="n">
        <v>1651</v>
      </c>
      <c r="J162" s="19" t="n">
        <v>1694</v>
      </c>
      <c r="K162" s="19" t="n">
        <v>6.1512531221568</v>
      </c>
    </row>
    <row r="163">
      <c r="A163" s="19" t="n">
        <v>150</v>
      </c>
      <c r="B163" s="19" t="inlineStr">
        <is>
          <t>Chipper</t>
        </is>
      </c>
      <c r="C163" s="19" t="inlineStr">
        <is>
          <t>Town</t>
        </is>
      </c>
      <c r="D163" s="19" t="inlineStr">
        <is>
          <t>Win</t>
        </is>
      </c>
      <c r="E163" s="19" t="n">
        <v>52</v>
      </c>
      <c r="F163" s="19" t="n">
        <v>26.5504125863596</v>
      </c>
      <c r="G163" s="19" t="n">
        <v>27.2722277972221</v>
      </c>
      <c r="H163" s="19" t="n">
        <v>6.79828599893772</v>
      </c>
      <c r="I163" s="19" t="n">
        <v>1109</v>
      </c>
      <c r="J163" s="19" t="n">
        <v>1161</v>
      </c>
      <c r="K163" s="19" t="n">
        <v>6.83235269929014</v>
      </c>
    </row>
    <row r="164">
      <c r="A164" s="19" t="n">
        <v>150</v>
      </c>
      <c r="B164" s="19" t="inlineStr">
        <is>
          <t>Gilbert</t>
        </is>
      </c>
      <c r="C164" s="19" t="inlineStr">
        <is>
          <t>Town</t>
        </is>
      </c>
      <c r="D164" s="19" t="inlineStr">
        <is>
          <t>Win</t>
        </is>
      </c>
      <c r="E164" s="19" t="n">
        <v>54</v>
      </c>
      <c r="F164" s="19" t="n">
        <v>28.9404265959612</v>
      </c>
      <c r="G164" s="19" t="n">
        <v>29.6899996657885</v>
      </c>
      <c r="H164" s="19" t="n">
        <v>6.92617115459761</v>
      </c>
      <c r="I164" s="19" t="n">
        <v>1258</v>
      </c>
      <c r="J164" s="19" t="n">
        <v>1312</v>
      </c>
      <c r="K164" s="19" t="n">
        <v>6.96273318217207</v>
      </c>
    </row>
    <row r="165">
      <c r="A165" s="19" t="n">
        <v>150</v>
      </c>
      <c r="B165" s="19" t="inlineStr">
        <is>
          <t>Strik3r</t>
        </is>
      </c>
      <c r="C165" s="19" t="inlineStr">
        <is>
          <t>Town</t>
        </is>
      </c>
      <c r="D165" s="19" t="inlineStr">
        <is>
          <t>Win</t>
        </is>
      </c>
      <c r="E165" s="19" t="n">
        <v>52</v>
      </c>
      <c r="F165" s="19" t="n">
        <v>28.5334867531868</v>
      </c>
      <c r="G165" s="19" t="n">
        <v>29.2456027178956</v>
      </c>
      <c r="H165" s="19" t="n">
        <v>6.7530003652569</v>
      </c>
      <c r="I165" s="19" t="n">
        <v>1248</v>
      </c>
      <c r="J165" s="19" t="n">
        <v>1300</v>
      </c>
      <c r="K165" s="19" t="n">
        <v>6.78620416398525</v>
      </c>
    </row>
    <row r="166">
      <c r="A166" s="19" t="n">
        <v>150</v>
      </c>
      <c r="B166" s="19" t="inlineStr">
        <is>
          <t>Streety</t>
        </is>
      </c>
      <c r="C166" s="19" t="inlineStr">
        <is>
          <t>Town</t>
        </is>
      </c>
      <c r="D166" s="19" t="inlineStr">
        <is>
          <t>Win</t>
        </is>
      </c>
      <c r="E166" s="19" t="n">
        <v>58</v>
      </c>
      <c r="F166" s="19" t="n">
        <v>31.8630854708078</v>
      </c>
      <c r="G166" s="19" t="n">
        <v>32.6535093279736</v>
      </c>
      <c r="H166" s="19" t="n">
        <v>7.10998570930608</v>
      </c>
      <c r="I166" s="19" t="n">
        <v>1437</v>
      </c>
      <c r="J166" s="19" t="n">
        <v>1495</v>
      </c>
      <c r="K166" s="19" t="n">
        <v>7.15028938184208</v>
      </c>
    </row>
    <row r="167">
      <c r="A167" s="19" t="n">
        <v>150</v>
      </c>
      <c r="B167" s="19" t="inlineStr">
        <is>
          <t>Ken</t>
        </is>
      </c>
      <c r="C167" s="19" t="inlineStr">
        <is>
          <t>Town</t>
        </is>
      </c>
      <c r="D167" s="19" t="inlineStr">
        <is>
          <t>Win</t>
        </is>
      </c>
      <c r="E167" s="19" t="n">
        <v>63</v>
      </c>
      <c r="F167" s="19" t="n">
        <v>25.9340435596608</v>
      </c>
      <c r="G167" s="19" t="n">
        <v>26.7896915455895</v>
      </c>
      <c r="H167" s="19" t="n">
        <v>7.39350758938952</v>
      </c>
      <c r="I167" s="19" t="n">
        <v>1005</v>
      </c>
      <c r="J167" s="19" t="n">
        <v>1068</v>
      </c>
      <c r="K167" s="19" t="n">
        <v>7.43995486894882</v>
      </c>
    </row>
    <row r="168">
      <c r="A168" s="19" t="n">
        <v>150</v>
      </c>
      <c r="B168" s="19" t="inlineStr">
        <is>
          <t>Rocker</t>
        </is>
      </c>
      <c r="C168" s="19" t="inlineStr">
        <is>
          <t>Town</t>
        </is>
      </c>
      <c r="D168" s="19" t="inlineStr">
        <is>
          <t>Win</t>
        </is>
      </c>
      <c r="E168" s="19" t="n">
        <v>42</v>
      </c>
      <c r="F168" s="19" t="n">
        <v>37.4116243457324</v>
      </c>
      <c r="G168" s="19" t="n">
        <v>37.9940382375958</v>
      </c>
      <c r="H168" s="19" t="n">
        <v>6.11370828118714</v>
      </c>
      <c r="I168" s="19" t="n">
        <v>1918</v>
      </c>
      <c r="J168" s="19" t="n">
        <v>1960</v>
      </c>
      <c r="K168" s="19" t="n">
        <v>6.13582403898025</v>
      </c>
    </row>
    <row r="169">
      <c r="A169" s="19" t="n">
        <v>150</v>
      </c>
      <c r="B169" s="19" t="inlineStr">
        <is>
          <t>Cyclone</t>
        </is>
      </c>
      <c r="C169" s="19" t="inlineStr">
        <is>
          <t>Town</t>
        </is>
      </c>
      <c r="D169" s="19" t="inlineStr">
        <is>
          <t>Win</t>
        </is>
      </c>
      <c r="E169" s="19" t="n">
        <v>63</v>
      </c>
      <c r="F169" s="19" t="n">
        <v>35.3809016771495</v>
      </c>
      <c r="G169" s="19" t="n">
        <v>36.2408567255979</v>
      </c>
      <c r="H169" s="19" t="n">
        <v>7.4118266817497</v>
      </c>
      <c r="I169" s="19" t="n">
        <v>1645</v>
      </c>
      <c r="J169" s="19" t="n">
        <v>1708</v>
      </c>
      <c r="K169" s="19" t="n">
        <v>7.45868692833904</v>
      </c>
    </row>
    <row r="170">
      <c r="A170" s="19" t="n">
        <v>150</v>
      </c>
      <c r="B170" s="19" t="inlineStr">
        <is>
          <t>Machop</t>
        </is>
      </c>
      <c r="C170" s="19" t="inlineStr">
        <is>
          <t>Town</t>
        </is>
      </c>
      <c r="D170" s="19" t="inlineStr">
        <is>
          <t>Win</t>
        </is>
      </c>
      <c r="E170" s="19" t="n">
        <v>54</v>
      </c>
      <c r="F170" s="19" t="n">
        <v>23.7418694323066</v>
      </c>
      <c r="G170" s="19" t="n">
        <v>24.4791757352108</v>
      </c>
      <c r="H170" s="19" t="n">
        <v>6.86996436395099</v>
      </c>
      <c r="I170" s="19" t="n">
        <v>910</v>
      </c>
      <c r="J170" s="19" t="n">
        <v>964</v>
      </c>
      <c r="K170" s="19" t="n">
        <v>6.90541894118135</v>
      </c>
    </row>
    <row r="171">
      <c r="A171" s="19" t="n">
        <v>150</v>
      </c>
      <c r="B171" s="19" t="inlineStr">
        <is>
          <t>Iln</t>
        </is>
      </c>
      <c r="C171" s="19" t="inlineStr">
        <is>
          <t>Town</t>
        </is>
      </c>
      <c r="D171" s="19" t="inlineStr">
        <is>
          <t>Win</t>
        </is>
      </c>
      <c r="E171" s="19" t="n">
        <v>44</v>
      </c>
      <c r="F171" s="19" t="n">
        <v>34.1174515759956</v>
      </c>
      <c r="G171" s="19" t="n">
        <v>34.7291604617208</v>
      </c>
      <c r="H171" s="19" t="n">
        <v>6.26405777902266</v>
      </c>
      <c r="I171" s="19" t="n">
        <v>1679</v>
      </c>
      <c r="J171" s="19" t="n">
        <v>1723</v>
      </c>
      <c r="K171" s="19" t="n">
        <v>6.28860457003439</v>
      </c>
    </row>
    <row r="172">
      <c r="A172" s="19" t="n">
        <v>150</v>
      </c>
      <c r="B172" s="19" t="inlineStr">
        <is>
          <t>Doublea</t>
        </is>
      </c>
      <c r="C172" s="19" t="inlineStr">
        <is>
          <t>Mafia</t>
        </is>
      </c>
      <c r="D172" s="19" t="inlineStr">
        <is>
          <t>Loss</t>
        </is>
      </c>
      <c r="E172" s="19" t="n">
        <v>-52</v>
      </c>
      <c r="F172" s="19" t="n">
        <v>24.5095202587073</v>
      </c>
      <c r="G172" s="19" t="n">
        <v>23.6684749902701</v>
      </c>
      <c r="H172" s="19" t="n">
        <v>7.33103758659455</v>
      </c>
      <c r="I172" s="19" t="n">
        <v>914</v>
      </c>
      <c r="J172" s="19" t="n">
        <v>862</v>
      </c>
      <c r="K172" s="19" t="n">
        <v>7.3760914174788</v>
      </c>
    </row>
    <row r="173">
      <c r="A173" s="19" t="n">
        <v>150</v>
      </c>
      <c r="B173" s="19" t="inlineStr">
        <is>
          <t>Chelsea</t>
        </is>
      </c>
      <c r="C173" s="19" t="inlineStr">
        <is>
          <t>Mafia</t>
        </is>
      </c>
      <c r="D173" s="19" t="inlineStr">
        <is>
          <t>Loss</t>
        </is>
      </c>
      <c r="E173" s="19" t="n">
        <v>-52</v>
      </c>
      <c r="F173" s="19" t="n">
        <v>29.9581772683439</v>
      </c>
      <c r="G173" s="19" t="n">
        <v>29.1322974420624</v>
      </c>
      <c r="H173" s="19" t="n">
        <v>7.26555866387329</v>
      </c>
      <c r="I173" s="19" t="n">
        <v>1292</v>
      </c>
      <c r="J173" s="19" t="n">
        <v>1240</v>
      </c>
      <c r="K173" s="19" t="n">
        <v>7.30917630112296</v>
      </c>
    </row>
    <row r="174">
      <c r="A174" s="19" t="n">
        <v>150</v>
      </c>
      <c r="B174" s="19" t="inlineStr">
        <is>
          <t>Svaan</t>
        </is>
      </c>
      <c r="C174" s="19" t="inlineStr">
        <is>
          <t>Mafia</t>
        </is>
      </c>
      <c r="D174" s="19" t="inlineStr">
        <is>
          <t>Loss</t>
        </is>
      </c>
      <c r="E174" s="19" t="n">
        <v>-54</v>
      </c>
      <c r="F174" s="19" t="n">
        <v>31.3837220112761</v>
      </c>
      <c r="G174" s="19" t="n">
        <v>30.5136382348278</v>
      </c>
      <c r="H174" s="19" t="n">
        <v>7.45471903648932</v>
      </c>
      <c r="I174" s="19" t="n">
        <v>1369</v>
      </c>
      <c r="J174" s="19" t="n">
        <v>1315</v>
      </c>
      <c r="K174" s="19" t="n">
        <v>7.50255396744152</v>
      </c>
    </row>
    <row r="175">
      <c r="A175" s="19" t="n">
        <v>149</v>
      </c>
      <c r="B175" s="19" t="inlineStr">
        <is>
          <t>Carson</t>
        </is>
      </c>
      <c r="C175" s="19" t="inlineStr">
        <is>
          <t>Town</t>
        </is>
      </c>
      <c r="D175" s="19" t="inlineStr">
        <is>
          <t>Loss</t>
        </is>
      </c>
      <c r="E175" s="19" t="n">
        <v>-29</v>
      </c>
      <c r="F175" s="19" t="n">
        <v>29.3132309114472</v>
      </c>
      <c r="G175" s="19" t="n">
        <v>28.8607369786263</v>
      </c>
      <c r="H175" s="19" t="n">
        <v>6.37531950690191</v>
      </c>
      <c r="I175" s="19" t="n">
        <v>1341</v>
      </c>
      <c r="J175" s="19" t="n">
        <v>1312</v>
      </c>
      <c r="K175" s="19" t="n">
        <v>6.39760637879058</v>
      </c>
    </row>
    <row r="176">
      <c r="A176" s="19" t="n">
        <v>149</v>
      </c>
      <c r="B176" s="19" t="inlineStr">
        <is>
          <t>Laur</t>
        </is>
      </c>
      <c r="C176" s="19" t="inlineStr">
        <is>
          <t>Town</t>
        </is>
      </c>
      <c r="D176" s="19" t="inlineStr">
        <is>
          <t>Loss</t>
        </is>
      </c>
      <c r="E176" s="19" t="n">
        <v>-30</v>
      </c>
      <c r="F176" s="19" t="n">
        <v>34.105531405318</v>
      </c>
      <c r="G176" s="19" t="n">
        <v>33.6235952568396</v>
      </c>
      <c r="H176" s="19" t="n">
        <v>6.5774876835915</v>
      </c>
      <c r="I176" s="19" t="n">
        <v>1646</v>
      </c>
      <c r="J176" s="19" t="n">
        <v>1616</v>
      </c>
      <c r="K176" s="19" t="n">
        <v>6.60290510184081</v>
      </c>
    </row>
    <row r="177">
      <c r="A177" s="19" t="n">
        <v>149</v>
      </c>
      <c r="B177" s="19" t="inlineStr">
        <is>
          <t>Streety</t>
        </is>
      </c>
      <c r="C177" s="19" t="inlineStr">
        <is>
          <t>Town</t>
        </is>
      </c>
      <c r="D177" s="19" t="inlineStr">
        <is>
          <t>Loss</t>
        </is>
      </c>
      <c r="E177" s="19" t="n">
        <v>-36</v>
      </c>
      <c r="F177" s="19" t="n">
        <v>32.4336462691935</v>
      </c>
      <c r="G177" s="19" t="n">
        <v>31.8630854708078</v>
      </c>
      <c r="H177" s="19" t="n">
        <v>7.15028938184208</v>
      </c>
      <c r="I177" s="19" t="n">
        <v>1473</v>
      </c>
      <c r="J177" s="19" t="n">
        <v>1437</v>
      </c>
      <c r="K177" s="19" t="n">
        <v>7.18556438212944</v>
      </c>
    </row>
    <row r="178">
      <c r="A178" s="19" t="n">
        <v>149</v>
      </c>
      <c r="B178" s="19" t="inlineStr">
        <is>
          <t>Iln</t>
        </is>
      </c>
      <c r="C178" s="19" t="inlineStr">
        <is>
          <t>Town</t>
        </is>
      </c>
      <c r="D178" s="19" t="inlineStr">
        <is>
          <t>Loss</t>
        </is>
      </c>
      <c r="E178" s="19" t="n">
        <v>-27</v>
      </c>
      <c r="F178" s="19" t="n">
        <v>34.5576092671101</v>
      </c>
      <c r="G178" s="19" t="n">
        <v>34.1174515759956</v>
      </c>
      <c r="H178" s="19" t="n">
        <v>6.28860457003439</v>
      </c>
      <c r="I178" s="19" t="n">
        <v>1706</v>
      </c>
      <c r="J178" s="19" t="n">
        <v>1679</v>
      </c>
      <c r="K178" s="19" t="n">
        <v>6.30960105435383</v>
      </c>
    </row>
    <row r="179">
      <c r="A179" s="19" t="n">
        <v>149</v>
      </c>
      <c r="B179" s="19" t="inlineStr">
        <is>
          <t>Plen</t>
        </is>
      </c>
      <c r="C179" s="19" t="inlineStr">
        <is>
          <t>Town</t>
        </is>
      </c>
      <c r="D179" s="19" t="inlineStr">
        <is>
          <t>Loss</t>
        </is>
      </c>
      <c r="E179" s="19" t="n">
        <v>-27</v>
      </c>
      <c r="F179" s="19" t="n">
        <v>25.0553456759297</v>
      </c>
      <c r="G179" s="19" t="n">
        <v>24.6237043479944</v>
      </c>
      <c r="H179" s="19" t="n">
        <v>6.22801013358241</v>
      </c>
      <c r="I179" s="19" t="n">
        <v>1066</v>
      </c>
      <c r="J179" s="19" t="n">
        <v>1039</v>
      </c>
      <c r="K179" s="19" t="n">
        <v>6.24812309656253</v>
      </c>
    </row>
    <row r="180">
      <c r="A180" s="19" t="n">
        <v>149</v>
      </c>
      <c r="B180" s="19" t="inlineStr">
        <is>
          <t>Whyin</t>
        </is>
      </c>
      <c r="C180" s="19" t="inlineStr">
        <is>
          <t>Town</t>
        </is>
      </c>
      <c r="D180" s="19" t="inlineStr">
        <is>
          <t>Loss</t>
        </is>
      </c>
      <c r="E180" s="19" t="n">
        <v>-33</v>
      </c>
      <c r="F180" s="19" t="n">
        <v>31.041412822258</v>
      </c>
      <c r="G180" s="19" t="n">
        <v>30.5223121939378</v>
      </c>
      <c r="H180" s="19" t="n">
        <v>6.823803374667</v>
      </c>
      <c r="I180" s="19" t="n">
        <v>1412</v>
      </c>
      <c r="J180" s="19" t="n">
        <v>1379</v>
      </c>
      <c r="K180" s="19" t="n">
        <v>6.85327519954953</v>
      </c>
    </row>
    <row r="181">
      <c r="A181" s="19" t="n">
        <v>149</v>
      </c>
      <c r="B181" s="19" t="inlineStr">
        <is>
          <t>Strik3r</t>
        </is>
      </c>
      <c r="C181" s="19" t="inlineStr">
        <is>
          <t>Town</t>
        </is>
      </c>
      <c r="D181" s="19" t="inlineStr">
        <is>
          <t>Loss</t>
        </is>
      </c>
      <c r="E181" s="19" t="n">
        <v>-32</v>
      </c>
      <c r="F181" s="19" t="n">
        <v>29.0468222732499</v>
      </c>
      <c r="G181" s="19" t="n">
        <v>28.5334867531868</v>
      </c>
      <c r="H181" s="19" t="n">
        <v>6.78620416398525</v>
      </c>
      <c r="I181" s="19" t="n">
        <v>1280</v>
      </c>
      <c r="J181" s="19" t="n">
        <v>1248</v>
      </c>
      <c r="K181" s="19" t="n">
        <v>6.8150395304721</v>
      </c>
    </row>
    <row r="182">
      <c r="A182" s="19" t="n">
        <v>149</v>
      </c>
      <c r="B182" s="19" t="inlineStr">
        <is>
          <t>Keegan</t>
        </is>
      </c>
      <c r="C182" s="19" t="inlineStr">
        <is>
          <t>Town</t>
        </is>
      </c>
      <c r="D182" s="19" t="inlineStr">
        <is>
          <t>Loss</t>
        </is>
      </c>
      <c r="E182" s="19" t="n">
        <v>-38</v>
      </c>
      <c r="F182" s="19" t="n">
        <v>30.3594252600286</v>
      </c>
      <c r="G182" s="19" t="n">
        <v>29.723200153452</v>
      </c>
      <c r="H182" s="19" t="n">
        <v>7.54547667913512</v>
      </c>
      <c r="I182" s="19" t="n">
        <v>1290</v>
      </c>
      <c r="J182" s="19" t="n">
        <v>1252</v>
      </c>
      <c r="K182" s="19" t="n">
        <v>7.58847283798375</v>
      </c>
    </row>
    <row r="183">
      <c r="A183" s="19" t="n">
        <v>149</v>
      </c>
      <c r="B183" s="19" t="inlineStr">
        <is>
          <t>Noah</t>
        </is>
      </c>
      <c r="C183" s="19" t="inlineStr">
        <is>
          <t>Town</t>
        </is>
      </c>
      <c r="D183" s="19" t="inlineStr">
        <is>
          <t>Loss</t>
        </is>
      </c>
      <c r="E183" s="19" t="n">
        <v>-28</v>
      </c>
      <c r="F183" s="19" t="n">
        <v>34.1887341257082</v>
      </c>
      <c r="G183" s="19" t="n">
        <v>33.7375890803699</v>
      </c>
      <c r="H183" s="19" t="n">
        <v>6.36589744280565</v>
      </c>
      <c r="I183" s="19" t="n">
        <v>1673</v>
      </c>
      <c r="J183" s="19" t="n">
        <v>1645</v>
      </c>
      <c r="K183" s="19" t="n">
        <v>6.38804260830958</v>
      </c>
    </row>
    <row r="184">
      <c r="A184" s="19" t="n">
        <v>149</v>
      </c>
      <c r="B184" s="19" t="inlineStr">
        <is>
          <t>TCP</t>
        </is>
      </c>
      <c r="C184" s="19" t="inlineStr">
        <is>
          <t>Town</t>
        </is>
      </c>
      <c r="D184" s="19" t="inlineStr">
        <is>
          <t>Loss</t>
        </is>
      </c>
      <c r="E184" s="19" t="n">
        <v>-41</v>
      </c>
      <c r="F184" s="19" t="n">
        <v>25.5504669547081</v>
      </c>
      <c r="G184" s="19" t="n">
        <v>24.8702625525821</v>
      </c>
      <c r="H184" s="19" t="n">
        <v>7.79840218284039</v>
      </c>
      <c r="I184" s="19" t="n">
        <v>937</v>
      </c>
      <c r="J184" s="19" t="n">
        <v>896</v>
      </c>
      <c r="K184" s="19" t="n">
        <v>7.84676494914004</v>
      </c>
    </row>
    <row r="185">
      <c r="A185" s="19" t="n">
        <v>149</v>
      </c>
      <c r="B185" s="19" t="inlineStr">
        <is>
          <t>Josh</t>
        </is>
      </c>
      <c r="C185" s="19" t="inlineStr">
        <is>
          <t>Mafia</t>
        </is>
      </c>
      <c r="D185" s="19" t="inlineStr">
        <is>
          <t>Win</t>
        </is>
      </c>
      <c r="E185" s="19" t="n">
        <v>46</v>
      </c>
      <c r="F185" s="19" t="n">
        <v>30.992506401939</v>
      </c>
      <c r="G185" s="19" t="n">
        <v>31.6155960403078</v>
      </c>
      <c r="H185" s="19" t="n">
        <v>7.46818146304977</v>
      </c>
      <c r="I185" s="19" t="n">
        <v>1342</v>
      </c>
      <c r="J185" s="19" t="n">
        <v>1388</v>
      </c>
      <c r="K185" s="19" t="n">
        <v>7.50960497084273</v>
      </c>
    </row>
    <row r="186">
      <c r="A186" s="19" t="n">
        <v>149</v>
      </c>
      <c r="B186" s="19" t="inlineStr">
        <is>
          <t>Badpants</t>
        </is>
      </c>
      <c r="C186" s="19" t="inlineStr">
        <is>
          <t>Mafia</t>
        </is>
      </c>
      <c r="D186" s="19" t="inlineStr">
        <is>
          <t>Win</t>
        </is>
      </c>
      <c r="E186" s="19" t="n">
        <v>34</v>
      </c>
      <c r="F186" s="19" t="n">
        <v>25.433265904101</v>
      </c>
      <c r="G186" s="19" t="n">
        <v>25.8922235243635</v>
      </c>
      <c r="H186" s="19" t="n">
        <v>6.42026969687183</v>
      </c>
      <c r="I186" s="19" t="n">
        <v>1072</v>
      </c>
      <c r="J186" s="19" t="n">
        <v>1106</v>
      </c>
      <c r="K186" s="19" t="n">
        <v>6.44323769258624</v>
      </c>
    </row>
    <row r="187">
      <c r="A187" s="19" t="n">
        <v>149</v>
      </c>
      <c r="B187" s="19" t="inlineStr">
        <is>
          <t>Rocker</t>
        </is>
      </c>
      <c r="C187" s="19" t="inlineStr">
        <is>
          <t>Mafia</t>
        </is>
      </c>
      <c r="D187" s="19" t="inlineStr">
        <is>
          <t>Win</t>
        </is>
      </c>
      <c r="E187" s="19" t="n">
        <v>30</v>
      </c>
      <c r="F187" s="19" t="n">
        <v>36.992775741355</v>
      </c>
      <c r="G187" s="19" t="n">
        <v>37.4116243457324</v>
      </c>
      <c r="H187" s="19" t="n">
        <v>6.13582403898025</v>
      </c>
      <c r="I187" s="19" t="n">
        <v>1888</v>
      </c>
      <c r="J187" s="19" t="n">
        <v>1918</v>
      </c>
      <c r="K187" s="19" t="n">
        <v>6.15462098246372</v>
      </c>
    </row>
    <row r="188">
      <c r="A188" s="19" t="n">
        <v>148</v>
      </c>
      <c r="B188" s="19" t="inlineStr">
        <is>
          <t>Plen</t>
        </is>
      </c>
      <c r="C188" s="19" t="inlineStr">
        <is>
          <t>Town</t>
        </is>
      </c>
      <c r="D188" s="19" t="inlineStr">
        <is>
          <t>Loss</t>
        </is>
      </c>
      <c r="E188" s="19" t="n">
        <v>-45</v>
      </c>
      <c r="F188" s="19" t="n">
        <v>25.7533587163644</v>
      </c>
      <c r="G188" s="19" t="n">
        <v>25.0553456759297</v>
      </c>
      <c r="H188" s="19" t="n">
        <v>6.24812309656253</v>
      </c>
      <c r="I188" s="19" t="n">
        <v>1111</v>
      </c>
      <c r="J188" s="19" t="n">
        <v>1066</v>
      </c>
      <c r="K188" s="19" t="n">
        <v>6.27427826278303</v>
      </c>
    </row>
    <row r="189">
      <c r="A189" s="19" t="n">
        <v>148</v>
      </c>
      <c r="B189" s="19" t="inlineStr">
        <is>
          <t>Smit</t>
        </is>
      </c>
      <c r="C189" s="19" t="inlineStr">
        <is>
          <t>Town</t>
        </is>
      </c>
      <c r="D189" s="19" t="inlineStr">
        <is>
          <t>Loss</t>
        </is>
      </c>
      <c r="E189" s="19" t="n">
        <v>-48</v>
      </c>
      <c r="F189" s="19" t="n">
        <v>25.5725457901404</v>
      </c>
      <c r="G189" s="19" t="n">
        <v>24.8193138717797</v>
      </c>
      <c r="H189" s="19" t="n">
        <v>6.48781363842441</v>
      </c>
      <c r="I189" s="19" t="n">
        <v>1074</v>
      </c>
      <c r="J189" s="19" t="n">
        <v>1026</v>
      </c>
      <c r="K189" s="19" t="n">
        <v>6.51827615337657</v>
      </c>
    </row>
    <row r="190">
      <c r="A190" s="19" t="n">
        <v>148</v>
      </c>
      <c r="B190" s="19" t="inlineStr">
        <is>
          <t>Streety</t>
        </is>
      </c>
      <c r="C190" s="19" t="inlineStr">
        <is>
          <t>Town</t>
        </is>
      </c>
      <c r="D190" s="19" t="inlineStr">
        <is>
          <t>Loss</t>
        </is>
      </c>
      <c r="E190" s="19" t="n">
        <v>-58</v>
      </c>
      <c r="F190" s="19" t="n">
        <v>33.360067982601</v>
      </c>
      <c r="G190" s="19" t="n">
        <v>32.4336462691935</v>
      </c>
      <c r="H190" s="19" t="n">
        <v>7.18556438212944</v>
      </c>
      <c r="I190" s="19" t="n">
        <v>1531</v>
      </c>
      <c r="J190" s="19" t="n">
        <v>1473</v>
      </c>
      <c r="K190" s="19" t="n">
        <v>7.2303402223441</v>
      </c>
    </row>
    <row r="191">
      <c r="A191" s="19" t="n">
        <v>148</v>
      </c>
      <c r="B191" s="19" t="inlineStr">
        <is>
          <t>Josh</t>
        </is>
      </c>
      <c r="C191" s="19" t="inlineStr">
        <is>
          <t>Town</t>
        </is>
      </c>
      <c r="D191" s="19" t="inlineStr">
        <is>
          <t>Loss</t>
        </is>
      </c>
      <c r="E191" s="19" t="n">
        <v>-63</v>
      </c>
      <c r="F191" s="19" t="n">
        <v>32.0057202087157</v>
      </c>
      <c r="G191" s="19" t="n">
        <v>30.992506401939</v>
      </c>
      <c r="H191" s="19" t="n">
        <v>7.50960497084273</v>
      </c>
      <c r="I191" s="19" t="n">
        <v>1405</v>
      </c>
      <c r="J191" s="19" t="n">
        <v>1342</v>
      </c>
      <c r="K191" s="19" t="n">
        <v>7.56200465985372</v>
      </c>
    </row>
    <row r="192">
      <c r="A192" s="19" t="n">
        <v>148</v>
      </c>
      <c r="B192" s="19" t="inlineStr">
        <is>
          <t>Whyin</t>
        </is>
      </c>
      <c r="C192" s="19" t="inlineStr">
        <is>
          <t>Town</t>
        </is>
      </c>
      <c r="D192" s="19" t="inlineStr">
        <is>
          <t>Loss</t>
        </is>
      </c>
      <c r="E192" s="19" t="n">
        <v>-53</v>
      </c>
      <c r="F192" s="19" t="n">
        <v>31.8830354521516</v>
      </c>
      <c r="G192" s="19" t="n">
        <v>31.041412822258</v>
      </c>
      <c r="H192" s="19" t="n">
        <v>6.85327519954953</v>
      </c>
      <c r="I192" s="19" t="n">
        <v>1465</v>
      </c>
      <c r="J192" s="19" t="n">
        <v>1412</v>
      </c>
      <c r="K192" s="19" t="n">
        <v>6.89089136542635</v>
      </c>
    </row>
    <row r="193">
      <c r="A193" s="19" t="n">
        <v>148</v>
      </c>
      <c r="B193" s="19" t="inlineStr">
        <is>
          <t>Strik3r</t>
        </is>
      </c>
      <c r="C193" s="19" t="inlineStr">
        <is>
          <t>Town</t>
        </is>
      </c>
      <c r="D193" s="19" t="inlineStr">
        <is>
          <t>Loss</t>
        </is>
      </c>
      <c r="E193" s="19" t="n">
        <v>-53</v>
      </c>
      <c r="F193" s="19" t="n">
        <v>29.8789587525922</v>
      </c>
      <c r="G193" s="19" t="n">
        <v>29.0468222732499</v>
      </c>
      <c r="H193" s="19" t="n">
        <v>6.8150395304721</v>
      </c>
      <c r="I193" s="19" t="n">
        <v>1333</v>
      </c>
      <c r="J193" s="19" t="n">
        <v>1280</v>
      </c>
      <c r="K193" s="19" t="n">
        <v>6.85187276497672</v>
      </c>
    </row>
    <row r="194">
      <c r="A194" s="19" t="n">
        <v>148</v>
      </c>
      <c r="B194" s="19" t="inlineStr">
        <is>
          <t>Kwix</t>
        </is>
      </c>
      <c r="C194" s="19" t="inlineStr">
        <is>
          <t>Town</t>
        </is>
      </c>
      <c r="D194" s="19" t="inlineStr">
        <is>
          <t>Loss</t>
        </is>
      </c>
      <c r="E194" s="19" t="n">
        <v>-51</v>
      </c>
      <c r="F194" s="19" t="n">
        <v>25.4187906815056</v>
      </c>
      <c r="G194" s="19" t="n">
        <v>24.6210085608484</v>
      </c>
      <c r="H194" s="19" t="n">
        <v>6.67463860644048</v>
      </c>
      <c r="I194" s="19" t="n">
        <v>1044</v>
      </c>
      <c r="J194" s="19" t="n">
        <v>993</v>
      </c>
      <c r="K194" s="19" t="n">
        <v>6.70866695498153</v>
      </c>
    </row>
    <row r="195">
      <c r="A195" s="19" t="n">
        <v>148</v>
      </c>
      <c r="B195" s="19" t="inlineStr">
        <is>
          <t>Noah</t>
        </is>
      </c>
      <c r="C195" s="19" t="inlineStr">
        <is>
          <t>Town</t>
        </is>
      </c>
      <c r="D195" s="19" t="inlineStr">
        <is>
          <t>Loss</t>
        </is>
      </c>
      <c r="E195" s="19" t="n">
        <v>-47</v>
      </c>
      <c r="F195" s="19" t="n">
        <v>34.9187171853095</v>
      </c>
      <c r="G195" s="19" t="n">
        <v>34.1887341257082</v>
      </c>
      <c r="H195" s="19" t="n">
        <v>6.38804260830958</v>
      </c>
      <c r="I195" s="19" t="n">
        <v>1720</v>
      </c>
      <c r="J195" s="19" t="n">
        <v>1673</v>
      </c>
      <c r="K195" s="19" t="n">
        <v>6.41667642055533</v>
      </c>
    </row>
    <row r="196">
      <c r="A196" s="19" t="n">
        <v>148</v>
      </c>
      <c r="B196" s="19" t="inlineStr">
        <is>
          <t>Carson</t>
        </is>
      </c>
      <c r="C196" s="19" t="inlineStr">
        <is>
          <t>Town</t>
        </is>
      </c>
      <c r="D196" s="19" t="inlineStr">
        <is>
          <t>Loss</t>
        </is>
      </c>
      <c r="E196" s="19" t="n">
        <v>-47</v>
      </c>
      <c r="F196" s="19" t="n">
        <v>30.0454262063567</v>
      </c>
      <c r="G196" s="19" t="n">
        <v>29.3132309114472</v>
      </c>
      <c r="H196" s="19" t="n">
        <v>6.39760637879058</v>
      </c>
      <c r="I196" s="19" t="n">
        <v>1388</v>
      </c>
      <c r="J196" s="19" t="n">
        <v>1341</v>
      </c>
      <c r="K196" s="19" t="n">
        <v>6.42641325021251</v>
      </c>
    </row>
    <row r="197">
      <c r="A197" s="19" t="n">
        <v>148</v>
      </c>
      <c r="B197" s="19" t="inlineStr">
        <is>
          <t>Motr</t>
        </is>
      </c>
      <c r="C197" s="19" t="inlineStr">
        <is>
          <t>Town</t>
        </is>
      </c>
      <c r="D197" s="19" t="inlineStr">
        <is>
          <t>Loss</t>
        </is>
      </c>
      <c r="E197" s="19" t="n">
        <v>-56</v>
      </c>
      <c r="F197" s="19" t="n">
        <v>28.2567682101269</v>
      </c>
      <c r="G197" s="19" t="n">
        <v>27.3652827395381</v>
      </c>
      <c r="H197" s="19" t="n">
        <v>7.05066812001565</v>
      </c>
      <c r="I197" s="19" t="n">
        <v>1198</v>
      </c>
      <c r="J197" s="19" t="n">
        <v>1142</v>
      </c>
      <c r="K197" s="19" t="n">
        <v>7.09245934106829</v>
      </c>
    </row>
    <row r="198">
      <c r="A198" s="19" t="n">
        <v>148</v>
      </c>
      <c r="B198" s="19" t="inlineStr">
        <is>
          <t>Machop</t>
        </is>
      </c>
      <c r="C198" s="19" t="inlineStr">
        <is>
          <t>Mafia</t>
        </is>
      </c>
      <c r="D198" s="19" t="inlineStr">
        <is>
          <t>Win</t>
        </is>
      </c>
      <c r="E198" s="19" t="n">
        <v>62</v>
      </c>
      <c r="F198" s="19" t="n">
        <v>22.8872199988325</v>
      </c>
      <c r="G198" s="19" t="n">
        <v>23.7418694323066</v>
      </c>
      <c r="H198" s="19" t="n">
        <v>6.90541894118135</v>
      </c>
      <c r="I198" s="19" t="n">
        <v>848</v>
      </c>
      <c r="J198" s="19" t="n">
        <v>910</v>
      </c>
      <c r="K198" s="19" t="n">
        <v>6.94411618914661</v>
      </c>
    </row>
    <row r="199">
      <c r="A199" s="19" t="n">
        <v>148</v>
      </c>
      <c r="B199" s="19" t="inlineStr">
        <is>
          <t>Siggy</t>
        </is>
      </c>
      <c r="C199" s="19" t="inlineStr">
        <is>
          <t>Mafia</t>
        </is>
      </c>
      <c r="D199" s="19" t="inlineStr">
        <is>
          <t>Win</t>
        </is>
      </c>
      <c r="E199" s="19" t="n">
        <v>78</v>
      </c>
      <c r="F199" s="19" t="n">
        <v>29.9004414287762</v>
      </c>
      <c r="G199" s="19" t="n">
        <v>30.9583134113757</v>
      </c>
      <c r="H199" s="19" t="n">
        <v>7.67067782978557</v>
      </c>
      <c r="I199" s="19" t="n">
        <v>1245</v>
      </c>
      <c r="J199" s="19" t="n">
        <v>1323</v>
      </c>
      <c r="K199" s="19" t="n">
        <v>7.72711499810643</v>
      </c>
    </row>
    <row r="200">
      <c r="A200" s="19" t="n">
        <v>148</v>
      </c>
      <c r="B200" s="19" t="inlineStr">
        <is>
          <t>Keegan</t>
        </is>
      </c>
      <c r="C200" s="19" t="inlineStr">
        <is>
          <t>Mafia</t>
        </is>
      </c>
      <c r="D200" s="19" t="inlineStr">
        <is>
          <t>Win</t>
        </is>
      </c>
      <c r="E200" s="19" t="n">
        <v>76</v>
      </c>
      <c r="F200" s="19" t="n">
        <v>29.3244711923266</v>
      </c>
      <c r="G200" s="19" t="n">
        <v>30.3594252600286</v>
      </c>
      <c r="H200" s="19" t="n">
        <v>7.58847283798375</v>
      </c>
      <c r="I200" s="19" t="n">
        <v>1214</v>
      </c>
      <c r="J200" s="19" t="n">
        <v>1290</v>
      </c>
      <c r="K200" s="19" t="n">
        <v>7.64282838514434</v>
      </c>
    </row>
    <row r="201">
      <c r="A201" s="19" t="n">
        <v>147</v>
      </c>
      <c r="B201" s="19" t="inlineStr">
        <is>
          <t>Keegan</t>
        </is>
      </c>
      <c r="C201" s="19" t="inlineStr">
        <is>
          <t>Town</t>
        </is>
      </c>
      <c r="D201" s="19" t="inlineStr">
        <is>
          <t>Win</t>
        </is>
      </c>
      <c r="E201" s="19" t="n">
        <v>76</v>
      </c>
      <c r="F201" s="19" t="n">
        <v>28.2791468696156</v>
      </c>
      <c r="G201" s="19" t="n">
        <v>29.3244711923266</v>
      </c>
      <c r="H201" s="19" t="n">
        <v>7.64282838514434</v>
      </c>
      <c r="I201" s="19" t="n">
        <v>1138</v>
      </c>
      <c r="J201" s="19" t="n">
        <v>1214</v>
      </c>
      <c r="K201" s="19" t="n">
        <v>7.69907968263366</v>
      </c>
    </row>
    <row r="202">
      <c r="A202" s="19" t="n">
        <v>147</v>
      </c>
      <c r="B202" s="19" t="inlineStr">
        <is>
          <t>Iln</t>
        </is>
      </c>
      <c r="C202" s="19" t="inlineStr">
        <is>
          <t>Town</t>
        </is>
      </c>
      <c r="D202" s="19" t="inlineStr">
        <is>
          <t>Win</t>
        </is>
      </c>
      <c r="E202" s="19" t="n">
        <v>51</v>
      </c>
      <c r="F202" s="19" t="n">
        <v>33.8488953245317</v>
      </c>
      <c r="G202" s="19" t="n">
        <v>34.5576092671101</v>
      </c>
      <c r="H202" s="19" t="n">
        <v>6.30960105435383</v>
      </c>
      <c r="I202" s="19" t="n">
        <v>1655</v>
      </c>
      <c r="J202" s="19" t="n">
        <v>1706</v>
      </c>
      <c r="K202" s="19" t="n">
        <v>6.33712281945036</v>
      </c>
    </row>
    <row r="203">
      <c r="A203" s="19" t="n">
        <v>147</v>
      </c>
      <c r="B203" s="19" t="inlineStr">
        <is>
          <t>Badpants</t>
        </is>
      </c>
      <c r="C203" s="19" t="inlineStr">
        <is>
          <t>Town</t>
        </is>
      </c>
      <c r="D203" s="19" t="inlineStr">
        <is>
          <t>Win</t>
        </is>
      </c>
      <c r="E203" s="19" t="n">
        <v>53</v>
      </c>
      <c r="F203" s="19" t="n">
        <v>24.6938607437516</v>
      </c>
      <c r="G203" s="19" t="n">
        <v>25.433265904101</v>
      </c>
      <c r="H203" s="19" t="n">
        <v>6.44323769258624</v>
      </c>
      <c r="I203" s="19" t="n">
        <v>1019</v>
      </c>
      <c r="J203" s="19" t="n">
        <v>1072</v>
      </c>
      <c r="K203" s="19" t="n">
        <v>6.47318580660914</v>
      </c>
    </row>
    <row r="204">
      <c r="A204" s="19" t="n">
        <v>147</v>
      </c>
      <c r="B204" s="19" t="inlineStr">
        <is>
          <t>Svaan</t>
        </is>
      </c>
      <c r="C204" s="19" t="inlineStr">
        <is>
          <t>Town</t>
        </is>
      </c>
      <c r="D204" s="19" t="inlineStr">
        <is>
          <t>Win</t>
        </is>
      </c>
      <c r="E204" s="19" t="n">
        <v>74</v>
      </c>
      <c r="F204" s="19" t="n">
        <v>30.3770236592317</v>
      </c>
      <c r="G204" s="19" t="n">
        <v>31.3837220112761</v>
      </c>
      <c r="H204" s="19" t="n">
        <v>7.50255396744152</v>
      </c>
      <c r="I204" s="19" t="n">
        <v>1295</v>
      </c>
      <c r="J204" s="19" t="n">
        <v>1369</v>
      </c>
      <c r="K204" s="19" t="n">
        <v>7.55527566461178</v>
      </c>
    </row>
    <row r="205">
      <c r="A205" s="19" t="n">
        <v>147</v>
      </c>
      <c r="B205" s="19" t="inlineStr">
        <is>
          <t>Rocker</t>
        </is>
      </c>
      <c r="C205" s="19" t="inlineStr">
        <is>
          <t>Town</t>
        </is>
      </c>
      <c r="D205" s="19" t="inlineStr">
        <is>
          <t>Win</t>
        </is>
      </c>
      <c r="E205" s="19" t="n">
        <v>49</v>
      </c>
      <c r="F205" s="19" t="n">
        <v>36.3188135406844</v>
      </c>
      <c r="G205" s="19" t="n">
        <v>36.992775741355</v>
      </c>
      <c r="H205" s="19" t="n">
        <v>6.15462098246372</v>
      </c>
      <c r="I205" s="19" t="n">
        <v>1839</v>
      </c>
      <c r="J205" s="19" t="n">
        <v>1888</v>
      </c>
      <c r="K205" s="19" t="n">
        <v>6.17944272415817</v>
      </c>
    </row>
    <row r="206">
      <c r="A206" s="19" t="n">
        <v>147</v>
      </c>
      <c r="B206" s="19" t="inlineStr">
        <is>
          <t>Decode</t>
        </is>
      </c>
      <c r="C206" s="19" t="inlineStr">
        <is>
          <t>Town</t>
        </is>
      </c>
      <c r="D206" s="19" t="inlineStr">
        <is>
          <t>Win</t>
        </is>
      </c>
      <c r="E206" s="19" t="n">
        <v>75</v>
      </c>
      <c r="F206" s="19" t="n">
        <v>20.2982921087201</v>
      </c>
      <c r="G206" s="19" t="n">
        <v>21.3209479870707</v>
      </c>
      <c r="H206" s="19" t="n">
        <v>7.56084182187761</v>
      </c>
      <c r="I206" s="19" t="n">
        <v>604</v>
      </c>
      <c r="J206" s="19" t="n">
        <v>679</v>
      </c>
      <c r="K206" s="19" t="n">
        <v>7.61501455522344</v>
      </c>
    </row>
    <row r="207">
      <c r="A207" s="19" t="n">
        <v>147</v>
      </c>
      <c r="B207" s="19" t="inlineStr">
        <is>
          <t>Brownkow</t>
        </is>
      </c>
      <c r="C207" s="19" t="inlineStr">
        <is>
          <t>Town</t>
        </is>
      </c>
      <c r="D207" s="19" t="inlineStr">
        <is>
          <t>Win</t>
        </is>
      </c>
      <c r="E207" s="19" t="n">
        <v>48</v>
      </c>
      <c r="F207" s="19" t="n">
        <v>32.840190048465</v>
      </c>
      <c r="G207" s="19" t="n">
        <v>33.5134070707208</v>
      </c>
      <c r="H207" s="19" t="n">
        <v>6.1512531221568</v>
      </c>
      <c r="I207" s="19" t="n">
        <v>1603</v>
      </c>
      <c r="J207" s="19" t="n">
        <v>1651</v>
      </c>
      <c r="K207" s="19" t="n">
        <v>6.1760175172414</v>
      </c>
    </row>
    <row r="208">
      <c r="A208" s="19" t="n">
        <v>147</v>
      </c>
      <c r="B208" s="19" t="inlineStr">
        <is>
          <t>Cyclone</t>
        </is>
      </c>
      <c r="C208" s="19" t="inlineStr">
        <is>
          <t>Town</t>
        </is>
      </c>
      <c r="D208" s="19" t="inlineStr">
        <is>
          <t>Win</t>
        </is>
      </c>
      <c r="E208" s="19" t="n">
        <v>73</v>
      </c>
      <c r="F208" s="19" t="n">
        <v>34.3861261362298</v>
      </c>
      <c r="G208" s="19" t="n">
        <v>35.3809016771495</v>
      </c>
      <c r="H208" s="19" t="n">
        <v>7.45868692833904</v>
      </c>
      <c r="I208" s="19" t="n">
        <v>1572</v>
      </c>
      <c r="J208" s="19" t="n">
        <v>1645</v>
      </c>
      <c r="K208" s="19" t="n">
        <v>7.51033106549616</v>
      </c>
    </row>
    <row r="209">
      <c r="A209" s="19" t="n">
        <v>147</v>
      </c>
      <c r="B209" s="19" t="inlineStr">
        <is>
          <t>Ken</t>
        </is>
      </c>
      <c r="C209" s="19" t="inlineStr">
        <is>
          <t>Town</t>
        </is>
      </c>
      <c r="D209" s="19" t="inlineStr">
        <is>
          <t>Win</t>
        </is>
      </c>
      <c r="E209" s="19" t="n">
        <v>73</v>
      </c>
      <c r="F209" s="19" t="n">
        <v>24.9443366188659</v>
      </c>
      <c r="G209" s="19" t="n">
        <v>25.9340435596608</v>
      </c>
      <c r="H209" s="19" t="n">
        <v>7.43995486894882</v>
      </c>
      <c r="I209" s="19" t="n">
        <v>932</v>
      </c>
      <c r="J209" s="19" t="n">
        <v>1005</v>
      </c>
      <c r="K209" s="19" t="n">
        <v>7.49114262946777</v>
      </c>
    </row>
    <row r="210">
      <c r="A210" s="19" t="n">
        <v>147</v>
      </c>
      <c r="B210" s="19" t="inlineStr">
        <is>
          <t>Strik3r</t>
        </is>
      </c>
      <c r="C210" s="19" t="inlineStr">
        <is>
          <t>Town</t>
        </is>
      </c>
      <c r="D210" s="19" t="inlineStr">
        <is>
          <t>Win</t>
        </is>
      </c>
      <c r="E210" s="19" t="n">
        <v>61</v>
      </c>
      <c r="F210" s="19" t="n">
        <v>29.0415169879647</v>
      </c>
      <c r="G210" s="19" t="n">
        <v>29.8789587525922</v>
      </c>
      <c r="H210" s="19" t="n">
        <v>6.85187276497672</v>
      </c>
      <c r="I210" s="19" t="n">
        <v>1272</v>
      </c>
      <c r="J210" s="19" t="n">
        <v>1333</v>
      </c>
      <c r="K210" s="19" t="n">
        <v>6.88983364492895</v>
      </c>
    </row>
    <row r="211">
      <c r="A211" s="19" t="n">
        <v>147</v>
      </c>
      <c r="B211" s="19" t="inlineStr">
        <is>
          <t>Kny</t>
        </is>
      </c>
      <c r="C211" s="19" t="inlineStr">
        <is>
          <t>Mafia</t>
        </is>
      </c>
      <c r="D211" s="19" t="inlineStr">
        <is>
          <t>Loss</t>
        </is>
      </c>
      <c r="E211" s="19" t="n">
        <v>-70</v>
      </c>
      <c r="F211" s="19" t="n">
        <v>28.3976313450147</v>
      </c>
      <c r="G211" s="19" t="n">
        <v>27.2700396563638</v>
      </c>
      <c r="H211" s="19" t="n">
        <v>7.9327819816899</v>
      </c>
      <c r="I211" s="19" t="n">
        <v>1115</v>
      </c>
      <c r="J211" s="19" t="n">
        <v>1045</v>
      </c>
      <c r="K211" s="19" t="n">
        <v>7.99674546475772</v>
      </c>
    </row>
    <row r="212">
      <c r="A212" s="19" t="n">
        <v>147</v>
      </c>
      <c r="B212" s="19" t="inlineStr">
        <is>
          <t>Lou</t>
        </is>
      </c>
      <c r="C212" s="19" t="inlineStr">
        <is>
          <t>Mafia</t>
        </is>
      </c>
      <c r="D212" s="19" t="inlineStr">
        <is>
          <t>Loss</t>
        </is>
      </c>
      <c r="E212" s="19" t="n">
        <v>-46</v>
      </c>
      <c r="F212" s="19" t="n">
        <v>29.4873115059938</v>
      </c>
      <c r="G212" s="19" t="n">
        <v>28.7579956657607</v>
      </c>
      <c r="H212" s="19" t="n">
        <v>6.39962853666984</v>
      </c>
      <c r="I212" s="19" t="n">
        <v>1349</v>
      </c>
      <c r="J212" s="19" t="n">
        <v>1303</v>
      </c>
      <c r="K212" s="19" t="n">
        <v>6.42877469259828</v>
      </c>
    </row>
    <row r="213">
      <c r="A213" s="19" t="n">
        <v>147</v>
      </c>
      <c r="B213" s="19" t="inlineStr">
        <is>
          <t>Kden</t>
        </is>
      </c>
      <c r="C213" s="19" t="inlineStr">
        <is>
          <t>Mafia</t>
        </is>
      </c>
      <c r="D213" s="19" t="inlineStr">
        <is>
          <t>Loss</t>
        </is>
      </c>
      <c r="E213" s="19" t="n">
        <v>-50</v>
      </c>
      <c r="F213" s="19" t="n">
        <v>26.7690405306882</v>
      </c>
      <c r="G213" s="19" t="n">
        <v>25.9864965738767</v>
      </c>
      <c r="H213" s="19" t="n">
        <v>6.62630966852132</v>
      </c>
      <c r="I213" s="19" t="n">
        <v>1141</v>
      </c>
      <c r="J213" s="19" t="n">
        <v>1091</v>
      </c>
      <c r="K213" s="19" t="n">
        <v>6.65973449047145</v>
      </c>
    </row>
    <row r="214">
      <c r="A214" s="19" t="n">
        <v>146</v>
      </c>
      <c r="B214" s="19" t="inlineStr">
        <is>
          <t>Lou</t>
        </is>
      </c>
      <c r="C214" s="19" t="inlineStr">
        <is>
          <t>Town</t>
        </is>
      </c>
      <c r="D214" s="19" t="inlineStr">
        <is>
          <t>Loss</t>
        </is>
      </c>
      <c r="E214" s="19" t="n">
        <v>-21</v>
      </c>
      <c r="F214" s="19" t="n">
        <v>29.8143577076288</v>
      </c>
      <c r="G214" s="19" t="n">
        <v>29.4873115059938</v>
      </c>
      <c r="H214" s="19" t="n">
        <v>6.42877469259828</v>
      </c>
      <c r="I214" s="19" t="n">
        <v>1370</v>
      </c>
      <c r="J214" s="19" t="n">
        <v>1349</v>
      </c>
      <c r="K214" s="19" t="n">
        <v>6.44466710501081</v>
      </c>
    </row>
    <row r="215">
      <c r="A215" s="19" t="n">
        <v>146</v>
      </c>
      <c r="B215" s="19" t="inlineStr">
        <is>
          <t>Gilbert</t>
        </is>
      </c>
      <c r="C215" s="19" t="inlineStr">
        <is>
          <t>Town</t>
        </is>
      </c>
      <c r="D215" s="19" t="inlineStr">
        <is>
          <t>Loss</t>
        </is>
      </c>
      <c r="E215" s="19" t="n">
        <v>-24</v>
      </c>
      <c r="F215" s="19" t="n">
        <v>29.3245339701237</v>
      </c>
      <c r="G215" s="19" t="n">
        <v>28.9404265959612</v>
      </c>
      <c r="H215" s="19" t="n">
        <v>6.96273318217207</v>
      </c>
      <c r="I215" s="19" t="n">
        <v>1282</v>
      </c>
      <c r="J215" s="19" t="n">
        <v>1258</v>
      </c>
      <c r="K215" s="19" t="n">
        <v>6.98541394103935</v>
      </c>
    </row>
    <row r="216">
      <c r="A216" s="19" t="n">
        <v>146</v>
      </c>
      <c r="B216" s="19" t="inlineStr">
        <is>
          <t>Kwix</t>
        </is>
      </c>
      <c r="C216" s="19" t="inlineStr">
        <is>
          <t>Town</t>
        </is>
      </c>
      <c r="D216" s="19" t="inlineStr">
        <is>
          <t>Loss</t>
        </is>
      </c>
      <c r="E216" s="19" t="n">
        <v>-22</v>
      </c>
      <c r="F216" s="19" t="n">
        <v>25.7751620667931</v>
      </c>
      <c r="G216" s="19" t="n">
        <v>25.4187906815056</v>
      </c>
      <c r="H216" s="19" t="n">
        <v>6.70866695498153</v>
      </c>
      <c r="I216" s="19" t="n">
        <v>1066</v>
      </c>
      <c r="J216" s="19" t="n">
        <v>1044</v>
      </c>
      <c r="K216" s="19" t="n">
        <v>6.72800124784744</v>
      </c>
    </row>
    <row r="217">
      <c r="A217" s="19" t="n">
        <v>146</v>
      </c>
      <c r="B217" s="19" t="inlineStr">
        <is>
          <t>Keegan</t>
        </is>
      </c>
      <c r="C217" s="19" t="inlineStr">
        <is>
          <t>Town</t>
        </is>
      </c>
      <c r="D217" s="19" t="inlineStr">
        <is>
          <t>Loss</t>
        </is>
      </c>
      <c r="E217" s="19" t="n">
        <v>-28</v>
      </c>
      <c r="F217" s="19" t="n">
        <v>28.7496804406807</v>
      </c>
      <c r="G217" s="19" t="n">
        <v>28.2791468696156</v>
      </c>
      <c r="H217" s="19" t="n">
        <v>7.69907968263366</v>
      </c>
      <c r="I217" s="19" t="n">
        <v>1166</v>
      </c>
      <c r="J217" s="19" t="n">
        <v>1138</v>
      </c>
      <c r="K217" s="19" t="n">
        <v>7.7327627052067</v>
      </c>
    </row>
    <row r="218">
      <c r="A218" s="19" t="n">
        <v>146</v>
      </c>
      <c r="B218" s="19" t="inlineStr">
        <is>
          <t>Smit</t>
        </is>
      </c>
      <c r="C218" s="19" t="inlineStr">
        <is>
          <t>Town</t>
        </is>
      </c>
      <c r="D218" s="19" t="inlineStr">
        <is>
          <t>Loss</t>
        </is>
      </c>
      <c r="E218" s="19" t="n">
        <v>-21</v>
      </c>
      <c r="F218" s="19" t="n">
        <v>25.908829363931</v>
      </c>
      <c r="G218" s="19" t="n">
        <v>25.5725457901404</v>
      </c>
      <c r="H218" s="19" t="n">
        <v>6.51827615337657</v>
      </c>
      <c r="I218" s="19" t="n">
        <v>1095</v>
      </c>
      <c r="J218" s="19" t="n">
        <v>1074</v>
      </c>
      <c r="K218" s="19" t="n">
        <v>6.5352421821304</v>
      </c>
    </row>
    <row r="219">
      <c r="A219" s="19" t="n">
        <v>146</v>
      </c>
      <c r="B219" s="19" t="inlineStr">
        <is>
          <t>Iln</t>
        </is>
      </c>
      <c r="C219" s="19" t="inlineStr">
        <is>
          <t>Town</t>
        </is>
      </c>
      <c r="D219" s="19" t="inlineStr">
        <is>
          <t>Loss</t>
        </is>
      </c>
      <c r="E219" s="19" t="n">
        <v>-20</v>
      </c>
      <c r="F219" s="19" t="n">
        <v>34.1666183644079</v>
      </c>
      <c r="G219" s="19" t="n">
        <v>33.8488953245317</v>
      </c>
      <c r="H219" s="19" t="n">
        <v>6.33712281945036</v>
      </c>
      <c r="I219" s="19" t="n">
        <v>1675</v>
      </c>
      <c r="J219" s="19" t="n">
        <v>1655</v>
      </c>
      <c r="K219" s="19" t="n">
        <v>6.35194137401915</v>
      </c>
    </row>
    <row r="220">
      <c r="A220" s="19" t="n">
        <v>146</v>
      </c>
      <c r="B220" s="19" t="inlineStr">
        <is>
          <t>Ken</t>
        </is>
      </c>
      <c r="C220" s="19" t="inlineStr">
        <is>
          <t>Town</t>
        </is>
      </c>
      <c r="D220" s="19" t="inlineStr">
        <is>
          <t>Loss</t>
        </is>
      </c>
      <c r="E220" s="19" t="n">
        <v>-27</v>
      </c>
      <c r="F220" s="19" t="n">
        <v>25.3895505784955</v>
      </c>
      <c r="G220" s="19" t="n">
        <v>24.9443366188659</v>
      </c>
      <c r="H220" s="19" t="n">
        <v>7.49114262946777</v>
      </c>
      <c r="I220" s="19" t="n">
        <v>959</v>
      </c>
      <c r="J220" s="19" t="n">
        <v>932</v>
      </c>
      <c r="K220" s="19" t="n">
        <v>7.52151237733006</v>
      </c>
    </row>
    <row r="221">
      <c r="A221" s="19" t="n">
        <v>146</v>
      </c>
      <c r="B221" s="19" t="inlineStr">
        <is>
          <t>Decode</t>
        </is>
      </c>
      <c r="C221" s="19" t="inlineStr">
        <is>
          <t>Town</t>
        </is>
      </c>
      <c r="D221" s="19" t="inlineStr">
        <is>
          <t>Loss</t>
        </is>
      </c>
      <c r="E221" s="19" t="n">
        <v>-28</v>
      </c>
      <c r="F221" s="19" t="n">
        <v>20.7585025347717</v>
      </c>
      <c r="G221" s="19" t="n">
        <v>20.2982921087201</v>
      </c>
      <c r="H221" s="19" t="n">
        <v>7.61501455522344</v>
      </c>
      <c r="I221" s="19" t="n">
        <v>632</v>
      </c>
      <c r="J221" s="19" t="n">
        <v>604</v>
      </c>
      <c r="K221" s="19" t="n">
        <v>7.64733774500871</v>
      </c>
    </row>
    <row r="222">
      <c r="A222" s="19" t="n">
        <v>146</v>
      </c>
      <c r="B222" s="19" t="inlineStr">
        <is>
          <t>Strik3r</t>
        </is>
      </c>
      <c r="C222" s="19" t="inlineStr">
        <is>
          <t>Town</t>
        </is>
      </c>
      <c r="D222" s="19" t="inlineStr">
        <is>
          <t>Loss</t>
        </is>
      </c>
      <c r="E222" s="19" t="n">
        <v>-23</v>
      </c>
      <c r="F222" s="19" t="n">
        <v>29.4175570910258</v>
      </c>
      <c r="G222" s="19" t="n">
        <v>29.0415169879647</v>
      </c>
      <c r="H222" s="19" t="n">
        <v>6.88983364492895</v>
      </c>
      <c r="I222" s="19" t="n">
        <v>1295</v>
      </c>
      <c r="J222" s="19" t="n">
        <v>1272</v>
      </c>
      <c r="K222" s="19" t="n">
        <v>6.91153184338086</v>
      </c>
    </row>
    <row r="223">
      <c r="A223" s="19" t="n">
        <v>146</v>
      </c>
      <c r="B223" s="19" t="inlineStr">
        <is>
          <t>Chipper</t>
        </is>
      </c>
      <c r="C223" s="19" t="inlineStr">
        <is>
          <t>Town</t>
        </is>
      </c>
      <c r="D223" s="19" t="inlineStr">
        <is>
          <t>Loss</t>
        </is>
      </c>
      <c r="E223" s="19" t="n">
        <v>-23</v>
      </c>
      <c r="F223" s="19" t="n">
        <v>26.920153544706</v>
      </c>
      <c r="G223" s="19" t="n">
        <v>26.5504125863596</v>
      </c>
      <c r="H223" s="19" t="n">
        <v>6.83235269929014</v>
      </c>
      <c r="I223" s="19" t="n">
        <v>1132</v>
      </c>
      <c r="J223" s="19" t="n">
        <v>1109</v>
      </c>
      <c r="K223" s="19" t="n">
        <v>6.85328894844936</v>
      </c>
    </row>
    <row r="224">
      <c r="A224" s="19" t="n">
        <v>146</v>
      </c>
      <c r="B224" s="19" t="inlineStr">
        <is>
          <t>Rocker</t>
        </is>
      </c>
      <c r="C224" s="19" t="inlineStr">
        <is>
          <t>Town</t>
        </is>
      </c>
      <c r="D224" s="19" t="inlineStr">
        <is>
          <t>Loss</t>
        </is>
      </c>
      <c r="E224" s="19" t="n">
        <v>-20</v>
      </c>
      <c r="F224" s="19" t="n">
        <v>36.620818700781</v>
      </c>
      <c r="G224" s="19" t="n">
        <v>36.3188135406844</v>
      </c>
      <c r="H224" s="19" t="n">
        <v>6.17944272415817</v>
      </c>
      <c r="I224" s="19" t="n">
        <v>1859</v>
      </c>
      <c r="J224" s="19" t="n">
        <v>1839</v>
      </c>
      <c r="K224" s="19" t="n">
        <v>6.19247265257776</v>
      </c>
    </row>
    <row r="225">
      <c r="A225" s="19" t="n">
        <v>146</v>
      </c>
      <c r="B225" s="19" t="inlineStr">
        <is>
          <t>Brownkow</t>
        </is>
      </c>
      <c r="C225" s="19" t="inlineStr">
        <is>
          <t>Mafia</t>
        </is>
      </c>
      <c r="D225" s="19" t="inlineStr">
        <is>
          <t>Win</t>
        </is>
      </c>
      <c r="E225" s="19" t="n">
        <v>22</v>
      </c>
      <c r="F225" s="19" t="n">
        <v>32.5385218067749</v>
      </c>
      <c r="G225" s="19" t="n">
        <v>32.840190048465</v>
      </c>
      <c r="H225" s="19" t="n">
        <v>6.1760175172414</v>
      </c>
      <c r="I225" s="19" t="n">
        <v>1581</v>
      </c>
      <c r="J225" s="19" t="n">
        <v>1603</v>
      </c>
      <c r="K225" s="19" t="n">
        <v>6.18900940105094</v>
      </c>
    </row>
    <row r="226">
      <c r="A226" s="19" t="n">
        <v>146</v>
      </c>
      <c r="B226" s="19" t="inlineStr">
        <is>
          <t>Doublea</t>
        </is>
      </c>
      <c r="C226" s="19" t="inlineStr">
        <is>
          <t>Mafia</t>
        </is>
      </c>
      <c r="D226" s="19" t="inlineStr">
        <is>
          <t>Win</t>
        </is>
      </c>
      <c r="E226" s="19" t="n">
        <v>32</v>
      </c>
      <c r="F226" s="19" t="n">
        <v>24.0780059161478</v>
      </c>
      <c r="G226" s="19" t="n">
        <v>24.5095202587073</v>
      </c>
      <c r="H226" s="19" t="n">
        <v>7.3760914174788</v>
      </c>
      <c r="I226" s="19" t="n">
        <v>882</v>
      </c>
      <c r="J226" s="19" t="n">
        <v>914</v>
      </c>
      <c r="K226" s="19" t="n">
        <v>7.404699490995</v>
      </c>
    </row>
    <row r="227">
      <c r="A227" s="19" t="n">
        <v>146</v>
      </c>
      <c r="B227" s="19" t="inlineStr">
        <is>
          <t>Cyclone</t>
        </is>
      </c>
      <c r="C227" s="19" t="inlineStr">
        <is>
          <t>Mafia</t>
        </is>
      </c>
      <c r="D227" s="19" t="inlineStr">
        <is>
          <t>Win</t>
        </is>
      </c>
      <c r="E227" s="19" t="n">
        <v>33</v>
      </c>
      <c r="F227" s="19" t="n">
        <v>33.9386058865749</v>
      </c>
      <c r="G227" s="19" t="n">
        <v>34.3861261362298</v>
      </c>
      <c r="H227" s="19" t="n">
        <v>7.51033106549616</v>
      </c>
      <c r="I227" s="19" t="n">
        <v>1539</v>
      </c>
      <c r="J227" s="19" t="n">
        <v>1572</v>
      </c>
      <c r="K227" s="19" t="n">
        <v>7.54099953263435</v>
      </c>
    </row>
    <row r="228">
      <c r="A228" s="19" t="n">
        <v>145</v>
      </c>
      <c r="B228" s="19" t="inlineStr">
        <is>
          <t>Rocker</t>
        </is>
      </c>
      <c r="C228" s="19" t="inlineStr">
        <is>
          <t>Town</t>
        </is>
      </c>
      <c r="D228" s="19" t="inlineStr">
        <is>
          <t>Win</t>
        </is>
      </c>
      <c r="E228" s="19" t="n">
        <v>105</v>
      </c>
      <c r="F228" s="19" t="n">
        <v>35.1387908335154</v>
      </c>
      <c r="G228" s="19" t="n">
        <v>36.620818700781</v>
      </c>
      <c r="H228" s="19" t="n">
        <v>6.19247265257776</v>
      </c>
      <c r="I228" s="19" t="n">
        <v>1754</v>
      </c>
      <c r="J228" s="19" t="n">
        <v>1859</v>
      </c>
      <c r="K228" s="19" t="n">
        <v>6.22503231607411</v>
      </c>
    </row>
    <row r="229">
      <c r="A229" s="19" t="n">
        <v>145</v>
      </c>
      <c r="B229" s="19" t="inlineStr">
        <is>
          <t>Noah</t>
        </is>
      </c>
      <c r="C229" s="19" t="inlineStr">
        <is>
          <t>Town</t>
        </is>
      </c>
      <c r="D229" s="19" t="inlineStr">
        <is>
          <t>Win</t>
        </is>
      </c>
      <c r="E229" s="19" t="n">
        <v>112</v>
      </c>
      <c r="F229" s="19" t="n">
        <v>33.3258954467811</v>
      </c>
      <c r="G229" s="19" t="n">
        <v>34.9187171853095</v>
      </c>
      <c r="H229" s="19" t="n">
        <v>6.41667642055533</v>
      </c>
      <c r="I229" s="19" t="n">
        <v>1608</v>
      </c>
      <c r="J229" s="19" t="n">
        <v>1720</v>
      </c>
      <c r="K229" s="19" t="n">
        <v>6.4540464964727</v>
      </c>
    </row>
    <row r="230">
      <c r="A230" s="19" t="n">
        <v>145</v>
      </c>
      <c r="B230" s="19" t="inlineStr">
        <is>
          <t>Josh</t>
        </is>
      </c>
      <c r="C230" s="19" t="inlineStr">
        <is>
          <t>Town</t>
        </is>
      </c>
      <c r="D230" s="19" t="inlineStr">
        <is>
          <t>Win</t>
        </is>
      </c>
      <c r="E230" s="19" t="n">
        <v>158</v>
      </c>
      <c r="F230" s="19" t="n">
        <v>29.7813069502129</v>
      </c>
      <c r="G230" s="19" t="n">
        <v>32.0057202087157</v>
      </c>
      <c r="H230" s="19" t="n">
        <v>7.56200465985372</v>
      </c>
      <c r="I230" s="19" t="n">
        <v>1247</v>
      </c>
      <c r="J230" s="19" t="n">
        <v>1405</v>
      </c>
      <c r="K230" s="19" t="n">
        <v>7.62938295034926</v>
      </c>
    </row>
    <row r="231">
      <c r="A231" s="19" t="n">
        <v>145</v>
      </c>
      <c r="B231" s="19" t="inlineStr">
        <is>
          <t>Kwix</t>
        </is>
      </c>
      <c r="C231" s="19" t="inlineStr">
        <is>
          <t>Town</t>
        </is>
      </c>
      <c r="D231" s="19" t="inlineStr">
        <is>
          <t>Win</t>
        </is>
      </c>
      <c r="E231" s="19" t="n">
        <v>123</v>
      </c>
      <c r="F231" s="19" t="n">
        <v>24.021575067827</v>
      </c>
      <c r="G231" s="19" t="n">
        <v>25.7751620667931</v>
      </c>
      <c r="H231" s="19" t="n">
        <v>6.72800124784744</v>
      </c>
      <c r="I231" s="19" t="n">
        <v>943</v>
      </c>
      <c r="J231" s="19" t="n">
        <v>1066</v>
      </c>
      <c r="K231" s="19" t="n">
        <v>6.77259599937343</v>
      </c>
    </row>
    <row r="232">
      <c r="A232" s="19" t="n">
        <v>145</v>
      </c>
      <c r="B232" s="19" t="inlineStr">
        <is>
          <t>Plen</t>
        </is>
      </c>
      <c r="C232" s="19" t="inlineStr">
        <is>
          <t>Town</t>
        </is>
      </c>
      <c r="D232" s="19" t="inlineStr">
        <is>
          <t>Win</t>
        </is>
      </c>
      <c r="E232" s="19" t="n">
        <v>107</v>
      </c>
      <c r="F232" s="19" t="n">
        <v>24.2313867974168</v>
      </c>
      <c r="G232" s="19" t="n">
        <v>25.7533587163644</v>
      </c>
      <c r="H232" s="19" t="n">
        <v>6.27427826278303</v>
      </c>
      <c r="I232" s="19" t="n">
        <v>1004</v>
      </c>
      <c r="J232" s="19" t="n">
        <v>1111</v>
      </c>
      <c r="K232" s="19" t="n">
        <v>6.308556264903</v>
      </c>
    </row>
    <row r="233">
      <c r="A233" s="19" t="n">
        <v>145</v>
      </c>
      <c r="B233" s="19" t="inlineStr">
        <is>
          <t>Kden</t>
        </is>
      </c>
      <c r="C233" s="19" t="inlineStr">
        <is>
          <t>Town</t>
        </is>
      </c>
      <c r="D233" s="19" t="inlineStr">
        <is>
          <t>Win</t>
        </is>
      </c>
      <c r="E233" s="19" t="n">
        <v>121</v>
      </c>
      <c r="F233" s="19" t="n">
        <v>25.0513973707971</v>
      </c>
      <c r="G233" s="19" t="n">
        <v>26.7690405306882</v>
      </c>
      <c r="H233" s="19" t="n">
        <v>6.65973449047145</v>
      </c>
      <c r="I233" s="19" t="n">
        <v>1020</v>
      </c>
      <c r="J233" s="19" t="n">
        <v>1141</v>
      </c>
      <c r="K233" s="19" t="n">
        <v>6.70268897100969</v>
      </c>
    </row>
    <row r="234">
      <c r="A234" s="19" t="n">
        <v>145</v>
      </c>
      <c r="B234" s="19" t="inlineStr">
        <is>
          <t>Iln</t>
        </is>
      </c>
      <c r="C234" s="19" t="inlineStr">
        <is>
          <t>Town</t>
        </is>
      </c>
      <c r="D234" s="19" t="inlineStr">
        <is>
          <t>Win</t>
        </is>
      </c>
      <c r="E234" s="19" t="n">
        <v>109</v>
      </c>
      <c r="F234" s="19" t="n">
        <v>32.6062134699181</v>
      </c>
      <c r="G234" s="19" t="n">
        <v>34.1666183644079</v>
      </c>
      <c r="H234" s="19" t="n">
        <v>6.35194137401915</v>
      </c>
      <c r="I234" s="19" t="n">
        <v>1566</v>
      </c>
      <c r="J234" s="19" t="n">
        <v>1675</v>
      </c>
      <c r="K234" s="19" t="n">
        <v>6.38788968544868</v>
      </c>
    </row>
    <row r="235">
      <c r="A235" s="19" t="n">
        <v>145</v>
      </c>
      <c r="B235" s="19" t="inlineStr">
        <is>
          <t>Keegan</t>
        </is>
      </c>
      <c r="C235" s="19" t="inlineStr">
        <is>
          <t>Town</t>
        </is>
      </c>
      <c r="D235" s="19" t="inlineStr">
        <is>
          <t>Win</t>
        </is>
      </c>
      <c r="E235" s="19" t="n">
        <v>165</v>
      </c>
      <c r="F235" s="19" t="n">
        <v>26.4215600533072</v>
      </c>
      <c r="G235" s="19" t="n">
        <v>28.7496804406807</v>
      </c>
      <c r="H235" s="19" t="n">
        <v>7.7327627052067</v>
      </c>
      <c r="I235" s="19" t="n">
        <v>1001</v>
      </c>
      <c r="J235" s="19" t="n">
        <v>1166</v>
      </c>
      <c r="K235" s="19" t="n">
        <v>7.80547522607824</v>
      </c>
    </row>
    <row r="236">
      <c r="A236" s="19" t="n">
        <v>145</v>
      </c>
      <c r="B236" s="19" t="inlineStr">
        <is>
          <t>Heckmuffins</t>
        </is>
      </c>
      <c r="C236" s="19" t="inlineStr">
        <is>
          <t>Town</t>
        </is>
      </c>
      <c r="D236" s="19" t="inlineStr">
        <is>
          <t>Win</t>
        </is>
      </c>
      <c r="E236" s="19" t="n">
        <v>173</v>
      </c>
      <c r="F236" s="19" t="n">
        <v>28.8848964884518</v>
      </c>
      <c r="G236" s="19" t="n">
        <v>31.3046494079946</v>
      </c>
      <c r="H236" s="19" t="n">
        <v>7.88030552315171</v>
      </c>
      <c r="I236" s="19" t="n">
        <v>1152</v>
      </c>
      <c r="J236" s="19" t="n">
        <v>1325</v>
      </c>
      <c r="K236" s="19" t="n">
        <v>7.95782328544965</v>
      </c>
    </row>
    <row r="237">
      <c r="A237" s="19" t="n">
        <v>145</v>
      </c>
      <c r="B237" s="19" t="inlineStr">
        <is>
          <t>Strik3r</t>
        </is>
      </c>
      <c r="C237" s="19" t="inlineStr">
        <is>
          <t>Town</t>
        </is>
      </c>
      <c r="D237" s="19" t="inlineStr">
        <is>
          <t>Win</t>
        </is>
      </c>
      <c r="E237" s="19" t="n">
        <v>131</v>
      </c>
      <c r="F237" s="19" t="n">
        <v>27.5654026702785</v>
      </c>
      <c r="G237" s="19" t="n">
        <v>29.4175570910258</v>
      </c>
      <c r="H237" s="19" t="n">
        <v>6.91153184338086</v>
      </c>
      <c r="I237" s="19" t="n">
        <v>1164</v>
      </c>
      <c r="J237" s="19" t="n">
        <v>1295</v>
      </c>
      <c r="K237" s="19" t="n">
        <v>6.96069783046296</v>
      </c>
    </row>
    <row r="238">
      <c r="A238" s="19" t="n">
        <v>145</v>
      </c>
      <c r="B238" s="19" t="inlineStr">
        <is>
          <t>Laur</t>
        </is>
      </c>
      <c r="C238" s="19" t="inlineStr">
        <is>
          <t>Town</t>
        </is>
      </c>
      <c r="D238" s="19" t="inlineStr">
        <is>
          <t>Win</t>
        </is>
      </c>
      <c r="E238" s="19" t="n">
        <v>119</v>
      </c>
      <c r="F238" s="19" t="n">
        <v>32.4175132916221</v>
      </c>
      <c r="G238" s="19" t="n">
        <v>34.105531405318</v>
      </c>
      <c r="H238" s="19" t="n">
        <v>6.60290510184081</v>
      </c>
      <c r="I238" s="19" t="n">
        <v>1527</v>
      </c>
      <c r="J238" s="19" t="n">
        <v>1646</v>
      </c>
      <c r="K238" s="19" t="n">
        <v>6.64451844846739</v>
      </c>
    </row>
    <row r="239">
      <c r="A239" s="19" t="n">
        <v>145</v>
      </c>
      <c r="B239" s="19" t="inlineStr">
        <is>
          <t>Carson</t>
        </is>
      </c>
      <c r="C239" s="19" t="inlineStr">
        <is>
          <t>Mafia</t>
        </is>
      </c>
      <c r="D239" s="19" t="inlineStr">
        <is>
          <t>Loss</t>
        </is>
      </c>
      <c r="E239" s="19" t="n">
        <v>-104</v>
      </c>
      <c r="F239" s="19" t="n">
        <v>31.6431538320439</v>
      </c>
      <c r="G239" s="19" t="n">
        <v>30.0454262063567</v>
      </c>
      <c r="H239" s="19" t="n">
        <v>6.42641325021251</v>
      </c>
      <c r="I239" s="19" t="n">
        <v>1492</v>
      </c>
      <c r="J239" s="19" t="n">
        <v>1388</v>
      </c>
      <c r="K239" s="19" t="n">
        <v>6.46399952080594</v>
      </c>
    </row>
    <row r="240">
      <c r="A240" s="19" t="n">
        <v>145</v>
      </c>
      <c r="B240" s="19" t="inlineStr">
        <is>
          <t>Brownkow</t>
        </is>
      </c>
      <c r="C240" s="19" t="inlineStr">
        <is>
          <t>Mafia</t>
        </is>
      </c>
      <c r="D240" s="19" t="inlineStr">
        <is>
          <t>Loss</t>
        </is>
      </c>
      <c r="E240" s="19" t="n">
        <v>-98</v>
      </c>
      <c r="F240" s="19" t="n">
        <v>34.0188708193734</v>
      </c>
      <c r="G240" s="19" t="n">
        <v>32.5385218067749</v>
      </c>
      <c r="H240" s="19" t="n">
        <v>6.18900940105094</v>
      </c>
      <c r="I240" s="19" t="n">
        <v>1679</v>
      </c>
      <c r="J240" s="19" t="n">
        <v>1581</v>
      </c>
      <c r="K240" s="19" t="n">
        <v>6.22149723672823</v>
      </c>
    </row>
    <row r="241">
      <c r="A241" s="19" t="n">
        <v>145</v>
      </c>
      <c r="B241" s="19" t="inlineStr">
        <is>
          <t>Rollo</t>
        </is>
      </c>
      <c r="C241" s="19" t="inlineStr">
        <is>
          <t>Mafia</t>
        </is>
      </c>
      <c r="D241" s="19" t="inlineStr">
        <is>
          <t>Loss</t>
        </is>
      </c>
      <c r="E241" s="19" t="n">
        <v>-119</v>
      </c>
      <c r="F241" s="19" t="n">
        <v>37.0081934802103</v>
      </c>
      <c r="G241" s="19" t="n">
        <v>35.188348849439</v>
      </c>
      <c r="H241" s="19" t="n">
        <v>6.85194842977851</v>
      </c>
      <c r="I241" s="19" t="n">
        <v>1813</v>
      </c>
      <c r="J241" s="19" t="n">
        <v>1694</v>
      </c>
      <c r="K241" s="19" t="n">
        <v>6.89960422181424</v>
      </c>
    </row>
    <row r="242">
      <c r="A242" s="19" t="n">
        <v>144</v>
      </c>
      <c r="B242" s="19" t="inlineStr">
        <is>
          <t>Whyin</t>
        </is>
      </c>
      <c r="C242" s="19" t="inlineStr">
        <is>
          <t>Town</t>
        </is>
      </c>
      <c r="D242" s="19" t="inlineStr">
        <is>
          <t>Win</t>
        </is>
      </c>
      <c r="E242" s="19" t="n">
        <v>32</v>
      </c>
      <c r="F242" s="19" t="n">
        <v>31.4422420489797</v>
      </c>
      <c r="G242" s="19" t="n">
        <v>31.8830354521516</v>
      </c>
      <c r="H242" s="19" t="n">
        <v>6.89089136542635</v>
      </c>
      <c r="I242" s="19" t="n">
        <v>1433</v>
      </c>
      <c r="J242" s="19" t="n">
        <v>1465</v>
      </c>
      <c r="K242" s="19" t="n">
        <v>6.91646119427911</v>
      </c>
    </row>
    <row r="243">
      <c r="A243" s="19" t="n">
        <v>144</v>
      </c>
      <c r="B243" s="19" t="inlineStr">
        <is>
          <t>Rollo</t>
        </is>
      </c>
      <c r="C243" s="19" t="inlineStr">
        <is>
          <t>Town</t>
        </is>
      </c>
      <c r="D243" s="19" t="inlineStr">
        <is>
          <t>Win</t>
        </is>
      </c>
      <c r="E243" s="19" t="n">
        <v>33</v>
      </c>
      <c r="F243" s="19" t="n">
        <v>36.5662741601028</v>
      </c>
      <c r="G243" s="19" t="n">
        <v>37.0081934802103</v>
      </c>
      <c r="H243" s="19" t="n">
        <v>6.89960422181424</v>
      </c>
      <c r="I243" s="19" t="n">
        <v>1780</v>
      </c>
      <c r="J243" s="19" t="n">
        <v>1813</v>
      </c>
      <c r="K243" s="19" t="n">
        <v>6.92530550376586</v>
      </c>
    </row>
    <row r="244">
      <c r="A244" s="19" t="n">
        <v>144</v>
      </c>
      <c r="B244" s="19" t="inlineStr">
        <is>
          <t>Plen</t>
        </is>
      </c>
      <c r="C244" s="19" t="inlineStr">
        <is>
          <t>Town</t>
        </is>
      </c>
      <c r="D244" s="19" t="inlineStr">
        <is>
          <t>Win</t>
        </is>
      </c>
      <c r="E244" s="19" t="n">
        <v>27</v>
      </c>
      <c r="F244" s="19" t="n">
        <v>23.8625080458499</v>
      </c>
      <c r="G244" s="19" t="n">
        <v>24.2313867974168</v>
      </c>
      <c r="H244" s="19" t="n">
        <v>6.308556264903</v>
      </c>
      <c r="I244" s="19" t="n">
        <v>977</v>
      </c>
      <c r="J244" s="19" t="n">
        <v>1004</v>
      </c>
      <c r="K244" s="19" t="n">
        <v>6.32599086984833</v>
      </c>
    </row>
    <row r="245">
      <c r="A245" s="19" t="n">
        <v>144</v>
      </c>
      <c r="B245" s="19" t="inlineStr">
        <is>
          <t>Siggy</t>
        </is>
      </c>
      <c r="C245" s="19" t="inlineStr">
        <is>
          <t>Town</t>
        </is>
      </c>
      <c r="D245" s="19" t="inlineStr">
        <is>
          <t>Win</t>
        </is>
      </c>
      <c r="E245" s="19" t="n">
        <v>42</v>
      </c>
      <c r="F245" s="19" t="n">
        <v>29.3448239717735</v>
      </c>
      <c r="G245" s="19" t="n">
        <v>29.9004414287762</v>
      </c>
      <c r="H245" s="19" t="n">
        <v>7.72711499810643</v>
      </c>
      <c r="I245" s="19" t="n">
        <v>1203</v>
      </c>
      <c r="J245" s="19" t="n">
        <v>1245</v>
      </c>
      <c r="K245" s="19" t="n">
        <v>7.76673977149163</v>
      </c>
    </row>
    <row r="246">
      <c r="A246" s="19" t="n">
        <v>144</v>
      </c>
      <c r="B246" s="19" t="inlineStr">
        <is>
          <t>Carson</t>
        </is>
      </c>
      <c r="C246" s="19" t="inlineStr">
        <is>
          <t>Town</t>
        </is>
      </c>
      <c r="D246" s="19" t="inlineStr">
        <is>
          <t>Win</t>
        </is>
      </c>
      <c r="E246" s="19" t="n">
        <v>28</v>
      </c>
      <c r="F246" s="19" t="n">
        <v>31.2557207951016</v>
      </c>
      <c r="G246" s="19" t="n">
        <v>31.6431538320439</v>
      </c>
      <c r="H246" s="19" t="n">
        <v>6.46399952080594</v>
      </c>
      <c r="I246" s="19" t="n">
        <v>1464</v>
      </c>
      <c r="J246" s="19" t="n">
        <v>1492</v>
      </c>
      <c r="K246" s="19" t="n">
        <v>6.48348414186536</v>
      </c>
    </row>
    <row r="247">
      <c r="A247" s="19" t="n">
        <v>144</v>
      </c>
      <c r="B247" s="19" t="inlineStr">
        <is>
          <t>Josh</t>
        </is>
      </c>
      <c r="C247" s="19" t="inlineStr">
        <is>
          <t>Town</t>
        </is>
      </c>
      <c r="D247" s="19" t="inlineStr">
        <is>
          <t>Win</t>
        </is>
      </c>
      <c r="E247" s="19" t="n">
        <v>41</v>
      </c>
      <c r="F247" s="19" t="n">
        <v>29.2398177698895</v>
      </c>
      <c r="G247" s="19" t="n">
        <v>29.7813069502129</v>
      </c>
      <c r="H247" s="19" t="n">
        <v>7.62938295034926</v>
      </c>
      <c r="I247" s="19" t="n">
        <v>1206</v>
      </c>
      <c r="J247" s="19" t="n">
        <v>1247</v>
      </c>
      <c r="K247" s="19" t="n">
        <v>7.66720810707197</v>
      </c>
    </row>
    <row r="248">
      <c r="A248" s="19" t="n">
        <v>144</v>
      </c>
      <c r="B248" s="19" t="inlineStr">
        <is>
          <t>Strik3r</t>
        </is>
      </c>
      <c r="C248" s="19" t="inlineStr">
        <is>
          <t>Town</t>
        </is>
      </c>
      <c r="D248" s="19" t="inlineStr">
        <is>
          <t>Win</t>
        </is>
      </c>
      <c r="E248" s="19" t="n">
        <v>33</v>
      </c>
      <c r="F248" s="19" t="n">
        <v>27.1155470424513</v>
      </c>
      <c r="G248" s="19" t="n">
        <v>27.5654026702785</v>
      </c>
      <c r="H248" s="19" t="n">
        <v>6.96069783046296</v>
      </c>
      <c r="I248" s="19" t="n">
        <v>1131</v>
      </c>
      <c r="J248" s="19" t="n">
        <v>1164</v>
      </c>
      <c r="K248" s="19" t="n">
        <v>6.98732928204753</v>
      </c>
    </row>
    <row r="249">
      <c r="A249" s="19" t="n">
        <v>144</v>
      </c>
      <c r="B249" s="19" t="inlineStr">
        <is>
          <t>Chelsea</t>
        </is>
      </c>
      <c r="C249" s="19" t="inlineStr">
        <is>
          <t>Town</t>
        </is>
      </c>
      <c r="D249" s="19" t="inlineStr">
        <is>
          <t>Win</t>
        </is>
      </c>
      <c r="E249" s="19" t="n">
        <v>37</v>
      </c>
      <c r="F249" s="19" t="n">
        <v>29.4616607352674</v>
      </c>
      <c r="G249" s="19" t="n">
        <v>29.9581772683439</v>
      </c>
      <c r="H249" s="19" t="n">
        <v>7.30917630112296</v>
      </c>
      <c r="I249" s="19" t="n">
        <v>1255</v>
      </c>
      <c r="J249" s="19" t="n">
        <v>1292</v>
      </c>
      <c r="K249" s="19" t="n">
        <v>7.34140364050772</v>
      </c>
    </row>
    <row r="250">
      <c r="A250" s="19" t="n">
        <v>144</v>
      </c>
      <c r="B250" s="19" t="inlineStr">
        <is>
          <t>Rocker</t>
        </is>
      </c>
      <c r="C250" s="19" t="inlineStr">
        <is>
          <t>Town</t>
        </is>
      </c>
      <c r="D250" s="19" t="inlineStr">
        <is>
          <t>Win</t>
        </is>
      </c>
      <c r="E250" s="19" t="n">
        <v>26</v>
      </c>
      <c r="F250" s="19" t="n">
        <v>34.7796893803775</v>
      </c>
      <c r="G250" s="19" t="n">
        <v>35.1387908335154</v>
      </c>
      <c r="H250" s="19" t="n">
        <v>6.22503231607411</v>
      </c>
      <c r="I250" s="19" t="n">
        <v>1728</v>
      </c>
      <c r="J250" s="19" t="n">
        <v>1754</v>
      </c>
      <c r="K250" s="19" t="n">
        <v>6.24140012504689</v>
      </c>
    </row>
    <row r="251">
      <c r="A251" s="19" t="n">
        <v>144</v>
      </c>
      <c r="B251" s="19" t="inlineStr">
        <is>
          <t>Keegan</t>
        </is>
      </c>
      <c r="C251" s="19" t="inlineStr">
        <is>
          <t>Town</t>
        </is>
      </c>
      <c r="D251" s="19" t="inlineStr">
        <is>
          <t>Win</t>
        </is>
      </c>
      <c r="E251" s="19" t="n">
        <v>43</v>
      </c>
      <c r="F251" s="19" t="n">
        <v>25.8544785421121</v>
      </c>
      <c r="G251" s="19" t="n">
        <v>26.4215600533072</v>
      </c>
      <c r="H251" s="19" t="n">
        <v>7.80547522607824</v>
      </c>
      <c r="I251" s="19" t="n">
        <v>958</v>
      </c>
      <c r="J251" s="19" t="n">
        <v>1001</v>
      </c>
      <c r="K251" s="19" t="n">
        <v>7.84657456964573</v>
      </c>
    </row>
    <row r="252">
      <c r="A252" s="19" t="n">
        <v>144</v>
      </c>
      <c r="B252" s="19" t="inlineStr">
        <is>
          <t>Aipha</t>
        </is>
      </c>
      <c r="C252" s="19" t="inlineStr">
        <is>
          <t>Mafia</t>
        </is>
      </c>
      <c r="D252" s="19" t="inlineStr">
        <is>
          <t>Loss</t>
        </is>
      </c>
      <c r="E252" s="19" t="n">
        <v>-31</v>
      </c>
      <c r="F252" s="19" t="n">
        <v>21.5761091061383</v>
      </c>
      <c r="G252" s="19" t="n">
        <v>21.0633962532251</v>
      </c>
      <c r="H252" s="19" t="n">
        <v>7.42615716543315</v>
      </c>
      <c r="I252" s="19" t="n">
        <v>706</v>
      </c>
      <c r="J252" s="19" t="n">
        <v>675</v>
      </c>
      <c r="K252" s="19" t="n">
        <v>7.46037747835531</v>
      </c>
    </row>
    <row r="253">
      <c r="A253" s="19" t="n">
        <v>144</v>
      </c>
      <c r="B253" s="19" t="inlineStr">
        <is>
          <t>Steep</t>
        </is>
      </c>
      <c r="C253" s="19" t="inlineStr">
        <is>
          <t>Mafia</t>
        </is>
      </c>
      <c r="D253" s="19" t="inlineStr">
        <is>
          <t>Loss</t>
        </is>
      </c>
      <c r="E253" s="19" t="n">
        <v>-37</v>
      </c>
      <c r="F253" s="19" t="n">
        <v>25.2406841285829</v>
      </c>
      <c r="G253" s="19" t="n">
        <v>24.6225213419618</v>
      </c>
      <c r="H253" s="19" t="n">
        <v>8.14502617767241</v>
      </c>
      <c r="I253" s="19" t="n">
        <v>881</v>
      </c>
      <c r="J253" s="19" t="n">
        <v>844</v>
      </c>
      <c r="K253" s="19" t="n">
        <v>8.19285029338317</v>
      </c>
    </row>
    <row r="254">
      <c r="A254" s="19" t="n">
        <v>144</v>
      </c>
      <c r="B254" s="19" t="inlineStr">
        <is>
          <t>Motr</t>
        </is>
      </c>
      <c r="C254" s="19" t="inlineStr">
        <is>
          <t>Mafia</t>
        </is>
      </c>
      <c r="D254" s="19" t="inlineStr">
        <is>
          <t>Loss</t>
        </is>
      </c>
      <c r="E254" s="19" t="n">
        <v>-29</v>
      </c>
      <c r="F254" s="19" t="n">
        <v>28.7239877421744</v>
      </c>
      <c r="G254" s="19" t="n">
        <v>28.2567682101269</v>
      </c>
      <c r="H254" s="19" t="n">
        <v>7.09245934106829</v>
      </c>
      <c r="I254" s="19" t="n">
        <v>1227</v>
      </c>
      <c r="J254" s="19" t="n">
        <v>1198</v>
      </c>
      <c r="K254" s="19" t="n">
        <v>7.12114784073768</v>
      </c>
    </row>
    <row r="255">
      <c r="A255" s="19" t="n">
        <v>143</v>
      </c>
      <c r="B255" s="19" t="inlineStr">
        <is>
          <t>Ken</t>
        </is>
      </c>
      <c r="C255" s="19" t="inlineStr">
        <is>
          <t>Town</t>
        </is>
      </c>
      <c r="D255" s="19" t="inlineStr">
        <is>
          <t>Loss</t>
        </is>
      </c>
      <c r="E255" s="19" t="n">
        <v>-34</v>
      </c>
      <c r="F255" s="19" t="n">
        <v>25.9466948472753</v>
      </c>
      <c r="G255" s="19" t="n">
        <v>25.3895505784955</v>
      </c>
      <c r="H255" s="19" t="n">
        <v>7.52151237733006</v>
      </c>
      <c r="I255" s="19" t="n">
        <v>993</v>
      </c>
      <c r="J255" s="19" t="n">
        <v>959</v>
      </c>
      <c r="K255" s="19" t="n">
        <v>7.55925883735886</v>
      </c>
    </row>
    <row r="256">
      <c r="A256" s="19" t="n">
        <v>143</v>
      </c>
      <c r="B256" s="19" t="inlineStr">
        <is>
          <t>Gilbert</t>
        </is>
      </c>
      <c r="C256" s="19" t="inlineStr">
        <is>
          <t>Town</t>
        </is>
      </c>
      <c r="D256" s="19" t="inlineStr">
        <is>
          <t>Loss</t>
        </is>
      </c>
      <c r="E256" s="19" t="n">
        <v>-29</v>
      </c>
      <c r="F256" s="19" t="n">
        <v>29.8043109576207</v>
      </c>
      <c r="G256" s="19" t="n">
        <v>29.3245339701237</v>
      </c>
      <c r="H256" s="19" t="n">
        <v>6.98541394103935</v>
      </c>
      <c r="I256" s="19" t="n">
        <v>1311</v>
      </c>
      <c r="J256" s="19" t="n">
        <v>1282</v>
      </c>
      <c r="K256" s="19" t="n">
        <v>7.01390583292142</v>
      </c>
    </row>
    <row r="257">
      <c r="A257" s="19" t="n">
        <v>143</v>
      </c>
      <c r="B257" s="19" t="inlineStr">
        <is>
          <t>Decode</t>
        </is>
      </c>
      <c r="C257" s="19" t="inlineStr">
        <is>
          <t>Town</t>
        </is>
      </c>
      <c r="D257" s="19" t="inlineStr">
        <is>
          <t>Loss</t>
        </is>
      </c>
      <c r="E257" s="19" t="n">
        <v>-35</v>
      </c>
      <c r="F257" s="19" t="n">
        <v>21.3346726340559</v>
      </c>
      <c r="G257" s="19" t="n">
        <v>20.7585025347717</v>
      </c>
      <c r="H257" s="19" t="n">
        <v>7.64733774500871</v>
      </c>
      <c r="I257" s="19" t="n">
        <v>667</v>
      </c>
      <c r="J257" s="19" t="n">
        <v>632</v>
      </c>
      <c r="K257" s="19" t="n">
        <v>7.68744522210461</v>
      </c>
    </row>
    <row r="258">
      <c r="A258" s="19" t="n">
        <v>143</v>
      </c>
      <c r="B258" s="19" t="inlineStr">
        <is>
          <t>Kden</t>
        </is>
      </c>
      <c r="C258" s="19" t="inlineStr">
        <is>
          <t>Town</t>
        </is>
      </c>
      <c r="D258" s="19" t="inlineStr">
        <is>
          <t>Loss</t>
        </is>
      </c>
      <c r="E258" s="19" t="n">
        <v>-27</v>
      </c>
      <c r="F258" s="19" t="n">
        <v>25.492769705727</v>
      </c>
      <c r="G258" s="19" t="n">
        <v>25.0513973707971</v>
      </c>
      <c r="H258" s="19" t="n">
        <v>6.70268897100969</v>
      </c>
      <c r="I258" s="19" t="n">
        <v>1047</v>
      </c>
      <c r="J258" s="19" t="n">
        <v>1020</v>
      </c>
      <c r="K258" s="19" t="n">
        <v>6.72679525397289</v>
      </c>
    </row>
    <row r="259">
      <c r="A259" s="19" t="n">
        <v>143</v>
      </c>
      <c r="B259" s="19" t="inlineStr">
        <is>
          <t>Iln</t>
        </is>
      </c>
      <c r="C259" s="19" t="inlineStr">
        <is>
          <t>Town</t>
        </is>
      </c>
      <c r="D259" s="19" t="inlineStr">
        <is>
          <t>Loss</t>
        </is>
      </c>
      <c r="E259" s="19" t="n">
        <v>-25</v>
      </c>
      <c r="F259" s="19" t="n">
        <v>33.0067590952676</v>
      </c>
      <c r="G259" s="19" t="n">
        <v>32.6062134699181</v>
      </c>
      <c r="H259" s="19" t="n">
        <v>6.38788968544868</v>
      </c>
      <c r="I259" s="19" t="n">
        <v>1591</v>
      </c>
      <c r="J259" s="19" t="n">
        <v>1566</v>
      </c>
      <c r="K259" s="19" t="n">
        <v>6.40748539041775</v>
      </c>
    </row>
    <row r="260">
      <c r="A260" s="19" t="n">
        <v>143</v>
      </c>
      <c r="B260" s="19" t="inlineStr">
        <is>
          <t>Chelsea</t>
        </is>
      </c>
      <c r="C260" s="19" t="inlineStr">
        <is>
          <t>Town</t>
        </is>
      </c>
      <c r="D260" s="19" t="inlineStr">
        <is>
          <t>Loss</t>
        </is>
      </c>
      <c r="E260" s="19" t="n">
        <v>-32</v>
      </c>
      <c r="F260" s="19" t="n">
        <v>29.9921461348972</v>
      </c>
      <c r="G260" s="19" t="n">
        <v>29.4616607352674</v>
      </c>
      <c r="H260" s="19" t="n">
        <v>7.34140364050772</v>
      </c>
      <c r="I260" s="19" t="n">
        <v>1287</v>
      </c>
      <c r="J260" s="19" t="n">
        <v>1255</v>
      </c>
      <c r="K260" s="19" t="n">
        <v>7.37589817169763</v>
      </c>
    </row>
    <row r="261">
      <c r="A261" s="19" t="n">
        <v>143</v>
      </c>
      <c r="B261" s="19" t="inlineStr">
        <is>
          <t>Chipper</t>
        </is>
      </c>
      <c r="C261" s="19" t="inlineStr">
        <is>
          <t>Town</t>
        </is>
      </c>
      <c r="D261" s="19" t="inlineStr">
        <is>
          <t>Loss</t>
        </is>
      </c>
      <c r="E261" s="19" t="n">
        <v>-28</v>
      </c>
      <c r="F261" s="19" t="n">
        <v>27.3817777923971</v>
      </c>
      <c r="G261" s="19" t="n">
        <v>26.920153544706</v>
      </c>
      <c r="H261" s="19" t="n">
        <v>6.85328894844936</v>
      </c>
      <c r="I261" s="19" t="n">
        <v>1160</v>
      </c>
      <c r="J261" s="19" t="n">
        <v>1132</v>
      </c>
      <c r="K261" s="19" t="n">
        <v>6.87969061872283</v>
      </c>
    </row>
    <row r="262">
      <c r="A262" s="19" t="n">
        <v>143</v>
      </c>
      <c r="B262" s="19" t="inlineStr">
        <is>
          <t>Brownkow</t>
        </is>
      </c>
      <c r="C262" s="19" t="inlineStr">
        <is>
          <t>Town</t>
        </is>
      </c>
      <c r="D262" s="19" t="inlineStr">
        <is>
          <t>Loss</t>
        </is>
      </c>
      <c r="E262" s="19" t="n">
        <v>-24</v>
      </c>
      <c r="F262" s="19" t="n">
        <v>34.3986569406302</v>
      </c>
      <c r="G262" s="19" t="n">
        <v>34.0188708193734</v>
      </c>
      <c r="H262" s="19" t="n">
        <v>6.22149723672823</v>
      </c>
      <c r="I262" s="19" t="n">
        <v>1703</v>
      </c>
      <c r="J262" s="19" t="n">
        <v>1679</v>
      </c>
      <c r="K262" s="19" t="n">
        <v>6.23885873513307</v>
      </c>
    </row>
    <row r="263">
      <c r="A263" s="19" t="n">
        <v>143</v>
      </c>
      <c r="B263" s="19" t="inlineStr">
        <is>
          <t>Strik3r</t>
        </is>
      </c>
      <c r="C263" s="19" t="inlineStr">
        <is>
          <t>Town</t>
        </is>
      </c>
      <c r="D263" s="19" t="inlineStr">
        <is>
          <t>Loss</t>
        </is>
      </c>
      <c r="E263" s="19" t="n">
        <v>-30</v>
      </c>
      <c r="F263" s="19" t="n">
        <v>27.5955898319823</v>
      </c>
      <c r="G263" s="19" t="n">
        <v>27.1155470424513</v>
      </c>
      <c r="H263" s="19" t="n">
        <v>6.98732928204753</v>
      </c>
      <c r="I263" s="19" t="n">
        <v>1161</v>
      </c>
      <c r="J263" s="19" t="n">
        <v>1131</v>
      </c>
      <c r="K263" s="19" t="n">
        <v>7.01585201008108</v>
      </c>
    </row>
    <row r="264">
      <c r="A264" s="19" t="n">
        <v>143</v>
      </c>
      <c r="B264" s="19" t="inlineStr">
        <is>
          <t>Motr</t>
        </is>
      </c>
      <c r="C264" s="19" t="inlineStr">
        <is>
          <t>Town</t>
        </is>
      </c>
      <c r="D264" s="19" t="inlineStr">
        <is>
          <t>Loss</t>
        </is>
      </c>
      <c r="E264" s="19" t="n">
        <v>-31</v>
      </c>
      <c r="F264" s="19" t="n">
        <v>29.2227891701266</v>
      </c>
      <c r="G264" s="19" t="n">
        <v>28.7239877421744</v>
      </c>
      <c r="H264" s="19" t="n">
        <v>7.12114784073768</v>
      </c>
      <c r="I264" s="19" t="n">
        <v>1258</v>
      </c>
      <c r="J264" s="19" t="n">
        <v>1227</v>
      </c>
      <c r="K264" s="19" t="n">
        <v>7.15186354131434</v>
      </c>
    </row>
    <row r="265">
      <c r="A265" s="19" t="n">
        <v>143</v>
      </c>
      <c r="B265" s="19" t="inlineStr">
        <is>
          <t>Xcync</t>
        </is>
      </c>
      <c r="C265" s="19" t="inlineStr">
        <is>
          <t>Mafia</t>
        </is>
      </c>
      <c r="D265" s="19" t="inlineStr">
        <is>
          <t>Win</t>
        </is>
      </c>
      <c r="E265" s="19" t="n">
        <v>42</v>
      </c>
      <c r="F265" s="19" t="n">
        <v>29.5928362980319</v>
      </c>
      <c r="G265" s="19" t="n">
        <v>30.1545069100511</v>
      </c>
      <c r="H265" s="19" t="n">
        <v>7.55164616710312</v>
      </c>
      <c r="I265" s="19" t="n">
        <v>1238</v>
      </c>
      <c r="J265" s="19" t="n">
        <v>1280</v>
      </c>
      <c r="K265" s="19" t="n">
        <v>7.58995130034331</v>
      </c>
    </row>
    <row r="266">
      <c r="A266" s="19" t="n">
        <v>143</v>
      </c>
      <c r="B266" s="19" t="inlineStr">
        <is>
          <t>Rocker</t>
        </is>
      </c>
      <c r="C266" s="19" t="inlineStr">
        <is>
          <t>Mafia</t>
        </is>
      </c>
      <c r="D266" s="19" t="inlineStr">
        <is>
          <t>Win</t>
        </is>
      </c>
      <c r="E266" s="19" t="n">
        <v>27</v>
      </c>
      <c r="F266" s="19" t="n">
        <v>34.3974499205721</v>
      </c>
      <c r="G266" s="19" t="n">
        <v>34.7796893803775</v>
      </c>
      <c r="H266" s="19" t="n">
        <v>6.24140012504689</v>
      </c>
      <c r="I266" s="19" t="n">
        <v>1701</v>
      </c>
      <c r="J266" s="19" t="n">
        <v>1728</v>
      </c>
      <c r="K266" s="19" t="n">
        <v>6.25902359915571</v>
      </c>
    </row>
    <row r="267">
      <c r="A267" s="19" t="n">
        <v>143</v>
      </c>
      <c r="B267" s="19" t="inlineStr">
        <is>
          <t>Jonas</t>
        </is>
      </c>
      <c r="C267" s="19" t="inlineStr">
        <is>
          <t>Mafia</t>
        </is>
      </c>
      <c r="D267" s="19" t="inlineStr">
        <is>
          <t>Win</t>
        </is>
      </c>
      <c r="E267" s="19" t="n">
        <v>51</v>
      </c>
      <c r="F267" s="19" t="n">
        <v>24.4785026703853</v>
      </c>
      <c r="G267" s="19" t="n">
        <v>25.1479892751392</v>
      </c>
      <c r="H267" s="19" t="n">
        <v>8.23533850597091</v>
      </c>
      <c r="I267" s="19" t="n">
        <v>819</v>
      </c>
      <c r="J267" s="19" t="n">
        <v>870</v>
      </c>
      <c r="K267" s="19" t="n">
        <v>8.287503246082141</v>
      </c>
    </row>
    <row r="268">
      <c r="A268" s="19" t="n">
        <v>142</v>
      </c>
      <c r="B268" s="19" t="inlineStr">
        <is>
          <t>Kden</t>
        </is>
      </c>
      <c r="C268" s="19" t="inlineStr">
        <is>
          <t>Town</t>
        </is>
      </c>
      <c r="D268" s="19" t="inlineStr">
        <is>
          <t>Loss</t>
        </is>
      </c>
      <c r="E268" s="19" t="n">
        <v>-22</v>
      </c>
      <c r="F268" s="19" t="n">
        <v>25.8348849942867</v>
      </c>
      <c r="G268" s="19" t="n">
        <v>25.492769705727</v>
      </c>
      <c r="H268" s="19" t="n">
        <v>6.72679525397289</v>
      </c>
      <c r="I268" s="19" t="n">
        <v>1069</v>
      </c>
      <c r="J268" s="19" t="n">
        <v>1047</v>
      </c>
      <c r="K268" s="19" t="n">
        <v>6.74732052767823</v>
      </c>
    </row>
    <row r="269">
      <c r="A269" s="19" t="n">
        <v>142</v>
      </c>
      <c r="B269" s="19" t="inlineStr">
        <is>
          <t>Badpants</t>
        </is>
      </c>
      <c r="C269" s="19" t="inlineStr">
        <is>
          <t>Town</t>
        </is>
      </c>
      <c r="D269" s="19" t="inlineStr">
        <is>
          <t>Loss</t>
        </is>
      </c>
      <c r="E269" s="19" t="n">
        <v>-20</v>
      </c>
      <c r="F269" s="19" t="n">
        <v>25.0104746946715</v>
      </c>
      <c r="G269" s="19" t="n">
        <v>24.6938607437516</v>
      </c>
      <c r="H269" s="19" t="n">
        <v>6.47318580660914</v>
      </c>
      <c r="I269" s="19" t="n">
        <v>1039</v>
      </c>
      <c r="J269" s="19" t="n">
        <v>1019</v>
      </c>
      <c r="K269" s="19" t="n">
        <v>6.49046101649754</v>
      </c>
    </row>
    <row r="270">
      <c r="A270" s="19" t="n">
        <v>142</v>
      </c>
      <c r="B270" s="19" t="inlineStr">
        <is>
          <t>Rocker</t>
        </is>
      </c>
      <c r="C270" s="19" t="inlineStr">
        <is>
          <t>Town</t>
        </is>
      </c>
      <c r="D270" s="19" t="inlineStr">
        <is>
          <t>Loss</t>
        </is>
      </c>
      <c r="E270" s="19" t="n">
        <v>-18</v>
      </c>
      <c r="F270" s="19" t="n">
        <v>34.6933151236601</v>
      </c>
      <c r="G270" s="19" t="n">
        <v>34.3974499205721</v>
      </c>
      <c r="H270" s="19" t="n">
        <v>6.25902359915571</v>
      </c>
      <c r="I270" s="19" t="n">
        <v>1719</v>
      </c>
      <c r="J270" s="19" t="n">
        <v>1701</v>
      </c>
      <c r="K270" s="19" t="n">
        <v>6.27371708972877</v>
      </c>
    </row>
    <row r="271">
      <c r="A271" s="19" t="n">
        <v>142</v>
      </c>
      <c r="B271" s="19" t="inlineStr">
        <is>
          <t>Smit</t>
        </is>
      </c>
      <c r="C271" s="19" t="inlineStr">
        <is>
          <t>Town</t>
        </is>
      </c>
      <c r="D271" s="19" t="inlineStr">
        <is>
          <t>Loss</t>
        </is>
      </c>
      <c r="E271" s="19" t="n">
        <v>-20</v>
      </c>
      <c r="F271" s="19" t="n">
        <v>26.2315899149404</v>
      </c>
      <c r="G271" s="19" t="n">
        <v>25.908829363931</v>
      </c>
      <c r="H271" s="19" t="n">
        <v>6.5352421821304</v>
      </c>
      <c r="I271" s="19" t="n">
        <v>1115</v>
      </c>
      <c r="J271" s="19" t="n">
        <v>1095</v>
      </c>
      <c r="K271" s="19" t="n">
        <v>6.55329292630132</v>
      </c>
    </row>
    <row r="272">
      <c r="A272" s="19" t="n">
        <v>142</v>
      </c>
      <c r="B272" s="19" t="inlineStr">
        <is>
          <t>Cyclone</t>
        </is>
      </c>
      <c r="C272" s="19" t="inlineStr">
        <is>
          <t>Town</t>
        </is>
      </c>
      <c r="D272" s="19" t="inlineStr">
        <is>
          <t>Loss</t>
        </is>
      </c>
      <c r="E272" s="19" t="n">
        <v>-26</v>
      </c>
      <c r="F272" s="19" t="n">
        <v>34.3694571464525</v>
      </c>
      <c r="G272" s="19" t="n">
        <v>33.9386058865749</v>
      </c>
      <c r="H272" s="19" t="n">
        <v>7.54099953263435</v>
      </c>
      <c r="I272" s="19" t="n">
        <v>1565</v>
      </c>
      <c r="J272" s="19" t="n">
        <v>1539</v>
      </c>
      <c r="K272" s="19" t="n">
        <v>7.57350954263062</v>
      </c>
    </row>
    <row r="273">
      <c r="A273" s="19" t="n">
        <v>142</v>
      </c>
      <c r="B273" s="19" t="inlineStr">
        <is>
          <t>Strik3r</t>
        </is>
      </c>
      <c r="C273" s="19" t="inlineStr">
        <is>
          <t>Town</t>
        </is>
      </c>
      <c r="D273" s="19" t="inlineStr">
        <is>
          <t>Loss</t>
        </is>
      </c>
      <c r="E273" s="19" t="n">
        <v>-23</v>
      </c>
      <c r="F273" s="19" t="n">
        <v>27.9680060752032</v>
      </c>
      <c r="G273" s="19" t="n">
        <v>27.5955898319823</v>
      </c>
      <c r="H273" s="19" t="n">
        <v>7.01585201008108</v>
      </c>
      <c r="I273" s="19" t="n">
        <v>1184</v>
      </c>
      <c r="J273" s="19" t="n">
        <v>1161</v>
      </c>
      <c r="K273" s="19" t="n">
        <v>7.04035132923463</v>
      </c>
    </row>
    <row r="274">
      <c r="A274" s="19" t="n">
        <v>142</v>
      </c>
      <c r="B274" s="19" t="inlineStr">
        <is>
          <t>Keegan</t>
        </is>
      </c>
      <c r="C274" s="19" t="inlineStr">
        <is>
          <t>Town</t>
        </is>
      </c>
      <c r="D274" s="19" t="inlineStr">
        <is>
          <t>Loss</t>
        </is>
      </c>
      <c r="E274" s="19" t="n">
        <v>-28</v>
      </c>
      <c r="F274" s="19" t="n">
        <v>26.3213541090629</v>
      </c>
      <c r="G274" s="19" t="n">
        <v>25.8544785421121</v>
      </c>
      <c r="H274" s="19" t="n">
        <v>7.84657456964573</v>
      </c>
      <c r="I274" s="19" t="n">
        <v>986</v>
      </c>
      <c r="J274" s="19" t="n">
        <v>958</v>
      </c>
      <c r="K274" s="19" t="n">
        <v>7.88424943066576</v>
      </c>
    </row>
    <row r="275">
      <c r="A275" s="19" t="n">
        <v>142</v>
      </c>
      <c r="B275" s="19" t="inlineStr">
        <is>
          <t>Chelsea</t>
        </is>
      </c>
      <c r="C275" s="19" t="inlineStr">
        <is>
          <t>Town</t>
        </is>
      </c>
      <c r="D275" s="19" t="inlineStr">
        <is>
          <t>Loss</t>
        </is>
      </c>
      <c r="E275" s="19" t="n">
        <v>-25</v>
      </c>
      <c r="F275" s="19" t="n">
        <v>30.4041537291133</v>
      </c>
      <c r="G275" s="19" t="n">
        <v>29.9921461348972</v>
      </c>
      <c r="H275" s="19" t="n">
        <v>7.37589817169763</v>
      </c>
      <c r="I275" s="19" t="n">
        <v>1312</v>
      </c>
      <c r="J275" s="19" t="n">
        <v>1287</v>
      </c>
      <c r="K275" s="19" t="n">
        <v>7.40577511293319</v>
      </c>
    </row>
    <row r="276">
      <c r="A276" s="19" t="n">
        <v>142</v>
      </c>
      <c r="B276" s="19" t="inlineStr">
        <is>
          <t>Ken</t>
        </is>
      </c>
      <c r="C276" s="19" t="inlineStr">
        <is>
          <t>Town</t>
        </is>
      </c>
      <c r="D276" s="19" t="inlineStr">
        <is>
          <t>Loss</t>
        </is>
      </c>
      <c r="E276" s="19" t="n">
        <v>-26</v>
      </c>
      <c r="F276" s="19" t="n">
        <v>26.37965678992</v>
      </c>
      <c r="G276" s="19" t="n">
        <v>25.9466948472753</v>
      </c>
      <c r="H276" s="19" t="n">
        <v>7.55925883735886</v>
      </c>
      <c r="I276" s="19" t="n">
        <v>1019</v>
      </c>
      <c r="J276" s="19" t="n">
        <v>993</v>
      </c>
      <c r="K276" s="19" t="n">
        <v>7.59206672121566</v>
      </c>
    </row>
    <row r="277">
      <c r="A277" s="19" t="n">
        <v>142</v>
      </c>
      <c r="B277" s="19" t="inlineStr">
        <is>
          <t>Jonas</t>
        </is>
      </c>
      <c r="C277" s="19" t="inlineStr">
        <is>
          <t>Town</t>
        </is>
      </c>
      <c r="D277" s="19" t="inlineStr">
        <is>
          <t>Loss</t>
        </is>
      </c>
      <c r="E277" s="19" t="n">
        <v>-31</v>
      </c>
      <c r="F277" s="19" t="n">
        <v>25</v>
      </c>
      <c r="G277" s="19" t="n">
        <v>24.4785026703853</v>
      </c>
      <c r="H277" s="19" t="n">
        <v>8.287503246082141</v>
      </c>
      <c r="I277" s="19" t="n">
        <v>850</v>
      </c>
      <c r="J277" s="19" t="n">
        <v>819</v>
      </c>
      <c r="K277" s="19" t="n">
        <v>8.33333333333333</v>
      </c>
    </row>
    <row r="278">
      <c r="A278" s="19" t="n">
        <v>142</v>
      </c>
      <c r="B278" s="19" t="inlineStr">
        <is>
          <t>Motr</t>
        </is>
      </c>
      <c r="C278" s="19" t="inlineStr">
        <is>
          <t>Mafia</t>
        </is>
      </c>
      <c r="D278" s="19" t="inlineStr">
        <is>
          <t>Win</t>
        </is>
      </c>
      <c r="E278" s="19" t="n">
        <v>29</v>
      </c>
      <c r="F278" s="19" t="n">
        <v>28.8356584227509</v>
      </c>
      <c r="G278" s="19" t="n">
        <v>29.2227891701266</v>
      </c>
      <c r="H278" s="19" t="n">
        <v>7.15186354131434</v>
      </c>
      <c r="I278" s="19" t="n">
        <v>1229</v>
      </c>
      <c r="J278" s="19" t="n">
        <v>1258</v>
      </c>
      <c r="K278" s="19" t="n">
        <v>7.17833700265156</v>
      </c>
    </row>
    <row r="279">
      <c r="A279" s="19" t="n">
        <v>142</v>
      </c>
      <c r="B279" s="19" t="inlineStr">
        <is>
          <t>Iln</t>
        </is>
      </c>
      <c r="C279" s="19" t="inlineStr">
        <is>
          <t>Mafia</t>
        </is>
      </c>
      <c r="D279" s="19" t="inlineStr">
        <is>
          <t>Win</t>
        </is>
      </c>
      <c r="E279" s="19" t="n">
        <v>23</v>
      </c>
      <c r="F279" s="19" t="n">
        <v>32.6965868369968</v>
      </c>
      <c r="G279" s="19" t="n">
        <v>33.0067590952676</v>
      </c>
      <c r="H279" s="19" t="n">
        <v>6.40748539041775</v>
      </c>
      <c r="I279" s="19" t="n">
        <v>1568</v>
      </c>
      <c r="J279" s="19" t="n">
        <v>1591</v>
      </c>
      <c r="K279" s="19" t="n">
        <v>6.42395312332132</v>
      </c>
    </row>
    <row r="280">
      <c r="A280" s="19" t="n">
        <v>142</v>
      </c>
      <c r="B280" s="19" t="inlineStr">
        <is>
          <t>Gilbert</t>
        </is>
      </c>
      <c r="C280" s="19" t="inlineStr">
        <is>
          <t>Mafia</t>
        </is>
      </c>
      <c r="D280" s="19" t="inlineStr">
        <is>
          <t>Win</t>
        </is>
      </c>
      <c r="E280" s="19" t="n">
        <v>28</v>
      </c>
      <c r="F280" s="19" t="n">
        <v>29.4321031383657</v>
      </c>
      <c r="G280" s="19" t="n">
        <v>29.8043109576207</v>
      </c>
      <c r="H280" s="19" t="n">
        <v>7.01390583292142</v>
      </c>
      <c r="I280" s="19" t="n">
        <v>1283</v>
      </c>
      <c r="J280" s="19" t="n">
        <v>1311</v>
      </c>
      <c r="K280" s="19" t="n">
        <v>7.03837739756516</v>
      </c>
    </row>
    <row r="281">
      <c r="A281" s="19" t="n">
        <v>141</v>
      </c>
      <c r="B281" s="19" t="inlineStr">
        <is>
          <t>Mintt</t>
        </is>
      </c>
      <c r="C281" s="19" t="inlineStr">
        <is>
          <t>Town</t>
        </is>
      </c>
      <c r="D281" s="19" t="inlineStr">
        <is>
          <t>Win</t>
        </is>
      </c>
      <c r="E281" s="19" t="n">
        <v>104</v>
      </c>
      <c r="F281" s="19" t="n">
        <v>31.8372463707028</v>
      </c>
      <c r="G281" s="19" t="n">
        <v>33.2955200204201</v>
      </c>
      <c r="H281" s="19" t="n">
        <v>6.85248325683294</v>
      </c>
      <c r="I281" s="19" t="n">
        <v>1461</v>
      </c>
      <c r="J281" s="19" t="n">
        <v>1565</v>
      </c>
      <c r="K281" s="19" t="n">
        <v>6.89739089273947</v>
      </c>
    </row>
    <row r="282">
      <c r="A282" s="19" t="n">
        <v>141</v>
      </c>
      <c r="B282" s="19" t="inlineStr">
        <is>
          <t>Rollo</t>
        </is>
      </c>
      <c r="C282" s="19" t="inlineStr">
        <is>
          <t>Town</t>
        </is>
      </c>
      <c r="D282" s="19" t="inlineStr">
        <is>
          <t>Win</t>
        </is>
      </c>
      <c r="E282" s="19" t="n">
        <v>106</v>
      </c>
      <c r="F282" s="19" t="n">
        <v>35.0763541346112</v>
      </c>
      <c r="G282" s="19" t="n">
        <v>36.5662741601028</v>
      </c>
      <c r="H282" s="19" t="n">
        <v>6.92530550376586</v>
      </c>
      <c r="I282" s="19" t="n">
        <v>1674</v>
      </c>
      <c r="J282" s="19" t="n">
        <v>1780</v>
      </c>
      <c r="K282" s="19" t="n">
        <v>6.97197031069923</v>
      </c>
    </row>
    <row r="283">
      <c r="A283" s="19" t="n">
        <v>141</v>
      </c>
      <c r="B283" s="19" t="inlineStr">
        <is>
          <t>Chipper</t>
        </is>
      </c>
      <c r="C283" s="19" t="inlineStr">
        <is>
          <t>Town</t>
        </is>
      </c>
      <c r="D283" s="19" t="inlineStr">
        <is>
          <t>Win</t>
        </is>
      </c>
      <c r="E283" s="19" t="n">
        <v>104</v>
      </c>
      <c r="F283" s="19" t="n">
        <v>25.9117222355781</v>
      </c>
      <c r="G283" s="19" t="n">
        <v>27.3817777923971</v>
      </c>
      <c r="H283" s="19" t="n">
        <v>6.87969061872283</v>
      </c>
      <c r="I283" s="19" t="n">
        <v>1056</v>
      </c>
      <c r="J283" s="19" t="n">
        <v>1160</v>
      </c>
      <c r="K283" s="19" t="n">
        <v>6.92525056600051</v>
      </c>
    </row>
    <row r="284">
      <c r="A284" s="19" t="n">
        <v>141</v>
      </c>
      <c r="B284" s="19" t="inlineStr">
        <is>
          <t>Gilbert</t>
        </is>
      </c>
      <c r="C284" s="19" t="inlineStr">
        <is>
          <t>Town</t>
        </is>
      </c>
      <c r="D284" s="19" t="inlineStr">
        <is>
          <t>Win</t>
        </is>
      </c>
      <c r="E284" s="19" t="n">
        <v>109</v>
      </c>
      <c r="F284" s="19" t="n">
        <v>27.8923398401347</v>
      </c>
      <c r="G284" s="19" t="n">
        <v>29.4321031383657</v>
      </c>
      <c r="H284" s="19" t="n">
        <v>7.03837739756516</v>
      </c>
      <c r="I284" s="19" t="n">
        <v>1174</v>
      </c>
      <c r="J284" s="19" t="n">
        <v>1283</v>
      </c>
      <c r="K284" s="19" t="n">
        <v>7.08784230606266</v>
      </c>
    </row>
    <row r="285">
      <c r="A285" s="19" t="n">
        <v>141</v>
      </c>
      <c r="B285" s="19" t="inlineStr">
        <is>
          <t>Lofty</t>
        </is>
      </c>
      <c r="C285" s="19" t="inlineStr">
        <is>
          <t>Town</t>
        </is>
      </c>
      <c r="D285" s="19" t="inlineStr">
        <is>
          <t>Win</t>
        </is>
      </c>
      <c r="E285" s="19" t="n">
        <v>130</v>
      </c>
      <c r="F285" s="19" t="n">
        <v>26.160367657812</v>
      </c>
      <c r="G285" s="19" t="n">
        <v>27.9712989321547</v>
      </c>
      <c r="H285" s="19" t="n">
        <v>7.62231362086052</v>
      </c>
      <c r="I285" s="19" t="n">
        <v>995</v>
      </c>
      <c r="J285" s="19" t="n">
        <v>1125</v>
      </c>
      <c r="K285" s="19" t="n">
        <v>7.68769761630646</v>
      </c>
    </row>
    <row r="286">
      <c r="A286" s="19" t="n">
        <v>141</v>
      </c>
      <c r="B286" s="19" t="inlineStr">
        <is>
          <t>Carson</t>
        </is>
      </c>
      <c r="C286" s="19" t="inlineStr">
        <is>
          <t>Town</t>
        </is>
      </c>
      <c r="D286" s="19" t="inlineStr">
        <is>
          <t>Win</t>
        </is>
      </c>
      <c r="E286" s="19" t="n">
        <v>92</v>
      </c>
      <c r="F286" s="19" t="n">
        <v>29.9523576572352</v>
      </c>
      <c r="G286" s="19" t="n">
        <v>31.2557207951016</v>
      </c>
      <c r="H286" s="19" t="n">
        <v>6.48348414186536</v>
      </c>
      <c r="I286" s="19" t="n">
        <v>1372</v>
      </c>
      <c r="J286" s="19" t="n">
        <v>1464</v>
      </c>
      <c r="K286" s="19" t="n">
        <v>6.52002425783038</v>
      </c>
    </row>
    <row r="287">
      <c r="A287" s="19" t="n">
        <v>141</v>
      </c>
      <c r="B287" s="19" t="inlineStr">
        <is>
          <t>Plen</t>
        </is>
      </c>
      <c r="C287" s="19" t="inlineStr">
        <is>
          <t>Town</t>
        </is>
      </c>
      <c r="D287" s="19" t="inlineStr">
        <is>
          <t>Win</t>
        </is>
      </c>
      <c r="E287" s="19" t="n">
        <v>87</v>
      </c>
      <c r="F287" s="19" t="n">
        <v>22.6225074715621</v>
      </c>
      <c r="G287" s="19" t="n">
        <v>23.8625080458499</v>
      </c>
      <c r="H287" s="19" t="n">
        <v>6.32599086984833</v>
      </c>
      <c r="I287" s="19" t="n">
        <v>890</v>
      </c>
      <c r="J287" s="19" t="n">
        <v>977</v>
      </c>
      <c r="K287" s="19" t="n">
        <v>6.35922139328338</v>
      </c>
    </row>
    <row r="288">
      <c r="A288" s="19" t="n">
        <v>141</v>
      </c>
      <c r="B288" s="19" t="inlineStr">
        <is>
          <t>Iln</t>
        </is>
      </c>
      <c r="C288" s="19" t="inlineStr">
        <is>
          <t>Town</t>
        </is>
      </c>
      <c r="D288" s="19" t="inlineStr">
        <is>
          <t>Win</t>
        </is>
      </c>
      <c r="E288" s="19" t="n">
        <v>90</v>
      </c>
      <c r="F288" s="19" t="n">
        <v>31.417367228041</v>
      </c>
      <c r="G288" s="19" t="n">
        <v>32.6965868369968</v>
      </c>
      <c r="H288" s="19" t="n">
        <v>6.42395312332132</v>
      </c>
      <c r="I288" s="19" t="n">
        <v>1478</v>
      </c>
      <c r="J288" s="19" t="n">
        <v>1568</v>
      </c>
      <c r="K288" s="19" t="n">
        <v>6.45922438596522</v>
      </c>
    </row>
    <row r="289">
      <c r="A289" s="19" t="n">
        <v>141</v>
      </c>
      <c r="B289" s="19" t="inlineStr">
        <is>
          <t>Noah</t>
        </is>
      </c>
      <c r="C289" s="19" t="inlineStr">
        <is>
          <t>Town</t>
        </is>
      </c>
      <c r="D289" s="19" t="inlineStr">
        <is>
          <t>Win</t>
        </is>
      </c>
      <c r="E289" s="19" t="n">
        <v>92</v>
      </c>
      <c r="F289" s="19" t="n">
        <v>32.0345004624018</v>
      </c>
      <c r="G289" s="19" t="n">
        <v>33.3258954467811</v>
      </c>
      <c r="H289" s="19" t="n">
        <v>6.4540464964727</v>
      </c>
      <c r="I289" s="19" t="n">
        <v>1516</v>
      </c>
      <c r="J289" s="19" t="n">
        <v>1608</v>
      </c>
      <c r="K289" s="19" t="n">
        <v>6.48995643615526</v>
      </c>
    </row>
    <row r="290">
      <c r="A290" s="19" t="n">
        <v>141</v>
      </c>
      <c r="B290" s="19" t="inlineStr">
        <is>
          <t>Kden</t>
        </is>
      </c>
      <c r="C290" s="19" t="inlineStr">
        <is>
          <t>Town</t>
        </is>
      </c>
      <c r="D290" s="19" t="inlineStr">
        <is>
          <t>Win</t>
        </is>
      </c>
      <c r="E290" s="19" t="n">
        <v>101</v>
      </c>
      <c r="F290" s="19" t="n">
        <v>24.4216852704334</v>
      </c>
      <c r="G290" s="19" t="n">
        <v>25.8348849942867</v>
      </c>
      <c r="H290" s="19" t="n">
        <v>6.74732052767823</v>
      </c>
      <c r="I290" s="19" t="n">
        <v>968</v>
      </c>
      <c r="J290" s="19" t="n">
        <v>1069</v>
      </c>
      <c r="K290" s="19" t="n">
        <v>6.78975329129267</v>
      </c>
    </row>
    <row r="291">
      <c r="A291" s="19" t="n">
        <v>141</v>
      </c>
      <c r="B291" s="19" t="inlineStr">
        <is>
          <t>Cyclone</t>
        </is>
      </c>
      <c r="C291" s="19" t="inlineStr">
        <is>
          <t>Town</t>
        </is>
      </c>
      <c r="D291" s="19" t="inlineStr">
        <is>
          <t>Win</t>
        </is>
      </c>
      <c r="E291" s="19" t="n">
        <v>128</v>
      </c>
      <c r="F291" s="19" t="n">
        <v>32.5820781863502</v>
      </c>
      <c r="G291" s="19" t="n">
        <v>34.3694571464525</v>
      </c>
      <c r="H291" s="19" t="n">
        <v>7.57350954263062</v>
      </c>
      <c r="I291" s="19" t="n">
        <v>1437</v>
      </c>
      <c r="J291" s="19" t="n">
        <v>1565</v>
      </c>
      <c r="K291" s="19" t="n">
        <v>7.63746567712963</v>
      </c>
    </row>
    <row r="292">
      <c r="A292" s="19" t="n">
        <v>141</v>
      </c>
      <c r="B292" s="19" t="inlineStr">
        <is>
          <t>Kwix</t>
        </is>
      </c>
      <c r="C292" s="19" t="inlineStr">
        <is>
          <t>Mafia</t>
        </is>
      </c>
      <c r="D292" s="19" t="inlineStr">
        <is>
          <t>Loss</t>
        </is>
      </c>
      <c r="E292" s="19" t="n">
        <v>-92</v>
      </c>
      <c r="F292" s="19" t="n">
        <v>25.4455406331417</v>
      </c>
      <c r="G292" s="19" t="n">
        <v>24.021575067827</v>
      </c>
      <c r="H292" s="19" t="n">
        <v>6.77259599937343</v>
      </c>
      <c r="I292" s="19" t="n">
        <v>1035</v>
      </c>
      <c r="J292" s="19" t="n">
        <v>943</v>
      </c>
      <c r="K292" s="19" t="n">
        <v>6.81561689783494</v>
      </c>
    </row>
    <row r="293">
      <c r="A293" s="19" t="n">
        <v>141</v>
      </c>
      <c r="B293" s="19" t="inlineStr">
        <is>
          <t>Brownkow</t>
        </is>
      </c>
      <c r="C293" s="19" t="inlineStr">
        <is>
          <t>Mafia</t>
        </is>
      </c>
      <c r="D293" s="19" t="inlineStr">
        <is>
          <t>Loss</t>
        </is>
      </c>
      <c r="E293" s="19" t="n">
        <v>-79</v>
      </c>
      <c r="F293" s="19" t="n">
        <v>35.6043071096409</v>
      </c>
      <c r="G293" s="19" t="n">
        <v>34.3986569406302</v>
      </c>
      <c r="H293" s="19" t="n">
        <v>6.23885873513307</v>
      </c>
      <c r="I293" s="19" t="n">
        <v>1782</v>
      </c>
      <c r="J293" s="19" t="n">
        <v>1703</v>
      </c>
      <c r="K293" s="19" t="n">
        <v>6.27032264180526</v>
      </c>
    </row>
    <row r="294">
      <c r="A294" s="19" t="n">
        <v>141</v>
      </c>
      <c r="B294" s="19" t="inlineStr">
        <is>
          <t>Rocker</t>
        </is>
      </c>
      <c r="C294" s="19" t="inlineStr">
        <is>
          <t>Mafia</t>
        </is>
      </c>
      <c r="D294" s="19" t="inlineStr">
        <is>
          <t>Loss</t>
        </is>
      </c>
      <c r="E294" s="19" t="n">
        <v>-80</v>
      </c>
      <c r="F294" s="19" t="n">
        <v>35.9126474990641</v>
      </c>
      <c r="G294" s="19" t="n">
        <v>34.6933151236601</v>
      </c>
      <c r="H294" s="19" t="n">
        <v>6.27371708972877</v>
      </c>
      <c r="I294" s="19" t="n">
        <v>1799</v>
      </c>
      <c r="J294" s="19" t="n">
        <v>1719</v>
      </c>
      <c r="K294" s="19" t="n">
        <v>6.30588233440009</v>
      </c>
    </row>
    <row r="295">
      <c r="A295" s="19" t="n">
        <v>140</v>
      </c>
      <c r="B295" s="19" t="inlineStr">
        <is>
          <t>Cj</t>
        </is>
      </c>
      <c r="C295" s="19" t="inlineStr">
        <is>
          <t>Town</t>
        </is>
      </c>
      <c r="D295" s="19" t="inlineStr">
        <is>
          <t>Win</t>
        </is>
      </c>
      <c r="E295" s="19" t="n">
        <v>81</v>
      </c>
      <c r="F295" s="19" t="n">
        <v>29.3214113255491</v>
      </c>
      <c r="G295" s="19" t="n">
        <v>30.4401289890265</v>
      </c>
      <c r="H295" s="19" t="n">
        <v>7.40999983168071</v>
      </c>
      <c r="I295" s="19" t="n">
        <v>1233</v>
      </c>
      <c r="J295" s="19" t="n">
        <v>1314</v>
      </c>
      <c r="K295" s="19" t="n">
        <v>7.46332673361743</v>
      </c>
    </row>
    <row r="296">
      <c r="A296" s="19" t="n">
        <v>140</v>
      </c>
      <c r="B296" s="19" t="inlineStr">
        <is>
          <t>Cyclone</t>
        </is>
      </c>
      <c r="C296" s="19" t="inlineStr">
        <is>
          <t>Town</t>
        </is>
      </c>
      <c r="D296" s="19" t="inlineStr">
        <is>
          <t>Win</t>
        </is>
      </c>
      <c r="E296" s="19" t="n">
        <v>87</v>
      </c>
      <c r="F296" s="19" t="n">
        <v>31.3924099068676</v>
      </c>
      <c r="G296" s="19" t="n">
        <v>32.5820781863502</v>
      </c>
      <c r="H296" s="19" t="n">
        <v>7.63746567712963</v>
      </c>
      <c r="I296" s="19" t="n">
        <v>1350</v>
      </c>
      <c r="J296" s="19" t="n">
        <v>1437</v>
      </c>
      <c r="K296" s="19" t="n">
        <v>7.69672681338107</v>
      </c>
    </row>
    <row r="297">
      <c r="A297" s="19" t="n">
        <v>140</v>
      </c>
      <c r="B297" s="19" t="inlineStr">
        <is>
          <t>Steep</t>
        </is>
      </c>
      <c r="C297" s="19" t="inlineStr">
        <is>
          <t>Town</t>
        </is>
      </c>
      <c r="D297" s="19" t="inlineStr">
        <is>
          <t>Win</t>
        </is>
      </c>
      <c r="E297" s="19" t="n">
        <v>101</v>
      </c>
      <c r="F297" s="19" t="n">
        <v>23.8680896816909</v>
      </c>
      <c r="G297" s="19" t="n">
        <v>25.2406841285829</v>
      </c>
      <c r="H297" s="19" t="n">
        <v>8.19285029338317</v>
      </c>
      <c r="I297" s="19" t="n">
        <v>780</v>
      </c>
      <c r="J297" s="19" t="n">
        <v>881</v>
      </c>
      <c r="K297" s="19" t="n">
        <v>8.2681474209644</v>
      </c>
    </row>
    <row r="298">
      <c r="A298" s="19" t="n">
        <v>140</v>
      </c>
      <c r="B298" s="19" t="inlineStr">
        <is>
          <t>Whyin</t>
        </is>
      </c>
      <c r="C298" s="19" t="inlineStr">
        <is>
          <t>Town</t>
        </is>
      </c>
      <c r="D298" s="19" t="inlineStr">
        <is>
          <t>Win</t>
        </is>
      </c>
      <c r="E298" s="19" t="n">
        <v>71</v>
      </c>
      <c r="F298" s="19" t="n">
        <v>30.4696276835692</v>
      </c>
      <c r="G298" s="19" t="n">
        <v>31.4422420489797</v>
      </c>
      <c r="H298" s="19" t="n">
        <v>6.91646119427911</v>
      </c>
      <c r="I298" s="19" t="n">
        <v>1362</v>
      </c>
      <c r="J298" s="19" t="n">
        <v>1433</v>
      </c>
      <c r="K298" s="19" t="n">
        <v>6.95808669780778</v>
      </c>
    </row>
    <row r="299">
      <c r="A299" s="19" t="n">
        <v>140</v>
      </c>
      <c r="B299" s="19" t="inlineStr">
        <is>
          <t>Noah</t>
        </is>
      </c>
      <c r="C299" s="19" t="inlineStr">
        <is>
          <t>Town</t>
        </is>
      </c>
      <c r="D299" s="19" t="inlineStr">
        <is>
          <t>Win</t>
        </is>
      </c>
      <c r="E299" s="19" t="n">
        <v>61</v>
      </c>
      <c r="F299" s="19" t="n">
        <v>31.1795841394819</v>
      </c>
      <c r="G299" s="19" t="n">
        <v>32.0345004624018</v>
      </c>
      <c r="H299" s="19" t="n">
        <v>6.48995643615526</v>
      </c>
      <c r="I299" s="19" t="n">
        <v>1455</v>
      </c>
      <c r="J299" s="19" t="n">
        <v>1516</v>
      </c>
      <c r="K299" s="19" t="n">
        <v>6.52267470933835</v>
      </c>
    </row>
    <row r="300">
      <c r="A300" s="19" t="n">
        <v>140</v>
      </c>
      <c r="B300" s="19" t="inlineStr">
        <is>
          <t>Rocker</t>
        </is>
      </c>
      <c r="C300" s="19" t="inlineStr">
        <is>
          <t>Town</t>
        </is>
      </c>
      <c r="D300" s="19" t="inlineStr">
        <is>
          <t>Win</t>
        </is>
      </c>
      <c r="E300" s="19" t="n">
        <v>58</v>
      </c>
      <c r="F300" s="19" t="n">
        <v>35.1060980195956</v>
      </c>
      <c r="G300" s="19" t="n">
        <v>35.9126474990641</v>
      </c>
      <c r="H300" s="19" t="n">
        <v>6.30588233440009</v>
      </c>
      <c r="I300" s="19" t="n">
        <v>1741</v>
      </c>
      <c r="J300" s="19" t="n">
        <v>1799</v>
      </c>
      <c r="K300" s="19" t="n">
        <v>6.3350766738949</v>
      </c>
    </row>
    <row r="301">
      <c r="A301" s="19" t="n">
        <v>140</v>
      </c>
      <c r="B301" s="19" t="inlineStr">
        <is>
          <t>Carson</t>
        </is>
      </c>
      <c r="C301" s="19" t="inlineStr">
        <is>
          <t>Town</t>
        </is>
      </c>
      <c r="D301" s="19" t="inlineStr">
        <is>
          <t>Win</t>
        </is>
      </c>
      <c r="E301" s="19" t="n">
        <v>62</v>
      </c>
      <c r="F301" s="19" t="n">
        <v>29.0894020011374</v>
      </c>
      <c r="G301" s="19" t="n">
        <v>29.9523576572352</v>
      </c>
      <c r="H301" s="19" t="n">
        <v>6.52002425783038</v>
      </c>
      <c r="I301" s="19" t="n">
        <v>1310</v>
      </c>
      <c r="J301" s="19" t="n">
        <v>1372</v>
      </c>
      <c r="K301" s="19" t="n">
        <v>6.55333599245758</v>
      </c>
    </row>
    <row r="302">
      <c r="A302" s="19" t="n">
        <v>140</v>
      </c>
      <c r="B302" s="19" t="inlineStr">
        <is>
          <t>Siggy</t>
        </is>
      </c>
      <c r="C302" s="19" t="inlineStr">
        <is>
          <t>Town</t>
        </is>
      </c>
      <c r="D302" s="19" t="inlineStr">
        <is>
          <t>Win</t>
        </is>
      </c>
      <c r="E302" s="19" t="n">
        <v>90</v>
      </c>
      <c r="F302" s="19" t="n">
        <v>28.1138089406944</v>
      </c>
      <c r="G302" s="19" t="n">
        <v>29.3448239717735</v>
      </c>
      <c r="H302" s="19" t="n">
        <v>7.76673977149163</v>
      </c>
      <c r="I302" s="19" t="n">
        <v>1113</v>
      </c>
      <c r="J302" s="19" t="n">
        <v>1203</v>
      </c>
      <c r="K302" s="19" t="n">
        <v>7.82953354698631</v>
      </c>
    </row>
    <row r="303">
      <c r="A303" s="19" t="n">
        <v>140</v>
      </c>
      <c r="B303" s="19" t="inlineStr">
        <is>
          <t>Motr</t>
        </is>
      </c>
      <c r="C303" s="19" t="inlineStr">
        <is>
          <t>Town</t>
        </is>
      </c>
      <c r="D303" s="19" t="inlineStr">
        <is>
          <t>Win</t>
        </is>
      </c>
      <c r="E303" s="19" t="n">
        <v>77</v>
      </c>
      <c r="F303" s="19" t="n">
        <v>27.7868516500386</v>
      </c>
      <c r="G303" s="19" t="n">
        <v>28.8356584227509</v>
      </c>
      <c r="H303" s="19" t="n">
        <v>7.17833700265156</v>
      </c>
      <c r="I303" s="19" t="n">
        <v>1152</v>
      </c>
      <c r="J303" s="19" t="n">
        <v>1229</v>
      </c>
      <c r="K303" s="19" t="n">
        <v>7.22597675495888</v>
      </c>
    </row>
    <row r="304">
      <c r="A304" s="19" t="n">
        <v>140</v>
      </c>
      <c r="B304" s="19" t="inlineStr">
        <is>
          <t>Chelsea</t>
        </is>
      </c>
      <c r="C304" s="19" t="inlineStr">
        <is>
          <t>Town</t>
        </is>
      </c>
      <c r="D304" s="19" t="inlineStr">
        <is>
          <t>Win</t>
        </is>
      </c>
      <c r="E304" s="19" t="n">
        <v>81</v>
      </c>
      <c r="F304" s="19" t="n">
        <v>29.2867321703143</v>
      </c>
      <c r="G304" s="19" t="n">
        <v>30.4041537291133</v>
      </c>
      <c r="H304" s="19" t="n">
        <v>7.40577511293319</v>
      </c>
      <c r="I304" s="19" t="n">
        <v>1231</v>
      </c>
      <c r="J304" s="19" t="n">
        <v>1312</v>
      </c>
      <c r="K304" s="19" t="n">
        <v>7.45899512468925</v>
      </c>
    </row>
    <row r="305">
      <c r="A305" s="19" t="n">
        <v>140</v>
      </c>
      <c r="B305" s="19" t="inlineStr">
        <is>
          <t>Gilbert</t>
        </is>
      </c>
      <c r="C305" s="19" t="inlineStr">
        <is>
          <t>Mafia</t>
        </is>
      </c>
      <c r="D305" s="19" t="inlineStr">
        <is>
          <t>Loss</t>
        </is>
      </c>
      <c r="E305" s="19" t="n">
        <v>-65</v>
      </c>
      <c r="F305" s="19" t="n">
        <v>28.9144779241028</v>
      </c>
      <c r="G305" s="19" t="n">
        <v>27.8923398401347</v>
      </c>
      <c r="H305" s="19" t="n">
        <v>7.08784230606266</v>
      </c>
      <c r="I305" s="19" t="n">
        <v>1239</v>
      </c>
      <c r="J305" s="19" t="n">
        <v>1174</v>
      </c>
      <c r="K305" s="19" t="n">
        <v>7.13335500158755</v>
      </c>
    </row>
    <row r="306">
      <c r="A306" s="19" t="n">
        <v>140</v>
      </c>
      <c r="B306" s="19" t="inlineStr">
        <is>
          <t>Plen</t>
        </is>
      </c>
      <c r="C306" s="19" t="inlineStr">
        <is>
          <t>Mafia</t>
        </is>
      </c>
      <c r="D306" s="19" t="inlineStr">
        <is>
          <t>Loss</t>
        </is>
      </c>
      <c r="E306" s="19" t="n">
        <v>-52</v>
      </c>
      <c r="F306" s="19" t="n">
        <v>23.4429220612958</v>
      </c>
      <c r="G306" s="19" t="n">
        <v>22.6225074715621</v>
      </c>
      <c r="H306" s="19" t="n">
        <v>6.35922139328338</v>
      </c>
      <c r="I306" s="19" t="n">
        <v>942</v>
      </c>
      <c r="J306" s="19" t="n">
        <v>890</v>
      </c>
      <c r="K306" s="19" t="n">
        <v>6.38941776527098</v>
      </c>
    </row>
    <row r="307">
      <c r="A307" s="19" t="n">
        <v>140</v>
      </c>
      <c r="B307" s="19" t="inlineStr">
        <is>
          <t>Rollo</t>
        </is>
      </c>
      <c r="C307" s="19" t="inlineStr">
        <is>
          <t>Mafia</t>
        </is>
      </c>
      <c r="D307" s="19" t="inlineStr">
        <is>
          <t>Loss</t>
        </is>
      </c>
      <c r="E307" s="19" t="n">
        <v>-63</v>
      </c>
      <c r="F307" s="19" t="n">
        <v>36.0648683753899</v>
      </c>
      <c r="G307" s="19" t="n">
        <v>35.0763541346112</v>
      </c>
      <c r="H307" s="19" t="n">
        <v>6.97197031069923</v>
      </c>
      <c r="I307" s="19" t="n">
        <v>1737</v>
      </c>
      <c r="J307" s="19" t="n">
        <v>1674</v>
      </c>
      <c r="K307" s="19" t="n">
        <v>7.01483489419569</v>
      </c>
    </row>
    <row r="308">
      <c r="A308" s="19" t="n">
        <v>139</v>
      </c>
      <c r="B308" s="19" t="inlineStr">
        <is>
          <t>Decode</t>
        </is>
      </c>
      <c r="C308" s="19" t="inlineStr">
        <is>
          <t>Town</t>
        </is>
      </c>
      <c r="D308" s="19" t="inlineStr">
        <is>
          <t>Win</t>
        </is>
      </c>
      <c r="E308" s="19" t="n">
        <v>96</v>
      </c>
      <c r="F308" s="19" t="n">
        <v>20.0225298392326</v>
      </c>
      <c r="G308" s="19" t="n">
        <v>21.3346726340559</v>
      </c>
      <c r="H308" s="19" t="n">
        <v>7.68744522210461</v>
      </c>
      <c r="I308" s="19" t="n">
        <v>571</v>
      </c>
      <c r="J308" s="19" t="n">
        <v>667</v>
      </c>
      <c r="K308" s="19" t="n">
        <v>7.74609247798539</v>
      </c>
    </row>
    <row r="309">
      <c r="A309" s="19" t="n">
        <v>139</v>
      </c>
      <c r="B309" s="19" t="inlineStr">
        <is>
          <t>Kden</t>
        </is>
      </c>
      <c r="C309" s="19" t="inlineStr">
        <is>
          <t>Town</t>
        </is>
      </c>
      <c r="D309" s="19" t="inlineStr">
        <is>
          <t>Win</t>
        </is>
      </c>
      <c r="E309" s="19" t="n">
        <v>73</v>
      </c>
      <c r="F309" s="19" t="n">
        <v>23.4019240145375</v>
      </c>
      <c r="G309" s="19" t="n">
        <v>24.4216852704334</v>
      </c>
      <c r="H309" s="19" t="n">
        <v>6.78975329129267</v>
      </c>
      <c r="I309" s="19" t="n">
        <v>895</v>
      </c>
      <c r="J309" s="19" t="n">
        <v>968</v>
      </c>
      <c r="K309" s="19" t="n">
        <v>6.827284096719</v>
      </c>
    </row>
    <row r="310">
      <c r="A310" s="19" t="n">
        <v>139</v>
      </c>
      <c r="B310" s="19" t="inlineStr">
        <is>
          <t>Kwix</t>
        </is>
      </c>
      <c r="C310" s="19" t="inlineStr">
        <is>
          <t>Town</t>
        </is>
      </c>
      <c r="D310" s="19" t="inlineStr">
        <is>
          <t>Win</t>
        </is>
      </c>
      <c r="E310" s="19" t="n">
        <v>74</v>
      </c>
      <c r="F310" s="19" t="n">
        <v>24.4178919769783</v>
      </c>
      <c r="G310" s="19" t="n">
        <v>25.4455406331417</v>
      </c>
      <c r="H310" s="19" t="n">
        <v>6.81561689783494</v>
      </c>
      <c r="I310" s="19" t="n">
        <v>961</v>
      </c>
      <c r="J310" s="19" t="n">
        <v>1035</v>
      </c>
      <c r="K310" s="19" t="n">
        <v>6.85368702780926</v>
      </c>
    </row>
    <row r="311">
      <c r="A311" s="19" t="n">
        <v>139</v>
      </c>
      <c r="B311" s="19" t="inlineStr">
        <is>
          <t>Motr</t>
        </is>
      </c>
      <c r="C311" s="19" t="inlineStr">
        <is>
          <t>Town</t>
        </is>
      </c>
      <c r="D311" s="19" t="inlineStr">
        <is>
          <t>Win</t>
        </is>
      </c>
      <c r="E311" s="19" t="n">
        <v>83</v>
      </c>
      <c r="F311" s="19" t="n">
        <v>26.629816554112</v>
      </c>
      <c r="G311" s="19" t="n">
        <v>27.7868516500386</v>
      </c>
      <c r="H311" s="19" t="n">
        <v>7.22597675495888</v>
      </c>
      <c r="I311" s="19" t="n">
        <v>1069</v>
      </c>
      <c r="J311" s="19" t="n">
        <v>1152</v>
      </c>
      <c r="K311" s="19" t="n">
        <v>7.2731362920248</v>
      </c>
    </row>
    <row r="312">
      <c r="A312" s="19" t="n">
        <v>139</v>
      </c>
      <c r="B312" s="19" t="inlineStr">
        <is>
          <t>Ken</t>
        </is>
      </c>
      <c r="C312" s="19" t="inlineStr">
        <is>
          <t>Town</t>
        </is>
      </c>
      <c r="D312" s="19" t="inlineStr">
        <is>
          <t>Win</t>
        </is>
      </c>
      <c r="E312" s="19" t="n">
        <v>92</v>
      </c>
      <c r="F312" s="19" t="n">
        <v>25.1004117253932</v>
      </c>
      <c r="G312" s="19" t="n">
        <v>26.37965678992</v>
      </c>
      <c r="H312" s="19" t="n">
        <v>7.59206672121566</v>
      </c>
      <c r="I312" s="19" t="n">
        <v>927</v>
      </c>
      <c r="J312" s="19" t="n">
        <v>1019</v>
      </c>
      <c r="K312" s="19" t="n">
        <v>7.64822448113458</v>
      </c>
    </row>
    <row r="313">
      <c r="A313" s="19" t="n">
        <v>139</v>
      </c>
      <c r="B313" s="19" t="inlineStr">
        <is>
          <t>Chelsea</t>
        </is>
      </c>
      <c r="C313" s="19" t="inlineStr">
        <is>
          <t>Town</t>
        </is>
      </c>
      <c r="D313" s="19" t="inlineStr">
        <is>
          <t>Win</t>
        </is>
      </c>
      <c r="E313" s="19" t="n">
        <v>90</v>
      </c>
      <c r="F313" s="19" t="n">
        <v>28.0526535964741</v>
      </c>
      <c r="G313" s="19" t="n">
        <v>29.2867321703143</v>
      </c>
      <c r="H313" s="19" t="n">
        <v>7.45899512468925</v>
      </c>
      <c r="I313" s="19" t="n">
        <v>1141</v>
      </c>
      <c r="J313" s="19" t="n">
        <v>1231</v>
      </c>
      <c r="K313" s="19" t="n">
        <v>7.51178119449036</v>
      </c>
    </row>
    <row r="314">
      <c r="A314" s="19" t="n">
        <v>139</v>
      </c>
      <c r="B314" s="19" t="inlineStr">
        <is>
          <t>Cyclone</t>
        </is>
      </c>
      <c r="C314" s="19" t="inlineStr">
        <is>
          <t>Town</t>
        </is>
      </c>
      <c r="D314" s="19" t="inlineStr">
        <is>
          <t>Win</t>
        </is>
      </c>
      <c r="E314" s="19" t="n">
        <v>96</v>
      </c>
      <c r="F314" s="19" t="n">
        <v>30.0770422787899</v>
      </c>
      <c r="G314" s="19" t="n">
        <v>31.3924099068676</v>
      </c>
      <c r="H314" s="19" t="n">
        <v>7.69672681338107</v>
      </c>
      <c r="I314" s="19" t="n">
        <v>1254</v>
      </c>
      <c r="J314" s="19" t="n">
        <v>1350</v>
      </c>
      <c r="K314" s="19" t="n">
        <v>7.75561962318903</v>
      </c>
    </row>
    <row r="315">
      <c r="A315" s="19" t="n">
        <v>139</v>
      </c>
      <c r="B315" s="19" t="inlineStr">
        <is>
          <t>Brownkow</t>
        </is>
      </c>
      <c r="C315" s="19" t="inlineStr">
        <is>
          <t>Town</t>
        </is>
      </c>
      <c r="D315" s="19" t="inlineStr">
        <is>
          <t>Win</t>
        </is>
      </c>
      <c r="E315" s="19" t="n">
        <v>62</v>
      </c>
      <c r="F315" s="19" t="n">
        <v>34.7362894842098</v>
      </c>
      <c r="G315" s="19" t="n">
        <v>35.6043071096409</v>
      </c>
      <c r="H315" s="19" t="n">
        <v>6.27032264180526</v>
      </c>
      <c r="I315" s="19" t="n">
        <v>1720</v>
      </c>
      <c r="J315" s="19" t="n">
        <v>1782</v>
      </c>
      <c r="K315" s="19" t="n">
        <v>6.29781188752528</v>
      </c>
    </row>
    <row r="316">
      <c r="A316" s="19" t="n">
        <v>139</v>
      </c>
      <c r="B316" s="19" t="inlineStr">
        <is>
          <t>Streety</t>
        </is>
      </c>
      <c r="C316" s="19" t="inlineStr">
        <is>
          <t>Town</t>
        </is>
      </c>
      <c r="D316" s="19" t="inlineStr">
        <is>
          <t>Win</t>
        </is>
      </c>
      <c r="E316" s="19" t="n">
        <v>84</v>
      </c>
      <c r="F316" s="19" t="n">
        <v>32.2016140421705</v>
      </c>
      <c r="G316" s="19" t="n">
        <v>33.360067982601</v>
      </c>
      <c r="H316" s="19" t="n">
        <v>7.2303402223441</v>
      </c>
      <c r="I316" s="19" t="n">
        <v>1447</v>
      </c>
      <c r="J316" s="19" t="n">
        <v>1531</v>
      </c>
      <c r="K316" s="19" t="n">
        <v>7.27760194490535</v>
      </c>
    </row>
    <row r="317">
      <c r="A317" s="19" t="n">
        <v>139</v>
      </c>
      <c r="B317" s="19" t="inlineStr">
        <is>
          <t>Gilbert</t>
        </is>
      </c>
      <c r="C317" s="19" t="inlineStr">
        <is>
          <t>Town</t>
        </is>
      </c>
      <c r="D317" s="19" t="inlineStr">
        <is>
          <t>Win</t>
        </is>
      </c>
      <c r="E317" s="19" t="n">
        <v>82</v>
      </c>
      <c r="F317" s="19" t="n">
        <v>27.7873459012731</v>
      </c>
      <c r="G317" s="19" t="n">
        <v>28.9144779241028</v>
      </c>
      <c r="H317" s="19" t="n">
        <v>7.13335500158755</v>
      </c>
      <c r="I317" s="19" t="n">
        <v>1157</v>
      </c>
      <c r="J317" s="19" t="n">
        <v>1239</v>
      </c>
      <c r="K317" s="19" t="n">
        <v>7.17837351304052</v>
      </c>
    </row>
    <row r="318">
      <c r="A318" s="19" t="n">
        <v>139</v>
      </c>
      <c r="B318" s="19" t="inlineStr">
        <is>
          <t>Iln</t>
        </is>
      </c>
      <c r="C318" s="19" t="inlineStr">
        <is>
          <t>Town</t>
        </is>
      </c>
      <c r="D318" s="19" t="inlineStr">
        <is>
          <t>Win</t>
        </is>
      </c>
      <c r="E318" s="19" t="n">
        <v>66</v>
      </c>
      <c r="F318" s="19" t="n">
        <v>30.4956295943468</v>
      </c>
      <c r="G318" s="19" t="n">
        <v>31.417367228041</v>
      </c>
      <c r="H318" s="19" t="n">
        <v>6.45922438596522</v>
      </c>
      <c r="I318" s="19" t="n">
        <v>1412</v>
      </c>
      <c r="J318" s="19" t="n">
        <v>1478</v>
      </c>
      <c r="K318" s="19" t="n">
        <v>6.49019563290879</v>
      </c>
    </row>
    <row r="319">
      <c r="A319" s="19" t="n">
        <v>139</v>
      </c>
      <c r="B319" s="19" t="inlineStr">
        <is>
          <t>Lou</t>
        </is>
      </c>
      <c r="C319" s="19" t="inlineStr">
        <is>
          <t>Mafia</t>
        </is>
      </c>
      <c r="D319" s="19" t="inlineStr">
        <is>
          <t>Loss</t>
        </is>
      </c>
      <c r="E319" s="19" t="n">
        <v>-59</v>
      </c>
      <c r="F319" s="19" t="n">
        <v>30.7318961476038</v>
      </c>
      <c r="G319" s="19" t="n">
        <v>29.8143577076288</v>
      </c>
      <c r="H319" s="19" t="n">
        <v>6.44466710501081</v>
      </c>
      <c r="I319" s="19" t="n">
        <v>1429</v>
      </c>
      <c r="J319" s="19" t="n">
        <v>1370</v>
      </c>
      <c r="K319" s="19" t="n">
        <v>6.47536328667401</v>
      </c>
    </row>
    <row r="320">
      <c r="A320" s="19" t="n">
        <v>139</v>
      </c>
      <c r="B320" s="19" t="inlineStr">
        <is>
          <t>Smit</t>
        </is>
      </c>
      <c r="C320" s="19" t="inlineStr">
        <is>
          <t>Mafia</t>
        </is>
      </c>
      <c r="D320" s="19" t="inlineStr">
        <is>
          <t>Loss</t>
        </is>
      </c>
      <c r="E320" s="19" t="n">
        <v>-62</v>
      </c>
      <c r="F320" s="19" t="n">
        <v>27.1807021546698</v>
      </c>
      <c r="G320" s="19" t="n">
        <v>26.2315899149404</v>
      </c>
      <c r="H320" s="19" t="n">
        <v>6.55329292630132</v>
      </c>
      <c r="I320" s="19" t="n">
        <v>1177</v>
      </c>
      <c r="J320" s="19" t="n">
        <v>1115</v>
      </c>
      <c r="K320" s="19" t="n">
        <v>6.58606930332698</v>
      </c>
    </row>
    <row r="321">
      <c r="A321" s="19" t="n">
        <v>139</v>
      </c>
      <c r="B321" s="19" t="inlineStr">
        <is>
          <t>Badpants</t>
        </is>
      </c>
      <c r="C321" s="19" t="inlineStr">
        <is>
          <t>Mafia</t>
        </is>
      </c>
      <c r="D321" s="19" t="inlineStr">
        <is>
          <t>Loss</t>
        </is>
      </c>
      <c r="E321" s="19" t="n">
        <v>-60</v>
      </c>
      <c r="F321" s="19" t="n">
        <v>25.9412563722612</v>
      </c>
      <c r="G321" s="19" t="n">
        <v>25.0104746946715</v>
      </c>
      <c r="H321" s="19" t="n">
        <v>6.49046101649754</v>
      </c>
      <c r="I321" s="19" t="n">
        <v>1099</v>
      </c>
      <c r="J321" s="19" t="n">
        <v>1039</v>
      </c>
      <c r="K321" s="19" t="n">
        <v>6.5220263472953</v>
      </c>
    </row>
    <row r="322">
      <c r="A322" s="19" t="n">
        <v>138</v>
      </c>
      <c r="B322" s="19" t="inlineStr">
        <is>
          <t>Maz</t>
        </is>
      </c>
      <c r="C322" s="19" t="inlineStr">
        <is>
          <t>Town</t>
        </is>
      </c>
      <c r="D322" s="19" t="inlineStr">
        <is>
          <t>Loss</t>
        </is>
      </c>
      <c r="E322" s="19" t="n">
        <v>-40</v>
      </c>
      <c r="F322" s="19" t="n">
        <v>22.3361985953602</v>
      </c>
      <c r="G322" s="19" t="n">
        <v>21.6789085906495</v>
      </c>
      <c r="H322" s="19" t="n">
        <v>7.91378347493794</v>
      </c>
      <c r="I322" s="19" t="n">
        <v>707</v>
      </c>
      <c r="J322" s="19" t="n">
        <v>667</v>
      </c>
      <c r="K322" s="19" t="n">
        <v>7.96246496393471</v>
      </c>
    </row>
    <row r="323">
      <c r="A323" s="19" t="n">
        <v>138</v>
      </c>
      <c r="B323" s="19" t="inlineStr">
        <is>
          <t>Strik3r</t>
        </is>
      </c>
      <c r="C323" s="19" t="inlineStr">
        <is>
          <t>Town</t>
        </is>
      </c>
      <c r="D323" s="19" t="inlineStr">
        <is>
          <t>Loss</t>
        </is>
      </c>
      <c r="E323" s="19" t="n">
        <v>-32</v>
      </c>
      <c r="F323" s="19" t="n">
        <v>28.4867076326188</v>
      </c>
      <c r="G323" s="19" t="n">
        <v>27.9680060752032</v>
      </c>
      <c r="H323" s="19" t="n">
        <v>7.04035132923463</v>
      </c>
      <c r="I323" s="19" t="n">
        <v>1216</v>
      </c>
      <c r="J323" s="19" t="n">
        <v>1184</v>
      </c>
      <c r="K323" s="19" t="n">
        <v>7.07205161467943</v>
      </c>
    </row>
    <row r="324">
      <c r="A324" s="19" t="n">
        <v>138</v>
      </c>
      <c r="B324" s="19" t="inlineStr">
        <is>
          <t>Carson</t>
        </is>
      </c>
      <c r="C324" s="19" t="inlineStr">
        <is>
          <t>Town</t>
        </is>
      </c>
      <c r="D324" s="19" t="inlineStr">
        <is>
          <t>Loss</t>
        </is>
      </c>
      <c r="E324" s="19" t="n">
        <v>-28</v>
      </c>
      <c r="F324" s="19" t="n">
        <v>29.5381674384125</v>
      </c>
      <c r="G324" s="19" t="n">
        <v>29.0894020011374</v>
      </c>
      <c r="H324" s="19" t="n">
        <v>6.55333599245758</v>
      </c>
      <c r="I324" s="19" t="n">
        <v>1338</v>
      </c>
      <c r="J324" s="19" t="n">
        <v>1310</v>
      </c>
      <c r="K324" s="19" t="n">
        <v>6.57711509677245</v>
      </c>
    </row>
    <row r="325">
      <c r="A325" s="19" t="n">
        <v>138</v>
      </c>
      <c r="B325" s="19" t="inlineStr">
        <is>
          <t>Ken</t>
        </is>
      </c>
      <c r="C325" s="19" t="inlineStr">
        <is>
          <t>Town</t>
        </is>
      </c>
      <c r="D325" s="19" t="inlineStr">
        <is>
          <t>Loss</t>
        </is>
      </c>
      <c r="E325" s="19" t="n">
        <v>-37</v>
      </c>
      <c r="F325" s="19" t="n">
        <v>25.7137642428415</v>
      </c>
      <c r="G325" s="19" t="n">
        <v>25.1004117253932</v>
      </c>
      <c r="H325" s="19" t="n">
        <v>7.64822448113458</v>
      </c>
      <c r="I325" s="19" t="n">
        <v>964</v>
      </c>
      <c r="J325" s="19" t="n">
        <v>927</v>
      </c>
      <c r="K325" s="19" t="n">
        <v>7.69134006839231</v>
      </c>
    </row>
    <row r="326">
      <c r="A326" s="19" t="n">
        <v>138</v>
      </c>
      <c r="B326" s="19" t="inlineStr">
        <is>
          <t>Chelsea</t>
        </is>
      </c>
      <c r="C326" s="19" t="inlineStr">
        <is>
          <t>Town</t>
        </is>
      </c>
      <c r="D326" s="19" t="inlineStr">
        <is>
          <t>Loss</t>
        </is>
      </c>
      <c r="E326" s="19" t="n">
        <v>-36</v>
      </c>
      <c r="F326" s="19" t="n">
        <v>28.6440450787085</v>
      </c>
      <c r="G326" s="19" t="n">
        <v>28.0526535964741</v>
      </c>
      <c r="H326" s="19" t="n">
        <v>7.51178119449036</v>
      </c>
      <c r="I326" s="19" t="n">
        <v>1177</v>
      </c>
      <c r="J326" s="19" t="n">
        <v>1141</v>
      </c>
      <c r="K326" s="19" t="n">
        <v>7.55217773322143</v>
      </c>
    </row>
    <row r="327">
      <c r="A327" s="19" t="n">
        <v>138</v>
      </c>
      <c r="B327" s="19" t="inlineStr">
        <is>
          <t>Brownkow</t>
        </is>
      </c>
      <c r="C327" s="19" t="inlineStr">
        <is>
          <t>Town</t>
        </is>
      </c>
      <c r="D327" s="19" t="inlineStr">
        <is>
          <t>Loss</t>
        </is>
      </c>
      <c r="E327" s="19" t="n">
        <v>-26</v>
      </c>
      <c r="F327" s="19" t="n">
        <v>35.1504419822139</v>
      </c>
      <c r="G327" s="19" t="n">
        <v>34.7362894842098</v>
      </c>
      <c r="H327" s="19" t="n">
        <v>6.29781188752528</v>
      </c>
      <c r="I327" s="19" t="n">
        <v>1746</v>
      </c>
      <c r="J327" s="19" t="n">
        <v>1720</v>
      </c>
      <c r="K327" s="19" t="n">
        <v>6.31783272368637</v>
      </c>
    </row>
    <row r="328">
      <c r="A328" s="19" t="n">
        <v>138</v>
      </c>
      <c r="B328" s="19" t="inlineStr">
        <is>
          <t>Motr</t>
        </is>
      </c>
      <c r="C328" s="19" t="inlineStr">
        <is>
          <t>Town</t>
        </is>
      </c>
      <c r="D328" s="19" t="inlineStr">
        <is>
          <t>Loss</t>
        </is>
      </c>
      <c r="E328" s="19" t="n">
        <v>-34</v>
      </c>
      <c r="F328" s="19" t="n">
        <v>27.1837947469087</v>
      </c>
      <c r="G328" s="19" t="n">
        <v>26.629816554112</v>
      </c>
      <c r="H328" s="19" t="n">
        <v>7.2731362920248</v>
      </c>
      <c r="I328" s="19" t="n">
        <v>1103</v>
      </c>
      <c r="J328" s="19" t="n">
        <v>1069</v>
      </c>
      <c r="K328" s="19" t="n">
        <v>7.3089983142479</v>
      </c>
    </row>
    <row r="329">
      <c r="A329" s="19" t="n">
        <v>138</v>
      </c>
      <c r="B329" s="19" t="inlineStr">
        <is>
          <t>Mintt</t>
        </is>
      </c>
      <c r="C329" s="19" t="inlineStr">
        <is>
          <t>Town</t>
        </is>
      </c>
      <c r="D329" s="19" t="inlineStr">
        <is>
          <t>Loss</t>
        </is>
      </c>
      <c r="E329" s="19" t="n">
        <v>-31</v>
      </c>
      <c r="F329" s="19" t="n">
        <v>32.3348772795197</v>
      </c>
      <c r="G329" s="19" t="n">
        <v>31.8372463707028</v>
      </c>
      <c r="H329" s="19" t="n">
        <v>6.89739089273947</v>
      </c>
      <c r="I329" s="19" t="n">
        <v>1492</v>
      </c>
      <c r="J329" s="19" t="n">
        <v>1461</v>
      </c>
      <c r="K329" s="19" t="n">
        <v>6.92665845082135</v>
      </c>
    </row>
    <row r="330">
      <c r="A330" s="19" t="n">
        <v>138</v>
      </c>
      <c r="B330" s="19" t="inlineStr">
        <is>
          <t>Kwix</t>
        </is>
      </c>
      <c r="C330" s="19" t="inlineStr">
        <is>
          <t>Town</t>
        </is>
      </c>
      <c r="D330" s="19" t="inlineStr">
        <is>
          <t>Loss</t>
        </is>
      </c>
      <c r="E330" s="19" t="n">
        <v>-31</v>
      </c>
      <c r="F330" s="19" t="n">
        <v>24.9091714086285</v>
      </c>
      <c r="G330" s="19" t="n">
        <v>24.4178919769783</v>
      </c>
      <c r="H330" s="19" t="n">
        <v>6.85368702780926</v>
      </c>
      <c r="I330" s="19" t="n">
        <v>992</v>
      </c>
      <c r="J330" s="19" t="n">
        <v>961</v>
      </c>
      <c r="K330" s="19" t="n">
        <v>6.88222908130794</v>
      </c>
    </row>
    <row r="331">
      <c r="A331" s="19" t="n">
        <v>138</v>
      </c>
      <c r="B331" s="19" t="inlineStr">
        <is>
          <t>Iln</t>
        </is>
      </c>
      <c r="C331" s="19" t="inlineStr">
        <is>
          <t>Town</t>
        </is>
      </c>
      <c r="D331" s="19" t="inlineStr">
        <is>
          <t>Loss</t>
        </is>
      </c>
      <c r="E331" s="19" t="n">
        <v>-27</v>
      </c>
      <c r="F331" s="19" t="n">
        <v>30.9357093472136</v>
      </c>
      <c r="G331" s="19" t="n">
        <v>30.4956295943468</v>
      </c>
      <c r="H331" s="19" t="n">
        <v>6.49019563290879</v>
      </c>
      <c r="I331" s="19" t="n">
        <v>1439</v>
      </c>
      <c r="J331" s="19" t="n">
        <v>1412</v>
      </c>
      <c r="K331" s="19" t="n">
        <v>6.51302160014847</v>
      </c>
    </row>
    <row r="332">
      <c r="A332" s="19" t="n">
        <v>138</v>
      </c>
      <c r="B332" s="19" t="inlineStr">
        <is>
          <t>Rocker</t>
        </is>
      </c>
      <c r="C332" s="19" t="inlineStr">
        <is>
          <t>Mafia</t>
        </is>
      </c>
      <c r="D332" s="19" t="inlineStr">
        <is>
          <t>Win</t>
        </is>
      </c>
      <c r="E332" s="19" t="n">
        <v>31</v>
      </c>
      <c r="F332" s="19" t="n">
        <v>34.6869865120307</v>
      </c>
      <c r="G332" s="19" t="n">
        <v>35.1060980195956</v>
      </c>
      <c r="H332" s="19" t="n">
        <v>6.3350766738949</v>
      </c>
      <c r="I332" s="19" t="n">
        <v>1710</v>
      </c>
      <c r="J332" s="19" t="n">
        <v>1741</v>
      </c>
      <c r="K332" s="19" t="n">
        <v>6.35562941428072</v>
      </c>
    </row>
    <row r="333">
      <c r="A333" s="19" t="n">
        <v>138</v>
      </c>
      <c r="B333" s="19" t="inlineStr">
        <is>
          <t>Kden</t>
        </is>
      </c>
      <c r="C333" s="19" t="inlineStr">
        <is>
          <t>Mafia</t>
        </is>
      </c>
      <c r="D333" s="19" t="inlineStr">
        <is>
          <t>Win</t>
        </is>
      </c>
      <c r="E333" s="19" t="n">
        <v>36</v>
      </c>
      <c r="F333" s="19" t="n">
        <v>22.9144613355458</v>
      </c>
      <c r="G333" s="19" t="n">
        <v>23.4019240145375</v>
      </c>
      <c r="H333" s="19" t="n">
        <v>6.827284096719</v>
      </c>
      <c r="I333" s="19" t="n">
        <v>859</v>
      </c>
      <c r="J333" s="19" t="n">
        <v>895</v>
      </c>
      <c r="K333" s="19" t="n">
        <v>6.85539191931216</v>
      </c>
    </row>
    <row r="334">
      <c r="A334" s="19" t="n">
        <v>138</v>
      </c>
      <c r="B334" s="19" t="inlineStr">
        <is>
          <t>Noah</t>
        </is>
      </c>
      <c r="C334" s="19" t="inlineStr">
        <is>
          <t>Mafia</t>
        </is>
      </c>
      <c r="D334" s="19" t="inlineStr">
        <is>
          <t>Win</t>
        </is>
      </c>
      <c r="E334" s="19" t="n">
        <v>33</v>
      </c>
      <c r="F334" s="19" t="n">
        <v>30.7350474147681</v>
      </c>
      <c r="G334" s="19" t="n">
        <v>31.1795841394819</v>
      </c>
      <c r="H334" s="19" t="n">
        <v>6.52267470933835</v>
      </c>
      <c r="I334" s="19" t="n">
        <v>1422</v>
      </c>
      <c r="J334" s="19" t="n">
        <v>1455</v>
      </c>
      <c r="K334" s="19" t="n">
        <v>6.5459889259838</v>
      </c>
    </row>
    <row r="335">
      <c r="A335" s="19" t="n">
        <v>137</v>
      </c>
      <c r="B335" s="19" t="inlineStr">
        <is>
          <t>Strik3r</t>
        </is>
      </c>
      <c r="C335" s="19" t="inlineStr">
        <is>
          <t>Town</t>
        </is>
      </c>
      <c r="D335" s="19" t="inlineStr">
        <is>
          <t>Win</t>
        </is>
      </c>
      <c r="E335" s="19" t="n">
        <v>61</v>
      </c>
      <c r="F335" s="19" t="n">
        <v>27.6503930993665</v>
      </c>
      <c r="G335" s="19" t="n">
        <v>28.4867076326188</v>
      </c>
      <c r="H335" s="19" t="n">
        <v>7.07205161467943</v>
      </c>
      <c r="I335" s="19" t="n">
        <v>1155</v>
      </c>
      <c r="J335" s="19" t="n">
        <v>1216</v>
      </c>
      <c r="K335" s="19" t="n">
        <v>7.11254377927431</v>
      </c>
    </row>
    <row r="336">
      <c r="A336" s="19" t="n">
        <v>137</v>
      </c>
      <c r="B336" s="19" t="inlineStr">
        <is>
          <t>Chelsea</t>
        </is>
      </c>
      <c r="C336" s="19" t="inlineStr">
        <is>
          <t>Town</t>
        </is>
      </c>
      <c r="D336" s="19" t="inlineStr">
        <is>
          <t>Win</t>
        </is>
      </c>
      <c r="E336" s="19" t="n">
        <v>70</v>
      </c>
      <c r="F336" s="19" t="n">
        <v>27.688510566151</v>
      </c>
      <c r="G336" s="19" t="n">
        <v>28.6440450787085</v>
      </c>
      <c r="H336" s="19" t="n">
        <v>7.55217773322143</v>
      </c>
      <c r="I336" s="19" t="n">
        <v>1107</v>
      </c>
      <c r="J336" s="19" t="n">
        <v>1177</v>
      </c>
      <c r="K336" s="19" t="n">
        <v>7.60346435756148</v>
      </c>
    </row>
    <row r="337">
      <c r="A337" s="19" t="n">
        <v>137</v>
      </c>
      <c r="B337" s="19" t="inlineStr">
        <is>
          <t>TCP</t>
        </is>
      </c>
      <c r="C337" s="19" t="inlineStr">
        <is>
          <t>Town</t>
        </is>
      </c>
      <c r="D337" s="19" t="inlineStr">
        <is>
          <t>Win</t>
        </is>
      </c>
      <c r="E337" s="19" t="n">
        <v>76</v>
      </c>
      <c r="F337" s="19" t="n">
        <v>24.5176636728118</v>
      </c>
      <c r="G337" s="19" t="n">
        <v>25.5504669547081</v>
      </c>
      <c r="H337" s="19" t="n">
        <v>7.84676494914004</v>
      </c>
      <c r="I337" s="19" t="n">
        <v>861</v>
      </c>
      <c r="J337" s="19" t="n">
        <v>937</v>
      </c>
      <c r="K337" s="19" t="n">
        <v>7.90537397017649</v>
      </c>
    </row>
    <row r="338">
      <c r="A338" s="19" t="n">
        <v>137</v>
      </c>
      <c r="B338" s="19" t="inlineStr">
        <is>
          <t>Siggy</t>
        </is>
      </c>
      <c r="C338" s="19" t="inlineStr">
        <is>
          <t>Town</t>
        </is>
      </c>
      <c r="D338" s="19" t="inlineStr">
        <is>
          <t>Win</t>
        </is>
      </c>
      <c r="E338" s="19" t="n">
        <v>76</v>
      </c>
      <c r="F338" s="19" t="n">
        <v>27.0856121920989</v>
      </c>
      <c r="G338" s="19" t="n">
        <v>28.1138089406944</v>
      </c>
      <c r="H338" s="19" t="n">
        <v>7.82953354698631</v>
      </c>
      <c r="I338" s="19" t="n">
        <v>1037</v>
      </c>
      <c r="J338" s="19" t="n">
        <v>1113</v>
      </c>
      <c r="K338" s="19" t="n">
        <v>7.88769895527555</v>
      </c>
    </row>
    <row r="339">
      <c r="A339" s="19" t="n">
        <v>137</v>
      </c>
      <c r="B339" s="19" t="inlineStr">
        <is>
          <t>Heckmuffins</t>
        </is>
      </c>
      <c r="C339" s="19" t="inlineStr">
        <is>
          <t>Town</t>
        </is>
      </c>
      <c r="D339" s="19" t="inlineStr">
        <is>
          <t>Win</t>
        </is>
      </c>
      <c r="E339" s="19" t="n">
        <v>78</v>
      </c>
      <c r="F339" s="19" t="n">
        <v>27.8221438436322</v>
      </c>
      <c r="G339" s="19" t="n">
        <v>28.8848964884518</v>
      </c>
      <c r="H339" s="19" t="n">
        <v>7.95782328544965</v>
      </c>
      <c r="I339" s="19" t="n">
        <v>1074</v>
      </c>
      <c r="J339" s="19" t="n">
        <v>1152</v>
      </c>
      <c r="K339" s="19" t="n">
        <v>8.019338109223201</v>
      </c>
    </row>
    <row r="340">
      <c r="A340" s="19" t="n">
        <v>137</v>
      </c>
      <c r="B340" s="19" t="inlineStr">
        <is>
          <t>Gilbert</t>
        </is>
      </c>
      <c r="C340" s="19" t="inlineStr">
        <is>
          <t>Town</t>
        </is>
      </c>
      <c r="D340" s="19" t="inlineStr">
        <is>
          <t>Win</t>
        </is>
      </c>
      <c r="E340" s="19" t="n">
        <v>63</v>
      </c>
      <c r="F340" s="19" t="n">
        <v>26.9253441770769</v>
      </c>
      <c r="G340" s="19" t="n">
        <v>27.7873459012731</v>
      </c>
      <c r="H340" s="19" t="n">
        <v>7.17837351304052</v>
      </c>
      <c r="I340" s="19" t="n">
        <v>1094</v>
      </c>
      <c r="J340" s="19" t="n">
        <v>1157</v>
      </c>
      <c r="K340" s="19" t="n">
        <v>7.22113908118977</v>
      </c>
    </row>
    <row r="341">
      <c r="A341" s="19" t="n">
        <v>137</v>
      </c>
      <c r="B341" s="19" t="inlineStr">
        <is>
          <t>Kwix</t>
        </is>
      </c>
      <c r="C341" s="19" t="inlineStr">
        <is>
          <t>Town</t>
        </is>
      </c>
      <c r="D341" s="19" t="inlineStr">
        <is>
          <t>Win</t>
        </is>
      </c>
      <c r="E341" s="19" t="n">
        <v>58</v>
      </c>
      <c r="F341" s="19" t="n">
        <v>24.1177136657407</v>
      </c>
      <c r="G341" s="19" t="n">
        <v>24.9091714086285</v>
      </c>
      <c r="H341" s="19" t="n">
        <v>6.88222908130794</v>
      </c>
      <c r="I341" s="19" t="n">
        <v>934</v>
      </c>
      <c r="J341" s="19" t="n">
        <v>992</v>
      </c>
      <c r="K341" s="19" t="n">
        <v>6.91882108900564</v>
      </c>
    </row>
    <row r="342">
      <c r="A342" s="19" t="n">
        <v>137</v>
      </c>
      <c r="B342" s="19" t="inlineStr">
        <is>
          <t>Motr</t>
        </is>
      </c>
      <c r="C342" s="19" t="inlineStr">
        <is>
          <t>Town</t>
        </is>
      </c>
      <c r="D342" s="19" t="inlineStr">
        <is>
          <t>Win</t>
        </is>
      </c>
      <c r="E342" s="19" t="n">
        <v>65</v>
      </c>
      <c r="F342" s="19" t="n">
        <v>26.2896796619398</v>
      </c>
      <c r="G342" s="19" t="n">
        <v>27.1837947469087</v>
      </c>
      <c r="H342" s="19" t="n">
        <v>7.3089983142479</v>
      </c>
      <c r="I342" s="19" t="n">
        <v>1038</v>
      </c>
      <c r="J342" s="19" t="n">
        <v>1103</v>
      </c>
      <c r="K342" s="19" t="n">
        <v>7.3546466834581</v>
      </c>
    </row>
    <row r="343">
      <c r="A343" s="19" t="n">
        <v>137</v>
      </c>
      <c r="B343" s="19" t="inlineStr">
        <is>
          <t>Cj</t>
        </is>
      </c>
      <c r="C343" s="19" t="inlineStr">
        <is>
          <t>Town</t>
        </is>
      </c>
      <c r="D343" s="19" t="inlineStr">
        <is>
          <t>Win</t>
        </is>
      </c>
      <c r="E343" s="19" t="n">
        <v>69</v>
      </c>
      <c r="F343" s="19" t="n">
        <v>28.3885649921556</v>
      </c>
      <c r="G343" s="19" t="n">
        <v>29.3214113255491</v>
      </c>
      <c r="H343" s="19" t="n">
        <v>7.46332673361743</v>
      </c>
      <c r="I343" s="19" t="n">
        <v>1164</v>
      </c>
      <c r="J343" s="19" t="n">
        <v>1233</v>
      </c>
      <c r="K343" s="19" t="n">
        <v>7.51251164338722</v>
      </c>
    </row>
    <row r="344">
      <c r="A344" s="19" t="n">
        <v>137</v>
      </c>
      <c r="B344" s="19" t="inlineStr">
        <is>
          <t>Rocker</t>
        </is>
      </c>
      <c r="C344" s="19" t="inlineStr">
        <is>
          <t>Town</t>
        </is>
      </c>
      <c r="D344" s="19" t="inlineStr">
        <is>
          <t>Win</t>
        </is>
      </c>
      <c r="E344" s="19" t="n">
        <v>48</v>
      </c>
      <c r="F344" s="19" t="n">
        <v>34.0132722464182</v>
      </c>
      <c r="G344" s="19" t="n">
        <v>34.6869865120307</v>
      </c>
      <c r="H344" s="19" t="n">
        <v>6.35562941428072</v>
      </c>
      <c r="I344" s="19" t="n">
        <v>1662</v>
      </c>
      <c r="J344" s="19" t="n">
        <v>1710</v>
      </c>
      <c r="K344" s="19" t="n">
        <v>6.38241066174814</v>
      </c>
    </row>
    <row r="345">
      <c r="A345" s="19" t="n">
        <v>137</v>
      </c>
      <c r="B345" s="19" t="inlineStr">
        <is>
          <t>Carson</t>
        </is>
      </c>
      <c r="C345" s="19" t="inlineStr">
        <is>
          <t>Mafia</t>
        </is>
      </c>
      <c r="D345" s="19" t="inlineStr">
        <is>
          <t>Loss</t>
        </is>
      </c>
      <c r="E345" s="19" t="n">
        <v>-46</v>
      </c>
      <c r="F345" s="19" t="n">
        <v>30.260208888568</v>
      </c>
      <c r="G345" s="19" t="n">
        <v>29.5381674384125</v>
      </c>
      <c r="H345" s="19" t="n">
        <v>6.57711509677245</v>
      </c>
      <c r="I345" s="19" t="n">
        <v>1384</v>
      </c>
      <c r="J345" s="19" t="n">
        <v>1338</v>
      </c>
      <c r="K345" s="19" t="n">
        <v>6.60784803167151</v>
      </c>
    </row>
    <row r="346">
      <c r="A346" s="19" t="n">
        <v>137</v>
      </c>
      <c r="B346" s="19" t="inlineStr">
        <is>
          <t>Maz</t>
        </is>
      </c>
      <c r="C346" s="19" t="inlineStr">
        <is>
          <t>Mafia</t>
        </is>
      </c>
      <c r="D346" s="19" t="inlineStr">
        <is>
          <t>Loss</t>
        </is>
      </c>
      <c r="E346" s="19" t="n">
        <v>-66</v>
      </c>
      <c r="F346" s="19" t="n">
        <v>23.4002127742023</v>
      </c>
      <c r="G346" s="19" t="n">
        <v>22.3361985953602</v>
      </c>
      <c r="H346" s="19" t="n">
        <v>7.96246496393471</v>
      </c>
      <c r="I346" s="19" t="n">
        <v>773</v>
      </c>
      <c r="J346" s="19" t="n">
        <v>707</v>
      </c>
      <c r="K346" s="19" t="n">
        <v>8.02410300775955</v>
      </c>
    </row>
    <row r="347">
      <c r="A347" s="19" t="n">
        <v>137</v>
      </c>
      <c r="B347" s="19" t="inlineStr">
        <is>
          <t>Plen</t>
        </is>
      </c>
      <c r="C347" s="19" t="inlineStr">
        <is>
          <t>Mafia</t>
        </is>
      </c>
      <c r="D347" s="19" t="inlineStr">
        <is>
          <t>Loss</t>
        </is>
      </c>
      <c r="E347" s="19" t="n">
        <v>-44</v>
      </c>
      <c r="F347" s="19" t="n">
        <v>24.1238970162683</v>
      </c>
      <c r="G347" s="19" t="n">
        <v>23.4429220612958</v>
      </c>
      <c r="H347" s="19" t="n">
        <v>6.38941776527098</v>
      </c>
      <c r="I347" s="19" t="n">
        <v>986</v>
      </c>
      <c r="J347" s="19" t="n">
        <v>942</v>
      </c>
      <c r="K347" s="19" t="n">
        <v>6.41678602986114</v>
      </c>
    </row>
    <row r="348">
      <c r="A348" s="19" t="n">
        <v>136</v>
      </c>
      <c r="B348" s="19" t="inlineStr">
        <is>
          <t>Motr</t>
        </is>
      </c>
      <c r="C348" s="19" t="inlineStr">
        <is>
          <t>Town</t>
        </is>
      </c>
      <c r="D348" s="19" t="inlineStr">
        <is>
          <t>Loss</t>
        </is>
      </c>
      <c r="E348" s="19" t="n">
        <v>-8</v>
      </c>
      <c r="F348" s="19" t="n">
        <v>26.4387189822282</v>
      </c>
      <c r="G348" s="19" t="n">
        <v>26.2896796619398</v>
      </c>
      <c r="H348" s="19" t="n">
        <v>7.3546466834581</v>
      </c>
      <c r="I348" s="19" t="n">
        <v>1046</v>
      </c>
      <c r="J348" s="19" t="n">
        <v>1038</v>
      </c>
      <c r="K348" s="19" t="n">
        <v>7.36737896031102</v>
      </c>
    </row>
    <row r="349">
      <c r="A349" s="19" t="n">
        <v>136</v>
      </c>
      <c r="B349" s="19" t="inlineStr">
        <is>
          <t>Mintt</t>
        </is>
      </c>
      <c r="C349" s="19" t="inlineStr">
        <is>
          <t>Town</t>
        </is>
      </c>
      <c r="D349" s="19" t="inlineStr">
        <is>
          <t>Loss</t>
        </is>
      </c>
      <c r="E349" s="19" t="n">
        <v>-8</v>
      </c>
      <c r="F349" s="19" t="n">
        <v>32.4669983202537</v>
      </c>
      <c r="G349" s="19" t="n">
        <v>32.3348772795197</v>
      </c>
      <c r="H349" s="19" t="n">
        <v>6.92665845082135</v>
      </c>
      <c r="I349" s="19" t="n">
        <v>1500</v>
      </c>
      <c r="J349" s="19" t="n">
        <v>1492</v>
      </c>
      <c r="K349" s="19" t="n">
        <v>6.93589422319006</v>
      </c>
    </row>
    <row r="350">
      <c r="A350" s="19" t="n">
        <v>136</v>
      </c>
      <c r="B350" s="19" t="inlineStr">
        <is>
          <t>Smit</t>
        </is>
      </c>
      <c r="C350" s="19" t="inlineStr">
        <is>
          <t>Town</t>
        </is>
      </c>
      <c r="D350" s="19" t="inlineStr">
        <is>
          <t>Loss</t>
        </is>
      </c>
      <c r="E350" s="19" t="n">
        <v>-7</v>
      </c>
      <c r="F350" s="19" t="n">
        <v>27.3000973854205</v>
      </c>
      <c r="G350" s="19" t="n">
        <v>27.1807021546698</v>
      </c>
      <c r="H350" s="19" t="n">
        <v>6.58606930332698</v>
      </c>
      <c r="I350" s="19" t="n">
        <v>1184</v>
      </c>
      <c r="J350" s="19" t="n">
        <v>1177</v>
      </c>
      <c r="K350" s="19" t="n">
        <v>6.59275069631516</v>
      </c>
    </row>
    <row r="351">
      <c r="A351" s="19" t="n">
        <v>136</v>
      </c>
      <c r="B351" s="19" t="inlineStr">
        <is>
          <t>Doublea</t>
        </is>
      </c>
      <c r="C351" s="19" t="inlineStr">
        <is>
          <t>Town</t>
        </is>
      </c>
      <c r="D351" s="19" t="inlineStr">
        <is>
          <t>Loss</t>
        </is>
      </c>
      <c r="E351" s="19" t="n">
        <v>-9</v>
      </c>
      <c r="F351" s="19" t="n">
        <v>24.2290913836182</v>
      </c>
      <c r="G351" s="19" t="n">
        <v>24.0780059161478</v>
      </c>
      <c r="H351" s="19" t="n">
        <v>7.404699490995</v>
      </c>
      <c r="I351" s="19" t="n">
        <v>891</v>
      </c>
      <c r="J351" s="19" t="n">
        <v>882</v>
      </c>
      <c r="K351" s="19" t="n">
        <v>7.41786288518018</v>
      </c>
    </row>
    <row r="352">
      <c r="A352" s="19" t="n">
        <v>136</v>
      </c>
      <c r="B352" s="19" t="inlineStr">
        <is>
          <t>Iln</t>
        </is>
      </c>
      <c r="C352" s="19" t="inlineStr">
        <is>
          <t>Town</t>
        </is>
      </c>
      <c r="D352" s="19" t="inlineStr">
        <is>
          <t>Loss</t>
        </is>
      </c>
      <c r="E352" s="19" t="n">
        <v>-8</v>
      </c>
      <c r="F352" s="19" t="n">
        <v>31.0524601676558</v>
      </c>
      <c r="G352" s="19" t="n">
        <v>30.9357093472136</v>
      </c>
      <c r="H352" s="19" t="n">
        <v>6.51302160014847</v>
      </c>
      <c r="I352" s="19" t="n">
        <v>1447</v>
      </c>
      <c r="J352" s="19" t="n">
        <v>1439</v>
      </c>
      <c r="K352" s="19" t="n">
        <v>6.51917965850435</v>
      </c>
    </row>
    <row r="353">
      <c r="A353" s="19" t="n">
        <v>136</v>
      </c>
      <c r="B353" s="19" t="inlineStr">
        <is>
          <t>Lou</t>
        </is>
      </c>
      <c r="C353" s="19" t="inlineStr">
        <is>
          <t>Town</t>
        </is>
      </c>
      <c r="D353" s="19" t="inlineStr">
        <is>
          <t>Loss</t>
        </is>
      </c>
      <c r="E353" s="19" t="n">
        <v>-8</v>
      </c>
      <c r="F353" s="19" t="n">
        <v>30.8472954021167</v>
      </c>
      <c r="G353" s="19" t="n">
        <v>30.7318961476038</v>
      </c>
      <c r="H353" s="19" t="n">
        <v>6.47536328667401</v>
      </c>
      <c r="I353" s="19" t="n">
        <v>1437</v>
      </c>
      <c r="J353" s="19" t="n">
        <v>1429</v>
      </c>
      <c r="K353" s="19" t="n">
        <v>6.48125479345013</v>
      </c>
    </row>
    <row r="354">
      <c r="A354" s="19" t="n">
        <v>136</v>
      </c>
      <c r="B354" s="19" t="inlineStr">
        <is>
          <t>Decode</t>
        </is>
      </c>
      <c r="C354" s="19" t="inlineStr">
        <is>
          <t>Town</t>
        </is>
      </c>
      <c r="D354" s="19" t="inlineStr">
        <is>
          <t>Loss</t>
        </is>
      </c>
      <c r="E354" s="19" t="n">
        <v>-10</v>
      </c>
      <c r="F354" s="19" t="n">
        <v>20.1879496373226</v>
      </c>
      <c r="G354" s="19" t="n">
        <v>20.0225298392326</v>
      </c>
      <c r="H354" s="19" t="n">
        <v>7.74609247798539</v>
      </c>
      <c r="I354" s="19" t="n">
        <v>581</v>
      </c>
      <c r="J354" s="19" t="n">
        <v>571</v>
      </c>
      <c r="K354" s="19" t="n">
        <v>7.76232770001207</v>
      </c>
    </row>
    <row r="355">
      <c r="A355" s="19" t="n">
        <v>136</v>
      </c>
      <c r="B355" s="19" t="inlineStr">
        <is>
          <t>Ken</t>
        </is>
      </c>
      <c r="C355" s="19" t="inlineStr">
        <is>
          <t>Town</t>
        </is>
      </c>
      <c r="D355" s="19" t="inlineStr">
        <is>
          <t>Loss</t>
        </is>
      </c>
      <c r="E355" s="19" t="n">
        <v>-10</v>
      </c>
      <c r="F355" s="19" t="n">
        <v>25.8768406427208</v>
      </c>
      <c r="G355" s="19" t="n">
        <v>25.7137642428415</v>
      </c>
      <c r="H355" s="19" t="n">
        <v>7.69134006839231</v>
      </c>
      <c r="I355" s="19" t="n">
        <v>974</v>
      </c>
      <c r="J355" s="19" t="n">
        <v>964</v>
      </c>
      <c r="K355" s="19" t="n">
        <v>7.70706686386771</v>
      </c>
    </row>
    <row r="356">
      <c r="A356" s="19" t="n">
        <v>136</v>
      </c>
      <c r="B356" s="19" t="inlineStr">
        <is>
          <t>Smit</t>
        </is>
      </c>
      <c r="C356" s="19" t="inlineStr">
        <is>
          <t>Town</t>
        </is>
      </c>
      <c r="D356" s="19" t="inlineStr">
        <is>
          <t>Loss</t>
        </is>
      </c>
      <c r="E356" s="19" t="n">
        <v>-7</v>
      </c>
      <c r="F356" s="19" t="n">
        <v>27.3000973854205</v>
      </c>
      <c r="G356" s="19" t="n">
        <v>27.1807021546698</v>
      </c>
      <c r="H356" s="19" t="n">
        <v>6.58606930332698</v>
      </c>
      <c r="I356" s="19" t="n">
        <v>1184</v>
      </c>
      <c r="J356" s="19" t="n">
        <v>1177</v>
      </c>
      <c r="K356" s="19" t="n">
        <v>6.59275069631516</v>
      </c>
    </row>
    <row r="357">
      <c r="A357" s="19" t="n">
        <v>136</v>
      </c>
      <c r="B357" s="19" t="inlineStr">
        <is>
          <t>Gilbert</t>
        </is>
      </c>
      <c r="C357" s="19" t="inlineStr">
        <is>
          <t>Town</t>
        </is>
      </c>
      <c r="D357" s="19" t="inlineStr">
        <is>
          <t>Loss</t>
        </is>
      </c>
      <c r="E357" s="19" t="n">
        <v>-9</v>
      </c>
      <c r="F357" s="19" t="n">
        <v>27.0689950010138</v>
      </c>
      <c r="G357" s="19" t="n">
        <v>26.9253441770769</v>
      </c>
      <c r="H357" s="19" t="n">
        <v>7.22113908118977</v>
      </c>
      <c r="I357" s="19" t="n">
        <v>1103</v>
      </c>
      <c r="J357" s="19" t="n">
        <v>1094</v>
      </c>
      <c r="K357" s="19" t="n">
        <v>7.23274465464822</v>
      </c>
    </row>
    <row r="358">
      <c r="A358" s="19" t="n">
        <v>136</v>
      </c>
      <c r="B358" s="19" t="inlineStr">
        <is>
          <t>Cyclone</t>
        </is>
      </c>
      <c r="C358" s="19" t="inlineStr">
        <is>
          <t>Mafia</t>
        </is>
      </c>
      <c r="D358" s="19" t="inlineStr">
        <is>
          <t>Win</t>
        </is>
      </c>
      <c r="E358" s="19" t="n">
        <v>13</v>
      </c>
      <c r="F358" s="19" t="n">
        <v>29.9112129828374</v>
      </c>
      <c r="G358" s="19" t="n">
        <v>30.0770422787899</v>
      </c>
      <c r="H358" s="19" t="n">
        <v>7.75561962318903</v>
      </c>
      <c r="I358" s="19" t="n">
        <v>1241</v>
      </c>
      <c r="J358" s="19" t="n">
        <v>1254</v>
      </c>
      <c r="K358" s="19" t="n">
        <v>7.77194394277222</v>
      </c>
    </row>
    <row r="359">
      <c r="A359" s="19" t="n">
        <v>136</v>
      </c>
      <c r="B359" s="19" t="inlineStr">
        <is>
          <t>Badpants</t>
        </is>
      </c>
      <c r="C359" s="19" t="inlineStr">
        <is>
          <t>Mafia</t>
        </is>
      </c>
      <c r="D359" s="19" t="inlineStr">
        <is>
          <t>Win</t>
        </is>
      </c>
      <c r="E359" s="19" t="n">
        <v>9</v>
      </c>
      <c r="F359" s="19" t="n">
        <v>25.8241811894256</v>
      </c>
      <c r="G359" s="19" t="n">
        <v>25.9412563722612</v>
      </c>
      <c r="H359" s="19" t="n">
        <v>6.5220263472953</v>
      </c>
      <c r="I359" s="19" t="n">
        <v>1090</v>
      </c>
      <c r="J359" s="19" t="n">
        <v>1099</v>
      </c>
      <c r="K359" s="19" t="n">
        <v>6.52824846756205</v>
      </c>
    </row>
    <row r="360">
      <c r="A360" s="19" t="n">
        <v>136</v>
      </c>
      <c r="B360" s="19" t="inlineStr">
        <is>
          <t>Brownkow</t>
        </is>
      </c>
      <c r="C360" s="19" t="inlineStr">
        <is>
          <t>Mafia</t>
        </is>
      </c>
      <c r="D360" s="19" t="inlineStr">
        <is>
          <t>Win</t>
        </is>
      </c>
      <c r="E360" s="19" t="n">
        <v>8</v>
      </c>
      <c r="F360" s="19" t="n">
        <v>35.0406102427416</v>
      </c>
      <c r="G360" s="19" t="n">
        <v>35.1504419822139</v>
      </c>
      <c r="H360" s="19" t="n">
        <v>6.31783272368637</v>
      </c>
      <c r="I360" s="19" t="n">
        <v>1738</v>
      </c>
      <c r="J360" s="19" t="n">
        <v>1746</v>
      </c>
      <c r="K360" s="19" t="n">
        <v>6.32263249773426</v>
      </c>
    </row>
    <row r="361">
      <c r="A361" s="19" t="n">
        <v>135</v>
      </c>
      <c r="B361" s="19" t="inlineStr">
        <is>
          <t>Smit</t>
        </is>
      </c>
      <c r="C361" s="19" t="inlineStr">
        <is>
          <t>Town</t>
        </is>
      </c>
      <c r="D361" s="19" t="inlineStr">
        <is>
          <t>Win</t>
        </is>
      </c>
      <c r="E361" s="19" t="n">
        <v>67</v>
      </c>
      <c r="F361" s="19" t="n">
        <v>26.3738883550825</v>
      </c>
      <c r="G361" s="19" t="n">
        <v>27.3000973854205</v>
      </c>
      <c r="H361" s="19" t="n">
        <v>6.59275069631516</v>
      </c>
      <c r="I361" s="19" t="n">
        <v>1117</v>
      </c>
      <c r="J361" s="19" t="n">
        <v>1184</v>
      </c>
      <c r="K361" s="19" t="n">
        <v>6.62771596173739</v>
      </c>
    </row>
    <row r="362">
      <c r="A362" s="19" t="n">
        <v>135</v>
      </c>
      <c r="B362" s="19" t="inlineStr">
        <is>
          <t>Ken</t>
        </is>
      </c>
      <c r="C362" s="19" t="inlineStr">
        <is>
          <t>Town</t>
        </is>
      </c>
      <c r="D362" s="19" t="inlineStr">
        <is>
          <t>Win</t>
        </is>
      </c>
      <c r="E362" s="19" t="n">
        <v>93</v>
      </c>
      <c r="F362" s="19" t="n">
        <v>24.6050436740482</v>
      </c>
      <c r="G362" s="19" t="n">
        <v>25.8768406427208</v>
      </c>
      <c r="H362" s="19" t="n">
        <v>7.70706686386771</v>
      </c>
      <c r="I362" s="19" t="n">
        <v>881</v>
      </c>
      <c r="J362" s="19" t="n">
        <v>974</v>
      </c>
      <c r="K362" s="19" t="n">
        <v>7.76853518404656</v>
      </c>
    </row>
    <row r="363">
      <c r="A363" s="19" t="n">
        <v>135</v>
      </c>
      <c r="B363" s="19" t="inlineStr">
        <is>
          <t>Doublea</t>
        </is>
      </c>
      <c r="C363" s="19" t="inlineStr">
        <is>
          <t>Town</t>
        </is>
      </c>
      <c r="D363" s="19" t="inlineStr">
        <is>
          <t>Win</t>
        </is>
      </c>
      <c r="E363" s="19" t="n">
        <v>86</v>
      </c>
      <c r="F363" s="19" t="n">
        <v>23.0524946842096</v>
      </c>
      <c r="G363" s="19" t="n">
        <v>24.2290913836182</v>
      </c>
      <c r="H363" s="19" t="n">
        <v>7.41786288518018</v>
      </c>
      <c r="I363" s="19" t="n">
        <v>805</v>
      </c>
      <c r="J363" s="19" t="n">
        <v>891</v>
      </c>
      <c r="K363" s="19" t="n">
        <v>7.47167295318701</v>
      </c>
    </row>
    <row r="364">
      <c r="A364" s="19" t="n">
        <v>135</v>
      </c>
      <c r="B364" s="19" t="inlineStr">
        <is>
          <t>Qe</t>
        </is>
      </c>
      <c r="C364" s="19" t="inlineStr">
        <is>
          <t>Town</t>
        </is>
      </c>
      <c r="D364" s="19" t="inlineStr">
        <is>
          <t>Win</t>
        </is>
      </c>
      <c r="E364" s="19" t="n">
        <v>105</v>
      </c>
      <c r="F364" s="19" t="n">
        <v>26.4260588714491</v>
      </c>
      <c r="G364" s="19" t="n">
        <v>27.8664401082269</v>
      </c>
      <c r="H364" s="19" t="n">
        <v>8.192449815819099</v>
      </c>
      <c r="I364" s="19" t="n">
        <v>954</v>
      </c>
      <c r="J364" s="19" t="n">
        <v>1059</v>
      </c>
      <c r="K364" s="19" t="n">
        <v>8.26812188715467</v>
      </c>
    </row>
    <row r="365">
      <c r="A365" s="19" t="n">
        <v>135</v>
      </c>
      <c r="B365" s="19" t="inlineStr">
        <is>
          <t>Badpants</t>
        </is>
      </c>
      <c r="C365" s="19" t="inlineStr">
        <is>
          <t>Town</t>
        </is>
      </c>
      <c r="D365" s="19" t="inlineStr">
        <is>
          <t>Win</t>
        </is>
      </c>
      <c r="E365" s="19" t="n">
        <v>65</v>
      </c>
      <c r="F365" s="19" t="n">
        <v>24.9162346761579</v>
      </c>
      <c r="G365" s="19" t="n">
        <v>25.8241811894256</v>
      </c>
      <c r="H365" s="19" t="n">
        <v>6.52824846756205</v>
      </c>
      <c r="I365" s="19" t="n">
        <v>1025</v>
      </c>
      <c r="J365" s="19" t="n">
        <v>1090</v>
      </c>
      <c r="K365" s="19" t="n">
        <v>6.56191447960771</v>
      </c>
    </row>
    <row r="366">
      <c r="A366" s="19" t="n">
        <v>135</v>
      </c>
      <c r="B366" s="19" t="inlineStr">
        <is>
          <t>Iln</t>
        </is>
      </c>
      <c r="C366" s="19" t="inlineStr">
        <is>
          <t>Town</t>
        </is>
      </c>
      <c r="D366" s="19" t="inlineStr">
        <is>
          <t>Win</t>
        </is>
      </c>
      <c r="E366" s="19" t="n">
        <v>65</v>
      </c>
      <c r="F366" s="19" t="n">
        <v>30.1470661712522</v>
      </c>
      <c r="G366" s="19" t="n">
        <v>31.0524601676558</v>
      </c>
      <c r="H366" s="19" t="n">
        <v>6.51917965850435</v>
      </c>
      <c r="I366" s="19" t="n">
        <v>1382</v>
      </c>
      <c r="J366" s="19" t="n">
        <v>1447</v>
      </c>
      <c r="K366" s="19" t="n">
        <v>6.55266490154182</v>
      </c>
    </row>
    <row r="367">
      <c r="A367" s="19" t="n">
        <v>135</v>
      </c>
      <c r="B367" s="19" t="inlineStr">
        <is>
          <t>Lou</t>
        </is>
      </c>
      <c r="C367" s="19" t="inlineStr">
        <is>
          <t>Town</t>
        </is>
      </c>
      <c r="D367" s="19" t="inlineStr">
        <is>
          <t>Win</t>
        </is>
      </c>
      <c r="E367" s="19" t="n">
        <v>65</v>
      </c>
      <c r="F367" s="19" t="n">
        <v>29.9525353856442</v>
      </c>
      <c r="G367" s="19" t="n">
        <v>30.8472954021167</v>
      </c>
      <c r="H367" s="19" t="n">
        <v>6.48125479345013</v>
      </c>
      <c r="I367" s="19" t="n">
        <v>1372</v>
      </c>
      <c r="J367" s="19" t="n">
        <v>1437</v>
      </c>
      <c r="K367" s="19" t="n">
        <v>6.51398911873716</v>
      </c>
    </row>
    <row r="368">
      <c r="A368" s="19" t="n">
        <v>135</v>
      </c>
      <c r="B368" s="19" t="inlineStr">
        <is>
          <t>Brownkow</t>
        </is>
      </c>
      <c r="C368" s="19" t="inlineStr">
        <is>
          <t>Town</t>
        </is>
      </c>
      <c r="D368" s="19" t="inlineStr">
        <is>
          <t>Win</t>
        </is>
      </c>
      <c r="E368" s="19" t="n">
        <v>61</v>
      </c>
      <c r="F368" s="19" t="n">
        <v>34.189621789309</v>
      </c>
      <c r="G368" s="19" t="n">
        <v>35.0406102427416</v>
      </c>
      <c r="H368" s="19" t="n">
        <v>6.32263249773426</v>
      </c>
      <c r="I368" s="19" t="n">
        <v>1677</v>
      </c>
      <c r="J368" s="19" t="n">
        <v>1738</v>
      </c>
      <c r="K368" s="19" t="n">
        <v>6.35231296094649</v>
      </c>
    </row>
    <row r="369">
      <c r="A369" s="19" t="n">
        <v>135</v>
      </c>
      <c r="B369" s="19" t="inlineStr">
        <is>
          <t>Chelsea</t>
        </is>
      </c>
      <c r="C369" s="19" t="inlineStr">
        <is>
          <t>Town</t>
        </is>
      </c>
      <c r="D369" s="19" t="inlineStr">
        <is>
          <t>Win</t>
        </is>
      </c>
      <c r="E369" s="19" t="n">
        <v>90</v>
      </c>
      <c r="F369" s="19" t="n">
        <v>26.4512653643589</v>
      </c>
      <c r="G369" s="19" t="n">
        <v>27.688510566151</v>
      </c>
      <c r="H369" s="19" t="n">
        <v>7.60346435756148</v>
      </c>
      <c r="I369" s="19" t="n">
        <v>1017</v>
      </c>
      <c r="J369" s="19" t="n">
        <v>1107</v>
      </c>
      <c r="K369" s="19" t="n">
        <v>7.66212247663555</v>
      </c>
    </row>
    <row r="370">
      <c r="A370" s="19" t="n">
        <v>135</v>
      </c>
      <c r="B370" s="19" t="inlineStr">
        <is>
          <t>Decode</t>
        </is>
      </c>
      <c r="C370" s="19" t="inlineStr">
        <is>
          <t>Town</t>
        </is>
      </c>
      <c r="D370" s="19" t="inlineStr">
        <is>
          <t>Win</t>
        </is>
      </c>
      <c r="E370" s="19" t="n">
        <v>94</v>
      </c>
      <c r="F370" s="19" t="n">
        <v>18.8975178772613</v>
      </c>
      <c r="G370" s="19" t="n">
        <v>20.1879496373226</v>
      </c>
      <c r="H370" s="19" t="n">
        <v>7.76232770001207</v>
      </c>
      <c r="I370" s="19" t="n">
        <v>487</v>
      </c>
      <c r="J370" s="19" t="n">
        <v>581</v>
      </c>
      <c r="K370" s="19" t="n">
        <v>7.82532605618317</v>
      </c>
    </row>
    <row r="371">
      <c r="A371" s="19" t="n">
        <v>135</v>
      </c>
      <c r="B371" s="19" t="inlineStr">
        <is>
          <t>Kden</t>
        </is>
      </c>
      <c r="C371" s="19" t="inlineStr">
        <is>
          <t>Mafia</t>
        </is>
      </c>
      <c r="D371" s="19" t="inlineStr">
        <is>
          <t>Loss</t>
        </is>
      </c>
      <c r="E371" s="19" t="n">
        <v>-64</v>
      </c>
      <c r="F371" s="19" t="n">
        <v>23.9169862890582</v>
      </c>
      <c r="G371" s="19" t="n">
        <v>22.9144613355458</v>
      </c>
      <c r="H371" s="19" t="n">
        <v>6.85539191931216</v>
      </c>
      <c r="I371" s="19" t="n">
        <v>923</v>
      </c>
      <c r="J371" s="19" t="n">
        <v>859</v>
      </c>
      <c r="K371" s="19" t="n">
        <v>6.89589822892455</v>
      </c>
    </row>
    <row r="372">
      <c r="A372" s="19" t="n">
        <v>135</v>
      </c>
      <c r="B372" s="19" t="inlineStr">
        <is>
          <t>Gilbert</t>
        </is>
      </c>
      <c r="C372" s="19" t="inlineStr">
        <is>
          <t>Mafia</t>
        </is>
      </c>
      <c r="D372" s="19" t="inlineStr">
        <is>
          <t>Loss</t>
        </is>
      </c>
      <c r="E372" s="19" t="n">
        <v>-71</v>
      </c>
      <c r="F372" s="19" t="n">
        <v>28.1866925927698</v>
      </c>
      <c r="G372" s="19" t="n">
        <v>27.0689950010138</v>
      </c>
      <c r="H372" s="19" t="n">
        <v>7.23274465464822</v>
      </c>
      <c r="I372" s="19" t="n">
        <v>1174</v>
      </c>
      <c r="J372" s="19" t="n">
        <v>1103</v>
      </c>
      <c r="K372" s="19" t="n">
        <v>7.28195096171277</v>
      </c>
    </row>
    <row r="373">
      <c r="A373" s="19" t="n">
        <v>135</v>
      </c>
      <c r="B373" s="19" t="inlineStr">
        <is>
          <t>Motr</t>
        </is>
      </c>
      <c r="C373" s="19" t="inlineStr">
        <is>
          <t>Mafia</t>
        </is>
      </c>
      <c r="D373" s="19" t="inlineStr">
        <is>
          <t>Loss</t>
        </is>
      </c>
      <c r="E373" s="19" t="n">
        <v>-74</v>
      </c>
      <c r="F373" s="19" t="n">
        <v>27.5990959132333</v>
      </c>
      <c r="G373" s="19" t="n">
        <v>26.4387189822282</v>
      </c>
      <c r="H373" s="19" t="n">
        <v>7.36737896031102</v>
      </c>
      <c r="I373" s="19" t="n">
        <v>1120</v>
      </c>
      <c r="J373" s="19" t="n">
        <v>1046</v>
      </c>
      <c r="K373" s="19" t="n">
        <v>7.41991090824482</v>
      </c>
    </row>
    <row r="374">
      <c r="A374" s="19" t="n">
        <v>134</v>
      </c>
      <c r="B374" s="19" t="inlineStr">
        <is>
          <t>Chester</t>
        </is>
      </c>
      <c r="C374" s="19" t="inlineStr">
        <is>
          <t>Town</t>
        </is>
      </c>
      <c r="D374" s="19" t="inlineStr">
        <is>
          <t>Loss</t>
        </is>
      </c>
      <c r="E374" s="19" t="n">
        <v>-22</v>
      </c>
      <c r="F374" s="19" t="n">
        <v>32.9808848770594</v>
      </c>
      <c r="G374" s="19" t="n">
        <v>32.6205341776882</v>
      </c>
      <c r="H374" s="19" t="n">
        <v>7.05191357457091</v>
      </c>
      <c r="I374" s="19" t="n">
        <v>1521</v>
      </c>
      <c r="J374" s="19" t="n">
        <v>1499</v>
      </c>
      <c r="K374" s="19" t="n">
        <v>7.07640830272334</v>
      </c>
    </row>
    <row r="375">
      <c r="A375" s="19" t="n">
        <v>134</v>
      </c>
      <c r="B375" s="19" t="inlineStr">
        <is>
          <t>Rocker</t>
        </is>
      </c>
      <c r="C375" s="19" t="inlineStr">
        <is>
          <t>Town</t>
        </is>
      </c>
      <c r="D375" s="19" t="inlineStr">
        <is>
          <t>Loss</t>
        </is>
      </c>
      <c r="E375" s="19" t="n">
        <v>-18</v>
      </c>
      <c r="F375" s="19" t="n">
        <v>34.307977375638</v>
      </c>
      <c r="G375" s="19" t="n">
        <v>34.0132722464182</v>
      </c>
      <c r="H375" s="19" t="n">
        <v>6.38241066174814</v>
      </c>
      <c r="I375" s="19" t="n">
        <v>1680</v>
      </c>
      <c r="J375" s="19" t="n">
        <v>1662</v>
      </c>
      <c r="K375" s="19" t="n">
        <v>6.39818944196701</v>
      </c>
    </row>
    <row r="376">
      <c r="A376" s="19" t="n">
        <v>134</v>
      </c>
      <c r="B376" s="19" t="inlineStr">
        <is>
          <t>Kwix</t>
        </is>
      </c>
      <c r="C376" s="19" t="inlineStr">
        <is>
          <t>Town</t>
        </is>
      </c>
      <c r="D376" s="19" t="inlineStr">
        <is>
          <t>Loss</t>
        </is>
      </c>
      <c r="E376" s="19" t="n">
        <v>-22</v>
      </c>
      <c r="F376" s="19" t="n">
        <v>24.4644760882413</v>
      </c>
      <c r="G376" s="19" t="n">
        <v>24.1177136657407</v>
      </c>
      <c r="H376" s="19" t="n">
        <v>6.91882108900564</v>
      </c>
      <c r="I376" s="19" t="n">
        <v>956</v>
      </c>
      <c r="J376" s="19" t="n">
        <v>934</v>
      </c>
      <c r="K376" s="19" t="n">
        <v>6.94146149575822</v>
      </c>
    </row>
    <row r="377">
      <c r="A377" s="19" t="n">
        <v>134</v>
      </c>
      <c r="B377" s="19" t="inlineStr">
        <is>
          <t>Laur</t>
        </is>
      </c>
      <c r="C377" s="19" t="inlineStr">
        <is>
          <t>Town</t>
        </is>
      </c>
      <c r="D377" s="19" t="inlineStr">
        <is>
          <t>Loss</t>
        </is>
      </c>
      <c r="E377" s="19" t="n">
        <v>-19</v>
      </c>
      <c r="F377" s="19" t="n">
        <v>32.7371141903915</v>
      </c>
      <c r="G377" s="19" t="n">
        <v>32.4175132916221</v>
      </c>
      <c r="H377" s="19" t="n">
        <v>6.64451844846739</v>
      </c>
      <c r="I377" s="19" t="n">
        <v>1546</v>
      </c>
      <c r="J377" s="19" t="n">
        <v>1527</v>
      </c>
      <c r="K377" s="19" t="n">
        <v>6.66353108588292</v>
      </c>
    </row>
    <row r="378">
      <c r="A378" s="19" t="n">
        <v>134</v>
      </c>
      <c r="B378" s="19" t="inlineStr">
        <is>
          <t>TCP</t>
        </is>
      </c>
      <c r="C378" s="19" t="inlineStr">
        <is>
          <t>Town</t>
        </is>
      </c>
      <c r="D378" s="19" t="inlineStr">
        <is>
          <t>Loss</t>
        </is>
      </c>
      <c r="E378" s="19" t="n">
        <v>-27</v>
      </c>
      <c r="F378" s="19" t="n">
        <v>24.9715487048524</v>
      </c>
      <c r="G378" s="19" t="n">
        <v>24.5176636728118</v>
      </c>
      <c r="H378" s="19" t="n">
        <v>7.90537397017649</v>
      </c>
      <c r="I378" s="19" t="n">
        <v>888</v>
      </c>
      <c r="J378" s="19" t="n">
        <v>861</v>
      </c>
      <c r="K378" s="19" t="n">
        <v>7.94334710070438</v>
      </c>
    </row>
    <row r="379">
      <c r="A379" s="19" t="n">
        <v>134</v>
      </c>
      <c r="B379" s="19" t="inlineStr">
        <is>
          <t>Kden</t>
        </is>
      </c>
      <c r="C379" s="19" t="inlineStr">
        <is>
          <t>Town</t>
        </is>
      </c>
      <c r="D379" s="19" t="inlineStr">
        <is>
          <t>Loss</t>
        </is>
      </c>
      <c r="E379" s="19" t="n">
        <v>-21</v>
      </c>
      <c r="F379" s="19" t="n">
        <v>24.261435405858</v>
      </c>
      <c r="G379" s="19" t="n">
        <v>23.9169862890582</v>
      </c>
      <c r="H379" s="19" t="n">
        <v>6.89589822892455</v>
      </c>
      <c r="I379" s="19" t="n">
        <v>944</v>
      </c>
      <c r="J379" s="19" t="n">
        <v>923</v>
      </c>
      <c r="K379" s="19" t="n">
        <v>6.91822557692172</v>
      </c>
    </row>
    <row r="380">
      <c r="A380" s="19" t="n">
        <v>134</v>
      </c>
      <c r="B380" s="19" t="inlineStr">
        <is>
          <t>Strik3r</t>
        </is>
      </c>
      <c r="C380" s="19" t="inlineStr">
        <is>
          <t>Town</t>
        </is>
      </c>
      <c r="D380" s="19" t="inlineStr">
        <is>
          <t>Loss</t>
        </is>
      </c>
      <c r="E380" s="19" t="n">
        <v>-22</v>
      </c>
      <c r="F380" s="19" t="n">
        <v>28.0170228262014</v>
      </c>
      <c r="G380" s="19" t="n">
        <v>27.6503930993665</v>
      </c>
      <c r="H380" s="19" t="n">
        <v>7.11254377927431</v>
      </c>
      <c r="I380" s="19" t="n">
        <v>1177</v>
      </c>
      <c r="J380" s="19" t="n">
        <v>1155</v>
      </c>
      <c r="K380" s="19" t="n">
        <v>7.13790428857974</v>
      </c>
    </row>
    <row r="381">
      <c r="A381" s="19" t="n">
        <v>134</v>
      </c>
      <c r="B381" s="19" t="inlineStr">
        <is>
          <t>Plen</t>
        </is>
      </c>
      <c r="C381" s="19" t="inlineStr">
        <is>
          <t>Town</t>
        </is>
      </c>
      <c r="D381" s="19" t="inlineStr">
        <is>
          <t>Loss</t>
        </is>
      </c>
      <c r="E381" s="19" t="n">
        <v>-19</v>
      </c>
      <c r="F381" s="19" t="n">
        <v>24.4218084374799</v>
      </c>
      <c r="G381" s="19" t="n">
        <v>24.1238970162683</v>
      </c>
      <c r="H381" s="19" t="n">
        <v>6.41678602986114</v>
      </c>
      <c r="I381" s="19" t="n">
        <v>1005</v>
      </c>
      <c r="J381" s="19" t="n">
        <v>986</v>
      </c>
      <c r="K381" s="19" t="n">
        <v>6.43297645961562</v>
      </c>
    </row>
    <row r="382">
      <c r="A382" s="19" t="n">
        <v>134</v>
      </c>
      <c r="B382" s="19" t="inlineStr">
        <is>
          <t>Mintt</t>
        </is>
      </c>
      <c r="C382" s="19" t="inlineStr">
        <is>
          <t>Town</t>
        </is>
      </c>
      <c r="D382" s="19" t="inlineStr">
        <is>
          <t>Loss</t>
        </is>
      </c>
      <c r="E382" s="19" t="n">
        <v>-22</v>
      </c>
      <c r="F382" s="19" t="n">
        <v>32.815488871437</v>
      </c>
      <c r="G382" s="19" t="n">
        <v>32.4669983202537</v>
      </c>
      <c r="H382" s="19" t="n">
        <v>6.93589422319006</v>
      </c>
      <c r="I382" s="19" t="n">
        <v>1522</v>
      </c>
      <c r="J382" s="19" t="n">
        <v>1500</v>
      </c>
      <c r="K382" s="19" t="n">
        <v>6.9587689951181</v>
      </c>
    </row>
    <row r="383">
      <c r="A383" s="19" t="n">
        <v>134</v>
      </c>
      <c r="B383" s="19" t="inlineStr">
        <is>
          <t>Iln</t>
        </is>
      </c>
      <c r="C383" s="19" t="inlineStr">
        <is>
          <t>Town</t>
        </is>
      </c>
      <c r="D383" s="19" t="inlineStr">
        <is>
          <t>Loss</t>
        </is>
      </c>
      <c r="E383" s="19" t="n">
        <v>-19</v>
      </c>
      <c r="F383" s="19" t="n">
        <v>30.4578250496427</v>
      </c>
      <c r="G383" s="19" t="n">
        <v>30.1470661712522</v>
      </c>
      <c r="H383" s="19" t="n">
        <v>6.55266490154182</v>
      </c>
      <c r="I383" s="19" t="n">
        <v>1401</v>
      </c>
      <c r="J383" s="19" t="n">
        <v>1382</v>
      </c>
      <c r="K383" s="19" t="n">
        <v>6.57051908603551</v>
      </c>
    </row>
    <row r="384">
      <c r="A384" s="19" t="n">
        <v>134</v>
      </c>
      <c r="B384" s="19" t="inlineStr">
        <is>
          <t>Gilbert</t>
        </is>
      </c>
      <c r="C384" s="19" t="inlineStr">
        <is>
          <t>Mafia</t>
        </is>
      </c>
      <c r="D384" s="19" t="inlineStr">
        <is>
          <t>Win</t>
        </is>
      </c>
      <c r="E384" s="19" t="n">
        <v>29</v>
      </c>
      <c r="F384" s="19" t="n">
        <v>27.8022231097644</v>
      </c>
      <c r="G384" s="19" t="n">
        <v>28.1866925927698</v>
      </c>
      <c r="H384" s="19" t="n">
        <v>7.28195096171277</v>
      </c>
      <c r="I384" s="19" t="n">
        <v>1145</v>
      </c>
      <c r="J384" s="19" t="n">
        <v>1174</v>
      </c>
      <c r="K384" s="19" t="n">
        <v>7.30980206370305</v>
      </c>
    </row>
    <row r="385">
      <c r="A385" s="19" t="n">
        <v>134</v>
      </c>
      <c r="B385" s="19" t="inlineStr">
        <is>
          <t>Rollo</t>
        </is>
      </c>
      <c r="C385" s="19" t="inlineStr">
        <is>
          <t>Mafia</t>
        </is>
      </c>
      <c r="D385" s="19" t="inlineStr">
        <is>
          <t>Win</t>
        </is>
      </c>
      <c r="E385" s="19" t="n">
        <v>27</v>
      </c>
      <c r="F385" s="19" t="n">
        <v>35.7083302106887</v>
      </c>
      <c r="G385" s="19" t="n">
        <v>36.0648683753899</v>
      </c>
      <c r="H385" s="19" t="n">
        <v>7.01483489419569</v>
      </c>
      <c r="I385" s="19" t="n">
        <v>1710</v>
      </c>
      <c r="J385" s="19" t="n">
        <v>1737</v>
      </c>
      <c r="K385" s="19" t="n">
        <v>7.03880668308192</v>
      </c>
    </row>
    <row r="386">
      <c r="A386" s="19" t="n">
        <v>134</v>
      </c>
      <c r="B386" s="19" t="inlineStr">
        <is>
          <t>Noah</t>
        </is>
      </c>
      <c r="C386" s="19" t="inlineStr">
        <is>
          <t>Mafia</t>
        </is>
      </c>
      <c r="D386" s="19" t="inlineStr">
        <is>
          <t>Win</t>
        </is>
      </c>
      <c r="E386" s="19" t="n">
        <v>23</v>
      </c>
      <c r="F386" s="19" t="n">
        <v>30.4249262341474</v>
      </c>
      <c r="G386" s="19" t="n">
        <v>30.7350474147681</v>
      </c>
      <c r="H386" s="19" t="n">
        <v>6.5459889259838</v>
      </c>
      <c r="I386" s="19" t="n">
        <v>1399</v>
      </c>
      <c r="J386" s="19" t="n">
        <v>1422</v>
      </c>
      <c r="K386" s="19" t="n">
        <v>6.56375998550527</v>
      </c>
    </row>
    <row r="387">
      <c r="A387" s="19" t="n">
        <v>133</v>
      </c>
      <c r="B387" s="19" t="inlineStr">
        <is>
          <t>Lofty</t>
        </is>
      </c>
      <c r="C387" s="19" t="inlineStr">
        <is>
          <t>Town</t>
        </is>
      </c>
      <c r="D387" s="19" t="inlineStr">
        <is>
          <t>Win</t>
        </is>
      </c>
      <c r="E387" s="19" t="n">
        <v>149</v>
      </c>
      <c r="F387" s="19" t="n">
        <v>24.0849031624612</v>
      </c>
      <c r="G387" s="19" t="n">
        <v>26.160367657812</v>
      </c>
      <c r="H387" s="19" t="n">
        <v>7.68769761630646</v>
      </c>
      <c r="I387" s="19" t="n">
        <v>846</v>
      </c>
      <c r="J387" s="19" t="n">
        <v>995</v>
      </c>
      <c r="K387" s="19" t="n">
        <v>7.76106307427093</v>
      </c>
    </row>
    <row r="388">
      <c r="A388" s="19" t="n">
        <v>133</v>
      </c>
      <c r="B388" s="19" t="inlineStr">
        <is>
          <t>Siggy</t>
        </is>
      </c>
      <c r="C388" s="19" t="inlineStr">
        <is>
          <t>Town</t>
        </is>
      </c>
      <c r="D388" s="19" t="inlineStr">
        <is>
          <t>Win</t>
        </is>
      </c>
      <c r="E388" s="19" t="n">
        <v>157</v>
      </c>
      <c r="F388" s="19" t="n">
        <v>24.8983136390294</v>
      </c>
      <c r="G388" s="19" t="n">
        <v>27.0856121920989</v>
      </c>
      <c r="H388" s="19" t="n">
        <v>7.88769895527555</v>
      </c>
      <c r="I388" s="19" t="n">
        <v>880</v>
      </c>
      <c r="J388" s="19" t="n">
        <v>1037</v>
      </c>
      <c r="K388" s="19" t="n">
        <v>7.96772213173156</v>
      </c>
    </row>
    <row r="389">
      <c r="A389" s="19" t="n">
        <v>133</v>
      </c>
      <c r="B389" s="19" t="inlineStr">
        <is>
          <t>Strik3r</t>
        </is>
      </c>
      <c r="C389" s="19" t="inlineStr">
        <is>
          <t>Town</t>
        </is>
      </c>
      <c r="D389" s="19" t="inlineStr">
        <is>
          <t>Win</t>
        </is>
      </c>
      <c r="E389" s="19" t="n">
        <v>127</v>
      </c>
      <c r="F389" s="19" t="n">
        <v>26.2329866857518</v>
      </c>
      <c r="G389" s="19" t="n">
        <v>28.0170228262014</v>
      </c>
      <c r="H389" s="19" t="n">
        <v>7.13790428857974</v>
      </c>
      <c r="I389" s="19" t="n">
        <v>1050</v>
      </c>
      <c r="J389" s="19" t="n">
        <v>1177</v>
      </c>
      <c r="K389" s="19" t="n">
        <v>7.19469479396357</v>
      </c>
    </row>
    <row r="390">
      <c r="A390" s="19" t="n">
        <v>133</v>
      </c>
      <c r="B390" s="19" t="inlineStr">
        <is>
          <t>Crispy</t>
        </is>
      </c>
      <c r="C390" s="19" t="inlineStr">
        <is>
          <t>Town</t>
        </is>
      </c>
      <c r="D390" s="19" t="inlineStr">
        <is>
          <t>Win</t>
        </is>
      </c>
      <c r="E390" s="19" t="n">
        <v>165</v>
      </c>
      <c r="F390" s="19" t="n">
        <v>26.3378268942503</v>
      </c>
      <c r="G390" s="19" t="n">
        <v>28.6292510299881</v>
      </c>
      <c r="H390" s="19" t="n">
        <v>8.0690638484093</v>
      </c>
      <c r="I390" s="19" t="n">
        <v>959</v>
      </c>
      <c r="J390" s="19" t="n">
        <v>1124</v>
      </c>
      <c r="K390" s="19" t="n">
        <v>8.15543023855939</v>
      </c>
    </row>
    <row r="391">
      <c r="A391" s="19" t="n">
        <v>133</v>
      </c>
      <c r="B391" s="19" t="inlineStr">
        <is>
          <t>Rollo</t>
        </is>
      </c>
      <c r="C391" s="19" t="inlineStr">
        <is>
          <t>Town</t>
        </is>
      </c>
      <c r="D391" s="19" t="inlineStr">
        <is>
          <t>Win</t>
        </is>
      </c>
      <c r="E391" s="19" t="n">
        <v>123</v>
      </c>
      <c r="F391" s="19" t="n">
        <v>33.9743499722503</v>
      </c>
      <c r="G391" s="19" t="n">
        <v>35.7083302106887</v>
      </c>
      <c r="H391" s="19" t="n">
        <v>7.03880668308192</v>
      </c>
      <c r="I391" s="19" t="n">
        <v>1587</v>
      </c>
      <c r="J391" s="19" t="n">
        <v>1710</v>
      </c>
      <c r="K391" s="19" t="n">
        <v>7.09286549380716</v>
      </c>
    </row>
    <row r="392">
      <c r="A392" s="19" t="n">
        <v>133</v>
      </c>
      <c r="B392" s="19" t="inlineStr">
        <is>
          <t>Rocker</t>
        </is>
      </c>
      <c r="C392" s="19" t="inlineStr">
        <is>
          <t>Town</t>
        </is>
      </c>
      <c r="D392" s="19" t="inlineStr">
        <is>
          <t>Win</t>
        </is>
      </c>
      <c r="E392" s="19" t="n">
        <v>101</v>
      </c>
      <c r="F392" s="19" t="n">
        <v>32.8795998550172</v>
      </c>
      <c r="G392" s="19" t="n">
        <v>34.307977375638</v>
      </c>
      <c r="H392" s="19" t="n">
        <v>6.39818944196701</v>
      </c>
      <c r="I392" s="19" t="n">
        <v>1579</v>
      </c>
      <c r="J392" s="19" t="n">
        <v>1680</v>
      </c>
      <c r="K392" s="19" t="n">
        <v>6.43632591178251</v>
      </c>
    </row>
    <row r="393">
      <c r="A393" s="19" t="n">
        <v>133</v>
      </c>
      <c r="B393" s="19" t="inlineStr">
        <is>
          <t>Chelsea</t>
        </is>
      </c>
      <c r="C393" s="19" t="inlineStr">
        <is>
          <t>Town</t>
        </is>
      </c>
      <c r="D393" s="19" t="inlineStr">
        <is>
          <t>Win</t>
        </is>
      </c>
      <c r="E393" s="19" t="n">
        <v>147</v>
      </c>
      <c r="F393" s="19" t="n">
        <v>24.3898764450139</v>
      </c>
      <c r="G393" s="19" t="n">
        <v>26.4512653643589</v>
      </c>
      <c r="H393" s="19" t="n">
        <v>7.66212247663555</v>
      </c>
      <c r="I393" s="19" t="n">
        <v>870</v>
      </c>
      <c r="J393" s="19" t="n">
        <v>1017</v>
      </c>
      <c r="K393" s="19" t="n">
        <v>7.73466149956291</v>
      </c>
    </row>
    <row r="394">
      <c r="A394" s="19" t="n">
        <v>133</v>
      </c>
      <c r="B394" s="19" t="inlineStr">
        <is>
          <t>Streety</t>
        </is>
      </c>
      <c r="C394" s="19" t="inlineStr">
        <is>
          <t>Town</t>
        </is>
      </c>
      <c r="D394" s="19" t="inlineStr">
        <is>
          <t>Win</t>
        </is>
      </c>
      <c r="E394" s="19" t="n">
        <v>132</v>
      </c>
      <c r="F394" s="19" t="n">
        <v>30.3457370109036</v>
      </c>
      <c r="G394" s="19" t="n">
        <v>32.2016140421705</v>
      </c>
      <c r="H394" s="19" t="n">
        <v>7.27760194490535</v>
      </c>
      <c r="I394" s="19" t="n">
        <v>1315</v>
      </c>
      <c r="J394" s="19" t="n">
        <v>1447</v>
      </c>
      <c r="K394" s="19" t="n">
        <v>7.3383726906919</v>
      </c>
    </row>
    <row r="395">
      <c r="A395" s="19" t="n">
        <v>133</v>
      </c>
      <c r="B395" s="19" t="inlineStr">
        <is>
          <t>Motr</t>
        </is>
      </c>
      <c r="C395" s="19" t="inlineStr">
        <is>
          <t>Town</t>
        </is>
      </c>
      <c r="D395" s="19" t="inlineStr">
        <is>
          <t>Win</t>
        </is>
      </c>
      <c r="E395" s="19" t="n">
        <v>138</v>
      </c>
      <c r="F395" s="19" t="n">
        <v>25.6684924569795</v>
      </c>
      <c r="G395" s="19" t="n">
        <v>27.5990959132333</v>
      </c>
      <c r="H395" s="19" t="n">
        <v>7.41991090824482</v>
      </c>
      <c r="I395" s="19" t="n">
        <v>982</v>
      </c>
      <c r="J395" s="19" t="n">
        <v>1120</v>
      </c>
      <c r="K395" s="19" t="n">
        <v>7.4848956822792</v>
      </c>
    </row>
    <row r="396">
      <c r="A396" s="19" t="n">
        <v>133</v>
      </c>
      <c r="B396" s="19" t="inlineStr">
        <is>
          <t>Cj</t>
        </is>
      </c>
      <c r="C396" s="19" t="inlineStr">
        <is>
          <t>Town</t>
        </is>
      </c>
      <c r="D396" s="19" t="inlineStr">
        <is>
          <t>Win</t>
        </is>
      </c>
      <c r="E396" s="19" t="n">
        <v>141</v>
      </c>
      <c r="F396" s="19" t="n">
        <v>26.4084973991813</v>
      </c>
      <c r="G396" s="19" t="n">
        <v>28.3885649921556</v>
      </c>
      <c r="H396" s="19" t="n">
        <v>7.51251164338722</v>
      </c>
      <c r="I396" s="19" t="n">
        <v>1023</v>
      </c>
      <c r="J396" s="19" t="n">
        <v>1164</v>
      </c>
      <c r="K396" s="19" t="n">
        <v>7.58032689103184</v>
      </c>
    </row>
    <row r="397">
      <c r="A397" s="19" t="n">
        <v>133</v>
      </c>
      <c r="B397" s="19" t="inlineStr">
        <is>
          <t>Lou</t>
        </is>
      </c>
      <c r="C397" s="19" t="inlineStr">
        <is>
          <t>Mafia</t>
        </is>
      </c>
      <c r="D397" s="19" t="inlineStr">
        <is>
          <t>Loss</t>
        </is>
      </c>
      <c r="E397" s="19" t="n">
        <v>-97</v>
      </c>
      <c r="F397" s="19" t="n">
        <v>31.4338619706312</v>
      </c>
      <c r="G397" s="19" t="n">
        <v>29.9525353856442</v>
      </c>
      <c r="H397" s="19" t="n">
        <v>6.51398911873716</v>
      </c>
      <c r="I397" s="19" t="n">
        <v>1469</v>
      </c>
      <c r="J397" s="19" t="n">
        <v>1372</v>
      </c>
      <c r="K397" s="19" t="n">
        <v>6.55479017829674</v>
      </c>
    </row>
    <row r="398">
      <c r="A398" s="19" t="n">
        <v>133</v>
      </c>
      <c r="B398" s="19" t="inlineStr">
        <is>
          <t>Noah</t>
        </is>
      </c>
      <c r="C398" s="19" t="inlineStr">
        <is>
          <t>Mafia</t>
        </is>
      </c>
      <c r="D398" s="19" t="inlineStr">
        <is>
          <t>Loss</t>
        </is>
      </c>
      <c r="E398" s="19" t="n">
        <v>-98</v>
      </c>
      <c r="F398" s="19" t="n">
        <v>31.9293198546955</v>
      </c>
      <c r="G398" s="19" t="n">
        <v>30.4249262341474</v>
      </c>
      <c r="H398" s="19" t="n">
        <v>6.56375998550527</v>
      </c>
      <c r="I398" s="19" t="n">
        <v>1497</v>
      </c>
      <c r="J398" s="19" t="n">
        <v>1399</v>
      </c>
      <c r="K398" s="19" t="n">
        <v>6.6057343060497</v>
      </c>
    </row>
    <row r="399">
      <c r="A399" s="19" t="n">
        <v>133</v>
      </c>
      <c r="B399" s="19" t="inlineStr">
        <is>
          <t>Carson</t>
        </is>
      </c>
      <c r="C399" s="19" t="inlineStr">
        <is>
          <t>Mafia</t>
        </is>
      </c>
      <c r="D399" s="19" t="inlineStr">
        <is>
          <t>Loss</t>
        </is>
      </c>
      <c r="E399" s="19" t="n">
        <v>-99</v>
      </c>
      <c r="F399" s="19" t="n">
        <v>31.7851914546354</v>
      </c>
      <c r="G399" s="19" t="n">
        <v>30.260208888568</v>
      </c>
      <c r="H399" s="19" t="n">
        <v>6.60784803167151</v>
      </c>
      <c r="I399" s="19" t="n">
        <v>1483</v>
      </c>
      <c r="J399" s="19" t="n">
        <v>1384</v>
      </c>
      <c r="K399" s="19" t="n">
        <v>6.65087592807545</v>
      </c>
    </row>
    <row r="400">
      <c r="A400" s="19" t="n">
        <v>132</v>
      </c>
      <c r="B400" s="19" t="inlineStr">
        <is>
          <t>Lou</t>
        </is>
      </c>
      <c r="C400" s="19" t="inlineStr">
        <is>
          <t>Town</t>
        </is>
      </c>
      <c r="D400" s="19" t="inlineStr">
        <is>
          <t>Win</t>
        </is>
      </c>
      <c r="E400" s="19" t="n">
        <v>35</v>
      </c>
      <c r="F400" s="19" t="n">
        <v>30.9553909601036</v>
      </c>
      <c r="G400" s="19" t="n">
        <v>31.4338619706312</v>
      </c>
      <c r="H400" s="19" t="n">
        <v>6.55479017829674</v>
      </c>
      <c r="I400" s="19" t="n">
        <v>1434</v>
      </c>
      <c r="J400" s="19" t="n">
        <v>1469</v>
      </c>
      <c r="K400" s="19" t="n">
        <v>6.57836721041125</v>
      </c>
    </row>
    <row r="401">
      <c r="A401" s="19" t="n">
        <v>132</v>
      </c>
      <c r="B401" s="19" t="inlineStr">
        <is>
          <t>Brownkow</t>
        </is>
      </c>
      <c r="C401" s="19" t="inlineStr">
        <is>
          <t>Town</t>
        </is>
      </c>
      <c r="D401" s="19" t="inlineStr">
        <is>
          <t>Win</t>
        </is>
      </c>
      <c r="E401" s="19" t="n">
        <v>33</v>
      </c>
      <c r="F401" s="19" t="n">
        <v>33.7405104605382</v>
      </c>
      <c r="G401" s="19" t="n">
        <v>34.189621789309</v>
      </c>
      <c r="H401" s="19" t="n">
        <v>6.35231296094649</v>
      </c>
      <c r="I401" s="19" t="n">
        <v>1644</v>
      </c>
      <c r="J401" s="19" t="n">
        <v>1677</v>
      </c>
      <c r="K401" s="19" t="n">
        <v>6.37290989019804</v>
      </c>
    </row>
    <row r="402">
      <c r="A402" s="19" t="n">
        <v>132</v>
      </c>
      <c r="B402" s="19" t="inlineStr">
        <is>
          <t>Iln</t>
        </is>
      </c>
      <c r="C402" s="19" t="inlineStr">
        <is>
          <t>Town</t>
        </is>
      </c>
      <c r="D402" s="19" t="inlineStr">
        <is>
          <t>Win</t>
        </is>
      </c>
      <c r="E402" s="19" t="n">
        <v>35</v>
      </c>
      <c r="F402" s="19" t="n">
        <v>29.9770333101783</v>
      </c>
      <c r="G402" s="19" t="n">
        <v>30.4578250496427</v>
      </c>
      <c r="H402" s="19" t="n">
        <v>6.57051908603551</v>
      </c>
      <c r="I402" s="19" t="n">
        <v>1366</v>
      </c>
      <c r="J402" s="19" t="n">
        <v>1401</v>
      </c>
      <c r="K402" s="19" t="n">
        <v>6.59433454513173</v>
      </c>
    </row>
    <row r="403">
      <c r="A403" s="19" t="n">
        <v>132</v>
      </c>
      <c r="B403" s="19" t="inlineStr">
        <is>
          <t>Gilbert</t>
        </is>
      </c>
      <c r="C403" s="19" t="inlineStr">
        <is>
          <t>Town</t>
        </is>
      </c>
      <c r="D403" s="19" t="inlineStr">
        <is>
          <t>Win</t>
        </is>
      </c>
      <c r="E403" s="19" t="n">
        <v>44</v>
      </c>
      <c r="F403" s="19" t="n">
        <v>27.2058114076472</v>
      </c>
      <c r="G403" s="19" t="n">
        <v>27.8022231097644</v>
      </c>
      <c r="H403" s="19" t="n">
        <v>7.30980206370305</v>
      </c>
      <c r="I403" s="19" t="n">
        <v>1101</v>
      </c>
      <c r="J403" s="19" t="n">
        <v>1145</v>
      </c>
      <c r="K403" s="19" t="n">
        <v>7.34602940981559</v>
      </c>
    </row>
    <row r="404">
      <c r="A404" s="19" t="n">
        <v>132</v>
      </c>
      <c r="B404" s="19" t="inlineStr">
        <is>
          <t>Hunterxp</t>
        </is>
      </c>
      <c r="C404" s="19" t="inlineStr">
        <is>
          <t>Town</t>
        </is>
      </c>
      <c r="D404" s="19" t="inlineStr">
        <is>
          <t>Win</t>
        </is>
      </c>
      <c r="E404" s="19" t="n">
        <v>52</v>
      </c>
      <c r="F404" s="19" t="n">
        <v>22.0865737401561</v>
      </c>
      <c r="G404" s="19" t="n">
        <v>22.7788984372898</v>
      </c>
      <c r="H404" s="19" t="n">
        <v>7.86830632387902</v>
      </c>
      <c r="I404" s="19" t="n">
        <v>694</v>
      </c>
      <c r="J404" s="19" t="n">
        <v>746</v>
      </c>
      <c r="K404" s="19" t="n">
        <v>7.91561499945983</v>
      </c>
    </row>
    <row r="405">
      <c r="A405" s="19" t="n">
        <v>132</v>
      </c>
      <c r="B405" s="19" t="inlineStr">
        <is>
          <t>Cyclone</t>
        </is>
      </c>
      <c r="C405" s="19" t="inlineStr">
        <is>
          <t>Town</t>
        </is>
      </c>
      <c r="D405" s="19" t="inlineStr">
        <is>
          <t>Win</t>
        </is>
      </c>
      <c r="E405" s="19" t="n">
        <v>50</v>
      </c>
      <c r="F405" s="19" t="n">
        <v>29.2359672402924</v>
      </c>
      <c r="G405" s="19" t="n">
        <v>29.9112129828374</v>
      </c>
      <c r="H405" s="19" t="n">
        <v>7.77194394277222</v>
      </c>
      <c r="I405" s="19" t="n">
        <v>1191</v>
      </c>
      <c r="J405" s="19" t="n">
        <v>1241</v>
      </c>
      <c r="K405" s="19" t="n">
        <v>7.81722817552233</v>
      </c>
    </row>
    <row r="406">
      <c r="A406" s="19" t="n">
        <v>132</v>
      </c>
      <c r="B406" s="19" t="inlineStr">
        <is>
          <t>Chester</t>
        </is>
      </c>
      <c r="C406" s="19" t="inlineStr">
        <is>
          <t>Town</t>
        </is>
      </c>
      <c r="D406" s="19" t="inlineStr">
        <is>
          <t>Win</t>
        </is>
      </c>
      <c r="E406" s="19" t="n">
        <v>41</v>
      </c>
      <c r="F406" s="19" t="n">
        <v>32.4223630122713</v>
      </c>
      <c r="G406" s="19" t="n">
        <v>32.9808848770594</v>
      </c>
      <c r="H406" s="19" t="n">
        <v>7.07640830272334</v>
      </c>
      <c r="I406" s="19" t="n">
        <v>1480</v>
      </c>
      <c r="J406" s="19" t="n">
        <v>1521</v>
      </c>
      <c r="K406" s="19" t="n">
        <v>7.10845313809985</v>
      </c>
    </row>
    <row r="407">
      <c r="A407" s="19" t="n">
        <v>132</v>
      </c>
      <c r="B407" s="19" t="inlineStr">
        <is>
          <t>Motr</t>
        </is>
      </c>
      <c r="C407" s="19" t="inlineStr">
        <is>
          <t>Town</t>
        </is>
      </c>
      <c r="D407" s="19" t="inlineStr">
        <is>
          <t>Win</t>
        </is>
      </c>
      <c r="E407" s="19" t="n">
        <v>47</v>
      </c>
      <c r="F407" s="19" t="n">
        <v>25.042809694045</v>
      </c>
      <c r="G407" s="19" t="n">
        <v>25.6684924569795</v>
      </c>
      <c r="H407" s="19" t="n">
        <v>7.4848956822792</v>
      </c>
      <c r="I407" s="19" t="n">
        <v>935</v>
      </c>
      <c r="J407" s="19" t="n">
        <v>982</v>
      </c>
      <c r="K407" s="19" t="n">
        <v>7.52443026807554</v>
      </c>
    </row>
    <row r="408">
      <c r="A408" s="19" t="n">
        <v>132</v>
      </c>
      <c r="B408" s="19" t="inlineStr">
        <is>
          <t>Laur</t>
        </is>
      </c>
      <c r="C408" s="19" t="inlineStr">
        <is>
          <t>Town</t>
        </is>
      </c>
      <c r="D408" s="19" t="inlineStr">
        <is>
          <t>Win</t>
        </is>
      </c>
      <c r="E408" s="19" t="n">
        <v>36</v>
      </c>
      <c r="F408" s="19" t="n">
        <v>32.2424808657715</v>
      </c>
      <c r="G408" s="19" t="n">
        <v>32.7371141903915</v>
      </c>
      <c r="H408" s="19" t="n">
        <v>6.66353108588292</v>
      </c>
      <c r="I408" s="19" t="n">
        <v>1510</v>
      </c>
      <c r="J408" s="19" t="n">
        <v>1546</v>
      </c>
      <c r="K408" s="19" t="n">
        <v>6.68877734828858</v>
      </c>
    </row>
    <row r="409">
      <c r="A409" s="19" t="n">
        <v>132</v>
      </c>
      <c r="B409" s="19" t="inlineStr">
        <is>
          <t>Mintt</t>
        </is>
      </c>
      <c r="C409" s="19" t="inlineStr">
        <is>
          <t>Town</t>
        </is>
      </c>
      <c r="D409" s="19" t="inlineStr">
        <is>
          <t>Win</t>
        </is>
      </c>
      <c r="E409" s="19" t="n">
        <v>40</v>
      </c>
      <c r="F409" s="19" t="n">
        <v>32.2755782053505</v>
      </c>
      <c r="G409" s="19" t="n">
        <v>32.815488871437</v>
      </c>
      <c r="H409" s="19" t="n">
        <v>6.9587689951181</v>
      </c>
      <c r="I409" s="19" t="n">
        <v>1482</v>
      </c>
      <c r="J409" s="19" t="n">
        <v>1522</v>
      </c>
      <c r="K409" s="19" t="n">
        <v>6.98880038194106</v>
      </c>
    </row>
    <row r="410">
      <c r="A410" s="19" t="n">
        <v>132</v>
      </c>
      <c r="B410" s="19" t="inlineStr">
        <is>
          <t>Chelsea</t>
        </is>
      </c>
      <c r="C410" s="19" t="inlineStr">
        <is>
          <t>Mafia</t>
        </is>
      </c>
      <c r="D410" s="19" t="inlineStr">
        <is>
          <t>Loss</t>
        </is>
      </c>
      <c r="E410" s="19" t="n">
        <v>-41</v>
      </c>
      <c r="F410" s="19" t="n">
        <v>25.058573892714</v>
      </c>
      <c r="G410" s="19" t="n">
        <v>24.3898764450139</v>
      </c>
      <c r="H410" s="19" t="n">
        <v>7.73466149956291</v>
      </c>
      <c r="I410" s="19" t="n">
        <v>911</v>
      </c>
      <c r="J410" s="19" t="n">
        <v>870</v>
      </c>
      <c r="K410" s="19" t="n">
        <v>7.77917537425335</v>
      </c>
    </row>
    <row r="411">
      <c r="A411" s="19" t="n">
        <v>132</v>
      </c>
      <c r="B411" s="19" t="inlineStr">
        <is>
          <t>Ken</t>
        </is>
      </c>
      <c r="C411" s="19" t="inlineStr">
        <is>
          <t>Mafia</t>
        </is>
      </c>
      <c r="D411" s="19" t="inlineStr">
        <is>
          <t>Loss</t>
        </is>
      </c>
      <c r="E411" s="19" t="n">
        <v>-41</v>
      </c>
      <c r="F411" s="19" t="n">
        <v>25.2796893231627</v>
      </c>
      <c r="G411" s="19" t="n">
        <v>24.6050436740482</v>
      </c>
      <c r="H411" s="19" t="n">
        <v>7.76853518404656</v>
      </c>
      <c r="I411" s="19" t="n">
        <v>922</v>
      </c>
      <c r="J411" s="19" t="n">
        <v>881</v>
      </c>
      <c r="K411" s="19" t="n">
        <v>7.81374868527722</v>
      </c>
    </row>
    <row r="412">
      <c r="A412" s="19" t="n">
        <v>132</v>
      </c>
      <c r="B412" s="19" t="inlineStr">
        <is>
          <t>Chipper</t>
        </is>
      </c>
      <c r="C412" s="19" t="inlineStr">
        <is>
          <t>Mafia</t>
        </is>
      </c>
      <c r="D412" s="19" t="inlineStr">
        <is>
          <t>Loss</t>
        </is>
      </c>
      <c r="E412" s="19" t="n">
        <v>-33</v>
      </c>
      <c r="F412" s="19" t="n">
        <v>26.4463896699384</v>
      </c>
      <c r="G412" s="19" t="n">
        <v>25.9117222355781</v>
      </c>
      <c r="H412" s="19" t="n">
        <v>6.92525056600051</v>
      </c>
      <c r="I412" s="19" t="n">
        <v>1089</v>
      </c>
      <c r="J412" s="19" t="n">
        <v>1056</v>
      </c>
      <c r="K412" s="19" t="n">
        <v>6.95471960401234</v>
      </c>
    </row>
    <row r="413">
      <c r="A413" s="19" t="n">
        <v>131</v>
      </c>
      <c r="B413" s="19" t="inlineStr">
        <is>
          <t>Rocker</t>
        </is>
      </c>
      <c r="C413" s="19" t="inlineStr">
        <is>
          <t>Town</t>
        </is>
      </c>
      <c r="D413" s="19" t="inlineStr">
        <is>
          <t>Win</t>
        </is>
      </c>
      <c r="E413" s="19" t="n">
        <v>50</v>
      </c>
      <c r="F413" s="19" t="n">
        <v>32.1856109169727</v>
      </c>
      <c r="G413" s="19" t="n">
        <v>32.8795998550172</v>
      </c>
      <c r="H413" s="19" t="n">
        <v>6.43632591178251</v>
      </c>
      <c r="I413" s="19" t="n">
        <v>1529</v>
      </c>
      <c r="J413" s="19" t="n">
        <v>1579</v>
      </c>
      <c r="K413" s="19" t="n">
        <v>6.46200618557218</v>
      </c>
    </row>
    <row r="414">
      <c r="A414" s="19" t="n">
        <v>131</v>
      </c>
      <c r="B414" s="19" t="inlineStr">
        <is>
          <t>Cyclone</t>
        </is>
      </c>
      <c r="C414" s="19" t="inlineStr">
        <is>
          <t>Town</t>
        </is>
      </c>
      <c r="D414" s="19" t="inlineStr">
        <is>
          <t>Win</t>
        </is>
      </c>
      <c r="E414" s="19" t="n">
        <v>76</v>
      </c>
      <c r="F414" s="19" t="n">
        <v>28.2071988962244</v>
      </c>
      <c r="G414" s="19" t="n">
        <v>29.2359672402924</v>
      </c>
      <c r="H414" s="19" t="n">
        <v>7.81722817552233</v>
      </c>
      <c r="I414" s="19" t="n">
        <v>1115</v>
      </c>
      <c r="J414" s="19" t="n">
        <v>1191</v>
      </c>
      <c r="K414" s="19" t="n">
        <v>7.87049666625448</v>
      </c>
    </row>
    <row r="415">
      <c r="A415" s="19" t="n">
        <v>131</v>
      </c>
      <c r="B415" s="19" t="inlineStr">
        <is>
          <t>Plen</t>
        </is>
      </c>
      <c r="C415" s="19" t="inlineStr">
        <is>
          <t>Town</t>
        </is>
      </c>
      <c r="D415" s="19" t="inlineStr">
        <is>
          <t>Win</t>
        </is>
      </c>
      <c r="E415" s="19" t="n">
        <v>50</v>
      </c>
      <c r="F415" s="19" t="n">
        <v>23.7285490228021</v>
      </c>
      <c r="G415" s="19" t="n">
        <v>24.4218084374799</v>
      </c>
      <c r="H415" s="19" t="n">
        <v>6.43297645961562</v>
      </c>
      <c r="I415" s="19" t="n">
        <v>955</v>
      </c>
      <c r="J415" s="19" t="n">
        <v>1005</v>
      </c>
      <c r="K415" s="19" t="n">
        <v>6.45860152764051</v>
      </c>
    </row>
    <row r="416">
      <c r="A416" s="19" t="n">
        <v>131</v>
      </c>
      <c r="B416" s="19" t="inlineStr">
        <is>
          <t>Brownkow</t>
        </is>
      </c>
      <c r="C416" s="19" t="inlineStr">
        <is>
          <t>Town</t>
        </is>
      </c>
      <c r="D416" s="19" t="inlineStr">
        <is>
          <t>Win</t>
        </is>
      </c>
      <c r="E416" s="19" t="n">
        <v>48</v>
      </c>
      <c r="F416" s="19" t="n">
        <v>33.0602666563099</v>
      </c>
      <c r="G416" s="19" t="n">
        <v>33.7405104605382</v>
      </c>
      <c r="H416" s="19" t="n">
        <v>6.37290989019804</v>
      </c>
      <c r="I416" s="19" t="n">
        <v>1596</v>
      </c>
      <c r="J416" s="19" t="n">
        <v>1644</v>
      </c>
      <c r="K416" s="19" t="n">
        <v>6.39755363806655</v>
      </c>
    </row>
    <row r="417">
      <c r="A417" s="19" t="n">
        <v>131</v>
      </c>
      <c r="B417" s="19" t="inlineStr">
        <is>
          <t>Chelsea</t>
        </is>
      </c>
      <c r="C417" s="19" t="inlineStr">
        <is>
          <t>Town</t>
        </is>
      </c>
      <c r="D417" s="19" t="inlineStr">
        <is>
          <t>Win</t>
        </is>
      </c>
      <c r="E417" s="19" t="n">
        <v>75</v>
      </c>
      <c r="F417" s="19" t="n">
        <v>24.0399490093384</v>
      </c>
      <c r="G417" s="19" t="n">
        <v>25.058573892714</v>
      </c>
      <c r="H417" s="19" t="n">
        <v>7.77917537425335</v>
      </c>
      <c r="I417" s="19" t="n">
        <v>836</v>
      </c>
      <c r="J417" s="19" t="n">
        <v>911</v>
      </c>
      <c r="K417" s="19" t="n">
        <v>7.83154309351815</v>
      </c>
    </row>
    <row r="418">
      <c r="A418" s="19" t="n">
        <v>131</v>
      </c>
      <c r="B418" s="19" t="inlineStr">
        <is>
          <t>Chester</t>
        </is>
      </c>
      <c r="C418" s="19" t="inlineStr">
        <is>
          <t>Town</t>
        </is>
      </c>
      <c r="D418" s="19" t="inlineStr">
        <is>
          <t>Win</t>
        </is>
      </c>
      <c r="E418" s="19" t="n">
        <v>62</v>
      </c>
      <c r="F418" s="19" t="n">
        <v>31.5739438039288</v>
      </c>
      <c r="G418" s="19" t="n">
        <v>32.4223630122713</v>
      </c>
      <c r="H418" s="19" t="n">
        <v>7.10845313809985</v>
      </c>
      <c r="I418" s="19" t="n">
        <v>1418</v>
      </c>
      <c r="J418" s="19" t="n">
        <v>1480</v>
      </c>
      <c r="K418" s="19" t="n">
        <v>7.14630444591995</v>
      </c>
    </row>
    <row r="419">
      <c r="A419" s="19" t="n">
        <v>131</v>
      </c>
      <c r="B419" s="19" t="inlineStr">
        <is>
          <t>Lou</t>
        </is>
      </c>
      <c r="C419" s="19" t="inlineStr">
        <is>
          <t>Town</t>
        </is>
      </c>
      <c r="D419" s="19" t="inlineStr">
        <is>
          <t>Win</t>
        </is>
      </c>
      <c r="E419" s="19" t="n">
        <v>52</v>
      </c>
      <c r="F419" s="19" t="n">
        <v>30.2301005365007</v>
      </c>
      <c r="G419" s="19" t="n">
        <v>30.9553909601036</v>
      </c>
      <c r="H419" s="19" t="n">
        <v>6.57836721041125</v>
      </c>
      <c r="I419" s="19" t="n">
        <v>1382</v>
      </c>
      <c r="J419" s="19" t="n">
        <v>1434</v>
      </c>
      <c r="K419" s="19" t="n">
        <v>6.60643649137934</v>
      </c>
    </row>
    <row r="420">
      <c r="A420" s="19" t="n">
        <v>131</v>
      </c>
      <c r="B420" s="19" t="inlineStr">
        <is>
          <t>Kwix</t>
        </is>
      </c>
      <c r="C420" s="19" t="inlineStr">
        <is>
          <t>Town</t>
        </is>
      </c>
      <c r="D420" s="19" t="inlineStr">
        <is>
          <t>Win</t>
        </is>
      </c>
      <c r="E420" s="19" t="n">
        <v>59</v>
      </c>
      <c r="F420" s="19" t="n">
        <v>23.6559241258458</v>
      </c>
      <c r="G420" s="19" t="n">
        <v>24.4644760882413</v>
      </c>
      <c r="H420" s="19" t="n">
        <v>6.94146149575822</v>
      </c>
      <c r="I420" s="19" t="n">
        <v>897</v>
      </c>
      <c r="J420" s="19" t="n">
        <v>956</v>
      </c>
      <c r="K420" s="19" t="n">
        <v>6.97607861347907</v>
      </c>
    </row>
    <row r="421">
      <c r="A421" s="19" t="n">
        <v>131</v>
      </c>
      <c r="B421" s="19" t="inlineStr">
        <is>
          <t>Iln</t>
        </is>
      </c>
      <c r="C421" s="19" t="inlineStr">
        <is>
          <t>Town</t>
        </is>
      </c>
      <c r="D421" s="19" t="inlineStr">
        <is>
          <t>Win</t>
        </is>
      </c>
      <c r="E421" s="19" t="n">
        <v>53</v>
      </c>
      <c r="F421" s="19" t="n">
        <v>29.2481796228648</v>
      </c>
      <c r="G421" s="19" t="n">
        <v>29.9770333101783</v>
      </c>
      <c r="H421" s="19" t="n">
        <v>6.59433454513173</v>
      </c>
      <c r="I421" s="19" t="n">
        <v>1313</v>
      </c>
      <c r="J421" s="19" t="n">
        <v>1366</v>
      </c>
      <c r="K421" s="19" t="n">
        <v>6.62267830035969</v>
      </c>
    </row>
    <row r="422">
      <c r="A422" s="19" t="n">
        <v>131</v>
      </c>
      <c r="B422" s="19" t="inlineStr">
        <is>
          <t>Whyin</t>
        </is>
      </c>
      <c r="C422" s="19" t="inlineStr">
        <is>
          <t>Town</t>
        </is>
      </c>
      <c r="D422" s="19" t="inlineStr">
        <is>
          <t>Win</t>
        </is>
      </c>
      <c r="E422" s="19" t="n">
        <v>59</v>
      </c>
      <c r="F422" s="19" t="n">
        <v>29.6571512286478</v>
      </c>
      <c r="G422" s="19" t="n">
        <v>30.4696276835692</v>
      </c>
      <c r="H422" s="19" t="n">
        <v>6.95808669780778</v>
      </c>
      <c r="I422" s="19" t="n">
        <v>1303</v>
      </c>
      <c r="J422" s="19" t="n">
        <v>1362</v>
      </c>
      <c r="K422" s="19" t="n">
        <v>6.99301935287863</v>
      </c>
    </row>
    <row r="423">
      <c r="A423" s="19" t="n">
        <v>131</v>
      </c>
      <c r="B423" s="19" t="inlineStr">
        <is>
          <t>Gilbert</t>
        </is>
      </c>
      <c r="C423" s="19" t="inlineStr">
        <is>
          <t>Town</t>
        </is>
      </c>
      <c r="D423" s="19" t="inlineStr">
        <is>
          <t>Win</t>
        </is>
      </c>
      <c r="E423" s="19" t="n">
        <v>66</v>
      </c>
      <c r="F423" s="19" t="n">
        <v>26.298955137043</v>
      </c>
      <c r="G423" s="19" t="n">
        <v>27.2058114076472</v>
      </c>
      <c r="H423" s="19" t="n">
        <v>7.34602940981559</v>
      </c>
      <c r="I423" s="19" t="n">
        <v>1035</v>
      </c>
      <c r="J423" s="19" t="n">
        <v>1101</v>
      </c>
      <c r="K423" s="19" t="n">
        <v>7.38873611170978</v>
      </c>
    </row>
    <row r="424">
      <c r="A424" s="19" t="n">
        <v>131</v>
      </c>
      <c r="B424" s="19" t="inlineStr">
        <is>
          <t>Motr</t>
        </is>
      </c>
      <c r="C424" s="19" t="inlineStr">
        <is>
          <t>Mafia</t>
        </is>
      </c>
      <c r="D424" s="19" t="inlineStr">
        <is>
          <t>Loss</t>
        </is>
      </c>
      <c r="E424" s="19" t="n">
        <v>-60</v>
      </c>
      <c r="F424" s="19" t="n">
        <v>25.9948801373235</v>
      </c>
      <c r="G424" s="19" t="n">
        <v>25.042809694045</v>
      </c>
      <c r="H424" s="19" t="n">
        <v>7.52443026807554</v>
      </c>
      <c r="I424" s="19" t="n">
        <v>995</v>
      </c>
      <c r="J424" s="19" t="n">
        <v>935</v>
      </c>
      <c r="K424" s="19" t="n">
        <v>7.57098641875522</v>
      </c>
    </row>
    <row r="425">
      <c r="A425" s="19" t="n">
        <v>131</v>
      </c>
      <c r="B425" s="19" t="inlineStr">
        <is>
          <t>Carson</t>
        </is>
      </c>
      <c r="C425" s="19" t="inlineStr">
        <is>
          <t>Mafia</t>
        </is>
      </c>
      <c r="D425" s="19" t="inlineStr">
        <is>
          <t>Loss</t>
        </is>
      </c>
      <c r="E425" s="19" t="n">
        <v>-47</v>
      </c>
      <c r="F425" s="19" t="n">
        <v>32.5267354033899</v>
      </c>
      <c r="G425" s="19" t="n">
        <v>31.7851914546354</v>
      </c>
      <c r="H425" s="19" t="n">
        <v>6.65087592807545</v>
      </c>
      <c r="I425" s="19" t="n">
        <v>1530</v>
      </c>
      <c r="J425" s="19" t="n">
        <v>1483</v>
      </c>
      <c r="K425" s="19" t="n">
        <v>6.68020137944759</v>
      </c>
    </row>
    <row r="426">
      <c r="A426" s="19" t="n">
        <v>131</v>
      </c>
      <c r="B426" s="19" t="inlineStr">
        <is>
          <t>Hunterxp</t>
        </is>
      </c>
      <c r="C426" s="19" t="inlineStr">
        <is>
          <t>Mafia</t>
        </is>
      </c>
      <c r="D426" s="19" t="inlineStr">
        <is>
          <t>Loss</t>
        </is>
      </c>
      <c r="E426" s="19" t="n">
        <v>-67</v>
      </c>
      <c r="F426" s="19" t="n">
        <v>23.1418122687135</v>
      </c>
      <c r="G426" s="19" t="n">
        <v>22.0865737401561</v>
      </c>
      <c r="H426" s="19" t="n">
        <v>7.91561499945983</v>
      </c>
      <c r="I426" s="19" t="n">
        <v>761</v>
      </c>
      <c r="J426" s="19" t="n">
        <v>694</v>
      </c>
      <c r="K426" s="19" t="n">
        <v>7.97125269666753</v>
      </c>
    </row>
    <row r="427">
      <c r="A427" s="19" t="n">
        <v>130</v>
      </c>
      <c r="B427" s="19" t="inlineStr">
        <is>
          <t>Dani</t>
        </is>
      </c>
      <c r="C427" s="19" t="inlineStr">
        <is>
          <t>Town</t>
        </is>
      </c>
      <c r="D427" s="19" t="inlineStr">
        <is>
          <t>Loss</t>
        </is>
      </c>
      <c r="E427" s="19" t="n">
        <v>-44</v>
      </c>
      <c r="F427" s="19" t="n">
        <v>25.4509719720733</v>
      </c>
      <c r="G427" s="19" t="n">
        <v>24.7256655561896</v>
      </c>
      <c r="H427" s="19" t="n">
        <v>7.87502899883567</v>
      </c>
      <c r="I427" s="19" t="n">
        <v>922</v>
      </c>
      <c r="J427" s="19" t="n">
        <v>878</v>
      </c>
      <c r="K427" s="19" t="n">
        <v>7.92447442063504</v>
      </c>
    </row>
    <row r="428">
      <c r="A428" s="19" t="n">
        <v>130</v>
      </c>
      <c r="B428" s="19" t="inlineStr">
        <is>
          <t>Lou</t>
        </is>
      </c>
      <c r="C428" s="19" t="inlineStr">
        <is>
          <t>Town</t>
        </is>
      </c>
      <c r="D428" s="19" t="inlineStr">
        <is>
          <t>Loss</t>
        </is>
      </c>
      <c r="E428" s="19" t="n">
        <v>-32</v>
      </c>
      <c r="F428" s="19" t="n">
        <v>30.7384124171192</v>
      </c>
      <c r="G428" s="19" t="n">
        <v>30.2301005365007</v>
      </c>
      <c r="H428" s="19" t="n">
        <v>6.60643649137934</v>
      </c>
      <c r="I428" s="19" t="n">
        <v>1414</v>
      </c>
      <c r="J428" s="19" t="n">
        <v>1382</v>
      </c>
      <c r="K428" s="19" t="n">
        <v>6.63196069945598</v>
      </c>
    </row>
    <row r="429">
      <c r="A429" s="19" t="n">
        <v>130</v>
      </c>
      <c r="B429" s="19" t="inlineStr">
        <is>
          <t>Badpants</t>
        </is>
      </c>
      <c r="C429" s="19" t="inlineStr">
        <is>
          <t>Town</t>
        </is>
      </c>
      <c r="D429" s="19" t="inlineStr">
        <is>
          <t>Loss</t>
        </is>
      </c>
      <c r="E429" s="19" t="n">
        <v>-32</v>
      </c>
      <c r="F429" s="19" t="n">
        <v>25.417651744357</v>
      </c>
      <c r="G429" s="19" t="n">
        <v>24.9162346761579</v>
      </c>
      <c r="H429" s="19" t="n">
        <v>6.56191447960771</v>
      </c>
      <c r="I429" s="19" t="n">
        <v>1057</v>
      </c>
      <c r="J429" s="19" t="n">
        <v>1025</v>
      </c>
      <c r="K429" s="19" t="n">
        <v>6.58673604991191</v>
      </c>
    </row>
    <row r="430">
      <c r="A430" s="19" t="n">
        <v>130</v>
      </c>
      <c r="B430" s="19" t="inlineStr">
        <is>
          <t>Heftyduck</t>
        </is>
      </c>
      <c r="C430" s="19" t="inlineStr">
        <is>
          <t>Town</t>
        </is>
      </c>
      <c r="D430" s="19" t="inlineStr">
        <is>
          <t>Loss</t>
        </is>
      </c>
      <c r="E430" s="19" t="n">
        <v>-48</v>
      </c>
      <c r="F430" s="19" t="n">
        <v>25.9362199215993</v>
      </c>
      <c r="G430" s="19" t="n">
        <v>25.1459508722786</v>
      </c>
      <c r="H430" s="19" t="n">
        <v>8.21496077687901</v>
      </c>
      <c r="I430" s="19" t="n">
        <v>920</v>
      </c>
      <c r="J430" s="19" t="n">
        <v>872</v>
      </c>
      <c r="K430" s="19" t="n">
        <v>8.27223333405853</v>
      </c>
    </row>
    <row r="431">
      <c r="A431" s="19" t="n">
        <v>130</v>
      </c>
      <c r="B431" s="19" t="inlineStr">
        <is>
          <t>Mintt</t>
        </is>
      </c>
      <c r="C431" s="19" t="inlineStr">
        <is>
          <t>Town</t>
        </is>
      </c>
      <c r="D431" s="19" t="inlineStr">
        <is>
          <t>Loss</t>
        </is>
      </c>
      <c r="E431" s="19" t="n">
        <v>-35</v>
      </c>
      <c r="F431" s="19" t="n">
        <v>32.8451048817743</v>
      </c>
      <c r="G431" s="19" t="n">
        <v>32.2755782053505</v>
      </c>
      <c r="H431" s="19" t="n">
        <v>6.98880038194106</v>
      </c>
      <c r="I431" s="19" t="n">
        <v>1517</v>
      </c>
      <c r="J431" s="19" t="n">
        <v>1482</v>
      </c>
      <c r="K431" s="19" t="n">
        <v>7.0207191941695</v>
      </c>
    </row>
    <row r="432">
      <c r="A432" s="19" t="n">
        <v>130</v>
      </c>
      <c r="B432" s="19" t="inlineStr">
        <is>
          <t>Chelsea</t>
        </is>
      </c>
      <c r="C432" s="19" t="inlineStr">
        <is>
          <t>Town</t>
        </is>
      </c>
      <c r="D432" s="19" t="inlineStr">
        <is>
          <t>Loss</t>
        </is>
      </c>
      <c r="E432" s="19" t="n">
        <v>-44</v>
      </c>
      <c r="F432" s="19" t="n">
        <v>24.7571547293973</v>
      </c>
      <c r="G432" s="19" t="n">
        <v>24.0399490093384</v>
      </c>
      <c r="H432" s="19" t="n">
        <v>7.83154309351815</v>
      </c>
      <c r="I432" s="19" t="n">
        <v>880</v>
      </c>
      <c r="J432" s="19" t="n">
        <v>836</v>
      </c>
      <c r="K432" s="19" t="n">
        <v>7.88003353142091</v>
      </c>
    </row>
    <row r="433">
      <c r="A433" s="19" t="n">
        <v>130</v>
      </c>
      <c r="B433" s="19" t="inlineStr">
        <is>
          <t>Kden</t>
        </is>
      </c>
      <c r="C433" s="19" t="inlineStr">
        <is>
          <t>Town</t>
        </is>
      </c>
      <c r="D433" s="19" t="inlineStr">
        <is>
          <t>Loss</t>
        </is>
      </c>
      <c r="E433" s="19" t="n">
        <v>-35</v>
      </c>
      <c r="F433" s="19" t="n">
        <v>24.8193930406013</v>
      </c>
      <c r="G433" s="19" t="n">
        <v>24.261435405858</v>
      </c>
      <c r="H433" s="19" t="n">
        <v>6.91822557692172</v>
      </c>
      <c r="I433" s="19" t="n">
        <v>979</v>
      </c>
      <c r="J433" s="19" t="n">
        <v>944</v>
      </c>
      <c r="K433" s="19" t="n">
        <v>6.94891434627977</v>
      </c>
    </row>
    <row r="434">
      <c r="A434" s="19" t="n">
        <v>130</v>
      </c>
      <c r="B434" s="19" t="inlineStr">
        <is>
          <t>Brownkow</t>
        </is>
      </c>
      <c r="C434" s="19" t="inlineStr">
        <is>
          <t>Town</t>
        </is>
      </c>
      <c r="D434" s="19" t="inlineStr">
        <is>
          <t>Loss</t>
        </is>
      </c>
      <c r="E434" s="19" t="n">
        <v>-30</v>
      </c>
      <c r="F434" s="19" t="n">
        <v>33.536649632955</v>
      </c>
      <c r="G434" s="19" t="n">
        <v>33.0602666563099</v>
      </c>
      <c r="H434" s="19" t="n">
        <v>6.39755363806655</v>
      </c>
      <c r="I434" s="19" t="n">
        <v>1626</v>
      </c>
      <c r="J434" s="19" t="n">
        <v>1596</v>
      </c>
      <c r="K434" s="19" t="n">
        <v>6.41985394056603</v>
      </c>
    </row>
    <row r="435">
      <c r="A435" s="19" t="n">
        <v>130</v>
      </c>
      <c r="B435" s="19" t="inlineStr">
        <is>
          <t>Noah</t>
        </is>
      </c>
      <c r="C435" s="19" t="inlineStr">
        <is>
          <t>Town</t>
        </is>
      </c>
      <c r="D435" s="19" t="inlineStr">
        <is>
          <t>Loss</t>
        </is>
      </c>
      <c r="E435" s="19" t="n">
        <v>-32</v>
      </c>
      <c r="F435" s="19" t="n">
        <v>32.4375226165062</v>
      </c>
      <c r="G435" s="19" t="n">
        <v>31.9293198546955</v>
      </c>
      <c r="H435" s="19" t="n">
        <v>6.6057343060497</v>
      </c>
      <c r="I435" s="19" t="n">
        <v>1529</v>
      </c>
      <c r="J435" s="19" t="n">
        <v>1497</v>
      </c>
      <c r="K435" s="19" t="n">
        <v>6.63124736627828</v>
      </c>
    </row>
    <row r="436">
      <c r="A436" s="19" t="n">
        <v>130</v>
      </c>
      <c r="B436" s="19" t="inlineStr">
        <is>
          <t>Iln</t>
        </is>
      </c>
      <c r="C436" s="19" t="inlineStr">
        <is>
          <t>Town</t>
        </is>
      </c>
      <c r="D436" s="19" t="inlineStr">
        <is>
          <t>Loss</t>
        </is>
      </c>
      <c r="E436" s="19" t="n">
        <v>-32</v>
      </c>
      <c r="F436" s="19" t="n">
        <v>29.7590188289161</v>
      </c>
      <c r="G436" s="19" t="n">
        <v>29.2481796228648</v>
      </c>
      <c r="H436" s="19" t="n">
        <v>6.62267830035969</v>
      </c>
      <c r="I436" s="19" t="n">
        <v>1345</v>
      </c>
      <c r="J436" s="19" t="n">
        <v>1313</v>
      </c>
      <c r="K436" s="19" t="n">
        <v>6.64846095605156</v>
      </c>
    </row>
    <row r="437">
      <c r="A437" s="19" t="n">
        <v>130</v>
      </c>
      <c r="B437" s="19" t="inlineStr">
        <is>
          <t>Rick</t>
        </is>
      </c>
      <c r="C437" s="19" t="inlineStr">
        <is>
          <t>Mafia</t>
        </is>
      </c>
      <c r="D437" s="19" t="inlineStr">
        <is>
          <t>Win</t>
        </is>
      </c>
      <c r="E437" s="19" t="n">
        <v>50</v>
      </c>
      <c r="F437" s="19" t="n">
        <v>28.6679143488797</v>
      </c>
      <c r="G437" s="19" t="n">
        <v>29.3404108950713</v>
      </c>
      <c r="H437" s="19" t="n">
        <v>7.5867963686577</v>
      </c>
      <c r="I437" s="19" t="n">
        <v>1171</v>
      </c>
      <c r="J437" s="19" t="n">
        <v>1221</v>
      </c>
      <c r="K437" s="19" t="n">
        <v>7.63010118322462</v>
      </c>
    </row>
    <row r="438">
      <c r="A438" s="19" t="n">
        <v>130</v>
      </c>
      <c r="B438" s="19" t="inlineStr">
        <is>
          <t>Laur</t>
        </is>
      </c>
      <c r="C438" s="19" t="inlineStr">
        <is>
          <t>Mafia</t>
        </is>
      </c>
      <c r="D438" s="19" t="inlineStr">
        <is>
          <t>Win</t>
        </is>
      </c>
      <c r="E438" s="19" t="n">
        <v>38</v>
      </c>
      <c r="F438" s="19" t="n">
        <v>31.7212896252646</v>
      </c>
      <c r="G438" s="19" t="n">
        <v>32.2424808657715</v>
      </c>
      <c r="H438" s="19" t="n">
        <v>6.68877734828858</v>
      </c>
      <c r="I438" s="19" t="n">
        <v>1472</v>
      </c>
      <c r="J438" s="19" t="n">
        <v>1510</v>
      </c>
      <c r="K438" s="19" t="n">
        <v>6.71562361600754</v>
      </c>
    </row>
    <row r="439">
      <c r="A439" s="19" t="n">
        <v>130</v>
      </c>
      <c r="B439" s="19" t="inlineStr">
        <is>
          <t>Strik3r</t>
        </is>
      </c>
      <c r="C439" s="19" t="inlineStr">
        <is>
          <t>Mafia</t>
        </is>
      </c>
      <c r="D439" s="19" t="inlineStr">
        <is>
          <t>Win</t>
        </is>
      </c>
      <c r="E439" s="19" t="n">
        <v>45</v>
      </c>
      <c r="F439" s="19" t="n">
        <v>25.6290066479674</v>
      </c>
      <c r="G439" s="19" t="n">
        <v>26.2329866857518</v>
      </c>
      <c r="H439" s="19" t="n">
        <v>7.19469479396357</v>
      </c>
      <c r="I439" s="19" t="n">
        <v>1005</v>
      </c>
      <c r="J439" s="19" t="n">
        <v>1050</v>
      </c>
      <c r="K439" s="19" t="n">
        <v>7.23033593942903</v>
      </c>
    </row>
    <row r="440">
      <c r="A440" s="19" t="n">
        <v>129</v>
      </c>
      <c r="B440" s="19" t="inlineStr">
        <is>
          <t>Chelsea</t>
        </is>
      </c>
      <c r="C440" s="19" t="inlineStr">
        <is>
          <t>Town</t>
        </is>
      </c>
      <c r="D440" s="19" t="inlineStr">
        <is>
          <t>Win</t>
        </is>
      </c>
      <c r="E440" s="19" t="n">
        <v>132</v>
      </c>
      <c r="F440" s="19" t="n">
        <v>22.9365580467634</v>
      </c>
      <c r="G440" s="19" t="n">
        <v>24.7571547293973</v>
      </c>
      <c r="H440" s="19" t="n">
        <v>7.88003353142091</v>
      </c>
      <c r="I440" s="19" t="n">
        <v>748</v>
      </c>
      <c r="J440" s="19" t="n">
        <v>880</v>
      </c>
      <c r="K440" s="19" t="n">
        <v>7.95360411406481</v>
      </c>
    </row>
    <row r="441">
      <c r="A441" s="19" t="n">
        <v>129</v>
      </c>
      <c r="B441" s="19" t="inlineStr">
        <is>
          <t>Cj</t>
        </is>
      </c>
      <c r="C441" s="19" t="inlineStr">
        <is>
          <t>Town</t>
        </is>
      </c>
      <c r="D441" s="19" t="inlineStr">
        <is>
          <t>Win</t>
        </is>
      </c>
      <c r="E441" s="19" t="n">
        <v>121</v>
      </c>
      <c r="F441" s="19" t="n">
        <v>24.7263400897906</v>
      </c>
      <c r="G441" s="19" t="n">
        <v>26.4084973991813</v>
      </c>
      <c r="H441" s="19" t="n">
        <v>7.58032689103184</v>
      </c>
      <c r="I441" s="19" t="n">
        <v>902</v>
      </c>
      <c r="J441" s="19" t="n">
        <v>1023</v>
      </c>
      <c r="K441" s="19" t="n">
        <v>7.64477968318374</v>
      </c>
    </row>
    <row r="442">
      <c r="A442" s="19" t="n">
        <v>129</v>
      </c>
      <c r="B442" s="19" t="inlineStr">
        <is>
          <t>Plen</t>
        </is>
      </c>
      <c r="C442" s="19" t="inlineStr">
        <is>
          <t>Town</t>
        </is>
      </c>
      <c r="D442" s="19" t="inlineStr">
        <is>
          <t>Win</t>
        </is>
      </c>
      <c r="E442" s="19" t="n">
        <v>87</v>
      </c>
      <c r="F442" s="19" t="n">
        <v>22.5136947025507</v>
      </c>
      <c r="G442" s="19" t="n">
        <v>23.7285490228021</v>
      </c>
      <c r="H442" s="19" t="n">
        <v>6.45860152764051</v>
      </c>
      <c r="I442" s="19" t="n">
        <v>868</v>
      </c>
      <c r="J442" s="19" t="n">
        <v>955</v>
      </c>
      <c r="K442" s="19" t="n">
        <v>6.49478985734966</v>
      </c>
    </row>
    <row r="443">
      <c r="A443" s="19" t="n">
        <v>129</v>
      </c>
      <c r="B443" s="19" t="inlineStr">
        <is>
          <t>Whyin</t>
        </is>
      </c>
      <c r="C443" s="19" t="inlineStr">
        <is>
          <t>Town</t>
        </is>
      </c>
      <c r="D443" s="19" t="inlineStr">
        <is>
          <t>Win</t>
        </is>
      </c>
      <c r="E443" s="19" t="n">
        <v>102</v>
      </c>
      <c r="F443" s="19" t="n">
        <v>28.2295843101787</v>
      </c>
      <c r="G443" s="19" t="n">
        <v>29.6571512286478</v>
      </c>
      <c r="H443" s="19" t="n">
        <v>6.99301935287863</v>
      </c>
      <c r="I443" s="19" t="n">
        <v>1201</v>
      </c>
      <c r="J443" s="19" t="n">
        <v>1303</v>
      </c>
      <c r="K443" s="19" t="n">
        <v>7.04158236075112</v>
      </c>
    </row>
    <row r="444">
      <c r="A444" s="19" t="n">
        <v>129</v>
      </c>
      <c r="B444" s="19" t="inlineStr">
        <is>
          <t>Dani</t>
        </is>
      </c>
      <c r="C444" s="19" t="inlineStr">
        <is>
          <t>Town</t>
        </is>
      </c>
      <c r="D444" s="19" t="inlineStr">
        <is>
          <t>Win</t>
        </is>
      </c>
      <c r="E444" s="19" t="n">
        <v>133</v>
      </c>
      <c r="F444" s="19" t="n">
        <v>23.6093524469671</v>
      </c>
      <c r="G444" s="19" t="n">
        <v>25.4509719720733</v>
      </c>
      <c r="H444" s="19" t="n">
        <v>7.92447442063504</v>
      </c>
      <c r="I444" s="19" t="n">
        <v>789</v>
      </c>
      <c r="J444" s="19" t="n">
        <v>922</v>
      </c>
      <c r="K444" s="19" t="n">
        <v>7.99945830119231</v>
      </c>
    </row>
    <row r="445">
      <c r="A445" s="19" t="n">
        <v>129</v>
      </c>
      <c r="B445" s="19" t="inlineStr">
        <is>
          <t>Rollo</t>
        </is>
      </c>
      <c r="C445" s="19" t="inlineStr">
        <is>
          <t>Town</t>
        </is>
      </c>
      <c r="D445" s="19" t="inlineStr">
        <is>
          <t>Win</t>
        </is>
      </c>
      <c r="E445" s="19" t="n">
        <v>105</v>
      </c>
      <c r="F445" s="19" t="n">
        <v>32.5050487880584</v>
      </c>
      <c r="G445" s="19" t="n">
        <v>33.9743499722503</v>
      </c>
      <c r="H445" s="19" t="n">
        <v>7.09286549380716</v>
      </c>
      <c r="I445" s="19" t="n">
        <v>1482</v>
      </c>
      <c r="J445" s="19" t="n">
        <v>1587</v>
      </c>
      <c r="K445" s="19" t="n">
        <v>7.14395376251625</v>
      </c>
    </row>
    <row r="446">
      <c r="A446" s="19" t="n">
        <v>129</v>
      </c>
      <c r="B446" s="19" t="inlineStr">
        <is>
          <t>Pinkee</t>
        </is>
      </c>
      <c r="C446" s="19" t="inlineStr">
        <is>
          <t>Town</t>
        </is>
      </c>
      <c r="D446" s="19" t="inlineStr">
        <is>
          <t>Win</t>
        </is>
      </c>
      <c r="E446" s="19" t="n">
        <v>138</v>
      </c>
      <c r="F446" s="19" t="n">
        <v>26.6643483086627</v>
      </c>
      <c r="G446" s="19" t="n">
        <v>28.5732401157714</v>
      </c>
      <c r="H446" s="19" t="n">
        <v>8.064898715307461</v>
      </c>
      <c r="I446" s="19" t="n">
        <v>982</v>
      </c>
      <c r="J446" s="19" t="n">
        <v>1120</v>
      </c>
      <c r="K446" s="19" t="n">
        <v>8.1444552832683</v>
      </c>
    </row>
    <row r="447">
      <c r="A447" s="19" t="n">
        <v>129</v>
      </c>
      <c r="B447" s="19" t="inlineStr">
        <is>
          <t>Laur</t>
        </is>
      </c>
      <c r="C447" s="19" t="inlineStr">
        <is>
          <t>Town</t>
        </is>
      </c>
      <c r="D447" s="19" t="inlineStr">
        <is>
          <t>Win</t>
        </is>
      </c>
      <c r="E447" s="19" t="n">
        <v>94</v>
      </c>
      <c r="F447" s="19" t="n">
        <v>30.4063695482133</v>
      </c>
      <c r="G447" s="19" t="n">
        <v>31.7212896252646</v>
      </c>
      <c r="H447" s="19" t="n">
        <v>6.71562361600754</v>
      </c>
      <c r="I447" s="19" t="n">
        <v>1378</v>
      </c>
      <c r="J447" s="19" t="n">
        <v>1472</v>
      </c>
      <c r="K447" s="19" t="n">
        <v>6.75752927076501</v>
      </c>
    </row>
    <row r="448">
      <c r="A448" s="19" t="n">
        <v>129</v>
      </c>
      <c r="B448" s="19" t="inlineStr">
        <is>
          <t>Strik3r</t>
        </is>
      </c>
      <c r="C448" s="19" t="inlineStr">
        <is>
          <t>Town</t>
        </is>
      </c>
      <c r="D448" s="19" t="inlineStr">
        <is>
          <t>Win</t>
        </is>
      </c>
      <c r="E448" s="19" t="n">
        <v>109</v>
      </c>
      <c r="F448" s="19" t="n">
        <v>24.10121081982</v>
      </c>
      <c r="G448" s="19" t="n">
        <v>25.6290066479674</v>
      </c>
      <c r="H448" s="19" t="n">
        <v>7.23033593942903</v>
      </c>
      <c r="I448" s="19" t="n">
        <v>896</v>
      </c>
      <c r="J448" s="19" t="n">
        <v>1005</v>
      </c>
      <c r="K448" s="19" t="n">
        <v>7.28501652675163</v>
      </c>
    </row>
    <row r="449">
      <c r="A449" s="19" t="n">
        <v>129</v>
      </c>
      <c r="B449" s="19" t="inlineStr">
        <is>
          <t>Motr</t>
        </is>
      </c>
      <c r="C449" s="19" t="inlineStr">
        <is>
          <t>Town</t>
        </is>
      </c>
      <c r="D449" s="19" t="inlineStr">
        <is>
          <t>Win</t>
        </is>
      </c>
      <c r="E449" s="19" t="n">
        <v>120</v>
      </c>
      <c r="F449" s="19" t="n">
        <v>24.3169442861712</v>
      </c>
      <c r="G449" s="19" t="n">
        <v>25.9948801373235</v>
      </c>
      <c r="H449" s="19" t="n">
        <v>7.57098641875522</v>
      </c>
      <c r="I449" s="19" t="n">
        <v>875</v>
      </c>
      <c r="J449" s="19" t="n">
        <v>995</v>
      </c>
      <c r="K449" s="19" t="n">
        <v>7.63516638744209</v>
      </c>
    </row>
    <row r="450">
      <c r="A450" s="19" t="n">
        <v>129</v>
      </c>
      <c r="B450" s="19" t="inlineStr">
        <is>
          <t>Kwix</t>
        </is>
      </c>
      <c r="C450" s="19" t="inlineStr">
        <is>
          <t>Mafia</t>
        </is>
      </c>
      <c r="D450" s="19" t="inlineStr">
        <is>
          <t>Loss</t>
        </is>
      </c>
      <c r="E450" s="19" t="n">
        <v>-92</v>
      </c>
      <c r="F450" s="19" t="n">
        <v>25.076472609352</v>
      </c>
      <c r="G450" s="19" t="n">
        <v>23.6559241258458</v>
      </c>
      <c r="H450" s="19" t="n">
        <v>6.97607861347907</v>
      </c>
      <c r="I450" s="19" t="n">
        <v>989</v>
      </c>
      <c r="J450" s="19" t="n">
        <v>897</v>
      </c>
      <c r="K450" s="19" t="n">
        <v>7.02422005521484</v>
      </c>
    </row>
    <row r="451">
      <c r="A451" s="19" t="n">
        <v>129</v>
      </c>
      <c r="B451" s="19" t="inlineStr">
        <is>
          <t>Brownkow</t>
        </is>
      </c>
      <c r="C451" s="19" t="inlineStr">
        <is>
          <t>Mafia</t>
        </is>
      </c>
      <c r="D451" s="19" t="inlineStr">
        <is>
          <t>Loss</t>
        </is>
      </c>
      <c r="E451" s="19" t="n">
        <v>-78</v>
      </c>
      <c r="F451" s="19" t="n">
        <v>34.7367760484477</v>
      </c>
      <c r="G451" s="19" t="n">
        <v>33.536649632955</v>
      </c>
      <c r="H451" s="19" t="n">
        <v>6.41985394056603</v>
      </c>
      <c r="I451" s="19" t="n">
        <v>1704</v>
      </c>
      <c r="J451" s="19" t="n">
        <v>1626</v>
      </c>
      <c r="K451" s="19" t="n">
        <v>6.45521652596922</v>
      </c>
    </row>
    <row r="452">
      <c r="A452" s="19" t="n">
        <v>129</v>
      </c>
      <c r="B452" s="19" t="inlineStr">
        <is>
          <t>Siggy</t>
        </is>
      </c>
      <c r="C452" s="19" t="inlineStr">
        <is>
          <t>Mafia</t>
        </is>
      </c>
      <c r="D452" s="19" t="inlineStr">
        <is>
          <t>Loss</t>
        </is>
      </c>
      <c r="E452" s="19" t="n">
        <v>-119</v>
      </c>
      <c r="F452" s="19" t="n">
        <v>26.760514784951</v>
      </c>
      <c r="G452" s="19" t="n">
        <v>24.8983136390294</v>
      </c>
      <c r="H452" s="19" t="n">
        <v>7.96772213173156</v>
      </c>
      <c r="I452" s="19" t="n">
        <v>999</v>
      </c>
      <c r="J452" s="19" t="n">
        <v>880</v>
      </c>
      <c r="K452" s="19" t="n">
        <v>8.04409690341263</v>
      </c>
    </row>
    <row r="453">
      <c r="A453" s="19" t="n">
        <v>128</v>
      </c>
      <c r="B453" s="19" t="inlineStr">
        <is>
          <t>Iln</t>
        </is>
      </c>
      <c r="C453" s="19" t="inlineStr">
        <is>
          <t>Town</t>
        </is>
      </c>
      <c r="D453" s="19" t="inlineStr">
        <is>
          <t>Win</t>
        </is>
      </c>
      <c r="E453" s="19" t="n">
        <v>51</v>
      </c>
      <c r="F453" s="19" t="n">
        <v>29.0457359708185</v>
      </c>
      <c r="G453" s="19" t="n">
        <v>29.7590188289161</v>
      </c>
      <c r="H453" s="19" t="n">
        <v>6.64846095605156</v>
      </c>
      <c r="I453" s="19" t="n">
        <v>1294</v>
      </c>
      <c r="J453" s="19" t="n">
        <v>1345</v>
      </c>
      <c r="K453" s="19" t="n">
        <v>6.68000762608885</v>
      </c>
    </row>
    <row r="454">
      <c r="A454" s="19" t="n">
        <v>128</v>
      </c>
      <c r="B454" s="19" t="inlineStr">
        <is>
          <t>Chester</t>
        </is>
      </c>
      <c r="C454" s="19" t="inlineStr">
        <is>
          <t>Town</t>
        </is>
      </c>
      <c r="D454" s="19" t="inlineStr">
        <is>
          <t>Win</t>
        </is>
      </c>
      <c r="E454" s="19" t="n">
        <v>60</v>
      </c>
      <c r="F454" s="19" t="n">
        <v>30.7483373199135</v>
      </c>
      <c r="G454" s="19" t="n">
        <v>31.5739438039288</v>
      </c>
      <c r="H454" s="19" t="n">
        <v>7.14630444591995</v>
      </c>
      <c r="I454" s="19" t="n">
        <v>1358</v>
      </c>
      <c r="J454" s="19" t="n">
        <v>1418</v>
      </c>
      <c r="K454" s="19" t="n">
        <v>7.18773719601366</v>
      </c>
    </row>
    <row r="455">
      <c r="A455" s="19" t="n">
        <v>128</v>
      </c>
      <c r="B455" s="19" t="inlineStr">
        <is>
          <t>Lou</t>
        </is>
      </c>
      <c r="C455" s="19" t="inlineStr">
        <is>
          <t>Town</t>
        </is>
      </c>
      <c r="D455" s="19" t="inlineStr">
        <is>
          <t>Win</t>
        </is>
      </c>
      <c r="E455" s="19" t="n">
        <v>52</v>
      </c>
      <c r="F455" s="19" t="n">
        <v>30.0287067432639</v>
      </c>
      <c r="G455" s="19" t="n">
        <v>30.7384124171192</v>
      </c>
      <c r="H455" s="19" t="n">
        <v>6.63196069945598</v>
      </c>
      <c r="I455" s="19" t="n">
        <v>1362</v>
      </c>
      <c r="J455" s="19" t="n">
        <v>1414</v>
      </c>
      <c r="K455" s="19" t="n">
        <v>6.66320225231297</v>
      </c>
    </row>
    <row r="456">
      <c r="A456" s="19" t="n">
        <v>128</v>
      </c>
      <c r="B456" s="19" t="inlineStr">
        <is>
          <t>Brownkow</t>
        </is>
      </c>
      <c r="C456" s="19" t="inlineStr">
        <is>
          <t>Town</t>
        </is>
      </c>
      <c r="D456" s="19" t="inlineStr">
        <is>
          <t>Win</t>
        </is>
      </c>
      <c r="E456" s="19" t="n">
        <v>49</v>
      </c>
      <c r="F456" s="19" t="n">
        <v>34.0648046553539</v>
      </c>
      <c r="G456" s="19" t="n">
        <v>34.7367760484477</v>
      </c>
      <c r="H456" s="19" t="n">
        <v>6.45521652596922</v>
      </c>
      <c r="I456" s="19" t="n">
        <v>1655</v>
      </c>
      <c r="J456" s="19" t="n">
        <v>1704</v>
      </c>
      <c r="K456" s="19" t="n">
        <v>6.48327629423938</v>
      </c>
    </row>
    <row r="457">
      <c r="A457" s="19" t="n">
        <v>128</v>
      </c>
      <c r="B457" s="19" t="inlineStr">
        <is>
          <t>Chipper</t>
        </is>
      </c>
      <c r="C457" s="19" t="inlineStr">
        <is>
          <t>Town</t>
        </is>
      </c>
      <c r="D457" s="19" t="inlineStr">
        <is>
          <t>Win</t>
        </is>
      </c>
      <c r="E457" s="19" t="n">
        <v>57</v>
      </c>
      <c r="F457" s="19" t="n">
        <v>25.6650177028908</v>
      </c>
      <c r="G457" s="19" t="n">
        <v>26.4463896699384</v>
      </c>
      <c r="H457" s="19" t="n">
        <v>6.95471960401234</v>
      </c>
      <c r="I457" s="19" t="n">
        <v>1032</v>
      </c>
      <c r="J457" s="19" t="n">
        <v>1089</v>
      </c>
      <c r="K457" s="19" t="n">
        <v>6.99218868523041</v>
      </c>
    </row>
    <row r="458">
      <c r="A458" s="19" t="n">
        <v>128</v>
      </c>
      <c r="B458" s="19" t="inlineStr">
        <is>
          <t>Cyclone</t>
        </is>
      </c>
      <c r="C458" s="19" t="inlineStr">
        <is>
          <t>Town</t>
        </is>
      </c>
      <c r="D458" s="19" t="inlineStr">
        <is>
          <t>Win</t>
        </is>
      </c>
      <c r="E458" s="19" t="n">
        <v>74</v>
      </c>
      <c r="F458" s="19" t="n">
        <v>27.202871889392</v>
      </c>
      <c r="G458" s="19" t="n">
        <v>28.2071988962244</v>
      </c>
      <c r="H458" s="19" t="n">
        <v>7.87049666625448</v>
      </c>
      <c r="I458" s="19" t="n">
        <v>1041</v>
      </c>
      <c r="J458" s="19" t="n">
        <v>1115</v>
      </c>
      <c r="K458" s="19" t="n">
        <v>7.92885575969474</v>
      </c>
    </row>
    <row r="459">
      <c r="A459" s="19" t="n">
        <v>128</v>
      </c>
      <c r="B459" s="19" t="inlineStr">
        <is>
          <t>Svaan</t>
        </is>
      </c>
      <c r="C459" s="19" t="inlineStr">
        <is>
          <t>Town</t>
        </is>
      </c>
      <c r="D459" s="19" t="inlineStr">
        <is>
          <t>Win</t>
        </is>
      </c>
      <c r="E459" s="19" t="n">
        <v>68</v>
      </c>
      <c r="F459" s="19" t="n">
        <v>29.4527376371305</v>
      </c>
      <c r="G459" s="19" t="n">
        <v>30.3770236592317</v>
      </c>
      <c r="H459" s="19" t="n">
        <v>7.55527566461178</v>
      </c>
      <c r="I459" s="19" t="n">
        <v>1227</v>
      </c>
      <c r="J459" s="19" t="n">
        <v>1295</v>
      </c>
      <c r="K459" s="19" t="n">
        <v>7.60587558851336</v>
      </c>
    </row>
    <row r="460">
      <c r="A460" s="19" t="n">
        <v>128</v>
      </c>
      <c r="B460" s="19" t="inlineStr">
        <is>
          <t>Chelsea</t>
        </is>
      </c>
      <c r="C460" s="19" t="inlineStr">
        <is>
          <t>Town</t>
        </is>
      </c>
      <c r="D460" s="19" t="inlineStr">
        <is>
          <t>Win</t>
        </is>
      </c>
      <c r="E460" s="19" t="n">
        <v>76</v>
      </c>
      <c r="F460" s="19" t="n">
        <v>21.9105470299128</v>
      </c>
      <c r="G460" s="19" t="n">
        <v>22.9365580467634</v>
      </c>
      <c r="H460" s="19" t="n">
        <v>7.95360411406481</v>
      </c>
      <c r="I460" s="19" t="n">
        <v>672</v>
      </c>
      <c r="J460" s="19" t="n">
        <v>748</v>
      </c>
      <c r="K460" s="19" t="n">
        <v>8.014114233666451</v>
      </c>
    </row>
    <row r="461">
      <c r="A461" s="19" t="n">
        <v>128</v>
      </c>
      <c r="B461" s="19" t="inlineStr">
        <is>
          <t>Laur</t>
        </is>
      </c>
      <c r="C461" s="19" t="inlineStr">
        <is>
          <t>Town</t>
        </is>
      </c>
      <c r="D461" s="19" t="inlineStr">
        <is>
          <t>Win</t>
        </is>
      </c>
      <c r="E461" s="19" t="n">
        <v>53</v>
      </c>
      <c r="F461" s="19" t="n">
        <v>29.6692068397641</v>
      </c>
      <c r="G461" s="19" t="n">
        <v>30.4063695482133</v>
      </c>
      <c r="H461" s="19" t="n">
        <v>6.75752927076501</v>
      </c>
      <c r="I461" s="19" t="n">
        <v>1325</v>
      </c>
      <c r="J461" s="19" t="n">
        <v>1378</v>
      </c>
      <c r="K461" s="19" t="n">
        <v>6.79112822398574</v>
      </c>
    </row>
    <row r="462">
      <c r="A462" s="19" t="n">
        <v>128</v>
      </c>
      <c r="B462" s="19" t="inlineStr">
        <is>
          <t>Doublea</t>
        </is>
      </c>
      <c r="C462" s="19" t="inlineStr">
        <is>
          <t>Town</t>
        </is>
      </c>
      <c r="D462" s="19" t="inlineStr">
        <is>
          <t>Win</t>
        </is>
      </c>
      <c r="E462" s="19" t="n">
        <v>66</v>
      </c>
      <c r="F462" s="19" t="n">
        <v>22.1488539021564</v>
      </c>
      <c r="G462" s="19" t="n">
        <v>23.0524946842096</v>
      </c>
      <c r="H462" s="19" t="n">
        <v>7.47167295318701</v>
      </c>
      <c r="I462" s="19" t="n">
        <v>739</v>
      </c>
      <c r="J462" s="19" t="n">
        <v>805</v>
      </c>
      <c r="K462" s="19" t="n">
        <v>7.52031821163347</v>
      </c>
    </row>
    <row r="463">
      <c r="A463" s="19" t="n">
        <v>128</v>
      </c>
      <c r="B463" s="19" t="inlineStr">
        <is>
          <t>Mintt</t>
        </is>
      </c>
      <c r="C463" s="19" t="inlineStr">
        <is>
          <t>Mafia</t>
        </is>
      </c>
      <c r="D463" s="19" t="inlineStr">
        <is>
          <t>Loss</t>
        </is>
      </c>
      <c r="E463" s="19" t="n">
        <v>-51</v>
      </c>
      <c r="F463" s="19" t="n">
        <v>33.6415723776664</v>
      </c>
      <c r="G463" s="19" t="n">
        <v>32.8451048817743</v>
      </c>
      <c r="H463" s="19" t="n">
        <v>7.0207191941695</v>
      </c>
      <c r="I463" s="19" t="n">
        <v>1568</v>
      </c>
      <c r="J463" s="19" t="n">
        <v>1517</v>
      </c>
      <c r="K463" s="19" t="n">
        <v>7.0595306911805</v>
      </c>
    </row>
    <row r="464">
      <c r="A464" s="19" t="n">
        <v>128</v>
      </c>
      <c r="B464" s="19" t="inlineStr">
        <is>
          <t>Badpants</t>
        </is>
      </c>
      <c r="C464" s="19" t="inlineStr">
        <is>
          <t>Mafia</t>
        </is>
      </c>
      <c r="D464" s="19" t="inlineStr">
        <is>
          <t>Loss</t>
        </is>
      </c>
      <c r="E464" s="19" t="n">
        <v>-44</v>
      </c>
      <c r="F464" s="19" t="n">
        <v>26.1176006102148</v>
      </c>
      <c r="G464" s="19" t="n">
        <v>25.417651744357</v>
      </c>
      <c r="H464" s="19" t="n">
        <v>6.58673604991191</v>
      </c>
      <c r="I464" s="19" t="n">
        <v>1101</v>
      </c>
      <c r="J464" s="19" t="n">
        <v>1057</v>
      </c>
      <c r="K464" s="19" t="n">
        <v>6.61714845991189</v>
      </c>
    </row>
    <row r="465">
      <c r="A465" s="19" t="n">
        <v>128</v>
      </c>
      <c r="B465" s="19" t="inlineStr">
        <is>
          <t>Decode</t>
        </is>
      </c>
      <c r="C465" s="19" t="inlineStr">
        <is>
          <t>Mafia</t>
        </is>
      </c>
      <c r="D465" s="19" t="inlineStr">
        <is>
          <t>Loss</t>
        </is>
      </c>
      <c r="E465" s="19" t="n">
        <v>-62</v>
      </c>
      <c r="F465" s="19" t="n">
        <v>19.8901611683446</v>
      </c>
      <c r="G465" s="19" t="n">
        <v>18.8975178772613</v>
      </c>
      <c r="H465" s="19" t="n">
        <v>7.82532605618317</v>
      </c>
      <c r="I465" s="19" t="n">
        <v>549</v>
      </c>
      <c r="J465" s="19" t="n">
        <v>487</v>
      </c>
      <c r="K465" s="19" t="n">
        <v>7.88253474095692</v>
      </c>
    </row>
    <row r="466">
      <c r="A466" s="19" t="n">
        <v>127</v>
      </c>
      <c r="B466" s="19" t="inlineStr">
        <is>
          <t>Smit</t>
        </is>
      </c>
      <c r="C466" s="19" t="inlineStr">
        <is>
          <t>Town</t>
        </is>
      </c>
      <c r="D466" s="19" t="inlineStr">
        <is>
          <t>Win</t>
        </is>
      </c>
      <c r="E466" s="19" t="n">
        <v>66</v>
      </c>
      <c r="F466" s="19" t="n">
        <v>25.4561765185155</v>
      </c>
      <c r="G466" s="19" t="n">
        <v>26.3738883550825</v>
      </c>
      <c r="H466" s="19" t="n">
        <v>6.62771596173739</v>
      </c>
      <c r="I466" s="19" t="n">
        <v>1051</v>
      </c>
      <c r="J466" s="19" t="n">
        <v>1117</v>
      </c>
      <c r="K466" s="19" t="n">
        <v>6.66241526249565</v>
      </c>
    </row>
    <row r="467">
      <c r="A467" s="19" t="n">
        <v>127</v>
      </c>
      <c r="B467" s="19" t="inlineStr">
        <is>
          <t>Gilbert</t>
        </is>
      </c>
      <c r="C467" s="19" t="inlineStr">
        <is>
          <t>Town</t>
        </is>
      </c>
      <c r="D467" s="19" t="inlineStr">
        <is>
          <t>Win</t>
        </is>
      </c>
      <c r="E467" s="19" t="n">
        <v>83</v>
      </c>
      <c r="F467" s="19" t="n">
        <v>25.1548518743487</v>
      </c>
      <c r="G467" s="19" t="n">
        <v>26.298955137043</v>
      </c>
      <c r="H467" s="19" t="n">
        <v>7.38873611170978</v>
      </c>
      <c r="I467" s="19" t="n">
        <v>952</v>
      </c>
      <c r="J467" s="19" t="n">
        <v>1035</v>
      </c>
      <c r="K467" s="19" t="n">
        <v>7.44043365344963</v>
      </c>
    </row>
    <row r="468">
      <c r="A468" s="19" t="n">
        <v>127</v>
      </c>
      <c r="B468" s="19" t="inlineStr">
        <is>
          <t>Chelsea</t>
        </is>
      </c>
      <c r="C468" s="19" t="inlineStr">
        <is>
          <t>Town</t>
        </is>
      </c>
      <c r="D468" s="19" t="inlineStr">
        <is>
          <t>Win</t>
        </is>
      </c>
      <c r="E468" s="19" t="n">
        <v>98</v>
      </c>
      <c r="F468" s="19" t="n">
        <v>20.5607677472896</v>
      </c>
      <c r="G468" s="19" t="n">
        <v>21.9105470299128</v>
      </c>
      <c r="H468" s="19" t="n">
        <v>8.014114233666451</v>
      </c>
      <c r="I468" s="19" t="n">
        <v>574</v>
      </c>
      <c r="J468" s="19" t="n">
        <v>672</v>
      </c>
      <c r="K468" s="19" t="n">
        <v>8.08259468895694</v>
      </c>
    </row>
    <row r="469">
      <c r="A469" s="19" t="n">
        <v>127</v>
      </c>
      <c r="B469" s="19" t="inlineStr">
        <is>
          <t>Badpants</t>
        </is>
      </c>
      <c r="C469" s="19" t="inlineStr">
        <is>
          <t>Town</t>
        </is>
      </c>
      <c r="D469" s="19" t="inlineStr">
        <is>
          <t>Win</t>
        </is>
      </c>
      <c r="E469" s="19" t="n">
        <v>66</v>
      </c>
      <c r="F469" s="19" t="n">
        <v>25.2028499500257</v>
      </c>
      <c r="G469" s="19" t="n">
        <v>26.1176006102148</v>
      </c>
      <c r="H469" s="19" t="n">
        <v>6.61714845991189</v>
      </c>
      <c r="I469" s="19" t="n">
        <v>1035</v>
      </c>
      <c r="J469" s="19" t="n">
        <v>1101</v>
      </c>
      <c r="K469" s="19" t="n">
        <v>6.65163595666301</v>
      </c>
    </row>
    <row r="470">
      <c r="A470" s="19" t="n">
        <v>127</v>
      </c>
      <c r="B470" s="19" t="inlineStr">
        <is>
          <t>Chester</t>
        </is>
      </c>
      <c r="C470" s="19" t="inlineStr">
        <is>
          <t>Town</t>
        </is>
      </c>
      <c r="D470" s="19" t="inlineStr">
        <is>
          <t>Win</t>
        </is>
      </c>
      <c r="E470" s="19" t="n">
        <v>79</v>
      </c>
      <c r="F470" s="19" t="n">
        <v>29.6665591171838</v>
      </c>
      <c r="G470" s="19" t="n">
        <v>30.7483373199135</v>
      </c>
      <c r="H470" s="19" t="n">
        <v>7.18773719601366</v>
      </c>
      <c r="I470" s="19" t="n">
        <v>1279</v>
      </c>
      <c r="J470" s="19" t="n">
        <v>1358</v>
      </c>
      <c r="K470" s="19" t="n">
        <v>7.23459809759075</v>
      </c>
    </row>
    <row r="471">
      <c r="A471" s="19" t="n">
        <v>127</v>
      </c>
      <c r="B471" s="19" t="inlineStr">
        <is>
          <t>Cyclone</t>
        </is>
      </c>
      <c r="C471" s="19" t="inlineStr">
        <is>
          <t>Town</t>
        </is>
      </c>
      <c r="D471" s="19" t="inlineStr">
        <is>
          <t>Win</t>
        </is>
      </c>
      <c r="E471" s="19" t="n">
        <v>96</v>
      </c>
      <c r="F471" s="19" t="n">
        <v>25.882187688749</v>
      </c>
      <c r="G471" s="19" t="n">
        <v>27.202871889392</v>
      </c>
      <c r="H471" s="19" t="n">
        <v>7.92885575969474</v>
      </c>
      <c r="I471" s="19" t="n">
        <v>945</v>
      </c>
      <c r="J471" s="19" t="n">
        <v>1041</v>
      </c>
      <c r="K471" s="19" t="n">
        <v>7.99488687106768</v>
      </c>
    </row>
    <row r="472">
      <c r="A472" s="19" t="n">
        <v>127</v>
      </c>
      <c r="B472" s="19" t="inlineStr">
        <is>
          <t>Lou</t>
        </is>
      </c>
      <c r="C472" s="19" t="inlineStr">
        <is>
          <t>Town</t>
        </is>
      </c>
      <c r="D472" s="19" t="inlineStr">
        <is>
          <t>Win</t>
        </is>
      </c>
      <c r="E472" s="19" t="n">
        <v>66</v>
      </c>
      <c r="F472" s="19" t="n">
        <v>29.1010147389478</v>
      </c>
      <c r="G472" s="19" t="n">
        <v>30.0287067432639</v>
      </c>
      <c r="H472" s="19" t="n">
        <v>6.66320225231297</v>
      </c>
      <c r="I472" s="19" t="n">
        <v>1296</v>
      </c>
      <c r="J472" s="19" t="n">
        <v>1362</v>
      </c>
      <c r="K472" s="19" t="n">
        <v>6.69861742850722</v>
      </c>
    </row>
    <row r="473">
      <c r="A473" s="19" t="n">
        <v>127</v>
      </c>
      <c r="B473" s="19" t="inlineStr">
        <is>
          <t>Rocker</t>
        </is>
      </c>
      <c r="C473" s="19" t="inlineStr">
        <is>
          <t>Town</t>
        </is>
      </c>
      <c r="D473" s="19" t="inlineStr">
        <is>
          <t>Win</t>
        </is>
      </c>
      <c r="E473" s="19" t="n">
        <v>62</v>
      </c>
      <c r="F473" s="19" t="n">
        <v>31.3137623583906</v>
      </c>
      <c r="G473" s="19" t="n">
        <v>32.1856109169727</v>
      </c>
      <c r="H473" s="19" t="n">
        <v>6.46200618557218</v>
      </c>
      <c r="I473" s="19" t="n">
        <v>1467</v>
      </c>
      <c r="J473" s="19" t="n">
        <v>1529</v>
      </c>
      <c r="K473" s="19" t="n">
        <v>6.49345591615819</v>
      </c>
    </row>
    <row r="474">
      <c r="A474" s="19" t="n">
        <v>127</v>
      </c>
      <c r="B474" s="19" t="inlineStr">
        <is>
          <t>Brownkow</t>
        </is>
      </c>
      <c r="C474" s="19" t="inlineStr">
        <is>
          <t>Town</t>
        </is>
      </c>
      <c r="D474" s="19" t="inlineStr">
        <is>
          <t>Win</t>
        </is>
      </c>
      <c r="E474" s="19" t="n">
        <v>63</v>
      </c>
      <c r="F474" s="19" t="n">
        <v>33.1871373803188</v>
      </c>
      <c r="G474" s="19" t="n">
        <v>34.0648046553539</v>
      </c>
      <c r="H474" s="19" t="n">
        <v>6.48327629423938</v>
      </c>
      <c r="I474" s="19" t="n">
        <v>1592</v>
      </c>
      <c r="J474" s="19" t="n">
        <v>1655</v>
      </c>
      <c r="K474" s="19" t="n">
        <v>6.5151346389021</v>
      </c>
    </row>
    <row r="475">
      <c r="A475" s="19" t="n">
        <v>127</v>
      </c>
      <c r="B475" s="19" t="inlineStr">
        <is>
          <t>Chipper</t>
        </is>
      </c>
      <c r="C475" s="19" t="inlineStr">
        <is>
          <t>Town</t>
        </is>
      </c>
      <c r="D475" s="19" t="inlineStr">
        <is>
          <t>Win</t>
        </is>
      </c>
      <c r="E475" s="19" t="n">
        <v>74</v>
      </c>
      <c r="F475" s="19" t="n">
        <v>24.6421255989921</v>
      </c>
      <c r="G475" s="19" t="n">
        <v>25.6650177028908</v>
      </c>
      <c r="H475" s="19" t="n">
        <v>6.99218868523041</v>
      </c>
      <c r="I475" s="19" t="n">
        <v>958</v>
      </c>
      <c r="J475" s="19" t="n">
        <v>1032</v>
      </c>
      <c r="K475" s="19" t="n">
        <v>7.03458874694134</v>
      </c>
    </row>
    <row r="476">
      <c r="A476" s="19" t="n">
        <v>127</v>
      </c>
      <c r="B476" s="19" t="inlineStr">
        <is>
          <t>Paradox</t>
        </is>
      </c>
      <c r="C476" s="19" t="inlineStr">
        <is>
          <t>Mafia</t>
        </is>
      </c>
      <c r="D476" s="19" t="inlineStr">
        <is>
          <t>Loss</t>
        </is>
      </c>
      <c r="E476" s="19" t="n">
        <v>-90</v>
      </c>
      <c r="F476" s="19" t="n">
        <v>25</v>
      </c>
      <c r="G476" s="19" t="n">
        <v>23.5652928983084</v>
      </c>
      <c r="H476" s="19" t="n">
        <v>8.25756468261098</v>
      </c>
      <c r="I476" s="19" t="n">
        <v>850</v>
      </c>
      <c r="J476" s="19" t="n">
        <v>760</v>
      </c>
      <c r="K476" s="19" t="n">
        <v>8.33333333333333</v>
      </c>
    </row>
    <row r="477">
      <c r="A477" s="19" t="n">
        <v>127</v>
      </c>
      <c r="B477" s="19" t="inlineStr">
        <is>
          <t>Motr</t>
        </is>
      </c>
      <c r="C477" s="19" t="inlineStr">
        <is>
          <t>Mafia</t>
        </is>
      </c>
      <c r="D477" s="19" t="inlineStr">
        <is>
          <t>Loss</t>
        </is>
      </c>
      <c r="E477" s="19" t="n">
        <v>-77</v>
      </c>
      <c r="F477" s="19" t="n">
        <v>25.5399604675289</v>
      </c>
      <c r="G477" s="19" t="n">
        <v>24.3169442861712</v>
      </c>
      <c r="H477" s="19" t="n">
        <v>7.63516638744209</v>
      </c>
      <c r="I477" s="19" t="n">
        <v>952</v>
      </c>
      <c r="J477" s="19" t="n">
        <v>875</v>
      </c>
      <c r="K477" s="19" t="n">
        <v>7.69315556973154</v>
      </c>
    </row>
    <row r="478">
      <c r="A478" s="19" t="n">
        <v>127</v>
      </c>
      <c r="B478" s="19" t="inlineStr">
        <is>
          <t>Laur</t>
        </is>
      </c>
      <c r="C478" s="19" t="inlineStr">
        <is>
          <t>Mafia</t>
        </is>
      </c>
      <c r="D478" s="19" t="inlineStr">
        <is>
          <t>Loss</t>
        </is>
      </c>
      <c r="E478" s="19" t="n">
        <v>-61</v>
      </c>
      <c r="F478" s="19" t="n">
        <v>30.6333425349144</v>
      </c>
      <c r="G478" s="19" t="n">
        <v>29.6692068397641</v>
      </c>
      <c r="H478" s="19" t="n">
        <v>6.79112822398574</v>
      </c>
      <c r="I478" s="19" t="n">
        <v>1386</v>
      </c>
      <c r="J478" s="19" t="n">
        <v>1325</v>
      </c>
      <c r="K478" s="19" t="n">
        <v>6.8291839627247</v>
      </c>
    </row>
    <row r="479">
      <c r="A479" s="19" t="n">
        <v>126</v>
      </c>
      <c r="B479" s="19" t="inlineStr">
        <is>
          <t>Brownkow</t>
        </is>
      </c>
      <c r="C479" s="19" t="inlineStr">
        <is>
          <t>Town</t>
        </is>
      </c>
      <c r="D479" s="19" t="inlineStr">
        <is>
          <t>Win</t>
        </is>
      </c>
      <c r="E479" s="19" t="n">
        <v>60</v>
      </c>
      <c r="F479" s="19" t="n">
        <v>32.3474726184172</v>
      </c>
      <c r="G479" s="19" t="n">
        <v>33.1871373803188</v>
      </c>
      <c r="H479" s="19" t="n">
        <v>6.5151346389021</v>
      </c>
      <c r="I479" s="19" t="n">
        <v>1532</v>
      </c>
      <c r="J479" s="19" t="n">
        <v>1592</v>
      </c>
      <c r="K479" s="19" t="n">
        <v>6.54784799606694</v>
      </c>
    </row>
    <row r="480">
      <c r="A480" s="19" t="n">
        <v>126</v>
      </c>
      <c r="B480" s="19" t="inlineStr">
        <is>
          <t>Gilbert</t>
        </is>
      </c>
      <c r="C480" s="19" t="inlineStr">
        <is>
          <t>Town</t>
        </is>
      </c>
      <c r="D480" s="19" t="inlineStr">
        <is>
          <t>Win</t>
        </is>
      </c>
      <c r="E480" s="19" t="n">
        <v>81</v>
      </c>
      <c r="F480" s="19" t="n">
        <v>24.0556054118359</v>
      </c>
      <c r="G480" s="19" t="n">
        <v>25.1548518743487</v>
      </c>
      <c r="H480" s="19" t="n">
        <v>7.44043365344963</v>
      </c>
      <c r="I480" s="19" t="n">
        <v>871</v>
      </c>
      <c r="J480" s="19" t="n">
        <v>952</v>
      </c>
      <c r="K480" s="19" t="n">
        <v>7.49377722264225</v>
      </c>
    </row>
    <row r="481">
      <c r="A481" s="19" t="n">
        <v>126</v>
      </c>
      <c r="B481" s="19" t="inlineStr">
        <is>
          <t>TCP</t>
        </is>
      </c>
      <c r="C481" s="19" t="inlineStr">
        <is>
          <t>Town</t>
        </is>
      </c>
      <c r="D481" s="19" t="inlineStr">
        <is>
          <t>Win</t>
        </is>
      </c>
      <c r="E481" s="19" t="n">
        <v>92</v>
      </c>
      <c r="F481" s="19" t="n">
        <v>23.7158166626677</v>
      </c>
      <c r="G481" s="19" t="n">
        <v>24.9715487048524</v>
      </c>
      <c r="H481" s="19" t="n">
        <v>7.94334710070438</v>
      </c>
      <c r="I481" s="19" t="n">
        <v>796</v>
      </c>
      <c r="J481" s="19" t="n">
        <v>888</v>
      </c>
      <c r="K481" s="19" t="n">
        <v>8.010231946901939</v>
      </c>
    </row>
    <row r="482">
      <c r="A482" s="19" t="n">
        <v>126</v>
      </c>
      <c r="B482" s="19" t="inlineStr">
        <is>
          <t>Lou</t>
        </is>
      </c>
      <c r="C482" s="19" t="inlineStr">
        <is>
          <t>Town</t>
        </is>
      </c>
      <c r="D482" s="19" t="inlineStr">
        <is>
          <t>Win</t>
        </is>
      </c>
      <c r="E482" s="19" t="n">
        <v>65</v>
      </c>
      <c r="F482" s="19" t="n">
        <v>28.2127633896159</v>
      </c>
      <c r="G482" s="19" t="n">
        <v>29.1010147389478</v>
      </c>
      <c r="H482" s="19" t="n">
        <v>6.69861742850722</v>
      </c>
      <c r="I482" s="19" t="n">
        <v>1231</v>
      </c>
      <c r="J482" s="19" t="n">
        <v>1296</v>
      </c>
      <c r="K482" s="19" t="n">
        <v>6.73501387934924</v>
      </c>
    </row>
    <row r="483">
      <c r="A483" s="19" t="n">
        <v>126</v>
      </c>
      <c r="B483" s="19" t="inlineStr">
        <is>
          <t>Iln</t>
        </is>
      </c>
      <c r="C483" s="19" t="inlineStr">
        <is>
          <t>Town</t>
        </is>
      </c>
      <c r="D483" s="19" t="inlineStr">
        <is>
          <t>Win</t>
        </is>
      </c>
      <c r="E483" s="19" t="n">
        <v>64</v>
      </c>
      <c r="F483" s="19" t="n">
        <v>28.1624772199621</v>
      </c>
      <c r="G483" s="19" t="n">
        <v>29.0457359708185</v>
      </c>
      <c r="H483" s="19" t="n">
        <v>6.68000762608885</v>
      </c>
      <c r="I483" s="19" t="n">
        <v>1230</v>
      </c>
      <c r="J483" s="19" t="n">
        <v>1294</v>
      </c>
      <c r="K483" s="19" t="n">
        <v>6.71602178480125</v>
      </c>
    </row>
    <row r="484">
      <c r="A484" s="19" t="n">
        <v>126</v>
      </c>
      <c r="B484" s="19" t="inlineStr">
        <is>
          <t>Ken</t>
        </is>
      </c>
      <c r="C484" s="19" t="inlineStr">
        <is>
          <t>Town</t>
        </is>
      </c>
      <c r="D484" s="19" t="inlineStr">
        <is>
          <t>Win</t>
        </is>
      </c>
      <c r="E484" s="19" t="n">
        <v>89</v>
      </c>
      <c r="F484" s="19" t="n">
        <v>24.0653321325257</v>
      </c>
      <c r="G484" s="19" t="n">
        <v>25.2796893231627</v>
      </c>
      <c r="H484" s="19" t="n">
        <v>7.81374868527722</v>
      </c>
      <c r="I484" s="19" t="n">
        <v>833</v>
      </c>
      <c r="J484" s="19" t="n">
        <v>922</v>
      </c>
      <c r="K484" s="19" t="n">
        <v>7.87697469517011</v>
      </c>
    </row>
    <row r="485">
      <c r="A485" s="19" t="n">
        <v>126</v>
      </c>
      <c r="B485" s="19" t="inlineStr">
        <is>
          <t>Mintt</t>
        </is>
      </c>
      <c r="C485" s="19" t="inlineStr">
        <is>
          <t>Town</t>
        </is>
      </c>
      <c r="D485" s="19" t="inlineStr">
        <is>
          <t>Win</t>
        </is>
      </c>
      <c r="E485" s="19" t="n">
        <v>72</v>
      </c>
      <c r="F485" s="19" t="n">
        <v>32.6535956009141</v>
      </c>
      <c r="G485" s="19" t="n">
        <v>33.6415723776664</v>
      </c>
      <c r="H485" s="19" t="n">
        <v>7.0595306911805</v>
      </c>
      <c r="I485" s="19" t="n">
        <v>1496</v>
      </c>
      <c r="J485" s="19" t="n">
        <v>1568</v>
      </c>
      <c r="K485" s="19" t="n">
        <v>7.10374575974715</v>
      </c>
    </row>
    <row r="486">
      <c r="A486" s="19" t="n">
        <v>126</v>
      </c>
      <c r="B486" s="19" t="inlineStr">
        <is>
          <t>Carson</t>
        </is>
      </c>
      <c r="C486" s="19" t="inlineStr">
        <is>
          <t>Town</t>
        </is>
      </c>
      <c r="D486" s="19" t="inlineStr">
        <is>
          <t>Win</t>
        </is>
      </c>
      <c r="E486" s="19" t="n">
        <v>63</v>
      </c>
      <c r="F486" s="19" t="n">
        <v>31.6434247481166</v>
      </c>
      <c r="G486" s="19" t="n">
        <v>32.5267354033899</v>
      </c>
      <c r="H486" s="19" t="n">
        <v>6.68020137944759</v>
      </c>
      <c r="I486" s="19" t="n">
        <v>1467</v>
      </c>
      <c r="J486" s="19" t="n">
        <v>1530</v>
      </c>
      <c r="K486" s="19" t="n">
        <v>6.71621950806898</v>
      </c>
    </row>
    <row r="487">
      <c r="A487" s="19" t="n">
        <v>126</v>
      </c>
      <c r="B487" s="19" t="inlineStr">
        <is>
          <t>Plen</t>
        </is>
      </c>
      <c r="C487" s="19" t="inlineStr">
        <is>
          <t>Town</t>
        </is>
      </c>
      <c r="D487" s="19" t="inlineStr">
        <is>
          <t>Win</t>
        </is>
      </c>
      <c r="E487" s="19" t="n">
        <v>60</v>
      </c>
      <c r="F487" s="19" t="n">
        <v>21.6793299754893</v>
      </c>
      <c r="G487" s="19" t="n">
        <v>22.5136947025507</v>
      </c>
      <c r="H487" s="19" t="n">
        <v>6.49478985734966</v>
      </c>
      <c r="I487" s="19" t="n">
        <v>808</v>
      </c>
      <c r="J487" s="19" t="n">
        <v>868</v>
      </c>
      <c r="K487" s="19" t="n">
        <v>6.52710648048552</v>
      </c>
    </row>
    <row r="488">
      <c r="A488" s="19" t="n">
        <v>126</v>
      </c>
      <c r="B488" s="19" t="inlineStr">
        <is>
          <t>Noah</t>
        </is>
      </c>
      <c r="C488" s="19" t="inlineStr">
        <is>
          <t>Town</t>
        </is>
      </c>
      <c r="D488" s="19" t="inlineStr">
        <is>
          <t>Win</t>
        </is>
      </c>
      <c r="E488" s="19" t="n">
        <v>62</v>
      </c>
      <c r="F488" s="19" t="n">
        <v>31.5672758451603</v>
      </c>
      <c r="G488" s="19" t="n">
        <v>32.4375226165062</v>
      </c>
      <c r="H488" s="19" t="n">
        <v>6.63124736627828</v>
      </c>
      <c r="I488" s="19" t="n">
        <v>1467</v>
      </c>
      <c r="J488" s="19" t="n">
        <v>1529</v>
      </c>
      <c r="K488" s="19" t="n">
        <v>6.66626929184801</v>
      </c>
    </row>
    <row r="489">
      <c r="A489" s="19" t="n">
        <v>126</v>
      </c>
      <c r="B489" s="19" t="inlineStr">
        <is>
          <t>Badpants</t>
        </is>
      </c>
      <c r="C489" s="19" t="inlineStr">
        <is>
          <t>Mafia</t>
        </is>
      </c>
      <c r="D489" s="19" t="inlineStr">
        <is>
          <t>Loss</t>
        </is>
      </c>
      <c r="E489" s="19" t="n">
        <v>-56</v>
      </c>
      <c r="F489" s="19" t="n">
        <v>26.0785253417356</v>
      </c>
      <c r="G489" s="19" t="n">
        <v>25.2028499500257</v>
      </c>
      <c r="H489" s="19" t="n">
        <v>6.65163595666301</v>
      </c>
      <c r="I489" s="19" t="n">
        <v>1091</v>
      </c>
      <c r="J489" s="19" t="n">
        <v>1035</v>
      </c>
      <c r="K489" s="19" t="n">
        <v>6.68707111975315</v>
      </c>
    </row>
    <row r="490">
      <c r="A490" s="19" t="n">
        <v>126</v>
      </c>
      <c r="B490" s="19" t="inlineStr">
        <is>
          <t>Strik3r</t>
        </is>
      </c>
      <c r="C490" s="19" t="inlineStr">
        <is>
          <t>Mafia</t>
        </is>
      </c>
      <c r="D490" s="19" t="inlineStr">
        <is>
          <t>Loss</t>
        </is>
      </c>
      <c r="E490" s="19" t="n">
        <v>-66</v>
      </c>
      <c r="F490" s="19" t="n">
        <v>25.154306262703</v>
      </c>
      <c r="G490" s="19" t="n">
        <v>24.10121081982</v>
      </c>
      <c r="H490" s="19" t="n">
        <v>7.28501652675163</v>
      </c>
      <c r="I490" s="19" t="n">
        <v>962</v>
      </c>
      <c r="J490" s="19" t="n">
        <v>896</v>
      </c>
      <c r="K490" s="19" t="n">
        <v>7.33452265839058</v>
      </c>
    </row>
    <row r="491">
      <c r="A491" s="19" t="n">
        <v>126</v>
      </c>
      <c r="B491" s="19" t="inlineStr">
        <is>
          <t>Chester</t>
        </is>
      </c>
      <c r="C491" s="19" t="inlineStr">
        <is>
          <t>Mafia</t>
        </is>
      </c>
      <c r="D491" s="19" t="inlineStr">
        <is>
          <t>Loss</t>
        </is>
      </c>
      <c r="E491" s="19" t="n">
        <v>-66</v>
      </c>
      <c r="F491" s="19" t="n">
        <v>30.704905407734</v>
      </c>
      <c r="G491" s="19" t="n">
        <v>29.6665591171838</v>
      </c>
      <c r="H491" s="19" t="n">
        <v>7.23459809759075</v>
      </c>
      <c r="I491" s="19" t="n">
        <v>1345</v>
      </c>
      <c r="J491" s="19" t="n">
        <v>1279</v>
      </c>
      <c r="K491" s="19" t="n">
        <v>7.28289310009467</v>
      </c>
    </row>
    <row r="492">
      <c r="A492" s="19" t="n">
        <v>125</v>
      </c>
      <c r="B492" s="19" t="inlineStr">
        <is>
          <t>Crispy</t>
        </is>
      </c>
      <c r="C492" s="19" t="inlineStr">
        <is>
          <t>Town</t>
        </is>
      </c>
      <c r="D492" s="19" t="inlineStr">
        <is>
          <t>Loss</t>
        </is>
      </c>
      <c r="E492" s="19" t="n">
        <v>-48</v>
      </c>
      <c r="F492" s="19" t="n">
        <v>27.1195115794799</v>
      </c>
      <c r="G492" s="19" t="n">
        <v>26.3378268942503</v>
      </c>
      <c r="H492" s="19" t="n">
        <v>8.15543023855939</v>
      </c>
      <c r="I492" s="19" t="n">
        <v>1007</v>
      </c>
      <c r="J492" s="19" t="n">
        <v>959</v>
      </c>
      <c r="K492" s="19" t="n">
        <v>8.21037170507781</v>
      </c>
    </row>
    <row r="493">
      <c r="A493" s="19" t="n">
        <v>125</v>
      </c>
      <c r="B493" s="19" t="inlineStr">
        <is>
          <t>Plen</t>
        </is>
      </c>
      <c r="C493" s="19" t="inlineStr">
        <is>
          <t>Town</t>
        </is>
      </c>
      <c r="D493" s="19" t="inlineStr">
        <is>
          <t>Loss</t>
        </is>
      </c>
      <c r="E493" s="19" t="n">
        <v>-32</v>
      </c>
      <c r="F493" s="19" t="n">
        <v>22.1773440769693</v>
      </c>
      <c r="G493" s="19" t="n">
        <v>21.6793299754893</v>
      </c>
      <c r="H493" s="19" t="n">
        <v>6.52710648048552</v>
      </c>
      <c r="I493" s="19" t="n">
        <v>840</v>
      </c>
      <c r="J493" s="19" t="n">
        <v>808</v>
      </c>
      <c r="K493" s="19" t="n">
        <v>6.55092516118048</v>
      </c>
    </row>
    <row r="494">
      <c r="A494" s="19" t="n">
        <v>125</v>
      </c>
      <c r="B494" s="19" t="inlineStr">
        <is>
          <t>Siggy</t>
        </is>
      </c>
      <c r="C494" s="19" t="inlineStr">
        <is>
          <t>Town</t>
        </is>
      </c>
      <c r="D494" s="19" t="inlineStr">
        <is>
          <t>Loss</t>
        </is>
      </c>
      <c r="E494" s="19" t="n">
        <v>-47</v>
      </c>
      <c r="F494" s="19" t="n">
        <v>27.5206918457498</v>
      </c>
      <c r="G494" s="19" t="n">
        <v>26.760514784951</v>
      </c>
      <c r="H494" s="19" t="n">
        <v>8.04409690341263</v>
      </c>
      <c r="I494" s="19" t="n">
        <v>1046</v>
      </c>
      <c r="J494" s="19" t="n">
        <v>999</v>
      </c>
      <c r="K494" s="19" t="n">
        <v>8.096479021115581</v>
      </c>
    </row>
    <row r="495">
      <c r="A495" s="19" t="n">
        <v>125</v>
      </c>
      <c r="B495" s="19" t="inlineStr">
        <is>
          <t>Strik3r</t>
        </is>
      </c>
      <c r="C495" s="19" t="inlineStr">
        <is>
          <t>Town</t>
        </is>
      </c>
      <c r="D495" s="19" t="inlineStr">
        <is>
          <t>Loss</t>
        </is>
      </c>
      <c r="E495" s="19" t="n">
        <v>-39</v>
      </c>
      <c r="F495" s="19" t="n">
        <v>25.7847314112177</v>
      </c>
      <c r="G495" s="19" t="n">
        <v>25.154306262703</v>
      </c>
      <c r="H495" s="19" t="n">
        <v>7.33452265839058</v>
      </c>
      <c r="I495" s="19" t="n">
        <v>1001</v>
      </c>
      <c r="J495" s="19" t="n">
        <v>962</v>
      </c>
      <c r="K495" s="19" t="n">
        <v>7.37215081169915</v>
      </c>
    </row>
    <row r="496">
      <c r="A496" s="19" t="n">
        <v>125</v>
      </c>
      <c r="B496" s="19" t="inlineStr">
        <is>
          <t>Chester</t>
        </is>
      </c>
      <c r="C496" s="19" t="inlineStr">
        <is>
          <t>Town</t>
        </is>
      </c>
      <c r="D496" s="19" t="inlineStr">
        <is>
          <t>Loss</t>
        </is>
      </c>
      <c r="E496" s="19" t="n">
        <v>-39</v>
      </c>
      <c r="F496" s="19" t="n">
        <v>31.3263808324873</v>
      </c>
      <c r="G496" s="19" t="n">
        <v>30.704905407734</v>
      </c>
      <c r="H496" s="19" t="n">
        <v>7.28289310009467</v>
      </c>
      <c r="I496" s="19" t="n">
        <v>1384</v>
      </c>
      <c r="J496" s="19" t="n">
        <v>1345</v>
      </c>
      <c r="K496" s="19" t="n">
        <v>7.31954774049128</v>
      </c>
    </row>
    <row r="497">
      <c r="A497" s="19" t="n">
        <v>125</v>
      </c>
      <c r="B497" s="19" t="inlineStr">
        <is>
          <t>Whyin</t>
        </is>
      </c>
      <c r="C497" s="19" t="inlineStr">
        <is>
          <t>Town</t>
        </is>
      </c>
      <c r="D497" s="19" t="inlineStr">
        <is>
          <t>Loss</t>
        </is>
      </c>
      <c r="E497" s="19" t="n">
        <v>-37</v>
      </c>
      <c r="F497" s="19" t="n">
        <v>28.8101072606783</v>
      </c>
      <c r="G497" s="19" t="n">
        <v>28.2295843101787</v>
      </c>
      <c r="H497" s="19" t="n">
        <v>7.04158236075112</v>
      </c>
      <c r="I497" s="19" t="n">
        <v>1238</v>
      </c>
      <c r="J497" s="19" t="n">
        <v>1201</v>
      </c>
      <c r="K497" s="19" t="n">
        <v>7.07385625300514</v>
      </c>
    </row>
    <row r="498">
      <c r="A498" s="19" t="n">
        <v>125</v>
      </c>
      <c r="B498" s="19" t="inlineStr">
        <is>
          <t>Rocker</t>
        </is>
      </c>
      <c r="C498" s="19" t="inlineStr">
        <is>
          <t>Town</t>
        </is>
      </c>
      <c r="D498" s="19" t="inlineStr">
        <is>
          <t>Loss</t>
        </is>
      </c>
      <c r="E498" s="19" t="n">
        <v>-31</v>
      </c>
      <c r="F498" s="19" t="n">
        <v>31.8066064455477</v>
      </c>
      <c r="G498" s="19" t="n">
        <v>31.3137623583906</v>
      </c>
      <c r="H498" s="19" t="n">
        <v>6.49345591615819</v>
      </c>
      <c r="I498" s="19" t="n">
        <v>1498</v>
      </c>
      <c r="J498" s="19" t="n">
        <v>1467</v>
      </c>
      <c r="K498" s="19" t="n">
        <v>6.51676133383049</v>
      </c>
    </row>
    <row r="499">
      <c r="A499" s="19" t="n">
        <v>125</v>
      </c>
      <c r="B499" s="19" t="inlineStr">
        <is>
          <t>Smit</t>
        </is>
      </c>
      <c r="C499" s="19" t="inlineStr">
        <is>
          <t>Town</t>
        </is>
      </c>
      <c r="D499" s="19" t="inlineStr">
        <is>
          <t>Loss</t>
        </is>
      </c>
      <c r="E499" s="19" t="n">
        <v>-33</v>
      </c>
      <c r="F499" s="19" t="n">
        <v>25.9752595466634</v>
      </c>
      <c r="G499" s="19" t="n">
        <v>25.4561765185155</v>
      </c>
      <c r="H499" s="19" t="n">
        <v>6.66241526249565</v>
      </c>
      <c r="I499" s="19" t="n">
        <v>1084</v>
      </c>
      <c r="J499" s="19" t="n">
        <v>1051</v>
      </c>
      <c r="K499" s="19" t="n">
        <v>6.6883457551387</v>
      </c>
    </row>
    <row r="500">
      <c r="A500" s="19" t="n">
        <v>125</v>
      </c>
      <c r="B500" s="19" t="inlineStr">
        <is>
          <t>Noah</t>
        </is>
      </c>
      <c r="C500" s="19" t="inlineStr">
        <is>
          <t>Town</t>
        </is>
      </c>
      <c r="D500" s="19" t="inlineStr">
        <is>
          <t>Loss</t>
        </is>
      </c>
      <c r="E500" s="19" t="n">
        <v>-32</v>
      </c>
      <c r="F500" s="19" t="n">
        <v>32.0869655672108</v>
      </c>
      <c r="G500" s="19" t="n">
        <v>31.5672758451603</v>
      </c>
      <c r="H500" s="19" t="n">
        <v>6.66626929184801</v>
      </c>
      <c r="I500" s="19" t="n">
        <v>1499</v>
      </c>
      <c r="J500" s="19" t="n">
        <v>1467</v>
      </c>
      <c r="K500" s="19" t="n">
        <v>6.69226107546906</v>
      </c>
    </row>
    <row r="501">
      <c r="A501" s="19" t="n">
        <v>125</v>
      </c>
      <c r="B501" s="19" t="inlineStr">
        <is>
          <t>Chelsea</t>
        </is>
      </c>
      <c r="C501" s="19" t="inlineStr">
        <is>
          <t>Town</t>
        </is>
      </c>
      <c r="D501" s="19" t="inlineStr">
        <is>
          <t>Loss</t>
        </is>
      </c>
      <c r="E501" s="19" t="n">
        <v>-46</v>
      </c>
      <c r="F501" s="19" t="n">
        <v>21.3283464431375</v>
      </c>
      <c r="G501" s="19" t="n">
        <v>20.5607677472896</v>
      </c>
      <c r="H501" s="19" t="n">
        <v>8.08259468895694</v>
      </c>
      <c r="I501" s="19" t="n">
        <v>620</v>
      </c>
      <c r="J501" s="19" t="n">
        <v>574</v>
      </c>
      <c r="K501" s="19" t="n">
        <v>8.135853988123291</v>
      </c>
    </row>
    <row r="502">
      <c r="A502" s="19" t="n">
        <v>125</v>
      </c>
      <c r="B502" s="19" t="inlineStr">
        <is>
          <t>Rick</t>
        </is>
      </c>
      <c r="C502" s="19" t="inlineStr">
        <is>
          <t>Mafia</t>
        </is>
      </c>
      <c r="D502" s="19" t="inlineStr">
        <is>
          <t>Win</t>
        </is>
      </c>
      <c r="E502" s="19" t="n">
        <v>51</v>
      </c>
      <c r="F502" s="19" t="n">
        <v>27.9849731484809</v>
      </c>
      <c r="G502" s="19" t="n">
        <v>28.6679143488797</v>
      </c>
      <c r="H502" s="19" t="n">
        <v>7.63010118322462</v>
      </c>
      <c r="I502" s="19" t="n">
        <v>1120</v>
      </c>
      <c r="J502" s="19" t="n">
        <v>1171</v>
      </c>
      <c r="K502" s="19" t="n">
        <v>7.67355751671927</v>
      </c>
    </row>
    <row r="503">
      <c r="A503" s="19" t="n">
        <v>125</v>
      </c>
      <c r="B503" s="19" t="inlineStr">
        <is>
          <t>Carson</t>
        </is>
      </c>
      <c r="C503" s="19" t="inlineStr">
        <is>
          <t>Mafia</t>
        </is>
      </c>
      <c r="D503" s="19" t="inlineStr">
        <is>
          <t>Win</t>
        </is>
      </c>
      <c r="E503" s="19" t="n">
        <v>39</v>
      </c>
      <c r="F503" s="19" t="n">
        <v>31.1158389342205</v>
      </c>
      <c r="G503" s="19" t="n">
        <v>31.6434247481166</v>
      </c>
      <c r="H503" s="19" t="n">
        <v>6.71621950806898</v>
      </c>
      <c r="I503" s="19" t="n">
        <v>1428</v>
      </c>
      <c r="J503" s="19" t="n">
        <v>1467</v>
      </c>
      <c r="K503" s="19" t="n">
        <v>6.74301144283843</v>
      </c>
    </row>
    <row r="504">
      <c r="A504" s="19" t="n">
        <v>125</v>
      </c>
      <c r="B504" s="19" t="inlineStr">
        <is>
          <t>Lofty</t>
        </is>
      </c>
      <c r="C504" s="19" t="inlineStr">
        <is>
          <t>Mafia</t>
        </is>
      </c>
      <c r="D504" s="19" t="inlineStr">
        <is>
          <t>Win</t>
        </is>
      </c>
      <c r="E504" s="19" t="n">
        <v>53</v>
      </c>
      <c r="F504" s="19" t="n">
        <v>23.3779952374812</v>
      </c>
      <c r="G504" s="19" t="n">
        <v>24.0849031624612</v>
      </c>
      <c r="H504" s="19" t="n">
        <v>7.76106307427093</v>
      </c>
      <c r="I504" s="19" t="n">
        <v>793</v>
      </c>
      <c r="J504" s="19" t="n">
        <v>846</v>
      </c>
      <c r="K504" s="19" t="n">
        <v>7.80724437314469</v>
      </c>
    </row>
    <row r="505">
      <c r="A505" s="19" t="n">
        <v>124</v>
      </c>
      <c r="B505" s="19" t="inlineStr">
        <is>
          <t>Mintt</t>
        </is>
      </c>
      <c r="C505" s="19" t="inlineStr">
        <is>
          <t>Town</t>
        </is>
      </c>
      <c r="D505" s="19" t="inlineStr">
        <is>
          <t>Win</t>
        </is>
      </c>
      <c r="E505" s="19" t="n">
        <v>85</v>
      </c>
      <c r="F505" s="19" t="n">
        <v>31.4825614068387</v>
      </c>
      <c r="G505" s="19" t="n">
        <v>32.6535956009141</v>
      </c>
      <c r="H505" s="19" t="n">
        <v>7.10374575974715</v>
      </c>
      <c r="I505" s="19" t="n">
        <v>1411</v>
      </c>
      <c r="J505" s="19" t="n">
        <v>1496</v>
      </c>
      <c r="K505" s="19" t="n">
        <v>7.15079363374049</v>
      </c>
    </row>
    <row r="506">
      <c r="A506" s="19" t="n">
        <v>124</v>
      </c>
      <c r="B506" s="19" t="inlineStr">
        <is>
          <t>Chipper</t>
        </is>
      </c>
      <c r="C506" s="19" t="inlineStr">
        <is>
          <t>Town</t>
        </is>
      </c>
      <c r="D506" s="19" t="inlineStr">
        <is>
          <t>Win</t>
        </is>
      </c>
      <c r="E506" s="19" t="n">
        <v>83</v>
      </c>
      <c r="F506" s="19" t="n">
        <v>23.4941214412115</v>
      </c>
      <c r="G506" s="19" t="n">
        <v>24.6421255989921</v>
      </c>
      <c r="H506" s="19" t="n">
        <v>7.03458874694134</v>
      </c>
      <c r="I506" s="19" t="n">
        <v>875</v>
      </c>
      <c r="J506" s="19" t="n">
        <v>958</v>
      </c>
      <c r="K506" s="19" t="n">
        <v>7.08000427010104</v>
      </c>
    </row>
    <row r="507">
      <c r="A507" s="19" t="n">
        <v>124</v>
      </c>
      <c r="B507" s="19" t="inlineStr">
        <is>
          <t>Cyclone</t>
        </is>
      </c>
      <c r="C507" s="19" t="inlineStr">
        <is>
          <t>Town</t>
        </is>
      </c>
      <c r="D507" s="19" t="inlineStr">
        <is>
          <t>Win</t>
        </is>
      </c>
      <c r="E507" s="19" t="n">
        <v>109</v>
      </c>
      <c r="F507" s="19" t="n">
        <v>24.3928176987643</v>
      </c>
      <c r="G507" s="19" t="n">
        <v>25.882187688749</v>
      </c>
      <c r="H507" s="19" t="n">
        <v>7.99488687106768</v>
      </c>
      <c r="I507" s="19" t="n">
        <v>836</v>
      </c>
      <c r="J507" s="19" t="n">
        <v>945</v>
      </c>
      <c r="K507" s="19" t="n">
        <v>8.065892526700541</v>
      </c>
    </row>
    <row r="508">
      <c r="A508" s="19" t="n">
        <v>124</v>
      </c>
      <c r="B508" s="19" t="inlineStr">
        <is>
          <t>Ken</t>
        </is>
      </c>
      <c r="C508" s="19" t="inlineStr">
        <is>
          <t>Town</t>
        </is>
      </c>
      <c r="D508" s="19" t="inlineStr">
        <is>
          <t>Win</t>
        </is>
      </c>
      <c r="E508" s="19" t="n">
        <v>105</v>
      </c>
      <c r="F508" s="19" t="n">
        <v>22.6203998622916</v>
      </c>
      <c r="G508" s="19" t="n">
        <v>24.0653321325257</v>
      </c>
      <c r="H508" s="19" t="n">
        <v>7.87697469517011</v>
      </c>
      <c r="I508" s="19" t="n">
        <v>728</v>
      </c>
      <c r="J508" s="19" t="n">
        <v>833</v>
      </c>
      <c r="K508" s="19" t="n">
        <v>7.94448296672066</v>
      </c>
    </row>
    <row r="509">
      <c r="A509" s="19" t="n">
        <v>124</v>
      </c>
      <c r="B509" s="19" t="inlineStr">
        <is>
          <t>Gilbert</t>
        </is>
      </c>
      <c r="C509" s="19" t="inlineStr">
        <is>
          <t>Town</t>
        </is>
      </c>
      <c r="D509" s="19" t="inlineStr">
        <is>
          <t>Win</t>
        </is>
      </c>
      <c r="E509" s="19" t="n">
        <v>94</v>
      </c>
      <c r="F509" s="19" t="n">
        <v>22.7501917206419</v>
      </c>
      <c r="G509" s="19" t="n">
        <v>24.0556054118359</v>
      </c>
      <c r="H509" s="19" t="n">
        <v>7.49377722264225</v>
      </c>
      <c r="I509" s="19" t="n">
        <v>777</v>
      </c>
      <c r="J509" s="19" t="n">
        <v>871</v>
      </c>
      <c r="K509" s="19" t="n">
        <v>7.55062459034424</v>
      </c>
    </row>
    <row r="510">
      <c r="A510" s="19" t="n">
        <v>124</v>
      </c>
      <c r="B510" s="19" t="inlineStr">
        <is>
          <t>Lou</t>
        </is>
      </c>
      <c r="C510" s="19" t="inlineStr">
        <is>
          <t>Town</t>
        </is>
      </c>
      <c r="D510" s="19" t="inlineStr">
        <is>
          <t>Win</t>
        </is>
      </c>
      <c r="E510" s="19" t="n">
        <v>75</v>
      </c>
      <c r="F510" s="19" t="n">
        <v>27.161766967781</v>
      </c>
      <c r="G510" s="19" t="n">
        <v>28.2127633896159</v>
      </c>
      <c r="H510" s="19" t="n">
        <v>6.73501387934924</v>
      </c>
      <c r="I510" s="19" t="n">
        <v>1156</v>
      </c>
      <c r="J510" s="19" t="n">
        <v>1231</v>
      </c>
      <c r="K510" s="19" t="n">
        <v>6.77370718211774</v>
      </c>
    </row>
    <row r="511">
      <c r="A511" s="19" t="n">
        <v>124</v>
      </c>
      <c r="B511" s="19" t="inlineStr">
        <is>
          <t>Chester</t>
        </is>
      </c>
      <c r="C511" s="19" t="inlineStr">
        <is>
          <t>Town</t>
        </is>
      </c>
      <c r="D511" s="19" t="inlineStr">
        <is>
          <t>Win</t>
        </is>
      </c>
      <c r="E511" s="19" t="n">
        <v>90</v>
      </c>
      <c r="F511" s="19" t="n">
        <v>30.0819413196964</v>
      </c>
      <c r="G511" s="19" t="n">
        <v>31.3263808324873</v>
      </c>
      <c r="H511" s="19" t="n">
        <v>7.31954774049128</v>
      </c>
      <c r="I511" s="19" t="n">
        <v>1294</v>
      </c>
      <c r="J511" s="19" t="n">
        <v>1384</v>
      </c>
      <c r="K511" s="19" t="n">
        <v>7.37189084446462</v>
      </c>
    </row>
    <row r="512">
      <c r="A512" s="19" t="n">
        <v>124</v>
      </c>
      <c r="B512" s="19" t="inlineStr">
        <is>
          <t>Snazz</t>
        </is>
      </c>
      <c r="C512" s="19" t="inlineStr">
        <is>
          <t>Town</t>
        </is>
      </c>
      <c r="D512" s="19" t="inlineStr">
        <is>
          <t>Win</t>
        </is>
      </c>
      <c r="E512" s="19" t="n">
        <v>102</v>
      </c>
      <c r="F512" s="19" t="n">
        <v>25.8762934106616</v>
      </c>
      <c r="G512" s="19" t="n">
        <v>27.2834475733886</v>
      </c>
      <c r="H512" s="19" t="n">
        <v>7.77521639859954</v>
      </c>
      <c r="I512" s="19" t="n">
        <v>960</v>
      </c>
      <c r="J512" s="19" t="n">
        <v>1062</v>
      </c>
      <c r="K512" s="19" t="n">
        <v>7.83978981905945</v>
      </c>
    </row>
    <row r="513">
      <c r="A513" s="19" t="n">
        <v>124</v>
      </c>
      <c r="B513" s="19" t="inlineStr">
        <is>
          <t>TCP</t>
        </is>
      </c>
      <c r="C513" s="19" t="inlineStr">
        <is>
          <t>Town</t>
        </is>
      </c>
      <c r="D513" s="19" t="inlineStr">
        <is>
          <t>Win</t>
        </is>
      </c>
      <c r="E513" s="19" t="n">
        <v>109</v>
      </c>
      <c r="F513" s="19" t="n">
        <v>22.2206111354702</v>
      </c>
      <c r="G513" s="19" t="n">
        <v>23.7158166626677</v>
      </c>
      <c r="H513" s="19" t="n">
        <v>8.010231946901939</v>
      </c>
      <c r="I513" s="19" t="n">
        <v>687</v>
      </c>
      <c r="J513" s="19" t="n">
        <v>796</v>
      </c>
      <c r="K513" s="19" t="n">
        <v>8.08170048148966</v>
      </c>
    </row>
    <row r="514">
      <c r="A514" s="19" t="n">
        <v>124</v>
      </c>
      <c r="B514" s="19" t="inlineStr">
        <is>
          <t>Iln</t>
        </is>
      </c>
      <c r="C514" s="19" t="inlineStr">
        <is>
          <t>Town</t>
        </is>
      </c>
      <c r="D514" s="19" t="inlineStr">
        <is>
          <t>Win</t>
        </is>
      </c>
      <c r="E514" s="19" t="n">
        <v>75</v>
      </c>
      <c r="F514" s="19" t="n">
        <v>27.1174804357306</v>
      </c>
      <c r="G514" s="19" t="n">
        <v>28.1624772199621</v>
      </c>
      <c r="H514" s="19" t="n">
        <v>6.71602178480125</v>
      </c>
      <c r="I514" s="19" t="n">
        <v>1155</v>
      </c>
      <c r="J514" s="19" t="n">
        <v>1230</v>
      </c>
      <c r="K514" s="19" t="n">
        <v>6.7543075458139</v>
      </c>
    </row>
    <row r="515">
      <c r="A515" s="19" t="n">
        <v>124</v>
      </c>
      <c r="B515" s="19" t="inlineStr">
        <is>
          <t>Laur</t>
        </is>
      </c>
      <c r="C515" s="19" t="inlineStr">
        <is>
          <t>Mafia</t>
        </is>
      </c>
      <c r="D515" s="19" t="inlineStr">
        <is>
          <t>Loss</t>
        </is>
      </c>
      <c r="E515" s="19" t="n">
        <v>-70</v>
      </c>
      <c r="F515" s="19" t="n">
        <v>31.7143518103206</v>
      </c>
      <c r="G515" s="19" t="n">
        <v>30.6333425349144</v>
      </c>
      <c r="H515" s="19" t="n">
        <v>6.8291839627247</v>
      </c>
      <c r="I515" s="19" t="n">
        <v>1456</v>
      </c>
      <c r="J515" s="19" t="n">
        <v>1386</v>
      </c>
      <c r="K515" s="19" t="n">
        <v>6.86993037256166</v>
      </c>
    </row>
    <row r="516">
      <c r="A516" s="19" t="n">
        <v>124</v>
      </c>
      <c r="B516" s="19" t="inlineStr">
        <is>
          <t>Smit</t>
        </is>
      </c>
      <c r="C516" s="19" t="inlineStr">
        <is>
          <t>Mafia</t>
        </is>
      </c>
      <c r="D516" s="19" t="inlineStr">
        <is>
          <t>Loss</t>
        </is>
      </c>
      <c r="E516" s="19" t="n">
        <v>-67</v>
      </c>
      <c r="F516" s="19" t="n">
        <v>27.011545424868</v>
      </c>
      <c r="G516" s="19" t="n">
        <v>25.9752595466634</v>
      </c>
      <c r="H516" s="19" t="n">
        <v>6.6883457551387</v>
      </c>
      <c r="I516" s="19" t="n">
        <v>1151</v>
      </c>
      <c r="J516" s="19" t="n">
        <v>1084</v>
      </c>
      <c r="K516" s="19" t="n">
        <v>6.72604151502923</v>
      </c>
    </row>
    <row r="517">
      <c r="A517" s="19" t="n">
        <v>124</v>
      </c>
      <c r="B517" s="19" t="inlineStr">
        <is>
          <t>Decode</t>
        </is>
      </c>
      <c r="C517" s="19" t="inlineStr">
        <is>
          <t>Mafia</t>
        </is>
      </c>
      <c r="D517" s="19" t="inlineStr">
        <is>
          <t>Loss</t>
        </is>
      </c>
      <c r="E517" s="19" t="n">
        <v>-91</v>
      </c>
      <c r="F517" s="19" t="n">
        <v>21.3371728675365</v>
      </c>
      <c r="G517" s="19" t="n">
        <v>19.8901611683446</v>
      </c>
      <c r="H517" s="19" t="n">
        <v>7.88253474095692</v>
      </c>
      <c r="I517" s="19" t="n">
        <v>640</v>
      </c>
      <c r="J517" s="19" t="n">
        <v>549</v>
      </c>
      <c r="K517" s="19" t="n">
        <v>7.95020558400234</v>
      </c>
    </row>
    <row r="518">
      <c r="A518" s="19" t="n">
        <v>123</v>
      </c>
      <c r="B518" s="19" t="inlineStr">
        <is>
          <t>Happymeal</t>
        </is>
      </c>
      <c r="C518" s="19" t="inlineStr">
        <is>
          <t>Town</t>
        </is>
      </c>
      <c r="D518" s="19" t="inlineStr">
        <is>
          <t>Loss</t>
        </is>
      </c>
      <c r="E518" s="19" t="n">
        <v>-50</v>
      </c>
      <c r="F518" s="19" t="n">
        <v>23.1267067169927</v>
      </c>
      <c r="G518" s="19" t="n">
        <v>22.3147096202177</v>
      </c>
      <c r="H518" s="19" t="n">
        <v>7.59367409456524</v>
      </c>
      <c r="I518" s="19" t="n">
        <v>793</v>
      </c>
      <c r="J518" s="19" t="n">
        <v>743</v>
      </c>
      <c r="K518" s="19" t="n">
        <v>7.64088206625299</v>
      </c>
    </row>
    <row r="519">
      <c r="A519" s="19" t="n">
        <v>123</v>
      </c>
      <c r="B519" s="19" t="inlineStr">
        <is>
          <t>Smit</t>
        </is>
      </c>
      <c r="C519" s="19" t="inlineStr">
        <is>
          <t>Town</t>
        </is>
      </c>
      <c r="D519" s="19" t="inlineStr">
        <is>
          <t>Loss</t>
        </is>
      </c>
      <c r="E519" s="19" t="n">
        <v>-40</v>
      </c>
      <c r="F519" s="19" t="n">
        <v>27.6466481933704</v>
      </c>
      <c r="G519" s="19" t="n">
        <v>27.011545424868</v>
      </c>
      <c r="H519" s="19" t="n">
        <v>6.72604151502923</v>
      </c>
      <c r="I519" s="19" t="n">
        <v>1191</v>
      </c>
      <c r="J519" s="19" t="n">
        <v>1151</v>
      </c>
      <c r="K519" s="19" t="n">
        <v>6.7560834632663</v>
      </c>
    </row>
    <row r="520">
      <c r="A520" s="19" t="n">
        <v>123</v>
      </c>
      <c r="B520" s="19" t="inlineStr">
        <is>
          <t>Chelsea</t>
        </is>
      </c>
      <c r="C520" s="19" t="inlineStr">
        <is>
          <t>Town</t>
        </is>
      </c>
      <c r="D520" s="19" t="inlineStr">
        <is>
          <t>Loss</t>
        </is>
      </c>
      <c r="E520" s="19" t="n">
        <v>-58</v>
      </c>
      <c r="F520" s="19" t="n">
        <v>22.2624046774998</v>
      </c>
      <c r="G520" s="19" t="n">
        <v>21.3283464431375</v>
      </c>
      <c r="H520" s="19" t="n">
        <v>8.135853988123291</v>
      </c>
      <c r="I520" s="19" t="n">
        <v>678</v>
      </c>
      <c r="J520" s="19" t="n">
        <v>620</v>
      </c>
      <c r="K520" s="19" t="n">
        <v>8.195906100973991</v>
      </c>
    </row>
    <row r="521">
      <c r="A521" s="19" t="n">
        <v>123</v>
      </c>
      <c r="B521" s="19" t="inlineStr">
        <is>
          <t>Snazz</t>
        </is>
      </c>
      <c r="C521" s="19" t="inlineStr">
        <is>
          <t>Town</t>
        </is>
      </c>
      <c r="D521" s="19" t="inlineStr">
        <is>
          <t>Loss</t>
        </is>
      </c>
      <c r="E521" s="19" t="n">
        <v>-53</v>
      </c>
      <c r="F521" s="19" t="n">
        <v>26.7425910880397</v>
      </c>
      <c r="G521" s="19" t="n">
        <v>25.8762934106616</v>
      </c>
      <c r="H521" s="19" t="n">
        <v>7.83978981905945</v>
      </c>
      <c r="I521" s="19" t="n">
        <v>1013</v>
      </c>
      <c r="J521" s="19" t="n">
        <v>960</v>
      </c>
      <c r="K521" s="19" t="n">
        <v>7.89261310685728</v>
      </c>
    </row>
    <row r="522">
      <c r="A522" s="19" t="n">
        <v>123</v>
      </c>
      <c r="B522" s="19" t="inlineStr">
        <is>
          <t>Laur</t>
        </is>
      </c>
      <c r="C522" s="19" t="inlineStr">
        <is>
          <t>Town</t>
        </is>
      </c>
      <c r="D522" s="19" t="inlineStr">
        <is>
          <t>Loss</t>
        </is>
      </c>
      <c r="E522" s="19" t="n">
        <v>-42</v>
      </c>
      <c r="F522" s="19" t="n">
        <v>32.3772357771038</v>
      </c>
      <c r="G522" s="19" t="n">
        <v>31.7143518103206</v>
      </c>
      <c r="H522" s="19" t="n">
        <v>6.86993037256166</v>
      </c>
      <c r="I522" s="19" t="n">
        <v>1498</v>
      </c>
      <c r="J522" s="19" t="n">
        <v>1456</v>
      </c>
      <c r="K522" s="19" t="n">
        <v>6.90255226750589</v>
      </c>
    </row>
    <row r="523">
      <c r="A523" s="19" t="n">
        <v>123</v>
      </c>
      <c r="B523" s="19" t="inlineStr">
        <is>
          <t>Decode</t>
        </is>
      </c>
      <c r="C523" s="19" t="inlineStr">
        <is>
          <t>Town</t>
        </is>
      </c>
      <c r="D523" s="19" t="inlineStr">
        <is>
          <t>Loss</t>
        </is>
      </c>
      <c r="E523" s="19" t="n">
        <v>-55</v>
      </c>
      <c r="F523" s="19" t="n">
        <v>22.2284290821149</v>
      </c>
      <c r="G523" s="19" t="n">
        <v>21.3371728675365</v>
      </c>
      <c r="H523" s="19" t="n">
        <v>7.95020558400234</v>
      </c>
      <c r="I523" s="19" t="n">
        <v>695</v>
      </c>
      <c r="J523" s="19" t="n">
        <v>640</v>
      </c>
      <c r="K523" s="19" t="n">
        <v>8.00566310892561</v>
      </c>
    </row>
    <row r="524">
      <c r="A524" s="19" t="n">
        <v>123</v>
      </c>
      <c r="B524" s="19" t="inlineStr">
        <is>
          <t>Lou</t>
        </is>
      </c>
      <c r="C524" s="19" t="inlineStr">
        <is>
          <t>Town</t>
        </is>
      </c>
      <c r="D524" s="19" t="inlineStr">
        <is>
          <t>Loss</t>
        </is>
      </c>
      <c r="E524" s="19" t="n">
        <v>-41</v>
      </c>
      <c r="F524" s="19" t="n">
        <v>27.8060046363298</v>
      </c>
      <c r="G524" s="19" t="n">
        <v>27.161766967781</v>
      </c>
      <c r="H524" s="19" t="n">
        <v>6.77370718211774</v>
      </c>
      <c r="I524" s="19" t="n">
        <v>1197</v>
      </c>
      <c r="J524" s="19" t="n">
        <v>1156</v>
      </c>
      <c r="K524" s="19" t="n">
        <v>6.80459264414444</v>
      </c>
    </row>
    <row r="525">
      <c r="A525" s="19" t="n">
        <v>123</v>
      </c>
      <c r="B525" s="19" t="inlineStr">
        <is>
          <t>Carson</t>
        </is>
      </c>
      <c r="C525" s="19" t="inlineStr">
        <is>
          <t>Town</t>
        </is>
      </c>
      <c r="D525" s="19" t="inlineStr">
        <is>
          <t>Loss</t>
        </is>
      </c>
      <c r="E525" s="19" t="n">
        <v>-40</v>
      </c>
      <c r="F525" s="19" t="n">
        <v>31.7541861814239</v>
      </c>
      <c r="G525" s="19" t="n">
        <v>31.1158389342205</v>
      </c>
      <c r="H525" s="19" t="n">
        <v>6.74301144283843</v>
      </c>
      <c r="I525" s="19" t="n">
        <v>1468</v>
      </c>
      <c r="J525" s="19" t="n">
        <v>1428</v>
      </c>
      <c r="K525" s="19" t="n">
        <v>6.77335244469651</v>
      </c>
    </row>
    <row r="526">
      <c r="A526" s="19" t="n">
        <v>123</v>
      </c>
      <c r="B526" s="19" t="inlineStr">
        <is>
          <t>TCP</t>
        </is>
      </c>
      <c r="C526" s="19" t="inlineStr">
        <is>
          <t>Town</t>
        </is>
      </c>
      <c r="D526" s="19" t="inlineStr">
        <is>
          <t>Loss</t>
        </is>
      </c>
      <c r="E526" s="19" t="n">
        <v>-56</v>
      </c>
      <c r="F526" s="19" t="n">
        <v>23.1420752985521</v>
      </c>
      <c r="G526" s="19" t="n">
        <v>22.2206111354702</v>
      </c>
      <c r="H526" s="19" t="n">
        <v>8.08170048148966</v>
      </c>
      <c r="I526" s="19" t="n">
        <v>743</v>
      </c>
      <c r="J526" s="19" t="n">
        <v>687</v>
      </c>
      <c r="K526" s="19" t="n">
        <v>8.14039063131052</v>
      </c>
    </row>
    <row r="527">
      <c r="A527" s="19" t="n">
        <v>123</v>
      </c>
      <c r="B527" s="19" t="inlineStr">
        <is>
          <t>Gilbert</t>
        </is>
      </c>
      <c r="C527" s="19" t="inlineStr">
        <is>
          <t>Town</t>
        </is>
      </c>
      <c r="D527" s="19" t="inlineStr">
        <is>
          <t>Loss</t>
        </is>
      </c>
      <c r="E527" s="19" t="n">
        <v>-50</v>
      </c>
      <c r="F527" s="19" t="n">
        <v>23.5528791404802</v>
      </c>
      <c r="G527" s="19" t="n">
        <v>22.7501917206419</v>
      </c>
      <c r="H527" s="19" t="n">
        <v>7.55062459034424</v>
      </c>
      <c r="I527" s="19" t="n">
        <v>827</v>
      </c>
      <c r="J527" s="19" t="n">
        <v>777</v>
      </c>
      <c r="K527" s="19" t="n">
        <v>7.59688590970174</v>
      </c>
    </row>
    <row r="528">
      <c r="A528" s="19" t="n">
        <v>123</v>
      </c>
      <c r="B528" s="19" t="inlineStr">
        <is>
          <t>Chester</t>
        </is>
      </c>
      <c r="C528" s="19" t="inlineStr">
        <is>
          <t>Mafia</t>
        </is>
      </c>
      <c r="D528" s="19" t="inlineStr">
        <is>
          <t>Win</t>
        </is>
      </c>
      <c r="E528" s="19" t="n">
        <v>57</v>
      </c>
      <c r="F528" s="19" t="n">
        <v>29.3173083580177</v>
      </c>
      <c r="G528" s="19" t="n">
        <v>30.0819413196964</v>
      </c>
      <c r="H528" s="19" t="n">
        <v>7.37189084446462</v>
      </c>
      <c r="I528" s="19" t="n">
        <v>1237</v>
      </c>
      <c r="J528" s="19" t="n">
        <v>1294</v>
      </c>
      <c r="K528" s="19" t="n">
        <v>7.41433201732628</v>
      </c>
    </row>
    <row r="529">
      <c r="A529" s="19" t="n">
        <v>123</v>
      </c>
      <c r="B529" s="19" t="inlineStr">
        <is>
          <t>Aipha</t>
        </is>
      </c>
      <c r="C529" s="19" t="inlineStr">
        <is>
          <t>Mafia</t>
        </is>
      </c>
      <c r="D529" s="19" t="inlineStr">
        <is>
          <t>Win</t>
        </is>
      </c>
      <c r="E529" s="19" t="n">
        <v>58</v>
      </c>
      <c r="F529" s="19" t="n">
        <v>20.7927566039488</v>
      </c>
      <c r="G529" s="19" t="n">
        <v>21.5761091061383</v>
      </c>
      <c r="H529" s="19" t="n">
        <v>7.46037747835531</v>
      </c>
      <c r="I529" s="19" t="n">
        <v>648</v>
      </c>
      <c r="J529" s="19" t="n">
        <v>706</v>
      </c>
      <c r="K529" s="19" t="n">
        <v>7.50468788809466</v>
      </c>
    </row>
    <row r="530">
      <c r="A530" s="19" t="n">
        <v>123</v>
      </c>
      <c r="B530" s="19" t="inlineStr">
        <is>
          <t>Badpants</t>
        </is>
      </c>
      <c r="C530" s="19" t="inlineStr">
        <is>
          <t>Mafia</t>
        </is>
      </c>
      <c r="D530" s="19" t="inlineStr">
        <is>
          <t>Win</t>
        </is>
      </c>
      <c r="E530" s="19" t="n">
        <v>45</v>
      </c>
      <c r="F530" s="19" t="n">
        <v>25.4508409961544</v>
      </c>
      <c r="G530" s="19" t="n">
        <v>26.0785253417356</v>
      </c>
      <c r="H530" s="19" t="n">
        <v>6.68707111975315</v>
      </c>
      <c r="I530" s="19" t="n">
        <v>1046</v>
      </c>
      <c r="J530" s="19" t="n">
        <v>1091</v>
      </c>
      <c r="K530" s="19" t="n">
        <v>6.7164315271511</v>
      </c>
    </row>
    <row r="531">
      <c r="A531" s="19" t="n">
        <v>122</v>
      </c>
      <c r="B531" s="19" t="inlineStr">
        <is>
          <t>Smit</t>
        </is>
      </c>
      <c r="C531" s="19" t="inlineStr">
        <is>
          <t>Town</t>
        </is>
      </c>
      <c r="D531" s="19" t="inlineStr">
        <is>
          <t>Win</t>
        </is>
      </c>
      <c r="E531" s="19" t="n">
        <v>88</v>
      </c>
      <c r="F531" s="19" t="n">
        <v>26.4181630874565</v>
      </c>
      <c r="G531" s="19" t="n">
        <v>27.6466481933704</v>
      </c>
      <c r="H531" s="19" t="n">
        <v>6.7560834632663</v>
      </c>
      <c r="I531" s="19" t="n">
        <v>1103</v>
      </c>
      <c r="J531" s="19" t="n">
        <v>1191</v>
      </c>
      <c r="K531" s="19" t="n">
        <v>6.79765246289903</v>
      </c>
    </row>
    <row r="532">
      <c r="A532" s="19" t="n">
        <v>122</v>
      </c>
      <c r="B532" s="19" t="inlineStr">
        <is>
          <t>Svaan</t>
        </is>
      </c>
      <c r="C532" s="19" t="inlineStr">
        <is>
          <t>Town</t>
        </is>
      </c>
      <c r="D532" s="19" t="inlineStr">
        <is>
          <t>Win</t>
        </is>
      </c>
      <c r="E532" s="19" t="n">
        <v>113</v>
      </c>
      <c r="F532" s="19" t="n">
        <v>27.8896806694072</v>
      </c>
      <c r="G532" s="19" t="n">
        <v>29.4527376371305</v>
      </c>
      <c r="H532" s="19" t="n">
        <v>7.60587558851336</v>
      </c>
      <c r="I532" s="19" t="n">
        <v>1114</v>
      </c>
      <c r="J532" s="19" t="n">
        <v>1227</v>
      </c>
      <c r="K532" s="19" t="n">
        <v>7.66923285347637</v>
      </c>
    </row>
    <row r="533">
      <c r="A533" s="19" t="n">
        <v>122</v>
      </c>
      <c r="B533" s="19" t="inlineStr">
        <is>
          <t>Gilbert</t>
        </is>
      </c>
      <c r="C533" s="19" t="inlineStr">
        <is>
          <t>Town</t>
        </is>
      </c>
      <c r="D533" s="19" t="inlineStr">
        <is>
          <t>Win</t>
        </is>
      </c>
      <c r="E533" s="19" t="n">
        <v>113</v>
      </c>
      <c r="F533" s="19" t="n">
        <v>21.9935834750955</v>
      </c>
      <c r="G533" s="19" t="n">
        <v>23.5528791404802</v>
      </c>
      <c r="H533" s="19" t="n">
        <v>7.59688590970174</v>
      </c>
      <c r="I533" s="19" t="n">
        <v>714</v>
      </c>
      <c r="J533" s="19" t="n">
        <v>827</v>
      </c>
      <c r="K533" s="19" t="n">
        <v>7.65998563100607</v>
      </c>
    </row>
    <row r="534">
      <c r="A534" s="19" t="n">
        <v>122</v>
      </c>
      <c r="B534" s="19" t="inlineStr">
        <is>
          <t>Plen</t>
        </is>
      </c>
      <c r="C534" s="19" t="inlineStr">
        <is>
          <t>Town</t>
        </is>
      </c>
      <c r="D534" s="19" t="inlineStr">
        <is>
          <t>Win</t>
        </is>
      </c>
      <c r="E534" s="19" t="n">
        <v>82</v>
      </c>
      <c r="F534" s="19" t="n">
        <v>21.0233371697889</v>
      </c>
      <c r="G534" s="19" t="n">
        <v>22.1773440769693</v>
      </c>
      <c r="H534" s="19" t="n">
        <v>6.55092516118048</v>
      </c>
      <c r="I534" s="19" t="n">
        <v>758</v>
      </c>
      <c r="J534" s="19" t="n">
        <v>840</v>
      </c>
      <c r="K534" s="19" t="n">
        <v>6.5879594246489</v>
      </c>
    </row>
    <row r="535">
      <c r="A535" s="19" t="n">
        <v>122</v>
      </c>
      <c r="B535" s="19" t="inlineStr">
        <is>
          <t>Kden</t>
        </is>
      </c>
      <c r="C535" s="19" t="inlineStr">
        <is>
          <t>Town</t>
        </is>
      </c>
      <c r="D535" s="19" t="inlineStr">
        <is>
          <t>Win</t>
        </is>
      </c>
      <c r="E535" s="19" t="n">
        <v>93</v>
      </c>
      <c r="F535" s="19" t="n">
        <v>23.5186861239427</v>
      </c>
      <c r="G535" s="19" t="n">
        <v>24.8193930406013</v>
      </c>
      <c r="H535" s="19" t="n">
        <v>6.94891434627977</v>
      </c>
      <c r="I535" s="19" t="n">
        <v>886</v>
      </c>
      <c r="J535" s="19" t="n">
        <v>979</v>
      </c>
      <c r="K535" s="19" t="n">
        <v>6.99499191153061</v>
      </c>
    </row>
    <row r="536">
      <c r="A536" s="19" t="n">
        <v>122</v>
      </c>
      <c r="B536" s="19" t="inlineStr">
        <is>
          <t>Chipper</t>
        </is>
      </c>
      <c r="C536" s="19" t="inlineStr">
        <is>
          <t>Town</t>
        </is>
      </c>
      <c r="D536" s="19" t="inlineStr">
        <is>
          <t>Win</t>
        </is>
      </c>
      <c r="E536" s="19" t="n">
        <v>96</v>
      </c>
      <c r="F536" s="19" t="n">
        <v>22.1430834121214</v>
      </c>
      <c r="G536" s="19" t="n">
        <v>23.4941214412115</v>
      </c>
      <c r="H536" s="19" t="n">
        <v>7.08000427010104</v>
      </c>
      <c r="I536" s="19" t="n">
        <v>779</v>
      </c>
      <c r="J536" s="19" t="n">
        <v>875</v>
      </c>
      <c r="K536" s="19" t="n">
        <v>7.1292879774476</v>
      </c>
    </row>
    <row r="537">
      <c r="A537" s="19" t="n">
        <v>122</v>
      </c>
      <c r="B537" s="19" t="inlineStr">
        <is>
          <t>Badpants</t>
        </is>
      </c>
      <c r="C537" s="19" t="inlineStr">
        <is>
          <t>Town</t>
        </is>
      </c>
      <c r="D537" s="19" t="inlineStr">
        <is>
          <t>Win</t>
        </is>
      </c>
      <c r="E537" s="19" t="n">
        <v>87</v>
      </c>
      <c r="F537" s="19" t="n">
        <v>24.236940004289</v>
      </c>
      <c r="G537" s="19" t="n">
        <v>25.4508409961544</v>
      </c>
      <c r="H537" s="19" t="n">
        <v>6.7164315271511</v>
      </c>
      <c r="I537" s="19" t="n">
        <v>959</v>
      </c>
      <c r="J537" s="19" t="n">
        <v>1046</v>
      </c>
      <c r="K537" s="19" t="n">
        <v>6.75710334322492</v>
      </c>
    </row>
    <row r="538">
      <c r="A538" s="19" t="n">
        <v>122</v>
      </c>
      <c r="B538" s="19" t="inlineStr">
        <is>
          <t>Brownkow</t>
        </is>
      </c>
      <c r="C538" s="19" t="inlineStr">
        <is>
          <t>Town</t>
        </is>
      </c>
      <c r="D538" s="19" t="inlineStr">
        <is>
          <t>Win</t>
        </is>
      </c>
      <c r="E538" s="19" t="n">
        <v>82</v>
      </c>
      <c r="F538" s="19" t="n">
        <v>31.194564346505</v>
      </c>
      <c r="G538" s="19" t="n">
        <v>32.3474726184172</v>
      </c>
      <c r="H538" s="19" t="n">
        <v>6.54784799606694</v>
      </c>
      <c r="I538" s="19" t="n">
        <v>1450</v>
      </c>
      <c r="J538" s="19" t="n">
        <v>1532</v>
      </c>
      <c r="K538" s="19" t="n">
        <v>6.58481624418225</v>
      </c>
    </row>
    <row r="539">
      <c r="A539" s="19" t="n">
        <v>122</v>
      </c>
      <c r="B539" s="19" t="inlineStr">
        <is>
          <t>Iln</t>
        </is>
      </c>
      <c r="C539" s="19" t="inlineStr">
        <is>
          <t>Town</t>
        </is>
      </c>
      <c r="D539" s="19" t="inlineStr">
        <is>
          <t>Win</t>
        </is>
      </c>
      <c r="E539" s="19" t="n">
        <v>88</v>
      </c>
      <c r="F539" s="19" t="n">
        <v>25.8896504623705</v>
      </c>
      <c r="G539" s="19" t="n">
        <v>27.1174804357306</v>
      </c>
      <c r="H539" s="19" t="n">
        <v>6.7543075458139</v>
      </c>
      <c r="I539" s="19" t="n">
        <v>1067</v>
      </c>
      <c r="J539" s="19" t="n">
        <v>1155</v>
      </c>
      <c r="K539" s="19" t="n">
        <v>6.79583614723306</v>
      </c>
    </row>
    <row r="540">
      <c r="A540" s="19" t="n">
        <v>122</v>
      </c>
      <c r="B540" s="19" t="inlineStr">
        <is>
          <t>Mintt</t>
        </is>
      </c>
      <c r="C540" s="19" t="inlineStr">
        <is>
          <t>Town</t>
        </is>
      </c>
      <c r="D540" s="19" t="inlineStr">
        <is>
          <t>Win</t>
        </is>
      </c>
      <c r="E540" s="19" t="n">
        <v>99</v>
      </c>
      <c r="F540" s="19" t="n">
        <v>30.1039276732978</v>
      </c>
      <c r="G540" s="19" t="n">
        <v>31.4825614068387</v>
      </c>
      <c r="H540" s="19" t="n">
        <v>7.15079363374049</v>
      </c>
      <c r="I540" s="19" t="n">
        <v>1312</v>
      </c>
      <c r="J540" s="19" t="n">
        <v>1411</v>
      </c>
      <c r="K540" s="19" t="n">
        <v>7.2018573987233</v>
      </c>
    </row>
    <row r="541">
      <c r="A541" s="19" t="n">
        <v>122</v>
      </c>
      <c r="B541" s="19" t="inlineStr">
        <is>
          <t>TCP</t>
        </is>
      </c>
      <c r="C541" s="19" t="inlineStr">
        <is>
          <t>Mafia</t>
        </is>
      </c>
      <c r="D541" s="19" t="inlineStr">
        <is>
          <t>Loss</t>
        </is>
      </c>
      <c r="E541" s="19" t="n">
        <v>-114</v>
      </c>
      <c r="F541" s="19" t="n">
        <v>24.9374232675419</v>
      </c>
      <c r="G541" s="19" t="n">
        <v>23.1420752985521</v>
      </c>
      <c r="H541" s="19" t="n">
        <v>8.14039063131052</v>
      </c>
      <c r="I541" s="19" t="n">
        <v>857</v>
      </c>
      <c r="J541" s="19" t="n">
        <v>743</v>
      </c>
      <c r="K541" s="19" t="n">
        <v>8.22018940989561</v>
      </c>
    </row>
    <row r="542">
      <c r="A542" s="19" t="n">
        <v>122</v>
      </c>
      <c r="B542" s="19" t="inlineStr">
        <is>
          <t>Strik3r</t>
        </is>
      </c>
      <c r="C542" s="19" t="inlineStr">
        <is>
          <t>Mafia</t>
        </is>
      </c>
      <c r="D542" s="19" t="inlineStr">
        <is>
          <t>Loss</t>
        </is>
      </c>
      <c r="E542" s="19" t="n">
        <v>-94</v>
      </c>
      <c r="F542" s="19" t="n">
        <v>27.2515490409304</v>
      </c>
      <c r="G542" s="19" t="n">
        <v>25.7847314112177</v>
      </c>
      <c r="H542" s="19" t="n">
        <v>7.37215081169915</v>
      </c>
      <c r="I542" s="19" t="n">
        <v>1095</v>
      </c>
      <c r="J542" s="19" t="n">
        <v>1001</v>
      </c>
      <c r="K542" s="19" t="n">
        <v>7.42900720356636</v>
      </c>
    </row>
    <row r="543">
      <c r="A543" s="19" t="n">
        <v>122</v>
      </c>
      <c r="B543" s="19" t="inlineStr">
        <is>
          <t>Whyin</t>
        </is>
      </c>
      <c r="C543" s="19" t="inlineStr">
        <is>
          <t>Mafia</t>
        </is>
      </c>
      <c r="D543" s="19" t="inlineStr">
        <is>
          <t>Loss</t>
        </is>
      </c>
      <c r="E543" s="19" t="n">
        <v>-86</v>
      </c>
      <c r="F543" s="19" t="n">
        <v>30.1587624226941</v>
      </c>
      <c r="G543" s="19" t="n">
        <v>28.8101072606783</v>
      </c>
      <c r="H543" s="19" t="n">
        <v>7.07385625300514</v>
      </c>
      <c r="I543" s="19" t="n">
        <v>1324</v>
      </c>
      <c r="J543" s="19" t="n">
        <v>1238</v>
      </c>
      <c r="K543" s="19" t="n">
        <v>7.12298698875798</v>
      </c>
    </row>
    <row r="544">
      <c r="A544" s="19" t="n">
        <v>121</v>
      </c>
      <c r="B544" s="19" t="inlineStr">
        <is>
          <t>Heckmuffins</t>
        </is>
      </c>
      <c r="C544" s="19" t="inlineStr">
        <is>
          <t>Town</t>
        </is>
      </c>
      <c r="D544" s="19" t="inlineStr">
        <is>
          <t>Loss</t>
        </is>
      </c>
      <c r="E544" s="19" t="n">
        <v>-42</v>
      </c>
      <c r="F544" s="19" t="n">
        <v>28.5205264653384</v>
      </c>
      <c r="G544" s="19" t="n">
        <v>27.8221438436322</v>
      </c>
      <c r="H544" s="19" t="n">
        <v>8.019338109223201</v>
      </c>
      <c r="I544" s="19" t="n">
        <v>1116</v>
      </c>
      <c r="J544" s="19" t="n">
        <v>1074</v>
      </c>
      <c r="K544" s="19" t="n">
        <v>8.068994219044081</v>
      </c>
    </row>
    <row r="545">
      <c r="A545" s="19" t="n">
        <v>121</v>
      </c>
      <c r="B545" s="19" t="inlineStr">
        <is>
          <t>Whyin</t>
        </is>
      </c>
      <c r="C545" s="19" t="inlineStr">
        <is>
          <t>Town</t>
        </is>
      </c>
      <c r="D545" s="19" t="inlineStr">
        <is>
          <t>Loss</t>
        </is>
      </c>
      <c r="E545" s="19" t="n">
        <v>-34</v>
      </c>
      <c r="F545" s="19" t="n">
        <v>30.7081283564624</v>
      </c>
      <c r="G545" s="19" t="n">
        <v>30.1587624226941</v>
      </c>
      <c r="H545" s="19" t="n">
        <v>7.12298698875798</v>
      </c>
      <c r="I545" s="19" t="n">
        <v>1358</v>
      </c>
      <c r="J545" s="19" t="n">
        <v>1324</v>
      </c>
      <c r="K545" s="19" t="n">
        <v>7.15520563681796</v>
      </c>
    </row>
    <row r="546">
      <c r="A546" s="19" t="n">
        <v>121</v>
      </c>
      <c r="B546" s="19" t="inlineStr">
        <is>
          <t>Plen</t>
        </is>
      </c>
      <c r="C546" s="19" t="inlineStr">
        <is>
          <t>Town</t>
        </is>
      </c>
      <c r="D546" s="19" t="inlineStr">
        <is>
          <t>Loss</t>
        </is>
      </c>
      <c r="E546" s="19" t="n">
        <v>-29</v>
      </c>
      <c r="F546" s="19" t="n">
        <v>21.4925314702859</v>
      </c>
      <c r="G546" s="19" t="n">
        <v>21.0233371697889</v>
      </c>
      <c r="H546" s="19" t="n">
        <v>6.5879594246489</v>
      </c>
      <c r="I546" s="19" t="n">
        <v>787</v>
      </c>
      <c r="J546" s="19" t="n">
        <v>758</v>
      </c>
      <c r="K546" s="19" t="n">
        <v>6.61153627688511</v>
      </c>
    </row>
    <row r="547">
      <c r="A547" s="19" t="n">
        <v>121</v>
      </c>
      <c r="B547" s="19" t="inlineStr">
        <is>
          <t>Laur</t>
        </is>
      </c>
      <c r="C547" s="19" t="inlineStr">
        <is>
          <t>Town</t>
        </is>
      </c>
      <c r="D547" s="19" t="inlineStr">
        <is>
          <t>Loss</t>
        </is>
      </c>
      <c r="E547" s="19" t="n">
        <v>-32</v>
      </c>
      <c r="F547" s="19" t="n">
        <v>32.8927813810599</v>
      </c>
      <c r="G547" s="19" t="n">
        <v>32.3772357771038</v>
      </c>
      <c r="H547" s="19" t="n">
        <v>6.90255226750589</v>
      </c>
      <c r="I547" s="19" t="n">
        <v>1530</v>
      </c>
      <c r="J547" s="19" t="n">
        <v>1498</v>
      </c>
      <c r="K547" s="19" t="n">
        <v>6.93106158785852</v>
      </c>
    </row>
    <row r="548">
      <c r="A548" s="19" t="n">
        <v>121</v>
      </c>
      <c r="B548" s="19" t="inlineStr">
        <is>
          <t>Rocker</t>
        </is>
      </c>
      <c r="C548" s="19" t="inlineStr">
        <is>
          <t>Town</t>
        </is>
      </c>
      <c r="D548" s="19" t="inlineStr">
        <is>
          <t>Loss</t>
        </is>
      </c>
      <c r="E548" s="19" t="n">
        <v>-29</v>
      </c>
      <c r="F548" s="19" t="n">
        <v>32.26562204344</v>
      </c>
      <c r="G548" s="19" t="n">
        <v>31.8066064455477</v>
      </c>
      <c r="H548" s="19" t="n">
        <v>6.51676133383049</v>
      </c>
      <c r="I548" s="19" t="n">
        <v>1527</v>
      </c>
      <c r="J548" s="19" t="n">
        <v>1498</v>
      </c>
      <c r="K548" s="19" t="n">
        <v>6.53927842201129</v>
      </c>
    </row>
    <row r="549">
      <c r="A549" s="19" t="n">
        <v>121</v>
      </c>
      <c r="B549" s="19" t="inlineStr">
        <is>
          <t>Cj</t>
        </is>
      </c>
      <c r="C549" s="19" t="inlineStr">
        <is>
          <t>Town</t>
        </is>
      </c>
      <c r="D549" s="19" t="inlineStr">
        <is>
          <t>Loss</t>
        </is>
      </c>
      <c r="E549" s="19" t="n">
        <v>-38</v>
      </c>
      <c r="F549" s="19" t="n">
        <v>25.3601982300523</v>
      </c>
      <c r="G549" s="19" t="n">
        <v>24.7263400897906</v>
      </c>
      <c r="H549" s="19" t="n">
        <v>7.64477968318374</v>
      </c>
      <c r="I549" s="19" t="n">
        <v>940</v>
      </c>
      <c r="J549" s="19" t="n">
        <v>902</v>
      </c>
      <c r="K549" s="19" t="n">
        <v>7.68666883293785</v>
      </c>
    </row>
    <row r="550">
      <c r="A550" s="19" t="n">
        <v>121</v>
      </c>
      <c r="B550" s="19" t="inlineStr">
        <is>
          <t>Aipha</t>
        </is>
      </c>
      <c r="C550" s="19" t="inlineStr">
        <is>
          <t>Town</t>
        </is>
      </c>
      <c r="D550" s="19" t="inlineStr">
        <is>
          <t>Loss</t>
        </is>
      </c>
      <c r="E550" s="19" t="n">
        <v>-38</v>
      </c>
      <c r="F550" s="19" t="n">
        <v>21.4033153143398</v>
      </c>
      <c r="G550" s="19" t="n">
        <v>20.7927566039488</v>
      </c>
      <c r="H550" s="19" t="n">
        <v>7.50468788809466</v>
      </c>
      <c r="I550" s="19" t="n">
        <v>686</v>
      </c>
      <c r="J550" s="19" t="n">
        <v>648</v>
      </c>
      <c r="K550" s="19" t="n">
        <v>7.54385318233205</v>
      </c>
    </row>
    <row r="551">
      <c r="A551" s="19" t="n">
        <v>121</v>
      </c>
      <c r="B551" s="19" t="inlineStr">
        <is>
          <t>Svaan</t>
        </is>
      </c>
      <c r="C551" s="19" t="inlineStr">
        <is>
          <t>Town</t>
        </is>
      </c>
      <c r="D551" s="19" t="inlineStr">
        <is>
          <t>Loss</t>
        </is>
      </c>
      <c r="E551" s="19" t="n">
        <v>-39</v>
      </c>
      <c r="F551" s="19" t="n">
        <v>28.5276521785124</v>
      </c>
      <c r="G551" s="19" t="n">
        <v>27.8896806694072</v>
      </c>
      <c r="H551" s="19" t="n">
        <v>7.66923285347637</v>
      </c>
      <c r="I551" s="19" t="n">
        <v>1153</v>
      </c>
      <c r="J551" s="19" t="n">
        <v>1114</v>
      </c>
      <c r="K551" s="19" t="n">
        <v>7.71160736269896</v>
      </c>
    </row>
    <row r="552">
      <c r="A552" s="19" t="n">
        <v>121</v>
      </c>
      <c r="B552" s="19" t="inlineStr">
        <is>
          <t>Strik3r</t>
        </is>
      </c>
      <c r="C552" s="19" t="inlineStr">
        <is>
          <t>Town</t>
        </is>
      </c>
      <c r="D552" s="19" t="inlineStr">
        <is>
          <t>Loss</t>
        </is>
      </c>
      <c r="E552" s="19" t="n">
        <v>-37</v>
      </c>
      <c r="F552" s="19" t="n">
        <v>27.8497090134284</v>
      </c>
      <c r="G552" s="19" t="n">
        <v>27.2515490409304</v>
      </c>
      <c r="H552" s="19" t="n">
        <v>7.42900720356636</v>
      </c>
      <c r="I552" s="19" t="n">
        <v>1132</v>
      </c>
      <c r="J552" s="19" t="n">
        <v>1095</v>
      </c>
      <c r="K552" s="19" t="n">
        <v>7.46674066115868</v>
      </c>
    </row>
    <row r="553">
      <c r="A553" s="19" t="n">
        <v>121</v>
      </c>
      <c r="B553" s="19" t="inlineStr">
        <is>
          <t>Gilbert</t>
        </is>
      </c>
      <c r="C553" s="19" t="inlineStr">
        <is>
          <t>Town</t>
        </is>
      </c>
      <c r="D553" s="19" t="inlineStr">
        <is>
          <t>Loss</t>
        </is>
      </c>
      <c r="E553" s="19" t="n">
        <v>-39</v>
      </c>
      <c r="F553" s="19" t="n">
        <v>22.6299978464701</v>
      </c>
      <c r="G553" s="19" t="n">
        <v>21.9935834750955</v>
      </c>
      <c r="H553" s="19" t="n">
        <v>7.65998563100607</v>
      </c>
      <c r="I553" s="19" t="n">
        <v>753</v>
      </c>
      <c r="J553" s="19" t="n">
        <v>714</v>
      </c>
      <c r="K553" s="19" t="n">
        <v>7.7021762471106</v>
      </c>
    </row>
    <row r="554">
      <c r="A554" s="19" t="n">
        <v>121</v>
      </c>
      <c r="B554" s="19" t="inlineStr">
        <is>
          <t>Siggy</t>
        </is>
      </c>
      <c r="C554" s="19" t="inlineStr">
        <is>
          <t>Mafia</t>
        </is>
      </c>
      <c r="D554" s="19" t="inlineStr">
        <is>
          <t>Win</t>
        </is>
      </c>
      <c r="E554" s="19" t="n">
        <v>54</v>
      </c>
      <c r="F554" s="19" t="n">
        <v>26.8086156286882</v>
      </c>
      <c r="G554" s="19" t="n">
        <v>27.5206918457498</v>
      </c>
      <c r="H554" s="19" t="n">
        <v>8.096479021115581</v>
      </c>
      <c r="I554" s="19" t="n">
        <v>992</v>
      </c>
      <c r="J554" s="19" t="n">
        <v>1046</v>
      </c>
      <c r="K554" s="19" t="n">
        <v>8.147825231807991</v>
      </c>
    </row>
    <row r="555">
      <c r="A555" s="19" t="n">
        <v>121</v>
      </c>
      <c r="B555" s="19" t="inlineStr">
        <is>
          <t>Kwix</t>
        </is>
      </c>
      <c r="C555" s="19" t="inlineStr">
        <is>
          <t>Mafia</t>
        </is>
      </c>
      <c r="D555" s="19" t="inlineStr">
        <is>
          <t>Win</t>
        </is>
      </c>
      <c r="E555" s="19" t="n">
        <v>40</v>
      </c>
      <c r="F555" s="19" t="n">
        <v>24.5423971517449</v>
      </c>
      <c r="G555" s="19" t="n">
        <v>25.076472609352</v>
      </c>
      <c r="H555" s="19" t="n">
        <v>7.02422005521484</v>
      </c>
      <c r="I555" s="19" t="n">
        <v>949</v>
      </c>
      <c r="J555" s="19" t="n">
        <v>989</v>
      </c>
      <c r="K555" s="19" t="n">
        <v>7.05475016910356</v>
      </c>
    </row>
    <row r="556">
      <c r="A556" s="19" t="n">
        <v>121</v>
      </c>
      <c r="B556" s="19" t="inlineStr">
        <is>
          <t>Noah</t>
        </is>
      </c>
      <c r="C556" s="19" t="inlineStr">
        <is>
          <t>Mafia</t>
        </is>
      </c>
      <c r="D556" s="19" t="inlineStr">
        <is>
          <t>Win</t>
        </is>
      </c>
      <c r="E556" s="19" t="n">
        <v>35</v>
      </c>
      <c r="F556" s="19" t="n">
        <v>31.6026526777566</v>
      </c>
      <c r="G556" s="19" t="n">
        <v>32.0869655672108</v>
      </c>
      <c r="H556" s="19" t="n">
        <v>6.69226107546906</v>
      </c>
      <c r="I556" s="19" t="n">
        <v>1464</v>
      </c>
      <c r="J556" s="19" t="n">
        <v>1499</v>
      </c>
      <c r="K556" s="19" t="n">
        <v>6.71742754946417</v>
      </c>
    </row>
    <row r="557">
      <c r="A557" s="19" t="n">
        <v>120</v>
      </c>
      <c r="B557" s="19" t="inlineStr">
        <is>
          <t>Smit</t>
        </is>
      </c>
      <c r="C557" s="19" t="inlineStr">
        <is>
          <t>Town</t>
        </is>
      </c>
      <c r="D557" s="19" t="inlineStr">
        <is>
          <t>Loss</t>
        </is>
      </c>
      <c r="E557" s="19" t="n">
        <v>-40</v>
      </c>
      <c r="F557" s="19" t="n">
        <v>27.0470243081821</v>
      </c>
      <c r="G557" s="19" t="n">
        <v>26.4181630874565</v>
      </c>
      <c r="H557" s="19" t="n">
        <v>6.79765246289903</v>
      </c>
      <c r="I557" s="19" t="n">
        <v>1143</v>
      </c>
      <c r="J557" s="19" t="n">
        <v>1103</v>
      </c>
      <c r="K557" s="19" t="n">
        <v>6.82762455853035</v>
      </c>
    </row>
    <row r="558">
      <c r="A558" s="19" t="n">
        <v>120</v>
      </c>
      <c r="B558" s="19" t="inlineStr">
        <is>
          <t>Decode</t>
        </is>
      </c>
      <c r="C558" s="19" t="inlineStr">
        <is>
          <t>Town</t>
        </is>
      </c>
      <c r="D558" s="19" t="inlineStr">
        <is>
          <t>Loss</t>
        </is>
      </c>
      <c r="E558" s="19" t="n">
        <v>-54</v>
      </c>
      <c r="F558" s="19" t="n">
        <v>23.1043720433795</v>
      </c>
      <c r="G558" s="19" t="n">
        <v>22.2284290821149</v>
      </c>
      <c r="H558" s="19" t="n">
        <v>8.00566310892561</v>
      </c>
      <c r="I558" s="19" t="n">
        <v>749</v>
      </c>
      <c r="J558" s="19" t="n">
        <v>695</v>
      </c>
      <c r="K558" s="19" t="n">
        <v>8.0602472078536</v>
      </c>
    </row>
    <row r="559">
      <c r="A559" s="19" t="n">
        <v>120</v>
      </c>
      <c r="B559" s="19" t="inlineStr">
        <is>
          <t>Iln</t>
        </is>
      </c>
      <c r="C559" s="19" t="inlineStr">
        <is>
          <t>Town</t>
        </is>
      </c>
      <c r="D559" s="19" t="inlineStr">
        <is>
          <t>Loss</t>
        </is>
      </c>
      <c r="E559" s="19" t="n">
        <v>-40</v>
      </c>
      <c r="F559" s="19" t="n">
        <v>26.518172006102</v>
      </c>
      <c r="G559" s="19" t="n">
        <v>25.8896504623705</v>
      </c>
      <c r="H559" s="19" t="n">
        <v>6.79583614723306</v>
      </c>
      <c r="I559" s="19" t="n">
        <v>1107</v>
      </c>
      <c r="J559" s="19" t="n">
        <v>1067</v>
      </c>
      <c r="K559" s="19" t="n">
        <v>6.82577679075883</v>
      </c>
    </row>
    <row r="560">
      <c r="A560" s="19" t="n">
        <v>120</v>
      </c>
      <c r="B560" s="19" t="inlineStr">
        <is>
          <t>Aipha</t>
        </is>
      </c>
      <c r="C560" s="19" t="inlineStr">
        <is>
          <t>Town</t>
        </is>
      </c>
      <c r="D560" s="19" t="inlineStr">
        <is>
          <t>Loss</t>
        </is>
      </c>
      <c r="E560" s="19" t="n">
        <v>-48</v>
      </c>
      <c r="F560" s="19" t="n">
        <v>22.1797844755754</v>
      </c>
      <c r="G560" s="19" t="n">
        <v>21.4033153143398</v>
      </c>
      <c r="H560" s="19" t="n">
        <v>7.54385318233205</v>
      </c>
      <c r="I560" s="19" t="n">
        <v>734</v>
      </c>
      <c r="J560" s="19" t="n">
        <v>686</v>
      </c>
      <c r="K560" s="19" t="n">
        <v>7.58811690363748</v>
      </c>
    </row>
    <row r="561">
      <c r="A561" s="19" t="n">
        <v>120</v>
      </c>
      <c r="B561" s="19" t="inlineStr">
        <is>
          <t>Cyclone</t>
        </is>
      </c>
      <c r="C561" s="19" t="inlineStr">
        <is>
          <t>Town</t>
        </is>
      </c>
      <c r="D561" s="19" t="inlineStr">
        <is>
          <t>Loss</t>
        </is>
      </c>
      <c r="E561" s="19" t="n">
        <v>-55</v>
      </c>
      <c r="F561" s="19" t="n">
        <v>25.2821961040095</v>
      </c>
      <c r="G561" s="19" t="n">
        <v>24.3928176987643</v>
      </c>
      <c r="H561" s="19" t="n">
        <v>8.065892526700541</v>
      </c>
      <c r="I561" s="19" t="n">
        <v>891</v>
      </c>
      <c r="J561" s="19" t="n">
        <v>836</v>
      </c>
      <c r="K561" s="19" t="n">
        <v>8.121912055428639</v>
      </c>
    </row>
    <row r="562">
      <c r="A562" s="19" t="n">
        <v>120</v>
      </c>
      <c r="B562" s="19" t="inlineStr">
        <is>
          <t>Kden</t>
        </is>
      </c>
      <c r="C562" s="19" t="inlineStr">
        <is>
          <t>Town</t>
        </is>
      </c>
      <c r="D562" s="19" t="inlineStr">
        <is>
          <t>Loss</t>
        </is>
      </c>
      <c r="E562" s="19" t="n">
        <v>-42</v>
      </c>
      <c r="F562" s="19" t="n">
        <v>24.1850178991075</v>
      </c>
      <c r="G562" s="19" t="n">
        <v>23.5186861239427</v>
      </c>
      <c r="H562" s="19" t="n">
        <v>6.99499191153061</v>
      </c>
      <c r="I562" s="19" t="n">
        <v>928</v>
      </c>
      <c r="J562" s="19" t="n">
        <v>886</v>
      </c>
      <c r="K562" s="19" t="n">
        <v>7.02847429087279</v>
      </c>
    </row>
    <row r="563">
      <c r="A563" s="19" t="n">
        <v>120</v>
      </c>
      <c r="B563" s="19" t="inlineStr">
        <is>
          <t>Rick</t>
        </is>
      </c>
      <c r="C563" s="19" t="inlineStr">
        <is>
          <t>Town</t>
        </is>
      </c>
      <c r="D563" s="19" t="inlineStr">
        <is>
          <t>Loss</t>
        </is>
      </c>
      <c r="E563" s="19" t="n">
        <v>-50</v>
      </c>
      <c r="F563" s="19" t="n">
        <v>28.7887495000148</v>
      </c>
      <c r="G563" s="19" t="n">
        <v>27.9849731484809</v>
      </c>
      <c r="H563" s="19" t="n">
        <v>7.67355751671927</v>
      </c>
      <c r="I563" s="19" t="n">
        <v>1170</v>
      </c>
      <c r="J563" s="19" t="n">
        <v>1120</v>
      </c>
      <c r="K563" s="19" t="n">
        <v>7.72059995951344</v>
      </c>
    </row>
    <row r="564">
      <c r="A564" s="19" t="n">
        <v>120</v>
      </c>
      <c r="B564" s="19" t="inlineStr">
        <is>
          <t>Brownkow</t>
        </is>
      </c>
      <c r="C564" s="19" t="inlineStr">
        <is>
          <t>Town</t>
        </is>
      </c>
      <c r="D564" s="19" t="inlineStr">
        <is>
          <t>Loss</t>
        </is>
      </c>
      <c r="E564" s="19" t="n">
        <v>-37</v>
      </c>
      <c r="F564" s="19" t="n">
        <v>31.7842663999795</v>
      </c>
      <c r="G564" s="19" t="n">
        <v>31.194564346505</v>
      </c>
      <c r="H564" s="19" t="n">
        <v>6.58481624418225</v>
      </c>
      <c r="I564" s="19" t="n">
        <v>1487</v>
      </c>
      <c r="J564" s="19" t="n">
        <v>1450</v>
      </c>
      <c r="K564" s="19" t="n">
        <v>6.61120621254977</v>
      </c>
    </row>
    <row r="565">
      <c r="A565" s="19" t="n">
        <v>120</v>
      </c>
      <c r="B565" s="19" t="inlineStr">
        <is>
          <t>Ken</t>
        </is>
      </c>
      <c r="C565" s="19" t="inlineStr">
        <is>
          <t>Town</t>
        </is>
      </c>
      <c r="D565" s="19" t="inlineStr">
        <is>
          <t>Loss</t>
        </is>
      </c>
      <c r="E565" s="19" t="n">
        <v>-53</v>
      </c>
      <c r="F565" s="19" t="n">
        <v>23.4828047855175</v>
      </c>
      <c r="G565" s="19" t="n">
        <v>22.6203998622916</v>
      </c>
      <c r="H565" s="19" t="n">
        <v>7.94448296672066</v>
      </c>
      <c r="I565" s="19" t="n">
        <v>781</v>
      </c>
      <c r="J565" s="19" t="n">
        <v>728</v>
      </c>
      <c r="K565" s="19" t="n">
        <v>7.99763057750209</v>
      </c>
    </row>
    <row r="566">
      <c r="A566" s="19" t="n">
        <v>120</v>
      </c>
      <c r="B566" s="19" t="inlineStr">
        <is>
          <t>TCP</t>
        </is>
      </c>
      <c r="C566" s="19" t="inlineStr">
        <is>
          <t>Town</t>
        </is>
      </c>
      <c r="D566" s="19" t="inlineStr">
        <is>
          <t>Loss</t>
        </is>
      </c>
      <c r="E566" s="19" t="n">
        <v>-57</v>
      </c>
      <c r="F566" s="19" t="n">
        <v>25.861709805011</v>
      </c>
      <c r="G566" s="19" t="n">
        <v>24.9374232675419</v>
      </c>
      <c r="H566" s="19" t="n">
        <v>8.22018940989561</v>
      </c>
      <c r="I566" s="19" t="n">
        <v>914</v>
      </c>
      <c r="J566" s="19" t="n">
        <v>857</v>
      </c>
      <c r="K566" s="19" t="n">
        <v>8.27998395388606</v>
      </c>
    </row>
    <row r="567">
      <c r="A567" s="19" t="n">
        <v>120</v>
      </c>
      <c r="B567" s="19" t="inlineStr">
        <is>
          <t>Heftyduck</t>
        </is>
      </c>
      <c r="C567" s="19" t="inlineStr">
        <is>
          <t>Mafia</t>
        </is>
      </c>
      <c r="D567" s="19" t="inlineStr">
        <is>
          <t>Win</t>
        </is>
      </c>
      <c r="E567" s="19" t="n">
        <v>70</v>
      </c>
      <c r="F567" s="19" t="n">
        <v>25</v>
      </c>
      <c r="G567" s="19" t="n">
        <v>25.9362199215993</v>
      </c>
      <c r="H567" s="19" t="n">
        <v>8.27223333405853</v>
      </c>
      <c r="I567" s="19" t="n">
        <v>850</v>
      </c>
      <c r="J567" s="19" t="n">
        <v>920</v>
      </c>
      <c r="K567" s="19" t="n">
        <v>8.33333333333333</v>
      </c>
    </row>
    <row r="568">
      <c r="A568" s="19" t="n">
        <v>120</v>
      </c>
      <c r="B568" s="19" t="inlineStr">
        <is>
          <t>Chester</t>
        </is>
      </c>
      <c r="C568" s="19" t="inlineStr">
        <is>
          <t>Mafia</t>
        </is>
      </c>
      <c r="D568" s="19" t="inlineStr">
        <is>
          <t>Win</t>
        </is>
      </c>
      <c r="E568" s="19" t="n">
        <v>55</v>
      </c>
      <c r="F568" s="19" t="n">
        <v>28.5676180554194</v>
      </c>
      <c r="G568" s="19" t="n">
        <v>29.3173083580177</v>
      </c>
      <c r="H568" s="19" t="n">
        <v>7.41433201732628</v>
      </c>
      <c r="I568" s="19" t="n">
        <v>1182</v>
      </c>
      <c r="J568" s="19" t="n">
        <v>1237</v>
      </c>
      <c r="K568" s="19" t="n">
        <v>7.45591124739702</v>
      </c>
    </row>
    <row r="569">
      <c r="A569" s="19" t="n">
        <v>120</v>
      </c>
      <c r="B569" s="19" t="inlineStr">
        <is>
          <t>Chipper</t>
        </is>
      </c>
      <c r="C569" s="19" t="inlineStr">
        <is>
          <t>Mafia</t>
        </is>
      </c>
      <c r="D569" s="19" t="inlineStr">
        <is>
          <t>Win</t>
        </is>
      </c>
      <c r="E569" s="19" t="n">
        <v>51</v>
      </c>
      <c r="F569" s="19" t="n">
        <v>21.4506096955145</v>
      </c>
      <c r="G569" s="19" t="n">
        <v>22.1430834121214</v>
      </c>
      <c r="H569" s="19" t="n">
        <v>7.1292879774476</v>
      </c>
      <c r="I569" s="19" t="n">
        <v>728</v>
      </c>
      <c r="J569" s="19" t="n">
        <v>779</v>
      </c>
      <c r="K569" s="19" t="n">
        <v>7.16526703517476</v>
      </c>
    </row>
    <row r="570">
      <c r="A570" s="19" t="n">
        <v>119</v>
      </c>
      <c r="B570" s="19" t="inlineStr">
        <is>
          <t>Kden</t>
        </is>
      </c>
      <c r="C570" s="19" t="inlineStr">
        <is>
          <t>Town</t>
        </is>
      </c>
      <c r="D570" s="19" t="inlineStr">
        <is>
          <t>Loss</t>
        </is>
      </c>
      <c r="E570" s="19" t="n">
        <v>-39</v>
      </c>
      <c r="F570" s="19" t="n">
        <v>24.803435039448</v>
      </c>
      <c r="G570" s="19" t="n">
        <v>24.1850178991075</v>
      </c>
      <c r="H570" s="19" t="n">
        <v>7.02847429087279</v>
      </c>
      <c r="I570" s="19" t="n">
        <v>967</v>
      </c>
      <c r="J570" s="19" t="n">
        <v>928</v>
      </c>
      <c r="K570" s="19" t="n">
        <v>7.05778220514998</v>
      </c>
    </row>
    <row r="571">
      <c r="A571" s="19" t="n">
        <v>119</v>
      </c>
      <c r="B571" s="19" t="inlineStr">
        <is>
          <t>Smit</t>
        </is>
      </c>
      <c r="C571" s="19" t="inlineStr">
        <is>
          <t>Town</t>
        </is>
      </c>
      <c r="D571" s="19" t="inlineStr">
        <is>
          <t>Loss</t>
        </is>
      </c>
      <c r="E571" s="19" t="n">
        <v>-37</v>
      </c>
      <c r="F571" s="19" t="n">
        <v>27.6302642696571</v>
      </c>
      <c r="G571" s="19" t="n">
        <v>27.0470243081821</v>
      </c>
      <c r="H571" s="19" t="n">
        <v>6.82762455853035</v>
      </c>
      <c r="I571" s="19" t="n">
        <v>1180</v>
      </c>
      <c r="J571" s="19" t="n">
        <v>1143</v>
      </c>
      <c r="K571" s="19" t="n">
        <v>6.85373747293466</v>
      </c>
    </row>
    <row r="572">
      <c r="A572" s="19" t="n">
        <v>119</v>
      </c>
      <c r="B572" s="19" t="inlineStr">
        <is>
          <t>Cj</t>
        </is>
      </c>
      <c r="C572" s="19" t="inlineStr">
        <is>
          <t>Town</t>
        </is>
      </c>
      <c r="D572" s="19" t="inlineStr">
        <is>
          <t>Loss</t>
        </is>
      </c>
      <c r="E572" s="19" t="n">
        <v>-47</v>
      </c>
      <c r="F572" s="19" t="n">
        <v>26.1013618054506</v>
      </c>
      <c r="G572" s="19" t="n">
        <v>25.3601982300523</v>
      </c>
      <c r="H572" s="19" t="n">
        <v>7.68666883293785</v>
      </c>
      <c r="I572" s="19" t="n">
        <v>987</v>
      </c>
      <c r="J572" s="19" t="n">
        <v>940</v>
      </c>
      <c r="K572" s="19" t="n">
        <v>7.7276864759779</v>
      </c>
    </row>
    <row r="573">
      <c r="A573" s="19" t="n">
        <v>119</v>
      </c>
      <c r="B573" s="19" t="inlineStr">
        <is>
          <t>Gilbert</t>
        </is>
      </c>
      <c r="C573" s="19" t="inlineStr">
        <is>
          <t>Town</t>
        </is>
      </c>
      <c r="D573" s="19" t="inlineStr">
        <is>
          <t>Loss</t>
        </is>
      </c>
      <c r="E573" s="19" t="n">
        <v>-47</v>
      </c>
      <c r="F573" s="19" t="n">
        <v>23.3741921480464</v>
      </c>
      <c r="G573" s="19" t="n">
        <v>22.6299978464701</v>
      </c>
      <c r="H573" s="19" t="n">
        <v>7.7021762471106</v>
      </c>
      <c r="I573" s="19" t="n">
        <v>800</v>
      </c>
      <c r="J573" s="19" t="n">
        <v>753</v>
      </c>
      <c r="K573" s="19" t="n">
        <v>7.74349394007542</v>
      </c>
    </row>
    <row r="574">
      <c r="A574" s="19" t="n">
        <v>119</v>
      </c>
      <c r="B574" s="19" t="inlineStr">
        <is>
          <t>Lou</t>
        </is>
      </c>
      <c r="C574" s="19" t="inlineStr">
        <is>
          <t>Town</t>
        </is>
      </c>
      <c r="D574" s="19" t="inlineStr">
        <is>
          <t>Loss</t>
        </is>
      </c>
      <c r="E574" s="19" t="n">
        <v>-37</v>
      </c>
      <c r="F574" s="19" t="n">
        <v>28.3852785049399</v>
      </c>
      <c r="G574" s="19" t="n">
        <v>27.8060046363298</v>
      </c>
      <c r="H574" s="19" t="n">
        <v>6.80459264414444</v>
      </c>
      <c r="I574" s="19" t="n">
        <v>1234</v>
      </c>
      <c r="J574" s="19" t="n">
        <v>1197</v>
      </c>
      <c r="K574" s="19" t="n">
        <v>6.83034985468546</v>
      </c>
    </row>
    <row r="575">
      <c r="A575" s="19" t="n">
        <v>119</v>
      </c>
      <c r="B575" s="19" t="inlineStr">
        <is>
          <t>Iln</t>
        </is>
      </c>
      <c r="C575" s="19" t="inlineStr">
        <is>
          <t>Town</t>
        </is>
      </c>
      <c r="D575" s="19" t="inlineStr">
        <is>
          <t>Loss</t>
        </is>
      </c>
      <c r="E575" s="19" t="n">
        <v>-37</v>
      </c>
      <c r="F575" s="19" t="n">
        <v>27.1010932684319</v>
      </c>
      <c r="G575" s="19" t="n">
        <v>26.518172006102</v>
      </c>
      <c r="H575" s="19" t="n">
        <v>6.82577679075883</v>
      </c>
      <c r="I575" s="19" t="n">
        <v>1144</v>
      </c>
      <c r="J575" s="19" t="n">
        <v>1107</v>
      </c>
      <c r="K575" s="19" t="n">
        <v>6.85186108839569</v>
      </c>
    </row>
    <row r="576">
      <c r="A576" s="19" t="n">
        <v>119</v>
      </c>
      <c r="B576" s="19" t="inlineStr">
        <is>
          <t>Decode</t>
        </is>
      </c>
      <c r="C576" s="19" t="inlineStr">
        <is>
          <t>Town</t>
        </is>
      </c>
      <c r="D576" s="19" t="inlineStr">
        <is>
          <t>Loss</t>
        </is>
      </c>
      <c r="E576" s="19" t="n">
        <v>-50</v>
      </c>
      <c r="F576" s="19" t="n">
        <v>23.9203352228688</v>
      </c>
      <c r="G576" s="19" t="n">
        <v>23.1043720433795</v>
      </c>
      <c r="H576" s="19" t="n">
        <v>8.0602472078536</v>
      </c>
      <c r="I576" s="19" t="n">
        <v>799</v>
      </c>
      <c r="J576" s="19" t="n">
        <v>749</v>
      </c>
      <c r="K576" s="19" t="n">
        <v>8.108821474460379</v>
      </c>
    </row>
    <row r="577">
      <c r="A577" s="19" t="n">
        <v>119</v>
      </c>
      <c r="B577" s="19" t="inlineStr">
        <is>
          <t>Plen</t>
        </is>
      </c>
      <c r="C577" s="19" t="inlineStr">
        <is>
          <t>Town</t>
        </is>
      </c>
      <c r="D577" s="19" t="inlineStr">
        <is>
          <t>Loss</t>
        </is>
      </c>
      <c r="E577" s="19" t="n">
        <v>-35</v>
      </c>
      <c r="F577" s="19" t="n">
        <v>22.0391079311322</v>
      </c>
      <c r="G577" s="19" t="n">
        <v>21.4925314702859</v>
      </c>
      <c r="H577" s="19" t="n">
        <v>6.61153627688511</v>
      </c>
      <c r="I577" s="19" t="n">
        <v>822</v>
      </c>
      <c r="J577" s="19" t="n">
        <v>787</v>
      </c>
      <c r="K577" s="19" t="n">
        <v>6.63439585978989</v>
      </c>
    </row>
    <row r="578">
      <c r="A578" s="19" t="n">
        <v>119</v>
      </c>
      <c r="B578" s="19" t="inlineStr">
        <is>
          <t>Laur</t>
        </is>
      </c>
      <c r="C578" s="19" t="inlineStr">
        <is>
          <t>Town</t>
        </is>
      </c>
      <c r="D578" s="19" t="inlineStr">
        <is>
          <t>Loss</t>
        </is>
      </c>
      <c r="E578" s="19" t="n">
        <v>-38</v>
      </c>
      <c r="F578" s="19" t="n">
        <v>33.4940049866658</v>
      </c>
      <c r="G578" s="19" t="n">
        <v>32.8927813810599</v>
      </c>
      <c r="H578" s="19" t="n">
        <v>6.93106158785852</v>
      </c>
      <c r="I578" s="19" t="n">
        <v>1568</v>
      </c>
      <c r="J578" s="19" t="n">
        <v>1530</v>
      </c>
      <c r="K578" s="19" t="n">
        <v>6.95879888180322</v>
      </c>
    </row>
    <row r="579">
      <c r="A579" s="19" t="n">
        <v>119</v>
      </c>
      <c r="B579" s="19" t="inlineStr">
        <is>
          <t>Vert</t>
        </is>
      </c>
      <c r="C579" s="19" t="inlineStr">
        <is>
          <t>Town</t>
        </is>
      </c>
      <c r="D579" s="19" t="inlineStr">
        <is>
          <t>Loss</t>
        </is>
      </c>
      <c r="E579" s="19" t="n">
        <v>-52</v>
      </c>
      <c r="F579" s="19" t="n">
        <v>26.6421361198769</v>
      </c>
      <c r="G579" s="19" t="n">
        <v>25.8106383377028</v>
      </c>
      <c r="H579" s="19" t="n">
        <v>8.13556869467522</v>
      </c>
      <c r="I579" s="19" t="n">
        <v>977</v>
      </c>
      <c r="J579" s="19" t="n">
        <v>925</v>
      </c>
      <c r="K579" s="19" t="n">
        <v>8.18575154310704</v>
      </c>
    </row>
    <row r="580">
      <c r="A580" s="19" t="n">
        <v>119</v>
      </c>
      <c r="B580" s="19" t="inlineStr">
        <is>
          <t>Chester</t>
        </is>
      </c>
      <c r="C580" s="19" t="inlineStr">
        <is>
          <t>Town</t>
        </is>
      </c>
      <c r="D580" s="19" t="inlineStr">
        <is>
          <t>Loss</t>
        </is>
      </c>
      <c r="E580" s="19" t="n">
        <v>-44</v>
      </c>
      <c r="F580" s="19" t="n">
        <v>29.2644397871245</v>
      </c>
      <c r="G580" s="19" t="n">
        <v>28.5676180554194</v>
      </c>
      <c r="H580" s="19" t="n">
        <v>7.45591124739702</v>
      </c>
      <c r="I580" s="19" t="n">
        <v>1226</v>
      </c>
      <c r="J580" s="19" t="n">
        <v>1182</v>
      </c>
      <c r="K580" s="19" t="n">
        <v>7.49259877469259</v>
      </c>
    </row>
    <row r="581">
      <c r="A581" s="19" t="n">
        <v>119</v>
      </c>
      <c r="B581" s="19" t="inlineStr">
        <is>
          <t>Cyclone</t>
        </is>
      </c>
      <c r="C581" s="19" t="inlineStr">
        <is>
          <t>Mafia</t>
        </is>
      </c>
      <c r="D581" s="19" t="inlineStr">
        <is>
          <t>Win</t>
        </is>
      </c>
      <c r="E581" s="19" t="n">
        <v>62</v>
      </c>
      <c r="F581" s="19" t="n">
        <v>24.4535262470972</v>
      </c>
      <c r="G581" s="19" t="n">
        <v>25.2821961040095</v>
      </c>
      <c r="H581" s="19" t="n">
        <v>8.121912055428639</v>
      </c>
      <c r="I581" s="19" t="n">
        <v>829</v>
      </c>
      <c r="J581" s="19" t="n">
        <v>891</v>
      </c>
      <c r="K581" s="19" t="n">
        <v>8.17180108221973</v>
      </c>
    </row>
    <row r="582">
      <c r="A582" s="19" t="n">
        <v>119</v>
      </c>
      <c r="B582" s="19" t="inlineStr">
        <is>
          <t>TCP</t>
        </is>
      </c>
      <c r="C582" s="19" t="inlineStr">
        <is>
          <t>Mafia</t>
        </is>
      </c>
      <c r="D582" s="19" t="inlineStr">
        <is>
          <t>Win</t>
        </is>
      </c>
      <c r="E582" s="19" t="n">
        <v>64</v>
      </c>
      <c r="F582" s="19" t="n">
        <v>25</v>
      </c>
      <c r="G582" s="19" t="n">
        <v>25.861709805011</v>
      </c>
      <c r="H582" s="19" t="n">
        <v>8.27998395388606</v>
      </c>
      <c r="I582" s="19" t="n">
        <v>850</v>
      </c>
      <c r="J582" s="19" t="n">
        <v>914</v>
      </c>
      <c r="K582" s="19" t="n">
        <v>8.33333333333333</v>
      </c>
    </row>
    <row r="583">
      <c r="A583" s="19" t="n">
        <v>119</v>
      </c>
      <c r="B583" s="19" t="inlineStr">
        <is>
          <t>Rick</t>
        </is>
      </c>
      <c r="C583" s="19" t="inlineStr">
        <is>
          <t>Mafia</t>
        </is>
      </c>
      <c r="D583" s="19" t="inlineStr">
        <is>
          <t>Win</t>
        </is>
      </c>
      <c r="E583" s="19" t="n">
        <v>55</v>
      </c>
      <c r="F583" s="19" t="n">
        <v>28.0409461796569</v>
      </c>
      <c r="G583" s="19" t="n">
        <v>28.7887495000148</v>
      </c>
      <c r="H583" s="19" t="n">
        <v>7.72059995951344</v>
      </c>
      <c r="I583" s="19" t="n">
        <v>1115</v>
      </c>
      <c r="J583" s="19" t="n">
        <v>1170</v>
      </c>
      <c r="K583" s="19" t="n">
        <v>7.76227563452308</v>
      </c>
    </row>
    <row r="584">
      <c r="A584" s="19" t="n">
        <v>118</v>
      </c>
      <c r="B584" s="19" t="inlineStr">
        <is>
          <t>Xcync</t>
        </is>
      </c>
      <c r="C584" s="19" t="inlineStr">
        <is>
          <t>Town</t>
        </is>
      </c>
      <c r="D584" s="19" t="inlineStr">
        <is>
          <t>Loss</t>
        </is>
      </c>
      <c r="E584" s="19" t="n">
        <v>-57</v>
      </c>
      <c r="F584" s="19" t="n">
        <v>30.4981359926235</v>
      </c>
      <c r="G584" s="19" t="n">
        <v>29.5928362980319</v>
      </c>
      <c r="H584" s="19" t="n">
        <v>7.58995130034331</v>
      </c>
      <c r="I584" s="19" t="n">
        <v>1295</v>
      </c>
      <c r="J584" s="19" t="n">
        <v>1238</v>
      </c>
      <c r="K584" s="19" t="n">
        <v>7.64090212863287</v>
      </c>
    </row>
    <row r="585">
      <c r="A585" s="19" t="n">
        <v>118</v>
      </c>
      <c r="B585" s="19" t="inlineStr">
        <is>
          <t>Lou</t>
        </is>
      </c>
      <c r="C585" s="19" t="inlineStr">
        <is>
          <t>Town</t>
        </is>
      </c>
      <c r="D585" s="19" t="inlineStr">
        <is>
          <t>Loss</t>
        </is>
      </c>
      <c r="E585" s="19" t="n">
        <v>-46</v>
      </c>
      <c r="F585" s="19" t="n">
        <v>29.1163257293975</v>
      </c>
      <c r="G585" s="19" t="n">
        <v>28.3852785049399</v>
      </c>
      <c r="H585" s="19" t="n">
        <v>6.83034985468546</v>
      </c>
      <c r="I585" s="19" t="n">
        <v>1280</v>
      </c>
      <c r="J585" s="19" t="n">
        <v>1234</v>
      </c>
      <c r="K585" s="19" t="n">
        <v>6.86501298376618</v>
      </c>
    </row>
    <row r="586">
      <c r="A586" s="19" t="n">
        <v>118</v>
      </c>
      <c r="B586" s="19" t="inlineStr">
        <is>
          <t>Ken</t>
        </is>
      </c>
      <c r="C586" s="19" t="inlineStr">
        <is>
          <t>Town</t>
        </is>
      </c>
      <c r="D586" s="19" t="inlineStr">
        <is>
          <t>Loss</t>
        </is>
      </c>
      <c r="E586" s="19" t="n">
        <v>-62</v>
      </c>
      <c r="F586" s="19" t="n">
        <v>24.4896672337402</v>
      </c>
      <c r="G586" s="19" t="n">
        <v>23.4828047855175</v>
      </c>
      <c r="H586" s="19" t="n">
        <v>7.99763057750209</v>
      </c>
      <c r="I586" s="19" t="n">
        <v>843</v>
      </c>
      <c r="J586" s="19" t="n">
        <v>781</v>
      </c>
      <c r="K586" s="19" t="n">
        <v>8.058742603801511</v>
      </c>
    </row>
    <row r="587">
      <c r="A587" s="19" t="n">
        <v>118</v>
      </c>
      <c r="B587" s="19" t="inlineStr">
        <is>
          <t>Laur</t>
        </is>
      </c>
      <c r="C587" s="19" t="inlineStr">
        <is>
          <t>Town</t>
        </is>
      </c>
      <c r="D587" s="19" t="inlineStr">
        <is>
          <t>Loss</t>
        </is>
      </c>
      <c r="E587" s="19" t="n">
        <v>-48</v>
      </c>
      <c r="F587" s="19" t="n">
        <v>34.2531596640586</v>
      </c>
      <c r="G587" s="19" t="n">
        <v>33.4940049866658</v>
      </c>
      <c r="H587" s="19" t="n">
        <v>6.95879888180322</v>
      </c>
      <c r="I587" s="19" t="n">
        <v>1616</v>
      </c>
      <c r="J587" s="19" t="n">
        <v>1568</v>
      </c>
      <c r="K587" s="19" t="n">
        <v>6.99598928502024</v>
      </c>
    </row>
    <row r="588">
      <c r="A588" s="19" t="n">
        <v>118</v>
      </c>
      <c r="B588" s="19" t="inlineStr">
        <is>
          <t>Rocker</t>
        </is>
      </c>
      <c r="C588" s="19" t="inlineStr">
        <is>
          <t>Town</t>
        </is>
      </c>
      <c r="D588" s="19" t="inlineStr">
        <is>
          <t>Loss</t>
        </is>
      </c>
      <c r="E588" s="19" t="n">
        <v>-43</v>
      </c>
      <c r="F588" s="19" t="n">
        <v>32.9350070881081</v>
      </c>
      <c r="G588" s="19" t="n">
        <v>32.26562204344</v>
      </c>
      <c r="H588" s="19" t="n">
        <v>6.53927842201129</v>
      </c>
      <c r="I588" s="19" t="n">
        <v>1570</v>
      </c>
      <c r="J588" s="19" t="n">
        <v>1527</v>
      </c>
      <c r="K588" s="19" t="n">
        <v>6.56853391233032</v>
      </c>
    </row>
    <row r="589">
      <c r="A589" s="19" t="n">
        <v>118</v>
      </c>
      <c r="B589" s="19" t="inlineStr">
        <is>
          <t>Brady</t>
        </is>
      </c>
      <c r="C589" s="19" t="inlineStr">
        <is>
          <t>Town</t>
        </is>
      </c>
      <c r="D589" s="19" t="inlineStr">
        <is>
          <t>Loss</t>
        </is>
      </c>
      <c r="E589" s="19" t="n">
        <v>-66</v>
      </c>
      <c r="F589" s="19" t="n">
        <v>24.2412055622899</v>
      </c>
      <c r="G589" s="19" t="n">
        <v>23.1779178594505</v>
      </c>
      <c r="H589" s="19" t="n">
        <v>8.21481447630112</v>
      </c>
      <c r="I589" s="19" t="n">
        <v>804</v>
      </c>
      <c r="J589" s="19" t="n">
        <v>738</v>
      </c>
      <c r="K589" s="19" t="n">
        <v>8.281777853557299</v>
      </c>
    </row>
    <row r="590">
      <c r="A590" s="19" t="n">
        <v>118</v>
      </c>
      <c r="B590" s="19" t="inlineStr">
        <is>
          <t>Brownkow</t>
        </is>
      </c>
      <c r="C590" s="19" t="inlineStr">
        <is>
          <t>Town</t>
        </is>
      </c>
      <c r="D590" s="19" t="inlineStr">
        <is>
          <t>Loss</t>
        </is>
      </c>
      <c r="E590" s="19" t="n">
        <v>-43</v>
      </c>
      <c r="F590" s="19" t="n">
        <v>32.4686275568673</v>
      </c>
      <c r="G590" s="19" t="n">
        <v>31.7842663999795</v>
      </c>
      <c r="H590" s="19" t="n">
        <v>6.61120621254977</v>
      </c>
      <c r="I590" s="19" t="n">
        <v>1530</v>
      </c>
      <c r="J590" s="19" t="n">
        <v>1487</v>
      </c>
      <c r="K590" s="19" t="n">
        <v>6.64175775959322</v>
      </c>
    </row>
    <row r="591">
      <c r="A591" s="19" t="n">
        <v>118</v>
      </c>
      <c r="B591" s="19" t="inlineStr">
        <is>
          <t>Kden</t>
        </is>
      </c>
      <c r="C591" s="19" t="inlineStr">
        <is>
          <t>Town</t>
        </is>
      </c>
      <c r="D591" s="19" t="inlineStr">
        <is>
          <t>Loss</t>
        </is>
      </c>
      <c r="E591" s="19" t="n">
        <v>-49</v>
      </c>
      <c r="F591" s="19" t="n">
        <v>25.5846252043552</v>
      </c>
      <c r="G591" s="19" t="n">
        <v>24.803435039448</v>
      </c>
      <c r="H591" s="19" t="n">
        <v>7.05778220514998</v>
      </c>
      <c r="I591" s="19" t="n">
        <v>1016</v>
      </c>
      <c r="J591" s="19" t="n">
        <v>967</v>
      </c>
      <c r="K591" s="19" t="n">
        <v>7.09698105639565</v>
      </c>
    </row>
    <row r="592">
      <c r="A592" s="19" t="n">
        <v>118</v>
      </c>
      <c r="B592" s="19" t="inlineStr">
        <is>
          <t>Chester</t>
        </is>
      </c>
      <c r="C592" s="19" t="inlineStr">
        <is>
          <t>Town</t>
        </is>
      </c>
      <c r="D592" s="19" t="inlineStr">
        <is>
          <t>Loss</t>
        </is>
      </c>
      <c r="E592" s="19" t="n">
        <v>-55</v>
      </c>
      <c r="F592" s="19" t="n">
        <v>30.1463218276026</v>
      </c>
      <c r="G592" s="19" t="n">
        <v>29.2644397871245</v>
      </c>
      <c r="H592" s="19" t="n">
        <v>7.49259877469259</v>
      </c>
      <c r="I592" s="19" t="n">
        <v>1281</v>
      </c>
      <c r="J592" s="19" t="n">
        <v>1226</v>
      </c>
      <c r="K592" s="19" t="n">
        <v>7.5412755579418</v>
      </c>
    </row>
    <row r="593">
      <c r="A593" s="19" t="n">
        <v>118</v>
      </c>
      <c r="B593" s="19" t="inlineStr">
        <is>
          <t>Plen</t>
        </is>
      </c>
      <c r="C593" s="19" t="inlineStr">
        <is>
          <t>Town</t>
        </is>
      </c>
      <c r="D593" s="19" t="inlineStr">
        <is>
          <t>Loss</t>
        </is>
      </c>
      <c r="E593" s="19" t="n">
        <v>-44</v>
      </c>
      <c r="F593" s="19" t="n">
        <v>22.7283339513085</v>
      </c>
      <c r="G593" s="19" t="n">
        <v>22.0391079311322</v>
      </c>
      <c r="H593" s="19" t="n">
        <v>6.63439585978989</v>
      </c>
      <c r="I593" s="19" t="n">
        <v>866</v>
      </c>
      <c r="J593" s="19" t="n">
        <v>822</v>
      </c>
      <c r="K593" s="19" t="n">
        <v>6.66537081312271</v>
      </c>
    </row>
    <row r="594">
      <c r="A594" s="19" t="n">
        <v>118</v>
      </c>
      <c r="B594" s="19" t="inlineStr">
        <is>
          <t>Strik3r</t>
        </is>
      </c>
      <c r="C594" s="19" t="inlineStr">
        <is>
          <t>Mafia</t>
        </is>
      </c>
      <c r="D594" s="19" t="inlineStr">
        <is>
          <t>Win</t>
        </is>
      </c>
      <c r="E594" s="19" t="n">
        <v>64</v>
      </c>
      <c r="F594" s="19" t="n">
        <v>26.9739931241966</v>
      </c>
      <c r="G594" s="19" t="n">
        <v>27.8497090134284</v>
      </c>
      <c r="H594" s="19" t="n">
        <v>7.46674066115868</v>
      </c>
      <c r="I594" s="19" t="n">
        <v>1068</v>
      </c>
      <c r="J594" s="19" t="n">
        <v>1132</v>
      </c>
      <c r="K594" s="19" t="n">
        <v>7.51482300524024</v>
      </c>
    </row>
    <row r="595">
      <c r="A595" s="19" t="n">
        <v>118</v>
      </c>
      <c r="B595" s="19" t="inlineStr">
        <is>
          <t>Noah</t>
        </is>
      </c>
      <c r="C595" s="19" t="inlineStr">
        <is>
          <t>Mafia</t>
        </is>
      </c>
      <c r="D595" s="19" t="inlineStr">
        <is>
          <t>Win</t>
        </is>
      </c>
      <c r="E595" s="19" t="n">
        <v>52</v>
      </c>
      <c r="F595" s="19" t="n">
        <v>30.8958614895212</v>
      </c>
      <c r="G595" s="19" t="n">
        <v>31.6026526777566</v>
      </c>
      <c r="H595" s="19" t="n">
        <v>6.71742754946417</v>
      </c>
      <c r="I595" s="19" t="n">
        <v>1412</v>
      </c>
      <c r="J595" s="19" t="n">
        <v>1464</v>
      </c>
      <c r="K595" s="19" t="n">
        <v>6.74994102167176</v>
      </c>
    </row>
    <row r="596">
      <c r="A596" s="19" t="n">
        <v>118</v>
      </c>
      <c r="B596" s="19" t="inlineStr">
        <is>
          <t>Badpants</t>
        </is>
      </c>
      <c r="C596" s="19" t="inlineStr">
        <is>
          <t>Mafia</t>
        </is>
      </c>
      <c r="D596" s="19" t="inlineStr">
        <is>
          <t>Win</t>
        </is>
      </c>
      <c r="E596" s="19" t="n">
        <v>52</v>
      </c>
      <c r="F596" s="19" t="n">
        <v>23.52167465903</v>
      </c>
      <c r="G596" s="19" t="n">
        <v>24.236940004289</v>
      </c>
      <c r="H596" s="19" t="n">
        <v>6.75710334322492</v>
      </c>
      <c r="I596" s="19" t="n">
        <v>907</v>
      </c>
      <c r="J596" s="19" t="n">
        <v>959</v>
      </c>
      <c r="K596" s="19" t="n">
        <v>6.79036452106517</v>
      </c>
    </row>
    <row r="597">
      <c r="A597" s="19" t="n">
        <v>117</v>
      </c>
      <c r="B597" s="19" t="inlineStr">
        <is>
          <t>Aipha</t>
        </is>
      </c>
      <c r="C597" s="19" t="inlineStr">
        <is>
          <t>Town</t>
        </is>
      </c>
      <c r="D597" s="19" t="inlineStr">
        <is>
          <t>Loss</t>
        </is>
      </c>
      <c r="E597" s="19" t="n">
        <v>-72</v>
      </c>
      <c r="F597" s="19" t="n">
        <v>23.3197172659771</v>
      </c>
      <c r="G597" s="19" t="n">
        <v>22.1797844755754</v>
      </c>
      <c r="H597" s="19" t="n">
        <v>7.58811690363748</v>
      </c>
      <c r="I597" s="19" t="n">
        <v>806</v>
      </c>
      <c r="J597" s="19" t="n">
        <v>734</v>
      </c>
      <c r="K597" s="19" t="n">
        <v>7.64425098548211</v>
      </c>
    </row>
    <row r="598">
      <c r="A598" s="19" t="n">
        <v>117</v>
      </c>
      <c r="B598" s="19" t="inlineStr">
        <is>
          <t>Cj</t>
        </is>
      </c>
      <c r="C598" s="19" t="inlineStr">
        <is>
          <t>Town</t>
        </is>
      </c>
      <c r="D598" s="19" t="inlineStr">
        <is>
          <t>Loss</t>
        </is>
      </c>
      <c r="E598" s="19" t="n">
        <v>-74</v>
      </c>
      <c r="F598" s="19" t="n">
        <v>27.2843475325437</v>
      </c>
      <c r="G598" s="19" t="n">
        <v>26.1013618054506</v>
      </c>
      <c r="H598" s="19" t="n">
        <v>7.7276864759779</v>
      </c>
      <c r="I598" s="19" t="n">
        <v>1061</v>
      </c>
      <c r="J598" s="19" t="n">
        <v>987</v>
      </c>
      <c r="K598" s="19" t="n">
        <v>7.78748527445968</v>
      </c>
    </row>
    <row r="599">
      <c r="A599" s="19" t="n">
        <v>117</v>
      </c>
      <c r="B599" s="19" t="inlineStr">
        <is>
          <t>Smit</t>
        </is>
      </c>
      <c r="C599" s="19" t="inlineStr">
        <is>
          <t>Town</t>
        </is>
      </c>
      <c r="D599" s="19" t="inlineStr">
        <is>
          <t>Loss</t>
        </is>
      </c>
      <c r="E599" s="19" t="n">
        <v>-59</v>
      </c>
      <c r="F599" s="19" t="n">
        <v>28.5573875137643</v>
      </c>
      <c r="G599" s="19" t="n">
        <v>27.6302642696571</v>
      </c>
      <c r="H599" s="19" t="n">
        <v>6.85373747293466</v>
      </c>
      <c r="I599" s="19" t="n">
        <v>1239</v>
      </c>
      <c r="J599" s="19" t="n">
        <v>1180</v>
      </c>
      <c r="K599" s="19" t="n">
        <v>6.89266653255772</v>
      </c>
    </row>
    <row r="600">
      <c r="A600" s="19" t="n">
        <v>117</v>
      </c>
      <c r="B600" s="19" t="inlineStr">
        <is>
          <t>Kden</t>
        </is>
      </c>
      <c r="C600" s="19" t="inlineStr">
        <is>
          <t>Town</t>
        </is>
      </c>
      <c r="D600" s="19" t="inlineStr">
        <is>
          <t>Loss</t>
        </is>
      </c>
      <c r="E600" s="19" t="n">
        <v>-63</v>
      </c>
      <c r="F600" s="19" t="n">
        <v>26.5796951664114</v>
      </c>
      <c r="G600" s="19" t="n">
        <v>25.5846252043552</v>
      </c>
      <c r="H600" s="19" t="n">
        <v>7.09698105639565</v>
      </c>
      <c r="I600" s="19" t="n">
        <v>1079</v>
      </c>
      <c r="J600" s="19" t="n">
        <v>1016</v>
      </c>
      <c r="K600" s="19" t="n">
        <v>7.1412367053445</v>
      </c>
    </row>
    <row r="601">
      <c r="A601" s="19" t="n">
        <v>117</v>
      </c>
      <c r="B601" s="19" t="inlineStr">
        <is>
          <t>Kwix</t>
        </is>
      </c>
      <c r="C601" s="19" t="inlineStr">
        <is>
          <t>Town</t>
        </is>
      </c>
      <c r="D601" s="19" t="inlineStr">
        <is>
          <t>Loss</t>
        </is>
      </c>
      <c r="E601" s="19" t="n">
        <v>-63</v>
      </c>
      <c r="F601" s="19" t="n">
        <v>25.5254907656901</v>
      </c>
      <c r="G601" s="19" t="n">
        <v>24.5423971517449</v>
      </c>
      <c r="H601" s="19" t="n">
        <v>7.05475016910356</v>
      </c>
      <c r="I601" s="19" t="n">
        <v>1012</v>
      </c>
      <c r="J601" s="19" t="n">
        <v>949</v>
      </c>
      <c r="K601" s="19" t="n">
        <v>7.09805547446562</v>
      </c>
    </row>
    <row r="602">
      <c r="A602" s="19" t="n">
        <v>117</v>
      </c>
      <c r="B602" s="19" t="inlineStr">
        <is>
          <t>Motr</t>
        </is>
      </c>
      <c r="C602" s="19" t="inlineStr">
        <is>
          <t>Town</t>
        </is>
      </c>
      <c r="D602" s="19" t="inlineStr">
        <is>
          <t>Loss</t>
        </is>
      </c>
      <c r="E602" s="19" t="n">
        <v>-74</v>
      </c>
      <c r="F602" s="19" t="n">
        <v>26.7122163363531</v>
      </c>
      <c r="G602" s="19" t="n">
        <v>25.5399604675289</v>
      </c>
      <c r="H602" s="19" t="n">
        <v>7.69315556973154</v>
      </c>
      <c r="I602" s="19" t="n">
        <v>1026</v>
      </c>
      <c r="J602" s="19" t="n">
        <v>952</v>
      </c>
      <c r="K602" s="19" t="n">
        <v>7.75203534489614</v>
      </c>
    </row>
    <row r="603">
      <c r="A603" s="19" t="n">
        <v>117</v>
      </c>
      <c r="B603" s="19" t="inlineStr">
        <is>
          <t>Brownkow</t>
        </is>
      </c>
      <c r="C603" s="19" t="inlineStr">
        <is>
          <t>Town</t>
        </is>
      </c>
      <c r="D603" s="19" t="inlineStr">
        <is>
          <t>Loss</t>
        </is>
      </c>
      <c r="E603" s="19" t="n">
        <v>-56</v>
      </c>
      <c r="F603" s="19" t="n">
        <v>33.3385735806715</v>
      </c>
      <c r="G603" s="19" t="n">
        <v>32.4686275568673</v>
      </c>
      <c r="H603" s="19" t="n">
        <v>6.64175775959322</v>
      </c>
      <c r="I603" s="19" t="n">
        <v>1586</v>
      </c>
      <c r="J603" s="19" t="n">
        <v>1530</v>
      </c>
      <c r="K603" s="19" t="n">
        <v>6.6763277472038</v>
      </c>
    </row>
    <row r="604">
      <c r="A604" s="19" t="n">
        <v>117</v>
      </c>
      <c r="B604" s="19" t="inlineStr">
        <is>
          <t>Iln</t>
        </is>
      </c>
      <c r="C604" s="19" t="inlineStr">
        <is>
          <t>Town</t>
        </is>
      </c>
      <c r="D604" s="19" t="inlineStr">
        <is>
          <t>Loss</t>
        </is>
      </c>
      <c r="E604" s="19" t="n">
        <v>-59</v>
      </c>
      <c r="F604" s="19" t="n">
        <v>28.0277020928136</v>
      </c>
      <c r="G604" s="19" t="n">
        <v>27.1010932684319</v>
      </c>
      <c r="H604" s="19" t="n">
        <v>6.85186108839569</v>
      </c>
      <c r="I604" s="19" t="n">
        <v>1203</v>
      </c>
      <c r="J604" s="19" t="n">
        <v>1144</v>
      </c>
      <c r="K604" s="19" t="n">
        <v>6.89075042568967</v>
      </c>
    </row>
    <row r="605">
      <c r="A605" s="19" t="n">
        <v>117</v>
      </c>
      <c r="B605" s="19" t="inlineStr">
        <is>
          <t>Noah</t>
        </is>
      </c>
      <c r="C605" s="19" t="inlineStr">
        <is>
          <t>Town</t>
        </is>
      </c>
      <c r="D605" s="19" t="inlineStr">
        <is>
          <t>Loss</t>
        </is>
      </c>
      <c r="E605" s="19" t="n">
        <v>-58</v>
      </c>
      <c r="F605" s="19" t="n">
        <v>31.7947514408121</v>
      </c>
      <c r="G605" s="19" t="n">
        <v>30.8958614895212</v>
      </c>
      <c r="H605" s="19" t="n">
        <v>6.74994102167176</v>
      </c>
      <c r="I605" s="19" t="n">
        <v>1470</v>
      </c>
      <c r="J605" s="19" t="n">
        <v>1412</v>
      </c>
      <c r="K605" s="19" t="n">
        <v>6.78670348421161</v>
      </c>
    </row>
    <row r="606">
      <c r="A606" s="19" t="n">
        <v>117</v>
      </c>
      <c r="B606" s="19" t="inlineStr">
        <is>
          <t>Laur</t>
        </is>
      </c>
      <c r="C606" s="19" t="inlineStr">
        <is>
          <t>Town</t>
        </is>
      </c>
      <c r="D606" s="19" t="inlineStr">
        <is>
          <t>Loss</t>
        </is>
      </c>
      <c r="E606" s="19" t="n">
        <v>-61</v>
      </c>
      <c r="F606" s="19" t="n">
        <v>35.219714946629</v>
      </c>
      <c r="G606" s="19" t="n">
        <v>34.2531596640586</v>
      </c>
      <c r="H606" s="19" t="n">
        <v>6.99598928502024</v>
      </c>
      <c r="I606" s="19" t="n">
        <v>1677</v>
      </c>
      <c r="J606" s="19" t="n">
        <v>1616</v>
      </c>
      <c r="K606" s="19" t="n">
        <v>7.03799029831226</v>
      </c>
    </row>
    <row r="607">
      <c r="A607" s="19" t="n">
        <v>117</v>
      </c>
      <c r="B607" s="19" t="inlineStr">
        <is>
          <t>Strik3r</t>
        </is>
      </c>
      <c r="C607" s="19" t="inlineStr">
        <is>
          <t>Mafia</t>
        </is>
      </c>
      <c r="D607" s="19" t="inlineStr">
        <is>
          <t>Win</t>
        </is>
      </c>
      <c r="E607" s="19" t="n">
        <v>82</v>
      </c>
      <c r="F607" s="19" t="n">
        <v>25.8563337173682</v>
      </c>
      <c r="G607" s="19" t="n">
        <v>26.9739931241966</v>
      </c>
      <c r="H607" s="19" t="n">
        <v>7.51482300524024</v>
      </c>
      <c r="I607" s="19" t="n">
        <v>986</v>
      </c>
      <c r="J607" s="19" t="n">
        <v>1068</v>
      </c>
      <c r="K607" s="19" t="n">
        <v>7.5690851057588</v>
      </c>
    </row>
    <row r="608">
      <c r="A608" s="19" t="n">
        <v>117</v>
      </c>
      <c r="B608" s="19" t="inlineStr">
        <is>
          <t>Plen</t>
        </is>
      </c>
      <c r="C608" s="19" t="inlineStr">
        <is>
          <t>Mafia</t>
        </is>
      </c>
      <c r="D608" s="19" t="inlineStr">
        <is>
          <t>Win</t>
        </is>
      </c>
      <c r="E608" s="19" t="n">
        <v>63</v>
      </c>
      <c r="F608" s="19" t="n">
        <v>21.8521123282514</v>
      </c>
      <c r="G608" s="19" t="n">
        <v>22.7283339513085</v>
      </c>
      <c r="H608" s="19" t="n">
        <v>6.66537081312271</v>
      </c>
      <c r="I608" s="19" t="n">
        <v>803</v>
      </c>
      <c r="J608" s="19" t="n">
        <v>866</v>
      </c>
      <c r="K608" s="19" t="n">
        <v>6.70041370261001</v>
      </c>
    </row>
    <row r="609">
      <c r="A609" s="19" t="n">
        <v>117</v>
      </c>
      <c r="B609" s="19" t="inlineStr">
        <is>
          <t>Chester</t>
        </is>
      </c>
      <c r="C609" s="19" t="inlineStr">
        <is>
          <t>Mafia</t>
        </is>
      </c>
      <c r="D609" s="19" t="inlineStr">
        <is>
          <t>Win</t>
        </is>
      </c>
      <c r="E609" s="19" t="n">
        <v>82</v>
      </c>
      <c r="F609" s="19" t="n">
        <v>29.020650322062</v>
      </c>
      <c r="G609" s="19" t="n">
        <v>30.1463218276026</v>
      </c>
      <c r="H609" s="19" t="n">
        <v>7.5412755579418</v>
      </c>
      <c r="I609" s="19" t="n">
        <v>1199</v>
      </c>
      <c r="J609" s="19" t="n">
        <v>1281</v>
      </c>
      <c r="K609" s="19" t="n">
        <v>7.5962091508789</v>
      </c>
    </row>
    <row r="610">
      <c r="A610" s="19" t="n">
        <v>116</v>
      </c>
      <c r="B610" s="19" t="inlineStr">
        <is>
          <t>Rick</t>
        </is>
      </c>
      <c r="C610" s="19" t="inlineStr">
        <is>
          <t>Town</t>
        </is>
      </c>
      <c r="D610" s="19" t="inlineStr">
        <is>
          <t>Win</t>
        </is>
      </c>
      <c r="E610" s="19" t="n">
        <v>63</v>
      </c>
      <c r="F610" s="19" t="n">
        <v>27.1838430500247</v>
      </c>
      <c r="G610" s="19" t="n">
        <v>28.0409461796569</v>
      </c>
      <c r="H610" s="19" t="n">
        <v>7.76227563452308</v>
      </c>
      <c r="I610" s="19" t="n">
        <v>1052</v>
      </c>
      <c r="J610" s="19" t="n">
        <v>1115</v>
      </c>
      <c r="K610" s="19" t="n">
        <v>7.80828603986902</v>
      </c>
    </row>
    <row r="611">
      <c r="A611" s="19" t="n">
        <v>116</v>
      </c>
      <c r="B611" s="19" t="inlineStr">
        <is>
          <t>Ken</t>
        </is>
      </c>
      <c r="C611" s="19" t="inlineStr">
        <is>
          <t>Town</t>
        </is>
      </c>
      <c r="D611" s="19" t="inlineStr">
        <is>
          <t>Win</t>
        </is>
      </c>
      <c r="E611" s="19" t="n">
        <v>68</v>
      </c>
      <c r="F611" s="19" t="n">
        <v>23.564864986821</v>
      </c>
      <c r="G611" s="19" t="n">
        <v>24.4896672337402</v>
      </c>
      <c r="H611" s="19" t="n">
        <v>8.058742603801511</v>
      </c>
      <c r="I611" s="19" t="n">
        <v>775</v>
      </c>
      <c r="J611" s="19" t="n">
        <v>843</v>
      </c>
      <c r="K611" s="19" t="n">
        <v>8.11123671309204</v>
      </c>
    </row>
    <row r="612">
      <c r="A612" s="19" t="n">
        <v>116</v>
      </c>
      <c r="B612" s="19" t="inlineStr">
        <is>
          <t>Mintt</t>
        </is>
      </c>
      <c r="C612" s="19" t="inlineStr">
        <is>
          <t>Town</t>
        </is>
      </c>
      <c r="D612" s="19" t="inlineStr">
        <is>
          <t>Win</t>
        </is>
      </c>
      <c r="E612" s="19" t="n">
        <v>53</v>
      </c>
      <c r="F612" s="19" t="n">
        <v>29.3675063441374</v>
      </c>
      <c r="G612" s="19" t="n">
        <v>30.1039276732978</v>
      </c>
      <c r="H612" s="19" t="n">
        <v>7.2018573987233</v>
      </c>
      <c r="I612" s="19" t="n">
        <v>1259</v>
      </c>
      <c r="J612" s="19" t="n">
        <v>1312</v>
      </c>
      <c r="K612" s="19" t="n">
        <v>7.23685411097042</v>
      </c>
    </row>
    <row r="613">
      <c r="A613" s="19" t="n">
        <v>116</v>
      </c>
      <c r="B613" s="19" t="inlineStr">
        <is>
          <t>Heckmuffins</t>
        </is>
      </c>
      <c r="C613" s="19" t="inlineStr">
        <is>
          <t>Town</t>
        </is>
      </c>
      <c r="D613" s="19" t="inlineStr">
        <is>
          <t>Win</t>
        </is>
      </c>
      <c r="E613" s="19" t="n">
        <v>68</v>
      </c>
      <c r="F613" s="19" t="n">
        <v>27.5933351943538</v>
      </c>
      <c r="G613" s="19" t="n">
        <v>28.5205264653384</v>
      </c>
      <c r="H613" s="19" t="n">
        <v>8.068994219044081</v>
      </c>
      <c r="I613" s="19" t="n">
        <v>1048</v>
      </c>
      <c r="J613" s="19" t="n">
        <v>1116</v>
      </c>
      <c r="K613" s="19" t="n">
        <v>8.121721070687419</v>
      </c>
    </row>
    <row r="614">
      <c r="A614" s="19" t="n">
        <v>116</v>
      </c>
      <c r="B614" s="19" t="inlineStr">
        <is>
          <t>Smit</t>
        </is>
      </c>
      <c r="C614" s="19" t="inlineStr">
        <is>
          <t>Town</t>
        </is>
      </c>
      <c r="D614" s="19" t="inlineStr">
        <is>
          <t>Win</t>
        </is>
      </c>
      <c r="E614" s="19" t="n">
        <v>49</v>
      </c>
      <c r="F614" s="19" t="n">
        <v>27.8834978395391</v>
      </c>
      <c r="G614" s="19" t="n">
        <v>28.5573875137643</v>
      </c>
      <c r="H614" s="19" t="n">
        <v>6.89266653255772</v>
      </c>
      <c r="I614" s="19" t="n">
        <v>1190</v>
      </c>
      <c r="J614" s="19" t="n">
        <v>1239</v>
      </c>
      <c r="K614" s="19" t="n">
        <v>6.92223613504933</v>
      </c>
    </row>
    <row r="615">
      <c r="A615" s="19" t="n">
        <v>116</v>
      </c>
      <c r="B615" s="19" t="inlineStr">
        <is>
          <t>Chester</t>
        </is>
      </c>
      <c r="C615" s="19" t="inlineStr">
        <is>
          <t>Town</t>
        </is>
      </c>
      <c r="D615" s="19" t="inlineStr">
        <is>
          <t>Win</t>
        </is>
      </c>
      <c r="E615" s="19" t="n">
        <v>61</v>
      </c>
      <c r="F615" s="19" t="n">
        <v>28.2002994902636</v>
      </c>
      <c r="G615" s="19" t="n">
        <v>29.020650322062</v>
      </c>
      <c r="H615" s="19" t="n">
        <v>7.5962091508789</v>
      </c>
      <c r="I615" s="19" t="n">
        <v>1138</v>
      </c>
      <c r="J615" s="19" t="n">
        <v>1199</v>
      </c>
      <c r="K615" s="19" t="n">
        <v>7.63879094033755</v>
      </c>
    </row>
    <row r="616">
      <c r="A616" s="19" t="n">
        <v>116</v>
      </c>
      <c r="B616" s="19" t="inlineStr">
        <is>
          <t>Gilbert</t>
        </is>
      </c>
      <c r="C616" s="19" t="inlineStr">
        <is>
          <t>Town</t>
        </is>
      </c>
      <c r="D616" s="19" t="inlineStr">
        <is>
          <t>Win</t>
        </is>
      </c>
      <c r="E616" s="19" t="n">
        <v>63</v>
      </c>
      <c r="F616" s="19" t="n">
        <v>22.5212876321133</v>
      </c>
      <c r="G616" s="19" t="n">
        <v>23.3741921480464</v>
      </c>
      <c r="H616" s="19" t="n">
        <v>7.74349394007542</v>
      </c>
      <c r="I616" s="19" t="n">
        <v>737</v>
      </c>
      <c r="J616" s="19" t="n">
        <v>800</v>
      </c>
      <c r="K616" s="19" t="n">
        <v>7.78910938749049</v>
      </c>
    </row>
    <row r="617">
      <c r="A617" s="19" t="n">
        <v>116</v>
      </c>
      <c r="B617" s="19" t="inlineStr">
        <is>
          <t>Rocker</t>
        </is>
      </c>
      <c r="C617" s="19" t="inlineStr">
        <is>
          <t>Town</t>
        </is>
      </c>
      <c r="D617" s="19" t="inlineStr">
        <is>
          <t>Win</t>
        </is>
      </c>
      <c r="E617" s="19" t="n">
        <v>44</v>
      </c>
      <c r="F617" s="19" t="n">
        <v>32.3236023077112</v>
      </c>
      <c r="G617" s="19" t="n">
        <v>32.9350070881081</v>
      </c>
      <c r="H617" s="19" t="n">
        <v>6.56853391233032</v>
      </c>
      <c r="I617" s="19" t="n">
        <v>1526</v>
      </c>
      <c r="J617" s="19" t="n">
        <v>1570</v>
      </c>
      <c r="K617" s="19" t="n">
        <v>6.59287342655519</v>
      </c>
    </row>
    <row r="618">
      <c r="A618" s="19" t="n">
        <v>116</v>
      </c>
      <c r="B618" s="19" t="inlineStr">
        <is>
          <t>Badpants</t>
        </is>
      </c>
      <c r="C618" s="19" t="inlineStr">
        <is>
          <t>Town</t>
        </is>
      </c>
      <c r="D618" s="19" t="inlineStr">
        <is>
          <t>Win</t>
        </is>
      </c>
      <c r="E618" s="19" t="n">
        <v>47</v>
      </c>
      <c r="F618" s="19" t="n">
        <v>22.8678446985674</v>
      </c>
      <c r="G618" s="19" t="n">
        <v>23.52167465903</v>
      </c>
      <c r="H618" s="19" t="n">
        <v>6.79036452106517</v>
      </c>
      <c r="I618" s="19" t="n">
        <v>860</v>
      </c>
      <c r="J618" s="19" t="n">
        <v>907</v>
      </c>
      <c r="K618" s="19" t="n">
        <v>6.81823403763154</v>
      </c>
    </row>
    <row r="619">
      <c r="A619" s="19" t="n">
        <v>116</v>
      </c>
      <c r="B619" s="19" t="inlineStr">
        <is>
          <t>Iln</t>
        </is>
      </c>
      <c r="C619" s="19" t="inlineStr">
        <is>
          <t>Town</t>
        </is>
      </c>
      <c r="D619" s="19" t="inlineStr">
        <is>
          <t>Win</t>
        </is>
      </c>
      <c r="E619" s="19" t="n">
        <v>49</v>
      </c>
      <c r="F619" s="19" t="n">
        <v>27.3541910087682</v>
      </c>
      <c r="G619" s="19" t="n">
        <v>28.0277020928136</v>
      </c>
      <c r="H619" s="19" t="n">
        <v>6.89075042568967</v>
      </c>
      <c r="I619" s="19" t="n">
        <v>1154</v>
      </c>
      <c r="J619" s="19" t="n">
        <v>1203</v>
      </c>
      <c r="K619" s="19" t="n">
        <v>6.92028775792095</v>
      </c>
    </row>
    <row r="620">
      <c r="A620" s="19" t="n">
        <v>116</v>
      </c>
      <c r="B620" s="19" t="inlineStr">
        <is>
          <t>Brownkow</t>
        </is>
      </c>
      <c r="C620" s="19" t="inlineStr">
        <is>
          <t>Town</t>
        </is>
      </c>
      <c r="D620" s="19" t="inlineStr">
        <is>
          <t>Win</t>
        </is>
      </c>
      <c r="E620" s="19" t="n">
        <v>46</v>
      </c>
      <c r="F620" s="19" t="n">
        <v>32.7067362371072</v>
      </c>
      <c r="G620" s="19" t="n">
        <v>33.3385735806715</v>
      </c>
      <c r="H620" s="19" t="n">
        <v>6.6763277472038</v>
      </c>
      <c r="I620" s="19" t="n">
        <v>1540</v>
      </c>
      <c r="J620" s="19" t="n">
        <v>1586</v>
      </c>
      <c r="K620" s="19" t="n">
        <v>6.70235624424998</v>
      </c>
    </row>
    <row r="621">
      <c r="A621" s="19" t="n">
        <v>116</v>
      </c>
      <c r="B621" s="19" t="inlineStr">
        <is>
          <t>Decode</t>
        </is>
      </c>
      <c r="C621" s="19" t="inlineStr">
        <is>
          <t>Mafia</t>
        </is>
      </c>
      <c r="D621" s="19" t="inlineStr">
        <is>
          <t>Loss</t>
        </is>
      </c>
      <c r="E621" s="19" t="n">
        <v>-59</v>
      </c>
      <c r="F621" s="19" t="n">
        <v>24.8568383374024</v>
      </c>
      <c r="G621" s="19" t="n">
        <v>23.9203352228688</v>
      </c>
      <c r="H621" s="19" t="n">
        <v>8.108821474460379</v>
      </c>
      <c r="I621" s="19" t="n">
        <v>858</v>
      </c>
      <c r="J621" s="19" t="n">
        <v>799</v>
      </c>
      <c r="K621" s="19" t="n">
        <v>8.16245804412495</v>
      </c>
    </row>
    <row r="622">
      <c r="A622" s="19" t="n">
        <v>116</v>
      </c>
      <c r="B622" s="19" t="inlineStr">
        <is>
          <t>Kden</t>
        </is>
      </c>
      <c r="C622" s="19" t="inlineStr">
        <is>
          <t>Mafia</t>
        </is>
      </c>
      <c r="D622" s="19" t="inlineStr">
        <is>
          <t>Loss</t>
        </is>
      </c>
      <c r="E622" s="19" t="n">
        <v>-46</v>
      </c>
      <c r="F622" s="19" t="n">
        <v>27.3036303302707</v>
      </c>
      <c r="G622" s="19" t="n">
        <v>26.5796951664114</v>
      </c>
      <c r="H622" s="19" t="n">
        <v>7.1412367053445</v>
      </c>
      <c r="I622" s="19" t="n">
        <v>1125</v>
      </c>
      <c r="J622" s="19" t="n">
        <v>1079</v>
      </c>
      <c r="K622" s="19" t="n">
        <v>7.17513436443841</v>
      </c>
    </row>
    <row r="623">
      <c r="A623" s="19" t="n">
        <v>116</v>
      </c>
      <c r="B623" s="19" t="inlineStr">
        <is>
          <t>Ken</t>
        </is>
      </c>
      <c r="C623" s="19" t="inlineStr">
        <is>
          <t>Mafia</t>
        </is>
      </c>
      <c r="D623" s="19" t="inlineStr">
        <is>
          <t>Loss</t>
        </is>
      </c>
      <c r="E623" s="19" t="n">
        <v>-57</v>
      </c>
      <c r="F623" s="19" t="n">
        <v>23.564864986821</v>
      </c>
      <c r="G623" s="19" t="n">
        <v>22.6400627399019</v>
      </c>
      <c r="H623" s="19" t="n">
        <v>8.058742603801511</v>
      </c>
      <c r="I623" s="19" t="n">
        <v>775</v>
      </c>
      <c r="J623" s="19" t="n">
        <v>718</v>
      </c>
      <c r="K623" s="19" t="n">
        <v>8.11123671309204</v>
      </c>
    </row>
    <row r="624">
      <c r="A624" s="19" t="n">
        <v>115</v>
      </c>
      <c r="B624" s="19" t="inlineStr">
        <is>
          <t>Lou</t>
        </is>
      </c>
      <c r="C624" s="19" t="inlineStr">
        <is>
          <t>Town</t>
        </is>
      </c>
      <c r="D624" s="19" t="inlineStr">
        <is>
          <t>Loss</t>
        </is>
      </c>
      <c r="E624" s="19" t="n">
        <v>-32</v>
      </c>
      <c r="F624" s="19" t="n">
        <v>29.6331881173031</v>
      </c>
      <c r="G624" s="19" t="n">
        <v>29.1163257293975</v>
      </c>
      <c r="H624" s="19" t="n">
        <v>6.86501298376618</v>
      </c>
      <c r="I624" s="19" t="n">
        <v>1312</v>
      </c>
      <c r="J624" s="19" t="n">
        <v>1280</v>
      </c>
      <c r="K624" s="19" t="n">
        <v>6.8936339862815</v>
      </c>
    </row>
    <row r="625">
      <c r="A625" s="19" t="n">
        <v>115</v>
      </c>
      <c r="B625" s="19" t="inlineStr">
        <is>
          <t>Gilbert</t>
        </is>
      </c>
      <c r="C625" s="19" t="inlineStr">
        <is>
          <t>Town</t>
        </is>
      </c>
      <c r="D625" s="19" t="inlineStr">
        <is>
          <t>Loss</t>
        </is>
      </c>
      <c r="E625" s="19" t="n">
        <v>-41</v>
      </c>
      <c r="F625" s="19" t="n">
        <v>23.1886596021248</v>
      </c>
      <c r="G625" s="19" t="n">
        <v>22.5212876321133</v>
      </c>
      <c r="H625" s="19" t="n">
        <v>7.78910938749049</v>
      </c>
      <c r="I625" s="19" t="n">
        <v>778</v>
      </c>
      <c r="J625" s="19" t="n">
        <v>737</v>
      </c>
      <c r="K625" s="19" t="n">
        <v>7.83497227046737</v>
      </c>
    </row>
    <row r="626">
      <c r="A626" s="19" t="n">
        <v>115</v>
      </c>
      <c r="B626" s="19" t="inlineStr">
        <is>
          <t>Carson</t>
        </is>
      </c>
      <c r="C626" s="19" t="inlineStr">
        <is>
          <t>Town</t>
        </is>
      </c>
      <c r="D626" s="19" t="inlineStr">
        <is>
          <t>Loss</t>
        </is>
      </c>
      <c r="E626" s="19" t="n">
        <v>-32</v>
      </c>
      <c r="F626" s="19" t="n">
        <v>32.2572002375965</v>
      </c>
      <c r="G626" s="19" t="n">
        <v>31.7541861814239</v>
      </c>
      <c r="H626" s="19" t="n">
        <v>6.77335244469651</v>
      </c>
      <c r="I626" s="19" t="n">
        <v>1500</v>
      </c>
      <c r="J626" s="19" t="n">
        <v>1468</v>
      </c>
      <c r="K626" s="19" t="n">
        <v>6.80047885541251</v>
      </c>
    </row>
    <row r="627">
      <c r="A627" s="19" t="n">
        <v>115</v>
      </c>
      <c r="B627" s="19" t="inlineStr">
        <is>
          <t>Plen</t>
        </is>
      </c>
      <c r="C627" s="19" t="inlineStr">
        <is>
          <t>Town</t>
        </is>
      </c>
      <c r="D627" s="19" t="inlineStr">
        <is>
          <t>Loss</t>
        </is>
      </c>
      <c r="E627" s="19" t="n">
        <v>-30</v>
      </c>
      <c r="F627" s="19" t="n">
        <v>22.3442449888212</v>
      </c>
      <c r="G627" s="19" t="n">
        <v>21.8521123282514</v>
      </c>
      <c r="H627" s="19" t="n">
        <v>6.70041370261001</v>
      </c>
      <c r="I627" s="19" t="n">
        <v>833</v>
      </c>
      <c r="J627" s="19" t="n">
        <v>803</v>
      </c>
      <c r="K627" s="19" t="n">
        <v>6.7263766775522</v>
      </c>
    </row>
    <row r="628">
      <c r="A628" s="19" t="n">
        <v>115</v>
      </c>
      <c r="B628" s="19" t="inlineStr">
        <is>
          <t>Cj</t>
        </is>
      </c>
      <c r="C628" s="19" t="inlineStr">
        <is>
          <t>Town</t>
        </is>
      </c>
      <c r="D628" s="19" t="inlineStr">
        <is>
          <t>Loss</t>
        </is>
      </c>
      <c r="E628" s="19" t="n">
        <v>-41</v>
      </c>
      <c r="F628" s="19" t="n">
        <v>27.951437475355</v>
      </c>
      <c r="G628" s="19" t="n">
        <v>27.2843475325437</v>
      </c>
      <c r="H628" s="19" t="n">
        <v>7.78748527445968</v>
      </c>
      <c r="I628" s="19" t="n">
        <v>1102</v>
      </c>
      <c r="J628" s="19" t="n">
        <v>1061</v>
      </c>
      <c r="K628" s="19" t="n">
        <v>7.83331416283715</v>
      </c>
    </row>
    <row r="629">
      <c r="A629" s="19" t="n">
        <v>115</v>
      </c>
      <c r="B629" s="19" t="inlineStr">
        <is>
          <t>Creatchee</t>
        </is>
      </c>
      <c r="C629" s="19" t="inlineStr">
        <is>
          <t>Town</t>
        </is>
      </c>
      <c r="D629" s="19" t="inlineStr">
        <is>
          <t>Loss</t>
        </is>
      </c>
      <c r="E629" s="19" t="n">
        <v>-35</v>
      </c>
      <c r="F629" s="19" t="n">
        <v>36.8429812527665</v>
      </c>
      <c r="G629" s="19" t="n">
        <v>36.2786949691955</v>
      </c>
      <c r="H629" s="19" t="n">
        <v>7.16966762873551</v>
      </c>
      <c r="I629" s="19" t="n">
        <v>1771</v>
      </c>
      <c r="J629" s="19" t="n">
        <v>1736</v>
      </c>
      <c r="K629" s="19" t="n">
        <v>7.2035249093957</v>
      </c>
    </row>
    <row r="630">
      <c r="A630" s="19" t="n">
        <v>115</v>
      </c>
      <c r="B630" s="19" t="inlineStr">
        <is>
          <t>Decode</t>
        </is>
      </c>
      <c r="C630" s="19" t="inlineStr">
        <is>
          <t>Town</t>
        </is>
      </c>
      <c r="D630" s="19" t="inlineStr">
        <is>
          <t>Loss</t>
        </is>
      </c>
      <c r="E630" s="19" t="n">
        <v>-44</v>
      </c>
      <c r="F630" s="19" t="n">
        <v>25.5906925949044</v>
      </c>
      <c r="G630" s="19" t="n">
        <v>24.8568383374024</v>
      </c>
      <c r="H630" s="19" t="n">
        <v>8.16245804412495</v>
      </c>
      <c r="I630" s="19" t="n">
        <v>902</v>
      </c>
      <c r="J630" s="19" t="n">
        <v>858</v>
      </c>
      <c r="K630" s="19" t="n">
        <v>8.21650703411072</v>
      </c>
    </row>
    <row r="631">
      <c r="A631" s="19" t="n">
        <v>115</v>
      </c>
      <c r="B631" s="19" t="inlineStr">
        <is>
          <t>Laur</t>
        </is>
      </c>
      <c r="C631" s="19" t="inlineStr">
        <is>
          <t>Town</t>
        </is>
      </c>
      <c r="D631" s="19" t="inlineStr">
        <is>
          <t>Loss</t>
        </is>
      </c>
      <c r="E631" s="19" t="n">
        <v>-34</v>
      </c>
      <c r="F631" s="19" t="n">
        <v>35.763240002118</v>
      </c>
      <c r="G631" s="19" t="n">
        <v>35.219714946629</v>
      </c>
      <c r="H631" s="19" t="n">
        <v>7.03799029831226</v>
      </c>
      <c r="I631" s="19" t="n">
        <v>1711</v>
      </c>
      <c r="J631" s="19" t="n">
        <v>1677</v>
      </c>
      <c r="K631" s="19" t="n">
        <v>7.0695327944491</v>
      </c>
    </row>
    <row r="632">
      <c r="A632" s="19" t="n">
        <v>115</v>
      </c>
      <c r="B632" s="19" t="inlineStr">
        <is>
          <t>Cyclone</t>
        </is>
      </c>
      <c r="C632" s="19" t="inlineStr">
        <is>
          <t>Town</t>
        </is>
      </c>
      <c r="D632" s="19" t="inlineStr">
        <is>
          <t>Loss</t>
        </is>
      </c>
      <c r="E632" s="19" t="n">
        <v>-45</v>
      </c>
      <c r="F632" s="19" t="n">
        <v>25.1890864873589</v>
      </c>
      <c r="G632" s="19" t="n">
        <v>24.4535262470972</v>
      </c>
      <c r="H632" s="19" t="n">
        <v>8.17180108221973</v>
      </c>
      <c r="I632" s="19" t="n">
        <v>874</v>
      </c>
      <c r="J632" s="19" t="n">
        <v>829</v>
      </c>
      <c r="K632" s="19" t="n">
        <v>8.226064618008159</v>
      </c>
    </row>
    <row r="633">
      <c r="A633" s="19" t="n">
        <v>115</v>
      </c>
      <c r="B633" s="19" t="inlineStr">
        <is>
          <t>Lofty</t>
        </is>
      </c>
      <c r="C633" s="19" t="inlineStr">
        <is>
          <t>Town</t>
        </is>
      </c>
      <c r="D633" s="19" t="inlineStr">
        <is>
          <t>Loss</t>
        </is>
      </c>
      <c r="E633" s="19" t="n">
        <v>-41</v>
      </c>
      <c r="F633" s="19" t="n">
        <v>24.0485205608682</v>
      </c>
      <c r="G633" s="19" t="n">
        <v>23.3779952374812</v>
      </c>
      <c r="H633" s="19" t="n">
        <v>7.80724437314469</v>
      </c>
      <c r="I633" s="19" t="n">
        <v>834</v>
      </c>
      <c r="J633" s="19" t="n">
        <v>793</v>
      </c>
      <c r="K633" s="19" t="n">
        <v>7.85348777497193</v>
      </c>
    </row>
    <row r="634">
      <c r="A634" s="19" t="n">
        <v>115</v>
      </c>
      <c r="B634" s="19" t="inlineStr">
        <is>
          <t>Smit</t>
        </is>
      </c>
      <c r="C634" s="19" t="inlineStr">
        <is>
          <t>Mafia</t>
        </is>
      </c>
      <c r="D634" s="19" t="inlineStr">
        <is>
          <t>Win</t>
        </is>
      </c>
      <c r="E634" s="19" t="n">
        <v>39</v>
      </c>
      <c r="F634" s="19" t="n">
        <v>27.3578916761109</v>
      </c>
      <c r="G634" s="19" t="n">
        <v>27.8834978395391</v>
      </c>
      <c r="H634" s="19" t="n">
        <v>6.92223613504933</v>
      </c>
      <c r="I634" s="19" t="n">
        <v>1151</v>
      </c>
      <c r="J634" s="19" t="n">
        <v>1190</v>
      </c>
      <c r="K634" s="19" t="n">
        <v>6.95180884975259</v>
      </c>
    </row>
    <row r="635">
      <c r="A635" s="19" t="n">
        <v>115</v>
      </c>
      <c r="B635" s="19" t="inlineStr">
        <is>
          <t>Rocker</t>
        </is>
      </c>
      <c r="C635" s="19" t="inlineStr">
        <is>
          <t>Mafia</t>
        </is>
      </c>
      <c r="D635" s="19" t="inlineStr">
        <is>
          <t>Win</t>
        </is>
      </c>
      <c r="E635" s="19" t="n">
        <v>35</v>
      </c>
      <c r="F635" s="19" t="n">
        <v>31.8472897171038</v>
      </c>
      <c r="G635" s="19" t="n">
        <v>32.3236023077112</v>
      </c>
      <c r="H635" s="19" t="n">
        <v>6.59287342655519</v>
      </c>
      <c r="I635" s="19" t="n">
        <v>1491</v>
      </c>
      <c r="J635" s="19" t="n">
        <v>1526</v>
      </c>
      <c r="K635" s="19" t="n">
        <v>6.61716210213588</v>
      </c>
    </row>
    <row r="636">
      <c r="A636" s="19" t="n">
        <v>115</v>
      </c>
      <c r="B636" s="19" t="inlineStr">
        <is>
          <t>Iln</t>
        </is>
      </c>
      <c r="C636" s="19" t="inlineStr">
        <is>
          <t>Mafia</t>
        </is>
      </c>
      <c r="D636" s="19" t="inlineStr">
        <is>
          <t>Win</t>
        </is>
      </c>
      <c r="E636" s="19" t="n">
        <v>39</v>
      </c>
      <c r="F636" s="19" t="n">
        <v>26.8288838042665</v>
      </c>
      <c r="G636" s="19" t="n">
        <v>27.3541910087682</v>
      </c>
      <c r="H636" s="19" t="n">
        <v>6.92028775792095</v>
      </c>
      <c r="I636" s="19" t="n">
        <v>1115</v>
      </c>
      <c r="J636" s="19" t="n">
        <v>1154</v>
      </c>
      <c r="K636" s="19" t="n">
        <v>6.94982782995673</v>
      </c>
    </row>
    <row r="637">
      <c r="A637" s="19" t="n">
        <v>114</v>
      </c>
      <c r="B637" s="19" t="inlineStr">
        <is>
          <t>Badpants</t>
        </is>
      </c>
      <c r="C637" s="19" t="inlineStr">
        <is>
          <t>Town</t>
        </is>
      </c>
      <c r="D637" s="19" t="inlineStr">
        <is>
          <t>Loss</t>
        </is>
      </c>
      <c r="E637" s="19" t="n">
        <v>-20</v>
      </c>
      <c r="F637" s="19" t="n">
        <v>23.1927938100795</v>
      </c>
      <c r="G637" s="19" t="n">
        <v>22.8678446985674</v>
      </c>
      <c r="H637" s="19" t="n">
        <v>6.81823403763154</v>
      </c>
      <c r="I637" s="19" t="n">
        <v>880</v>
      </c>
      <c r="J637" s="19" t="n">
        <v>860</v>
      </c>
      <c r="K637" s="19" t="n">
        <v>6.83657926198698</v>
      </c>
    </row>
    <row r="638">
      <c r="A638" s="19" t="n">
        <v>114</v>
      </c>
      <c r="B638" s="19" t="inlineStr">
        <is>
          <t>Ken</t>
        </is>
      </c>
      <c r="C638" s="19" t="inlineStr">
        <is>
          <t>Town</t>
        </is>
      </c>
      <c r="D638" s="19" t="inlineStr">
        <is>
          <t>Loss</t>
        </is>
      </c>
      <c r="E638" s="19" t="n">
        <v>-28</v>
      </c>
      <c r="F638" s="19" t="n">
        <v>24.0261639677291</v>
      </c>
      <c r="G638" s="19" t="n">
        <v>23.564864986821</v>
      </c>
      <c r="H638" s="19" t="n">
        <v>8.11123671309204</v>
      </c>
      <c r="I638" s="19" t="n">
        <v>803</v>
      </c>
      <c r="J638" s="19" t="n">
        <v>775</v>
      </c>
      <c r="K638" s="19" t="n">
        <v>8.147905456916289</v>
      </c>
    </row>
    <row r="639">
      <c r="A639" s="19" t="n">
        <v>114</v>
      </c>
      <c r="B639" s="19" t="inlineStr">
        <is>
          <t>Kden</t>
        </is>
      </c>
      <c r="C639" s="19" t="inlineStr">
        <is>
          <t>Town</t>
        </is>
      </c>
      <c r="D639" s="19" t="inlineStr">
        <is>
          <t>Loss</t>
        </is>
      </c>
      <c r="E639" s="19" t="n">
        <v>-22</v>
      </c>
      <c r="F639" s="19" t="n">
        <v>27.6637744146482</v>
      </c>
      <c r="G639" s="19" t="n">
        <v>27.3036303302707</v>
      </c>
      <c r="H639" s="19" t="n">
        <v>7.17513436443841</v>
      </c>
      <c r="I639" s="19" t="n">
        <v>1147</v>
      </c>
      <c r="J639" s="19" t="n">
        <v>1125</v>
      </c>
      <c r="K639" s="19" t="n">
        <v>7.19797241030455</v>
      </c>
    </row>
    <row r="640">
      <c r="A640" s="19" t="n">
        <v>114</v>
      </c>
      <c r="B640" s="19" t="inlineStr">
        <is>
          <t>Gilbert</t>
        </is>
      </c>
      <c r="C640" s="19" t="inlineStr">
        <is>
          <t>Town</t>
        </is>
      </c>
      <c r="D640" s="19" t="inlineStr">
        <is>
          <t>Loss</t>
        </is>
      </c>
      <c r="E640" s="19" t="n">
        <v>-26</v>
      </c>
      <c r="F640" s="19" t="n">
        <v>23.6187671875905</v>
      </c>
      <c r="G640" s="19" t="n">
        <v>23.1886596021248</v>
      </c>
      <c r="H640" s="19" t="n">
        <v>7.83497227046737</v>
      </c>
      <c r="I640" s="19" t="n">
        <v>804</v>
      </c>
      <c r="J640" s="19" t="n">
        <v>778</v>
      </c>
      <c r="K640" s="19" t="n">
        <v>7.8672315960487</v>
      </c>
    </row>
    <row r="641">
      <c r="A641" s="19" t="n">
        <v>114</v>
      </c>
      <c r="B641" s="19" t="inlineStr">
        <is>
          <t>Iln</t>
        </is>
      </c>
      <c r="C641" s="19" t="inlineStr">
        <is>
          <t>Town</t>
        </is>
      </c>
      <c r="D641" s="19" t="inlineStr">
        <is>
          <t>Loss</t>
        </is>
      </c>
      <c r="E641" s="19" t="n">
        <v>-21</v>
      </c>
      <c r="F641" s="19" t="n">
        <v>27.1665943147694</v>
      </c>
      <c r="G641" s="19" t="n">
        <v>26.8288838042665</v>
      </c>
      <c r="H641" s="19" t="n">
        <v>6.94982782995673</v>
      </c>
      <c r="I641" s="19" t="n">
        <v>1136</v>
      </c>
      <c r="J641" s="19" t="n">
        <v>1115</v>
      </c>
      <c r="K641" s="19" t="n">
        <v>6.96978313184469</v>
      </c>
    </row>
    <row r="642">
      <c r="A642" s="19" t="n">
        <v>114</v>
      </c>
      <c r="B642" s="19" t="inlineStr">
        <is>
          <t>Carson</t>
        </is>
      </c>
      <c r="C642" s="19" t="inlineStr">
        <is>
          <t>Town</t>
        </is>
      </c>
      <c r="D642" s="19" t="inlineStr">
        <is>
          <t>Loss</t>
        </is>
      </c>
      <c r="E642" s="19" t="n">
        <v>-20</v>
      </c>
      <c r="F642" s="19" t="n">
        <v>32.5804467648193</v>
      </c>
      <c r="G642" s="19" t="n">
        <v>32.2572002375965</v>
      </c>
      <c r="H642" s="19" t="n">
        <v>6.80047885541251</v>
      </c>
      <c r="I642" s="19" t="n">
        <v>1520</v>
      </c>
      <c r="J642" s="19" t="n">
        <v>1500</v>
      </c>
      <c r="K642" s="19" t="n">
        <v>6.81861089152814</v>
      </c>
    </row>
    <row r="643">
      <c r="A643" s="19" t="n">
        <v>114</v>
      </c>
      <c r="B643" s="19" t="inlineStr">
        <is>
          <t>Noah</t>
        </is>
      </c>
      <c r="C643" s="19" t="inlineStr">
        <is>
          <t>Town</t>
        </is>
      </c>
      <c r="D643" s="19" t="inlineStr">
        <is>
          <t>Loss</t>
        </is>
      </c>
      <c r="E643" s="19" t="n">
        <v>-20</v>
      </c>
      <c r="F643" s="19" t="n">
        <v>32.1166801654508</v>
      </c>
      <c r="G643" s="19" t="n">
        <v>31.7947514408121</v>
      </c>
      <c r="H643" s="19" t="n">
        <v>6.78670348421161</v>
      </c>
      <c r="I643" s="19" t="n">
        <v>1490</v>
      </c>
      <c r="J643" s="19" t="n">
        <v>1470</v>
      </c>
      <c r="K643" s="19" t="n">
        <v>6.80467077376611</v>
      </c>
    </row>
    <row r="644">
      <c r="A644" s="19" t="n">
        <v>114</v>
      </c>
      <c r="B644" s="19" t="inlineStr">
        <is>
          <t>Mintt</t>
        </is>
      </c>
      <c r="C644" s="19" t="inlineStr">
        <is>
          <t>Town</t>
        </is>
      </c>
      <c r="D644" s="19" t="inlineStr">
        <is>
          <t>Loss</t>
        </is>
      </c>
      <c r="E644" s="19" t="n">
        <v>-22</v>
      </c>
      <c r="F644" s="19" t="n">
        <v>29.7339247811585</v>
      </c>
      <c r="G644" s="19" t="n">
        <v>29.3675063441374</v>
      </c>
      <c r="H644" s="19" t="n">
        <v>7.23685411097042</v>
      </c>
      <c r="I644" s="19" t="n">
        <v>1281</v>
      </c>
      <c r="J644" s="19" t="n">
        <v>1259</v>
      </c>
      <c r="K644" s="19" t="n">
        <v>7.26051041550796</v>
      </c>
    </row>
    <row r="645">
      <c r="A645" s="19" t="n">
        <v>114</v>
      </c>
      <c r="B645" s="19" t="inlineStr">
        <is>
          <t>Plen</t>
        </is>
      </c>
      <c r="C645" s="19" t="inlineStr">
        <is>
          <t>Town</t>
        </is>
      </c>
      <c r="D645" s="19" t="inlineStr">
        <is>
          <t>Loss</t>
        </is>
      </c>
      <c r="E645" s="19" t="n">
        <v>-20</v>
      </c>
      <c r="F645" s="19" t="n">
        <v>22.6604350235625</v>
      </c>
      <c r="G645" s="19" t="n">
        <v>22.3442449888212</v>
      </c>
      <c r="H645" s="19" t="n">
        <v>6.7263766775522</v>
      </c>
      <c r="I645" s="19" t="n">
        <v>853</v>
      </c>
      <c r="J645" s="19" t="n">
        <v>833</v>
      </c>
      <c r="K645" s="19" t="n">
        <v>6.74362919221951</v>
      </c>
    </row>
    <row r="646">
      <c r="A646" s="19" t="n">
        <v>114</v>
      </c>
      <c r="B646" s="19" t="inlineStr">
        <is>
          <t>Chester</t>
        </is>
      </c>
      <c r="C646" s="19" t="inlineStr">
        <is>
          <t>Town</t>
        </is>
      </c>
      <c r="D646" s="19" t="inlineStr">
        <is>
          <t>Loss</t>
        </is>
      </c>
      <c r="E646" s="19" t="n">
        <v>-25</v>
      </c>
      <c r="F646" s="19" t="n">
        <v>28.6089394435688</v>
      </c>
      <c r="G646" s="19" t="n">
        <v>28.2002994902636</v>
      </c>
      <c r="H646" s="19" t="n">
        <v>7.63879094033755</v>
      </c>
      <c r="I646" s="19" t="n">
        <v>1163</v>
      </c>
      <c r="J646" s="19" t="n">
        <v>1138</v>
      </c>
      <c r="K646" s="19" t="n">
        <v>7.66809012201938</v>
      </c>
    </row>
    <row r="647">
      <c r="A647" s="19" t="n">
        <v>114</v>
      </c>
      <c r="B647" s="19" t="inlineStr">
        <is>
          <t>Kango</t>
        </is>
      </c>
      <c r="C647" s="19" t="inlineStr">
        <is>
          <t>Town</t>
        </is>
      </c>
      <c r="D647" s="19" t="inlineStr">
        <is>
          <t>Loss</t>
        </is>
      </c>
      <c r="E647" s="19" t="n">
        <v>-29</v>
      </c>
      <c r="F647" s="19" t="n">
        <v>25</v>
      </c>
      <c r="G647" s="19" t="n">
        <v>24.5174946140195</v>
      </c>
      <c r="H647" s="19" t="n">
        <v>8.29359397642064</v>
      </c>
      <c r="I647" s="19" t="n">
        <v>850</v>
      </c>
      <c r="J647" s="19" t="n">
        <v>821</v>
      </c>
      <c r="K647" s="19" t="n">
        <v>8.33333333333333</v>
      </c>
    </row>
    <row r="648">
      <c r="A648" s="19" t="n">
        <v>114</v>
      </c>
      <c r="B648" s="19" t="inlineStr">
        <is>
          <t>Lou</t>
        </is>
      </c>
      <c r="C648" s="19" t="inlineStr">
        <is>
          <t>Mafia</t>
        </is>
      </c>
      <c r="D648" s="19" t="inlineStr">
        <is>
          <t>Win</t>
        </is>
      </c>
      <c r="E648" s="19" t="n">
        <v>25</v>
      </c>
      <c r="F648" s="19" t="n">
        <v>29.300957793458</v>
      </c>
      <c r="G648" s="19" t="n">
        <v>29.6331881173031</v>
      </c>
      <c r="H648" s="19" t="n">
        <v>6.8936339862815</v>
      </c>
      <c r="I648" s="19" t="n">
        <v>1287</v>
      </c>
      <c r="J648" s="19" t="n">
        <v>1312</v>
      </c>
      <c r="K648" s="19" t="n">
        <v>6.91289523047046</v>
      </c>
    </row>
    <row r="649">
      <c r="A649" s="19" t="n">
        <v>114</v>
      </c>
      <c r="B649" s="19" t="inlineStr">
        <is>
          <t>Strik3r</t>
        </is>
      </c>
      <c r="C649" s="19" t="inlineStr">
        <is>
          <t>Mafia</t>
        </is>
      </c>
      <c r="D649" s="19" t="inlineStr">
        <is>
          <t>Win</t>
        </is>
      </c>
      <c r="E649" s="19" t="n">
        <v>30</v>
      </c>
      <c r="F649" s="19" t="n">
        <v>25.4551854835218</v>
      </c>
      <c r="G649" s="19" t="n">
        <v>25.8563337173682</v>
      </c>
      <c r="H649" s="19" t="n">
        <v>7.5690851057588</v>
      </c>
      <c r="I649" s="19" t="n">
        <v>956</v>
      </c>
      <c r="J649" s="19" t="n">
        <v>986</v>
      </c>
      <c r="K649" s="19" t="n">
        <v>7.5973656761184</v>
      </c>
    </row>
    <row r="650">
      <c r="A650" s="19" t="n">
        <v>114</v>
      </c>
      <c r="B650" s="19" t="inlineStr">
        <is>
          <t>Brownkow</t>
        </is>
      </c>
      <c r="C650" s="19" t="inlineStr">
        <is>
          <t>Mafia</t>
        </is>
      </c>
      <c r="D650" s="19" t="inlineStr">
        <is>
          <t>Win</t>
        </is>
      </c>
      <c r="E650" s="19" t="n">
        <v>23</v>
      </c>
      <c r="F650" s="19" t="n">
        <v>32.3928165114659</v>
      </c>
      <c r="G650" s="19" t="n">
        <v>32.7067362371072</v>
      </c>
      <c r="H650" s="19" t="n">
        <v>6.70235624424998</v>
      </c>
      <c r="I650" s="19" t="n">
        <v>1517</v>
      </c>
      <c r="J650" s="19" t="n">
        <v>1540</v>
      </c>
      <c r="K650" s="19" t="n">
        <v>6.71932717214107</v>
      </c>
    </row>
    <row r="651">
      <c r="A651" s="19" t="n">
        <v>113</v>
      </c>
      <c r="B651" s="19" t="inlineStr">
        <is>
          <t>Badpants</t>
        </is>
      </c>
      <c r="C651" s="19" t="inlineStr">
        <is>
          <t>Town</t>
        </is>
      </c>
      <c r="D651" s="19" t="inlineStr">
        <is>
          <t>Loss</t>
        </is>
      </c>
      <c r="E651" s="19" t="n">
        <v>-26</v>
      </c>
      <c r="F651" s="19" t="n">
        <v>23.6156922868498</v>
      </c>
      <c r="G651" s="19" t="n">
        <v>23.1927938100795</v>
      </c>
      <c r="H651" s="19" t="n">
        <v>6.83657926198698</v>
      </c>
      <c r="I651" s="19" t="n">
        <v>906</v>
      </c>
      <c r="J651" s="19" t="n">
        <v>880</v>
      </c>
      <c r="K651" s="19" t="n">
        <v>6.86140463914787</v>
      </c>
    </row>
    <row r="652">
      <c r="A652" s="19" t="n">
        <v>113</v>
      </c>
      <c r="B652" s="19" t="inlineStr">
        <is>
          <t>Ken</t>
        </is>
      </c>
      <c r="C652" s="19" t="inlineStr">
        <is>
          <t>Town</t>
        </is>
      </c>
      <c r="D652" s="19" t="inlineStr">
        <is>
          <t>Loss</t>
        </is>
      </c>
      <c r="E652" s="19" t="n">
        <v>-36</v>
      </c>
      <c r="F652" s="19" t="n">
        <v>24.6292177607145</v>
      </c>
      <c r="G652" s="19" t="n">
        <v>24.0261639677291</v>
      </c>
      <c r="H652" s="19" t="n">
        <v>8.147905456916289</v>
      </c>
      <c r="I652" s="19" t="n">
        <v>839</v>
      </c>
      <c r="J652" s="19" t="n">
        <v>803</v>
      </c>
      <c r="K652" s="19" t="n">
        <v>8.195906100973991</v>
      </c>
    </row>
    <row r="653">
      <c r="A653" s="19" t="n">
        <v>113</v>
      </c>
      <c r="B653" s="19" t="inlineStr">
        <is>
          <t>Kden</t>
        </is>
      </c>
      <c r="C653" s="19" t="inlineStr">
        <is>
          <t>Town</t>
        </is>
      </c>
      <c r="D653" s="19" t="inlineStr">
        <is>
          <t>Loss</t>
        </is>
      </c>
      <c r="E653" s="19" t="n">
        <v>-29</v>
      </c>
      <c r="F653" s="19" t="n">
        <v>28.1330382746739</v>
      </c>
      <c r="G653" s="19" t="n">
        <v>27.6637744146482</v>
      </c>
      <c r="H653" s="19" t="n">
        <v>7.19797241030455</v>
      </c>
      <c r="I653" s="19" t="n">
        <v>1176</v>
      </c>
      <c r="J653" s="19" t="n">
        <v>1147</v>
      </c>
      <c r="K653" s="19" t="n">
        <v>7.22843928116933</v>
      </c>
    </row>
    <row r="654">
      <c r="A654" s="19" t="n">
        <v>113</v>
      </c>
      <c r="B654" s="19" t="inlineStr">
        <is>
          <t>Decode</t>
        </is>
      </c>
      <c r="C654" s="19" t="inlineStr">
        <is>
          <t>Town</t>
        </is>
      </c>
      <c r="D654" s="19" t="inlineStr">
        <is>
          <t>Loss</t>
        </is>
      </c>
      <c r="E654" s="19" t="n">
        <v>-37</v>
      </c>
      <c r="F654" s="19" t="n">
        <v>26.20408249078</v>
      </c>
      <c r="G654" s="19" t="n">
        <v>25.5906925949044</v>
      </c>
      <c r="H654" s="19" t="n">
        <v>8.21650703411072</v>
      </c>
      <c r="I654" s="19" t="n">
        <v>939</v>
      </c>
      <c r="J654" s="19" t="n">
        <v>902</v>
      </c>
      <c r="K654" s="19" t="n">
        <v>8.26593829239453</v>
      </c>
    </row>
    <row r="655">
      <c r="A655" s="19" t="n">
        <v>113</v>
      </c>
      <c r="B655" s="19" t="inlineStr">
        <is>
          <t>Strik3r</t>
        </is>
      </c>
      <c r="C655" s="19" t="inlineStr">
        <is>
          <t>Town</t>
        </is>
      </c>
      <c r="D655" s="19" t="inlineStr">
        <is>
          <t>Loss</t>
        </is>
      </c>
      <c r="E655" s="19" t="n">
        <v>-32</v>
      </c>
      <c r="F655" s="19" t="n">
        <v>25.9785872634746</v>
      </c>
      <c r="G655" s="19" t="n">
        <v>25.4551854835218</v>
      </c>
      <c r="H655" s="19" t="n">
        <v>7.5973656761184</v>
      </c>
      <c r="I655" s="19" t="n">
        <v>988</v>
      </c>
      <c r="J655" s="19" t="n">
        <v>956</v>
      </c>
      <c r="K655" s="19" t="n">
        <v>7.63470507178909</v>
      </c>
    </row>
    <row r="656">
      <c r="A656" s="19" t="n">
        <v>113</v>
      </c>
      <c r="B656" s="19" t="inlineStr">
        <is>
          <t>Rocker</t>
        </is>
      </c>
      <c r="C656" s="19" t="inlineStr">
        <is>
          <t>Town</t>
        </is>
      </c>
      <c r="D656" s="19" t="inlineStr">
        <is>
          <t>Loss</t>
        </is>
      </c>
      <c r="E656" s="19" t="n">
        <v>-24</v>
      </c>
      <c r="F656" s="19" t="n">
        <v>32.2432461972246</v>
      </c>
      <c r="G656" s="19" t="n">
        <v>31.8472897171038</v>
      </c>
      <c r="H656" s="19" t="n">
        <v>6.61716210213588</v>
      </c>
      <c r="I656" s="19" t="n">
        <v>1515</v>
      </c>
      <c r="J656" s="19" t="n">
        <v>1491</v>
      </c>
      <c r="K656" s="19" t="n">
        <v>6.63881323711757</v>
      </c>
    </row>
    <row r="657">
      <c r="A657" s="19" t="n">
        <v>113</v>
      </c>
      <c r="B657" s="19" t="inlineStr">
        <is>
          <t>Whyin</t>
        </is>
      </c>
      <c r="C657" s="19" t="inlineStr">
        <is>
          <t>Town</t>
        </is>
      </c>
      <c r="D657" s="19" t="inlineStr">
        <is>
          <t>Loss</t>
        </is>
      </c>
      <c r="E657" s="19" t="n">
        <v>-29</v>
      </c>
      <c r="F657" s="19" t="n">
        <v>31.1717758020445</v>
      </c>
      <c r="G657" s="19" t="n">
        <v>30.7081283564624</v>
      </c>
      <c r="H657" s="19" t="n">
        <v>7.15520563681796</v>
      </c>
      <c r="I657" s="19" t="n">
        <v>1387</v>
      </c>
      <c r="J657" s="19" t="n">
        <v>1358</v>
      </c>
      <c r="K657" s="19" t="n">
        <v>7.18497709181729</v>
      </c>
    </row>
    <row r="658">
      <c r="A658" s="19" t="n">
        <v>113</v>
      </c>
      <c r="B658" s="19" t="inlineStr">
        <is>
          <t>Iln</t>
        </is>
      </c>
      <c r="C658" s="19" t="inlineStr">
        <is>
          <t>Town</t>
        </is>
      </c>
      <c r="D658" s="19" t="inlineStr">
        <is>
          <t>Loss</t>
        </is>
      </c>
      <c r="E658" s="19" t="n">
        <v>-28</v>
      </c>
      <c r="F658" s="19" t="n">
        <v>27.6062935679946</v>
      </c>
      <c r="G658" s="19" t="n">
        <v>27.1665943147694</v>
      </c>
      <c r="H658" s="19" t="n">
        <v>6.96978313184469</v>
      </c>
      <c r="I658" s="19" t="n">
        <v>1164</v>
      </c>
      <c r="J658" s="19" t="n">
        <v>1136</v>
      </c>
      <c r="K658" s="19" t="n">
        <v>6.9966265915602</v>
      </c>
    </row>
    <row r="659">
      <c r="A659" s="19" t="n">
        <v>113</v>
      </c>
      <c r="B659" s="19" t="inlineStr">
        <is>
          <t>Gilbert</t>
        </is>
      </c>
      <c r="C659" s="19" t="inlineStr">
        <is>
          <t>Town</t>
        </is>
      </c>
      <c r="D659" s="19" t="inlineStr">
        <is>
          <t>Loss</t>
        </is>
      </c>
      <c r="E659" s="19" t="n">
        <v>-33</v>
      </c>
      <c r="F659" s="19" t="n">
        <v>24.180482134514</v>
      </c>
      <c r="G659" s="19" t="n">
        <v>23.6187671875905</v>
      </c>
      <c r="H659" s="19" t="n">
        <v>7.8672315960487</v>
      </c>
      <c r="I659" s="19" t="n">
        <v>837</v>
      </c>
      <c r="J659" s="19" t="n">
        <v>804</v>
      </c>
      <c r="K659" s="19" t="n">
        <v>7.90961828566053</v>
      </c>
    </row>
    <row r="660">
      <c r="A660" s="19" t="n">
        <v>113</v>
      </c>
      <c r="B660" s="19" t="inlineStr">
        <is>
          <t>Motr</t>
        </is>
      </c>
      <c r="C660" s="19" t="inlineStr">
        <is>
          <t>Town</t>
        </is>
      </c>
      <c r="D660" s="19" t="inlineStr">
        <is>
          <t>Loss</t>
        </is>
      </c>
      <c r="E660" s="19" t="n">
        <v>-33</v>
      </c>
      <c r="F660" s="19" t="n">
        <v>27.2574052234926</v>
      </c>
      <c r="G660" s="19" t="n">
        <v>26.7122163363531</v>
      </c>
      <c r="H660" s="19" t="n">
        <v>7.75203534489614</v>
      </c>
      <c r="I660" s="19" t="n">
        <v>1059</v>
      </c>
      <c r="J660" s="19" t="n">
        <v>1026</v>
      </c>
      <c r="K660" s="19" t="n">
        <v>7.79222641409953</v>
      </c>
    </row>
    <row r="661">
      <c r="A661" s="19" t="n">
        <v>113</v>
      </c>
      <c r="B661" s="19" t="inlineStr">
        <is>
          <t>Brownkow</t>
        </is>
      </c>
      <c r="C661" s="19" t="inlineStr">
        <is>
          <t>Mafia</t>
        </is>
      </c>
      <c r="D661" s="19" t="inlineStr">
        <is>
          <t>Win</t>
        </is>
      </c>
      <c r="E661" s="19" t="n">
        <v>30</v>
      </c>
      <c r="F661" s="19" t="n">
        <v>31.9844285813383</v>
      </c>
      <c r="G661" s="19" t="n">
        <v>32.3928165114659</v>
      </c>
      <c r="H661" s="19" t="n">
        <v>6.71932717214107</v>
      </c>
      <c r="I661" s="19" t="n">
        <v>1487</v>
      </c>
      <c r="J661" s="19" t="n">
        <v>1517</v>
      </c>
      <c r="K661" s="19" t="n">
        <v>6.74243347726727</v>
      </c>
    </row>
    <row r="662">
      <c r="A662" s="19" t="n">
        <v>113</v>
      </c>
      <c r="B662" s="19" t="inlineStr">
        <is>
          <t>Noah</t>
        </is>
      </c>
      <c r="C662" s="19" t="inlineStr">
        <is>
          <t>Mafia</t>
        </is>
      </c>
      <c r="D662" s="19" t="inlineStr">
        <is>
          <t>Win</t>
        </is>
      </c>
      <c r="E662" s="19" t="n">
        <v>31</v>
      </c>
      <c r="F662" s="19" t="n">
        <v>31.6977563074339</v>
      </c>
      <c r="G662" s="19" t="n">
        <v>32.1166801654508</v>
      </c>
      <c r="H662" s="19" t="n">
        <v>6.80467077376611</v>
      </c>
      <c r="I662" s="19" t="n">
        <v>1459</v>
      </c>
      <c r="J662" s="19" t="n">
        <v>1490</v>
      </c>
      <c r="K662" s="19" t="n">
        <v>6.82902307331226</v>
      </c>
    </row>
    <row r="663">
      <c r="A663" s="19" t="n">
        <v>113</v>
      </c>
      <c r="B663" s="19" t="inlineStr">
        <is>
          <t>Plen</t>
        </is>
      </c>
      <c r="C663" s="19" t="inlineStr">
        <is>
          <t>Mafia</t>
        </is>
      </c>
      <c r="D663" s="19" t="inlineStr">
        <is>
          <t>Win</t>
        </is>
      </c>
      <c r="E663" s="19" t="n">
        <v>30</v>
      </c>
      <c r="F663" s="19" t="n">
        <v>22.2490609712581</v>
      </c>
      <c r="G663" s="19" t="n">
        <v>22.6604350235625</v>
      </c>
      <c r="H663" s="19" t="n">
        <v>6.74362919221951</v>
      </c>
      <c r="I663" s="19" t="n">
        <v>823</v>
      </c>
      <c r="J663" s="19" t="n">
        <v>853</v>
      </c>
      <c r="K663" s="19" t="n">
        <v>6.76708745554218</v>
      </c>
    </row>
    <row r="664">
      <c r="A664" s="19" t="n">
        <v>112</v>
      </c>
      <c r="B664" s="19" t="inlineStr">
        <is>
          <t>Decode</t>
        </is>
      </c>
      <c r="C664" s="19" t="inlineStr">
        <is>
          <t>Town</t>
        </is>
      </c>
      <c r="D664" s="19" t="inlineStr">
        <is>
          <t>Win</t>
        </is>
      </c>
      <c r="E664" s="19" t="n">
        <v>89</v>
      </c>
      <c r="F664" s="19" t="n">
        <v>25</v>
      </c>
      <c r="G664" s="19" t="n">
        <v>26.20408249078</v>
      </c>
      <c r="H664" s="19" t="n">
        <v>8.26593829239453</v>
      </c>
      <c r="I664" s="19" t="n">
        <v>850</v>
      </c>
      <c r="J664" s="19" t="n">
        <v>939</v>
      </c>
      <c r="K664" s="19" t="n">
        <v>8.33333333333333</v>
      </c>
    </row>
    <row r="665">
      <c r="A665" s="19" t="n">
        <v>112</v>
      </c>
      <c r="B665" s="19" t="inlineStr">
        <is>
          <t>Rocker</t>
        </is>
      </c>
      <c r="C665" s="19" t="inlineStr">
        <is>
          <t>Town</t>
        </is>
      </c>
      <c r="D665" s="19" t="inlineStr">
        <is>
          <t>Win</t>
        </is>
      </c>
      <c r="E665" s="19" t="n">
        <v>55</v>
      </c>
      <c r="F665" s="19" t="n">
        <v>31.4714488434495</v>
      </c>
      <c r="G665" s="19" t="n">
        <v>32.2432461972246</v>
      </c>
      <c r="H665" s="19" t="n">
        <v>6.63881323711757</v>
      </c>
      <c r="I665" s="19" t="n">
        <v>1460</v>
      </c>
      <c r="J665" s="19" t="n">
        <v>1515</v>
      </c>
      <c r="K665" s="19" t="n">
        <v>6.66936664667058</v>
      </c>
    </row>
    <row r="666">
      <c r="A666" s="19" t="n">
        <v>112</v>
      </c>
      <c r="B666" s="19" t="inlineStr">
        <is>
          <t>Ken</t>
        </is>
      </c>
      <c r="C666" s="19" t="inlineStr">
        <is>
          <t>Town</t>
        </is>
      </c>
      <c r="D666" s="19" t="inlineStr">
        <is>
          <t>Win</t>
        </is>
      </c>
      <c r="E666" s="19" t="n">
        <v>87</v>
      </c>
      <c r="F666" s="19" t="n">
        <v>23.4458112191071</v>
      </c>
      <c r="G666" s="19" t="n">
        <v>24.6292177607145</v>
      </c>
      <c r="H666" s="19" t="n">
        <v>8.195906100973991</v>
      </c>
      <c r="I666" s="19" t="n">
        <v>752</v>
      </c>
      <c r="J666" s="19" t="n">
        <v>839</v>
      </c>
      <c r="K666" s="19" t="n">
        <v>8.26138190836253</v>
      </c>
    </row>
    <row r="667">
      <c r="A667" s="19" t="n">
        <v>112</v>
      </c>
      <c r="B667" s="19" t="inlineStr">
        <is>
          <t>Carson</t>
        </is>
      </c>
      <c r="C667" s="19" t="inlineStr">
        <is>
          <t>Town</t>
        </is>
      </c>
      <c r="D667" s="19" t="inlineStr">
        <is>
          <t>Win</t>
        </is>
      </c>
      <c r="E667" s="19" t="n">
        <v>59</v>
      </c>
      <c r="F667" s="19" t="n">
        <v>31.7657684327874</v>
      </c>
      <c r="G667" s="19" t="n">
        <v>32.5804467648193</v>
      </c>
      <c r="H667" s="19" t="n">
        <v>6.81861089152814</v>
      </c>
      <c r="I667" s="19" t="n">
        <v>1461</v>
      </c>
      <c r="J667" s="19" t="n">
        <v>1520</v>
      </c>
      <c r="K667" s="19" t="n">
        <v>6.85250180403768</v>
      </c>
    </row>
    <row r="668">
      <c r="A668" s="19" t="n">
        <v>112</v>
      </c>
      <c r="B668" s="19" t="inlineStr">
        <is>
          <t>Cj</t>
        </is>
      </c>
      <c r="C668" s="19" t="inlineStr">
        <is>
          <t>Town</t>
        </is>
      </c>
      <c r="D668" s="19" t="inlineStr">
        <is>
          <t>Win</t>
        </is>
      </c>
      <c r="E668" s="19" t="n">
        <v>79</v>
      </c>
      <c r="F668" s="19" t="n">
        <v>26.8720734089907</v>
      </c>
      <c r="G668" s="19" t="n">
        <v>27.951437475355</v>
      </c>
      <c r="H668" s="19" t="n">
        <v>7.83331416283715</v>
      </c>
      <c r="I668" s="19" t="n">
        <v>1023</v>
      </c>
      <c r="J668" s="19" t="n">
        <v>1102</v>
      </c>
      <c r="K668" s="19" t="n">
        <v>7.88936576013598</v>
      </c>
    </row>
    <row r="669">
      <c r="A669" s="19" t="n">
        <v>112</v>
      </c>
      <c r="B669" s="19" t="inlineStr">
        <is>
          <t>Badpants</t>
        </is>
      </c>
      <c r="C669" s="19" t="inlineStr">
        <is>
          <t>Town</t>
        </is>
      </c>
      <c r="D669" s="19" t="inlineStr">
        <is>
          <t>Win</t>
        </is>
      </c>
      <c r="E669" s="19" t="n">
        <v>60</v>
      </c>
      <c r="F669" s="19" t="n">
        <v>22.7906308425753</v>
      </c>
      <c r="G669" s="19" t="n">
        <v>23.6156922868498</v>
      </c>
      <c r="H669" s="19" t="n">
        <v>6.86140463914787</v>
      </c>
      <c r="I669" s="19" t="n">
        <v>846</v>
      </c>
      <c r="J669" s="19" t="n">
        <v>906</v>
      </c>
      <c r="K669" s="19" t="n">
        <v>6.89611443704668</v>
      </c>
    </row>
    <row r="670">
      <c r="A670" s="19" t="n">
        <v>112</v>
      </c>
      <c r="B670" s="19" t="inlineStr">
        <is>
          <t>Vandy</t>
        </is>
      </c>
      <c r="C670" s="19" t="inlineStr">
        <is>
          <t>Town</t>
        </is>
      </c>
      <c r="D670" s="19" t="inlineStr">
        <is>
          <t>Win</t>
        </is>
      </c>
      <c r="E670" s="19" t="n">
        <v>88</v>
      </c>
      <c r="F670" s="19" t="n">
        <v>24.1408788142085</v>
      </c>
      <c r="G670" s="19" t="n">
        <v>25.3290169998723</v>
      </c>
      <c r="H670" s="19" t="n">
        <v>8.211989338009399</v>
      </c>
      <c r="I670" s="19" t="n">
        <v>797</v>
      </c>
      <c r="J670" s="19" t="n">
        <v>885</v>
      </c>
      <c r="K670" s="19" t="n">
        <v>8.27790301316009</v>
      </c>
    </row>
    <row r="671">
      <c r="A671" s="19" t="n">
        <v>112</v>
      </c>
      <c r="B671" s="19" t="inlineStr">
        <is>
          <t>Smit</t>
        </is>
      </c>
      <c r="C671" s="19" t="inlineStr">
        <is>
          <t>Town</t>
        </is>
      </c>
      <c r="D671" s="19" t="inlineStr">
        <is>
          <t>Win</t>
        </is>
      </c>
      <c r="E671" s="19" t="n">
        <v>61</v>
      </c>
      <c r="F671" s="19" t="n">
        <v>26.5106710843218</v>
      </c>
      <c r="G671" s="19" t="n">
        <v>27.3578916761109</v>
      </c>
      <c r="H671" s="19" t="n">
        <v>6.95180884975259</v>
      </c>
      <c r="I671" s="19" t="n">
        <v>1090</v>
      </c>
      <c r="J671" s="19" t="n">
        <v>1151</v>
      </c>
      <c r="K671" s="19" t="n">
        <v>6.98828024741945</v>
      </c>
    </row>
    <row r="672">
      <c r="A672" s="19" t="n">
        <v>112</v>
      </c>
      <c r="B672" s="19" t="inlineStr">
        <is>
          <t>Iln</t>
        </is>
      </c>
      <c r="C672" s="19" t="inlineStr">
        <is>
          <t>Town</t>
        </is>
      </c>
      <c r="D672" s="19" t="inlineStr">
        <is>
          <t>Win</t>
        </is>
      </c>
      <c r="E672" s="19" t="n">
        <v>63</v>
      </c>
      <c r="F672" s="19" t="n">
        <v>26.7479746148675</v>
      </c>
      <c r="G672" s="19" t="n">
        <v>27.6062935679946</v>
      </c>
      <c r="H672" s="19" t="n">
        <v>6.9966265915602</v>
      </c>
      <c r="I672" s="19" t="n">
        <v>1101</v>
      </c>
      <c r="J672" s="19" t="n">
        <v>1164</v>
      </c>
      <c r="K672" s="19" t="n">
        <v>7.03398741984134</v>
      </c>
    </row>
    <row r="673">
      <c r="A673" s="19" t="n">
        <v>112</v>
      </c>
      <c r="B673" s="19" t="inlineStr">
        <is>
          <t>Lou</t>
        </is>
      </c>
      <c r="C673" s="19" t="inlineStr">
        <is>
          <t>Town</t>
        </is>
      </c>
      <c r="D673" s="19" t="inlineStr">
        <is>
          <t>Win</t>
        </is>
      </c>
      <c r="E673" s="19" t="n">
        <v>60</v>
      </c>
      <c r="F673" s="19" t="n">
        <v>28.4633127301398</v>
      </c>
      <c r="G673" s="19" t="n">
        <v>29.300957793458</v>
      </c>
      <c r="H673" s="19" t="n">
        <v>6.91289523047046</v>
      </c>
      <c r="I673" s="19" t="n">
        <v>1227</v>
      </c>
      <c r="J673" s="19" t="n">
        <v>1287</v>
      </c>
      <c r="K673" s="19" t="n">
        <v>6.9486030639154</v>
      </c>
    </row>
    <row r="674">
      <c r="A674" s="19" t="n">
        <v>112</v>
      </c>
      <c r="B674" s="19" t="inlineStr">
        <is>
          <t>Levi</t>
        </is>
      </c>
      <c r="C674" s="19" t="inlineStr">
        <is>
          <t>Mafia</t>
        </is>
      </c>
      <c r="D674" s="19" t="inlineStr">
        <is>
          <t>Loss</t>
        </is>
      </c>
      <c r="E674" s="19" t="n">
        <v>-72</v>
      </c>
      <c r="F674" s="19" t="n">
        <v>28.3590119958728</v>
      </c>
      <c r="G674" s="19" t="n">
        <v>27.2044315309978</v>
      </c>
      <c r="H674" s="19" t="n">
        <v>8.097184053093381</v>
      </c>
      <c r="I674" s="19" t="n">
        <v>1096</v>
      </c>
      <c r="J674" s="19" t="n">
        <v>1024</v>
      </c>
      <c r="K674" s="19" t="n">
        <v>8.16000960117626</v>
      </c>
    </row>
    <row r="675">
      <c r="A675" s="19" t="n">
        <v>112</v>
      </c>
      <c r="B675" s="19" t="inlineStr">
        <is>
          <t>Chelsea</t>
        </is>
      </c>
      <c r="C675" s="19" t="inlineStr">
        <is>
          <t>Mafia</t>
        </is>
      </c>
      <c r="D675" s="19" t="inlineStr">
        <is>
          <t>Loss</t>
        </is>
      </c>
      <c r="E675" s="19" t="n">
        <v>-74</v>
      </c>
      <c r="F675" s="19" t="n">
        <v>23.4458112191071</v>
      </c>
      <c r="G675" s="19" t="n">
        <v>22.2624046774998</v>
      </c>
      <c r="H675" s="19" t="n">
        <v>8.195906100973991</v>
      </c>
      <c r="I675" s="19" t="n">
        <v>752</v>
      </c>
      <c r="J675" s="19" t="n">
        <v>678</v>
      </c>
      <c r="K675" s="19" t="n">
        <v>8.26138190836253</v>
      </c>
    </row>
    <row r="676">
      <c r="A676" s="19" t="n">
        <v>112</v>
      </c>
      <c r="B676" s="19" t="inlineStr">
        <is>
          <t>Gilbert</t>
        </is>
      </c>
      <c r="C676" s="19" t="inlineStr">
        <is>
          <t>Mafia</t>
        </is>
      </c>
      <c r="D676" s="19" t="inlineStr">
        <is>
          <t>Loss</t>
        </is>
      </c>
      <c r="E676" s="19" t="n">
        <v>-69</v>
      </c>
      <c r="F676" s="19" t="n">
        <v>25.2813234649405</v>
      </c>
      <c r="G676" s="19" t="n">
        <v>24.180482134514</v>
      </c>
      <c r="H676" s="19" t="n">
        <v>7.90961828566053</v>
      </c>
      <c r="I676" s="19" t="n">
        <v>906</v>
      </c>
      <c r="J676" s="19" t="n">
        <v>837</v>
      </c>
      <c r="K676" s="19" t="n">
        <v>7.9675831067298</v>
      </c>
    </row>
    <row r="677">
      <c r="A677" s="19" t="n">
        <v>111</v>
      </c>
      <c r="B677" s="19" t="inlineStr">
        <is>
          <t>Lofty</t>
        </is>
      </c>
      <c r="C677" s="19" t="inlineStr">
        <is>
          <t>Town</t>
        </is>
      </c>
      <c r="D677" s="19" t="inlineStr">
        <is>
          <t>Loss</t>
        </is>
      </c>
      <c r="E677" s="19" t="n">
        <v>-12</v>
      </c>
      <c r="F677" s="19" t="n">
        <v>24.2586658999607</v>
      </c>
      <c r="G677" s="19" t="n">
        <v>24.0485205608682</v>
      </c>
      <c r="H677" s="19" t="n">
        <v>7.85348777497193</v>
      </c>
      <c r="I677" s="19" t="n">
        <v>846</v>
      </c>
      <c r="J677" s="19" t="n">
        <v>834</v>
      </c>
      <c r="K677" s="19" t="n">
        <v>7.87357630507495</v>
      </c>
    </row>
    <row r="678">
      <c r="A678" s="19" t="n">
        <v>111</v>
      </c>
      <c r="B678" s="19" t="inlineStr">
        <is>
          <t>Badpants</t>
        </is>
      </c>
      <c r="C678" s="19" t="inlineStr">
        <is>
          <t>Town</t>
        </is>
      </c>
      <c r="D678" s="19" t="inlineStr">
        <is>
          <t>Loss</t>
        </is>
      </c>
      <c r="E678" s="19" t="n">
        <v>-10</v>
      </c>
      <c r="F678" s="19" t="n">
        <v>22.9524188368907</v>
      </c>
      <c r="G678" s="19" t="n">
        <v>22.7906308425753</v>
      </c>
      <c r="H678" s="19" t="n">
        <v>6.89611443704668</v>
      </c>
      <c r="I678" s="19" t="n">
        <v>856</v>
      </c>
      <c r="J678" s="19" t="n">
        <v>846</v>
      </c>
      <c r="K678" s="19" t="n">
        <v>6.90702549715181</v>
      </c>
    </row>
    <row r="679">
      <c r="A679" s="19" t="n">
        <v>111</v>
      </c>
      <c r="B679" s="19" t="inlineStr">
        <is>
          <t>Smit</t>
        </is>
      </c>
      <c r="C679" s="19" t="inlineStr">
        <is>
          <t>Town</t>
        </is>
      </c>
      <c r="D679" s="19" t="inlineStr">
        <is>
          <t>Loss</t>
        </is>
      </c>
      <c r="E679" s="19" t="n">
        <v>-10</v>
      </c>
      <c r="F679" s="19" t="n">
        <v>26.6768352745463</v>
      </c>
      <c r="G679" s="19" t="n">
        <v>26.5106710843218</v>
      </c>
      <c r="H679" s="19" t="n">
        <v>6.98828024741945</v>
      </c>
      <c r="I679" s="19" t="n">
        <v>1100</v>
      </c>
      <c r="J679" s="19" t="n">
        <v>1090</v>
      </c>
      <c r="K679" s="19" t="n">
        <v>6.99999000528039</v>
      </c>
    </row>
    <row r="680">
      <c r="A680" s="19" t="n">
        <v>111</v>
      </c>
      <c r="B680" s="19" t="inlineStr">
        <is>
          <t>Noah</t>
        </is>
      </c>
      <c r="C680" s="19" t="inlineStr">
        <is>
          <t>Town</t>
        </is>
      </c>
      <c r="D680" s="19" t="inlineStr">
        <is>
          <t>Loss</t>
        </is>
      </c>
      <c r="E680" s="19" t="n">
        <v>-10</v>
      </c>
      <c r="F680" s="19" t="n">
        <v>31.8563959694159</v>
      </c>
      <c r="G680" s="19" t="n">
        <v>31.6977563074339</v>
      </c>
      <c r="H680" s="19" t="n">
        <v>6.82902307331226</v>
      </c>
      <c r="I680" s="19" t="n">
        <v>1469</v>
      </c>
      <c r="J680" s="19" t="n">
        <v>1459</v>
      </c>
      <c r="K680" s="19" t="n">
        <v>6.83936326728512</v>
      </c>
    </row>
    <row r="681">
      <c r="A681" s="19" t="n">
        <v>111</v>
      </c>
      <c r="B681" s="19" t="inlineStr">
        <is>
          <t>Plen</t>
        </is>
      </c>
      <c r="C681" s="19" t="inlineStr">
        <is>
          <t>Town</t>
        </is>
      </c>
      <c r="D681" s="19" t="inlineStr">
        <is>
          <t>Loss</t>
        </is>
      </c>
      <c r="E681" s="19" t="n">
        <v>-9</v>
      </c>
      <c r="F681" s="19" t="n">
        <v>22.404822107258</v>
      </c>
      <c r="G681" s="19" t="n">
        <v>22.2490609712581</v>
      </c>
      <c r="H681" s="19" t="n">
        <v>6.76708745554218</v>
      </c>
      <c r="I681" s="19" t="n">
        <v>832</v>
      </c>
      <c r="J681" s="19" t="n">
        <v>823</v>
      </c>
      <c r="K681" s="19" t="n">
        <v>6.77690839782674</v>
      </c>
    </row>
    <row r="682">
      <c r="A682" s="19" t="n">
        <v>111</v>
      </c>
      <c r="B682" s="19" t="inlineStr">
        <is>
          <t>Aipha</t>
        </is>
      </c>
      <c r="C682" s="19" t="inlineStr">
        <is>
          <t>Town</t>
        </is>
      </c>
      <c r="D682" s="19" t="inlineStr">
        <is>
          <t>Loss</t>
        </is>
      </c>
      <c r="E682" s="19" t="n">
        <v>-12</v>
      </c>
      <c r="F682" s="19" t="n">
        <v>23.5187448629755</v>
      </c>
      <c r="G682" s="19" t="n">
        <v>23.3197172659771</v>
      </c>
      <c r="H682" s="19" t="n">
        <v>7.64425098548211</v>
      </c>
      <c r="I682" s="19" t="n">
        <v>818</v>
      </c>
      <c r="J682" s="19" t="n">
        <v>806</v>
      </c>
      <c r="K682" s="19" t="n">
        <v>7.6621596869086</v>
      </c>
    </row>
    <row r="683">
      <c r="A683" s="19" t="n">
        <v>111</v>
      </c>
      <c r="B683" s="19" t="inlineStr">
        <is>
          <t>Kwix</t>
        </is>
      </c>
      <c r="C683" s="19" t="inlineStr">
        <is>
          <t>Town</t>
        </is>
      </c>
      <c r="D683" s="19" t="inlineStr">
        <is>
          <t>Loss</t>
        </is>
      </c>
      <c r="E683" s="19" t="n">
        <v>-10</v>
      </c>
      <c r="F683" s="19" t="n">
        <v>25.69694469582</v>
      </c>
      <c r="G683" s="19" t="n">
        <v>25.5254907656901</v>
      </c>
      <c r="H683" s="19" t="n">
        <v>7.09805547446562</v>
      </c>
      <c r="I683" s="19" t="n">
        <v>1022</v>
      </c>
      <c r="J683" s="19" t="n">
        <v>1012</v>
      </c>
      <c r="K683" s="19" t="n">
        <v>7.11073885655125</v>
      </c>
    </row>
    <row r="684">
      <c r="A684" s="19" t="n">
        <v>111</v>
      </c>
      <c r="B684" s="19" t="inlineStr">
        <is>
          <t>Lou</t>
        </is>
      </c>
      <c r="C684" s="19" t="inlineStr">
        <is>
          <t>Town</t>
        </is>
      </c>
      <c r="D684" s="19" t="inlineStr">
        <is>
          <t>Loss</t>
        </is>
      </c>
      <c r="E684" s="19" t="n">
        <v>-10</v>
      </c>
      <c r="F684" s="19" t="n">
        <v>28.6275857076204</v>
      </c>
      <c r="G684" s="19" t="n">
        <v>28.4633127301398</v>
      </c>
      <c r="H684" s="19" t="n">
        <v>6.9486030639154</v>
      </c>
      <c r="I684" s="19" t="n">
        <v>1237</v>
      </c>
      <c r="J684" s="19" t="n">
        <v>1227</v>
      </c>
      <c r="K684" s="19" t="n">
        <v>6.95996691057896</v>
      </c>
    </row>
    <row r="685">
      <c r="A685" s="19" t="n">
        <v>111</v>
      </c>
      <c r="B685" s="19" t="inlineStr">
        <is>
          <t>Chester</t>
        </is>
      </c>
      <c r="C685" s="19" t="inlineStr">
        <is>
          <t>Town</t>
        </is>
      </c>
      <c r="D685" s="19" t="inlineStr">
        <is>
          <t>Loss</t>
        </is>
      </c>
      <c r="E685" s="19" t="n">
        <v>-12</v>
      </c>
      <c r="F685" s="19" t="n">
        <v>28.8092181845864</v>
      </c>
      <c r="G685" s="19" t="n">
        <v>28.6089394435688</v>
      </c>
      <c r="H685" s="19" t="n">
        <v>7.66809012201938</v>
      </c>
      <c r="I685" s="19" t="n">
        <v>1175</v>
      </c>
      <c r="J685" s="19" t="n">
        <v>1163</v>
      </c>
      <c r="K685" s="19" t="n">
        <v>7.68624201704942</v>
      </c>
    </row>
    <row r="686">
      <c r="A686" s="19" t="n">
        <v>111</v>
      </c>
      <c r="B686" s="19" t="inlineStr">
        <is>
          <t>Strik3r</t>
        </is>
      </c>
      <c r="C686" s="19" t="inlineStr">
        <is>
          <t>Town</t>
        </is>
      </c>
      <c r="D686" s="19" t="inlineStr">
        <is>
          <t>Loss</t>
        </is>
      </c>
      <c r="E686" s="19" t="n">
        <v>-11</v>
      </c>
      <c r="F686" s="19" t="n">
        <v>26.1771149843244</v>
      </c>
      <c r="G686" s="19" t="n">
        <v>25.9785872634746</v>
      </c>
      <c r="H686" s="19" t="n">
        <v>7.63470507178909</v>
      </c>
      <c r="I686" s="19" t="n">
        <v>999</v>
      </c>
      <c r="J686" s="19" t="n">
        <v>988</v>
      </c>
      <c r="K686" s="19" t="n">
        <v>7.6525167583762</v>
      </c>
    </row>
    <row r="687">
      <c r="A687" s="19" t="n">
        <v>111</v>
      </c>
      <c r="B687" s="19" t="inlineStr">
        <is>
          <t>Carson</t>
        </is>
      </c>
      <c r="C687" s="19" t="inlineStr">
        <is>
          <t>Mafia</t>
        </is>
      </c>
      <c r="D687" s="19" t="inlineStr">
        <is>
          <t>Win</t>
        </is>
      </c>
      <c r="E687" s="19" t="n">
        <v>12</v>
      </c>
      <c r="F687" s="19" t="n">
        <v>31.6060305785317</v>
      </c>
      <c r="G687" s="19" t="n">
        <v>31.7657684327874</v>
      </c>
      <c r="H687" s="19" t="n">
        <v>6.85250180403768</v>
      </c>
      <c r="I687" s="19" t="n">
        <v>1449</v>
      </c>
      <c r="J687" s="19" t="n">
        <v>1461</v>
      </c>
      <c r="K687" s="19" t="n">
        <v>6.8630407742627</v>
      </c>
    </row>
    <row r="688">
      <c r="A688" s="19" t="n">
        <v>111</v>
      </c>
      <c r="B688" s="19" t="inlineStr">
        <is>
          <t>Iln</t>
        </is>
      </c>
      <c r="C688" s="19" t="inlineStr">
        <is>
          <t>Mafia</t>
        </is>
      </c>
      <c r="D688" s="19" t="inlineStr">
        <is>
          <t>Win</t>
        </is>
      </c>
      <c r="E688" s="19" t="n">
        <v>12</v>
      </c>
      <c r="F688" s="19" t="n">
        <v>26.5796181636822</v>
      </c>
      <c r="G688" s="19" t="n">
        <v>26.7479746148675</v>
      </c>
      <c r="H688" s="19" t="n">
        <v>7.03398741984134</v>
      </c>
      <c r="I688" s="19" t="n">
        <v>1089</v>
      </c>
      <c r="J688" s="19" t="n">
        <v>1101</v>
      </c>
      <c r="K688" s="19" t="n">
        <v>7.04609958616402</v>
      </c>
    </row>
    <row r="689">
      <c r="A689" s="19" t="n">
        <v>111</v>
      </c>
      <c r="B689" s="19" t="inlineStr">
        <is>
          <t>Laur</t>
        </is>
      </c>
      <c r="C689" s="19" t="inlineStr">
        <is>
          <t>Mafia</t>
        </is>
      </c>
      <c r="D689" s="19" t="inlineStr">
        <is>
          <t>Win</t>
        </is>
      </c>
      <c r="E689" s="19" t="n">
        <v>13</v>
      </c>
      <c r="F689" s="19" t="n">
        <v>35.5931685924184</v>
      </c>
      <c r="G689" s="19" t="n">
        <v>35.763240002118</v>
      </c>
      <c r="H689" s="19" t="n">
        <v>7.0695327944491</v>
      </c>
      <c r="I689" s="19" t="n">
        <v>1698</v>
      </c>
      <c r="J689" s="19" t="n">
        <v>1711</v>
      </c>
      <c r="K689" s="19" t="n">
        <v>7.08196083701618</v>
      </c>
    </row>
    <row r="690">
      <c r="A690" s="19" t="n">
        <v>110</v>
      </c>
      <c r="B690" s="19" t="inlineStr">
        <is>
          <t>Lofty</t>
        </is>
      </c>
      <c r="C690" s="19" t="inlineStr">
        <is>
          <t>Town</t>
        </is>
      </c>
      <c r="D690" s="19" t="inlineStr">
        <is>
          <t>Loss</t>
        </is>
      </c>
      <c r="E690" s="19" t="n">
        <v>-88</v>
      </c>
      <c r="F690" s="19" t="n">
        <v>25.6403759750655</v>
      </c>
      <c r="G690" s="19" t="n">
        <v>24.2586658999607</v>
      </c>
      <c r="H690" s="19" t="n">
        <v>7.87357630507495</v>
      </c>
      <c r="I690" s="19" t="n">
        <v>934</v>
      </c>
      <c r="J690" s="19" t="n">
        <v>846</v>
      </c>
      <c r="K690" s="19" t="n">
        <v>7.9344013049601</v>
      </c>
    </row>
    <row r="691">
      <c r="A691" s="19" t="n">
        <v>110</v>
      </c>
      <c r="B691" s="19" t="inlineStr">
        <is>
          <t>Badpants</t>
        </is>
      </c>
      <c r="C691" s="19" t="inlineStr">
        <is>
          <t>Town</t>
        </is>
      </c>
      <c r="D691" s="19" t="inlineStr">
        <is>
          <t>Loss</t>
        </is>
      </c>
      <c r="E691" s="19" t="n">
        <v>-68</v>
      </c>
      <c r="F691" s="19" t="n">
        <v>24.0115223652838</v>
      </c>
      <c r="G691" s="19" t="n">
        <v>22.9524188368907</v>
      </c>
      <c r="H691" s="19" t="n">
        <v>6.90702549715181</v>
      </c>
      <c r="I691" s="19" t="n">
        <v>924</v>
      </c>
      <c r="J691" s="19" t="n">
        <v>856</v>
      </c>
      <c r="K691" s="19" t="n">
        <v>6.94512917820639</v>
      </c>
    </row>
    <row r="692">
      <c r="A692" s="19" t="n">
        <v>110</v>
      </c>
      <c r="B692" s="19" t="inlineStr">
        <is>
          <t>Carson</t>
        </is>
      </c>
      <c r="C692" s="19" t="inlineStr">
        <is>
          <t>Town</t>
        </is>
      </c>
      <c r="D692" s="19" t="inlineStr">
        <is>
          <t>Loss</t>
        </is>
      </c>
      <c r="E692" s="19" t="n">
        <v>-67</v>
      </c>
      <c r="F692" s="19" t="n">
        <v>32.6515139573173</v>
      </c>
      <c r="G692" s="19" t="n">
        <v>31.6060305785317</v>
      </c>
      <c r="H692" s="19" t="n">
        <v>6.8630407742627</v>
      </c>
      <c r="I692" s="19" t="n">
        <v>1516</v>
      </c>
      <c r="J692" s="19" t="n">
        <v>1449</v>
      </c>
      <c r="K692" s="19" t="n">
        <v>6.9002433693427</v>
      </c>
    </row>
    <row r="693">
      <c r="A693" s="19" t="n">
        <v>110</v>
      </c>
      <c r="B693" s="19" t="inlineStr">
        <is>
          <t>Iln</t>
        </is>
      </c>
      <c r="C693" s="19" t="inlineStr">
        <is>
          <t>Town</t>
        </is>
      </c>
      <c r="D693" s="19" t="inlineStr">
        <is>
          <t>Loss</t>
        </is>
      </c>
      <c r="E693" s="19" t="n">
        <v>-71</v>
      </c>
      <c r="F693" s="19" t="n">
        <v>27.6823903627996</v>
      </c>
      <c r="G693" s="19" t="n">
        <v>26.5796181636822</v>
      </c>
      <c r="H693" s="19" t="n">
        <v>7.04609958616402</v>
      </c>
      <c r="I693" s="19" t="n">
        <v>1160</v>
      </c>
      <c r="J693" s="19" t="n">
        <v>1089</v>
      </c>
      <c r="K693" s="19" t="n">
        <v>7.08712460760398</v>
      </c>
    </row>
    <row r="694">
      <c r="A694" s="19" t="n">
        <v>110</v>
      </c>
      <c r="B694" s="19" t="inlineStr">
        <is>
          <t>Laur</t>
        </is>
      </c>
      <c r="C694" s="19" t="inlineStr">
        <is>
          <t>Town</t>
        </is>
      </c>
      <c r="D694" s="19" t="inlineStr">
        <is>
          <t>Loss</t>
        </is>
      </c>
      <c r="E694" s="19" t="n">
        <v>-71</v>
      </c>
      <c r="F694" s="19" t="n">
        <v>36.7073500343037</v>
      </c>
      <c r="G694" s="19" t="n">
        <v>35.5931685924184</v>
      </c>
      <c r="H694" s="19" t="n">
        <v>7.08196083701618</v>
      </c>
      <c r="I694" s="19" t="n">
        <v>1769</v>
      </c>
      <c r="J694" s="19" t="n">
        <v>1698</v>
      </c>
      <c r="K694" s="19" t="n">
        <v>7.12375719697261</v>
      </c>
    </row>
    <row r="695">
      <c r="A695" s="19" t="n">
        <v>110</v>
      </c>
      <c r="B695" s="19" t="inlineStr">
        <is>
          <t>Noah</t>
        </is>
      </c>
      <c r="C695" s="19" t="inlineStr">
        <is>
          <t>Town</t>
        </is>
      </c>
      <c r="D695" s="19" t="inlineStr">
        <is>
          <t>Loss</t>
        </is>
      </c>
      <c r="E695" s="19" t="n">
        <v>-66</v>
      </c>
      <c r="F695" s="19" t="n">
        <v>32.8945853736316</v>
      </c>
      <c r="G695" s="19" t="n">
        <v>31.8563959694159</v>
      </c>
      <c r="H695" s="19" t="n">
        <v>6.83936326728512</v>
      </c>
      <c r="I695" s="19" t="n">
        <v>1535</v>
      </c>
      <c r="J695" s="19" t="n">
        <v>1469</v>
      </c>
      <c r="K695" s="19" t="n">
        <v>6.87608528050969</v>
      </c>
    </row>
    <row r="696">
      <c r="A696" s="19" t="n">
        <v>110</v>
      </c>
      <c r="B696" s="19" t="inlineStr">
        <is>
          <t>Strik3r</t>
        </is>
      </c>
      <c r="C696" s="19" t="inlineStr">
        <is>
          <t>Town</t>
        </is>
      </c>
      <c r="D696" s="19" t="inlineStr">
        <is>
          <t>Loss</t>
        </is>
      </c>
      <c r="E696" s="19" t="n">
        <v>-84</v>
      </c>
      <c r="F696" s="19" t="n">
        <v>27.4810836304563</v>
      </c>
      <c r="G696" s="19" t="n">
        <v>26.1771149843244</v>
      </c>
      <c r="H696" s="19" t="n">
        <v>7.6525167583762</v>
      </c>
      <c r="I696" s="19" t="n">
        <v>1083</v>
      </c>
      <c r="J696" s="19" t="n">
        <v>999</v>
      </c>
      <c r="K696" s="19" t="n">
        <v>7.70762836113201</v>
      </c>
    </row>
    <row r="697">
      <c r="A697" s="19" t="n">
        <v>110</v>
      </c>
      <c r="B697" s="19" t="inlineStr">
        <is>
          <t>Aipha</t>
        </is>
      </c>
      <c r="C697" s="19" t="inlineStr">
        <is>
          <t>Town</t>
        </is>
      </c>
      <c r="D697" s="19" t="inlineStr">
        <is>
          <t>Loss</t>
        </is>
      </c>
      <c r="E697" s="19" t="n">
        <v>-83</v>
      </c>
      <c r="F697" s="19" t="n">
        <v>24.8260554203697</v>
      </c>
      <c r="G697" s="19" t="n">
        <v>23.5187448629755</v>
      </c>
      <c r="H697" s="19" t="n">
        <v>7.6621596869086</v>
      </c>
      <c r="I697" s="19" t="n">
        <v>901</v>
      </c>
      <c r="J697" s="19" t="n">
        <v>818</v>
      </c>
      <c r="K697" s="19" t="n">
        <v>7.71751383657266</v>
      </c>
    </row>
    <row r="698">
      <c r="A698" s="19" t="n">
        <v>110</v>
      </c>
      <c r="B698" s="19" t="inlineStr">
        <is>
          <t>Chester</t>
        </is>
      </c>
      <c r="C698" s="19" t="inlineStr">
        <is>
          <t>Town</t>
        </is>
      </c>
      <c r="D698" s="19" t="inlineStr">
        <is>
          <t>Loss</t>
        </is>
      </c>
      <c r="E698" s="19" t="n">
        <v>-84</v>
      </c>
      <c r="F698" s="19" t="n">
        <v>30.1248944592355</v>
      </c>
      <c r="G698" s="19" t="n">
        <v>28.8092181845864</v>
      </c>
      <c r="H698" s="19" t="n">
        <v>7.68624201704942</v>
      </c>
      <c r="I698" s="19" t="n">
        <v>1259</v>
      </c>
      <c r="J698" s="19" t="n">
        <v>1175</v>
      </c>
      <c r="K698" s="19" t="n">
        <v>7.74220453800234</v>
      </c>
    </row>
    <row r="699">
      <c r="A699" s="19" t="n">
        <v>110</v>
      </c>
      <c r="B699" s="19" t="inlineStr">
        <is>
          <t>Kwix</t>
        </is>
      </c>
      <c r="C699" s="19" t="inlineStr">
        <is>
          <t>Town</t>
        </is>
      </c>
      <c r="D699" s="19" t="inlineStr">
        <is>
          <t>Loss</t>
        </is>
      </c>
      <c r="E699" s="19" t="n">
        <v>-72</v>
      </c>
      <c r="F699" s="19" t="n">
        <v>26.8203260945177</v>
      </c>
      <c r="G699" s="19" t="n">
        <v>25.69694469582</v>
      </c>
      <c r="H699" s="19" t="n">
        <v>7.11073885655125</v>
      </c>
      <c r="I699" s="19" t="n">
        <v>1094</v>
      </c>
      <c r="J699" s="19" t="n">
        <v>1022</v>
      </c>
      <c r="K699" s="19" t="n">
        <v>7.15315962416583</v>
      </c>
    </row>
    <row r="700">
      <c r="A700" s="19" t="n">
        <v>110</v>
      </c>
      <c r="B700" s="19" t="inlineStr">
        <is>
          <t>Doublea</t>
        </is>
      </c>
      <c r="C700" s="19" t="inlineStr">
        <is>
          <t>Town</t>
        </is>
      </c>
      <c r="D700" s="19" t="inlineStr">
        <is>
          <t>Loss</t>
        </is>
      </c>
      <c r="E700" s="19" t="n">
        <v>-80</v>
      </c>
      <c r="F700" s="19" t="n">
        <v>23.4074588987119</v>
      </c>
      <c r="G700" s="19" t="n">
        <v>22.1488539021564</v>
      </c>
      <c r="H700" s="19" t="n">
        <v>7.52031821163347</v>
      </c>
      <c r="I700" s="19" t="n">
        <v>819</v>
      </c>
      <c r="J700" s="19" t="n">
        <v>739</v>
      </c>
      <c r="K700" s="19" t="n">
        <v>7.5721648481063</v>
      </c>
    </row>
    <row r="701">
      <c r="A701" s="19" t="n">
        <v>110</v>
      </c>
      <c r="B701" s="19" t="inlineStr">
        <is>
          <t>Snazz</t>
        </is>
      </c>
      <c r="C701" s="19" t="inlineStr">
        <is>
          <t>Mafia</t>
        </is>
      </c>
      <c r="D701" s="19" t="inlineStr">
        <is>
          <t>Win</t>
        </is>
      </c>
      <c r="E701" s="19" t="n">
        <v>100</v>
      </c>
      <c r="F701" s="19" t="n">
        <v>25.3540755117415</v>
      </c>
      <c r="G701" s="19" t="n">
        <v>26.7425910880397</v>
      </c>
      <c r="H701" s="19" t="n">
        <v>7.89261310685728</v>
      </c>
      <c r="I701" s="19" t="n">
        <v>913</v>
      </c>
      <c r="J701" s="19" t="n">
        <v>1013</v>
      </c>
      <c r="K701" s="19" t="n">
        <v>7.95394529502071</v>
      </c>
    </row>
    <row r="702">
      <c r="A702" s="19" t="n">
        <v>110</v>
      </c>
      <c r="B702" s="19" t="inlineStr">
        <is>
          <t>Smit</t>
        </is>
      </c>
      <c r="C702" s="19" t="inlineStr">
        <is>
          <t>Mafia</t>
        </is>
      </c>
      <c r="D702" s="19" t="inlineStr">
        <is>
          <t>Win</t>
        </is>
      </c>
      <c r="E702" s="19" t="n">
        <v>78</v>
      </c>
      <c r="F702" s="19" t="n">
        <v>25.5886430068494</v>
      </c>
      <c r="G702" s="19" t="n">
        <v>26.6768352745463</v>
      </c>
      <c r="H702" s="19" t="n">
        <v>6.99999000528039</v>
      </c>
      <c r="I702" s="19" t="n">
        <v>1022</v>
      </c>
      <c r="J702" s="19" t="n">
        <v>1100</v>
      </c>
      <c r="K702" s="19" t="n">
        <v>7.04003419692691</v>
      </c>
    </row>
    <row r="703">
      <c r="A703" s="19" t="n">
        <v>110</v>
      </c>
      <c r="B703" s="19" t="inlineStr">
        <is>
          <t>Plen</t>
        </is>
      </c>
      <c r="C703" s="19" t="inlineStr">
        <is>
          <t>Mafia</t>
        </is>
      </c>
      <c r="D703" s="19" t="inlineStr">
        <is>
          <t>Win</t>
        </is>
      </c>
      <c r="E703" s="19" t="n">
        <v>73</v>
      </c>
      <c r="F703" s="19" t="n">
        <v>21.3857450504804</v>
      </c>
      <c r="G703" s="19" t="n">
        <v>22.404822107258</v>
      </c>
      <c r="H703" s="19" t="n">
        <v>6.77690839782674</v>
      </c>
      <c r="I703" s="19" t="n">
        <v>759</v>
      </c>
      <c r="J703" s="19" t="n">
        <v>832</v>
      </c>
      <c r="K703" s="19" t="n">
        <v>6.81237769143709</v>
      </c>
    </row>
    <row r="704">
      <c r="A704" s="19" t="n">
        <v>109</v>
      </c>
      <c r="B704" s="19" t="inlineStr">
        <is>
          <t>Aipha</t>
        </is>
      </c>
      <c r="C704" s="19" t="inlineStr">
        <is>
          <t>Town</t>
        </is>
      </c>
      <c r="D704" s="19" t="inlineStr">
        <is>
          <t>Loss</t>
        </is>
      </c>
      <c r="E704" s="19" t="n">
        <v>-52</v>
      </c>
      <c r="F704" s="19" t="n">
        <v>25.660595193869</v>
      </c>
      <c r="G704" s="19" t="n">
        <v>24.8260554203697</v>
      </c>
      <c r="H704" s="19" t="n">
        <v>7.71751383657266</v>
      </c>
      <c r="I704" s="19" t="n">
        <v>953</v>
      </c>
      <c r="J704" s="19" t="n">
        <v>901</v>
      </c>
      <c r="K704" s="19" t="n">
        <v>7.76712239086529</v>
      </c>
    </row>
    <row r="705">
      <c r="A705" s="19" t="n">
        <v>109</v>
      </c>
      <c r="B705" s="19" t="inlineStr">
        <is>
          <t>Raf</t>
        </is>
      </c>
      <c r="C705" s="19" t="inlineStr">
        <is>
          <t>Town</t>
        </is>
      </c>
      <c r="D705" s="19" t="inlineStr">
        <is>
          <t>Loss</t>
        </is>
      </c>
      <c r="E705" s="19" t="n">
        <v>-59</v>
      </c>
      <c r="F705" s="19" t="n">
        <v>25</v>
      </c>
      <c r="G705" s="19" t="n">
        <v>24.0395399251175</v>
      </c>
      <c r="H705" s="19" t="n">
        <v>8.270294116471449</v>
      </c>
      <c r="I705" s="19" t="n">
        <v>850</v>
      </c>
      <c r="J705" s="19" t="n">
        <v>791</v>
      </c>
      <c r="K705" s="19" t="n">
        <v>8.33333333333333</v>
      </c>
    </row>
    <row r="706">
      <c r="A706" s="19" t="n">
        <v>109</v>
      </c>
      <c r="B706" s="19" t="inlineStr">
        <is>
          <t>Chester</t>
        </is>
      </c>
      <c r="C706" s="19" t="inlineStr">
        <is>
          <t>Town</t>
        </is>
      </c>
      <c r="D706" s="19" t="inlineStr">
        <is>
          <t>Loss</t>
        </is>
      </c>
      <c r="E706" s="19" t="n">
        <v>-52</v>
      </c>
      <c r="F706" s="19" t="n">
        <v>30.9648613793266</v>
      </c>
      <c r="G706" s="19" t="n">
        <v>30.1248944592355</v>
      </c>
      <c r="H706" s="19" t="n">
        <v>7.74220453800234</v>
      </c>
      <c r="I706" s="19" t="n">
        <v>1311</v>
      </c>
      <c r="J706" s="19" t="n">
        <v>1259</v>
      </c>
      <c r="K706" s="19" t="n">
        <v>7.79237444295228</v>
      </c>
    </row>
    <row r="707">
      <c r="A707" s="19" t="n">
        <v>109</v>
      </c>
      <c r="B707" s="19" t="inlineStr">
        <is>
          <t>Plen</t>
        </is>
      </c>
      <c r="C707" s="19" t="inlineStr">
        <is>
          <t>Town</t>
        </is>
      </c>
      <c r="D707" s="19" t="inlineStr">
        <is>
          <t>Loss</t>
        </is>
      </c>
      <c r="E707" s="19" t="n">
        <v>-41</v>
      </c>
      <c r="F707" s="19" t="n">
        <v>22.0339233894254</v>
      </c>
      <c r="G707" s="19" t="n">
        <v>21.3857450504804</v>
      </c>
      <c r="H707" s="19" t="n">
        <v>6.81237769143709</v>
      </c>
      <c r="I707" s="19" t="n">
        <v>800</v>
      </c>
      <c r="J707" s="19" t="n">
        <v>759</v>
      </c>
      <c r="K707" s="19" t="n">
        <v>6.84369624358728</v>
      </c>
    </row>
    <row r="708">
      <c r="A708" s="19" t="n">
        <v>109</v>
      </c>
      <c r="B708" s="19" t="inlineStr">
        <is>
          <t>Rocker</t>
        </is>
      </c>
      <c r="C708" s="19" t="inlineStr">
        <is>
          <t>Town</t>
        </is>
      </c>
      <c r="D708" s="19" t="inlineStr">
        <is>
          <t>Loss</t>
        </is>
      </c>
      <c r="E708" s="19" t="n">
        <v>-39</v>
      </c>
      <c r="F708" s="19" t="n">
        <v>32.0924077634054</v>
      </c>
      <c r="G708" s="19" t="n">
        <v>31.4714488434495</v>
      </c>
      <c r="H708" s="19" t="n">
        <v>6.66936664667058</v>
      </c>
      <c r="I708" s="19" t="n">
        <v>1499</v>
      </c>
      <c r="J708" s="19" t="n">
        <v>1460</v>
      </c>
      <c r="K708" s="19" t="n">
        <v>6.69817688129159</v>
      </c>
    </row>
    <row r="709">
      <c r="A709" s="19" t="n">
        <v>109</v>
      </c>
      <c r="B709" s="19" t="inlineStr">
        <is>
          <t>Carson</t>
        </is>
      </c>
      <c r="C709" s="19" t="inlineStr">
        <is>
          <t>Town</t>
        </is>
      </c>
      <c r="D709" s="19" t="inlineStr">
        <is>
          <t>Loss</t>
        </is>
      </c>
      <c r="E709" s="19" t="n">
        <v>-42</v>
      </c>
      <c r="F709" s="19" t="n">
        <v>33.3167153432455</v>
      </c>
      <c r="G709" s="19" t="n">
        <v>32.6515139573173</v>
      </c>
      <c r="H709" s="19" t="n">
        <v>6.9002433693427</v>
      </c>
      <c r="I709" s="19" t="n">
        <v>1558</v>
      </c>
      <c r="J709" s="19" t="n">
        <v>1516</v>
      </c>
      <c r="K709" s="19" t="n">
        <v>6.93315195979868</v>
      </c>
    </row>
    <row r="710">
      <c r="A710" s="19" t="n">
        <v>109</v>
      </c>
      <c r="B710" s="19" t="inlineStr">
        <is>
          <t>Lou</t>
        </is>
      </c>
      <c r="C710" s="19" t="inlineStr">
        <is>
          <t>Town</t>
        </is>
      </c>
      <c r="D710" s="19" t="inlineStr">
        <is>
          <t>Loss</t>
        </is>
      </c>
      <c r="E710" s="19" t="n">
        <v>-42</v>
      </c>
      <c r="F710" s="19" t="n">
        <v>29.3044882869705</v>
      </c>
      <c r="G710" s="19" t="n">
        <v>28.6275857076204</v>
      </c>
      <c r="H710" s="19" t="n">
        <v>6.95996691057896</v>
      </c>
      <c r="I710" s="19" t="n">
        <v>1279</v>
      </c>
      <c r="J710" s="19" t="n">
        <v>1237</v>
      </c>
      <c r="K710" s="19" t="n">
        <v>6.99397795232901</v>
      </c>
    </row>
    <row r="711">
      <c r="A711" s="19" t="n">
        <v>109</v>
      </c>
      <c r="B711" s="19" t="inlineStr">
        <is>
          <t>Hunterxp</t>
        </is>
      </c>
      <c r="C711" s="19" t="inlineStr">
        <is>
          <t>Town</t>
        </is>
      </c>
      <c r="D711" s="19" t="inlineStr">
        <is>
          <t>Loss</t>
        </is>
      </c>
      <c r="E711" s="19" t="n">
        <v>-55</v>
      </c>
      <c r="F711" s="19" t="n">
        <v>24.0330023454109</v>
      </c>
      <c r="G711" s="19" t="n">
        <v>23.1418122687135</v>
      </c>
      <c r="H711" s="19" t="n">
        <v>7.97125269666753</v>
      </c>
      <c r="I711" s="19" t="n">
        <v>816</v>
      </c>
      <c r="J711" s="19" t="n">
        <v>761</v>
      </c>
      <c r="K711" s="19" t="n">
        <v>8.0267990633139</v>
      </c>
    </row>
    <row r="712">
      <c r="A712" s="19" t="n">
        <v>109</v>
      </c>
      <c r="B712" s="19" t="inlineStr">
        <is>
          <t>Badpants</t>
        </is>
      </c>
      <c r="C712" s="19" t="inlineStr">
        <is>
          <t>Town</t>
        </is>
      </c>
      <c r="D712" s="19" t="inlineStr">
        <is>
          <t>Loss</t>
        </is>
      </c>
      <c r="E712" s="19" t="n">
        <v>-43</v>
      </c>
      <c r="F712" s="19" t="n">
        <v>24.685508036378</v>
      </c>
      <c r="G712" s="19" t="n">
        <v>24.0115223652838</v>
      </c>
      <c r="H712" s="19" t="n">
        <v>6.94512917820639</v>
      </c>
      <c r="I712" s="19" t="n">
        <v>967</v>
      </c>
      <c r="J712" s="19" t="n">
        <v>924</v>
      </c>
      <c r="K712" s="19" t="n">
        <v>6.97886467420359</v>
      </c>
    </row>
    <row r="713">
      <c r="A713" s="19" t="n">
        <v>109</v>
      </c>
      <c r="B713" s="19" t="inlineStr">
        <is>
          <t>Laur</t>
        </is>
      </c>
      <c r="C713" s="19" t="inlineStr">
        <is>
          <t>Town</t>
        </is>
      </c>
      <c r="D713" s="19" t="inlineStr">
        <is>
          <t>Loss</t>
        </is>
      </c>
      <c r="E713" s="19" t="n">
        <v>-45</v>
      </c>
      <c r="F713" s="19" t="n">
        <v>37.4168855334204</v>
      </c>
      <c r="G713" s="19" t="n">
        <v>36.7073500343037</v>
      </c>
      <c r="H713" s="19" t="n">
        <v>7.12375719697261</v>
      </c>
      <c r="I713" s="19" t="n">
        <v>1814</v>
      </c>
      <c r="J713" s="19" t="n">
        <v>1769</v>
      </c>
      <c r="K713" s="19" t="n">
        <v>7.16088358007098</v>
      </c>
    </row>
    <row r="714">
      <c r="A714" s="19" t="n">
        <v>109</v>
      </c>
      <c r="B714" s="19" t="inlineStr">
        <is>
          <t>Iln</t>
        </is>
      </c>
      <c r="C714" s="19" t="inlineStr">
        <is>
          <t>Mafia</t>
        </is>
      </c>
      <c r="D714" s="19" t="inlineStr">
        <is>
          <t>Win</t>
        </is>
      </c>
      <c r="E714" s="19" t="n">
        <v>52</v>
      </c>
      <c r="F714" s="19" t="n">
        <v>26.9802225348656</v>
      </c>
      <c r="G714" s="19" t="n">
        <v>27.6823903627996</v>
      </c>
      <c r="H714" s="19" t="n">
        <v>7.08712460760398</v>
      </c>
      <c r="I714" s="19" t="n">
        <v>1108</v>
      </c>
      <c r="J714" s="19" t="n">
        <v>1160</v>
      </c>
      <c r="K714" s="19" t="n">
        <v>7.12354239342231</v>
      </c>
    </row>
    <row r="715">
      <c r="A715" s="19" t="n">
        <v>109</v>
      </c>
      <c r="B715" s="19" t="inlineStr">
        <is>
          <t>Mintt</t>
        </is>
      </c>
      <c r="C715" s="19" t="inlineStr">
        <is>
          <t>Mafia</t>
        </is>
      </c>
      <c r="D715" s="19" t="inlineStr">
        <is>
          <t>Win</t>
        </is>
      </c>
      <c r="E715" s="19" t="n">
        <v>54</v>
      </c>
      <c r="F715" s="19" t="n">
        <v>28.9965323193939</v>
      </c>
      <c r="G715" s="19" t="n">
        <v>29.7339247811585</v>
      </c>
      <c r="H715" s="19" t="n">
        <v>7.26051041550796</v>
      </c>
      <c r="I715" s="19" t="n">
        <v>1227</v>
      </c>
      <c r="J715" s="19" t="n">
        <v>1281</v>
      </c>
      <c r="K715" s="19" t="n">
        <v>7.30034346095458</v>
      </c>
    </row>
    <row r="716">
      <c r="A716" s="19" t="n">
        <v>109</v>
      </c>
      <c r="B716" s="19" t="inlineStr">
        <is>
          <t>Rick</t>
        </is>
      </c>
      <c r="C716" s="19" t="inlineStr">
        <is>
          <t>Mafia</t>
        </is>
      </c>
      <c r="D716" s="19" t="inlineStr">
        <is>
          <t>Win</t>
        </is>
      </c>
      <c r="E716" s="19" t="n">
        <v>63</v>
      </c>
      <c r="F716" s="19" t="n">
        <v>26.3292606504654</v>
      </c>
      <c r="G716" s="19" t="n">
        <v>27.1838430500247</v>
      </c>
      <c r="H716" s="19" t="n">
        <v>7.80828603986902</v>
      </c>
      <c r="I716" s="19" t="n">
        <v>989</v>
      </c>
      <c r="J716" s="19" t="n">
        <v>1052</v>
      </c>
      <c r="K716" s="19" t="n">
        <v>7.85997560911317</v>
      </c>
    </row>
    <row r="717">
      <c r="A717" s="19" t="n">
        <v>108</v>
      </c>
      <c r="B717" s="19" t="inlineStr">
        <is>
          <t>Smit</t>
        </is>
      </c>
      <c r="C717" s="19" t="inlineStr">
        <is>
          <t>Town</t>
        </is>
      </c>
      <c r="D717" s="19" t="inlineStr">
        <is>
          <t>Loss</t>
        </is>
      </c>
      <c r="E717" s="19" t="n">
        <v>-23</v>
      </c>
      <c r="F717" s="19" t="n">
        <v>25.9627088841332</v>
      </c>
      <c r="G717" s="19" t="n">
        <v>25.5886430068494</v>
      </c>
      <c r="H717" s="19" t="n">
        <v>7.04003419692691</v>
      </c>
      <c r="I717" s="19" t="n">
        <v>1045</v>
      </c>
      <c r="J717" s="19" t="n">
        <v>1022</v>
      </c>
      <c r="K717" s="19" t="n">
        <v>7.06416964390076</v>
      </c>
    </row>
    <row r="718">
      <c r="A718" s="19" t="n">
        <v>108</v>
      </c>
      <c r="B718" s="19" t="inlineStr">
        <is>
          <t>Doublea</t>
        </is>
      </c>
      <c r="C718" s="19" t="inlineStr">
        <is>
          <t>Town</t>
        </is>
      </c>
      <c r="D718" s="19" t="inlineStr">
        <is>
          <t>Loss</t>
        </is>
      </c>
      <c r="E718" s="19" t="n">
        <v>-27</v>
      </c>
      <c r="F718" s="19" t="n">
        <v>23.8408069046933</v>
      </c>
      <c r="G718" s="19" t="n">
        <v>23.4074588987119</v>
      </c>
      <c r="H718" s="19" t="n">
        <v>7.5721648481063</v>
      </c>
      <c r="I718" s="19" t="n">
        <v>846</v>
      </c>
      <c r="J718" s="19" t="n">
        <v>819</v>
      </c>
      <c r="K718" s="19" t="n">
        <v>7.60429651742204</v>
      </c>
    </row>
    <row r="719">
      <c r="A719" s="19" t="n">
        <v>108</v>
      </c>
      <c r="B719" s="19" t="inlineStr">
        <is>
          <t>Hunterxp</t>
        </is>
      </c>
      <c r="C719" s="19" t="inlineStr">
        <is>
          <t>Town</t>
        </is>
      </c>
      <c r="D719" s="19" t="inlineStr">
        <is>
          <t>Loss</t>
        </is>
      </c>
      <c r="E719" s="19" t="n">
        <v>-29</v>
      </c>
      <c r="F719" s="19" t="n">
        <v>24.5205635833159</v>
      </c>
      <c r="G719" s="19" t="n">
        <v>24.0330023454109</v>
      </c>
      <c r="H719" s="19" t="n">
        <v>8.0267990633139</v>
      </c>
      <c r="I719" s="19" t="n">
        <v>845</v>
      </c>
      <c r="J719" s="19" t="n">
        <v>816</v>
      </c>
      <c r="K719" s="19" t="n">
        <v>8.066642385052189</v>
      </c>
    </row>
    <row r="720">
      <c r="A720" s="19" t="n">
        <v>108</v>
      </c>
      <c r="B720" s="19" t="inlineStr">
        <is>
          <t>Badpants</t>
        </is>
      </c>
      <c r="C720" s="19" t="inlineStr">
        <is>
          <t>Town</t>
        </is>
      </c>
      <c r="D720" s="19" t="inlineStr">
        <is>
          <t>Loss</t>
        </is>
      </c>
      <c r="E720" s="19" t="n">
        <v>-22</v>
      </c>
      <c r="F720" s="19" t="n">
        <v>25.053046078624</v>
      </c>
      <c r="G720" s="19" t="n">
        <v>24.685508036378</v>
      </c>
      <c r="H720" s="19" t="n">
        <v>6.97886467420359</v>
      </c>
      <c r="I720" s="19" t="n">
        <v>989</v>
      </c>
      <c r="J720" s="19" t="n">
        <v>967</v>
      </c>
      <c r="K720" s="19" t="n">
        <v>7.00214768777006</v>
      </c>
    </row>
    <row r="721">
      <c r="A721" s="19" t="n">
        <v>108</v>
      </c>
      <c r="B721" s="19" t="inlineStr">
        <is>
          <t>Plen</t>
        </is>
      </c>
      <c r="C721" s="19" t="inlineStr">
        <is>
          <t>Town</t>
        </is>
      </c>
      <c r="D721" s="19" t="inlineStr">
        <is>
          <t>Loss</t>
        </is>
      </c>
      <c r="E721" s="19" t="n">
        <v>-22</v>
      </c>
      <c r="F721" s="19" t="n">
        <v>22.3872455741463</v>
      </c>
      <c r="G721" s="19" t="n">
        <v>22.0339233894254</v>
      </c>
      <c r="H721" s="19" t="n">
        <v>6.84369624358728</v>
      </c>
      <c r="I721" s="19" t="n">
        <v>822</v>
      </c>
      <c r="J721" s="19" t="n">
        <v>800</v>
      </c>
      <c r="K721" s="19" t="n">
        <v>6.86514213504678</v>
      </c>
    </row>
    <row r="722">
      <c r="A722" s="19" t="n">
        <v>108</v>
      </c>
      <c r="B722" s="19" t="inlineStr">
        <is>
          <t>Carson</t>
        </is>
      </c>
      <c r="C722" s="19" t="inlineStr">
        <is>
          <t>Town</t>
        </is>
      </c>
      <c r="D722" s="19" t="inlineStr">
        <is>
          <t>Loss</t>
        </is>
      </c>
      <c r="E722" s="19" t="n">
        <v>-23</v>
      </c>
      <c r="F722" s="19" t="n">
        <v>33.6794135378687</v>
      </c>
      <c r="G722" s="19" t="n">
        <v>33.3167153432455</v>
      </c>
      <c r="H722" s="19" t="n">
        <v>6.93315195979868</v>
      </c>
      <c r="I722" s="19" t="n">
        <v>1581</v>
      </c>
      <c r="J722" s="19" t="n">
        <v>1558</v>
      </c>
      <c r="K722" s="19" t="n">
        <v>6.95580655800343</v>
      </c>
    </row>
    <row r="723">
      <c r="A723" s="19" t="n">
        <v>108</v>
      </c>
      <c r="B723" s="19" t="inlineStr">
        <is>
          <t>Brownkow</t>
        </is>
      </c>
      <c r="C723" s="19" t="inlineStr">
        <is>
          <t>Town</t>
        </is>
      </c>
      <c r="D723" s="19" t="inlineStr">
        <is>
          <t>Loss</t>
        </is>
      </c>
      <c r="E723" s="19" t="n">
        <v>-21</v>
      </c>
      <c r="F723" s="19" t="n">
        <v>32.3272890226922</v>
      </c>
      <c r="G723" s="19" t="n">
        <v>31.9844285813383</v>
      </c>
      <c r="H723" s="19" t="n">
        <v>6.74243347726727</v>
      </c>
      <c r="I723" s="19" t="n">
        <v>1508</v>
      </c>
      <c r="J723" s="19" t="n">
        <v>1487</v>
      </c>
      <c r="K723" s="19" t="n">
        <v>6.76254419700748</v>
      </c>
    </row>
    <row r="724">
      <c r="A724" s="19" t="n">
        <v>108</v>
      </c>
      <c r="B724" s="19" t="inlineStr">
        <is>
          <t>Cj</t>
        </is>
      </c>
      <c r="C724" s="19" t="inlineStr">
        <is>
          <t>Town</t>
        </is>
      </c>
      <c r="D724" s="19" t="inlineStr">
        <is>
          <t>Loss</t>
        </is>
      </c>
      <c r="E724" s="19" t="n">
        <v>-28</v>
      </c>
      <c r="F724" s="19" t="n">
        <v>27.3428982976127</v>
      </c>
      <c r="G724" s="19" t="n">
        <v>26.8720734089907</v>
      </c>
      <c r="H724" s="19" t="n">
        <v>7.88936576013598</v>
      </c>
      <c r="I724" s="19" t="n">
        <v>1051</v>
      </c>
      <c r="J724" s="19" t="n">
        <v>1023</v>
      </c>
      <c r="K724" s="19" t="n">
        <v>7.92678809167778</v>
      </c>
    </row>
    <row r="725">
      <c r="A725" s="19" t="n">
        <v>108</v>
      </c>
      <c r="B725" s="19" t="inlineStr">
        <is>
          <t>Laur</t>
        </is>
      </c>
      <c r="C725" s="19" t="inlineStr">
        <is>
          <t>Town</t>
        </is>
      </c>
      <c r="D725" s="19" t="inlineStr">
        <is>
          <t>Loss</t>
        </is>
      </c>
      <c r="E725" s="19" t="n">
        <v>-24</v>
      </c>
      <c r="F725" s="19" t="n">
        <v>37.8040215546592</v>
      </c>
      <c r="G725" s="19" t="n">
        <v>37.4168855334204</v>
      </c>
      <c r="H725" s="19" t="n">
        <v>7.16088358007098</v>
      </c>
      <c r="I725" s="19" t="n">
        <v>1838</v>
      </c>
      <c r="J725" s="19" t="n">
        <v>1814</v>
      </c>
      <c r="K725" s="19" t="n">
        <v>7.18674252844041</v>
      </c>
    </row>
    <row r="726">
      <c r="A726" s="19" t="n">
        <v>108</v>
      </c>
      <c r="B726" s="19" t="inlineStr">
        <is>
          <t>Rick</t>
        </is>
      </c>
      <c r="C726" s="19" t="inlineStr">
        <is>
          <t>Town</t>
        </is>
      </c>
      <c r="D726" s="19" t="inlineStr">
        <is>
          <t>Loss</t>
        </is>
      </c>
      <c r="E726" s="19" t="n">
        <v>-28</v>
      </c>
      <c r="F726" s="19" t="n">
        <v>26.7965456689131</v>
      </c>
      <c r="G726" s="19" t="n">
        <v>26.3292606504654</v>
      </c>
      <c r="H726" s="19" t="n">
        <v>7.85997560911317</v>
      </c>
      <c r="I726" s="19" t="n">
        <v>1017</v>
      </c>
      <c r="J726" s="19" t="n">
        <v>989</v>
      </c>
      <c r="K726" s="19" t="n">
        <v>7.89689047418101</v>
      </c>
    </row>
    <row r="727">
      <c r="A727" s="19" t="n">
        <v>108</v>
      </c>
      <c r="B727" s="19" t="inlineStr">
        <is>
          <t>Rocker</t>
        </is>
      </c>
      <c r="C727" s="19" t="inlineStr">
        <is>
          <t>Mafia</t>
        </is>
      </c>
      <c r="D727" s="19" t="inlineStr">
        <is>
          <t>Win</t>
        </is>
      </c>
      <c r="E727" s="19" t="n">
        <v>25</v>
      </c>
      <c r="F727" s="19" t="n">
        <v>31.7540690385849</v>
      </c>
      <c r="G727" s="19" t="n">
        <v>32.0924077634054</v>
      </c>
      <c r="H727" s="19" t="n">
        <v>6.69817688129159</v>
      </c>
      <c r="I727" s="19" t="n">
        <v>1474</v>
      </c>
      <c r="J727" s="19" t="n">
        <v>1499</v>
      </c>
      <c r="K727" s="19" t="n">
        <v>6.71771491408632</v>
      </c>
    </row>
    <row r="728">
      <c r="A728" s="19" t="n">
        <v>108</v>
      </c>
      <c r="B728" s="19" t="inlineStr">
        <is>
          <t>Vert</t>
        </is>
      </c>
      <c r="C728" s="19" t="inlineStr">
        <is>
          <t>Mafia</t>
        </is>
      </c>
      <c r="D728" s="19" t="inlineStr">
        <is>
          <t>Win</t>
        </is>
      </c>
      <c r="E728" s="19" t="n">
        <v>39</v>
      </c>
      <c r="F728" s="19" t="n">
        <v>26.1348405738553</v>
      </c>
      <c r="G728" s="19" t="n">
        <v>26.6421361198769</v>
      </c>
      <c r="H728" s="19" t="n">
        <v>8.18575154310704</v>
      </c>
      <c r="I728" s="19" t="n">
        <v>938</v>
      </c>
      <c r="J728" s="19" t="n">
        <v>977</v>
      </c>
      <c r="K728" s="19" t="n">
        <v>8.228495316274801</v>
      </c>
    </row>
    <row r="729">
      <c r="A729" s="19" t="n">
        <v>108</v>
      </c>
      <c r="B729" s="19" t="inlineStr">
        <is>
          <t>Noah</t>
        </is>
      </c>
      <c r="C729" s="19" t="inlineStr">
        <is>
          <t>Mafia</t>
        </is>
      </c>
      <c r="D729" s="19" t="inlineStr">
        <is>
          <t>Win</t>
        </is>
      </c>
      <c r="E729" s="19" t="n">
        <v>26</v>
      </c>
      <c r="F729" s="19" t="n">
        <v>32.5378829734426</v>
      </c>
      <c r="G729" s="19" t="n">
        <v>32.8945853736316</v>
      </c>
      <c r="H729" s="19" t="n">
        <v>6.87608528050969</v>
      </c>
      <c r="I729" s="19" t="n">
        <v>1509</v>
      </c>
      <c r="J729" s="19" t="n">
        <v>1535</v>
      </c>
      <c r="K729" s="19" t="n">
        <v>6.89796561129628</v>
      </c>
    </row>
    <row r="730">
      <c r="A730" s="19" t="n">
        <v>107</v>
      </c>
      <c r="B730" s="19" t="inlineStr">
        <is>
          <t>Lou</t>
        </is>
      </c>
      <c r="C730" s="19" t="inlineStr">
        <is>
          <t>Town</t>
        </is>
      </c>
      <c r="D730" s="19" t="inlineStr">
        <is>
          <t>Loss</t>
        </is>
      </c>
      <c r="E730" s="19" t="n">
        <v>-15</v>
      </c>
      <c r="F730" s="19" t="n">
        <v>29.5482185967066</v>
      </c>
      <c r="G730" s="19" t="n">
        <v>29.3044882869705</v>
      </c>
      <c r="H730" s="19" t="n">
        <v>6.99397795232901</v>
      </c>
      <c r="I730" s="19" t="n">
        <v>1294</v>
      </c>
      <c r="J730" s="19" t="n">
        <v>1279</v>
      </c>
      <c r="K730" s="19" t="n">
        <v>7.00919635190398</v>
      </c>
    </row>
    <row r="731">
      <c r="A731" s="19" t="n">
        <v>107</v>
      </c>
      <c r="B731" s="19" t="inlineStr">
        <is>
          <t>Iln</t>
        </is>
      </c>
      <c r="C731" s="19" t="inlineStr">
        <is>
          <t>Town</t>
        </is>
      </c>
      <c r="D731" s="19" t="inlineStr">
        <is>
          <t>Loss</t>
        </is>
      </c>
      <c r="E731" s="19" t="n">
        <v>-16</v>
      </c>
      <c r="F731" s="19" t="n">
        <v>27.2331257448254</v>
      </c>
      <c r="G731" s="19" t="n">
        <v>26.9802225348656</v>
      </c>
      <c r="H731" s="19" t="n">
        <v>7.12354239342231</v>
      </c>
      <c r="I731" s="19" t="n">
        <v>1124</v>
      </c>
      <c r="J731" s="19" t="n">
        <v>1108</v>
      </c>
      <c r="K731" s="19" t="n">
        <v>7.14011250016973</v>
      </c>
    </row>
    <row r="732">
      <c r="A732" s="19" t="n">
        <v>107</v>
      </c>
      <c r="B732" s="19" t="inlineStr">
        <is>
          <t>Carson</t>
        </is>
      </c>
      <c r="C732" s="19" t="inlineStr">
        <is>
          <t>Town</t>
        </is>
      </c>
      <c r="D732" s="19" t="inlineStr">
        <is>
          <t>Loss</t>
        </is>
      </c>
      <c r="E732" s="19" t="n">
        <v>-15</v>
      </c>
      <c r="F732" s="19" t="n">
        <v>33.9204743080385</v>
      </c>
      <c r="G732" s="19" t="n">
        <v>33.6794135378687</v>
      </c>
      <c r="H732" s="19" t="n">
        <v>6.95580655800343</v>
      </c>
      <c r="I732" s="19" t="n">
        <v>1596</v>
      </c>
      <c r="J732" s="19" t="n">
        <v>1581</v>
      </c>
      <c r="K732" s="19" t="n">
        <v>6.97063464787663</v>
      </c>
    </row>
    <row r="733">
      <c r="A733" s="19" t="n">
        <v>107</v>
      </c>
      <c r="B733" s="19" t="inlineStr">
        <is>
          <t>Badpants</t>
        </is>
      </c>
      <c r="C733" s="19" t="inlineStr">
        <is>
          <t>Town</t>
        </is>
      </c>
      <c r="D733" s="19" t="inlineStr">
        <is>
          <t>Loss</t>
        </is>
      </c>
      <c r="E733" s="19" t="n">
        <v>-15</v>
      </c>
      <c r="F733" s="19" t="n">
        <v>25.2973496893504</v>
      </c>
      <c r="G733" s="19" t="n">
        <v>25.053046078624</v>
      </c>
      <c r="H733" s="19" t="n">
        <v>7.00214768777006</v>
      </c>
      <c r="I733" s="19" t="n">
        <v>1004</v>
      </c>
      <c r="J733" s="19" t="n">
        <v>989</v>
      </c>
      <c r="K733" s="19" t="n">
        <v>7.01745008874774</v>
      </c>
    </row>
    <row r="734">
      <c r="A734" s="19" t="n">
        <v>107</v>
      </c>
      <c r="B734" s="19" t="inlineStr">
        <is>
          <t>Noah</t>
        </is>
      </c>
      <c r="C734" s="19" t="inlineStr">
        <is>
          <t>Town</t>
        </is>
      </c>
      <c r="D734" s="19" t="inlineStr">
        <is>
          <t>Loss</t>
        </is>
      </c>
      <c r="E734" s="19" t="n">
        <v>-15</v>
      </c>
      <c r="F734" s="19" t="n">
        <v>32.7749271305145</v>
      </c>
      <c r="G734" s="19" t="n">
        <v>32.5378829734426</v>
      </c>
      <c r="H734" s="19" t="n">
        <v>6.89796561129628</v>
      </c>
      <c r="I734" s="19" t="n">
        <v>1524</v>
      </c>
      <c r="J734" s="19" t="n">
        <v>1509</v>
      </c>
      <c r="K734" s="19" t="n">
        <v>6.91220902609857</v>
      </c>
    </row>
    <row r="735">
      <c r="A735" s="19" t="n">
        <v>107</v>
      </c>
      <c r="B735" s="19" t="inlineStr">
        <is>
          <t>Vert</t>
        </is>
      </c>
      <c r="C735" s="19" t="inlineStr">
        <is>
          <t>Town</t>
        </is>
      </c>
      <c r="D735" s="19" t="inlineStr">
        <is>
          <t>Loss</t>
        </is>
      </c>
      <c r="E735" s="19" t="n">
        <v>-20</v>
      </c>
      <c r="F735" s="19" t="n">
        <v>26.4730190483417</v>
      </c>
      <c r="G735" s="19" t="n">
        <v>26.1348405738553</v>
      </c>
      <c r="H735" s="19" t="n">
        <v>8.228495316274801</v>
      </c>
      <c r="I735" s="19" t="n">
        <v>958</v>
      </c>
      <c r="J735" s="19" t="n">
        <v>938</v>
      </c>
      <c r="K735" s="19" t="n">
        <v>8.25843027485851</v>
      </c>
    </row>
    <row r="736">
      <c r="A736" s="19" t="n">
        <v>107</v>
      </c>
      <c r="B736" s="19" t="inlineStr">
        <is>
          <t>Aipha</t>
        </is>
      </c>
      <c r="C736" s="19" t="inlineStr">
        <is>
          <t>Town</t>
        </is>
      </c>
      <c r="D736" s="19" t="inlineStr">
        <is>
          <t>Loss</t>
        </is>
      </c>
      <c r="E736" s="19" t="n">
        <v>-18</v>
      </c>
      <c r="F736" s="19" t="n">
        <v>25.9616284532288</v>
      </c>
      <c r="G736" s="19" t="n">
        <v>25.660595193869</v>
      </c>
      <c r="H736" s="19" t="n">
        <v>7.76712239086529</v>
      </c>
      <c r="I736" s="19" t="n">
        <v>971</v>
      </c>
      <c r="J736" s="19" t="n">
        <v>953</v>
      </c>
      <c r="K736" s="19" t="n">
        <v>7.79105742541496</v>
      </c>
    </row>
    <row r="737">
      <c r="A737" s="19" t="n">
        <v>107</v>
      </c>
      <c r="B737" s="19" t="inlineStr">
        <is>
          <t>Smit</t>
        </is>
      </c>
      <c r="C737" s="19" t="inlineStr">
        <is>
          <t>Town</t>
        </is>
      </c>
      <c r="D737" s="19" t="inlineStr">
        <is>
          <t>Loss</t>
        </is>
      </c>
      <c r="E737" s="19" t="n">
        <v>-15</v>
      </c>
      <c r="F737" s="19" t="n">
        <v>26.2113871891975</v>
      </c>
      <c r="G737" s="19" t="n">
        <v>25.9627088841332</v>
      </c>
      <c r="H737" s="19" t="n">
        <v>7.06416964390076</v>
      </c>
      <c r="I737" s="19" t="n">
        <v>1060</v>
      </c>
      <c r="J737" s="19" t="n">
        <v>1045</v>
      </c>
      <c r="K737" s="19" t="n">
        <v>7.08011513688177</v>
      </c>
    </row>
    <row r="738">
      <c r="A738" s="19" t="n">
        <v>107</v>
      </c>
      <c r="B738" s="19" t="inlineStr">
        <is>
          <t>Lovekilling</t>
        </is>
      </c>
      <c r="C738" s="19" t="inlineStr">
        <is>
          <t>Town</t>
        </is>
      </c>
      <c r="D738" s="19" t="inlineStr">
        <is>
          <t>Loss</t>
        </is>
      </c>
      <c r="E738" s="19" t="n">
        <v>-18</v>
      </c>
      <c r="F738" s="19" t="n">
        <v>23.5519211384049</v>
      </c>
      <c r="G738" s="19" t="n">
        <v>23.2541034122006</v>
      </c>
      <c r="H738" s="19" t="n">
        <v>7.72584439776206</v>
      </c>
      <c r="I738" s="19" t="n">
        <v>811</v>
      </c>
      <c r="J738" s="19" t="n">
        <v>793</v>
      </c>
      <c r="K738" s="19" t="n">
        <v>7.74927299180517</v>
      </c>
    </row>
    <row r="739">
      <c r="A739" s="19" t="n">
        <v>107</v>
      </c>
      <c r="B739" s="19" t="inlineStr">
        <is>
          <t>Strik3r</t>
        </is>
      </c>
      <c r="C739" s="19" t="inlineStr">
        <is>
          <t>Town</t>
        </is>
      </c>
      <c r="D739" s="19" t="inlineStr">
        <is>
          <t>Loss</t>
        </is>
      </c>
      <c r="E739" s="19" t="n">
        <v>-17</v>
      </c>
      <c r="F739" s="19" t="n">
        <v>27.7774879543191</v>
      </c>
      <c r="G739" s="19" t="n">
        <v>27.4810836304563</v>
      </c>
      <c r="H739" s="19" t="n">
        <v>7.70762836113201</v>
      </c>
      <c r="I739" s="19" t="n">
        <v>1100</v>
      </c>
      <c r="J739" s="19" t="n">
        <v>1083</v>
      </c>
      <c r="K739" s="19" t="n">
        <v>7.73083500089447</v>
      </c>
    </row>
    <row r="740">
      <c r="A740" s="19" t="n">
        <v>107</v>
      </c>
      <c r="B740" s="19" t="inlineStr">
        <is>
          <t>Kden</t>
        </is>
      </c>
      <c r="C740" s="19" t="inlineStr">
        <is>
          <t>Town</t>
        </is>
      </c>
      <c r="D740" s="19" t="inlineStr">
        <is>
          <t>Loss</t>
        </is>
      </c>
      <c r="E740" s="19" t="n">
        <v>-16</v>
      </c>
      <c r="F740" s="19" t="n">
        <v>28.3934945424123</v>
      </c>
      <c r="G740" s="19" t="n">
        <v>28.1330382746739</v>
      </c>
      <c r="H740" s="19" t="n">
        <v>7.22843928116933</v>
      </c>
      <c r="I740" s="19" t="n">
        <v>1192</v>
      </c>
      <c r="J740" s="19" t="n">
        <v>1176</v>
      </c>
      <c r="K740" s="19" t="n">
        <v>7.24613476143319</v>
      </c>
    </row>
    <row r="741">
      <c r="A741" s="19" t="n">
        <v>107</v>
      </c>
      <c r="B741" s="19" t="inlineStr">
        <is>
          <t>Gilbert</t>
        </is>
      </c>
      <c r="C741" s="19" t="inlineStr">
        <is>
          <t>Mafia</t>
        </is>
      </c>
      <c r="D741" s="19" t="inlineStr">
        <is>
          <t>Win</t>
        </is>
      </c>
      <c r="E741" s="19" t="n">
        <v>24</v>
      </c>
      <c r="F741" s="19" t="n">
        <v>24.9644230020072</v>
      </c>
      <c r="G741" s="19" t="n">
        <v>25.2813234649405</v>
      </c>
      <c r="H741" s="19" t="n">
        <v>7.9675831067298</v>
      </c>
      <c r="I741" s="19" t="n">
        <v>882</v>
      </c>
      <c r="J741" s="19" t="n">
        <v>906</v>
      </c>
      <c r="K741" s="19" t="n">
        <v>7.99404745094464</v>
      </c>
    </row>
    <row r="742">
      <c r="A742" s="19" t="n">
        <v>107</v>
      </c>
      <c r="B742" s="19" t="inlineStr">
        <is>
          <t>Laur</t>
        </is>
      </c>
      <c r="C742" s="19" t="inlineStr">
        <is>
          <t>Mafia</t>
        </is>
      </c>
      <c r="D742" s="19" t="inlineStr">
        <is>
          <t>Win</t>
        </is>
      </c>
      <c r="E742" s="19" t="n">
        <v>20</v>
      </c>
      <c r="F742" s="19" t="n">
        <v>37.5465812160765</v>
      </c>
      <c r="G742" s="19" t="n">
        <v>37.8040215546592</v>
      </c>
      <c r="H742" s="19" t="n">
        <v>7.18674252844041</v>
      </c>
      <c r="I742" s="19" t="n">
        <v>1818</v>
      </c>
      <c r="J742" s="19" t="n">
        <v>1838</v>
      </c>
      <c r="K742" s="19" t="n">
        <v>7.203987302498</v>
      </c>
    </row>
    <row r="743">
      <c r="A743" s="19" t="n">
        <v>107</v>
      </c>
      <c r="B743" s="19" t="inlineStr">
        <is>
          <t>Brownkow</t>
        </is>
      </c>
      <c r="C743" s="19" t="inlineStr">
        <is>
          <t>Mafia</t>
        </is>
      </c>
      <c r="D743" s="19" t="inlineStr">
        <is>
          <t>Win</t>
        </is>
      </c>
      <c r="E743" s="19" t="n">
        <v>16</v>
      </c>
      <c r="F743" s="19" t="n">
        <v>32.0995145141319</v>
      </c>
      <c r="G743" s="19" t="n">
        <v>32.3272890226922</v>
      </c>
      <c r="H743" s="19" t="n">
        <v>6.76254419700748</v>
      </c>
      <c r="I743" s="19" t="n">
        <v>1492</v>
      </c>
      <c r="J743" s="19" t="n">
        <v>1508</v>
      </c>
      <c r="K743" s="19" t="n">
        <v>6.77545004273566</v>
      </c>
    </row>
    <row r="744">
      <c r="A744" s="19" t="n">
        <v>106</v>
      </c>
      <c r="B744" s="19" t="inlineStr">
        <is>
          <t>Aipha</t>
        </is>
      </c>
      <c r="C744" s="19" t="inlineStr">
        <is>
          <t>Town</t>
        </is>
      </c>
      <c r="D744" s="19" t="inlineStr">
        <is>
          <t>Win</t>
        </is>
      </c>
      <c r="E744" s="19" t="n">
        <v>91</v>
      </c>
      <c r="F744" s="19" t="n">
        <v>24.7200642929349</v>
      </c>
      <c r="G744" s="19" t="n">
        <v>25.9616284532288</v>
      </c>
      <c r="H744" s="19" t="n">
        <v>7.79105742541496</v>
      </c>
      <c r="I744" s="19" t="n">
        <v>880</v>
      </c>
      <c r="J744" s="19" t="n">
        <v>971</v>
      </c>
      <c r="K744" s="19" t="n">
        <v>7.85364345612335</v>
      </c>
    </row>
    <row r="745">
      <c r="A745" s="19" t="n">
        <v>106</v>
      </c>
      <c r="B745" s="19" t="inlineStr">
        <is>
          <t>Laur</t>
        </is>
      </c>
      <c r="C745" s="19" t="inlineStr">
        <is>
          <t>Town</t>
        </is>
      </c>
      <c r="D745" s="19" t="inlineStr">
        <is>
          <t>Win</t>
        </is>
      </c>
      <c r="E745" s="19" t="n">
        <v>76</v>
      </c>
      <c r="F745" s="19" t="n">
        <v>36.4878214742018</v>
      </c>
      <c r="G745" s="19" t="n">
        <v>37.5465812160765</v>
      </c>
      <c r="H745" s="19" t="n">
        <v>7.203987302498</v>
      </c>
      <c r="I745" s="19" t="n">
        <v>1742</v>
      </c>
      <c r="J745" s="19" t="n">
        <v>1818</v>
      </c>
      <c r="K745" s="19" t="n">
        <v>7.25154577870965</v>
      </c>
    </row>
    <row r="746">
      <c r="A746" s="19" t="n">
        <v>106</v>
      </c>
      <c r="B746" s="19" t="inlineStr">
        <is>
          <t>Whyin</t>
        </is>
      </c>
      <c r="C746" s="19" t="inlineStr">
        <is>
          <t>Town</t>
        </is>
      </c>
      <c r="D746" s="19" t="inlineStr">
        <is>
          <t>Win</t>
        </is>
      </c>
      <c r="E746" s="19" t="n">
        <v>77</v>
      </c>
      <c r="F746" s="19" t="n">
        <v>30.1186809064339</v>
      </c>
      <c r="G746" s="19" t="n">
        <v>31.1717758020445</v>
      </c>
      <c r="H746" s="19" t="n">
        <v>7.18497709181729</v>
      </c>
      <c r="I746" s="19" t="n">
        <v>1310</v>
      </c>
      <c r="J746" s="19" t="n">
        <v>1387</v>
      </c>
      <c r="K746" s="19" t="n">
        <v>7.23208693369884</v>
      </c>
    </row>
    <row r="747">
      <c r="A747" s="19" t="n">
        <v>106</v>
      </c>
      <c r="B747" s="19" t="inlineStr">
        <is>
          <t>Cj</t>
        </is>
      </c>
      <c r="C747" s="19" t="inlineStr">
        <is>
          <t>Town</t>
        </is>
      </c>
      <c r="D747" s="19" t="inlineStr">
        <is>
          <t>Win</t>
        </is>
      </c>
      <c r="E747" s="19" t="n">
        <v>94</v>
      </c>
      <c r="F747" s="19" t="n">
        <v>26.0568870058605</v>
      </c>
      <c r="G747" s="19" t="n">
        <v>27.3428982976127</v>
      </c>
      <c r="H747" s="19" t="n">
        <v>7.92678809167778</v>
      </c>
      <c r="I747" s="19" t="n">
        <v>957</v>
      </c>
      <c r="J747" s="19" t="n">
        <v>1051</v>
      </c>
      <c r="K747" s="19" t="n">
        <v>7.99318636672037</v>
      </c>
    </row>
    <row r="748">
      <c r="A748" s="19" t="n">
        <v>106</v>
      </c>
      <c r="B748" s="19" t="inlineStr">
        <is>
          <t>Lovekilling</t>
        </is>
      </c>
      <c r="C748" s="19" t="inlineStr">
        <is>
          <t>Town</t>
        </is>
      </c>
      <c r="D748" s="19" t="inlineStr">
        <is>
          <t>Win</t>
        </is>
      </c>
      <c r="E748" s="19" t="n">
        <v>90</v>
      </c>
      <c r="F748" s="19" t="n">
        <v>22.3238740898036</v>
      </c>
      <c r="G748" s="19" t="n">
        <v>23.5519211384049</v>
      </c>
      <c r="H748" s="19" t="n">
        <v>7.74927299180517</v>
      </c>
      <c r="I748" s="19" t="n">
        <v>721</v>
      </c>
      <c r="J748" s="19" t="n">
        <v>811</v>
      </c>
      <c r="K748" s="19" t="n">
        <v>7.81071178313819</v>
      </c>
    </row>
    <row r="749">
      <c r="A749" s="19" t="n">
        <v>106</v>
      </c>
      <c r="B749" s="19" t="inlineStr">
        <is>
          <t>Badpants</t>
        </is>
      </c>
      <c r="C749" s="19" t="inlineStr">
        <is>
          <t>Town</t>
        </is>
      </c>
      <c r="D749" s="19" t="inlineStr">
        <is>
          <t>Win</t>
        </is>
      </c>
      <c r="E749" s="19" t="n">
        <v>72</v>
      </c>
      <c r="F749" s="19" t="n">
        <v>24.2934901078957</v>
      </c>
      <c r="G749" s="19" t="n">
        <v>25.2973496893504</v>
      </c>
      <c r="H749" s="19" t="n">
        <v>7.01745008874774</v>
      </c>
      <c r="I749" s="19" t="n">
        <v>932</v>
      </c>
      <c r="J749" s="19" t="n">
        <v>1004</v>
      </c>
      <c r="K749" s="19" t="n">
        <v>7.06070458581951</v>
      </c>
    </row>
    <row r="750">
      <c r="A750" s="19" t="n">
        <v>106</v>
      </c>
      <c r="B750" s="19" t="inlineStr">
        <is>
          <t>Motr</t>
        </is>
      </c>
      <c r="C750" s="19" t="inlineStr">
        <is>
          <t>Town</t>
        </is>
      </c>
      <c r="D750" s="19" t="inlineStr">
        <is>
          <t>Win</t>
        </is>
      </c>
      <c r="E750" s="19" t="n">
        <v>91</v>
      </c>
      <c r="F750" s="19" t="n">
        <v>26.015461778287</v>
      </c>
      <c r="G750" s="19" t="n">
        <v>27.2574052234926</v>
      </c>
      <c r="H750" s="19" t="n">
        <v>7.79222641409953</v>
      </c>
      <c r="I750" s="19" t="n">
        <v>968</v>
      </c>
      <c r="J750" s="19" t="n">
        <v>1059</v>
      </c>
      <c r="K750" s="19" t="n">
        <v>7.85484471776827</v>
      </c>
    </row>
    <row r="751">
      <c r="A751" s="19" t="n">
        <v>106</v>
      </c>
      <c r="B751" s="19" t="inlineStr">
        <is>
          <t>Noah</t>
        </is>
      </c>
      <c r="C751" s="19" t="inlineStr">
        <is>
          <t>Town</t>
        </is>
      </c>
      <c r="D751" s="19" t="inlineStr">
        <is>
          <t>Win</t>
        </is>
      </c>
      <c r="E751" s="19" t="n">
        <v>71</v>
      </c>
      <c r="F751" s="19" t="n">
        <v>31.8013687298984</v>
      </c>
      <c r="G751" s="19" t="n">
        <v>32.7749271305145</v>
      </c>
      <c r="H751" s="19" t="n">
        <v>6.91220902609857</v>
      </c>
      <c r="I751" s="19" t="n">
        <v>1453</v>
      </c>
      <c r="J751" s="19" t="n">
        <v>1524</v>
      </c>
      <c r="K751" s="19" t="n">
        <v>6.95313017035256</v>
      </c>
    </row>
    <row r="752">
      <c r="A752" s="19" t="n">
        <v>106</v>
      </c>
      <c r="B752" s="19" t="inlineStr">
        <is>
          <t>Iln</t>
        </is>
      </c>
      <c r="C752" s="19" t="inlineStr">
        <is>
          <t>Town</t>
        </is>
      </c>
      <c r="D752" s="19" t="inlineStr">
        <is>
          <t>Win</t>
        </is>
      </c>
      <c r="E752" s="19" t="n">
        <v>76</v>
      </c>
      <c r="F752" s="19" t="n">
        <v>26.1933370600096</v>
      </c>
      <c r="G752" s="19" t="n">
        <v>27.2331257448254</v>
      </c>
      <c r="H752" s="19" t="n">
        <v>7.14011250016973</v>
      </c>
      <c r="I752" s="19" t="n">
        <v>1048</v>
      </c>
      <c r="J752" s="19" t="n">
        <v>1124</v>
      </c>
      <c r="K752" s="19" t="n">
        <v>7.18617263096945</v>
      </c>
    </row>
    <row r="753">
      <c r="A753" s="19" t="n">
        <v>106</v>
      </c>
      <c r="B753" s="19" t="inlineStr">
        <is>
          <t>Carson</t>
        </is>
      </c>
      <c r="C753" s="19" t="inlineStr">
        <is>
          <t>Town</t>
        </is>
      </c>
      <c r="D753" s="19" t="inlineStr">
        <is>
          <t>Win</t>
        </is>
      </c>
      <c r="E753" s="19" t="n">
        <v>72</v>
      </c>
      <c r="F753" s="19" t="n">
        <v>32.9301536953872</v>
      </c>
      <c r="G753" s="19" t="n">
        <v>33.9204743080385</v>
      </c>
      <c r="H753" s="19" t="n">
        <v>6.97063464787663</v>
      </c>
      <c r="I753" s="19" t="n">
        <v>1524</v>
      </c>
      <c r="J753" s="19" t="n">
        <v>1596</v>
      </c>
      <c r="K753" s="19" t="n">
        <v>7.01284285057578</v>
      </c>
    </row>
    <row r="754">
      <c r="A754" s="19" t="n">
        <v>106</v>
      </c>
      <c r="B754" s="19" t="inlineStr">
        <is>
          <t>Rocker</t>
        </is>
      </c>
      <c r="C754" s="19" t="inlineStr">
        <is>
          <t>Mafia</t>
        </is>
      </c>
      <c r="D754" s="19" t="inlineStr">
        <is>
          <t>Loss</t>
        </is>
      </c>
      <c r="E754" s="19" t="n">
        <v>-59</v>
      </c>
      <c r="F754" s="19" t="n">
        <v>32.6729000589901</v>
      </c>
      <c r="G754" s="19" t="n">
        <v>31.7540690385849</v>
      </c>
      <c r="H754" s="19" t="n">
        <v>6.71771491408632</v>
      </c>
      <c r="I754" s="19" t="n">
        <v>1533</v>
      </c>
      <c r="J754" s="19" t="n">
        <v>1474</v>
      </c>
      <c r="K754" s="19" t="n">
        <v>6.75449837611689</v>
      </c>
    </row>
    <row r="755">
      <c r="A755" s="19" t="n">
        <v>106</v>
      </c>
      <c r="B755" s="19" t="inlineStr">
        <is>
          <t>Kwix</t>
        </is>
      </c>
      <c r="C755" s="19" t="inlineStr">
        <is>
          <t>Mafia</t>
        </is>
      </c>
      <c r="D755" s="19" t="inlineStr">
        <is>
          <t>Loss</t>
        </is>
      </c>
      <c r="E755" s="19" t="n">
        <v>-66</v>
      </c>
      <c r="F755" s="19" t="n">
        <v>27.8639752555552</v>
      </c>
      <c r="G755" s="19" t="n">
        <v>26.8203260945177</v>
      </c>
      <c r="H755" s="19" t="n">
        <v>7.15315962416583</v>
      </c>
      <c r="I755" s="19" t="n">
        <v>1160</v>
      </c>
      <c r="J755" s="19" t="n">
        <v>1094</v>
      </c>
      <c r="K755" s="19" t="n">
        <v>7.19952371184639</v>
      </c>
    </row>
    <row r="756">
      <c r="A756" s="19" t="n">
        <v>106</v>
      </c>
      <c r="B756" s="19" t="inlineStr">
        <is>
          <t>Plen</t>
        </is>
      </c>
      <c r="C756" s="19" t="inlineStr">
        <is>
          <t>Mafia</t>
        </is>
      </c>
      <c r="D756" s="19" t="inlineStr">
        <is>
          <t>Loss</t>
        </is>
      </c>
      <c r="E756" s="19" t="n">
        <v>-61</v>
      </c>
      <c r="F756" s="19" t="n">
        <v>23.3474089626705</v>
      </c>
      <c r="G756" s="19" t="n">
        <v>22.3872455741463</v>
      </c>
      <c r="H756" s="19" t="n">
        <v>6.86514213504678</v>
      </c>
      <c r="I756" s="19" t="n">
        <v>883</v>
      </c>
      <c r="J756" s="19" t="n">
        <v>822</v>
      </c>
      <c r="K756" s="19" t="n">
        <v>6.90504140690387</v>
      </c>
    </row>
    <row r="757">
      <c r="A757" s="19" t="n">
        <v>105</v>
      </c>
      <c r="B757" s="19" t="inlineStr">
        <is>
          <t>Noah</t>
        </is>
      </c>
      <c r="C757" s="19" t="inlineStr">
        <is>
          <t>Town</t>
        </is>
      </c>
      <c r="D757" s="19" t="inlineStr">
        <is>
          <t>Win</t>
        </is>
      </c>
      <c r="E757" s="19" t="n">
        <v>75</v>
      </c>
      <c r="F757" s="19" t="n">
        <v>30.7631807929307</v>
      </c>
      <c r="G757" s="19" t="n">
        <v>31.8013687298984</v>
      </c>
      <c r="H757" s="19" t="n">
        <v>6.95313017035256</v>
      </c>
      <c r="I757" s="19" t="n">
        <v>1378</v>
      </c>
      <c r="J757" s="19" t="n">
        <v>1453</v>
      </c>
      <c r="K757" s="19" t="n">
        <v>6.99414544735045</v>
      </c>
    </row>
    <row r="758">
      <c r="A758" s="19" t="n">
        <v>105</v>
      </c>
      <c r="B758" s="19" t="inlineStr">
        <is>
          <t>Lou</t>
        </is>
      </c>
      <c r="C758" s="19" t="inlineStr">
        <is>
          <t>Town</t>
        </is>
      </c>
      <c r="D758" s="19" t="inlineStr">
        <is>
          <t>Win</t>
        </is>
      </c>
      <c r="E758" s="19" t="n">
        <v>76</v>
      </c>
      <c r="F758" s="19" t="n">
        <v>28.4929831328102</v>
      </c>
      <c r="G758" s="19" t="n">
        <v>29.5482185967066</v>
      </c>
      <c r="H758" s="19" t="n">
        <v>7.00919635190398</v>
      </c>
      <c r="I758" s="19" t="n">
        <v>1218</v>
      </c>
      <c r="J758" s="19" t="n">
        <v>1294</v>
      </c>
      <c r="K758" s="19" t="n">
        <v>7.05143997796945</v>
      </c>
    </row>
    <row r="759">
      <c r="A759" s="19" t="n">
        <v>105</v>
      </c>
      <c r="B759" s="19" t="inlineStr">
        <is>
          <t>Mintt</t>
        </is>
      </c>
      <c r="C759" s="19" t="inlineStr">
        <is>
          <t>Town</t>
        </is>
      </c>
      <c r="D759" s="19" t="inlineStr">
        <is>
          <t>Win</t>
        </is>
      </c>
      <c r="E759" s="19" t="n">
        <v>83</v>
      </c>
      <c r="F759" s="19" t="n">
        <v>27.8504378280324</v>
      </c>
      <c r="G759" s="19" t="n">
        <v>28.9965323193939</v>
      </c>
      <c r="H759" s="19" t="n">
        <v>7.30034346095458</v>
      </c>
      <c r="I759" s="19" t="n">
        <v>1144</v>
      </c>
      <c r="J759" s="19" t="n">
        <v>1227</v>
      </c>
      <c r="K759" s="19" t="n">
        <v>7.34927492658728</v>
      </c>
    </row>
    <row r="760">
      <c r="A760" s="19" t="n">
        <v>105</v>
      </c>
      <c r="B760" s="19" t="inlineStr">
        <is>
          <t>Carson</t>
        </is>
      </c>
      <c r="C760" s="19" t="inlineStr">
        <is>
          <t>Town</t>
        </is>
      </c>
      <c r="D760" s="19" t="inlineStr">
        <is>
          <t>Win</t>
        </is>
      </c>
      <c r="E760" s="19" t="n">
        <v>76</v>
      </c>
      <c r="F760" s="19" t="n">
        <v>31.8738044618632</v>
      </c>
      <c r="G760" s="19" t="n">
        <v>32.9301536953872</v>
      </c>
      <c r="H760" s="19" t="n">
        <v>7.01284285057578</v>
      </c>
      <c r="I760" s="19" t="n">
        <v>1448</v>
      </c>
      <c r="J760" s="19" t="n">
        <v>1524</v>
      </c>
      <c r="K760" s="19" t="n">
        <v>7.05516702119288</v>
      </c>
    </row>
    <row r="761">
      <c r="A761" s="19" t="n">
        <v>105</v>
      </c>
      <c r="B761" s="19" t="inlineStr">
        <is>
          <t>Streety</t>
        </is>
      </c>
      <c r="C761" s="19" t="inlineStr">
        <is>
          <t>Town</t>
        </is>
      </c>
      <c r="D761" s="19" t="inlineStr">
        <is>
          <t>Win</t>
        </is>
      </c>
      <c r="E761" s="19" t="n">
        <v>84</v>
      </c>
      <c r="F761" s="19" t="n">
        <v>29.187484854017</v>
      </c>
      <c r="G761" s="19" t="n">
        <v>30.3457370109036</v>
      </c>
      <c r="H761" s="19" t="n">
        <v>7.3383726906919</v>
      </c>
      <c r="I761" s="19" t="n">
        <v>1231</v>
      </c>
      <c r="J761" s="19" t="n">
        <v>1315</v>
      </c>
      <c r="K761" s="19" t="n">
        <v>7.38821692541257</v>
      </c>
    </row>
    <row r="762">
      <c r="A762" s="19" t="n">
        <v>105</v>
      </c>
      <c r="B762" s="19" t="inlineStr">
        <is>
          <t>Vert</t>
        </is>
      </c>
      <c r="C762" s="19" t="inlineStr">
        <is>
          <t>Town</t>
        </is>
      </c>
      <c r="D762" s="19" t="inlineStr">
        <is>
          <t>Win</t>
        </is>
      </c>
      <c r="E762" s="19" t="n">
        <v>108</v>
      </c>
      <c r="F762" s="19" t="n">
        <v>25</v>
      </c>
      <c r="G762" s="19" t="n">
        <v>26.4730190483417</v>
      </c>
      <c r="H762" s="19" t="n">
        <v>8.25843027485851</v>
      </c>
      <c r="I762" s="19" t="n">
        <v>850</v>
      </c>
      <c r="J762" s="19" t="n">
        <v>958</v>
      </c>
      <c r="K762" s="19" t="n">
        <v>8.33333333333333</v>
      </c>
    </row>
    <row r="763">
      <c r="A763" s="19" t="n">
        <v>105</v>
      </c>
      <c r="B763" s="19" t="inlineStr">
        <is>
          <t>Plen</t>
        </is>
      </c>
      <c r="C763" s="19" t="inlineStr">
        <is>
          <t>Town</t>
        </is>
      </c>
      <c r="D763" s="19" t="inlineStr">
        <is>
          <t>Win</t>
        </is>
      </c>
      <c r="E763" s="19" t="n">
        <v>73</v>
      </c>
      <c r="F763" s="19" t="n">
        <v>22.3237277343649</v>
      </c>
      <c r="G763" s="19" t="n">
        <v>23.3474089626705</v>
      </c>
      <c r="H763" s="19" t="n">
        <v>6.90504140690387</v>
      </c>
      <c r="I763" s="19" t="n">
        <v>810</v>
      </c>
      <c r="J763" s="19" t="n">
        <v>883</v>
      </c>
      <c r="K763" s="19" t="n">
        <v>6.94501804473266</v>
      </c>
    </row>
    <row r="764">
      <c r="A764" s="19" t="n">
        <v>105</v>
      </c>
      <c r="B764" s="19" t="inlineStr">
        <is>
          <t>Svaan</t>
        </is>
      </c>
      <c r="C764" s="19" t="inlineStr">
        <is>
          <t>Town</t>
        </is>
      </c>
      <c r="D764" s="19" t="inlineStr">
        <is>
          <t>Win</t>
        </is>
      </c>
      <c r="E764" s="19" t="n">
        <v>93</v>
      </c>
      <c r="F764" s="19" t="n">
        <v>27.2465047767679</v>
      </c>
      <c r="G764" s="19" t="n">
        <v>28.5276521785124</v>
      </c>
      <c r="H764" s="19" t="n">
        <v>7.71160736269896</v>
      </c>
      <c r="I764" s="19" t="n">
        <v>1060</v>
      </c>
      <c r="J764" s="19" t="n">
        <v>1153</v>
      </c>
      <c r="K764" s="19" t="n">
        <v>7.77091164424637</v>
      </c>
    </row>
    <row r="765">
      <c r="A765" s="19" t="n">
        <v>105</v>
      </c>
      <c r="B765" s="19" t="inlineStr">
        <is>
          <t>Chester</t>
        </is>
      </c>
      <c r="C765" s="19" t="inlineStr">
        <is>
          <t>Town</t>
        </is>
      </c>
      <c r="D765" s="19" t="inlineStr">
        <is>
          <t>Win</t>
        </is>
      </c>
      <c r="E765" s="19" t="n">
        <v>95</v>
      </c>
      <c r="F765" s="19" t="n">
        <v>29.656262029216</v>
      </c>
      <c r="G765" s="19" t="n">
        <v>30.9648613793266</v>
      </c>
      <c r="H765" s="19" t="n">
        <v>7.79237444295228</v>
      </c>
      <c r="I765" s="19" t="n">
        <v>1216</v>
      </c>
      <c r="J765" s="19" t="n">
        <v>1311</v>
      </c>
      <c r="K765" s="19" t="n">
        <v>7.85384923585063</v>
      </c>
    </row>
    <row r="766">
      <c r="A766" s="19" t="n">
        <v>105</v>
      </c>
      <c r="B766" s="19" t="inlineStr">
        <is>
          <t>Whyin</t>
        </is>
      </c>
      <c r="C766" s="19" t="inlineStr">
        <is>
          <t>Town</t>
        </is>
      </c>
      <c r="D766" s="19" t="inlineStr">
        <is>
          <t>Win</t>
        </is>
      </c>
      <c r="E766" s="19" t="n">
        <v>81</v>
      </c>
      <c r="F766" s="19" t="n">
        <v>28.9942392709132</v>
      </c>
      <c r="G766" s="19" t="n">
        <v>30.1186809064339</v>
      </c>
      <c r="H766" s="19" t="n">
        <v>7.23208693369884</v>
      </c>
      <c r="I766" s="19" t="n">
        <v>1229</v>
      </c>
      <c r="J766" s="19" t="n">
        <v>1310</v>
      </c>
      <c r="K766" s="19" t="n">
        <v>7.2794031593856</v>
      </c>
    </row>
    <row r="767">
      <c r="A767" s="19" t="n">
        <v>105</v>
      </c>
      <c r="B767" s="19" t="inlineStr">
        <is>
          <t>Motr</t>
        </is>
      </c>
      <c r="C767" s="19" t="inlineStr">
        <is>
          <t>Mafia</t>
        </is>
      </c>
      <c r="D767" s="19" t="inlineStr">
        <is>
          <t>Loss</t>
        </is>
      </c>
      <c r="E767" s="19" t="n">
        <v>-84</v>
      </c>
      <c r="F767" s="19" t="n">
        <v>27.3455044551673</v>
      </c>
      <c r="G767" s="19" t="n">
        <v>26.015461778287</v>
      </c>
      <c r="H767" s="19" t="n">
        <v>7.85484471776827</v>
      </c>
      <c r="I767" s="19" t="n">
        <v>1052</v>
      </c>
      <c r="J767" s="19" t="n">
        <v>968</v>
      </c>
      <c r="K767" s="19" t="n">
        <v>7.91802933227837</v>
      </c>
    </row>
    <row r="768">
      <c r="A768" s="19" t="n">
        <v>105</v>
      </c>
      <c r="B768" s="19" t="inlineStr">
        <is>
          <t>Maz</t>
        </is>
      </c>
      <c r="C768" s="19" t="inlineStr">
        <is>
          <t>Mafia</t>
        </is>
      </c>
      <c r="D768" s="19" t="inlineStr">
        <is>
          <t>Loss</t>
        </is>
      </c>
      <c r="E768" s="19" t="n">
        <v>-87</v>
      </c>
      <c r="F768" s="19" t="n">
        <v>24.7892788748503</v>
      </c>
      <c r="G768" s="19" t="n">
        <v>23.4002127742023</v>
      </c>
      <c r="H768" s="19" t="n">
        <v>8.02410300775955</v>
      </c>
      <c r="I768" s="19" t="n">
        <v>860</v>
      </c>
      <c r="J768" s="19" t="n">
        <v>773</v>
      </c>
      <c r="K768" s="19" t="n">
        <v>8.092058605627869</v>
      </c>
    </row>
    <row r="769">
      <c r="A769" s="19" t="n">
        <v>105</v>
      </c>
      <c r="B769" s="19" t="inlineStr">
        <is>
          <t>Rollo</t>
        </is>
      </c>
      <c r="C769" s="19" t="inlineStr">
        <is>
          <t>Mafia</t>
        </is>
      </c>
      <c r="D769" s="19" t="inlineStr">
        <is>
          <t>Loss</t>
        </is>
      </c>
      <c r="E769" s="19" t="n">
        <v>-70</v>
      </c>
      <c r="F769" s="19" t="n">
        <v>33.6018512854743</v>
      </c>
      <c r="G769" s="19" t="n">
        <v>32.5050487880584</v>
      </c>
      <c r="H769" s="19" t="n">
        <v>7.14395376251625</v>
      </c>
      <c r="I769" s="19" t="n">
        <v>1552</v>
      </c>
      <c r="J769" s="19" t="n">
        <v>1482</v>
      </c>
      <c r="K769" s="19" t="n">
        <v>7.18922763269666</v>
      </c>
    </row>
    <row r="770">
      <c r="A770" s="19" t="n">
        <v>104</v>
      </c>
      <c r="B770" s="19" t="inlineStr">
        <is>
          <t>Smit</t>
        </is>
      </c>
      <c r="C770" s="19" t="inlineStr">
        <is>
          <t>Town</t>
        </is>
      </c>
      <c r="D770" s="19" t="inlineStr">
        <is>
          <t>Loss</t>
        </is>
      </c>
      <c r="E770" s="19" t="n">
        <v>-54</v>
      </c>
      <c r="F770" s="19" t="n">
        <v>27.062115752949</v>
      </c>
      <c r="G770" s="19" t="n">
        <v>26.2113871891975</v>
      </c>
      <c r="H770" s="19" t="n">
        <v>7.08011513688177</v>
      </c>
      <c r="I770" s="19" t="n">
        <v>1114</v>
      </c>
      <c r="J770" s="19" t="n">
        <v>1060</v>
      </c>
      <c r="K770" s="19" t="n">
        <v>7.11654844665173</v>
      </c>
    </row>
    <row r="771">
      <c r="A771" s="19" t="n">
        <v>104</v>
      </c>
      <c r="B771" s="19" t="inlineStr">
        <is>
          <t>Aipha</t>
        </is>
      </c>
      <c r="C771" s="19" t="inlineStr">
        <is>
          <t>Town</t>
        </is>
      </c>
      <c r="D771" s="19" t="inlineStr">
        <is>
          <t>Loss</t>
        </is>
      </c>
      <c r="E771" s="19" t="n">
        <v>-66</v>
      </c>
      <c r="F771" s="19" t="n">
        <v>25.7698126770745</v>
      </c>
      <c r="G771" s="19" t="n">
        <v>24.7200642929349</v>
      </c>
      <c r="H771" s="19" t="n">
        <v>7.85364345612335</v>
      </c>
      <c r="I771" s="19" t="n">
        <v>946</v>
      </c>
      <c r="J771" s="19" t="n">
        <v>880</v>
      </c>
      <c r="K771" s="19" t="n">
        <v>7.90659797958121</v>
      </c>
    </row>
    <row r="772">
      <c r="A772" s="19" t="n">
        <v>104</v>
      </c>
      <c r="B772" s="19" t="inlineStr">
        <is>
          <t>Rocker</t>
        </is>
      </c>
      <c r="C772" s="19" t="inlineStr">
        <is>
          <t>Town</t>
        </is>
      </c>
      <c r="D772" s="19" t="inlineStr">
        <is>
          <t>Loss</t>
        </is>
      </c>
      <c r="E772" s="19" t="n">
        <v>-49</v>
      </c>
      <c r="F772" s="19" t="n">
        <v>33.4463261249828</v>
      </c>
      <c r="G772" s="19" t="n">
        <v>32.6729000589901</v>
      </c>
      <c r="H772" s="19" t="n">
        <v>6.75449837611689</v>
      </c>
      <c r="I772" s="19" t="n">
        <v>1582</v>
      </c>
      <c r="J772" s="19" t="n">
        <v>1533</v>
      </c>
      <c r="K772" s="19" t="n">
        <v>6.78492002910923</v>
      </c>
    </row>
    <row r="773">
      <c r="A773" s="19" t="n">
        <v>104</v>
      </c>
      <c r="B773" s="19" t="inlineStr">
        <is>
          <t>Strik3r</t>
        </is>
      </c>
      <c r="C773" s="19" t="inlineStr">
        <is>
          <t>Town</t>
        </is>
      </c>
      <c r="D773" s="19" t="inlineStr">
        <is>
          <t>Loss</t>
        </is>
      </c>
      <c r="E773" s="19" t="n">
        <v>-64</v>
      </c>
      <c r="F773" s="19" t="n">
        <v>28.7941830492663</v>
      </c>
      <c r="G773" s="19" t="n">
        <v>27.7774879543191</v>
      </c>
      <c r="H773" s="19" t="n">
        <v>7.73083500089447</v>
      </c>
      <c r="I773" s="19" t="n">
        <v>1164</v>
      </c>
      <c r="J773" s="19" t="n">
        <v>1100</v>
      </c>
      <c r="K773" s="19" t="n">
        <v>7.78094329251975</v>
      </c>
    </row>
    <row r="774">
      <c r="A774" s="19" t="n">
        <v>104</v>
      </c>
      <c r="B774" s="19" t="inlineStr">
        <is>
          <t>Whyin</t>
        </is>
      </c>
      <c r="C774" s="19" t="inlineStr">
        <is>
          <t>Town</t>
        </is>
      </c>
      <c r="D774" s="19" t="inlineStr">
        <is>
          <t>Loss</t>
        </is>
      </c>
      <c r="E774" s="19" t="n">
        <v>-57</v>
      </c>
      <c r="F774" s="19" t="n">
        <v>29.89416414238</v>
      </c>
      <c r="G774" s="19" t="n">
        <v>28.9942392709132</v>
      </c>
      <c r="H774" s="19" t="n">
        <v>7.2794031593856</v>
      </c>
      <c r="I774" s="19" t="n">
        <v>1286</v>
      </c>
      <c r="J774" s="19" t="n">
        <v>1229</v>
      </c>
      <c r="K774" s="19" t="n">
        <v>7.31978161941504</v>
      </c>
    </row>
    <row r="775">
      <c r="A775" s="19" t="n">
        <v>104</v>
      </c>
      <c r="B775" s="19" t="inlineStr">
        <is>
          <t>Motr</t>
        </is>
      </c>
      <c r="C775" s="19" t="inlineStr">
        <is>
          <t>Town</t>
        </is>
      </c>
      <c r="D775" s="19" t="inlineStr">
        <is>
          <t>Loss</t>
        </is>
      </c>
      <c r="E775" s="19" t="n">
        <v>-67</v>
      </c>
      <c r="F775" s="19" t="n">
        <v>28.4128029988644</v>
      </c>
      <c r="G775" s="19" t="n">
        <v>27.3455044551673</v>
      </c>
      <c r="H775" s="19" t="n">
        <v>7.91802933227837</v>
      </c>
      <c r="I775" s="19" t="n">
        <v>1119</v>
      </c>
      <c r="J775" s="19" t="n">
        <v>1052</v>
      </c>
      <c r="K775" s="19" t="n">
        <v>7.97251139561193</v>
      </c>
    </row>
    <row r="776">
      <c r="A776" s="19" t="n">
        <v>104</v>
      </c>
      <c r="B776" s="19" t="inlineStr">
        <is>
          <t>Plen</t>
        </is>
      </c>
      <c r="C776" s="19" t="inlineStr">
        <is>
          <t>Town</t>
        </is>
      </c>
      <c r="D776" s="19" t="inlineStr">
        <is>
          <t>Loss</t>
        </is>
      </c>
      <c r="E776" s="19" t="n">
        <v>-52</v>
      </c>
      <c r="F776" s="19" t="n">
        <v>23.1419211527064</v>
      </c>
      <c r="G776" s="19" t="n">
        <v>22.3237277343649</v>
      </c>
      <c r="H776" s="19" t="n">
        <v>6.94501804473266</v>
      </c>
      <c r="I776" s="19" t="n">
        <v>862</v>
      </c>
      <c r="J776" s="19" t="n">
        <v>810</v>
      </c>
      <c r="K776" s="19" t="n">
        <v>6.97889314044332</v>
      </c>
    </row>
    <row r="777">
      <c r="A777" s="19" t="n">
        <v>104</v>
      </c>
      <c r="B777" s="19" t="inlineStr">
        <is>
          <t>Kwix</t>
        </is>
      </c>
      <c r="C777" s="19" t="inlineStr">
        <is>
          <t>Town</t>
        </is>
      </c>
      <c r="D777" s="19" t="inlineStr">
        <is>
          <t>Loss</t>
        </is>
      </c>
      <c r="E777" s="19" t="n">
        <v>-56</v>
      </c>
      <c r="F777" s="19" t="n">
        <v>28.7440086753637</v>
      </c>
      <c r="G777" s="19" t="n">
        <v>27.8639752555552</v>
      </c>
      <c r="H777" s="19" t="n">
        <v>7.19952371184639</v>
      </c>
      <c r="I777" s="19" t="n">
        <v>1216</v>
      </c>
      <c r="J777" s="19" t="n">
        <v>1160</v>
      </c>
      <c r="K777" s="19" t="n">
        <v>7.23829593060414</v>
      </c>
    </row>
    <row r="778">
      <c r="A778" s="19" t="n">
        <v>104</v>
      </c>
      <c r="B778" s="19" t="inlineStr">
        <is>
          <t>Rollo</t>
        </is>
      </c>
      <c r="C778" s="19" t="inlineStr">
        <is>
          <t>Town</t>
        </is>
      </c>
      <c r="D778" s="19" t="inlineStr">
        <is>
          <t>Loss</t>
        </is>
      </c>
      <c r="E778" s="19" t="n">
        <v>-55</v>
      </c>
      <c r="F778" s="19" t="n">
        <v>34.4793375851163</v>
      </c>
      <c r="G778" s="19" t="n">
        <v>33.6018512854743</v>
      </c>
      <c r="H778" s="19" t="n">
        <v>7.18922763269666</v>
      </c>
      <c r="I778" s="19" t="n">
        <v>1607</v>
      </c>
      <c r="J778" s="19" t="n">
        <v>1552</v>
      </c>
      <c r="K778" s="19" t="n">
        <v>7.22779525778608</v>
      </c>
    </row>
    <row r="779">
      <c r="A779" s="19" t="n">
        <v>104</v>
      </c>
      <c r="B779" s="19" t="inlineStr">
        <is>
          <t>Maz</t>
        </is>
      </c>
      <c r="C779" s="19" t="inlineStr">
        <is>
          <t>Town</t>
        </is>
      </c>
      <c r="D779" s="19" t="inlineStr">
        <is>
          <t>Loss</t>
        </is>
      </c>
      <c r="E779" s="19" t="n">
        <v>-70</v>
      </c>
      <c r="F779" s="19" t="n">
        <v>25.9047769684274</v>
      </c>
      <c r="G779" s="19" t="n">
        <v>24.7892788748503</v>
      </c>
      <c r="H779" s="19" t="n">
        <v>8.092058605627869</v>
      </c>
      <c r="I779" s="19" t="n">
        <v>930</v>
      </c>
      <c r="J779" s="19" t="n">
        <v>860</v>
      </c>
      <c r="K779" s="19" t="n">
        <v>8.15079352234379</v>
      </c>
    </row>
    <row r="780">
      <c r="A780" s="19" t="n">
        <v>104</v>
      </c>
      <c r="B780" s="19" t="inlineStr">
        <is>
          <t>Xcync</t>
        </is>
      </c>
      <c r="C780" s="19" t="inlineStr">
        <is>
          <t>Town</t>
        </is>
      </c>
      <c r="D780" s="19" t="inlineStr">
        <is>
          <t>Loss</t>
        </is>
      </c>
      <c r="E780" s="19" t="n">
        <v>-62</v>
      </c>
      <c r="F780" s="19" t="n">
        <v>31.4909761884041</v>
      </c>
      <c r="G780" s="19" t="n">
        <v>30.4981359926235</v>
      </c>
      <c r="H780" s="19" t="n">
        <v>7.64090212863287</v>
      </c>
      <c r="I780" s="19" t="n">
        <v>1357</v>
      </c>
      <c r="J780" s="19" t="n">
        <v>1295</v>
      </c>
      <c r="K780" s="19" t="n">
        <v>7.68898131984185</v>
      </c>
    </row>
    <row r="781">
      <c r="A781" s="19" t="n">
        <v>104</v>
      </c>
      <c r="B781" s="19" t="inlineStr">
        <is>
          <t>Lovekilling</t>
        </is>
      </c>
      <c r="C781" s="19" t="inlineStr">
        <is>
          <t>Mafia</t>
        </is>
      </c>
      <c r="D781" s="19" t="inlineStr">
        <is>
          <t>Win</t>
        </is>
      </c>
      <c r="E781" s="19" t="n">
        <v>76</v>
      </c>
      <c r="F781" s="19" t="n">
        <v>21.2857433851605</v>
      </c>
      <c r="G781" s="19" t="n">
        <v>22.3238740898036</v>
      </c>
      <c r="H781" s="19" t="n">
        <v>7.81071178313819</v>
      </c>
      <c r="I781" s="19" t="n">
        <v>645</v>
      </c>
      <c r="J781" s="19" t="n">
        <v>721</v>
      </c>
      <c r="K781" s="19" t="n">
        <v>7.86266132483699</v>
      </c>
    </row>
    <row r="782">
      <c r="A782" s="19" t="n">
        <v>104</v>
      </c>
      <c r="B782" s="19" t="inlineStr">
        <is>
          <t>Noah</t>
        </is>
      </c>
      <c r="C782" s="19" t="inlineStr">
        <is>
          <t>Mafia</t>
        </is>
      </c>
      <c r="D782" s="19" t="inlineStr">
        <is>
          <t>Win</t>
        </is>
      </c>
      <c r="E782" s="19" t="n">
        <v>59</v>
      </c>
      <c r="F782" s="19" t="n">
        <v>29.9332321677673</v>
      </c>
      <c r="G782" s="19" t="n">
        <v>30.7631807929307</v>
      </c>
      <c r="H782" s="19" t="n">
        <v>6.99414544735045</v>
      </c>
      <c r="I782" s="19" t="n">
        <v>1319</v>
      </c>
      <c r="J782" s="19" t="n">
        <v>1378</v>
      </c>
      <c r="K782" s="19" t="n">
        <v>7.02894015787932</v>
      </c>
    </row>
    <row r="783">
      <c r="A783" s="19" t="n">
        <v>104</v>
      </c>
      <c r="B783" s="19" t="inlineStr">
        <is>
          <t>Streety</t>
        </is>
      </c>
      <c r="C783" s="19" t="inlineStr">
        <is>
          <t>Mafia</t>
        </is>
      </c>
      <c r="D783" s="19" t="inlineStr">
        <is>
          <t>Win</t>
        </is>
      </c>
      <c r="E783" s="19" t="n">
        <v>67</v>
      </c>
      <c r="F783" s="19" t="n">
        <v>28.2600914507848</v>
      </c>
      <c r="G783" s="19" t="n">
        <v>29.187484854017</v>
      </c>
      <c r="H783" s="19" t="n">
        <v>7.38821692541257</v>
      </c>
      <c r="I783" s="19" t="n">
        <v>1164</v>
      </c>
      <c r="J783" s="19" t="n">
        <v>1231</v>
      </c>
      <c r="K783" s="19" t="n">
        <v>7.43083814164166</v>
      </c>
    </row>
    <row r="784">
      <c r="A784" s="19" t="n">
        <v>103</v>
      </c>
      <c r="B784" s="19" t="inlineStr">
        <is>
          <t>Rollo</t>
        </is>
      </c>
      <c r="C784" s="19" t="inlineStr">
        <is>
          <t>Town</t>
        </is>
      </c>
      <c r="D784" s="19" t="inlineStr">
        <is>
          <t>Win</t>
        </is>
      </c>
      <c r="E784" s="19" t="n">
        <v>42</v>
      </c>
      <c r="F784" s="19" t="n">
        <v>33.9033045302671</v>
      </c>
      <c r="G784" s="19" t="n">
        <v>34.4793375851163</v>
      </c>
      <c r="H784" s="19" t="n">
        <v>7.22779525778608</v>
      </c>
      <c r="I784" s="19" t="n">
        <v>1565</v>
      </c>
      <c r="J784" s="19" t="n">
        <v>1607</v>
      </c>
      <c r="K784" s="19" t="n">
        <v>7.25923875244236</v>
      </c>
    </row>
    <row r="785">
      <c r="A785" s="19" t="n">
        <v>103</v>
      </c>
      <c r="B785" s="19" t="inlineStr">
        <is>
          <t>Mintt</t>
        </is>
      </c>
      <c r="C785" s="19" t="inlineStr">
        <is>
          <t>Town</t>
        </is>
      </c>
      <c r="D785" s="19" t="inlineStr">
        <is>
          <t>Win</t>
        </is>
      </c>
      <c r="E785" s="19" t="n">
        <v>44</v>
      </c>
      <c r="F785" s="19" t="n">
        <v>27.2546657539044</v>
      </c>
      <c r="G785" s="19" t="n">
        <v>27.8504378280324</v>
      </c>
      <c r="H785" s="19" t="n">
        <v>7.34927492658728</v>
      </c>
      <c r="I785" s="19" t="n">
        <v>1100</v>
      </c>
      <c r="J785" s="19" t="n">
        <v>1144</v>
      </c>
      <c r="K785" s="19" t="n">
        <v>7.38277675051757</v>
      </c>
    </row>
    <row r="786">
      <c r="A786" s="19" t="n">
        <v>103</v>
      </c>
      <c r="B786" s="19" t="inlineStr">
        <is>
          <t>Kwix</t>
        </is>
      </c>
      <c r="C786" s="19" t="inlineStr">
        <is>
          <t>Town</t>
        </is>
      </c>
      <c r="D786" s="19" t="inlineStr">
        <is>
          <t>Win</t>
        </is>
      </c>
      <c r="E786" s="19" t="n">
        <v>42</v>
      </c>
      <c r="F786" s="19" t="n">
        <v>28.1662829343406</v>
      </c>
      <c r="G786" s="19" t="n">
        <v>28.7440086753637</v>
      </c>
      <c r="H786" s="19" t="n">
        <v>7.23829593060414</v>
      </c>
      <c r="I786" s="19" t="n">
        <v>1174</v>
      </c>
      <c r="J786" s="19" t="n">
        <v>1216</v>
      </c>
      <c r="K786" s="19" t="n">
        <v>7.26991483645214</v>
      </c>
    </row>
    <row r="787">
      <c r="A787" s="19" t="n">
        <v>103</v>
      </c>
      <c r="B787" s="19" t="inlineStr">
        <is>
          <t>Iln</t>
        </is>
      </c>
      <c r="C787" s="19" t="inlineStr">
        <is>
          <t>Town</t>
        </is>
      </c>
      <c r="D787" s="19" t="inlineStr">
        <is>
          <t>Win</t>
        </is>
      </c>
      <c r="E787" s="19" t="n">
        <v>42</v>
      </c>
      <c r="F787" s="19" t="n">
        <v>25.6239882832927</v>
      </c>
      <c r="G787" s="19" t="n">
        <v>26.1933370600096</v>
      </c>
      <c r="H787" s="19" t="n">
        <v>7.18617263096945</v>
      </c>
      <c r="I787" s="19" t="n">
        <v>1006</v>
      </c>
      <c r="J787" s="19" t="n">
        <v>1048</v>
      </c>
      <c r="K787" s="19" t="n">
        <v>7.21692545584423</v>
      </c>
    </row>
    <row r="788">
      <c r="A788" s="19" t="n">
        <v>103</v>
      </c>
      <c r="B788" s="19" t="inlineStr">
        <is>
          <t>Carson</t>
        </is>
      </c>
      <c r="C788" s="19" t="inlineStr">
        <is>
          <t>Town</t>
        </is>
      </c>
      <c r="D788" s="19" t="inlineStr">
        <is>
          <t>Win</t>
        </is>
      </c>
      <c r="E788" s="19" t="n">
        <v>40</v>
      </c>
      <c r="F788" s="19" t="n">
        <v>31.3252317752545</v>
      </c>
      <c r="G788" s="19" t="n">
        <v>31.8738044618632</v>
      </c>
      <c r="H788" s="19" t="n">
        <v>7.05516702119288</v>
      </c>
      <c r="I788" s="19" t="n">
        <v>1408</v>
      </c>
      <c r="J788" s="19" t="n">
        <v>1448</v>
      </c>
      <c r="K788" s="19" t="n">
        <v>7.08379365885181</v>
      </c>
    </row>
    <row r="789">
      <c r="A789" s="19" t="n">
        <v>103</v>
      </c>
      <c r="B789" s="19" t="inlineStr">
        <is>
          <t>Laur</t>
        </is>
      </c>
      <c r="C789" s="19" t="inlineStr">
        <is>
          <t>Town</t>
        </is>
      </c>
      <c r="D789" s="19" t="inlineStr">
        <is>
          <t>Win</t>
        </is>
      </c>
      <c r="E789" s="19" t="n">
        <v>43</v>
      </c>
      <c r="F789" s="19" t="n">
        <v>35.907956228929</v>
      </c>
      <c r="G789" s="19" t="n">
        <v>36.4878214742018</v>
      </c>
      <c r="H789" s="19" t="n">
        <v>7.25154577870965</v>
      </c>
      <c r="I789" s="19" t="n">
        <v>1699</v>
      </c>
      <c r="J789" s="19" t="n">
        <v>1742</v>
      </c>
      <c r="K789" s="19" t="n">
        <v>7.28338669382671</v>
      </c>
    </row>
    <row r="790">
      <c r="A790" s="19" t="n">
        <v>103</v>
      </c>
      <c r="B790" s="19" t="inlineStr">
        <is>
          <t>Brownkow</t>
        </is>
      </c>
      <c r="C790" s="19" t="inlineStr">
        <is>
          <t>Town</t>
        </is>
      </c>
      <c r="D790" s="19" t="inlineStr">
        <is>
          <t>Win</t>
        </is>
      </c>
      <c r="E790" s="19" t="n">
        <v>37</v>
      </c>
      <c r="F790" s="19" t="n">
        <v>31.5939723315849</v>
      </c>
      <c r="G790" s="19" t="n">
        <v>32.0995145141319</v>
      </c>
      <c r="H790" s="19" t="n">
        <v>6.77545004273566</v>
      </c>
      <c r="I790" s="19" t="n">
        <v>1455</v>
      </c>
      <c r="J790" s="19" t="n">
        <v>1492</v>
      </c>
      <c r="K790" s="19" t="n">
        <v>6.79977212964873</v>
      </c>
    </row>
    <row r="791">
      <c r="A791" s="19" t="n">
        <v>103</v>
      </c>
      <c r="B791" s="19" t="inlineStr">
        <is>
          <t>Lou</t>
        </is>
      </c>
      <c r="C791" s="19" t="inlineStr">
        <is>
          <t>Town</t>
        </is>
      </c>
      <c r="D791" s="19" t="inlineStr">
        <is>
          <t>Win</t>
        </is>
      </c>
      <c r="E791" s="19" t="n">
        <v>40</v>
      </c>
      <c r="F791" s="19" t="n">
        <v>27.9449956946451</v>
      </c>
      <c r="G791" s="19" t="n">
        <v>28.4929831328102</v>
      </c>
      <c r="H791" s="19" t="n">
        <v>7.05143997796945</v>
      </c>
      <c r="I791" s="19" t="n">
        <v>1178</v>
      </c>
      <c r="J791" s="19" t="n">
        <v>1218</v>
      </c>
      <c r="K791" s="19" t="n">
        <v>7.0800071732771</v>
      </c>
    </row>
    <row r="792">
      <c r="A792" s="19" t="n">
        <v>103</v>
      </c>
      <c r="B792" s="19" t="inlineStr">
        <is>
          <t>Lovekilling</t>
        </is>
      </c>
      <c r="C792" s="19" t="inlineStr">
        <is>
          <t>Town</t>
        </is>
      </c>
      <c r="D792" s="19" t="inlineStr">
        <is>
          <t>Win</t>
        </is>
      </c>
      <c r="E792" s="19" t="n">
        <v>50</v>
      </c>
      <c r="F792" s="19" t="n">
        <v>20.6027479690432</v>
      </c>
      <c r="G792" s="19" t="n">
        <v>21.2857433851605</v>
      </c>
      <c r="H792" s="19" t="n">
        <v>7.86266132483699</v>
      </c>
      <c r="I792" s="19" t="n">
        <v>595</v>
      </c>
      <c r="J792" s="19" t="n">
        <v>645</v>
      </c>
      <c r="K792" s="19" t="n">
        <v>7.90559104253341</v>
      </c>
    </row>
    <row r="793">
      <c r="A793" s="19" t="n">
        <v>103</v>
      </c>
      <c r="B793" s="19" t="inlineStr">
        <is>
          <t>Noah</t>
        </is>
      </c>
      <c r="C793" s="19" t="inlineStr">
        <is>
          <t>Town</t>
        </is>
      </c>
      <c r="D793" s="19" t="inlineStr">
        <is>
          <t>Win</t>
        </is>
      </c>
      <c r="E793" s="19" t="n">
        <v>40</v>
      </c>
      <c r="F793" s="19" t="n">
        <v>29.3887709870713</v>
      </c>
      <c r="G793" s="19" t="n">
        <v>29.9332321677673</v>
      </c>
      <c r="H793" s="19" t="n">
        <v>7.02894015787932</v>
      </c>
      <c r="I793" s="19" t="n">
        <v>1279</v>
      </c>
      <c r="J793" s="19" t="n">
        <v>1319</v>
      </c>
      <c r="K793" s="19" t="n">
        <v>7.05714972258064</v>
      </c>
    </row>
    <row r="794">
      <c r="A794" s="19" t="n">
        <v>103</v>
      </c>
      <c r="B794" s="19" t="inlineStr">
        <is>
          <t>Streety</t>
        </is>
      </c>
      <c r="C794" s="19" t="inlineStr">
        <is>
          <t>Town</t>
        </is>
      </c>
      <c r="D794" s="19" t="inlineStr">
        <is>
          <t>Win</t>
        </is>
      </c>
      <c r="E794" s="19" t="n">
        <v>45</v>
      </c>
      <c r="F794" s="19" t="n">
        <v>27.6508735342679</v>
      </c>
      <c r="G794" s="19" t="n">
        <v>28.2600914507848</v>
      </c>
      <c r="H794" s="19" t="n">
        <v>7.43083814164166</v>
      </c>
      <c r="I794" s="19" t="n">
        <v>1119</v>
      </c>
      <c r="J794" s="19" t="n">
        <v>1164</v>
      </c>
      <c r="K794" s="19" t="n">
        <v>7.46575805644639</v>
      </c>
    </row>
    <row r="795">
      <c r="A795" s="19" t="n">
        <v>103</v>
      </c>
      <c r="B795" s="19" t="inlineStr">
        <is>
          <t>Smit</t>
        </is>
      </c>
      <c r="C795" s="19" t="inlineStr">
        <is>
          <t>Mafia</t>
        </is>
      </c>
      <c r="D795" s="19" t="inlineStr">
        <is>
          <t>Loss</t>
        </is>
      </c>
      <c r="E795" s="19" t="n">
        <v>-35</v>
      </c>
      <c r="F795" s="19" t="n">
        <v>27.6203733207825</v>
      </c>
      <c r="G795" s="19" t="n">
        <v>27.062115752949</v>
      </c>
      <c r="H795" s="19" t="n">
        <v>7.11654844665173</v>
      </c>
      <c r="I795" s="19" t="n">
        <v>1149</v>
      </c>
      <c r="J795" s="19" t="n">
        <v>1114</v>
      </c>
      <c r="K795" s="19" t="n">
        <v>7.14616234452897</v>
      </c>
    </row>
    <row r="796">
      <c r="A796" s="19" t="n">
        <v>103</v>
      </c>
      <c r="B796" s="19" t="inlineStr">
        <is>
          <t>Plen</t>
        </is>
      </c>
      <c r="C796" s="19" t="inlineStr">
        <is>
          <t>Mafia</t>
        </is>
      </c>
      <c r="D796" s="19" t="inlineStr">
        <is>
          <t>Loss</t>
        </is>
      </c>
      <c r="E796" s="19" t="n">
        <v>-33</v>
      </c>
      <c r="F796" s="19" t="n">
        <v>23.6785808041285</v>
      </c>
      <c r="G796" s="19" t="n">
        <v>23.1419211527064</v>
      </c>
      <c r="H796" s="19" t="n">
        <v>6.97889314044332</v>
      </c>
      <c r="I796" s="19" t="n">
        <v>895</v>
      </c>
      <c r="J796" s="19" t="n">
        <v>862</v>
      </c>
      <c r="K796" s="19" t="n">
        <v>7.0063146702466</v>
      </c>
    </row>
    <row r="797">
      <c r="A797" s="19" t="n">
        <v>103</v>
      </c>
      <c r="B797" s="19" t="inlineStr">
        <is>
          <t>Brady</t>
        </is>
      </c>
      <c r="C797" s="19" t="inlineStr">
        <is>
          <t>Mafia</t>
        </is>
      </c>
      <c r="D797" s="19" t="inlineStr">
        <is>
          <t>Loss</t>
        </is>
      </c>
      <c r="E797" s="19" t="n">
        <v>-46</v>
      </c>
      <c r="F797" s="19" t="n">
        <v>25</v>
      </c>
      <c r="G797" s="19" t="n">
        <v>24.2412055622899</v>
      </c>
      <c r="H797" s="19" t="n">
        <v>8.281777853557299</v>
      </c>
      <c r="I797" s="19" t="n">
        <v>850</v>
      </c>
      <c r="J797" s="19" t="n">
        <v>804</v>
      </c>
      <c r="K797" s="19" t="n">
        <v>8.33333333333333</v>
      </c>
    </row>
    <row r="798">
      <c r="A798" s="19" t="n">
        <v>102</v>
      </c>
      <c r="B798" s="19" t="inlineStr">
        <is>
          <t>Noah</t>
        </is>
      </c>
      <c r="C798" s="19" t="inlineStr">
        <is>
          <t>Town</t>
        </is>
      </c>
      <c r="D798" s="19" t="inlineStr">
        <is>
          <t>Loss</t>
        </is>
      </c>
      <c r="E798" s="19" t="n">
        <v>-23</v>
      </c>
      <c r="F798" s="19" t="n">
        <v>29.7733365785891</v>
      </c>
      <c r="G798" s="19" t="n">
        <v>29.3887709870713</v>
      </c>
      <c r="H798" s="19" t="n">
        <v>7.05714972258064</v>
      </c>
      <c r="I798" s="19" t="n">
        <v>1302</v>
      </c>
      <c r="J798" s="19" t="n">
        <v>1279</v>
      </c>
      <c r="K798" s="19" t="n">
        <v>7.08143147805901</v>
      </c>
    </row>
    <row r="799">
      <c r="A799" s="19" t="n">
        <v>102</v>
      </c>
      <c r="B799" s="19" t="inlineStr">
        <is>
          <t>Kden</t>
        </is>
      </c>
      <c r="C799" s="19" t="inlineStr">
        <is>
          <t>Town</t>
        </is>
      </c>
      <c r="D799" s="19" t="inlineStr">
        <is>
          <t>Loss</t>
        </is>
      </c>
      <c r="E799" s="19" t="n">
        <v>-24</v>
      </c>
      <c r="F799" s="19" t="n">
        <v>28.7991259788689</v>
      </c>
      <c r="G799" s="19" t="n">
        <v>28.3934945424123</v>
      </c>
      <c r="H799" s="19" t="n">
        <v>7.24613476143319</v>
      </c>
      <c r="I799" s="19" t="n">
        <v>1216</v>
      </c>
      <c r="J799" s="19" t="n">
        <v>1192</v>
      </c>
      <c r="K799" s="19" t="n">
        <v>7.273138984025</v>
      </c>
    </row>
    <row r="800">
      <c r="A800" s="19" t="n">
        <v>102</v>
      </c>
      <c r="B800" s="19" t="inlineStr">
        <is>
          <t>Streety</t>
        </is>
      </c>
      <c r="C800" s="19" t="inlineStr">
        <is>
          <t>Town</t>
        </is>
      </c>
      <c r="D800" s="19" t="inlineStr">
        <is>
          <t>Loss</t>
        </is>
      </c>
      <c r="E800" s="19" t="n">
        <v>-26</v>
      </c>
      <c r="F800" s="19" t="n">
        <v>28.0817120045405</v>
      </c>
      <c r="G800" s="19" t="n">
        <v>27.6508735342679</v>
      </c>
      <c r="H800" s="19" t="n">
        <v>7.46575805644639</v>
      </c>
      <c r="I800" s="19" t="n">
        <v>1145</v>
      </c>
      <c r="J800" s="19" t="n">
        <v>1119</v>
      </c>
      <c r="K800" s="19" t="n">
        <v>7.49609247805352</v>
      </c>
    </row>
    <row r="801">
      <c r="A801" s="19" t="n">
        <v>102</v>
      </c>
      <c r="B801" s="19" t="inlineStr">
        <is>
          <t>Dani</t>
        </is>
      </c>
      <c r="C801" s="19" t="inlineStr">
        <is>
          <t>Town</t>
        </is>
      </c>
      <c r="D801" s="19" t="inlineStr">
        <is>
          <t>Loss</t>
        </is>
      </c>
      <c r="E801" s="19" t="n">
        <v>-30</v>
      </c>
      <c r="F801" s="19" t="n">
        <v>24.1047147059603</v>
      </c>
      <c r="G801" s="19" t="n">
        <v>23.6093524469671</v>
      </c>
      <c r="H801" s="19" t="n">
        <v>7.99945830119231</v>
      </c>
      <c r="I801" s="19" t="n">
        <v>819</v>
      </c>
      <c r="J801" s="19" t="n">
        <v>789</v>
      </c>
      <c r="K801" s="19" t="n">
        <v>8.03867468491876</v>
      </c>
    </row>
    <row r="802">
      <c r="A802" s="19" t="n">
        <v>102</v>
      </c>
      <c r="B802" s="19" t="inlineStr">
        <is>
          <t>Daniel</t>
        </is>
      </c>
      <c r="C802" s="19" t="inlineStr">
        <is>
          <t>Town</t>
        </is>
      </c>
      <c r="D802" s="19" t="inlineStr">
        <is>
          <t>Loss</t>
        </is>
      </c>
      <c r="E802" s="19" t="n">
        <v>-32</v>
      </c>
      <c r="F802" s="19" t="n">
        <v>25</v>
      </c>
      <c r="G802" s="19" t="n">
        <v>24.4677084724765</v>
      </c>
      <c r="H802" s="19" t="n">
        <v>8.28880537243289</v>
      </c>
      <c r="I802" s="19" t="n">
        <v>850</v>
      </c>
      <c r="J802" s="19" t="n">
        <v>818</v>
      </c>
      <c r="K802" s="19" t="n">
        <v>8.33333333333333</v>
      </c>
    </row>
    <row r="803">
      <c r="A803" s="19" t="n">
        <v>102</v>
      </c>
      <c r="B803" s="19" t="inlineStr">
        <is>
          <t>Carson</t>
        </is>
      </c>
      <c r="C803" s="19" t="inlineStr">
        <is>
          <t>Town</t>
        </is>
      </c>
      <c r="D803" s="19" t="inlineStr">
        <is>
          <t>Loss</t>
        </is>
      </c>
      <c r="E803" s="19" t="n">
        <v>-23</v>
      </c>
      <c r="F803" s="19" t="n">
        <v>31.71273239779</v>
      </c>
      <c r="G803" s="19" t="n">
        <v>31.3252317752545</v>
      </c>
      <c r="H803" s="19" t="n">
        <v>7.08379365885181</v>
      </c>
      <c r="I803" s="19" t="n">
        <v>1431</v>
      </c>
      <c r="J803" s="19" t="n">
        <v>1408</v>
      </c>
      <c r="K803" s="19" t="n">
        <v>7.10845141428</v>
      </c>
    </row>
    <row r="804">
      <c r="A804" s="19" t="n">
        <v>102</v>
      </c>
      <c r="B804" s="19" t="inlineStr">
        <is>
          <t>Smit</t>
        </is>
      </c>
      <c r="C804" s="19" t="inlineStr">
        <is>
          <t>Town</t>
        </is>
      </c>
      <c r="D804" s="19" t="inlineStr">
        <is>
          <t>Loss</t>
        </is>
      </c>
      <c r="E804" s="19" t="n">
        <v>-24</v>
      </c>
      <c r="F804" s="19" t="n">
        <v>28.0147891270738</v>
      </c>
      <c r="G804" s="19" t="n">
        <v>27.6203733207825</v>
      </c>
      <c r="H804" s="19" t="n">
        <v>7.14616234452897</v>
      </c>
      <c r="I804" s="19" t="n">
        <v>1173</v>
      </c>
      <c r="J804" s="19" t="n">
        <v>1149</v>
      </c>
      <c r="K804" s="19" t="n">
        <v>7.17171022709768</v>
      </c>
    </row>
    <row r="805">
      <c r="A805" s="19" t="n">
        <v>102</v>
      </c>
      <c r="B805" s="19" t="inlineStr">
        <is>
          <t>Badpants</t>
        </is>
      </c>
      <c r="C805" s="19" t="inlineStr">
        <is>
          <t>Town</t>
        </is>
      </c>
      <c r="D805" s="19" t="inlineStr">
        <is>
          <t>Loss</t>
        </is>
      </c>
      <c r="E805" s="19" t="n">
        <v>-23</v>
      </c>
      <c r="F805" s="19" t="n">
        <v>24.6784466323859</v>
      </c>
      <c r="G805" s="19" t="n">
        <v>24.2934901078957</v>
      </c>
      <c r="H805" s="19" t="n">
        <v>7.06070458581951</v>
      </c>
      <c r="I805" s="19" t="n">
        <v>955</v>
      </c>
      <c r="J805" s="19" t="n">
        <v>932</v>
      </c>
      <c r="K805" s="19" t="n">
        <v>7.08503636092013</v>
      </c>
    </row>
    <row r="806">
      <c r="A806" s="19" t="n">
        <v>102</v>
      </c>
      <c r="B806" s="19" t="inlineStr">
        <is>
          <t>Chester</t>
        </is>
      </c>
      <c r="C806" s="19" t="inlineStr">
        <is>
          <t>Town</t>
        </is>
      </c>
      <c r="D806" s="19" t="inlineStr">
        <is>
          <t>Loss</t>
        </is>
      </c>
      <c r="E806" s="19" t="n">
        <v>-28</v>
      </c>
      <c r="F806" s="19" t="n">
        <v>30.1335593223077</v>
      </c>
      <c r="G806" s="19" t="n">
        <v>29.656262029216</v>
      </c>
      <c r="H806" s="19" t="n">
        <v>7.85384923585063</v>
      </c>
      <c r="I806" s="19" t="n">
        <v>1244</v>
      </c>
      <c r="J806" s="19" t="n">
        <v>1216</v>
      </c>
      <c r="K806" s="19" t="n">
        <v>7.89052744711707</v>
      </c>
    </row>
    <row r="807">
      <c r="A807" s="19" t="n">
        <v>102</v>
      </c>
      <c r="B807" s="19" t="inlineStr">
        <is>
          <t>Plen</t>
        </is>
      </c>
      <c r="C807" s="19" t="inlineStr">
        <is>
          <t>Town</t>
        </is>
      </c>
      <c r="D807" s="19" t="inlineStr">
        <is>
          <t>Loss</t>
        </is>
      </c>
      <c r="E807" s="19" t="n">
        <v>-24</v>
      </c>
      <c r="F807" s="19" t="n">
        <v>24.0575782929007</v>
      </c>
      <c r="G807" s="19" t="n">
        <v>23.6785808041285</v>
      </c>
      <c r="H807" s="19" t="n">
        <v>7.0063146702466</v>
      </c>
      <c r="I807" s="19" t="n">
        <v>919</v>
      </c>
      <c r="J807" s="19" t="n">
        <v>895</v>
      </c>
      <c r="K807" s="19" t="n">
        <v>7.0298860546225</v>
      </c>
    </row>
    <row r="808">
      <c r="A808" s="19" t="n">
        <v>102</v>
      </c>
      <c r="B808" s="19" t="inlineStr">
        <is>
          <t>Kwix</t>
        </is>
      </c>
      <c r="C808" s="19" t="inlineStr">
        <is>
          <t>Mafia</t>
        </is>
      </c>
      <c r="D808" s="19" t="inlineStr">
        <is>
          <t>Win</t>
        </is>
      </c>
      <c r="E808" s="19" t="n">
        <v>31</v>
      </c>
      <c r="F808" s="19" t="n">
        <v>27.75795988251</v>
      </c>
      <c r="G808" s="19" t="n">
        <v>28.1662829343406</v>
      </c>
      <c r="H808" s="19" t="n">
        <v>7.26991483645214</v>
      </c>
      <c r="I808" s="19" t="n">
        <v>1143</v>
      </c>
      <c r="J808" s="19" t="n">
        <v>1174</v>
      </c>
      <c r="K808" s="19" t="n">
        <v>7.29727089235345</v>
      </c>
    </row>
    <row r="809">
      <c r="A809" s="19" t="n">
        <v>102</v>
      </c>
      <c r="B809" s="19" t="inlineStr">
        <is>
          <t>Laur</t>
        </is>
      </c>
      <c r="C809" s="19" t="inlineStr">
        <is>
          <t>Mafia</t>
        </is>
      </c>
      <c r="D809" s="19" t="inlineStr">
        <is>
          <t>Win</t>
        </is>
      </c>
      <c r="E809" s="19" t="n">
        <v>31</v>
      </c>
      <c r="F809" s="19" t="n">
        <v>35.4981042660538</v>
      </c>
      <c r="G809" s="19" t="n">
        <v>35.907956228929</v>
      </c>
      <c r="H809" s="19" t="n">
        <v>7.28338669382671</v>
      </c>
      <c r="I809" s="19" t="n">
        <v>1668</v>
      </c>
      <c r="J809" s="19" t="n">
        <v>1699</v>
      </c>
      <c r="K809" s="19" t="n">
        <v>7.31094300205166</v>
      </c>
    </row>
    <row r="810">
      <c r="A810" s="19" t="n">
        <v>102</v>
      </c>
      <c r="B810" s="19" t="inlineStr">
        <is>
          <t>Cj</t>
        </is>
      </c>
      <c r="C810" s="19" t="inlineStr">
        <is>
          <t>Mafia</t>
        </is>
      </c>
      <c r="D810" s="19" t="inlineStr">
        <is>
          <t>Win</t>
        </is>
      </c>
      <c r="E810" s="19" t="n">
        <v>38</v>
      </c>
      <c r="F810" s="19" t="n">
        <v>25.5623100236408</v>
      </c>
      <c r="G810" s="19" t="n">
        <v>26.0568870058605</v>
      </c>
      <c r="H810" s="19" t="n">
        <v>7.99318636672037</v>
      </c>
      <c r="I810" s="19" t="n">
        <v>919</v>
      </c>
      <c r="J810" s="19" t="n">
        <v>957</v>
      </c>
      <c r="K810" s="19" t="n">
        <v>8.032291591534889</v>
      </c>
    </row>
    <row r="811">
      <c r="A811" s="19" t="n">
        <v>101</v>
      </c>
      <c r="B811" s="19" t="inlineStr">
        <is>
          <t>Kden</t>
        </is>
      </c>
      <c r="C811" s="19" t="inlineStr">
        <is>
          <t>Town</t>
        </is>
      </c>
      <c r="D811" s="19" t="inlineStr">
        <is>
          <t>Win</t>
        </is>
      </c>
      <c r="E811" s="19" t="n">
        <v>51</v>
      </c>
      <c r="F811" s="19" t="n">
        <v>28.1030889048039</v>
      </c>
      <c r="G811" s="19" t="n">
        <v>28.7991259788689</v>
      </c>
      <c r="H811" s="19" t="n">
        <v>7.273138984025</v>
      </c>
      <c r="I811" s="19" t="n">
        <v>1165</v>
      </c>
      <c r="J811" s="19" t="n">
        <v>1216</v>
      </c>
      <c r="K811" s="19" t="n">
        <v>7.30894786262255</v>
      </c>
    </row>
    <row r="812">
      <c r="A812" s="19" t="n">
        <v>101</v>
      </c>
      <c r="B812" s="19" t="inlineStr">
        <is>
          <t>Mintt</t>
        </is>
      </c>
      <c r="C812" s="19" t="inlineStr">
        <is>
          <t>Town</t>
        </is>
      </c>
      <c r="D812" s="19" t="inlineStr">
        <is>
          <t>Win</t>
        </is>
      </c>
      <c r="E812" s="19" t="n">
        <v>52</v>
      </c>
      <c r="F812" s="19" t="n">
        <v>26.537230675979</v>
      </c>
      <c r="G812" s="19" t="n">
        <v>27.2546657539044</v>
      </c>
      <c r="H812" s="19" t="n">
        <v>7.38277675051757</v>
      </c>
      <c r="I812" s="19" t="n">
        <v>1048</v>
      </c>
      <c r="J812" s="19" t="n">
        <v>1100</v>
      </c>
      <c r="K812" s="19" t="n">
        <v>7.42063195418134</v>
      </c>
    </row>
    <row r="813">
      <c r="A813" s="19" t="n">
        <v>101</v>
      </c>
      <c r="B813" s="19" t="inlineStr">
        <is>
          <t>Plen</t>
        </is>
      </c>
      <c r="C813" s="19" t="inlineStr">
        <is>
          <t>Town</t>
        </is>
      </c>
      <c r="D813" s="19" t="inlineStr">
        <is>
          <t>Win</t>
        </is>
      </c>
      <c r="E813" s="19" t="n">
        <v>48</v>
      </c>
      <c r="F813" s="19" t="n">
        <v>23.4078210537905</v>
      </c>
      <c r="G813" s="19" t="n">
        <v>24.0575782929007</v>
      </c>
      <c r="H813" s="19" t="n">
        <v>7.0298860546225</v>
      </c>
      <c r="I813" s="19" t="n">
        <v>871</v>
      </c>
      <c r="J813" s="19" t="n">
        <v>919</v>
      </c>
      <c r="K813" s="19" t="n">
        <v>7.0613572207613</v>
      </c>
    </row>
    <row r="814">
      <c r="A814" s="19" t="n">
        <v>101</v>
      </c>
      <c r="B814" s="19" t="inlineStr">
        <is>
          <t>Iln</t>
        </is>
      </c>
      <c r="C814" s="19" t="inlineStr">
        <is>
          <t>Town</t>
        </is>
      </c>
      <c r="D814" s="19" t="inlineStr">
        <is>
          <t>Win</t>
        </is>
      </c>
      <c r="E814" s="19" t="n">
        <v>50</v>
      </c>
      <c r="F814" s="19" t="n">
        <v>24.9387923690789</v>
      </c>
      <c r="G814" s="19" t="n">
        <v>25.6239882832927</v>
      </c>
      <c r="H814" s="19" t="n">
        <v>7.21692545584423</v>
      </c>
      <c r="I814" s="19" t="n">
        <v>956</v>
      </c>
      <c r="J814" s="19" t="n">
        <v>1006</v>
      </c>
      <c r="K814" s="19" t="n">
        <v>7.25170738598864</v>
      </c>
    </row>
    <row r="815">
      <c r="A815" s="19" t="n">
        <v>101</v>
      </c>
      <c r="B815" s="19" t="inlineStr">
        <is>
          <t>Rollo</t>
        </is>
      </c>
      <c r="C815" s="19" t="inlineStr">
        <is>
          <t>Town</t>
        </is>
      </c>
      <c r="D815" s="19" t="inlineStr">
        <is>
          <t>Win</t>
        </is>
      </c>
      <c r="E815" s="19" t="n">
        <v>51</v>
      </c>
      <c r="F815" s="19" t="n">
        <v>33.2099564069511</v>
      </c>
      <c r="G815" s="19" t="n">
        <v>33.9033045302671</v>
      </c>
      <c r="H815" s="19" t="n">
        <v>7.25923875244236</v>
      </c>
      <c r="I815" s="19" t="n">
        <v>1514</v>
      </c>
      <c r="J815" s="19" t="n">
        <v>1565</v>
      </c>
      <c r="K815" s="19" t="n">
        <v>7.29479229909405</v>
      </c>
    </row>
    <row r="816">
      <c r="A816" s="19" t="n">
        <v>101</v>
      </c>
      <c r="B816" s="19" t="inlineStr">
        <is>
          <t>Chester</t>
        </is>
      </c>
      <c r="C816" s="19" t="inlineStr">
        <is>
          <t>Town</t>
        </is>
      </c>
      <c r="D816" s="19" t="inlineStr">
        <is>
          <t>Win</t>
        </is>
      </c>
      <c r="E816" s="19" t="n">
        <v>60</v>
      </c>
      <c r="F816" s="19" t="n">
        <v>29.3126345093456</v>
      </c>
      <c r="G816" s="19" t="n">
        <v>30.1335593223077</v>
      </c>
      <c r="H816" s="19" t="n">
        <v>7.89052744711707</v>
      </c>
      <c r="I816" s="19" t="n">
        <v>1184</v>
      </c>
      <c r="J816" s="19" t="n">
        <v>1244</v>
      </c>
      <c r="K816" s="19" t="n">
        <v>7.93863832934605</v>
      </c>
    </row>
    <row r="817">
      <c r="A817" s="19" t="n">
        <v>101</v>
      </c>
      <c r="B817" s="19" t="inlineStr">
        <is>
          <t>Rocker</t>
        </is>
      </c>
      <c r="C817" s="19" t="inlineStr">
        <is>
          <t>Town</t>
        </is>
      </c>
      <c r="D817" s="19" t="inlineStr">
        <is>
          <t>Win</t>
        </is>
      </c>
      <c r="E817" s="19" t="n">
        <v>44</v>
      </c>
      <c r="F817" s="19" t="n">
        <v>32.8415148887296</v>
      </c>
      <c r="G817" s="19" t="n">
        <v>33.4463261249828</v>
      </c>
      <c r="H817" s="19" t="n">
        <v>6.78492002910923</v>
      </c>
      <c r="I817" s="19" t="n">
        <v>1538</v>
      </c>
      <c r="J817" s="19" t="n">
        <v>1582</v>
      </c>
      <c r="K817" s="19" t="n">
        <v>6.81229451652684</v>
      </c>
    </row>
    <row r="818">
      <c r="A818" s="19" t="n">
        <v>101</v>
      </c>
      <c r="B818" s="19" t="inlineStr">
        <is>
          <t>Brownkow</t>
        </is>
      </c>
      <c r="C818" s="19" t="inlineStr">
        <is>
          <t>Town</t>
        </is>
      </c>
      <c r="D818" s="19" t="inlineStr">
        <is>
          <t>Win</t>
        </is>
      </c>
      <c r="E818" s="19" t="n">
        <v>44</v>
      </c>
      <c r="F818" s="19" t="n">
        <v>30.9864833445789</v>
      </c>
      <c r="G818" s="19" t="n">
        <v>31.5939723315849</v>
      </c>
      <c r="H818" s="19" t="n">
        <v>6.79977212964873</v>
      </c>
      <c r="I818" s="19" t="n">
        <v>1411</v>
      </c>
      <c r="J818" s="19" t="n">
        <v>1455</v>
      </c>
      <c r="K818" s="19" t="n">
        <v>6.82738747293923</v>
      </c>
    </row>
    <row r="819">
      <c r="A819" s="19" t="n">
        <v>101</v>
      </c>
      <c r="B819" s="19" t="inlineStr">
        <is>
          <t>Carson</t>
        </is>
      </c>
      <c r="C819" s="19" t="inlineStr">
        <is>
          <t>Town</t>
        </is>
      </c>
      <c r="D819" s="19" t="inlineStr">
        <is>
          <t>Win</t>
        </is>
      </c>
      <c r="E819" s="19" t="n">
        <v>48</v>
      </c>
      <c r="F819" s="19" t="n">
        <v>31.0482077156275</v>
      </c>
      <c r="G819" s="19" t="n">
        <v>31.71273239779</v>
      </c>
      <c r="H819" s="19" t="n">
        <v>7.10845141428</v>
      </c>
      <c r="I819" s="19" t="n">
        <v>1383</v>
      </c>
      <c r="J819" s="19" t="n">
        <v>1431</v>
      </c>
      <c r="K819" s="19" t="n">
        <v>7.14129356975377</v>
      </c>
    </row>
    <row r="820">
      <c r="A820" s="19" t="n">
        <v>101</v>
      </c>
      <c r="B820" s="19" t="inlineStr">
        <is>
          <t>Laur</t>
        </is>
      </c>
      <c r="C820" s="19" t="inlineStr">
        <is>
          <t>Town</t>
        </is>
      </c>
      <c r="D820" s="19" t="inlineStr">
        <is>
          <t>Win</t>
        </is>
      </c>
      <c r="E820" s="19" t="n">
        <v>51</v>
      </c>
      <c r="F820" s="19" t="n">
        <v>34.7947268809743</v>
      </c>
      <c r="G820" s="19" t="n">
        <v>35.4981042660538</v>
      </c>
      <c r="H820" s="19" t="n">
        <v>7.31094300205166</v>
      </c>
      <c r="I820" s="19" t="n">
        <v>1617</v>
      </c>
      <c r="J820" s="19" t="n">
        <v>1668</v>
      </c>
      <c r="K820" s="19" t="n">
        <v>7.34745095401405</v>
      </c>
    </row>
    <row r="821">
      <c r="A821" s="19" t="n">
        <v>101</v>
      </c>
      <c r="B821" s="19" t="inlineStr">
        <is>
          <t>Streety</t>
        </is>
      </c>
      <c r="C821" s="19" t="inlineStr">
        <is>
          <t>Town</t>
        </is>
      </c>
      <c r="D821" s="19" t="inlineStr">
        <is>
          <t>Win</t>
        </is>
      </c>
      <c r="E821" s="19" t="n">
        <v>54</v>
      </c>
      <c r="F821" s="19" t="n">
        <v>27.3418080721006</v>
      </c>
      <c r="G821" s="19" t="n">
        <v>28.0817120045405</v>
      </c>
      <c r="H821" s="19" t="n">
        <v>7.49609247805352</v>
      </c>
      <c r="I821" s="19" t="n">
        <v>1091</v>
      </c>
      <c r="J821" s="19" t="n">
        <v>1145</v>
      </c>
      <c r="K821" s="19" t="n">
        <v>7.53612396381332</v>
      </c>
    </row>
    <row r="822">
      <c r="A822" s="19" t="n">
        <v>101</v>
      </c>
      <c r="B822" s="19" t="inlineStr">
        <is>
          <t>Lovekilling</t>
        </is>
      </c>
      <c r="C822" s="19" t="inlineStr">
        <is>
          <t>Mafia</t>
        </is>
      </c>
      <c r="D822" s="19" t="inlineStr">
        <is>
          <t>Loss</t>
        </is>
      </c>
      <c r="E822" s="19" t="n">
        <v>-51</v>
      </c>
      <c r="F822" s="19" t="n">
        <v>21.4268538624493</v>
      </c>
      <c r="G822" s="19" t="n">
        <v>20.6027479690432</v>
      </c>
      <c r="H822" s="19" t="n">
        <v>7.90559104253341</v>
      </c>
      <c r="I822" s="19" t="n">
        <v>646</v>
      </c>
      <c r="J822" s="19" t="n">
        <v>595</v>
      </c>
      <c r="K822" s="19" t="n">
        <v>7.95402647685152</v>
      </c>
    </row>
    <row r="823">
      <c r="A823" s="19" t="n">
        <v>101</v>
      </c>
      <c r="B823" s="19" t="inlineStr">
        <is>
          <t>Lou</t>
        </is>
      </c>
      <c r="C823" s="19" t="inlineStr">
        <is>
          <t>Mafia</t>
        </is>
      </c>
      <c r="D823" s="19" t="inlineStr">
        <is>
          <t>Loss</t>
        </is>
      </c>
      <c r="E823" s="19" t="n">
        <v>-42</v>
      </c>
      <c r="F823" s="19" t="n">
        <v>28.6041540882984</v>
      </c>
      <c r="G823" s="19" t="n">
        <v>27.9449956946451</v>
      </c>
      <c r="H823" s="19" t="n">
        <v>7.0800071732771</v>
      </c>
      <c r="I823" s="19" t="n">
        <v>1220</v>
      </c>
      <c r="J823" s="19" t="n">
        <v>1178</v>
      </c>
      <c r="K823" s="19" t="n">
        <v>7.11234970333581</v>
      </c>
    </row>
    <row r="824">
      <c r="A824" s="19" t="n">
        <v>101</v>
      </c>
      <c r="B824" s="19" t="inlineStr">
        <is>
          <t>Noah</t>
        </is>
      </c>
      <c r="C824" s="19" t="inlineStr">
        <is>
          <t>Mafia</t>
        </is>
      </c>
      <c r="D824" s="19" t="inlineStr">
        <is>
          <t>Loss</t>
        </is>
      </c>
      <c r="E824" s="19" t="n">
        <v>-42</v>
      </c>
      <c r="F824" s="19" t="n">
        <v>30.4327631467925</v>
      </c>
      <c r="G824" s="19" t="n">
        <v>29.7733365785891</v>
      </c>
      <c r="H824" s="19" t="n">
        <v>7.08143147805901</v>
      </c>
      <c r="I824" s="19" t="n">
        <v>1344</v>
      </c>
      <c r="J824" s="19" t="n">
        <v>1302</v>
      </c>
      <c r="K824" s="19" t="n">
        <v>7.11379893772543</v>
      </c>
    </row>
    <row r="825">
      <c r="A825" s="19" t="n">
        <v>100</v>
      </c>
      <c r="B825" s="19" t="inlineStr">
        <is>
          <t>Streety</t>
        </is>
      </c>
      <c r="C825" s="19" t="inlineStr">
        <is>
          <t>Town</t>
        </is>
      </c>
      <c r="D825" s="19" t="inlineStr">
        <is>
          <t>Win</t>
        </is>
      </c>
      <c r="E825" s="19" t="n">
        <v>130</v>
      </c>
      <c r="F825" s="19" t="n">
        <v>25.526938787554</v>
      </c>
      <c r="G825" s="19" t="n">
        <v>27.3418080721006</v>
      </c>
      <c r="H825" s="19" t="n">
        <v>7.53612396381332</v>
      </c>
      <c r="I825" s="19" t="n">
        <v>961</v>
      </c>
      <c r="J825" s="19" t="n">
        <v>1091</v>
      </c>
      <c r="K825" s="19" t="n">
        <v>7.60026639393427</v>
      </c>
    </row>
    <row r="826">
      <c r="A826" s="19" t="n">
        <v>100</v>
      </c>
      <c r="B826" s="19" t="inlineStr">
        <is>
          <t>Rollo</t>
        </is>
      </c>
      <c r="C826" s="19" t="inlineStr">
        <is>
          <t>Town</t>
        </is>
      </c>
      <c r="D826" s="19" t="inlineStr">
        <is>
          <t>Win</t>
        </is>
      </c>
      <c r="E826" s="19" t="n">
        <v>121</v>
      </c>
      <c r="F826" s="19" t="n">
        <v>31.5114972849975</v>
      </c>
      <c r="G826" s="19" t="n">
        <v>33.2099564069511</v>
      </c>
      <c r="H826" s="19" t="n">
        <v>7.29479229909405</v>
      </c>
      <c r="I826" s="19" t="n">
        <v>1393</v>
      </c>
      <c r="J826" s="19" t="n">
        <v>1514</v>
      </c>
      <c r="K826" s="19" t="n">
        <v>7.35208465598964</v>
      </c>
    </row>
    <row r="827">
      <c r="A827" s="19" t="n">
        <v>100</v>
      </c>
      <c r="B827" s="19" t="inlineStr">
        <is>
          <t>Smit</t>
        </is>
      </c>
      <c r="C827" s="19" t="inlineStr">
        <is>
          <t>Town</t>
        </is>
      </c>
      <c r="D827" s="19" t="inlineStr">
        <is>
          <t>Win</t>
        </is>
      </c>
      <c r="E827" s="19" t="n">
        <v>117</v>
      </c>
      <c r="F827" s="19" t="n">
        <v>26.3741362904795</v>
      </c>
      <c r="G827" s="19" t="n">
        <v>28.0147891270738</v>
      </c>
      <c r="H827" s="19" t="n">
        <v>7.17171022709768</v>
      </c>
      <c r="I827" s="19" t="n">
        <v>1056</v>
      </c>
      <c r="J827" s="19" t="n">
        <v>1173</v>
      </c>
      <c r="K827" s="19" t="n">
        <v>7.22567722037341</v>
      </c>
    </row>
    <row r="828">
      <c r="A828" s="19" t="n">
        <v>100</v>
      </c>
      <c r="B828" s="19" t="inlineStr">
        <is>
          <t>Laur</t>
        </is>
      </c>
      <c r="C828" s="19" t="inlineStr">
        <is>
          <t>Town</t>
        </is>
      </c>
      <c r="D828" s="19" t="inlineStr">
        <is>
          <t>Win</t>
        </is>
      </c>
      <c r="E828" s="19" t="n">
        <v>124</v>
      </c>
      <c r="F828" s="19" t="n">
        <v>33.0712141353798</v>
      </c>
      <c r="G828" s="19" t="n">
        <v>34.7947268809743</v>
      </c>
      <c r="H828" s="19" t="n">
        <v>7.34745095401405</v>
      </c>
      <c r="I828" s="19" t="n">
        <v>1493</v>
      </c>
      <c r="J828" s="19" t="n">
        <v>1617</v>
      </c>
      <c r="K828" s="19" t="n">
        <v>7.40620032940396</v>
      </c>
    </row>
    <row r="829">
      <c r="A829" s="19" t="n">
        <v>100</v>
      </c>
      <c r="B829" s="19" t="inlineStr">
        <is>
          <t>Lovekilling</t>
        </is>
      </c>
      <c r="C829" s="19" t="inlineStr">
        <is>
          <t>Town</t>
        </is>
      </c>
      <c r="D829" s="19" t="inlineStr">
        <is>
          <t>Win</t>
        </is>
      </c>
      <c r="E829" s="19" t="n">
        <v>146</v>
      </c>
      <c r="F829" s="19" t="n">
        <v>19.4007171330119</v>
      </c>
      <c r="G829" s="19" t="n">
        <v>21.4268538624493</v>
      </c>
      <c r="H829" s="19" t="n">
        <v>7.95402647685152</v>
      </c>
      <c r="I829" s="19" t="n">
        <v>500</v>
      </c>
      <c r="J829" s="19" t="n">
        <v>646</v>
      </c>
      <c r="K829" s="19" t="n">
        <v>8.031113975167131</v>
      </c>
    </row>
    <row r="830">
      <c r="A830" s="19" t="n">
        <v>100</v>
      </c>
      <c r="B830" s="19" t="inlineStr">
        <is>
          <t>Plen</t>
        </is>
      </c>
      <c r="C830" s="19" t="inlineStr">
        <is>
          <t>Town</t>
        </is>
      </c>
      <c r="D830" s="19" t="inlineStr">
        <is>
          <t>Win</t>
        </is>
      </c>
      <c r="E830" s="19" t="n">
        <v>113</v>
      </c>
      <c r="F830" s="19" t="n">
        <v>21.8181019908755</v>
      </c>
      <c r="G830" s="19" t="n">
        <v>23.4078210537905</v>
      </c>
      <c r="H830" s="19" t="n">
        <v>7.0613572207613</v>
      </c>
      <c r="I830" s="19" t="n">
        <v>758</v>
      </c>
      <c r="J830" s="19" t="n">
        <v>871</v>
      </c>
      <c r="K830" s="19" t="n">
        <v>7.11243659970328</v>
      </c>
    </row>
    <row r="831">
      <c r="A831" s="19" t="n">
        <v>100</v>
      </c>
      <c r="B831" s="19" t="inlineStr">
        <is>
          <t>Noah</t>
        </is>
      </c>
      <c r="C831" s="19" t="inlineStr">
        <is>
          <t>Town</t>
        </is>
      </c>
      <c r="D831" s="19" t="inlineStr">
        <is>
          <t>Win</t>
        </is>
      </c>
      <c r="E831" s="19" t="n">
        <v>115</v>
      </c>
      <c r="F831" s="19" t="n">
        <v>28.8189446841703</v>
      </c>
      <c r="G831" s="19" t="n">
        <v>30.4327631467925</v>
      </c>
      <c r="H831" s="19" t="n">
        <v>7.11379893772543</v>
      </c>
      <c r="I831" s="19" t="n">
        <v>1229</v>
      </c>
      <c r="J831" s="19" t="n">
        <v>1344</v>
      </c>
      <c r="K831" s="19" t="n">
        <v>7.16623962414601</v>
      </c>
    </row>
    <row r="832">
      <c r="A832" s="19" t="n">
        <v>100</v>
      </c>
      <c r="B832" s="19" t="inlineStr">
        <is>
          <t>Carson</t>
        </is>
      </c>
      <c r="C832" s="19" t="inlineStr">
        <is>
          <t>Town</t>
        </is>
      </c>
      <c r="D832" s="19" t="inlineStr">
        <is>
          <t>Win</t>
        </is>
      </c>
      <c r="E832" s="19" t="n">
        <v>116</v>
      </c>
      <c r="F832" s="19" t="n">
        <v>29.4216780578896</v>
      </c>
      <c r="G832" s="19" t="n">
        <v>31.0482077156275</v>
      </c>
      <c r="H832" s="19" t="n">
        <v>7.14129356975377</v>
      </c>
      <c r="I832" s="19" t="n">
        <v>1267</v>
      </c>
      <c r="J832" s="19" t="n">
        <v>1383</v>
      </c>
      <c r="K832" s="19" t="n">
        <v>7.19445587592532</v>
      </c>
    </row>
    <row r="833">
      <c r="A833" s="19" t="n">
        <v>100</v>
      </c>
      <c r="B833" s="19" t="inlineStr">
        <is>
          <t>Xcync</t>
        </is>
      </c>
      <c r="C833" s="19" t="inlineStr">
        <is>
          <t>Town</t>
        </is>
      </c>
      <c r="D833" s="19" t="inlineStr">
        <is>
          <t>Win</t>
        </is>
      </c>
      <c r="E833" s="19" t="n">
        <v>135</v>
      </c>
      <c r="F833" s="19" t="n">
        <v>29.6002612297281</v>
      </c>
      <c r="G833" s="19" t="n">
        <v>31.4909761884041</v>
      </c>
      <c r="H833" s="19" t="n">
        <v>7.68898131984185</v>
      </c>
      <c r="I833" s="19" t="n">
        <v>1222</v>
      </c>
      <c r="J833" s="19" t="n">
        <v>1357</v>
      </c>
      <c r="K833" s="19" t="n">
        <v>7.75769571929476</v>
      </c>
    </row>
    <row r="834">
      <c r="A834" s="19" t="n">
        <v>100</v>
      </c>
      <c r="B834" s="19" t="inlineStr">
        <is>
          <t>Kwix</t>
        </is>
      </c>
      <c r="C834" s="19" t="inlineStr">
        <is>
          <t>Town</t>
        </is>
      </c>
      <c r="D834" s="19" t="inlineStr">
        <is>
          <t>Win</t>
        </is>
      </c>
      <c r="E834" s="19" t="n">
        <v>121</v>
      </c>
      <c r="F834" s="19" t="n">
        <v>26.0583258451043</v>
      </c>
      <c r="G834" s="19" t="n">
        <v>27.75795988251</v>
      </c>
      <c r="H834" s="19" t="n">
        <v>7.29727089235345</v>
      </c>
      <c r="I834" s="19" t="n">
        <v>1022</v>
      </c>
      <c r="J834" s="19" t="n">
        <v>1143</v>
      </c>
      <c r="K834" s="19" t="n">
        <v>7.3546313649686</v>
      </c>
    </row>
    <row r="835">
      <c r="A835" s="19" t="n">
        <v>100</v>
      </c>
      <c r="B835" s="19" t="inlineStr">
        <is>
          <t>Keegan</t>
        </is>
      </c>
      <c r="C835" s="19" t="inlineStr">
        <is>
          <t>Mafia</t>
        </is>
      </c>
      <c r="D835" s="19" t="inlineStr">
        <is>
          <t>Loss</t>
        </is>
      </c>
      <c r="E835" s="19" t="n">
        <v>-127</v>
      </c>
      <c r="F835" s="19" t="n">
        <v>28.3113562837672</v>
      </c>
      <c r="G835" s="19" t="n">
        <v>26.3213541090629</v>
      </c>
      <c r="H835" s="19" t="n">
        <v>7.88424943066576</v>
      </c>
      <c r="I835" s="19" t="n">
        <v>1113</v>
      </c>
      <c r="J835" s="19" t="n">
        <v>986</v>
      </c>
      <c r="K835" s="19" t="n">
        <v>7.95907666695574</v>
      </c>
    </row>
    <row r="836">
      <c r="A836" s="19" t="n">
        <v>100</v>
      </c>
      <c r="B836" s="19" t="inlineStr">
        <is>
          <t>Kden</t>
        </is>
      </c>
      <c r="C836" s="19" t="inlineStr">
        <is>
          <t>Mafia</t>
        </is>
      </c>
      <c r="D836" s="19" t="inlineStr">
        <is>
          <t>Loss</t>
        </is>
      </c>
      <c r="E836" s="19" t="n">
        <v>-111</v>
      </c>
      <c r="F836" s="19" t="n">
        <v>29.8082638783276</v>
      </c>
      <c r="G836" s="19" t="n">
        <v>28.1030889048039</v>
      </c>
      <c r="H836" s="19" t="n">
        <v>7.30894786262255</v>
      </c>
      <c r="I836" s="19" t="n">
        <v>1276</v>
      </c>
      <c r="J836" s="19" t="n">
        <v>1165</v>
      </c>
      <c r="K836" s="19" t="n">
        <v>7.36662985333114</v>
      </c>
    </row>
    <row r="837">
      <c r="A837" s="19" t="n">
        <v>100</v>
      </c>
      <c r="B837" s="19" t="inlineStr">
        <is>
          <t>Rocker</t>
        </is>
      </c>
      <c r="C837" s="19" t="inlineStr">
        <is>
          <t>Mafia</t>
        </is>
      </c>
      <c r="D837" s="19" t="inlineStr">
        <is>
          <t>Loss</t>
        </is>
      </c>
      <c r="E837" s="19" t="n">
        <v>-96</v>
      </c>
      <c r="F837" s="19" t="n">
        <v>34.3193713726367</v>
      </c>
      <c r="G837" s="19" t="n">
        <v>32.8415148887296</v>
      </c>
      <c r="H837" s="19" t="n">
        <v>6.81229451652684</v>
      </c>
      <c r="I837" s="19" t="n">
        <v>1634</v>
      </c>
      <c r="J837" s="19" t="n">
        <v>1538</v>
      </c>
      <c r="K837" s="19" t="n">
        <v>6.85717295230943</v>
      </c>
    </row>
    <row r="838">
      <c r="A838" s="19" t="n">
        <v>99</v>
      </c>
      <c r="B838" s="19" t="inlineStr">
        <is>
          <t>Whyin</t>
        </is>
      </c>
      <c r="C838" s="19" t="inlineStr">
        <is>
          <t>Town</t>
        </is>
      </c>
      <c r="D838" s="19" t="inlineStr">
        <is>
          <t>Loss</t>
        </is>
      </c>
      <c r="E838" s="19" t="n">
        <v>-40</v>
      </c>
      <c r="F838" s="19" t="n">
        <v>30.5272378475303</v>
      </c>
      <c r="G838" s="19" t="n">
        <v>29.89416414238</v>
      </c>
      <c r="H838" s="19" t="n">
        <v>7.31978161941504</v>
      </c>
      <c r="I838" s="19" t="n">
        <v>1326</v>
      </c>
      <c r="J838" s="19" t="n">
        <v>1286</v>
      </c>
      <c r="K838" s="19" t="n">
        <v>7.3535870992892</v>
      </c>
    </row>
    <row r="839">
      <c r="A839" s="19" t="n">
        <v>99</v>
      </c>
      <c r="B839" s="19" t="inlineStr">
        <is>
          <t>Lou</t>
        </is>
      </c>
      <c r="C839" s="19" t="inlineStr">
        <is>
          <t>Town</t>
        </is>
      </c>
      <c r="D839" s="19" t="inlineStr">
        <is>
          <t>Loss</t>
        </is>
      </c>
      <c r="E839" s="19" t="n">
        <v>-37</v>
      </c>
      <c r="F839" s="19" t="n">
        <v>29.2014865692988</v>
      </c>
      <c r="G839" s="19" t="n">
        <v>28.6041540882984</v>
      </c>
      <c r="H839" s="19" t="n">
        <v>7.11234970333581</v>
      </c>
      <c r="I839" s="19" t="n">
        <v>1257</v>
      </c>
      <c r="J839" s="19" t="n">
        <v>1220</v>
      </c>
      <c r="K839" s="19" t="n">
        <v>7.14263640007849</v>
      </c>
    </row>
    <row r="840">
      <c r="A840" s="19" t="n">
        <v>99</v>
      </c>
      <c r="B840" s="19" t="inlineStr">
        <is>
          <t>Badpants</t>
        </is>
      </c>
      <c r="C840" s="19" t="inlineStr">
        <is>
          <t>Town</t>
        </is>
      </c>
      <c r="D840" s="19" t="inlineStr">
        <is>
          <t>Loss</t>
        </is>
      </c>
      <c r="E840" s="19" t="n">
        <v>-38</v>
      </c>
      <c r="F840" s="19" t="n">
        <v>25.2711527401558</v>
      </c>
      <c r="G840" s="19" t="n">
        <v>24.6784466323859</v>
      </c>
      <c r="H840" s="19" t="n">
        <v>7.08503636092013</v>
      </c>
      <c r="I840" s="19" t="n">
        <v>993</v>
      </c>
      <c r="J840" s="19" t="n">
        <v>955</v>
      </c>
      <c r="K840" s="19" t="n">
        <v>7.11487359115804</v>
      </c>
    </row>
    <row r="841">
      <c r="A841" s="19" t="n">
        <v>99</v>
      </c>
      <c r="B841" s="19" t="inlineStr">
        <is>
          <t>Relm</t>
        </is>
      </c>
      <c r="C841" s="19" t="inlineStr">
        <is>
          <t>Town</t>
        </is>
      </c>
      <c r="D841" s="19" t="inlineStr">
        <is>
          <t>Loss</t>
        </is>
      </c>
      <c r="E841" s="19" t="n">
        <v>-50</v>
      </c>
      <c r="F841" s="19" t="n">
        <v>25</v>
      </c>
      <c r="G841" s="19" t="n">
        <v>24.187293811353</v>
      </c>
      <c r="H841" s="19" t="n">
        <v>8.28061875821588</v>
      </c>
      <c r="I841" s="19" t="n">
        <v>850</v>
      </c>
      <c r="J841" s="19" t="n">
        <v>800</v>
      </c>
      <c r="K841" s="19" t="n">
        <v>8.33333333333333</v>
      </c>
    </row>
    <row r="842">
      <c r="A842" s="19" t="n">
        <v>99</v>
      </c>
      <c r="B842" s="19" t="inlineStr">
        <is>
          <t>Plen</t>
        </is>
      </c>
      <c r="C842" s="19" t="inlineStr">
        <is>
          <t>Town</t>
        </is>
      </c>
      <c r="D842" s="19" t="inlineStr">
        <is>
          <t>Loss</t>
        </is>
      </c>
      <c r="E842" s="19" t="n">
        <v>-38</v>
      </c>
      <c r="F842" s="19" t="n">
        <v>22.4154492201079</v>
      </c>
      <c r="G842" s="19" t="n">
        <v>21.8181019908755</v>
      </c>
      <c r="H842" s="19" t="n">
        <v>7.11243659970328</v>
      </c>
      <c r="I842" s="19" t="n">
        <v>796</v>
      </c>
      <c r="J842" s="19" t="n">
        <v>758</v>
      </c>
      <c r="K842" s="19" t="n">
        <v>7.14272473148799</v>
      </c>
    </row>
    <row r="843">
      <c r="A843" s="19" t="n">
        <v>99</v>
      </c>
      <c r="B843" s="19" t="inlineStr">
        <is>
          <t>Gilbert</t>
        </is>
      </c>
      <c r="C843" s="19" t="inlineStr">
        <is>
          <t>Town</t>
        </is>
      </c>
      <c r="D843" s="19" t="inlineStr">
        <is>
          <t>Loss</t>
        </is>
      </c>
      <c r="E843" s="19" t="n">
        <v>-47</v>
      </c>
      <c r="F843" s="19" t="n">
        <v>25.7211165626143</v>
      </c>
      <c r="G843" s="19" t="n">
        <v>24.9644230020072</v>
      </c>
      <c r="H843" s="19" t="n">
        <v>7.99404745094464</v>
      </c>
      <c r="I843" s="19" t="n">
        <v>929</v>
      </c>
      <c r="J843" s="19" t="n">
        <v>882</v>
      </c>
      <c r="K843" s="19" t="n">
        <v>8.040649975670931</v>
      </c>
    </row>
    <row r="844">
      <c r="A844" s="19" t="n">
        <v>99</v>
      </c>
      <c r="B844" s="19" t="inlineStr">
        <is>
          <t>Chipper</t>
        </is>
      </c>
      <c r="C844" s="19" t="inlineStr">
        <is>
          <t>Town</t>
        </is>
      </c>
      <c r="D844" s="19" t="inlineStr">
        <is>
          <t>Loss</t>
        </is>
      </c>
      <c r="E844" s="19" t="n">
        <v>-38</v>
      </c>
      <c r="F844" s="19" t="n">
        <v>22.0569581879741</v>
      </c>
      <c r="G844" s="19" t="n">
        <v>21.4506096955145</v>
      </c>
      <c r="H844" s="19" t="n">
        <v>7.16526703517476</v>
      </c>
      <c r="I844" s="19" t="n">
        <v>766</v>
      </c>
      <c r="J844" s="19" t="n">
        <v>728</v>
      </c>
      <c r="K844" s="19" t="n">
        <v>7.19643362723281</v>
      </c>
    </row>
    <row r="845">
      <c r="A845" s="19" t="n">
        <v>99</v>
      </c>
      <c r="B845" s="19" t="inlineStr">
        <is>
          <t>Rollo</t>
        </is>
      </c>
      <c r="C845" s="19" t="inlineStr">
        <is>
          <t>Town</t>
        </is>
      </c>
      <c r="D845" s="19" t="inlineStr">
        <is>
          <t>Loss</t>
        </is>
      </c>
      <c r="E845" s="19" t="n">
        <v>-40</v>
      </c>
      <c r="F845" s="19" t="n">
        <v>32.1502334626395</v>
      </c>
      <c r="G845" s="19" t="n">
        <v>31.5114972849975</v>
      </c>
      <c r="H845" s="19" t="n">
        <v>7.35208465598964</v>
      </c>
      <c r="I845" s="19" t="n">
        <v>1433</v>
      </c>
      <c r="J845" s="19" t="n">
        <v>1393</v>
      </c>
      <c r="K845" s="19" t="n">
        <v>7.38645513873415</v>
      </c>
    </row>
    <row r="846">
      <c r="A846" s="19" t="n">
        <v>99</v>
      </c>
      <c r="B846" s="19" t="inlineStr">
        <is>
          <t>Noah</t>
        </is>
      </c>
      <c r="C846" s="19" t="inlineStr">
        <is>
          <t>Town</t>
        </is>
      </c>
      <c r="D846" s="19" t="inlineStr">
        <is>
          <t>Loss</t>
        </is>
      </c>
      <c r="E846" s="19" t="n">
        <v>-38</v>
      </c>
      <c r="F846" s="19" t="n">
        <v>29.4254595376514</v>
      </c>
      <c r="G846" s="19" t="n">
        <v>28.8189446841703</v>
      </c>
      <c r="H846" s="19" t="n">
        <v>7.16623962414601</v>
      </c>
      <c r="I846" s="19" t="n">
        <v>1267</v>
      </c>
      <c r="J846" s="19" t="n">
        <v>1229</v>
      </c>
      <c r="K846" s="19" t="n">
        <v>7.19742250097056</v>
      </c>
    </row>
    <row r="847">
      <c r="A847" s="19" t="n">
        <v>99</v>
      </c>
      <c r="B847" s="19" t="inlineStr">
        <is>
          <t>Kden</t>
        </is>
      </c>
      <c r="C847" s="19" t="inlineStr">
        <is>
          <t>Town</t>
        </is>
      </c>
      <c r="D847" s="19" t="inlineStr">
        <is>
          <t>Loss</t>
        </is>
      </c>
      <c r="E847" s="19" t="n">
        <v>-40</v>
      </c>
      <c r="F847" s="19" t="n">
        <v>30.4495582252037</v>
      </c>
      <c r="G847" s="19" t="n">
        <v>29.8082638783276</v>
      </c>
      <c r="H847" s="19" t="n">
        <v>7.36662985333114</v>
      </c>
      <c r="I847" s="19" t="n">
        <v>1316</v>
      </c>
      <c r="J847" s="19" t="n">
        <v>1276</v>
      </c>
      <c r="K847" s="19" t="n">
        <v>7.40125626377478</v>
      </c>
    </row>
    <row r="848">
      <c r="A848" s="19" t="n">
        <v>99</v>
      </c>
      <c r="B848" s="19" t="inlineStr">
        <is>
          <t>Laur</t>
        </is>
      </c>
      <c r="C848" s="19" t="inlineStr">
        <is>
          <t>Town</t>
        </is>
      </c>
      <c r="D848" s="19" t="inlineStr">
        <is>
          <t>Loss</t>
        </is>
      </c>
      <c r="E848" s="19" t="n">
        <v>-41</v>
      </c>
      <c r="F848" s="19" t="n">
        <v>33.7194947815184</v>
      </c>
      <c r="G848" s="19" t="n">
        <v>33.0712141353798</v>
      </c>
      <c r="H848" s="19" t="n">
        <v>7.40620032940396</v>
      </c>
      <c r="I848" s="19" t="n">
        <v>1534</v>
      </c>
      <c r="J848" s="19" t="n">
        <v>1493</v>
      </c>
      <c r="K848" s="19" t="n">
        <v>7.44152780380707</v>
      </c>
    </row>
    <row r="849">
      <c r="A849" s="19" t="n">
        <v>99</v>
      </c>
      <c r="B849" s="19" t="inlineStr">
        <is>
          <t>Carson</t>
        </is>
      </c>
      <c r="C849" s="19" t="inlineStr">
        <is>
          <t>Mafia</t>
        </is>
      </c>
      <c r="D849" s="19" t="inlineStr">
        <is>
          <t>Win</t>
        </is>
      </c>
      <c r="E849" s="19" t="n">
        <v>45</v>
      </c>
      <c r="F849" s="19" t="n">
        <v>28.8103265717412</v>
      </c>
      <c r="G849" s="19" t="n">
        <v>29.4216780578896</v>
      </c>
      <c r="H849" s="19" t="n">
        <v>7.19445587592532</v>
      </c>
      <c r="I849" s="19" t="n">
        <v>1222</v>
      </c>
      <c r="J849" s="19" t="n">
        <v>1267</v>
      </c>
      <c r="K849" s="19" t="n">
        <v>7.22611298002722</v>
      </c>
    </row>
    <row r="850">
      <c r="A850" s="19" t="n">
        <v>99</v>
      </c>
      <c r="B850" s="19" t="inlineStr">
        <is>
          <t>Streety</t>
        </is>
      </c>
      <c r="C850" s="19" t="inlineStr">
        <is>
          <t>Mafia</t>
        </is>
      </c>
      <c r="D850" s="19" t="inlineStr">
        <is>
          <t>Win</t>
        </is>
      </c>
      <c r="E850" s="19" t="n">
        <v>51</v>
      </c>
      <c r="F850" s="19" t="n">
        <v>24.8438277995123</v>
      </c>
      <c r="G850" s="19" t="n">
        <v>25.526938787554</v>
      </c>
      <c r="H850" s="19" t="n">
        <v>7.60026639393427</v>
      </c>
      <c r="I850" s="19" t="n">
        <v>910</v>
      </c>
      <c r="J850" s="19" t="n">
        <v>961</v>
      </c>
      <c r="K850" s="19" t="n">
        <v>7.63913543761054</v>
      </c>
    </row>
    <row r="851">
      <c r="A851" s="19" t="n">
        <v>99</v>
      </c>
      <c r="B851" s="19" t="inlineStr">
        <is>
          <t>Chester</t>
        </is>
      </c>
      <c r="C851" s="19" t="inlineStr">
        <is>
          <t>Mafia</t>
        </is>
      </c>
      <c r="D851" s="19" t="inlineStr">
        <is>
          <t>Win</t>
        </is>
      </c>
      <c r="E851" s="19" t="n">
        <v>56</v>
      </c>
      <c r="F851" s="19" t="n">
        <v>28.5665311384349</v>
      </c>
      <c r="G851" s="19" t="n">
        <v>29.3126345093456</v>
      </c>
      <c r="H851" s="19" t="n">
        <v>7.93863832934605</v>
      </c>
      <c r="I851" s="19" t="n">
        <v>1128</v>
      </c>
      <c r="J851" s="19" t="n">
        <v>1184</v>
      </c>
      <c r="K851" s="19" t="n">
        <v>7.98410699352233</v>
      </c>
    </row>
    <row r="852">
      <c r="A852" s="19" t="n">
        <v>98</v>
      </c>
      <c r="B852" s="19" t="inlineStr">
        <is>
          <t>Noah</t>
        </is>
      </c>
      <c r="C852" s="19" t="inlineStr">
        <is>
          <t>Town</t>
        </is>
      </c>
      <c r="D852" s="19" t="inlineStr">
        <is>
          <t>Win</t>
        </is>
      </c>
      <c r="E852" s="19" t="n">
        <v>62</v>
      </c>
      <c r="F852" s="19" t="n">
        <v>28.5812556616179</v>
      </c>
      <c r="G852" s="19" t="n">
        <v>29.4254595376514</v>
      </c>
      <c r="H852" s="19" t="n">
        <v>7.19742250097056</v>
      </c>
      <c r="I852" s="19" t="n">
        <v>1205</v>
      </c>
      <c r="J852" s="19" t="n">
        <v>1267</v>
      </c>
      <c r="K852" s="19" t="n">
        <v>7.23873770235447</v>
      </c>
    </row>
    <row r="853">
      <c r="A853" s="19" t="n">
        <v>98</v>
      </c>
      <c r="B853" s="19" t="inlineStr">
        <is>
          <t>Plen</t>
        </is>
      </c>
      <c r="C853" s="19" t="inlineStr">
        <is>
          <t>Town</t>
        </is>
      </c>
      <c r="D853" s="19" t="inlineStr">
        <is>
          <t>Win</t>
        </is>
      </c>
      <c r="E853" s="19" t="n">
        <v>61</v>
      </c>
      <c r="F853" s="19" t="n">
        <v>21.5841968525315</v>
      </c>
      <c r="G853" s="19" t="n">
        <v>22.4154492201079</v>
      </c>
      <c r="H853" s="19" t="n">
        <v>7.14272473148799</v>
      </c>
      <c r="I853" s="19" t="n">
        <v>735</v>
      </c>
      <c r="J853" s="19" t="n">
        <v>796</v>
      </c>
      <c r="K853" s="19" t="n">
        <v>7.18289975904159</v>
      </c>
    </row>
    <row r="854">
      <c r="A854" s="19" t="n">
        <v>98</v>
      </c>
      <c r="B854" s="19" t="inlineStr">
        <is>
          <t>Motr</t>
        </is>
      </c>
      <c r="C854" s="19" t="inlineStr">
        <is>
          <t>Town</t>
        </is>
      </c>
      <c r="D854" s="19" t="inlineStr">
        <is>
          <t>Win</t>
        </is>
      </c>
      <c r="E854" s="19" t="n">
        <v>77</v>
      </c>
      <c r="F854" s="19" t="n">
        <v>27.3738078169263</v>
      </c>
      <c r="G854" s="19" t="n">
        <v>28.4128029988644</v>
      </c>
      <c r="H854" s="19" t="n">
        <v>7.97251139561193</v>
      </c>
      <c r="I854" s="19" t="n">
        <v>1042</v>
      </c>
      <c r="J854" s="19" t="n">
        <v>1119</v>
      </c>
      <c r="K854" s="19" t="n">
        <v>8.03185480453263</v>
      </c>
    </row>
    <row r="855">
      <c r="A855" s="19" t="n">
        <v>98</v>
      </c>
      <c r="B855" s="19" t="inlineStr">
        <is>
          <t>Laur</t>
        </is>
      </c>
      <c r="C855" s="19" t="inlineStr">
        <is>
          <t>Town</t>
        </is>
      </c>
      <c r="D855" s="19" t="inlineStr">
        <is>
          <t>Win</t>
        </is>
      </c>
      <c r="E855" s="19" t="n">
        <v>66</v>
      </c>
      <c r="F855" s="19" t="n">
        <v>32.8162188580881</v>
      </c>
      <c r="G855" s="19" t="n">
        <v>33.7194947815184</v>
      </c>
      <c r="H855" s="19" t="n">
        <v>7.44152780380707</v>
      </c>
      <c r="I855" s="19" t="n">
        <v>1468</v>
      </c>
      <c r="J855" s="19" t="n">
        <v>1534</v>
      </c>
      <c r="K855" s="19" t="n">
        <v>7.48813690931306</v>
      </c>
    </row>
    <row r="856">
      <c r="A856" s="19" t="n">
        <v>98</v>
      </c>
      <c r="B856" s="19" t="inlineStr">
        <is>
          <t>Nick</t>
        </is>
      </c>
      <c r="C856" s="19" t="inlineStr">
        <is>
          <t>Town</t>
        </is>
      </c>
      <c r="D856" s="19" t="inlineStr">
        <is>
          <t>Win</t>
        </is>
      </c>
      <c r="E856" s="19" t="n">
        <v>77</v>
      </c>
      <c r="F856" s="19" t="n">
        <v>25.5560097923949</v>
      </c>
      <c r="G856" s="19" t="n">
        <v>26.5957678621264</v>
      </c>
      <c r="H856" s="19" t="n">
        <v>7.97538989065839</v>
      </c>
      <c r="I856" s="19" t="n">
        <v>918</v>
      </c>
      <c r="J856" s="19" t="n">
        <v>995</v>
      </c>
      <c r="K856" s="19" t="n">
        <v>8.034807092016189</v>
      </c>
    </row>
    <row r="857">
      <c r="A857" s="19" t="n">
        <v>98</v>
      </c>
      <c r="B857" s="19" t="inlineStr">
        <is>
          <t>Streety</t>
        </is>
      </c>
      <c r="C857" s="19" t="inlineStr">
        <is>
          <t>Town</t>
        </is>
      </c>
      <c r="D857" s="19" t="inlineStr">
        <is>
          <t>Win</t>
        </is>
      </c>
      <c r="E857" s="19" t="n">
        <v>70</v>
      </c>
      <c r="F857" s="19" t="n">
        <v>23.8912038950995</v>
      </c>
      <c r="G857" s="19" t="n">
        <v>24.8438277995123</v>
      </c>
      <c r="H857" s="19" t="n">
        <v>7.63913543761054</v>
      </c>
      <c r="I857" s="19" t="n">
        <v>840</v>
      </c>
      <c r="J857" s="19" t="n">
        <v>910</v>
      </c>
      <c r="K857" s="19" t="n">
        <v>7.69028351091023</v>
      </c>
    </row>
    <row r="858">
      <c r="A858" s="19" t="n">
        <v>98</v>
      </c>
      <c r="B858" s="19" t="inlineStr">
        <is>
          <t>Carson</t>
        </is>
      </c>
      <c r="C858" s="19" t="inlineStr">
        <is>
          <t>Town</t>
        </is>
      </c>
      <c r="D858" s="19" t="inlineStr">
        <is>
          <t>Win</t>
        </is>
      </c>
      <c r="E858" s="19" t="n">
        <v>62</v>
      </c>
      <c r="F858" s="19" t="n">
        <v>27.9592876198379</v>
      </c>
      <c r="G858" s="19" t="n">
        <v>28.8103265717412</v>
      </c>
      <c r="H858" s="19" t="n">
        <v>7.22611298002722</v>
      </c>
      <c r="I858" s="19" t="n">
        <v>1160</v>
      </c>
      <c r="J858" s="19" t="n">
        <v>1222</v>
      </c>
      <c r="K858" s="19" t="n">
        <v>7.26803288637003</v>
      </c>
    </row>
    <row r="859">
      <c r="A859" s="19" t="n">
        <v>98</v>
      </c>
      <c r="B859" s="19" t="inlineStr">
        <is>
          <t>Rollo</t>
        </is>
      </c>
      <c r="C859" s="19" t="inlineStr">
        <is>
          <t>Town</t>
        </is>
      </c>
      <c r="D859" s="19" t="inlineStr">
        <is>
          <t>Win</t>
        </is>
      </c>
      <c r="E859" s="19" t="n">
        <v>65</v>
      </c>
      <c r="F859" s="19" t="n">
        <v>31.260466695274</v>
      </c>
      <c r="G859" s="19" t="n">
        <v>32.1502334626395</v>
      </c>
      <c r="H859" s="19" t="n">
        <v>7.38645513873415</v>
      </c>
      <c r="I859" s="19" t="n">
        <v>1368</v>
      </c>
      <c r="J859" s="19" t="n">
        <v>1433</v>
      </c>
      <c r="K859" s="19" t="n">
        <v>7.43184011074387</v>
      </c>
    </row>
    <row r="860">
      <c r="A860" s="19" t="n">
        <v>98</v>
      </c>
      <c r="B860" s="19" t="inlineStr">
        <is>
          <t>Smit</t>
        </is>
      </c>
      <c r="C860" s="19" t="inlineStr">
        <is>
          <t>Town</t>
        </is>
      </c>
      <c r="D860" s="19" t="inlineStr">
        <is>
          <t>Win</t>
        </is>
      </c>
      <c r="E860" s="19" t="n">
        <v>62</v>
      </c>
      <c r="F860" s="19" t="n">
        <v>25.5232013662736</v>
      </c>
      <c r="G860" s="19" t="n">
        <v>26.3741362904795</v>
      </c>
      <c r="H860" s="19" t="n">
        <v>7.22567722037341</v>
      </c>
      <c r="I860" s="19" t="n">
        <v>994</v>
      </c>
      <c r="J860" s="19" t="n">
        <v>1056</v>
      </c>
      <c r="K860" s="19" t="n">
        <v>7.26758790786233</v>
      </c>
    </row>
    <row r="861">
      <c r="A861" s="19" t="n">
        <v>98</v>
      </c>
      <c r="B861" s="19" t="inlineStr">
        <is>
          <t>Kden</t>
        </is>
      </c>
      <c r="C861" s="19" t="inlineStr">
        <is>
          <t>Town</t>
        </is>
      </c>
      <c r="D861" s="19" t="inlineStr">
        <is>
          <t>Win</t>
        </is>
      </c>
      <c r="E861" s="19" t="n">
        <v>66</v>
      </c>
      <c r="F861" s="19" t="n">
        <v>29.5561712182176</v>
      </c>
      <c r="G861" s="19" t="n">
        <v>30.4495582252037</v>
      </c>
      <c r="H861" s="19" t="n">
        <v>7.40125626377478</v>
      </c>
      <c r="I861" s="19" t="n">
        <v>1250</v>
      </c>
      <c r="J861" s="19" t="n">
        <v>1316</v>
      </c>
      <c r="K861" s="19" t="n">
        <v>7.44696850358681</v>
      </c>
    </row>
    <row r="862">
      <c r="A862" s="19" t="n">
        <v>98</v>
      </c>
      <c r="B862" s="19" t="inlineStr">
        <is>
          <t>Cj</t>
        </is>
      </c>
      <c r="C862" s="19" t="inlineStr">
        <is>
          <t>Mafia</t>
        </is>
      </c>
      <c r="D862" s="19" t="inlineStr">
        <is>
          <t>Loss</t>
        </is>
      </c>
      <c r="E862" s="19" t="n">
        <v>-65</v>
      </c>
      <c r="F862" s="19" t="n">
        <v>26.6172091398916</v>
      </c>
      <c r="G862" s="19" t="n">
        <v>25.5623100236408</v>
      </c>
      <c r="H862" s="19" t="n">
        <v>8.032291591534889</v>
      </c>
      <c r="I862" s="19" t="n">
        <v>984</v>
      </c>
      <c r="J862" s="19" t="n">
        <v>919</v>
      </c>
      <c r="K862" s="19" t="n">
        <v>8.093178397113229</v>
      </c>
    </row>
    <row r="863">
      <c r="A863" s="19" t="n">
        <v>98</v>
      </c>
      <c r="B863" s="19" t="inlineStr">
        <is>
          <t>Kwix</t>
        </is>
      </c>
      <c r="C863" s="19" t="inlineStr">
        <is>
          <t>Mafia</t>
        </is>
      </c>
      <c r="D863" s="19" t="inlineStr">
        <is>
          <t>Loss</t>
        </is>
      </c>
      <c r="E863" s="19" t="n">
        <v>-55</v>
      </c>
      <c r="F863" s="19" t="n">
        <v>26.9403347141942</v>
      </c>
      <c r="G863" s="19" t="n">
        <v>26.0583258451043</v>
      </c>
      <c r="H863" s="19" t="n">
        <v>7.3546313649686</v>
      </c>
      <c r="I863" s="19" t="n">
        <v>1077</v>
      </c>
      <c r="J863" s="19" t="n">
        <v>1022</v>
      </c>
      <c r="K863" s="19" t="n">
        <v>7.39931695489105</v>
      </c>
    </row>
    <row r="864">
      <c r="A864" s="19" t="n">
        <v>98</v>
      </c>
      <c r="B864" s="19" t="inlineStr">
        <is>
          <t>Machop</t>
        </is>
      </c>
      <c r="C864" s="19" t="inlineStr">
        <is>
          <t>Mafia</t>
        </is>
      </c>
      <c r="D864" s="19" t="inlineStr">
        <is>
          <t>Loss</t>
        </is>
      </c>
      <c r="E864" s="19" t="n">
        <v>-50</v>
      </c>
      <c r="F864" s="19" t="n">
        <v>23.6723192935523</v>
      </c>
      <c r="G864" s="19" t="n">
        <v>22.8872199988325</v>
      </c>
      <c r="H864" s="19" t="n">
        <v>6.94411618914661</v>
      </c>
      <c r="I864" s="19" t="n">
        <v>898</v>
      </c>
      <c r="J864" s="19" t="n">
        <v>848</v>
      </c>
      <c r="K864" s="19" t="n">
        <v>6.98028866462985</v>
      </c>
    </row>
    <row r="865">
      <c r="A865" s="19" t="n">
        <v>97</v>
      </c>
      <c r="B865" s="19" t="inlineStr">
        <is>
          <t>Iln</t>
        </is>
      </c>
      <c r="C865" s="19" t="inlineStr">
        <is>
          <t>Town</t>
        </is>
      </c>
      <c r="D865" s="19" t="inlineStr">
        <is>
          <t>Win</t>
        </is>
      </c>
      <c r="E865" s="19" t="n">
        <v>85</v>
      </c>
      <c r="F865" s="19" t="n">
        <v>23.7549826634201</v>
      </c>
      <c r="G865" s="19" t="n">
        <v>24.9387923690789</v>
      </c>
      <c r="H865" s="19" t="n">
        <v>7.25170738598864</v>
      </c>
      <c r="I865" s="19" t="n">
        <v>871</v>
      </c>
      <c r="J865" s="19" t="n">
        <v>956</v>
      </c>
      <c r="K865" s="19" t="n">
        <v>7.30042961992813</v>
      </c>
    </row>
    <row r="866">
      <c r="A866" s="19" t="n">
        <v>97</v>
      </c>
      <c r="B866" s="19" t="inlineStr">
        <is>
          <t>Svaan</t>
        </is>
      </c>
      <c r="C866" s="19" t="inlineStr">
        <is>
          <t>Town</t>
        </is>
      </c>
      <c r="D866" s="19" t="inlineStr">
        <is>
          <t>Win</t>
        </is>
      </c>
      <c r="E866" s="19" t="n">
        <v>99</v>
      </c>
      <c r="F866" s="19" t="n">
        <v>25.8839857207317</v>
      </c>
      <c r="G866" s="19" t="n">
        <v>27.2465047767679</v>
      </c>
      <c r="H866" s="19" t="n">
        <v>7.77091164424637</v>
      </c>
      <c r="I866" s="19" t="n">
        <v>961</v>
      </c>
      <c r="J866" s="19" t="n">
        <v>1060</v>
      </c>
      <c r="K866" s="19" t="n">
        <v>7.8329770308934</v>
      </c>
    </row>
    <row r="867">
      <c r="A867" s="19" t="n">
        <v>97</v>
      </c>
      <c r="B867" s="19" t="inlineStr">
        <is>
          <t>Kwix</t>
        </is>
      </c>
      <c r="C867" s="19" t="inlineStr">
        <is>
          <t>Town</t>
        </is>
      </c>
      <c r="D867" s="19" t="inlineStr">
        <is>
          <t>Win</t>
        </is>
      </c>
      <c r="E867" s="19" t="n">
        <v>89</v>
      </c>
      <c r="F867" s="19" t="n">
        <v>25.7070582717819</v>
      </c>
      <c r="G867" s="19" t="n">
        <v>26.9403347141942</v>
      </c>
      <c r="H867" s="19" t="n">
        <v>7.39931695489105</v>
      </c>
      <c r="I867" s="19" t="n">
        <v>988</v>
      </c>
      <c r="J867" s="19" t="n">
        <v>1077</v>
      </c>
      <c r="K867" s="19" t="n">
        <v>7.45164910122568</v>
      </c>
    </row>
    <row r="868">
      <c r="A868" s="19" t="n">
        <v>97</v>
      </c>
      <c r="B868" s="19" t="inlineStr">
        <is>
          <t>Chipper</t>
        </is>
      </c>
      <c r="C868" s="19" t="inlineStr">
        <is>
          <t>Town</t>
        </is>
      </c>
      <c r="D868" s="19" t="inlineStr">
        <is>
          <t>Win</t>
        </is>
      </c>
      <c r="E868" s="19" t="n">
        <v>84</v>
      </c>
      <c r="F868" s="19" t="n">
        <v>20.8913991334843</v>
      </c>
      <c r="G868" s="19" t="n">
        <v>22.0569581879741</v>
      </c>
      <c r="H868" s="19" t="n">
        <v>7.19643362723281</v>
      </c>
      <c r="I868" s="19" t="n">
        <v>682</v>
      </c>
      <c r="J868" s="19" t="n">
        <v>766</v>
      </c>
      <c r="K868" s="19" t="n">
        <v>7.24384034349369</v>
      </c>
    </row>
    <row r="869">
      <c r="A869" s="19" t="n">
        <v>97</v>
      </c>
      <c r="B869" s="19" t="inlineStr">
        <is>
          <t>Badpants</t>
        </is>
      </c>
      <c r="C869" s="19" t="inlineStr">
        <is>
          <t>Town</t>
        </is>
      </c>
      <c r="D869" s="19" t="inlineStr">
        <is>
          <t>Win</t>
        </is>
      </c>
      <c r="E869" s="19" t="n">
        <v>82</v>
      </c>
      <c r="F869" s="19" t="n">
        <v>24.1322530657818</v>
      </c>
      <c r="G869" s="19" t="n">
        <v>25.2711527401558</v>
      </c>
      <c r="H869" s="19" t="n">
        <v>7.11487359115804</v>
      </c>
      <c r="I869" s="19" t="n">
        <v>911</v>
      </c>
      <c r="J869" s="19" t="n">
        <v>993</v>
      </c>
      <c r="K869" s="19" t="n">
        <v>7.16037462107801</v>
      </c>
    </row>
    <row r="870">
      <c r="A870" s="19" t="n">
        <v>97</v>
      </c>
      <c r="B870" s="19" t="inlineStr">
        <is>
          <t>Lou</t>
        </is>
      </c>
      <c r="C870" s="19" t="inlineStr">
        <is>
          <t>Town</t>
        </is>
      </c>
      <c r="D870" s="19" t="inlineStr">
        <is>
          <t>Win</t>
        </is>
      </c>
      <c r="E870" s="19" t="n">
        <v>83</v>
      </c>
      <c r="F870" s="19" t="n">
        <v>28.0535483029944</v>
      </c>
      <c r="G870" s="19" t="n">
        <v>29.2014865692988</v>
      </c>
      <c r="H870" s="19" t="n">
        <v>7.14263640007849</v>
      </c>
      <c r="I870" s="19" t="n">
        <v>1174</v>
      </c>
      <c r="J870" s="19" t="n">
        <v>1257</v>
      </c>
      <c r="K870" s="19" t="n">
        <v>7.18878140875526</v>
      </c>
    </row>
    <row r="871">
      <c r="A871" s="19" t="n">
        <v>97</v>
      </c>
      <c r="B871" s="19" t="inlineStr">
        <is>
          <t>Chester</t>
        </is>
      </c>
      <c r="C871" s="19" t="inlineStr">
        <is>
          <t>Town</t>
        </is>
      </c>
      <c r="D871" s="19" t="inlineStr">
        <is>
          <t>Win</t>
        </is>
      </c>
      <c r="E871" s="19" t="n">
        <v>105</v>
      </c>
      <c r="F871" s="19" t="n">
        <v>27.1267948180285</v>
      </c>
      <c r="G871" s="19" t="n">
        <v>28.5665311384349</v>
      </c>
      <c r="H871" s="19" t="n">
        <v>7.98410699352233</v>
      </c>
      <c r="I871" s="19" t="n">
        <v>1023</v>
      </c>
      <c r="J871" s="19" t="n">
        <v>1128</v>
      </c>
      <c r="K871" s="19" t="n">
        <v>8.05219203393175</v>
      </c>
    </row>
    <row r="872">
      <c r="A872" s="19" t="n">
        <v>97</v>
      </c>
      <c r="B872" s="19" t="inlineStr">
        <is>
          <t>Kden</t>
        </is>
      </c>
      <c r="C872" s="19" t="inlineStr">
        <is>
          <t>Town</t>
        </is>
      </c>
      <c r="D872" s="19" t="inlineStr">
        <is>
          <t>Win</t>
        </is>
      </c>
      <c r="E872" s="19" t="n">
        <v>90</v>
      </c>
      <c r="F872" s="19" t="n">
        <v>28.30669915344</v>
      </c>
      <c r="G872" s="19" t="n">
        <v>29.5561712182176</v>
      </c>
      <c r="H872" s="19" t="n">
        <v>7.44696850358681</v>
      </c>
      <c r="I872" s="19" t="n">
        <v>1160</v>
      </c>
      <c r="J872" s="19" t="n">
        <v>1250</v>
      </c>
      <c r="K872" s="19" t="n">
        <v>7.50049654331875</v>
      </c>
    </row>
    <row r="873">
      <c r="A873" s="19" t="n">
        <v>97</v>
      </c>
      <c r="B873" s="19" t="inlineStr">
        <is>
          <t>Smit</t>
        </is>
      </c>
      <c r="C873" s="19" t="inlineStr">
        <is>
          <t>Town</t>
        </is>
      </c>
      <c r="D873" s="19" t="inlineStr">
        <is>
          <t>Win</t>
        </is>
      </c>
      <c r="E873" s="19" t="n">
        <v>86</v>
      </c>
      <c r="F873" s="19" t="n">
        <v>24.3341206871969</v>
      </c>
      <c r="G873" s="19" t="n">
        <v>25.5232013662736</v>
      </c>
      <c r="H873" s="19" t="n">
        <v>7.26758790786233</v>
      </c>
      <c r="I873" s="19" t="n">
        <v>908</v>
      </c>
      <c r="J873" s="19" t="n">
        <v>994</v>
      </c>
      <c r="K873" s="19" t="n">
        <v>7.31669172180843</v>
      </c>
    </row>
    <row r="874">
      <c r="A874" s="19" t="n">
        <v>97</v>
      </c>
      <c r="B874" s="19" t="inlineStr">
        <is>
          <t>Cj</t>
        </is>
      </c>
      <c r="C874" s="19" t="inlineStr">
        <is>
          <t>Town</t>
        </is>
      </c>
      <c r="D874" s="19" t="inlineStr">
        <is>
          <t>Win</t>
        </is>
      </c>
      <c r="E874" s="19" t="n">
        <v>107</v>
      </c>
      <c r="F874" s="19" t="n">
        <v>25.1370979362667</v>
      </c>
      <c r="G874" s="19" t="n">
        <v>26.6172091398916</v>
      </c>
      <c r="H874" s="19" t="n">
        <v>8.093178397113229</v>
      </c>
      <c r="I874" s="19" t="n">
        <v>877</v>
      </c>
      <c r="J874" s="19" t="n">
        <v>984</v>
      </c>
      <c r="K874" s="19" t="n">
        <v>8.1644707652137</v>
      </c>
    </row>
    <row r="875">
      <c r="A875" s="19" t="n">
        <v>97</v>
      </c>
      <c r="B875" s="19" t="inlineStr">
        <is>
          <t>Motr</t>
        </is>
      </c>
      <c r="C875" s="19" t="inlineStr">
        <is>
          <t>Mafia</t>
        </is>
      </c>
      <c r="D875" s="19" t="inlineStr">
        <is>
          <t>Loss</t>
        </is>
      </c>
      <c r="E875" s="19" t="n">
        <v>-92</v>
      </c>
      <c r="F875" s="19" t="n">
        <v>28.8311462313025</v>
      </c>
      <c r="G875" s="19" t="n">
        <v>27.3738078169263</v>
      </c>
      <c r="H875" s="19" t="n">
        <v>8.03185480453263</v>
      </c>
      <c r="I875" s="19" t="n">
        <v>1134</v>
      </c>
      <c r="J875" s="19" t="n">
        <v>1042</v>
      </c>
      <c r="K875" s="19" t="n">
        <v>8.10133311729199</v>
      </c>
    </row>
    <row r="876">
      <c r="A876" s="19" t="n">
        <v>97</v>
      </c>
      <c r="B876" s="19" t="inlineStr">
        <is>
          <t>Happymeal</t>
        </is>
      </c>
      <c r="C876" s="19" t="inlineStr">
        <is>
          <t>Mafia</t>
        </is>
      </c>
      <c r="D876" s="19" t="inlineStr">
        <is>
          <t>Loss</t>
        </is>
      </c>
      <c r="E876" s="19" t="n">
        <v>-84</v>
      </c>
      <c r="F876" s="19" t="n">
        <v>24.4432305953534</v>
      </c>
      <c r="G876" s="19" t="n">
        <v>23.1267067169927</v>
      </c>
      <c r="H876" s="19" t="n">
        <v>7.64088206625299</v>
      </c>
      <c r="I876" s="19" t="n">
        <v>877</v>
      </c>
      <c r="J876" s="19" t="n">
        <v>793</v>
      </c>
      <c r="K876" s="19" t="n">
        <v>7.69943403066515</v>
      </c>
    </row>
    <row r="877">
      <c r="A877" s="19" t="n">
        <v>97</v>
      </c>
      <c r="B877" s="19" t="inlineStr">
        <is>
          <t>Machop</t>
        </is>
      </c>
      <c r="C877" s="19" t="inlineStr">
        <is>
          <t>Mafia</t>
        </is>
      </c>
      <c r="D877" s="19" t="inlineStr">
        <is>
          <t>Loss</t>
        </is>
      </c>
      <c r="E877" s="19" t="n">
        <v>-70</v>
      </c>
      <c r="F877" s="19" t="n">
        <v>24.7679312758144</v>
      </c>
      <c r="G877" s="19" t="n">
        <v>23.6723192935523</v>
      </c>
      <c r="H877" s="19" t="n">
        <v>6.98028866462985</v>
      </c>
      <c r="I877" s="19" t="n">
        <v>968</v>
      </c>
      <c r="J877" s="19" t="n">
        <v>898</v>
      </c>
      <c r="K877" s="19" t="n">
        <v>7.02273589359553</v>
      </c>
    </row>
    <row r="878">
      <c r="A878" s="19" t="n">
        <v>96</v>
      </c>
      <c r="B878" s="19" t="inlineStr">
        <is>
          <t>Motr</t>
        </is>
      </c>
      <c r="C878" s="19" t="inlineStr">
        <is>
          <t>Town</t>
        </is>
      </c>
      <c r="D878" s="19" t="inlineStr">
        <is>
          <t>Win</t>
        </is>
      </c>
      <c r="E878" s="19" t="n">
        <v>61</v>
      </c>
      <c r="F878" s="19" t="n">
        <v>28.0093348810827</v>
      </c>
      <c r="G878" s="19" t="n">
        <v>28.8311462313025</v>
      </c>
      <c r="H878" s="19" t="n">
        <v>8.10133311729199</v>
      </c>
      <c r="I878" s="19" t="n">
        <v>1073</v>
      </c>
      <c r="J878" s="19" t="n">
        <v>1134</v>
      </c>
      <c r="K878" s="19" t="n">
        <v>8.15580321858843</v>
      </c>
    </row>
    <row r="879">
      <c r="A879" s="19" t="n">
        <v>96</v>
      </c>
      <c r="B879" s="19" t="inlineStr">
        <is>
          <t>Maz</t>
        </is>
      </c>
      <c r="C879" s="19" t="inlineStr">
        <is>
          <t>Town</t>
        </is>
      </c>
      <c r="D879" s="19" t="inlineStr">
        <is>
          <t>Win</t>
        </is>
      </c>
      <c r="E879" s="19" t="n">
        <v>62</v>
      </c>
      <c r="F879" s="19" t="n">
        <v>25.0727465291538</v>
      </c>
      <c r="G879" s="19" t="n">
        <v>25.9047769684274</v>
      </c>
      <c r="H879" s="19" t="n">
        <v>8.15079352234379</v>
      </c>
      <c r="I879" s="19" t="n">
        <v>868</v>
      </c>
      <c r="J879" s="19" t="n">
        <v>930</v>
      </c>
      <c r="K879" s="19" t="n">
        <v>8.206422777633509</v>
      </c>
    </row>
    <row r="880">
      <c r="A880" s="19" t="n">
        <v>96</v>
      </c>
      <c r="B880" s="19" t="inlineStr">
        <is>
          <t>Streety</t>
        </is>
      </c>
      <c r="C880" s="19" t="inlineStr">
        <is>
          <t>Town</t>
        </is>
      </c>
      <c r="D880" s="19" t="inlineStr">
        <is>
          <t>Win</t>
        </is>
      </c>
      <c r="E880" s="19" t="n">
        <v>55</v>
      </c>
      <c r="F880" s="19" t="n">
        <v>23.1517735902369</v>
      </c>
      <c r="G880" s="19" t="n">
        <v>23.8912038950995</v>
      </c>
      <c r="H880" s="19" t="n">
        <v>7.69028351091023</v>
      </c>
      <c r="I880" s="19" t="n">
        <v>785</v>
      </c>
      <c r="J880" s="19" t="n">
        <v>840</v>
      </c>
      <c r="K880" s="19" t="n">
        <v>7.73564547791381</v>
      </c>
    </row>
    <row r="881">
      <c r="A881" s="19" t="n">
        <v>96</v>
      </c>
      <c r="B881" s="19" t="inlineStr">
        <is>
          <t>Creatchee</t>
        </is>
      </c>
      <c r="C881" s="19" t="inlineStr">
        <is>
          <t>Town</t>
        </is>
      </c>
      <c r="D881" s="19" t="inlineStr">
        <is>
          <t>Win</t>
        </is>
      </c>
      <c r="E881" s="19" t="n">
        <v>48</v>
      </c>
      <c r="F881" s="19" t="n">
        <v>36.1952662992344</v>
      </c>
      <c r="G881" s="19" t="n">
        <v>36.8429812527665</v>
      </c>
      <c r="H881" s="19" t="n">
        <v>7.2035249093957</v>
      </c>
      <c r="I881" s="19" t="n">
        <v>1723</v>
      </c>
      <c r="J881" s="19" t="n">
        <v>1771</v>
      </c>
      <c r="K881" s="19" t="n">
        <v>7.23925120762865</v>
      </c>
    </row>
    <row r="882">
      <c r="A882" s="19" t="n">
        <v>96</v>
      </c>
      <c r="B882" s="19" t="inlineStr">
        <is>
          <t>Mintt</t>
        </is>
      </c>
      <c r="C882" s="19" t="inlineStr">
        <is>
          <t>Town</t>
        </is>
      </c>
      <c r="D882" s="19" t="inlineStr">
        <is>
          <t>Win</t>
        </is>
      </c>
      <c r="E882" s="19" t="n">
        <v>51</v>
      </c>
      <c r="F882" s="19" t="n">
        <v>25.8493867359185</v>
      </c>
      <c r="G882" s="19" t="n">
        <v>26.537230675979</v>
      </c>
      <c r="H882" s="19" t="n">
        <v>7.42063195418134</v>
      </c>
      <c r="I882" s="19" t="n">
        <v>997</v>
      </c>
      <c r="J882" s="19" t="n">
        <v>1048</v>
      </c>
      <c r="K882" s="19" t="n">
        <v>7.46050795962477</v>
      </c>
    </row>
    <row r="883">
      <c r="A883" s="19" t="n">
        <v>96</v>
      </c>
      <c r="B883" s="19" t="inlineStr">
        <is>
          <t>Laur</t>
        </is>
      </c>
      <c r="C883" s="19" t="inlineStr">
        <is>
          <t>Town</t>
        </is>
      </c>
      <c r="D883" s="19" t="inlineStr">
        <is>
          <t>Win</t>
        </is>
      </c>
      <c r="E883" s="19" t="n">
        <v>52</v>
      </c>
      <c r="F883" s="19" t="n">
        <v>32.1156425205012</v>
      </c>
      <c r="G883" s="19" t="n">
        <v>32.8162188580881</v>
      </c>
      <c r="H883" s="19" t="n">
        <v>7.48813690931306</v>
      </c>
      <c r="I883" s="19" t="n">
        <v>1416</v>
      </c>
      <c r="J883" s="19" t="n">
        <v>1468</v>
      </c>
      <c r="K883" s="19" t="n">
        <v>7.52935118327169</v>
      </c>
    </row>
    <row r="884">
      <c r="A884" s="19" t="n">
        <v>96</v>
      </c>
      <c r="B884" s="19" t="inlineStr">
        <is>
          <t>Rocker</t>
        </is>
      </c>
      <c r="C884" s="19" t="inlineStr">
        <is>
          <t>Town</t>
        </is>
      </c>
      <c r="D884" s="19" t="inlineStr">
        <is>
          <t>Win</t>
        </is>
      </c>
      <c r="E884" s="19" t="n">
        <v>43</v>
      </c>
      <c r="F884" s="19" t="n">
        <v>33.7330939046546</v>
      </c>
      <c r="G884" s="19" t="n">
        <v>34.3193713726367</v>
      </c>
      <c r="H884" s="19" t="n">
        <v>6.85717295230943</v>
      </c>
      <c r="I884" s="19" t="n">
        <v>1591</v>
      </c>
      <c r="J884" s="19" t="n">
        <v>1634</v>
      </c>
      <c r="K884" s="19" t="n">
        <v>6.88674821398994</v>
      </c>
    </row>
    <row r="885">
      <c r="A885" s="19" t="n">
        <v>96</v>
      </c>
      <c r="B885" s="19" t="inlineStr">
        <is>
          <t>Chester</t>
        </is>
      </c>
      <c r="C885" s="19" t="inlineStr">
        <is>
          <t>Town</t>
        </is>
      </c>
      <c r="D885" s="19" t="inlineStr">
        <is>
          <t>Win</t>
        </is>
      </c>
      <c r="E885" s="19" t="n">
        <v>60</v>
      </c>
      <c r="F885" s="19" t="n">
        <v>26.3150712208534</v>
      </c>
      <c r="G885" s="19" t="n">
        <v>27.1267948180285</v>
      </c>
      <c r="H885" s="19" t="n">
        <v>8.05219203393175</v>
      </c>
      <c r="I885" s="19" t="n">
        <v>963</v>
      </c>
      <c r="J885" s="19" t="n">
        <v>1023</v>
      </c>
      <c r="K885" s="19" t="n">
        <v>8.10552417488552</v>
      </c>
    </row>
    <row r="886">
      <c r="A886" s="19" t="n">
        <v>96</v>
      </c>
      <c r="B886" s="19" t="inlineStr">
        <is>
          <t>Rollo</t>
        </is>
      </c>
      <c r="C886" s="19" t="inlineStr">
        <is>
          <t>Town</t>
        </is>
      </c>
      <c r="D886" s="19" t="inlineStr">
        <is>
          <t>Win</t>
        </is>
      </c>
      <c r="E886" s="19" t="n">
        <v>51</v>
      </c>
      <c r="F886" s="19" t="n">
        <v>30.5705171286058</v>
      </c>
      <c r="G886" s="19" t="n">
        <v>31.260466695274</v>
      </c>
      <c r="H886" s="19" t="n">
        <v>7.43184011074387</v>
      </c>
      <c r="I886" s="19" t="n">
        <v>1317</v>
      </c>
      <c r="J886" s="19" t="n">
        <v>1368</v>
      </c>
      <c r="K886" s="19" t="n">
        <v>7.4719367168205</v>
      </c>
    </row>
    <row r="887">
      <c r="A887" s="19" t="n">
        <v>96</v>
      </c>
      <c r="B887" s="19" t="inlineStr">
        <is>
          <t>Whyin</t>
        </is>
      </c>
      <c r="C887" s="19" t="inlineStr">
        <is>
          <t>Town</t>
        </is>
      </c>
      <c r="D887" s="19" t="inlineStr">
        <is>
          <t>Win</t>
        </is>
      </c>
      <c r="E887" s="19" t="n">
        <v>50</v>
      </c>
      <c r="F887" s="19" t="n">
        <v>29.8519196170166</v>
      </c>
      <c r="G887" s="19" t="n">
        <v>30.5272378475303</v>
      </c>
      <c r="H887" s="19" t="n">
        <v>7.3535870992892</v>
      </c>
      <c r="I887" s="19" t="n">
        <v>1276</v>
      </c>
      <c r="J887" s="19" t="n">
        <v>1326</v>
      </c>
      <c r="K887" s="19" t="n">
        <v>7.3921567001093</v>
      </c>
    </row>
    <row r="888">
      <c r="A888" s="19" t="n">
        <v>96</v>
      </c>
      <c r="B888" s="19" t="inlineStr">
        <is>
          <t>Brownkow</t>
        </is>
      </c>
      <c r="C888" s="19" t="inlineStr">
        <is>
          <t>Mafia</t>
        </is>
      </c>
      <c r="D888" s="19" t="inlineStr">
        <is>
          <t>Loss</t>
        </is>
      </c>
      <c r="E888" s="19" t="n">
        <v>-36</v>
      </c>
      <c r="F888" s="19" t="n">
        <v>31.5676248976147</v>
      </c>
      <c r="G888" s="19" t="n">
        <v>30.9864833445789</v>
      </c>
      <c r="H888" s="19" t="n">
        <v>6.82738747293923</v>
      </c>
      <c r="I888" s="19" t="n">
        <v>1447</v>
      </c>
      <c r="J888" s="19" t="n">
        <v>1411</v>
      </c>
      <c r="K888" s="19" t="n">
        <v>6.8564596790095</v>
      </c>
    </row>
    <row r="889">
      <c r="A889" s="19" t="n">
        <v>96</v>
      </c>
      <c r="B889" s="19" t="inlineStr">
        <is>
          <t>Pie</t>
        </is>
      </c>
      <c r="C889" s="19" t="inlineStr">
        <is>
          <t>Mafia</t>
        </is>
      </c>
      <c r="D889" s="19" t="inlineStr">
        <is>
          <t>Loss</t>
        </is>
      </c>
      <c r="E889" s="19" t="n">
        <v>-52</v>
      </c>
      <c r="F889" s="19" t="n">
        <v>25</v>
      </c>
      <c r="G889" s="19" t="n">
        <v>24.1420708415601</v>
      </c>
      <c r="H889" s="19" t="n">
        <v>8.27473778040787</v>
      </c>
      <c r="I889" s="19" t="n">
        <v>850</v>
      </c>
      <c r="J889" s="19" t="n">
        <v>798</v>
      </c>
      <c r="K889" s="19" t="n">
        <v>8.33333333333333</v>
      </c>
    </row>
    <row r="890">
      <c r="A890" s="19" t="n">
        <v>96</v>
      </c>
      <c r="B890" s="19" t="inlineStr">
        <is>
          <t>Chipper</t>
        </is>
      </c>
      <c r="C890" s="19" t="inlineStr">
        <is>
          <t>Mafia</t>
        </is>
      </c>
      <c r="D890" s="19" t="inlineStr">
        <is>
          <t>Loss</t>
        </is>
      </c>
      <c r="E890" s="19" t="n">
        <v>-41</v>
      </c>
      <c r="F890" s="19" t="n">
        <v>21.5464713059098</v>
      </c>
      <c r="G890" s="19" t="n">
        <v>20.8913991334843</v>
      </c>
      <c r="H890" s="19" t="n">
        <v>7.24384034349369</v>
      </c>
      <c r="I890" s="19" t="n">
        <v>723</v>
      </c>
      <c r="J890" s="19" t="n">
        <v>682</v>
      </c>
      <c r="K890" s="19" t="n">
        <v>7.28031967133537</v>
      </c>
    </row>
    <row r="891">
      <c r="A891" s="19" t="n">
        <v>95</v>
      </c>
      <c r="B891" s="19" t="inlineStr">
        <is>
          <t>Pinkee</t>
        </is>
      </c>
      <c r="C891" s="19" t="inlineStr">
        <is>
          <t>Town</t>
        </is>
      </c>
      <c r="D891" s="19" t="inlineStr">
        <is>
          <t>Win</t>
        </is>
      </c>
      <c r="E891" s="19" t="n">
        <v>92</v>
      </c>
      <c r="F891" s="19" t="n">
        <v>25.4037738845899</v>
      </c>
      <c r="G891" s="19" t="n">
        <v>26.6643483086627</v>
      </c>
      <c r="H891" s="19" t="n">
        <v>8.1444552832683</v>
      </c>
      <c r="I891" s="19" t="n">
        <v>890</v>
      </c>
      <c r="J891" s="19" t="n">
        <v>982</v>
      </c>
      <c r="K891" s="19" t="n">
        <v>8.21242854818002</v>
      </c>
    </row>
    <row r="892">
      <c r="A892" s="19" t="n">
        <v>95</v>
      </c>
      <c r="B892" s="19" t="inlineStr">
        <is>
          <t>Badpants</t>
        </is>
      </c>
      <c r="C892" s="19" t="inlineStr">
        <is>
          <t>Town</t>
        </is>
      </c>
      <c r="D892" s="19" t="inlineStr">
        <is>
          <t>Win</t>
        </is>
      </c>
      <c r="E892" s="19" t="n">
        <v>71</v>
      </c>
      <c r="F892" s="19" t="n">
        <v>23.1619492318698</v>
      </c>
      <c r="G892" s="19" t="n">
        <v>24.1322530657818</v>
      </c>
      <c r="H892" s="19" t="n">
        <v>7.16037462107801</v>
      </c>
      <c r="I892" s="19" t="n">
        <v>840</v>
      </c>
      <c r="J892" s="19" t="n">
        <v>911</v>
      </c>
      <c r="K892" s="19" t="n">
        <v>7.20368192825773</v>
      </c>
    </row>
    <row r="893">
      <c r="A893" s="19" t="n">
        <v>95</v>
      </c>
      <c r="B893" s="19" t="inlineStr">
        <is>
          <t>Gilbert</t>
        </is>
      </c>
      <c r="C893" s="19" t="inlineStr">
        <is>
          <t>Town</t>
        </is>
      </c>
      <c r="D893" s="19" t="inlineStr">
        <is>
          <t>Win</t>
        </is>
      </c>
      <c r="E893" s="19" t="n">
        <v>90</v>
      </c>
      <c r="F893" s="19" t="n">
        <v>24.4930444150816</v>
      </c>
      <c r="G893" s="19" t="n">
        <v>25.7211165626143</v>
      </c>
      <c r="H893" s="19" t="n">
        <v>8.040649975670931</v>
      </c>
      <c r="I893" s="19" t="n">
        <v>839</v>
      </c>
      <c r="J893" s="19" t="n">
        <v>929</v>
      </c>
      <c r="K893" s="19" t="n">
        <v>8.10572060391466</v>
      </c>
    </row>
    <row r="894">
      <c r="A894" s="19" t="n">
        <v>95</v>
      </c>
      <c r="B894" s="19" t="inlineStr">
        <is>
          <t>Svaan</t>
        </is>
      </c>
      <c r="C894" s="19" t="inlineStr">
        <is>
          <t>Town</t>
        </is>
      </c>
      <c r="D894" s="19" t="inlineStr">
        <is>
          <t>Win</t>
        </is>
      </c>
      <c r="E894" s="19" t="n">
        <v>85</v>
      </c>
      <c r="F894" s="19" t="n">
        <v>24.7195966477362</v>
      </c>
      <c r="G894" s="19" t="n">
        <v>25.8839857207317</v>
      </c>
      <c r="H894" s="19" t="n">
        <v>7.8329770308934</v>
      </c>
      <c r="I894" s="19" t="n">
        <v>876</v>
      </c>
      <c r="J894" s="19" t="n">
        <v>961</v>
      </c>
      <c r="K894" s="19" t="n">
        <v>7.89246166076594</v>
      </c>
    </row>
    <row r="895">
      <c r="A895" s="19" t="n">
        <v>95</v>
      </c>
      <c r="B895" s="19" t="inlineStr">
        <is>
          <t>Xcync</t>
        </is>
      </c>
      <c r="C895" s="19" t="inlineStr">
        <is>
          <t>Town</t>
        </is>
      </c>
      <c r="D895" s="19" t="inlineStr">
        <is>
          <t>Win</t>
        </is>
      </c>
      <c r="E895" s="19" t="n">
        <v>84</v>
      </c>
      <c r="F895" s="19" t="n">
        <v>28.45851716702</v>
      </c>
      <c r="G895" s="19" t="n">
        <v>29.6002612297281</v>
      </c>
      <c r="H895" s="19" t="n">
        <v>7.75769571929476</v>
      </c>
      <c r="I895" s="19" t="n">
        <v>1138</v>
      </c>
      <c r="J895" s="19" t="n">
        <v>1222</v>
      </c>
      <c r="K895" s="19" t="n">
        <v>7.81522666670921</v>
      </c>
    </row>
    <row r="896">
      <c r="A896" s="19" t="n">
        <v>95</v>
      </c>
      <c r="B896" s="19" t="inlineStr">
        <is>
          <t>Kwix</t>
        </is>
      </c>
      <c r="C896" s="19" t="inlineStr">
        <is>
          <t>Town</t>
        </is>
      </c>
      <c r="D896" s="19" t="inlineStr">
        <is>
          <t>Win</t>
        </is>
      </c>
      <c r="E896" s="19" t="n">
        <v>77</v>
      </c>
      <c r="F896" s="19" t="n">
        <v>24.6549760042297</v>
      </c>
      <c r="G896" s="19" t="n">
        <v>25.7070582717819</v>
      </c>
      <c r="H896" s="19" t="n">
        <v>7.45164910122568</v>
      </c>
      <c r="I896" s="19" t="n">
        <v>911</v>
      </c>
      <c r="J896" s="19" t="n">
        <v>988</v>
      </c>
      <c r="K896" s="19" t="n">
        <v>7.50161509819491</v>
      </c>
    </row>
    <row r="897">
      <c r="A897" s="19" t="n">
        <v>95</v>
      </c>
      <c r="B897" s="19" t="inlineStr">
        <is>
          <t>Rocker</t>
        </is>
      </c>
      <c r="C897" s="19" t="inlineStr">
        <is>
          <t>Town</t>
        </is>
      </c>
      <c r="D897" s="19" t="inlineStr">
        <is>
          <t>Win</t>
        </is>
      </c>
      <c r="E897" s="19" t="n">
        <v>64</v>
      </c>
      <c r="F897" s="19" t="n">
        <v>32.8364771416939</v>
      </c>
      <c r="G897" s="19" t="n">
        <v>33.7330939046546</v>
      </c>
      <c r="H897" s="19" t="n">
        <v>6.88674821398994</v>
      </c>
      <c r="I897" s="19" t="n">
        <v>1527</v>
      </c>
      <c r="J897" s="19" t="n">
        <v>1591</v>
      </c>
      <c r="K897" s="19" t="n">
        <v>6.92425620755211</v>
      </c>
    </row>
    <row r="898">
      <c r="A898" s="19" t="n">
        <v>95</v>
      </c>
      <c r="B898" s="19" t="inlineStr">
        <is>
          <t>Heckmuffins</t>
        </is>
      </c>
      <c r="C898" s="19" t="inlineStr">
        <is>
          <t>Town</t>
        </is>
      </c>
      <c r="D898" s="19" t="inlineStr">
        <is>
          <t>Win</t>
        </is>
      </c>
      <c r="E898" s="19" t="n">
        <v>92</v>
      </c>
      <c r="F898" s="19" t="n">
        <v>26.3399173443596</v>
      </c>
      <c r="G898" s="19" t="n">
        <v>27.5933351943538</v>
      </c>
      <c r="H898" s="19" t="n">
        <v>8.121721070687419</v>
      </c>
      <c r="I898" s="19" t="n">
        <v>956</v>
      </c>
      <c r="J898" s="19" t="n">
        <v>1048</v>
      </c>
      <c r="K898" s="19" t="n">
        <v>8.18905223687787</v>
      </c>
    </row>
    <row r="899">
      <c r="A899" s="19" t="n">
        <v>95</v>
      </c>
      <c r="B899" s="19" t="inlineStr">
        <is>
          <t>Creatchee</t>
        </is>
      </c>
      <c r="C899" s="19" t="inlineStr">
        <is>
          <t>Town</t>
        </is>
      </c>
      <c r="D899" s="19" t="inlineStr">
        <is>
          <t>Win</t>
        </is>
      </c>
      <c r="E899" s="19" t="n">
        <v>72</v>
      </c>
      <c r="F899" s="19" t="n">
        <v>35.2031579241616</v>
      </c>
      <c r="G899" s="19" t="n">
        <v>36.1952662992344</v>
      </c>
      <c r="H899" s="19" t="n">
        <v>7.23925120762865</v>
      </c>
      <c r="I899" s="19" t="n">
        <v>1651</v>
      </c>
      <c r="J899" s="19" t="n">
        <v>1723</v>
      </c>
      <c r="K899" s="19" t="n">
        <v>7.28431117307348</v>
      </c>
    </row>
    <row r="900">
      <c r="A900" s="19" t="n">
        <v>95</v>
      </c>
      <c r="B900" s="19" t="inlineStr">
        <is>
          <t>Brownkow</t>
        </is>
      </c>
      <c r="C900" s="19" t="inlineStr">
        <is>
          <t>Town</t>
        </is>
      </c>
      <c r="D900" s="19" t="inlineStr">
        <is>
          <t>Win</t>
        </is>
      </c>
      <c r="E900" s="19" t="n">
        <v>64</v>
      </c>
      <c r="F900" s="19" t="n">
        <v>30.6789788700282</v>
      </c>
      <c r="G900" s="19" t="n">
        <v>31.5676248976147</v>
      </c>
      <c r="H900" s="19" t="n">
        <v>6.8564596790095</v>
      </c>
      <c r="I900" s="19" t="n">
        <v>1383</v>
      </c>
      <c r="J900" s="19" t="n">
        <v>1447</v>
      </c>
      <c r="K900" s="19" t="n">
        <v>6.89335187338471</v>
      </c>
    </row>
    <row r="901">
      <c r="A901" s="19" t="n">
        <v>95</v>
      </c>
      <c r="B901" s="19" t="inlineStr">
        <is>
          <t>Josh</t>
        </is>
      </c>
      <c r="C901" s="19" t="inlineStr">
        <is>
          <t>Mafia</t>
        </is>
      </c>
      <c r="D901" s="19" t="inlineStr">
        <is>
          <t>Loss</t>
        </is>
      </c>
      <c r="E901" s="19" t="n">
        <v>-70</v>
      </c>
      <c r="F901" s="19" t="n">
        <v>30.3546515570659</v>
      </c>
      <c r="G901" s="19" t="n">
        <v>29.2398177698895</v>
      </c>
      <c r="H901" s="19" t="n">
        <v>7.66720810707197</v>
      </c>
      <c r="I901" s="19" t="n">
        <v>1276</v>
      </c>
      <c r="J901" s="19" t="n">
        <v>1206</v>
      </c>
      <c r="K901" s="19" t="n">
        <v>7.72243986211173</v>
      </c>
    </row>
    <row r="902">
      <c r="A902" s="19" t="n">
        <v>95</v>
      </c>
      <c r="B902" s="19" t="inlineStr">
        <is>
          <t>Machop</t>
        </is>
      </c>
      <c r="C902" s="19" t="inlineStr">
        <is>
          <t>Mafia</t>
        </is>
      </c>
      <c r="D902" s="19" t="inlineStr">
        <is>
          <t>Loss</t>
        </is>
      </c>
      <c r="E902" s="19" t="n">
        <v>-59</v>
      </c>
      <c r="F902" s="19" t="n">
        <v>25.7007907573744</v>
      </c>
      <c r="G902" s="19" t="n">
        <v>24.7679312758144</v>
      </c>
      <c r="H902" s="19" t="n">
        <v>7.02273589359553</v>
      </c>
      <c r="I902" s="19" t="n">
        <v>1027</v>
      </c>
      <c r="J902" s="19" t="n">
        <v>968</v>
      </c>
      <c r="K902" s="19" t="n">
        <v>7.06307231503153</v>
      </c>
    </row>
    <row r="903">
      <c r="A903" s="19" t="n">
        <v>95</v>
      </c>
      <c r="B903" s="19" t="inlineStr">
        <is>
          <t>Doublea</t>
        </is>
      </c>
      <c r="C903" s="19" t="inlineStr">
        <is>
          <t>Mafia</t>
        </is>
      </c>
      <c r="D903" s="19" t="inlineStr">
        <is>
          <t>Loss</t>
        </is>
      </c>
      <c r="E903" s="19" t="n">
        <v>-69</v>
      </c>
      <c r="F903" s="19" t="n">
        <v>24.9371296233494</v>
      </c>
      <c r="G903" s="19" t="n">
        <v>23.8408069046933</v>
      </c>
      <c r="H903" s="19" t="n">
        <v>7.60429651742204</v>
      </c>
      <c r="I903" s="19" t="n">
        <v>915</v>
      </c>
      <c r="J903" s="19" t="n">
        <v>846</v>
      </c>
      <c r="K903" s="19" t="n">
        <v>7.6579609493728</v>
      </c>
    </row>
    <row r="904">
      <c r="A904" s="19" t="n">
        <v>94</v>
      </c>
      <c r="B904" s="19" t="inlineStr">
        <is>
          <t>Mintt</t>
        </is>
      </c>
      <c r="C904" s="19" t="inlineStr">
        <is>
          <t>Town</t>
        </is>
      </c>
      <c r="D904" s="19" t="inlineStr">
        <is>
          <t>Loss</t>
        </is>
      </c>
      <c r="E904" s="19" t="n">
        <v>-28</v>
      </c>
      <c r="F904" s="19" t="n">
        <v>26.3101844647108</v>
      </c>
      <c r="G904" s="19" t="n">
        <v>25.8493867359185</v>
      </c>
      <c r="H904" s="19" t="n">
        <v>7.46050795962477</v>
      </c>
      <c r="I904" s="19" t="n">
        <v>1025</v>
      </c>
      <c r="J904" s="19" t="n">
        <v>997</v>
      </c>
      <c r="K904" s="19" t="n">
        <v>7.49163329920556</v>
      </c>
    </row>
    <row r="905">
      <c r="A905" s="19" t="n">
        <v>94</v>
      </c>
      <c r="B905" s="19" t="inlineStr">
        <is>
          <t>Gilbert</t>
        </is>
      </c>
      <c r="C905" s="19" t="inlineStr">
        <is>
          <t>Town</t>
        </is>
      </c>
      <c r="D905" s="19" t="inlineStr">
        <is>
          <t>Loss</t>
        </is>
      </c>
      <c r="E905" s="19" t="n">
        <v>-32</v>
      </c>
      <c r="F905" s="19" t="n">
        <v>25.037984597754</v>
      </c>
      <c r="G905" s="19" t="n">
        <v>24.4930444150816</v>
      </c>
      <c r="H905" s="19" t="n">
        <v>8.10572060391466</v>
      </c>
      <c r="I905" s="19" t="n">
        <v>871</v>
      </c>
      <c r="J905" s="19" t="n">
        <v>839</v>
      </c>
      <c r="K905" s="19" t="n">
        <v>8.14797190001314</v>
      </c>
    </row>
    <row r="906">
      <c r="A906" s="19" t="n">
        <v>94</v>
      </c>
      <c r="B906" s="19" t="inlineStr">
        <is>
          <t>Noah</t>
        </is>
      </c>
      <c r="C906" s="19" t="inlineStr">
        <is>
          <t>Town</t>
        </is>
      </c>
      <c r="D906" s="19" t="inlineStr">
        <is>
          <t>Loss</t>
        </is>
      </c>
      <c r="E906" s="19" t="n">
        <v>-27</v>
      </c>
      <c r="F906" s="19" t="n">
        <v>29.0148095392245</v>
      </c>
      <c r="G906" s="19" t="n">
        <v>28.5812556616179</v>
      </c>
      <c r="H906" s="19" t="n">
        <v>7.23873770235447</v>
      </c>
      <c r="I906" s="19" t="n">
        <v>1232</v>
      </c>
      <c r="J906" s="19" t="n">
        <v>1205</v>
      </c>
      <c r="K906" s="19" t="n">
        <v>7.26642845119757</v>
      </c>
    </row>
    <row r="907">
      <c r="A907" s="19" t="n">
        <v>94</v>
      </c>
      <c r="B907" s="19" t="inlineStr">
        <is>
          <t>Kden</t>
        </is>
      </c>
      <c r="C907" s="19" t="inlineStr">
        <is>
          <t>Town</t>
        </is>
      </c>
      <c r="D907" s="19" t="inlineStr">
        <is>
          <t>Loss</t>
        </is>
      </c>
      <c r="E907" s="19" t="n">
        <v>-28</v>
      </c>
      <c r="F907" s="19" t="n">
        <v>28.7725003738841</v>
      </c>
      <c r="G907" s="19" t="n">
        <v>28.30669915344</v>
      </c>
      <c r="H907" s="19" t="n">
        <v>7.50049654331875</v>
      </c>
      <c r="I907" s="19" t="n">
        <v>1188</v>
      </c>
      <c r="J907" s="19" t="n">
        <v>1160</v>
      </c>
      <c r="K907" s="19" t="n">
        <v>7.53226165064104</v>
      </c>
    </row>
    <row r="908">
      <c r="A908" s="19" t="n">
        <v>94</v>
      </c>
      <c r="B908" s="19" t="inlineStr">
        <is>
          <t>Laur</t>
        </is>
      </c>
      <c r="C908" s="19" t="inlineStr">
        <is>
          <t>Town</t>
        </is>
      </c>
      <c r="D908" s="19" t="inlineStr">
        <is>
          <t>Loss</t>
        </is>
      </c>
      <c r="E908" s="19" t="n">
        <v>-29</v>
      </c>
      <c r="F908" s="19" t="n">
        <v>32.5850714182667</v>
      </c>
      <c r="G908" s="19" t="n">
        <v>32.1156425205012</v>
      </c>
      <c r="H908" s="19" t="n">
        <v>7.52935118327169</v>
      </c>
      <c r="I908" s="19" t="n">
        <v>1445</v>
      </c>
      <c r="J908" s="19" t="n">
        <v>1416</v>
      </c>
      <c r="K908" s="19" t="n">
        <v>7.56158188015765</v>
      </c>
    </row>
    <row r="909">
      <c r="A909" s="19" t="n">
        <v>94</v>
      </c>
      <c r="B909" s="19" t="inlineStr">
        <is>
          <t>Brownkow</t>
        </is>
      </c>
      <c r="C909" s="19" t="inlineStr">
        <is>
          <t>Town</t>
        </is>
      </c>
      <c r="D909" s="19" t="inlineStr">
        <is>
          <t>Loss</t>
        </is>
      </c>
      <c r="E909" s="19" t="n">
        <v>-24</v>
      </c>
      <c r="F909" s="19" t="n">
        <v>31.0718007051315</v>
      </c>
      <c r="G909" s="19" t="n">
        <v>30.6789788700282</v>
      </c>
      <c r="H909" s="19" t="n">
        <v>6.89335187338471</v>
      </c>
      <c r="I909" s="19" t="n">
        <v>1407</v>
      </c>
      <c r="J909" s="19" t="n">
        <v>1383</v>
      </c>
      <c r="K909" s="19" t="n">
        <v>6.9160622205673</v>
      </c>
    </row>
    <row r="910">
      <c r="A910" s="19" t="n">
        <v>94</v>
      </c>
      <c r="B910" s="19" t="inlineStr">
        <is>
          <t>Cj</t>
        </is>
      </c>
      <c r="C910" s="19" t="inlineStr">
        <is>
          <t>Town</t>
        </is>
      </c>
      <c r="D910" s="19" t="inlineStr">
        <is>
          <t>Loss</t>
        </is>
      </c>
      <c r="E910" s="19" t="n">
        <v>-33</v>
      </c>
      <c r="F910" s="19" t="n">
        <v>25.6900624464298</v>
      </c>
      <c r="G910" s="19" t="n">
        <v>25.1370979362667</v>
      </c>
      <c r="H910" s="19" t="n">
        <v>8.1644707652137</v>
      </c>
      <c r="I910" s="19" t="n">
        <v>910</v>
      </c>
      <c r="J910" s="19" t="n">
        <v>877</v>
      </c>
      <c r="K910" s="19" t="n">
        <v>8.20782346844701</v>
      </c>
    </row>
    <row r="911">
      <c r="A911" s="19" t="n">
        <v>94</v>
      </c>
      <c r="B911" s="19" t="inlineStr">
        <is>
          <t>Lou</t>
        </is>
      </c>
      <c r="C911" s="19" t="inlineStr">
        <is>
          <t>Town</t>
        </is>
      </c>
      <c r="D911" s="19" t="inlineStr">
        <is>
          <t>Loss</t>
        </is>
      </c>
      <c r="E911" s="19" t="n">
        <v>-27</v>
      </c>
      <c r="F911" s="19" t="n">
        <v>28.4810830142426</v>
      </c>
      <c r="G911" s="19" t="n">
        <v>28.0535483029944</v>
      </c>
      <c r="H911" s="19" t="n">
        <v>7.18878140875526</v>
      </c>
      <c r="I911" s="19" t="n">
        <v>1201</v>
      </c>
      <c r="J911" s="19" t="n">
        <v>1174</v>
      </c>
      <c r="K911" s="19" t="n">
        <v>7.21572450327838</v>
      </c>
    </row>
    <row r="912">
      <c r="A912" s="19" t="n">
        <v>94</v>
      </c>
      <c r="B912" s="19" t="inlineStr">
        <is>
          <t>Iln</t>
        </is>
      </c>
      <c r="C912" s="19" t="inlineStr">
        <is>
          <t>Town</t>
        </is>
      </c>
      <c r="D912" s="19" t="inlineStr">
        <is>
          <t>Loss</t>
        </is>
      </c>
      <c r="E912" s="19" t="n">
        <v>-27</v>
      </c>
      <c r="F912" s="19" t="n">
        <v>24.1960294505334</v>
      </c>
      <c r="G912" s="19" t="n">
        <v>23.7549826634201</v>
      </c>
      <c r="H912" s="19" t="n">
        <v>7.30042961992813</v>
      </c>
      <c r="I912" s="19" t="n">
        <v>898</v>
      </c>
      <c r="J912" s="19" t="n">
        <v>871</v>
      </c>
      <c r="K912" s="19" t="n">
        <v>7.32905673490832</v>
      </c>
    </row>
    <row r="913">
      <c r="A913" s="19" t="n">
        <v>94</v>
      </c>
      <c r="B913" s="19" t="inlineStr">
        <is>
          <t>Streety</t>
        </is>
      </c>
      <c r="C913" s="19" t="inlineStr">
        <is>
          <t>Town</t>
        </is>
      </c>
      <c r="D913" s="19" t="inlineStr">
        <is>
          <t>Loss</t>
        </is>
      </c>
      <c r="E913" s="19" t="n">
        <v>-30</v>
      </c>
      <c r="F913" s="19" t="n">
        <v>23.6475613933269</v>
      </c>
      <c r="G913" s="19" t="n">
        <v>23.1517735902369</v>
      </c>
      <c r="H913" s="19" t="n">
        <v>7.73564547791381</v>
      </c>
      <c r="I913" s="19" t="n">
        <v>815</v>
      </c>
      <c r="J913" s="19" t="n">
        <v>785</v>
      </c>
      <c r="K913" s="19" t="n">
        <v>7.77130294587144</v>
      </c>
    </row>
    <row r="914">
      <c r="A914" s="19" t="n">
        <v>94</v>
      </c>
      <c r="B914" s="19" t="inlineStr">
        <is>
          <t>Rollo</t>
        </is>
      </c>
      <c r="C914" s="19" t="inlineStr">
        <is>
          <t>Mafia</t>
        </is>
      </c>
      <c r="D914" s="19" t="inlineStr">
        <is>
          <t>Win</t>
        </is>
      </c>
      <c r="E914" s="19" t="n">
        <v>35</v>
      </c>
      <c r="F914" s="19" t="n">
        <v>30.1082922408524</v>
      </c>
      <c r="G914" s="19" t="n">
        <v>30.5705171286058</v>
      </c>
      <c r="H914" s="19" t="n">
        <v>7.4719367168205</v>
      </c>
      <c r="I914" s="19" t="n">
        <v>1282</v>
      </c>
      <c r="J914" s="19" t="n">
        <v>1317</v>
      </c>
      <c r="K914" s="19" t="n">
        <v>7.50324425533825</v>
      </c>
    </row>
    <row r="915">
      <c r="A915" s="19" t="n">
        <v>94</v>
      </c>
      <c r="B915" s="19" t="inlineStr">
        <is>
          <t>Motr</t>
        </is>
      </c>
      <c r="C915" s="19" t="inlineStr">
        <is>
          <t>Mafia</t>
        </is>
      </c>
      <c r="D915" s="19" t="inlineStr">
        <is>
          <t>Win</t>
        </is>
      </c>
      <c r="E915" s="19" t="n">
        <v>42</v>
      </c>
      <c r="F915" s="19" t="n">
        <v>27.4575580408254</v>
      </c>
      <c r="G915" s="19" t="n">
        <v>28.0093348810827</v>
      </c>
      <c r="H915" s="19" t="n">
        <v>8.15580321858843</v>
      </c>
      <c r="I915" s="19" t="n">
        <v>1031</v>
      </c>
      <c r="J915" s="19" t="n">
        <v>1073</v>
      </c>
      <c r="K915" s="19" t="n">
        <v>8.198992465993349</v>
      </c>
    </row>
    <row r="916">
      <c r="A916" s="19" t="n">
        <v>94</v>
      </c>
      <c r="B916" s="19" t="inlineStr">
        <is>
          <t>Josh</t>
        </is>
      </c>
      <c r="C916" s="19" t="inlineStr">
        <is>
          <t>Mafia</t>
        </is>
      </c>
      <c r="D916" s="19" t="inlineStr">
        <is>
          <t>Win</t>
        </is>
      </c>
      <c r="E916" s="19" t="n">
        <v>37</v>
      </c>
      <c r="F916" s="19" t="n">
        <v>29.8605733450268</v>
      </c>
      <c r="G916" s="19" t="n">
        <v>30.3546515570659</v>
      </c>
      <c r="H916" s="19" t="n">
        <v>7.72243986211173</v>
      </c>
      <c r="I916" s="19" t="n">
        <v>1239</v>
      </c>
      <c r="J916" s="19" t="n">
        <v>1276</v>
      </c>
      <c r="K916" s="19" t="n">
        <v>7.75787274861442</v>
      </c>
    </row>
    <row r="917">
      <c r="A917" s="19" t="n">
        <v>93</v>
      </c>
      <c r="B917" s="19" t="inlineStr">
        <is>
          <t>Motr</t>
        </is>
      </c>
      <c r="C917" s="19" t="inlineStr">
        <is>
          <t>Town</t>
        </is>
      </c>
      <c r="D917" s="19" t="inlineStr">
        <is>
          <t>Win</t>
        </is>
      </c>
      <c r="E917" s="19" t="n">
        <v>109</v>
      </c>
      <c r="F917" s="19" t="n">
        <v>25.962042763537</v>
      </c>
      <c r="G917" s="19" t="n">
        <v>27.4575580408254</v>
      </c>
      <c r="H917" s="19" t="n">
        <v>8.198992465993349</v>
      </c>
      <c r="I917" s="19" t="n">
        <v>922</v>
      </c>
      <c r="J917" s="19" t="n">
        <v>1031</v>
      </c>
      <c r="K917" s="19" t="n">
        <v>8.27197785710959</v>
      </c>
    </row>
    <row r="918">
      <c r="A918" s="19" t="n">
        <v>93</v>
      </c>
      <c r="B918" s="19" t="inlineStr">
        <is>
          <t>Plen</t>
        </is>
      </c>
      <c r="C918" s="19" t="inlineStr">
        <is>
          <t>Town</t>
        </is>
      </c>
      <c r="D918" s="19" t="inlineStr">
        <is>
          <t>Win</t>
        </is>
      </c>
      <c r="E918" s="19" t="n">
        <v>82</v>
      </c>
      <c r="F918" s="19" t="n">
        <v>20.4415707212058</v>
      </c>
      <c r="G918" s="19" t="n">
        <v>21.5841968525315</v>
      </c>
      <c r="H918" s="19" t="n">
        <v>7.18289975904159</v>
      </c>
      <c r="I918" s="19" t="n">
        <v>653</v>
      </c>
      <c r="J918" s="19" t="n">
        <v>735</v>
      </c>
      <c r="K918" s="19" t="n">
        <v>7.22899268778662</v>
      </c>
    </row>
    <row r="919">
      <c r="A919" s="19" t="n">
        <v>93</v>
      </c>
      <c r="B919" s="19" t="inlineStr">
        <is>
          <t>Whyin</t>
        </is>
      </c>
      <c r="C919" s="19" t="inlineStr">
        <is>
          <t>Town</t>
        </is>
      </c>
      <c r="D919" s="19" t="inlineStr">
        <is>
          <t>Win</t>
        </is>
      </c>
      <c r="E919" s="19" t="n">
        <v>88</v>
      </c>
      <c r="F919" s="19" t="n">
        <v>28.6406850019562</v>
      </c>
      <c r="G919" s="19" t="n">
        <v>29.8519196170166</v>
      </c>
      <c r="H919" s="19" t="n">
        <v>7.3921567001093</v>
      </c>
      <c r="I919" s="19" t="n">
        <v>1188</v>
      </c>
      <c r="J919" s="19" t="n">
        <v>1276</v>
      </c>
      <c r="K919" s="19" t="n">
        <v>7.44322296176981</v>
      </c>
    </row>
    <row r="920">
      <c r="A920" s="19" t="n">
        <v>93</v>
      </c>
      <c r="B920" s="19" t="inlineStr">
        <is>
          <t>Creatchee</t>
        </is>
      </c>
      <c r="C920" s="19" t="inlineStr">
        <is>
          <t>Town</t>
        </is>
      </c>
      <c r="D920" s="19" t="inlineStr">
        <is>
          <t>Win</t>
        </is>
      </c>
      <c r="E920" s="19" t="n">
        <v>85</v>
      </c>
      <c r="F920" s="19" t="n">
        <v>34.0275436129147</v>
      </c>
      <c r="G920" s="19" t="n">
        <v>35.2031579241616</v>
      </c>
      <c r="H920" s="19" t="n">
        <v>7.28431117307348</v>
      </c>
      <c r="I920" s="19" t="n">
        <v>1566</v>
      </c>
      <c r="J920" s="19" t="n">
        <v>1651</v>
      </c>
      <c r="K920" s="19" t="n">
        <v>7.33277965960253</v>
      </c>
    </row>
    <row r="921">
      <c r="A921" s="19" t="n">
        <v>93</v>
      </c>
      <c r="B921" s="19" t="inlineStr">
        <is>
          <t>Rollo</t>
        </is>
      </c>
      <c r="C921" s="19" t="inlineStr">
        <is>
          <t>Town</t>
        </is>
      </c>
      <c r="D921" s="19" t="inlineStr">
        <is>
          <t>Win</t>
        </is>
      </c>
      <c r="E921" s="19" t="n">
        <v>90</v>
      </c>
      <c r="F921" s="19" t="n">
        <v>28.8597838542369</v>
      </c>
      <c r="G921" s="19" t="n">
        <v>30.1082922408524</v>
      </c>
      <c r="H921" s="19" t="n">
        <v>7.50324425533825</v>
      </c>
      <c r="I921" s="19" t="n">
        <v>1192</v>
      </c>
      <c r="J921" s="19" t="n">
        <v>1282</v>
      </c>
      <c r="K921" s="19" t="n">
        <v>7.55706494886399</v>
      </c>
    </row>
    <row r="922">
      <c r="A922" s="19" t="n">
        <v>93</v>
      </c>
      <c r="B922" s="19" t="inlineStr">
        <is>
          <t>Josh</t>
        </is>
      </c>
      <c r="C922" s="19" t="inlineStr">
        <is>
          <t>Town</t>
        </is>
      </c>
      <c r="D922" s="19" t="inlineStr">
        <is>
          <t>Win</t>
        </is>
      </c>
      <c r="E922" s="19" t="n">
        <v>97</v>
      </c>
      <c r="F922" s="19" t="n">
        <v>28.5243879255435</v>
      </c>
      <c r="G922" s="19" t="n">
        <v>29.8605733450268</v>
      </c>
      <c r="H922" s="19" t="n">
        <v>7.75787274861442</v>
      </c>
      <c r="I922" s="19" t="n">
        <v>1142</v>
      </c>
      <c r="J922" s="19" t="n">
        <v>1239</v>
      </c>
      <c r="K922" s="19" t="n">
        <v>7.81831637627554</v>
      </c>
    </row>
    <row r="923">
      <c r="A923" s="19" t="n">
        <v>93</v>
      </c>
      <c r="B923" s="19" t="inlineStr">
        <is>
          <t>Levi</t>
        </is>
      </c>
      <c r="C923" s="19" t="inlineStr">
        <is>
          <t>Town</t>
        </is>
      </c>
      <c r="D923" s="19" t="inlineStr">
        <is>
          <t>Win</t>
        </is>
      </c>
      <c r="E923" s="19" t="n">
        <v>108</v>
      </c>
      <c r="F923" s="19" t="n">
        <v>26.8779593469079</v>
      </c>
      <c r="G923" s="19" t="n">
        <v>28.3590119958728</v>
      </c>
      <c r="H923" s="19" t="n">
        <v>8.16000960117626</v>
      </c>
      <c r="I923" s="19" t="n">
        <v>988</v>
      </c>
      <c r="J923" s="19" t="n">
        <v>1096</v>
      </c>
      <c r="K923" s="19" t="n">
        <v>8.231830053733219</v>
      </c>
    </row>
    <row r="924">
      <c r="A924" s="19" t="n">
        <v>93</v>
      </c>
      <c r="B924" s="19" t="inlineStr">
        <is>
          <t>Snazz</t>
        </is>
      </c>
      <c r="C924" s="19" t="inlineStr">
        <is>
          <t>Town</t>
        </is>
      </c>
      <c r="D924" s="19" t="inlineStr">
        <is>
          <t>Win</t>
        </is>
      </c>
      <c r="E924" s="19" t="n">
        <v>103</v>
      </c>
      <c r="F924" s="19" t="n">
        <v>23.948239097352</v>
      </c>
      <c r="G924" s="19" t="n">
        <v>25.3540755117415</v>
      </c>
      <c r="H924" s="19" t="n">
        <v>7.95394529502071</v>
      </c>
      <c r="I924" s="19" t="n">
        <v>810</v>
      </c>
      <c r="J924" s="19" t="n">
        <v>913</v>
      </c>
      <c r="K924" s="19" t="n">
        <v>8.01979210461109</v>
      </c>
    </row>
    <row r="925">
      <c r="A925" s="19" t="n">
        <v>93</v>
      </c>
      <c r="B925" s="19" t="inlineStr">
        <is>
          <t>Cj</t>
        </is>
      </c>
      <c r="C925" s="19" t="inlineStr">
        <is>
          <t>Town</t>
        </is>
      </c>
      <c r="D925" s="19" t="inlineStr">
        <is>
          <t>Win</t>
        </is>
      </c>
      <c r="E925" s="19" t="n">
        <v>110</v>
      </c>
      <c r="F925" s="19" t="n">
        <v>24.1912605302774</v>
      </c>
      <c r="G925" s="19" t="n">
        <v>25.6900624464298</v>
      </c>
      <c r="H925" s="19" t="n">
        <v>8.20782346844701</v>
      </c>
      <c r="I925" s="19" t="n">
        <v>800</v>
      </c>
      <c r="J925" s="19" t="n">
        <v>910</v>
      </c>
      <c r="K925" s="19" t="n">
        <v>8.281074321542039</v>
      </c>
    </row>
    <row r="926">
      <c r="A926" s="19" t="n">
        <v>93</v>
      </c>
      <c r="B926" s="19" t="inlineStr">
        <is>
          <t>Noah</t>
        </is>
      </c>
      <c r="C926" s="19" t="inlineStr">
        <is>
          <t>Town</t>
        </is>
      </c>
      <c r="D926" s="19" t="inlineStr">
        <is>
          <t>Win</t>
        </is>
      </c>
      <c r="E926" s="19" t="n">
        <v>85</v>
      </c>
      <c r="F926" s="19" t="n">
        <v>27.845047958218</v>
      </c>
      <c r="G926" s="19" t="n">
        <v>29.0148095392245</v>
      </c>
      <c r="H926" s="19" t="n">
        <v>7.26642845119757</v>
      </c>
      <c r="I926" s="19" t="n">
        <v>1147</v>
      </c>
      <c r="J926" s="19" t="n">
        <v>1232</v>
      </c>
      <c r="K926" s="19" t="n">
        <v>7.3144733396881</v>
      </c>
    </row>
    <row r="927">
      <c r="A927" s="19" t="n">
        <v>93</v>
      </c>
      <c r="B927" s="19" t="inlineStr">
        <is>
          <t>Carson</t>
        </is>
      </c>
      <c r="C927" s="19" t="inlineStr">
        <is>
          <t>Mafia</t>
        </is>
      </c>
      <c r="D927" s="19" t="inlineStr">
        <is>
          <t>Loss</t>
        </is>
      </c>
      <c r="E927" s="19" t="n">
        <v>-75</v>
      </c>
      <c r="F927" s="19" t="n">
        <v>29.1295736831749</v>
      </c>
      <c r="G927" s="19" t="n">
        <v>27.9592876198379</v>
      </c>
      <c r="H927" s="19" t="n">
        <v>7.26803288637003</v>
      </c>
      <c r="I927" s="19" t="n">
        <v>1235</v>
      </c>
      <c r="J927" s="19" t="n">
        <v>1160</v>
      </c>
      <c r="K927" s="19" t="n">
        <v>7.31611569747379</v>
      </c>
    </row>
    <row r="928">
      <c r="A928" s="19" t="n">
        <v>93</v>
      </c>
      <c r="B928" s="19" t="inlineStr">
        <is>
          <t>Doublea</t>
        </is>
      </c>
      <c r="C928" s="19" t="inlineStr">
        <is>
          <t>Mafia</t>
        </is>
      </c>
      <c r="D928" s="19" t="inlineStr">
        <is>
          <t>Loss</t>
        </is>
      </c>
      <c r="E928" s="19" t="n">
        <v>-82</v>
      </c>
      <c r="F928" s="19" t="n">
        <v>26.2385393409417</v>
      </c>
      <c r="G928" s="19" t="n">
        <v>24.9371296233494</v>
      </c>
      <c r="H928" s="19" t="n">
        <v>7.6579609493728</v>
      </c>
      <c r="I928" s="19" t="n">
        <v>997</v>
      </c>
      <c r="J928" s="19" t="n">
        <v>915</v>
      </c>
      <c r="K928" s="19" t="n">
        <v>7.71575369457116</v>
      </c>
    </row>
    <row r="929">
      <c r="A929" s="19" t="n">
        <v>93</v>
      </c>
      <c r="B929" s="19" t="inlineStr">
        <is>
          <t>Sam</t>
        </is>
      </c>
      <c r="C929" s="19" t="inlineStr">
        <is>
          <t>Mafia</t>
        </is>
      </c>
      <c r="D929" s="19" t="inlineStr">
        <is>
          <t>Loss</t>
        </is>
      </c>
      <c r="E929" s="19" t="n">
        <v>-86</v>
      </c>
      <c r="F929" s="19" t="n">
        <v>27.2371032188984</v>
      </c>
      <c r="G929" s="19" t="n">
        <v>25.877722162986</v>
      </c>
      <c r="H929" s="19" t="n">
        <v>7.8237556636899</v>
      </c>
      <c r="I929" s="19" t="n">
        <v>1048</v>
      </c>
      <c r="J929" s="19" t="n">
        <v>962</v>
      </c>
      <c r="K929" s="19" t="n">
        <v>7.88598485285256</v>
      </c>
    </row>
    <row r="930">
      <c r="A930" s="19" t="n">
        <v>92</v>
      </c>
      <c r="B930" s="19" t="inlineStr">
        <is>
          <t>Rocker</t>
        </is>
      </c>
      <c r="C930" s="19" t="inlineStr">
        <is>
          <t>Town</t>
        </is>
      </c>
      <c r="D930" s="19" t="inlineStr">
        <is>
          <t>Win</t>
        </is>
      </c>
      <c r="E930" s="19" t="n">
        <v>41</v>
      </c>
      <c r="F930" s="19" t="n">
        <v>32.2734338674755</v>
      </c>
      <c r="G930" s="19" t="n">
        <v>32.8364771416939</v>
      </c>
      <c r="H930" s="19" t="n">
        <v>6.92425620755211</v>
      </c>
      <c r="I930" s="19" t="n">
        <v>1486</v>
      </c>
      <c r="J930" s="19" t="n">
        <v>1527</v>
      </c>
      <c r="K930" s="19" t="n">
        <v>6.95124318454542</v>
      </c>
    </row>
    <row r="931">
      <c r="A931" s="19" t="n">
        <v>92</v>
      </c>
      <c r="B931" s="19" t="inlineStr">
        <is>
          <t>Kwix</t>
        </is>
      </c>
      <c r="C931" s="19" t="inlineStr">
        <is>
          <t>Town</t>
        </is>
      </c>
      <c r="D931" s="19" t="inlineStr">
        <is>
          <t>Win</t>
        </is>
      </c>
      <c r="E931" s="19" t="n">
        <v>48</v>
      </c>
      <c r="F931" s="19" t="n">
        <v>23.992995854159</v>
      </c>
      <c r="G931" s="19" t="n">
        <v>24.6549760042297</v>
      </c>
      <c r="H931" s="19" t="n">
        <v>7.50161509819491</v>
      </c>
      <c r="I931" s="19" t="n">
        <v>863</v>
      </c>
      <c r="J931" s="19" t="n">
        <v>911</v>
      </c>
      <c r="K931" s="19" t="n">
        <v>7.53831911637455</v>
      </c>
    </row>
    <row r="932">
      <c r="A932" s="19" t="n">
        <v>92</v>
      </c>
      <c r="B932" s="19" t="inlineStr">
        <is>
          <t>Rick</t>
        </is>
      </c>
      <c r="C932" s="19" t="inlineStr">
        <is>
          <t>Town</t>
        </is>
      </c>
      <c r="D932" s="19" t="inlineStr">
        <is>
          <t>Win</t>
        </is>
      </c>
      <c r="E932" s="19" t="n">
        <v>55</v>
      </c>
      <c r="F932" s="19" t="n">
        <v>26.0620474147993</v>
      </c>
      <c r="G932" s="19" t="n">
        <v>26.7965456689131</v>
      </c>
      <c r="H932" s="19" t="n">
        <v>7.89689047418101</v>
      </c>
      <c r="I932" s="19" t="n">
        <v>962</v>
      </c>
      <c r="J932" s="19" t="n">
        <v>1017</v>
      </c>
      <c r="K932" s="19" t="n">
        <v>7.94111290972543</v>
      </c>
    </row>
    <row r="933">
      <c r="A933" s="19" t="n">
        <v>92</v>
      </c>
      <c r="B933" s="19" t="inlineStr">
        <is>
          <t>Iln</t>
        </is>
      </c>
      <c r="C933" s="19" t="inlineStr">
        <is>
          <t>Town</t>
        </is>
      </c>
      <c r="D933" s="19" t="inlineStr">
        <is>
          <t>Win</t>
        </is>
      </c>
      <c r="E933" s="19" t="n">
        <v>47</v>
      </c>
      <c r="F933" s="19" t="n">
        <v>23.5644851319738</v>
      </c>
      <c r="G933" s="19" t="n">
        <v>24.1960294505334</v>
      </c>
      <c r="H933" s="19" t="n">
        <v>7.32905673490832</v>
      </c>
      <c r="I933" s="19" t="n">
        <v>851</v>
      </c>
      <c r="J933" s="19" t="n">
        <v>898</v>
      </c>
      <c r="K933" s="19" t="n">
        <v>7.36270459857692</v>
      </c>
    </row>
    <row r="934">
      <c r="A934" s="19" t="n">
        <v>92</v>
      </c>
      <c r="B934" s="19" t="inlineStr">
        <is>
          <t>Machop</t>
        </is>
      </c>
      <c r="C934" s="19" t="inlineStr">
        <is>
          <t>Town</t>
        </is>
      </c>
      <c r="D934" s="19" t="inlineStr">
        <is>
          <t>Win</t>
        </is>
      </c>
      <c r="E934" s="19" t="n">
        <v>43</v>
      </c>
      <c r="F934" s="19" t="n">
        <v>25.1147133639252</v>
      </c>
      <c r="G934" s="19" t="n">
        <v>25.7007907573744</v>
      </c>
      <c r="H934" s="19" t="n">
        <v>7.06307231503153</v>
      </c>
      <c r="I934" s="19" t="n">
        <v>984</v>
      </c>
      <c r="J934" s="19" t="n">
        <v>1027</v>
      </c>
      <c r="K934" s="19" t="n">
        <v>7.09226533683332</v>
      </c>
    </row>
    <row r="935">
      <c r="A935" s="19" t="n">
        <v>92</v>
      </c>
      <c r="B935" s="19" t="inlineStr">
        <is>
          <t>Carson</t>
        </is>
      </c>
      <c r="C935" s="19" t="inlineStr">
        <is>
          <t>Town</t>
        </is>
      </c>
      <c r="D935" s="19" t="inlineStr">
        <is>
          <t>Win</t>
        </is>
      </c>
      <c r="E935" s="19" t="n">
        <v>47</v>
      </c>
      <c r="F935" s="19" t="n">
        <v>28.5002820711863</v>
      </c>
      <c r="G935" s="19" t="n">
        <v>29.1295736831749</v>
      </c>
      <c r="H935" s="19" t="n">
        <v>7.31611569747379</v>
      </c>
      <c r="I935" s="19" t="n">
        <v>1188</v>
      </c>
      <c r="J935" s="19" t="n">
        <v>1235</v>
      </c>
      <c r="K935" s="19" t="n">
        <v>7.34953971424114</v>
      </c>
    </row>
    <row r="936">
      <c r="A936" s="19" t="n">
        <v>92</v>
      </c>
      <c r="B936" s="19" t="inlineStr">
        <is>
          <t>Doublea</t>
        </is>
      </c>
      <c r="C936" s="19" t="inlineStr">
        <is>
          <t>Town</t>
        </is>
      </c>
      <c r="D936" s="19" t="inlineStr">
        <is>
          <t>Win</t>
        </is>
      </c>
      <c r="E936" s="19" t="n">
        <v>52</v>
      </c>
      <c r="F936" s="19" t="n">
        <v>25.53775781738</v>
      </c>
      <c r="G936" s="19" t="n">
        <v>26.2385393409417</v>
      </c>
      <c r="H936" s="19" t="n">
        <v>7.71575369457116</v>
      </c>
      <c r="I936" s="19" t="n">
        <v>945</v>
      </c>
      <c r="J936" s="19" t="n">
        <v>997</v>
      </c>
      <c r="K936" s="19" t="n">
        <v>7.75643928662628</v>
      </c>
    </row>
    <row r="937">
      <c r="A937" s="19" t="n">
        <v>92</v>
      </c>
      <c r="B937" s="19" t="inlineStr">
        <is>
          <t>Brownkow</t>
        </is>
      </c>
      <c r="C937" s="19" t="inlineStr">
        <is>
          <t>Town</t>
        </is>
      </c>
      <c r="D937" s="19" t="inlineStr">
        <is>
          <t>Win</t>
        </is>
      </c>
      <c r="E937" s="19" t="n">
        <v>40</v>
      </c>
      <c r="F937" s="19" t="n">
        <v>30.5101022205283</v>
      </c>
      <c r="G937" s="19" t="n">
        <v>31.0718007051315</v>
      </c>
      <c r="H937" s="19" t="n">
        <v>6.9160622205673</v>
      </c>
      <c r="I937" s="19" t="n">
        <v>1367</v>
      </c>
      <c r="J937" s="19" t="n">
        <v>1407</v>
      </c>
      <c r="K937" s="19" t="n">
        <v>6.94292146153818</v>
      </c>
    </row>
    <row r="938">
      <c r="A938" s="19" t="n">
        <v>92</v>
      </c>
      <c r="B938" s="19" t="inlineStr">
        <is>
          <t>Plen</t>
        </is>
      </c>
      <c r="C938" s="19" t="inlineStr">
        <is>
          <t>Town</t>
        </is>
      </c>
      <c r="D938" s="19" t="inlineStr">
        <is>
          <t>Win</t>
        </is>
      </c>
      <c r="E938" s="19" t="n">
        <v>45</v>
      </c>
      <c r="F938" s="19" t="n">
        <v>19.8273368555686</v>
      </c>
      <c r="G938" s="19" t="n">
        <v>20.4415707212058</v>
      </c>
      <c r="H938" s="19" t="n">
        <v>7.22899268778662</v>
      </c>
      <c r="I938" s="19" t="n">
        <v>608</v>
      </c>
      <c r="J938" s="19" t="n">
        <v>653</v>
      </c>
      <c r="K938" s="19" t="n">
        <v>7.26092880671994</v>
      </c>
    </row>
    <row r="939">
      <c r="A939" s="19" t="n">
        <v>92</v>
      </c>
      <c r="B939" s="19" t="inlineStr">
        <is>
          <t>Creatchee</t>
        </is>
      </c>
      <c r="C939" s="19" t="inlineStr">
        <is>
          <t>Town</t>
        </is>
      </c>
      <c r="D939" s="19" t="inlineStr">
        <is>
          <t>Win</t>
        </is>
      </c>
      <c r="E939" s="19" t="n">
        <v>46</v>
      </c>
      <c r="F939" s="19" t="n">
        <v>33.3953504573542</v>
      </c>
      <c r="G939" s="19" t="n">
        <v>34.0275436129147</v>
      </c>
      <c r="H939" s="19" t="n">
        <v>7.33277965960253</v>
      </c>
      <c r="I939" s="19" t="n">
        <v>1520</v>
      </c>
      <c r="J939" s="19" t="n">
        <v>1566</v>
      </c>
      <c r="K939" s="19" t="n">
        <v>7.36649205720659</v>
      </c>
    </row>
    <row r="940">
      <c r="A940" s="19" t="n">
        <v>92</v>
      </c>
      <c r="B940" s="19" t="inlineStr">
        <is>
          <t>Laur</t>
        </is>
      </c>
      <c r="C940" s="19" t="inlineStr">
        <is>
          <t>Town</t>
        </is>
      </c>
      <c r="D940" s="19" t="inlineStr">
        <is>
          <t>Win</t>
        </is>
      </c>
      <c r="E940" s="19" t="n">
        <v>50</v>
      </c>
      <c r="F940" s="19" t="n">
        <v>31.9123407843912</v>
      </c>
      <c r="G940" s="19" t="n">
        <v>32.5850714182667</v>
      </c>
      <c r="H940" s="19" t="n">
        <v>7.56158188015765</v>
      </c>
      <c r="I940" s="19" t="n">
        <v>1395</v>
      </c>
      <c r="J940" s="19" t="n">
        <v>1445</v>
      </c>
      <c r="K940" s="19" t="n">
        <v>7.59937949671645</v>
      </c>
    </row>
    <row r="941">
      <c r="A941" s="19" t="n">
        <v>92</v>
      </c>
      <c r="B941" s="19" t="inlineStr">
        <is>
          <t>Cj</t>
        </is>
      </c>
      <c r="C941" s="19" t="inlineStr">
        <is>
          <t>Mafia</t>
        </is>
      </c>
      <c r="D941" s="19" t="inlineStr">
        <is>
          <t>Loss</t>
        </is>
      </c>
      <c r="E941" s="19" t="n">
        <v>-50</v>
      </c>
      <c r="F941" s="19" t="n">
        <v>25</v>
      </c>
      <c r="G941" s="19" t="n">
        <v>24.1912605302774</v>
      </c>
      <c r="H941" s="19" t="n">
        <v>8.281074321542039</v>
      </c>
      <c r="I941" s="19" t="n">
        <v>850</v>
      </c>
      <c r="J941" s="19" t="n">
        <v>800</v>
      </c>
      <c r="K941" s="19" t="n">
        <v>8.33333333333333</v>
      </c>
    </row>
    <row r="942">
      <c r="A942" s="19" t="n">
        <v>92</v>
      </c>
      <c r="B942" s="19" t="inlineStr">
        <is>
          <t>Chipper</t>
        </is>
      </c>
      <c r="C942" s="19" t="inlineStr">
        <is>
          <t>Mafia</t>
        </is>
      </c>
      <c r="D942" s="19" t="inlineStr">
        <is>
          <t>Loss</t>
        </is>
      </c>
      <c r="E942" s="19" t="n">
        <v>-39</v>
      </c>
      <c r="F942" s="19" t="n">
        <v>22.1695533886968</v>
      </c>
      <c r="G942" s="19" t="n">
        <v>21.5464713059098</v>
      </c>
      <c r="H942" s="19" t="n">
        <v>7.28031967133537</v>
      </c>
      <c r="I942" s="19" t="n">
        <v>762</v>
      </c>
      <c r="J942" s="19" t="n">
        <v>723</v>
      </c>
      <c r="K942" s="19" t="n">
        <v>7.31312834413453</v>
      </c>
    </row>
    <row r="943">
      <c r="A943" s="19" t="n">
        <v>92</v>
      </c>
      <c r="B943" s="19" t="inlineStr">
        <is>
          <t>Happymeal</t>
        </is>
      </c>
      <c r="C943" s="19" t="inlineStr">
        <is>
          <t>Mafia</t>
        </is>
      </c>
      <c r="D943" s="19" t="inlineStr">
        <is>
          <t>Loss</t>
        </is>
      </c>
      <c r="E943" s="19" t="n">
        <v>-43</v>
      </c>
      <c r="F943" s="19" t="n">
        <v>25.141014724058</v>
      </c>
      <c r="G943" s="19" t="n">
        <v>24.4432305953534</v>
      </c>
      <c r="H943" s="19" t="n">
        <v>7.69943403066515</v>
      </c>
      <c r="I943" s="19" t="n">
        <v>920</v>
      </c>
      <c r="J943" s="19" t="n">
        <v>877</v>
      </c>
      <c r="K943" s="19" t="n">
        <v>7.73980865470864</v>
      </c>
    </row>
    <row r="944">
      <c r="A944" s="19" t="n">
        <v>91</v>
      </c>
      <c r="B944" s="19" t="inlineStr">
        <is>
          <t>Gilbert</t>
        </is>
      </c>
      <c r="C944" s="19" t="inlineStr">
        <is>
          <t>Town</t>
        </is>
      </c>
      <c r="D944" s="19" t="inlineStr">
        <is>
          <t>Win</t>
        </is>
      </c>
      <c r="E944" s="19" t="n">
        <v>130</v>
      </c>
      <c r="F944" s="19" t="n">
        <v>23.2350434115681</v>
      </c>
      <c r="G944" s="19" t="n">
        <v>25.037984597754</v>
      </c>
      <c r="H944" s="19" t="n">
        <v>8.14797190001314</v>
      </c>
      <c r="I944" s="19" t="n">
        <v>741</v>
      </c>
      <c r="J944" s="19" t="n">
        <v>871</v>
      </c>
      <c r="K944" s="19" t="n">
        <v>8.225734740489001</v>
      </c>
    </row>
    <row r="945">
      <c r="A945" s="19" t="n">
        <v>91</v>
      </c>
      <c r="B945" s="19" t="inlineStr">
        <is>
          <t>Rocker</t>
        </is>
      </c>
      <c r="C945" s="19" t="inlineStr">
        <is>
          <t>Town</t>
        </is>
      </c>
      <c r="D945" s="19" t="inlineStr">
        <is>
          <t>Win</t>
        </is>
      </c>
      <c r="E945" s="19" t="n">
        <v>94</v>
      </c>
      <c r="F945" s="19" t="n">
        <v>30.9686139937351</v>
      </c>
      <c r="G945" s="19" t="n">
        <v>32.2734338674755</v>
      </c>
      <c r="H945" s="19" t="n">
        <v>6.95124318454542</v>
      </c>
      <c r="I945" s="19" t="n">
        <v>1392</v>
      </c>
      <c r="J945" s="19" t="n">
        <v>1486</v>
      </c>
      <c r="K945" s="19" t="n">
        <v>6.99598565704401</v>
      </c>
    </row>
    <row r="946">
      <c r="A946" s="19" t="n">
        <v>91</v>
      </c>
      <c r="B946" s="19" t="inlineStr">
        <is>
          <t>Lou</t>
        </is>
      </c>
      <c r="C946" s="19" t="inlineStr">
        <is>
          <t>Town</t>
        </is>
      </c>
      <c r="D946" s="19" t="inlineStr">
        <is>
          <t>Win</t>
        </is>
      </c>
      <c r="E946" s="19" t="n">
        <v>101</v>
      </c>
      <c r="F946" s="19" t="n">
        <v>27.0734433597807</v>
      </c>
      <c r="G946" s="19" t="n">
        <v>28.4810830142426</v>
      </c>
      <c r="H946" s="19" t="n">
        <v>7.21572450327838</v>
      </c>
      <c r="I946" s="19" t="n">
        <v>1100</v>
      </c>
      <c r="J946" s="19" t="n">
        <v>1201</v>
      </c>
      <c r="K946" s="19" t="n">
        <v>7.26688922500059</v>
      </c>
    </row>
    <row r="947">
      <c r="A947" s="19" t="n">
        <v>91</v>
      </c>
      <c r="B947" s="19" t="inlineStr">
        <is>
          <t>Plen</t>
        </is>
      </c>
      <c r="C947" s="19" t="inlineStr">
        <is>
          <t>Town</t>
        </is>
      </c>
      <c r="D947" s="19" t="inlineStr">
        <is>
          <t>Win</t>
        </is>
      </c>
      <c r="E947" s="19" t="n">
        <v>103</v>
      </c>
      <c r="F947" s="19" t="n">
        <v>18.4017144170395</v>
      </c>
      <c r="G947" s="19" t="n">
        <v>19.8273368555686</v>
      </c>
      <c r="H947" s="19" t="n">
        <v>7.26092880671994</v>
      </c>
      <c r="I947" s="19" t="n">
        <v>505</v>
      </c>
      <c r="J947" s="19" t="n">
        <v>608</v>
      </c>
      <c r="K947" s="19" t="n">
        <v>7.31323826380122</v>
      </c>
    </row>
    <row r="948">
      <c r="A948" s="19" t="n">
        <v>91</v>
      </c>
      <c r="B948" s="19" t="inlineStr">
        <is>
          <t>Brownkow</t>
        </is>
      </c>
      <c r="C948" s="19" t="inlineStr">
        <is>
          <t>Town</t>
        </is>
      </c>
      <c r="D948" s="19" t="inlineStr">
        <is>
          <t>Win</t>
        </is>
      </c>
      <c r="E948" s="19" t="n">
        <v>94</v>
      </c>
      <c r="F948" s="19" t="n">
        <v>29.2084513380642</v>
      </c>
      <c r="G948" s="19" t="n">
        <v>30.5101022205283</v>
      </c>
      <c r="H948" s="19" t="n">
        <v>6.94292146153818</v>
      </c>
      <c r="I948" s="19" t="n">
        <v>1273</v>
      </c>
      <c r="J948" s="19" t="n">
        <v>1367</v>
      </c>
      <c r="K948" s="19" t="n">
        <v>6.98746934279047</v>
      </c>
    </row>
    <row r="949">
      <c r="A949" s="19" t="n">
        <v>91</v>
      </c>
      <c r="B949" s="19" t="inlineStr">
        <is>
          <t>Mintt</t>
        </is>
      </c>
      <c r="C949" s="19" t="inlineStr">
        <is>
          <t>Town</t>
        </is>
      </c>
      <c r="D949" s="19" t="inlineStr">
        <is>
          <t>Win</t>
        </is>
      </c>
      <c r="E949" s="19" t="n">
        <v>109</v>
      </c>
      <c r="F949" s="19" t="n">
        <v>24.7909155262818</v>
      </c>
      <c r="G949" s="19" t="n">
        <v>26.3101844647108</v>
      </c>
      <c r="H949" s="19" t="n">
        <v>7.49163329920556</v>
      </c>
      <c r="I949" s="19" t="n">
        <v>916</v>
      </c>
      <c r="J949" s="19" t="n">
        <v>1025</v>
      </c>
      <c r="K949" s="19" t="n">
        <v>7.55000628830007</v>
      </c>
    </row>
    <row r="950">
      <c r="A950" s="19" t="n">
        <v>91</v>
      </c>
      <c r="B950" s="19" t="inlineStr">
        <is>
          <t>Sam</t>
        </is>
      </c>
      <c r="C950" s="19" t="inlineStr">
        <is>
          <t>Town</t>
        </is>
      </c>
      <c r="D950" s="19" t="inlineStr">
        <is>
          <t>Win</t>
        </is>
      </c>
      <c r="E950" s="19" t="n">
        <v>122</v>
      </c>
      <c r="F950" s="19" t="n">
        <v>25.5504746579025</v>
      </c>
      <c r="G950" s="19" t="n">
        <v>27.2371032188984</v>
      </c>
      <c r="H950" s="19" t="n">
        <v>7.88598485285256</v>
      </c>
      <c r="I950" s="19" t="n">
        <v>926</v>
      </c>
      <c r="J950" s="19" t="n">
        <v>1048</v>
      </c>
      <c r="K950" s="19" t="n">
        <v>7.95561442219366</v>
      </c>
    </row>
    <row r="951">
      <c r="A951" s="19" t="n">
        <v>91</v>
      </c>
      <c r="B951" s="19" t="inlineStr">
        <is>
          <t>Josh</t>
        </is>
      </c>
      <c r="C951" s="19" t="inlineStr">
        <is>
          <t>Town</t>
        </is>
      </c>
      <c r="D951" s="19" t="inlineStr">
        <is>
          <t>Win</t>
        </is>
      </c>
      <c r="E951" s="19" t="n">
        <v>119</v>
      </c>
      <c r="F951" s="19" t="n">
        <v>26.8671343210585</v>
      </c>
      <c r="G951" s="19" t="n">
        <v>28.5243879255435</v>
      </c>
      <c r="H951" s="19" t="n">
        <v>7.81831637627554</v>
      </c>
      <c r="I951" s="19" t="n">
        <v>1023</v>
      </c>
      <c r="J951" s="19" t="n">
        <v>1142</v>
      </c>
      <c r="K951" s="19" t="n">
        <v>7.88593175124312</v>
      </c>
    </row>
    <row r="952">
      <c r="A952" s="19" t="n">
        <v>91</v>
      </c>
      <c r="B952" s="19" t="inlineStr">
        <is>
          <t>Rollo</t>
        </is>
      </c>
      <c r="C952" s="19" t="inlineStr">
        <is>
          <t>Town</t>
        </is>
      </c>
      <c r="D952" s="19" t="inlineStr">
        <is>
          <t>Win</t>
        </is>
      </c>
      <c r="E952" s="19" t="n">
        <v>112</v>
      </c>
      <c r="F952" s="19" t="n">
        <v>27.3133842438394</v>
      </c>
      <c r="G952" s="19" t="n">
        <v>28.8597838542369</v>
      </c>
      <c r="H952" s="19" t="n">
        <v>7.55706494886399</v>
      </c>
      <c r="I952" s="19" t="n">
        <v>1080</v>
      </c>
      <c r="J952" s="19" t="n">
        <v>1192</v>
      </c>
      <c r="K952" s="19" t="n">
        <v>7.61722641466968</v>
      </c>
    </row>
    <row r="953">
      <c r="A953" s="19" t="n">
        <v>91</v>
      </c>
      <c r="B953" s="19" t="inlineStr">
        <is>
          <t>Strik3r</t>
        </is>
      </c>
      <c r="C953" s="19" t="inlineStr">
        <is>
          <t>Town</t>
        </is>
      </c>
      <c r="D953" s="19" t="inlineStr">
        <is>
          <t>Win</t>
        </is>
      </c>
      <c r="E953" s="19" t="n">
        <v>118</v>
      </c>
      <c r="F953" s="19" t="n">
        <v>27.1530361314925</v>
      </c>
      <c r="G953" s="19" t="n">
        <v>28.7941830492663</v>
      </c>
      <c r="H953" s="19" t="n">
        <v>7.78094329251975</v>
      </c>
      <c r="I953" s="19" t="n">
        <v>1046</v>
      </c>
      <c r="J953" s="19" t="n">
        <v>1164</v>
      </c>
      <c r="K953" s="19" t="n">
        <v>7.84746115235337</v>
      </c>
    </row>
    <row r="954">
      <c r="A954" s="19" t="n">
        <v>91</v>
      </c>
      <c r="B954" s="19" t="inlineStr">
        <is>
          <t>Kden</t>
        </is>
      </c>
      <c r="C954" s="19" t="inlineStr">
        <is>
          <t>Mafia</t>
        </is>
      </c>
      <c r="D954" s="19" t="inlineStr">
        <is>
          <t>Loss</t>
        </is>
      </c>
      <c r="E954" s="19" t="n">
        <v>-99</v>
      </c>
      <c r="F954" s="19" t="n">
        <v>30.3085857393074</v>
      </c>
      <c r="G954" s="19" t="n">
        <v>28.7725003738841</v>
      </c>
      <c r="H954" s="19" t="n">
        <v>7.53226165064104</v>
      </c>
      <c r="I954" s="19" t="n">
        <v>1287</v>
      </c>
      <c r="J954" s="19" t="n">
        <v>1188</v>
      </c>
      <c r="K954" s="19" t="n">
        <v>7.59174152123287</v>
      </c>
    </row>
    <row r="955">
      <c r="A955" s="19" t="n">
        <v>91</v>
      </c>
      <c r="B955" s="19" t="inlineStr">
        <is>
          <t>Streety</t>
        </is>
      </c>
      <c r="C955" s="19" t="inlineStr">
        <is>
          <t>Mafia</t>
        </is>
      </c>
      <c r="D955" s="19" t="inlineStr">
        <is>
          <t>Loss</t>
        </is>
      </c>
      <c r="E955" s="19" t="n">
        <v>-105</v>
      </c>
      <c r="F955" s="19" t="n">
        <v>25.2845671017344</v>
      </c>
      <c r="G955" s="19" t="n">
        <v>23.6475613933269</v>
      </c>
      <c r="H955" s="19" t="n">
        <v>7.77130294587144</v>
      </c>
      <c r="I955" s="19" t="n">
        <v>920</v>
      </c>
      <c r="J955" s="19" t="n">
        <v>815</v>
      </c>
      <c r="K955" s="19" t="n">
        <v>7.83753941393265</v>
      </c>
    </row>
    <row r="956">
      <c r="A956" s="19" t="n">
        <v>91</v>
      </c>
      <c r="B956" s="19" t="inlineStr">
        <is>
          <t>Noah</t>
        </is>
      </c>
      <c r="C956" s="19" t="inlineStr">
        <is>
          <t>Mafia</t>
        </is>
      </c>
      <c r="D956" s="19" t="inlineStr">
        <is>
          <t>Loss</t>
        </is>
      </c>
      <c r="E956" s="19" t="n">
        <v>-93</v>
      </c>
      <c r="F956" s="19" t="n">
        <v>29.2921260673106</v>
      </c>
      <c r="G956" s="19" t="n">
        <v>27.845047958218</v>
      </c>
      <c r="H956" s="19" t="n">
        <v>7.3144733396881</v>
      </c>
      <c r="I956" s="19" t="n">
        <v>1240</v>
      </c>
      <c r="J956" s="19" t="n">
        <v>1147</v>
      </c>
      <c r="K956" s="19" t="n">
        <v>7.36815691818042</v>
      </c>
    </row>
    <row r="957">
      <c r="A957" s="19" t="n">
        <v>90</v>
      </c>
      <c r="B957" s="19" t="inlineStr">
        <is>
          <t>Badpants</t>
        </is>
      </c>
      <c r="C957" s="19" t="inlineStr">
        <is>
          <t>Town</t>
        </is>
      </c>
      <c r="D957" s="19" t="inlineStr">
        <is>
          <t>Win</t>
        </is>
      </c>
      <c r="E957" s="19" t="n">
        <v>81</v>
      </c>
      <c r="F957" s="19" t="n">
        <v>22.0273894453791</v>
      </c>
      <c r="G957" s="19" t="n">
        <v>23.1619492318698</v>
      </c>
      <c r="H957" s="19" t="n">
        <v>7.20368192825773</v>
      </c>
      <c r="I957" s="19" t="n">
        <v>759</v>
      </c>
      <c r="J957" s="19" t="n">
        <v>840</v>
      </c>
      <c r="K957" s="19" t="n">
        <v>7.24512305476916</v>
      </c>
    </row>
    <row r="958">
      <c r="A958" s="19" t="n">
        <v>90</v>
      </c>
      <c r="B958" s="19" t="inlineStr">
        <is>
          <t>Smit</t>
        </is>
      </c>
      <c r="C958" s="19" t="inlineStr">
        <is>
          <t>Town</t>
        </is>
      </c>
      <c r="D958" s="19" t="inlineStr">
        <is>
          <t>Win</t>
        </is>
      </c>
      <c r="E958" s="19" t="n">
        <v>84</v>
      </c>
      <c r="F958" s="19" t="n">
        <v>23.1631859414717</v>
      </c>
      <c r="G958" s="19" t="n">
        <v>24.3341206871969</v>
      </c>
      <c r="H958" s="19" t="n">
        <v>7.31669172180843</v>
      </c>
      <c r="I958" s="19" t="n">
        <v>824</v>
      </c>
      <c r="J958" s="19" t="n">
        <v>908</v>
      </c>
      <c r="K958" s="19" t="n">
        <v>7.36054521865484</v>
      </c>
    </row>
    <row r="959">
      <c r="A959" s="19" t="n">
        <v>90</v>
      </c>
      <c r="B959" s="19" t="inlineStr">
        <is>
          <t>Rocker</t>
        </is>
      </c>
      <c r="C959" s="19" t="inlineStr">
        <is>
          <t>Town</t>
        </is>
      </c>
      <c r="D959" s="19" t="inlineStr">
        <is>
          <t>Win</t>
        </is>
      </c>
      <c r="E959" s="19" t="n">
        <v>76</v>
      </c>
      <c r="F959" s="19" t="n">
        <v>29.8993510367166</v>
      </c>
      <c r="G959" s="19" t="n">
        <v>30.9686139937351</v>
      </c>
      <c r="H959" s="19" t="n">
        <v>6.99598565704401</v>
      </c>
      <c r="I959" s="19" t="n">
        <v>1316</v>
      </c>
      <c r="J959" s="19" t="n">
        <v>1392</v>
      </c>
      <c r="K959" s="19" t="n">
        <v>7.03317780124973</v>
      </c>
    </row>
    <row r="960">
      <c r="A960" s="19" t="n">
        <v>90</v>
      </c>
      <c r="B960" s="19" t="inlineStr">
        <is>
          <t>Siggy</t>
        </is>
      </c>
      <c r="C960" s="19" t="inlineStr">
        <is>
          <t>Town</t>
        </is>
      </c>
      <c r="D960" s="19" t="inlineStr">
        <is>
          <t>Win</t>
        </is>
      </c>
      <c r="E960" s="19" t="n">
        <v>106</v>
      </c>
      <c r="F960" s="19" t="n">
        <v>25.3516719040561</v>
      </c>
      <c r="G960" s="19" t="n">
        <v>26.8086156286882</v>
      </c>
      <c r="H960" s="19" t="n">
        <v>8.147825231807991</v>
      </c>
      <c r="I960" s="19" t="n">
        <v>886</v>
      </c>
      <c r="J960" s="19" t="n">
        <v>992</v>
      </c>
      <c r="K960" s="19" t="n">
        <v>8.21175207018624</v>
      </c>
    </row>
    <row r="961">
      <c r="A961" s="19" t="n">
        <v>90</v>
      </c>
      <c r="B961" s="19" t="inlineStr">
        <is>
          <t>Kwix</t>
        </is>
      </c>
      <c r="C961" s="19" t="inlineStr">
        <is>
          <t>Town</t>
        </is>
      </c>
      <c r="D961" s="19" t="inlineStr">
        <is>
          <t>Win</t>
        </is>
      </c>
      <c r="E961" s="19" t="n">
        <v>90</v>
      </c>
      <c r="F961" s="19" t="n">
        <v>22.7489860401398</v>
      </c>
      <c r="G961" s="19" t="n">
        <v>23.992995854159</v>
      </c>
      <c r="H961" s="19" t="n">
        <v>7.53831911637455</v>
      </c>
      <c r="I961" s="19" t="n">
        <v>773</v>
      </c>
      <c r="J961" s="19" t="n">
        <v>863</v>
      </c>
      <c r="K961" s="19" t="n">
        <v>7.58711610828853</v>
      </c>
    </row>
    <row r="962">
      <c r="A962" s="19" t="n">
        <v>90</v>
      </c>
      <c r="B962" s="19" t="inlineStr">
        <is>
          <t>23flash</t>
        </is>
      </c>
      <c r="C962" s="19" t="inlineStr">
        <is>
          <t>Town</t>
        </is>
      </c>
      <c r="D962" s="19" t="inlineStr">
        <is>
          <t>Win</t>
        </is>
      </c>
      <c r="E962" s="19" t="n">
        <v>101</v>
      </c>
      <c r="F962" s="19" t="n">
        <v>23.4090695614222</v>
      </c>
      <c r="G962" s="19" t="n">
        <v>24.7930390718625</v>
      </c>
      <c r="H962" s="19" t="n">
        <v>7.94455508104567</v>
      </c>
      <c r="I962" s="19" t="n">
        <v>775</v>
      </c>
      <c r="J962" s="19" t="n">
        <v>876</v>
      </c>
      <c r="K962" s="19" t="n">
        <v>8.003176949012991</v>
      </c>
    </row>
    <row r="963">
      <c r="A963" s="19" t="n">
        <v>90</v>
      </c>
      <c r="B963" s="19" t="inlineStr">
        <is>
          <t>Carson</t>
        </is>
      </c>
      <c r="C963" s="19" t="inlineStr">
        <is>
          <t>Town</t>
        </is>
      </c>
      <c r="D963" s="19" t="inlineStr">
        <is>
          <t>Win</t>
        </is>
      </c>
      <c r="E963" s="19" t="n">
        <v>85</v>
      </c>
      <c r="F963" s="19" t="n">
        <v>27.3186622278256</v>
      </c>
      <c r="G963" s="19" t="n">
        <v>28.5002820711863</v>
      </c>
      <c r="H963" s="19" t="n">
        <v>7.34953971424114</v>
      </c>
      <c r="I963" s="19" t="n">
        <v>1103</v>
      </c>
      <c r="J963" s="19" t="n">
        <v>1188</v>
      </c>
      <c r="K963" s="19" t="n">
        <v>7.39410797486605</v>
      </c>
    </row>
    <row r="964">
      <c r="A964" s="19" t="n">
        <v>90</v>
      </c>
      <c r="B964" s="19" t="inlineStr">
        <is>
          <t>Jerm</t>
        </is>
      </c>
      <c r="C964" s="19" t="inlineStr">
        <is>
          <t>Town</t>
        </is>
      </c>
      <c r="D964" s="19" t="inlineStr">
        <is>
          <t>Win</t>
        </is>
      </c>
      <c r="E964" s="19" t="n">
        <v>109</v>
      </c>
      <c r="F964" s="19" t="n">
        <v>25</v>
      </c>
      <c r="G964" s="19" t="n">
        <v>26.5003475027806</v>
      </c>
      <c r="H964" s="19" t="n">
        <v>8.266192969511589</v>
      </c>
      <c r="I964" s="19" t="n">
        <v>850</v>
      </c>
      <c r="J964" s="19" t="n">
        <v>959</v>
      </c>
      <c r="K964" s="19" t="n">
        <v>8.33333333333333</v>
      </c>
    </row>
    <row r="965">
      <c r="A965" s="19" t="n">
        <v>90</v>
      </c>
      <c r="B965" s="19" t="inlineStr">
        <is>
          <t>Josh</t>
        </is>
      </c>
      <c r="C965" s="19" t="inlineStr">
        <is>
          <t>Town</t>
        </is>
      </c>
      <c r="D965" s="19" t="inlineStr">
        <is>
          <t>Win</t>
        </is>
      </c>
      <c r="E965" s="19" t="n">
        <v>99</v>
      </c>
      <c r="F965" s="19" t="n">
        <v>25.5038450247309</v>
      </c>
      <c r="G965" s="19" t="n">
        <v>26.8671343210585</v>
      </c>
      <c r="H965" s="19" t="n">
        <v>7.88593175124312</v>
      </c>
      <c r="I965" s="19" t="n">
        <v>924</v>
      </c>
      <c r="J965" s="19" t="n">
        <v>1023</v>
      </c>
      <c r="K965" s="19" t="n">
        <v>7.94307277971238</v>
      </c>
    </row>
    <row r="966">
      <c r="A966" s="19" t="n">
        <v>90</v>
      </c>
      <c r="B966" s="19" t="inlineStr">
        <is>
          <t>Rollo</t>
        </is>
      </c>
      <c r="C966" s="19" t="inlineStr">
        <is>
          <t>Town</t>
        </is>
      </c>
      <c r="D966" s="19" t="inlineStr">
        <is>
          <t>Win</t>
        </is>
      </c>
      <c r="E966" s="19" t="n">
        <v>91</v>
      </c>
      <c r="F966" s="19" t="n">
        <v>26.0427992714323</v>
      </c>
      <c r="G966" s="19" t="n">
        <v>27.3133842438394</v>
      </c>
      <c r="H966" s="19" t="n">
        <v>7.61722641466968</v>
      </c>
      <c r="I966" s="19" t="n">
        <v>989</v>
      </c>
      <c r="J966" s="19" t="n">
        <v>1080</v>
      </c>
      <c r="K966" s="19" t="n">
        <v>7.66785311704989</v>
      </c>
    </row>
    <row r="967">
      <c r="A967" s="19" t="n">
        <v>90</v>
      </c>
      <c r="B967" s="19" t="inlineStr">
        <is>
          <t>Noah</t>
        </is>
      </c>
      <c r="C967" s="19" t="inlineStr">
        <is>
          <t>Town</t>
        </is>
      </c>
      <c r="D967" s="19" t="inlineStr">
        <is>
          <t>Win</t>
        </is>
      </c>
      <c r="E967" s="19" t="n">
        <v>85</v>
      </c>
      <c r="F967" s="19" t="n">
        <v>28.104427788032</v>
      </c>
      <c r="G967" s="19" t="n">
        <v>29.2921260673106</v>
      </c>
      <c r="H967" s="19" t="n">
        <v>7.36815691818042</v>
      </c>
      <c r="I967" s="19" t="n">
        <v>1155</v>
      </c>
      <c r="J967" s="19" t="n">
        <v>1240</v>
      </c>
      <c r="K967" s="19" t="n">
        <v>7.41313302574619</v>
      </c>
    </row>
    <row r="968">
      <c r="A968" s="19" t="n">
        <v>90</v>
      </c>
      <c r="B968" s="19" t="inlineStr">
        <is>
          <t>Streety</t>
        </is>
      </c>
      <c r="C968" s="19" t="inlineStr">
        <is>
          <t>Mafia</t>
        </is>
      </c>
      <c r="D968" s="19" t="inlineStr">
        <is>
          <t>Loss</t>
        </is>
      </c>
      <c r="E968" s="19" t="n">
        <v>-86</v>
      </c>
      <c r="F968" s="19" t="n">
        <v>26.6309083185317</v>
      </c>
      <c r="G968" s="19" t="n">
        <v>25.2845671017344</v>
      </c>
      <c r="H968" s="19" t="n">
        <v>7.83753941393265</v>
      </c>
      <c r="I968" s="19" t="n">
        <v>1006</v>
      </c>
      <c r="J968" s="19" t="n">
        <v>920</v>
      </c>
      <c r="K968" s="19" t="n">
        <v>7.89347432729781</v>
      </c>
    </row>
    <row r="969">
      <c r="A969" s="19" t="n">
        <v>90</v>
      </c>
      <c r="B969" s="19" t="inlineStr">
        <is>
          <t>Sam</t>
        </is>
      </c>
      <c r="C969" s="19" t="inlineStr">
        <is>
          <t>Mafia</t>
        </is>
      </c>
      <c r="D969" s="19" t="inlineStr">
        <is>
          <t>Loss</t>
        </is>
      </c>
      <c r="E969" s="19" t="n">
        <v>-88</v>
      </c>
      <c r="F969" s="19" t="n">
        <v>26.9383638310195</v>
      </c>
      <c r="G969" s="19" t="n">
        <v>25.5504746579025</v>
      </c>
      <c r="H969" s="19" t="n">
        <v>7.95561442219366</v>
      </c>
      <c r="I969" s="19" t="n">
        <v>1014</v>
      </c>
      <c r="J969" s="19" t="n">
        <v>926</v>
      </c>
      <c r="K969" s="19" t="n">
        <v>8.01451809137464</v>
      </c>
    </row>
    <row r="970">
      <c r="A970" s="19" t="n">
        <v>90</v>
      </c>
      <c r="B970" s="19" t="inlineStr">
        <is>
          <t>Justice</t>
        </is>
      </c>
      <c r="C970" s="19" t="inlineStr">
        <is>
          <t>Mafia</t>
        </is>
      </c>
      <c r="D970" s="19" t="inlineStr">
        <is>
          <t>Loss</t>
        </is>
      </c>
      <c r="E970" s="19" t="n">
        <v>-95</v>
      </c>
      <c r="F970" s="19" t="n">
        <v>25</v>
      </c>
      <c r="G970" s="19" t="n">
        <v>23.4996524972193</v>
      </c>
      <c r="H970" s="19" t="n">
        <v>8.266192969511589</v>
      </c>
      <c r="I970" s="19" t="n">
        <v>850</v>
      </c>
      <c r="J970" s="19" t="n">
        <v>755</v>
      </c>
      <c r="K970" s="19" t="n">
        <v>8.33333333333333</v>
      </c>
    </row>
    <row r="971">
      <c r="A971" s="19" t="n">
        <v>89</v>
      </c>
      <c r="B971" s="19" t="inlineStr">
        <is>
          <t>Carson</t>
        </is>
      </c>
      <c r="C971" s="19" t="inlineStr">
        <is>
          <t>Town</t>
        </is>
      </c>
      <c r="D971" s="19" t="inlineStr">
        <is>
          <t>Win</t>
        </is>
      </c>
      <c r="E971" s="19" t="n">
        <v>115</v>
      </c>
      <c r="F971" s="19" t="n">
        <v>25.7082481084989</v>
      </c>
      <c r="G971" s="19" t="n">
        <v>27.3186622278256</v>
      </c>
      <c r="H971" s="19" t="n">
        <v>7.39410797486605</v>
      </c>
      <c r="I971" s="19" t="n">
        <v>988</v>
      </c>
      <c r="J971" s="19" t="n">
        <v>1103</v>
      </c>
      <c r="K971" s="19" t="n">
        <v>7.45304518956247</v>
      </c>
    </row>
    <row r="972">
      <c r="A972" s="19" t="n">
        <v>89</v>
      </c>
      <c r="B972" s="19" t="inlineStr">
        <is>
          <t>Kden</t>
        </is>
      </c>
      <c r="C972" s="19" t="inlineStr">
        <is>
          <t>Town</t>
        </is>
      </c>
      <c r="D972" s="19" t="inlineStr">
        <is>
          <t>Win</t>
        </is>
      </c>
      <c r="E972" s="19" t="n">
        <v>123</v>
      </c>
      <c r="F972" s="19" t="n">
        <v>28.6092774362553</v>
      </c>
      <c r="G972" s="19" t="n">
        <v>30.3085857393074</v>
      </c>
      <c r="H972" s="19" t="n">
        <v>7.59174152123287</v>
      </c>
      <c r="I972" s="19" t="n">
        <v>1164</v>
      </c>
      <c r="J972" s="19" t="n">
        <v>1287</v>
      </c>
      <c r="K972" s="19" t="n">
        <v>7.65630918744524</v>
      </c>
    </row>
    <row r="973">
      <c r="A973" s="19" t="n">
        <v>89</v>
      </c>
      <c r="B973" s="19" t="inlineStr">
        <is>
          <t>Brownkow</t>
        </is>
      </c>
      <c r="C973" s="19" t="inlineStr">
        <is>
          <t>Town</t>
        </is>
      </c>
      <c r="D973" s="19" t="inlineStr">
        <is>
          <t>Win</t>
        </is>
      </c>
      <c r="E973" s="19" t="n">
        <v>102</v>
      </c>
      <c r="F973" s="19" t="n">
        <v>27.7730493953849</v>
      </c>
      <c r="G973" s="19" t="n">
        <v>29.2084513380642</v>
      </c>
      <c r="H973" s="19" t="n">
        <v>6.98746934279047</v>
      </c>
      <c r="I973" s="19" t="n">
        <v>1171</v>
      </c>
      <c r="J973" s="19" t="n">
        <v>1273</v>
      </c>
      <c r="K973" s="19" t="n">
        <v>7.03572463352794</v>
      </c>
    </row>
    <row r="974">
      <c r="A974" s="19" t="n">
        <v>89</v>
      </c>
      <c r="B974" s="19" t="inlineStr">
        <is>
          <t>Iln</t>
        </is>
      </c>
      <c r="C974" s="19" t="inlineStr">
        <is>
          <t>Town</t>
        </is>
      </c>
      <c r="D974" s="19" t="inlineStr">
        <is>
          <t>Win</t>
        </is>
      </c>
      <c r="E974" s="19" t="n">
        <v>114</v>
      </c>
      <c r="F974" s="19" t="n">
        <v>21.9679642012685</v>
      </c>
      <c r="G974" s="19" t="n">
        <v>23.5644851319738</v>
      </c>
      <c r="H974" s="19" t="n">
        <v>7.36270459857692</v>
      </c>
      <c r="I974" s="19" t="n">
        <v>737</v>
      </c>
      <c r="J974" s="19" t="n">
        <v>851</v>
      </c>
      <c r="K974" s="19" t="n">
        <v>7.42077418736637</v>
      </c>
    </row>
    <row r="975">
      <c r="A975" s="19" t="n">
        <v>89</v>
      </c>
      <c r="B975" s="19" t="inlineStr">
        <is>
          <t>Chipper</t>
        </is>
      </c>
      <c r="C975" s="19" t="inlineStr">
        <is>
          <t>Town</t>
        </is>
      </c>
      <c r="D975" s="19" t="inlineStr">
        <is>
          <t>Win</t>
        </is>
      </c>
      <c r="E975" s="19" t="n">
        <v>113</v>
      </c>
      <c r="F975" s="19" t="n">
        <v>20.5948364784701</v>
      </c>
      <c r="G975" s="19" t="n">
        <v>22.1695533886968</v>
      </c>
      <c r="H975" s="19" t="n">
        <v>7.31312834413453</v>
      </c>
      <c r="I975" s="19" t="n">
        <v>649</v>
      </c>
      <c r="J975" s="19" t="n">
        <v>762</v>
      </c>
      <c r="K975" s="19" t="n">
        <v>7.36984305794343</v>
      </c>
    </row>
    <row r="976">
      <c r="A976" s="19" t="n">
        <v>89</v>
      </c>
      <c r="B976" s="19" t="inlineStr">
        <is>
          <t>Kwix</t>
        </is>
      </c>
      <c r="C976" s="19" t="inlineStr">
        <is>
          <t>Town</t>
        </is>
      </c>
      <c r="D976" s="19" t="inlineStr">
        <is>
          <t>Win</t>
        </is>
      </c>
      <c r="E976" s="19" t="n">
        <v>122</v>
      </c>
      <c r="F976" s="19" t="n">
        <v>21.0517870551553</v>
      </c>
      <c r="G976" s="19" t="n">
        <v>22.7489860401398</v>
      </c>
      <c r="H976" s="19" t="n">
        <v>7.58711610828853</v>
      </c>
      <c r="I976" s="19" t="n">
        <v>651</v>
      </c>
      <c r="J976" s="19" t="n">
        <v>773</v>
      </c>
      <c r="K976" s="19" t="n">
        <v>7.65154859856358</v>
      </c>
    </row>
    <row r="977">
      <c r="A977" s="19" t="n">
        <v>89</v>
      </c>
      <c r="B977" s="19" t="inlineStr">
        <is>
          <t>Rollo</t>
        </is>
      </c>
      <c r="C977" s="19" t="inlineStr">
        <is>
          <t>Town</t>
        </is>
      </c>
      <c r="D977" s="19" t="inlineStr">
        <is>
          <t>Win</t>
        </is>
      </c>
      <c r="E977" s="19" t="n">
        <v>125</v>
      </c>
      <c r="F977" s="19" t="n">
        <v>24.3085828801958</v>
      </c>
      <c r="G977" s="19" t="n">
        <v>26.0427992714323</v>
      </c>
      <c r="H977" s="19" t="n">
        <v>7.66785311704989</v>
      </c>
      <c r="I977" s="19" t="n">
        <v>864</v>
      </c>
      <c r="J977" s="19" t="n">
        <v>989</v>
      </c>
      <c r="K977" s="19" t="n">
        <v>7.73466890619433</v>
      </c>
    </row>
    <row r="978">
      <c r="A978" s="19" t="n">
        <v>89</v>
      </c>
      <c r="B978" s="19" t="inlineStr">
        <is>
          <t>Rick</t>
        </is>
      </c>
      <c r="C978" s="19" t="inlineStr">
        <is>
          <t>Town</t>
        </is>
      </c>
      <c r="D978" s="19" t="inlineStr">
        <is>
          <t>Win</t>
        </is>
      </c>
      <c r="E978" s="19" t="n">
        <v>134</v>
      </c>
      <c r="F978" s="19" t="n">
        <v>24.1993981427073</v>
      </c>
      <c r="G978" s="19" t="n">
        <v>26.0620474147993</v>
      </c>
      <c r="H978" s="19" t="n">
        <v>7.94111290972543</v>
      </c>
      <c r="I978" s="19" t="n">
        <v>828</v>
      </c>
      <c r="J978" s="19" t="n">
        <v>962</v>
      </c>
      <c r="K978" s="19" t="n">
        <v>8.016377335336459</v>
      </c>
    </row>
    <row r="979">
      <c r="A979" s="19" t="n">
        <v>89</v>
      </c>
      <c r="B979" s="19" t="inlineStr">
        <is>
          <t>Plen</t>
        </is>
      </c>
      <c r="C979" s="19" t="inlineStr">
        <is>
          <t>Town</t>
        </is>
      </c>
      <c r="D979" s="19" t="inlineStr">
        <is>
          <t>Win</t>
        </is>
      </c>
      <c r="E979" s="19" t="n">
        <v>113</v>
      </c>
      <c r="F979" s="19" t="n">
        <v>16.8269493379253</v>
      </c>
      <c r="G979" s="19" t="n">
        <v>18.4017144170395</v>
      </c>
      <c r="H979" s="19" t="n">
        <v>7.31323826380122</v>
      </c>
      <c r="I979" s="19" t="n">
        <v>392</v>
      </c>
      <c r="J979" s="19" t="n">
        <v>505</v>
      </c>
      <c r="K979" s="19" t="n">
        <v>7.36995596161823</v>
      </c>
    </row>
    <row r="980">
      <c r="A980" s="19" t="n">
        <v>89</v>
      </c>
      <c r="B980" s="19" t="inlineStr">
        <is>
          <t>Creatchee</t>
        </is>
      </c>
      <c r="C980" s="19" t="inlineStr">
        <is>
          <t>Town</t>
        </is>
      </c>
      <c r="D980" s="19" t="inlineStr">
        <is>
          <t>Win</t>
        </is>
      </c>
      <c r="E980" s="19" t="n">
        <v>115</v>
      </c>
      <c r="F980" s="19" t="n">
        <v>31.7971572782849</v>
      </c>
      <c r="G980" s="19" t="n">
        <v>33.3953504573542</v>
      </c>
      <c r="H980" s="19" t="n">
        <v>7.36649205720659</v>
      </c>
      <c r="I980" s="19" t="n">
        <v>1405</v>
      </c>
      <c r="J980" s="19" t="n">
        <v>1520</v>
      </c>
      <c r="K980" s="19" t="n">
        <v>7.42466589966926</v>
      </c>
    </row>
    <row r="981">
      <c r="A981" s="19" t="n">
        <v>89</v>
      </c>
      <c r="B981" s="19" t="inlineStr">
        <is>
          <t>Badpants</t>
        </is>
      </c>
      <c r="C981" s="19" t="inlineStr">
        <is>
          <t>Mafia</t>
        </is>
      </c>
      <c r="D981" s="19" t="inlineStr">
        <is>
          <t>Loss</t>
        </is>
      </c>
      <c r="E981" s="19" t="n">
        <v>-99</v>
      </c>
      <c r="F981" s="19" t="n">
        <v>23.5724537486065</v>
      </c>
      <c r="G981" s="19" t="n">
        <v>22.0273894453791</v>
      </c>
      <c r="H981" s="19" t="n">
        <v>7.24512305476916</v>
      </c>
      <c r="I981" s="19" t="n">
        <v>858</v>
      </c>
      <c r="J981" s="19" t="n">
        <v>759</v>
      </c>
      <c r="K981" s="19" t="n">
        <v>7.3000085326061</v>
      </c>
    </row>
    <row r="982">
      <c r="A982" s="19" t="n">
        <v>89</v>
      </c>
      <c r="B982" s="19" t="inlineStr">
        <is>
          <t>Rocker</t>
        </is>
      </c>
      <c r="C982" s="19" t="inlineStr">
        <is>
          <t>Mafia</t>
        </is>
      </c>
      <c r="D982" s="19" t="inlineStr">
        <is>
          <t>Loss</t>
        </is>
      </c>
      <c r="E982" s="19" t="n">
        <v>-94</v>
      </c>
      <c r="F982" s="19" t="n">
        <v>31.3538983854378</v>
      </c>
      <c r="G982" s="19" t="n">
        <v>29.8993510367166</v>
      </c>
      <c r="H982" s="19" t="n">
        <v>7.03317780124973</v>
      </c>
      <c r="I982" s="19" t="n">
        <v>1410</v>
      </c>
      <c r="J982" s="19" t="n">
        <v>1316</v>
      </c>
      <c r="K982" s="19" t="n">
        <v>7.0825752385374</v>
      </c>
    </row>
    <row r="983">
      <c r="A983" s="19" t="n">
        <v>89</v>
      </c>
      <c r="B983" s="19" t="inlineStr">
        <is>
          <t>Machop</t>
        </is>
      </c>
      <c r="C983" s="19" t="inlineStr">
        <is>
          <t>Mafia</t>
        </is>
      </c>
      <c r="D983" s="19" t="inlineStr">
        <is>
          <t>Loss</t>
        </is>
      </c>
      <c r="E983" s="19" t="n">
        <v>-96</v>
      </c>
      <c r="F983" s="19" t="n">
        <v>26.5942072819605</v>
      </c>
      <c r="G983" s="19" t="n">
        <v>25.1147133639252</v>
      </c>
      <c r="H983" s="19" t="n">
        <v>7.09226533683332</v>
      </c>
      <c r="I983" s="19" t="n">
        <v>1080</v>
      </c>
      <c r="J983" s="19" t="n">
        <v>984</v>
      </c>
      <c r="K983" s="19" t="n">
        <v>7.14316079590191</v>
      </c>
    </row>
    <row r="984">
      <c r="A984" s="19" t="n">
        <v>88</v>
      </c>
      <c r="B984" s="19" t="inlineStr">
        <is>
          <t>Brownkow</t>
        </is>
      </c>
      <c r="C984" s="19" t="inlineStr">
        <is>
          <t>Town</t>
        </is>
      </c>
      <c r="D984" s="19" t="inlineStr">
        <is>
          <t>Win</t>
        </is>
      </c>
      <c r="E984" s="19" t="n">
        <v>56</v>
      </c>
      <c r="F984" s="19" t="n">
        <v>27.0035743052017</v>
      </c>
      <c r="G984" s="19" t="n">
        <v>27.7730493953849</v>
      </c>
      <c r="H984" s="19" t="n">
        <v>7.03572463352794</v>
      </c>
      <c r="I984" s="19" t="n">
        <v>1115</v>
      </c>
      <c r="J984" s="19" t="n">
        <v>1171</v>
      </c>
      <c r="K984" s="19" t="n">
        <v>7.07226363925792</v>
      </c>
    </row>
    <row r="985">
      <c r="A985" s="19" t="n">
        <v>88</v>
      </c>
      <c r="B985" s="19" t="inlineStr">
        <is>
          <t>Kden</t>
        </is>
      </c>
      <c r="C985" s="19" t="inlineStr">
        <is>
          <t>Town</t>
        </is>
      </c>
      <c r="D985" s="19" t="inlineStr">
        <is>
          <t>Win</t>
        </is>
      </c>
      <c r="E985" s="19" t="n">
        <v>67</v>
      </c>
      <c r="F985" s="19" t="n">
        <v>27.6959850662305</v>
      </c>
      <c r="G985" s="19" t="n">
        <v>28.6092774362553</v>
      </c>
      <c r="H985" s="19" t="n">
        <v>7.65630918744524</v>
      </c>
      <c r="I985" s="19" t="n">
        <v>1097</v>
      </c>
      <c r="J985" s="19" t="n">
        <v>1164</v>
      </c>
      <c r="K985" s="19" t="n">
        <v>7.70597497780445</v>
      </c>
    </row>
    <row r="986">
      <c r="A986" s="19" t="n">
        <v>88</v>
      </c>
      <c r="B986" s="19" t="inlineStr">
        <is>
          <t>Laur</t>
        </is>
      </c>
      <c r="C986" s="19" t="inlineStr">
        <is>
          <t>Town</t>
        </is>
      </c>
      <c r="D986" s="19" t="inlineStr">
        <is>
          <t>Win</t>
        </is>
      </c>
      <c r="E986" s="19" t="n">
        <v>66</v>
      </c>
      <c r="F986" s="19" t="n">
        <v>31.012776535812</v>
      </c>
      <c r="G986" s="19" t="n">
        <v>31.9123407843912</v>
      </c>
      <c r="H986" s="19" t="n">
        <v>7.59937949671645</v>
      </c>
      <c r="I986" s="19" t="n">
        <v>1329</v>
      </c>
      <c r="J986" s="19" t="n">
        <v>1395</v>
      </c>
      <c r="K986" s="19" t="n">
        <v>7.64775119694698</v>
      </c>
    </row>
    <row r="987">
      <c r="A987" s="19" t="n">
        <v>88</v>
      </c>
      <c r="B987" s="19" t="inlineStr">
        <is>
          <t>Creatchee</t>
        </is>
      </c>
      <c r="C987" s="19" t="inlineStr">
        <is>
          <t>Town</t>
        </is>
      </c>
      <c r="D987" s="19" t="inlineStr">
        <is>
          <t>Win</t>
        </is>
      </c>
      <c r="E987" s="19" t="n">
        <v>63</v>
      </c>
      <c r="F987" s="19" t="n">
        <v>30.9390470685914</v>
      </c>
      <c r="G987" s="19" t="n">
        <v>31.797157278285</v>
      </c>
      <c r="H987" s="19" t="n">
        <v>7.42466589966926</v>
      </c>
      <c r="I987" s="19" t="n">
        <v>1342</v>
      </c>
      <c r="J987" s="19" t="n">
        <v>1405</v>
      </c>
      <c r="K987" s="19" t="n">
        <v>7.46918212769413</v>
      </c>
    </row>
    <row r="988">
      <c r="A988" s="19" t="n">
        <v>88</v>
      </c>
      <c r="B988" s="19" t="inlineStr">
        <is>
          <t>Chipper</t>
        </is>
      </c>
      <c r="C988" s="19" t="inlineStr">
        <is>
          <t>Town</t>
        </is>
      </c>
      <c r="D988" s="19" t="inlineStr">
        <is>
          <t>Win</t>
        </is>
      </c>
      <c r="E988" s="19" t="n">
        <v>62</v>
      </c>
      <c r="F988" s="19" t="n">
        <v>19.7495240596368</v>
      </c>
      <c r="G988" s="19" t="n">
        <v>20.5948364784701</v>
      </c>
      <c r="H988" s="19" t="n">
        <v>7.36984305794343</v>
      </c>
      <c r="I988" s="19" t="n">
        <v>587</v>
      </c>
      <c r="J988" s="19" t="n">
        <v>649</v>
      </c>
      <c r="K988" s="19" t="n">
        <v>7.41318495780117</v>
      </c>
    </row>
    <row r="989">
      <c r="A989" s="19" t="n">
        <v>88</v>
      </c>
      <c r="B989" s="19" t="inlineStr">
        <is>
          <t>Machop</t>
        </is>
      </c>
      <c r="C989" s="19" t="inlineStr">
        <is>
          <t>Town</t>
        </is>
      </c>
      <c r="D989" s="19" t="inlineStr">
        <is>
          <t>Win</t>
        </is>
      </c>
      <c r="E989" s="19" t="n">
        <v>58</v>
      </c>
      <c r="F989" s="19" t="n">
        <v>25.8007503746783</v>
      </c>
      <c r="G989" s="19" t="n">
        <v>26.5942072819605</v>
      </c>
      <c r="H989" s="19" t="n">
        <v>7.14316079590191</v>
      </c>
      <c r="I989" s="19" t="n">
        <v>1022</v>
      </c>
      <c r="J989" s="19" t="n">
        <v>1080</v>
      </c>
      <c r="K989" s="19" t="n">
        <v>7.18182206991114</v>
      </c>
    </row>
    <row r="990">
      <c r="A990" s="19" t="n">
        <v>88</v>
      </c>
      <c r="B990" s="19" t="inlineStr">
        <is>
          <t>Doublea</t>
        </is>
      </c>
      <c r="C990" s="19" t="inlineStr">
        <is>
          <t>Town</t>
        </is>
      </c>
      <c r="D990" s="19" t="inlineStr">
        <is>
          <t>Win</t>
        </is>
      </c>
      <c r="E990" s="19" t="n">
        <v>69</v>
      </c>
      <c r="F990" s="19" t="n">
        <v>24.6000562770064</v>
      </c>
      <c r="G990" s="19" t="n">
        <v>25.53775781738</v>
      </c>
      <c r="H990" s="19" t="n">
        <v>7.75643928662628</v>
      </c>
      <c r="I990" s="19" t="n">
        <v>876</v>
      </c>
      <c r="J990" s="19" t="n">
        <v>945</v>
      </c>
      <c r="K990" s="19" t="n">
        <v>7.80842712318893</v>
      </c>
    </row>
    <row r="991">
      <c r="A991" s="19" t="n">
        <v>88</v>
      </c>
      <c r="B991" s="19" t="inlineStr">
        <is>
          <t>Plen</t>
        </is>
      </c>
      <c r="C991" s="19" t="inlineStr">
        <is>
          <t>Town</t>
        </is>
      </c>
      <c r="D991" s="19" t="inlineStr">
        <is>
          <t>Win</t>
        </is>
      </c>
      <c r="E991" s="19" t="n">
        <v>61</v>
      </c>
      <c r="F991" s="19" t="n">
        <v>15.9816106658428</v>
      </c>
      <c r="G991" s="19" t="n">
        <v>16.8269493379253</v>
      </c>
      <c r="H991" s="19" t="n">
        <v>7.36995596161823</v>
      </c>
      <c r="I991" s="19" t="n">
        <v>331</v>
      </c>
      <c r="J991" s="19" t="n">
        <v>392</v>
      </c>
      <c r="K991" s="19" t="n">
        <v>7.41330026274612</v>
      </c>
    </row>
    <row r="992">
      <c r="A992" s="19" t="n">
        <v>88</v>
      </c>
      <c r="B992" s="19" t="inlineStr">
        <is>
          <t>Lou</t>
        </is>
      </c>
      <c r="C992" s="19" t="inlineStr">
        <is>
          <t>Town</t>
        </is>
      </c>
      <c r="D992" s="19" t="inlineStr">
        <is>
          <t>Win</t>
        </is>
      </c>
      <c r="E992" s="19" t="n">
        <v>60</v>
      </c>
      <c r="F992" s="19" t="n">
        <v>26.25189405906</v>
      </c>
      <c r="G992" s="19" t="n">
        <v>27.0734433597807</v>
      </c>
      <c r="H992" s="19" t="n">
        <v>7.26688922500059</v>
      </c>
      <c r="I992" s="19" t="n">
        <v>1040</v>
      </c>
      <c r="J992" s="19" t="n">
        <v>1100</v>
      </c>
      <c r="K992" s="19" t="n">
        <v>7.30807069376016</v>
      </c>
    </row>
    <row r="993">
      <c r="A993" s="19" t="n">
        <v>88</v>
      </c>
      <c r="B993" s="19" t="inlineStr">
        <is>
          <t>Noah</t>
        </is>
      </c>
      <c r="C993" s="19" t="inlineStr">
        <is>
          <t>Town</t>
        </is>
      </c>
      <c r="D993" s="19" t="inlineStr">
        <is>
          <t>Win</t>
        </is>
      </c>
      <c r="E993" s="19" t="n">
        <v>63</v>
      </c>
      <c r="F993" s="19" t="n">
        <v>27.2490181188739</v>
      </c>
      <c r="G993" s="19" t="n">
        <v>28.104427788032</v>
      </c>
      <c r="H993" s="19" t="n">
        <v>7.41313302574619</v>
      </c>
      <c r="I993" s="19" t="n">
        <v>1092</v>
      </c>
      <c r="J993" s="19" t="n">
        <v>1155</v>
      </c>
      <c r="K993" s="19" t="n">
        <v>7.45740082311671</v>
      </c>
    </row>
    <row r="994">
      <c r="A994" s="19" t="n">
        <v>88</v>
      </c>
      <c r="B994" s="19" t="inlineStr">
        <is>
          <t>Rollo</t>
        </is>
      </c>
      <c r="C994" s="19" t="inlineStr">
        <is>
          <t>Mafia</t>
        </is>
      </c>
      <c r="D994" s="19" t="inlineStr">
        <is>
          <t>Loss</t>
        </is>
      </c>
      <c r="E994" s="19" t="n">
        <v>-58</v>
      </c>
      <c r="F994" s="19" t="n">
        <v>25.2409487281357</v>
      </c>
      <c r="G994" s="19" t="n">
        <v>24.3085828801958</v>
      </c>
      <c r="H994" s="19" t="n">
        <v>7.73466890619433</v>
      </c>
      <c r="I994" s="19" t="n">
        <v>922</v>
      </c>
      <c r="J994" s="19" t="n">
        <v>864</v>
      </c>
      <c r="K994" s="19" t="n">
        <v>7.78614685805702</v>
      </c>
    </row>
    <row r="995">
      <c r="A995" s="19" t="n">
        <v>88</v>
      </c>
      <c r="B995" s="19" t="inlineStr">
        <is>
          <t>Lovekilling</t>
        </is>
      </c>
      <c r="C995" s="19" t="inlineStr">
        <is>
          <t>Mafia</t>
        </is>
      </c>
      <c r="D995" s="19" t="inlineStr">
        <is>
          <t>Loss</t>
        </is>
      </c>
      <c r="E995" s="19" t="n">
        <v>-63</v>
      </c>
      <c r="F995" s="19" t="n">
        <v>20.4071091003487</v>
      </c>
      <c r="G995" s="19" t="n">
        <v>19.4007171330119</v>
      </c>
      <c r="H995" s="19" t="n">
        <v>8.031113975167131</v>
      </c>
      <c r="I995" s="19" t="n">
        <v>563</v>
      </c>
      <c r="J995" s="19" t="n">
        <v>500</v>
      </c>
      <c r="K995" s="19" t="n">
        <v>8.089779864468071</v>
      </c>
    </row>
    <row r="996">
      <c r="A996" s="19" t="n">
        <v>88</v>
      </c>
      <c r="B996" s="19" t="inlineStr">
        <is>
          <t>Mintt</t>
        </is>
      </c>
      <c r="C996" s="19" t="inlineStr">
        <is>
          <t>Mafia</t>
        </is>
      </c>
      <c r="D996" s="19" t="inlineStr">
        <is>
          <t>Loss</t>
        </is>
      </c>
      <c r="E996" s="19" t="n">
        <v>-55</v>
      </c>
      <c r="F996" s="19" t="n">
        <v>25.6786616780001</v>
      </c>
      <c r="G996" s="19" t="n">
        <v>24.7909155262818</v>
      </c>
      <c r="H996" s="19" t="n">
        <v>7.55000628830007</v>
      </c>
      <c r="I996" s="19" t="n">
        <v>971</v>
      </c>
      <c r="J996" s="19" t="n">
        <v>916</v>
      </c>
      <c r="K996" s="19" t="n">
        <v>7.59727082208885</v>
      </c>
    </row>
    <row r="997">
      <c r="A997" s="19" t="n">
        <v>87</v>
      </c>
      <c r="B997" s="19" t="inlineStr">
        <is>
          <t>Kwix</t>
        </is>
      </c>
      <c r="C997" s="19" t="inlineStr">
        <is>
          <t>Town</t>
        </is>
      </c>
      <c r="D997" s="19" t="inlineStr">
        <is>
          <t>Loss</t>
        </is>
      </c>
      <c r="E997" s="19" t="n">
        <v>-41</v>
      </c>
      <c r="F997" s="19" t="n">
        <v>21.7188465005463</v>
      </c>
      <c r="G997" s="19" t="n">
        <v>21.0517870551553</v>
      </c>
      <c r="H997" s="19" t="n">
        <v>7.65154859856358</v>
      </c>
      <c r="I997" s="19" t="n">
        <v>692</v>
      </c>
      <c r="J997" s="19" t="n">
        <v>651</v>
      </c>
      <c r="K997" s="19" t="n">
        <v>7.69298036237857</v>
      </c>
    </row>
    <row r="998">
      <c r="A998" s="19" t="n">
        <v>87</v>
      </c>
      <c r="B998" s="19" t="inlineStr">
        <is>
          <t>Machop</t>
        </is>
      </c>
      <c r="C998" s="19" t="inlineStr">
        <is>
          <t>Town</t>
        </is>
      </c>
      <c r="D998" s="19" t="inlineStr">
        <is>
          <t>Loss</t>
        </is>
      </c>
      <c r="E998" s="19" t="n">
        <v>-36</v>
      </c>
      <c r="F998" s="19" t="n">
        <v>26.3875473281807</v>
      </c>
      <c r="G998" s="19" t="n">
        <v>25.8007503746783</v>
      </c>
      <c r="H998" s="19" t="n">
        <v>7.18182206991114</v>
      </c>
      <c r="I998" s="19" t="n">
        <v>1058</v>
      </c>
      <c r="J998" s="19" t="n">
        <v>1022</v>
      </c>
      <c r="K998" s="19" t="n">
        <v>7.21458089124145</v>
      </c>
    </row>
    <row r="999">
      <c r="A999" s="19" t="n">
        <v>87</v>
      </c>
      <c r="B999" s="19" t="inlineStr">
        <is>
          <t>Carson</t>
        </is>
      </c>
      <c r="C999" s="19" t="inlineStr">
        <is>
          <t>Town</t>
        </is>
      </c>
      <c r="D999" s="19" t="inlineStr">
        <is>
          <t>Loss</t>
        </is>
      </c>
      <c r="E999" s="19" t="n">
        <v>-39</v>
      </c>
      <c r="F999" s="19" t="n">
        <v>26.3407392772384</v>
      </c>
      <c r="G999" s="19" t="n">
        <v>25.7082481084989</v>
      </c>
      <c r="H999" s="19" t="n">
        <v>7.45304518956247</v>
      </c>
      <c r="I999" s="19" t="n">
        <v>1027</v>
      </c>
      <c r="J999" s="19" t="n">
        <v>988</v>
      </c>
      <c r="K999" s="19" t="n">
        <v>7.49068507883459</v>
      </c>
    </row>
    <row r="1000">
      <c r="A1000" s="19" t="n">
        <v>87</v>
      </c>
      <c r="B1000" s="19" t="inlineStr">
        <is>
          <t>Strik3r</t>
        </is>
      </c>
      <c r="C1000" s="19" t="inlineStr">
        <is>
          <t>Town</t>
        </is>
      </c>
      <c r="D1000" s="19" t="inlineStr">
        <is>
          <t>Loss</t>
        </is>
      </c>
      <c r="E1000" s="19" t="n">
        <v>-43</v>
      </c>
      <c r="F1000" s="19" t="n">
        <v>27.8551494393398</v>
      </c>
      <c r="G1000" s="19" t="n">
        <v>27.1530361314925</v>
      </c>
      <c r="H1000" s="19" t="n">
        <v>7.84746115235337</v>
      </c>
      <c r="I1000" s="19" t="n">
        <v>1089</v>
      </c>
      <c r="J1000" s="19" t="n">
        <v>1046</v>
      </c>
      <c r="K1000" s="19" t="n">
        <v>7.89282444786449</v>
      </c>
    </row>
    <row r="1001">
      <c r="A1001" s="19" t="n">
        <v>87</v>
      </c>
      <c r="B1001" s="19" t="inlineStr">
        <is>
          <t>Smit</t>
        </is>
      </c>
      <c r="C1001" s="19" t="inlineStr">
        <is>
          <t>Town</t>
        </is>
      </c>
      <c r="D1001" s="19" t="inlineStr">
        <is>
          <t>Loss</t>
        </is>
      </c>
      <c r="E1001" s="19" t="n">
        <v>-39</v>
      </c>
      <c r="F1001" s="19" t="n">
        <v>23.7798940348253</v>
      </c>
      <c r="G1001" s="19" t="n">
        <v>23.1631859414717</v>
      </c>
      <c r="H1001" s="19" t="n">
        <v>7.36054521865484</v>
      </c>
      <c r="I1001" s="19" t="n">
        <v>863</v>
      </c>
      <c r="J1001" s="19" t="n">
        <v>824</v>
      </c>
      <c r="K1001" s="19" t="n">
        <v>7.39648219085895</v>
      </c>
    </row>
    <row r="1002">
      <c r="A1002" s="19" t="n">
        <v>87</v>
      </c>
      <c r="B1002" s="19" t="inlineStr">
        <is>
          <t>Rocker</t>
        </is>
      </c>
      <c r="C1002" s="19" t="inlineStr">
        <is>
          <t>Town</t>
        </is>
      </c>
      <c r="D1002" s="19" t="inlineStr">
        <is>
          <t>Loss</t>
        </is>
      </c>
      <c r="E1002" s="19" t="n">
        <v>-35</v>
      </c>
      <c r="F1002" s="19" t="n">
        <v>31.9244169750009</v>
      </c>
      <c r="G1002" s="19" t="n">
        <v>31.3538983854378</v>
      </c>
      <c r="H1002" s="19" t="n">
        <v>7.0825752385374</v>
      </c>
      <c r="I1002" s="19" t="n">
        <v>1445</v>
      </c>
      <c r="J1002" s="19" t="n">
        <v>1410</v>
      </c>
      <c r="K1002" s="19" t="n">
        <v>7.11363157179581</v>
      </c>
    </row>
    <row r="1003">
      <c r="A1003" s="19" t="n">
        <v>87</v>
      </c>
      <c r="B1003" s="19" t="inlineStr">
        <is>
          <t>Iln</t>
        </is>
      </c>
      <c r="C1003" s="19" t="inlineStr">
        <is>
          <t>Town</t>
        </is>
      </c>
      <c r="D1003" s="19" t="inlineStr">
        <is>
          <t>Loss</t>
        </is>
      </c>
      <c r="E1003" s="19" t="n">
        <v>-39</v>
      </c>
      <c r="F1003" s="19" t="n">
        <v>22.5949255840378</v>
      </c>
      <c r="G1003" s="19" t="n">
        <v>21.9679642012685</v>
      </c>
      <c r="H1003" s="19" t="n">
        <v>7.42077418736637</v>
      </c>
      <c r="I1003" s="19" t="n">
        <v>776</v>
      </c>
      <c r="J1003" s="19" t="n">
        <v>737</v>
      </c>
      <c r="K1003" s="19" t="n">
        <v>7.45781540862516</v>
      </c>
    </row>
    <row r="1004">
      <c r="A1004" s="19" t="n">
        <v>87</v>
      </c>
      <c r="B1004" s="19" t="inlineStr">
        <is>
          <t>Doublea</t>
        </is>
      </c>
      <c r="C1004" s="19" t="inlineStr">
        <is>
          <t>Town</t>
        </is>
      </c>
      <c r="D1004" s="19" t="inlineStr">
        <is>
          <t>Loss</t>
        </is>
      </c>
      <c r="E1004" s="19" t="n">
        <v>-43</v>
      </c>
      <c r="F1004" s="19" t="n">
        <v>25.2951109658048</v>
      </c>
      <c r="G1004" s="19" t="n">
        <v>24.6000562770064</v>
      </c>
      <c r="H1004" s="19" t="n">
        <v>7.80842712318893</v>
      </c>
      <c r="I1004" s="19" t="n">
        <v>919</v>
      </c>
      <c r="J1004" s="19" t="n">
        <v>876</v>
      </c>
      <c r="K1004" s="19" t="n">
        <v>7.85299179611869</v>
      </c>
    </row>
    <row r="1005">
      <c r="A1005" s="19" t="n">
        <v>87</v>
      </c>
      <c r="B1005" s="19" t="inlineStr">
        <is>
          <t>Rollo</t>
        </is>
      </c>
      <c r="C1005" s="19" t="inlineStr">
        <is>
          <t>Town</t>
        </is>
      </c>
      <c r="D1005" s="19" t="inlineStr">
        <is>
          <t>Loss</t>
        </is>
      </c>
      <c r="E1005" s="19" t="n">
        <v>-43</v>
      </c>
      <c r="F1005" s="19" t="n">
        <v>25.9319910379407</v>
      </c>
      <c r="G1005" s="19" t="n">
        <v>25.2409487281357</v>
      </c>
      <c r="H1005" s="19" t="n">
        <v>7.78614685805702</v>
      </c>
      <c r="I1005" s="19" t="n">
        <v>965</v>
      </c>
      <c r="J1005" s="19" t="n">
        <v>922</v>
      </c>
      <c r="K1005" s="19" t="n">
        <v>7.83025912277053</v>
      </c>
    </row>
    <row r="1006">
      <c r="A1006" s="19" t="n">
        <v>87</v>
      </c>
      <c r="B1006" s="19" t="inlineStr">
        <is>
          <t>Streety</t>
        </is>
      </c>
      <c r="C1006" s="19" t="inlineStr">
        <is>
          <t>Town</t>
        </is>
      </c>
      <c r="D1006" s="19" t="inlineStr">
        <is>
          <t>Loss</t>
        </is>
      </c>
      <c r="E1006" s="19" t="n">
        <v>-43</v>
      </c>
      <c r="F1006" s="19" t="n">
        <v>27.3413899337593</v>
      </c>
      <c r="G1006" s="19" t="n">
        <v>26.6309083185317</v>
      </c>
      <c r="H1006" s="19" t="n">
        <v>7.89347432729781</v>
      </c>
      <c r="I1006" s="19" t="n">
        <v>1049</v>
      </c>
      <c r="J1006" s="19" t="n">
        <v>1006</v>
      </c>
      <c r="K1006" s="19" t="n">
        <v>7.9397889444333</v>
      </c>
    </row>
    <row r="1007">
      <c r="A1007" s="19" t="n">
        <v>87</v>
      </c>
      <c r="B1007" s="19" t="inlineStr">
        <is>
          <t>Noah</t>
        </is>
      </c>
      <c r="C1007" s="19" t="inlineStr">
        <is>
          <t>Mafia</t>
        </is>
      </c>
      <c r="D1007" s="19" t="inlineStr">
        <is>
          <t>Win</t>
        </is>
      </c>
      <c r="E1007" s="19" t="n">
        <v>47</v>
      </c>
      <c r="F1007" s="19" t="n">
        <v>26.6157786659421</v>
      </c>
      <c r="G1007" s="19" t="n">
        <v>27.2490181188739</v>
      </c>
      <c r="H1007" s="19" t="n">
        <v>7.45740082311671</v>
      </c>
      <c r="I1007" s="19" t="n">
        <v>1045</v>
      </c>
      <c r="J1007" s="19" t="n">
        <v>1092</v>
      </c>
      <c r="K1007" s="19" t="n">
        <v>7.49512189148809</v>
      </c>
    </row>
    <row r="1008">
      <c r="A1008" s="19" t="n">
        <v>87</v>
      </c>
      <c r="B1008" s="19" t="inlineStr">
        <is>
          <t>Lofty</t>
        </is>
      </c>
      <c r="C1008" s="19" t="inlineStr">
        <is>
          <t>Mafia</t>
        </is>
      </c>
      <c r="D1008" s="19" t="inlineStr">
        <is>
          <t>Win</t>
        </is>
      </c>
      <c r="E1008" s="19" t="n">
        <v>53</v>
      </c>
      <c r="F1008" s="19" t="n">
        <v>24.9224077195873</v>
      </c>
      <c r="G1008" s="19" t="n">
        <v>25.6403759750655</v>
      </c>
      <c r="H1008" s="19" t="n">
        <v>7.9344013049601</v>
      </c>
      <c r="I1008" s="19" t="n">
        <v>881</v>
      </c>
      <c r="J1008" s="19" t="n">
        <v>934</v>
      </c>
      <c r="K1008" s="19" t="n">
        <v>7.98157115890323</v>
      </c>
    </row>
    <row r="1009">
      <c r="A1009" s="19" t="n">
        <v>87</v>
      </c>
      <c r="B1009" s="19" t="inlineStr">
        <is>
          <t>Crispy</t>
        </is>
      </c>
      <c r="C1009" s="19" t="inlineStr">
        <is>
          <t>Mafia</t>
        </is>
      </c>
      <c r="D1009" s="19" t="inlineStr">
        <is>
          <t>Win</t>
        </is>
      </c>
      <c r="E1009" s="19" t="n">
        <v>58</v>
      </c>
      <c r="F1009" s="19" t="n">
        <v>26.349992847564</v>
      </c>
      <c r="G1009" s="19" t="n">
        <v>27.1195115794799</v>
      </c>
      <c r="H1009" s="19" t="n">
        <v>8.21037170507781</v>
      </c>
      <c r="I1009" s="19" t="n">
        <v>949</v>
      </c>
      <c r="J1009" s="19" t="n">
        <v>1007</v>
      </c>
      <c r="K1009" s="19" t="n">
        <v>8.26353587166485</v>
      </c>
    </row>
    <row r="1010">
      <c r="A1010" s="19" t="n">
        <v>86</v>
      </c>
      <c r="B1010" s="19" t="inlineStr">
        <is>
          <t>Happymeal</t>
        </is>
      </c>
      <c r="C1010" s="19" t="inlineStr">
        <is>
          <t>Town</t>
        </is>
      </c>
      <c r="D1010" s="19" t="inlineStr">
        <is>
          <t>Loss</t>
        </is>
      </c>
      <c r="E1010" s="19" t="n">
        <v>-52</v>
      </c>
      <c r="F1010" s="19" t="n">
        <v>25.9815346741449</v>
      </c>
      <c r="G1010" s="19" t="n">
        <v>25.141014724058</v>
      </c>
      <c r="H1010" s="19" t="n">
        <v>7.73980865470864</v>
      </c>
      <c r="I1010" s="19" t="n">
        <v>972</v>
      </c>
      <c r="J1010" s="19" t="n">
        <v>920</v>
      </c>
      <c r="K1010" s="19" t="n">
        <v>7.78851904695569</v>
      </c>
    </row>
    <row r="1011">
      <c r="A1011" s="19" t="n">
        <v>86</v>
      </c>
      <c r="B1011" s="19" t="inlineStr">
        <is>
          <t>Laur</t>
        </is>
      </c>
      <c r="C1011" s="19" t="inlineStr">
        <is>
          <t>Town</t>
        </is>
      </c>
      <c r="D1011" s="19" t="inlineStr">
        <is>
          <t>Loss</t>
        </is>
      </c>
      <c r="E1011" s="19" t="n">
        <v>-51</v>
      </c>
      <c r="F1011" s="19" t="n">
        <v>31.8331431475713</v>
      </c>
      <c r="G1011" s="19" t="n">
        <v>31.012776535812</v>
      </c>
      <c r="H1011" s="19" t="n">
        <v>7.64775119694698</v>
      </c>
      <c r="I1011" s="19" t="n">
        <v>1380</v>
      </c>
      <c r="J1011" s="19" t="n">
        <v>1329</v>
      </c>
      <c r="K1011" s="19" t="n">
        <v>7.69443875040217</v>
      </c>
    </row>
    <row r="1012">
      <c r="A1012" s="19" t="n">
        <v>86</v>
      </c>
      <c r="B1012" s="19" t="inlineStr">
        <is>
          <t>Kden</t>
        </is>
      </c>
      <c r="C1012" s="19" t="inlineStr">
        <is>
          <t>Town</t>
        </is>
      </c>
      <c r="D1012" s="19" t="inlineStr">
        <is>
          <t>Loss</t>
        </is>
      </c>
      <c r="E1012" s="19" t="n">
        <v>-52</v>
      </c>
      <c r="F1012" s="19" t="n">
        <v>28.5290684654353</v>
      </c>
      <c r="G1012" s="19" t="n">
        <v>27.6959850662305</v>
      </c>
      <c r="H1012" s="19" t="n">
        <v>7.70597497780445</v>
      </c>
      <c r="I1012" s="19" t="n">
        <v>1149</v>
      </c>
      <c r="J1012" s="19" t="n">
        <v>1097</v>
      </c>
      <c r="K1012" s="19" t="n">
        <v>7.75393645558347</v>
      </c>
    </row>
    <row r="1013">
      <c r="A1013" s="19" t="n">
        <v>86</v>
      </c>
      <c r="B1013" s="19" t="inlineStr">
        <is>
          <t>Plen</t>
        </is>
      </c>
      <c r="C1013" s="19" t="inlineStr">
        <is>
          <t>Town</t>
        </is>
      </c>
      <c r="D1013" s="19" t="inlineStr">
        <is>
          <t>Loss</t>
        </is>
      </c>
      <c r="E1013" s="19" t="n">
        <v>-48</v>
      </c>
      <c r="F1013" s="19" t="n">
        <v>16.7518002171428</v>
      </c>
      <c r="G1013" s="19" t="n">
        <v>15.9816106658428</v>
      </c>
      <c r="H1013" s="19" t="n">
        <v>7.41330026274612</v>
      </c>
      <c r="I1013" s="19" t="n">
        <v>379</v>
      </c>
      <c r="J1013" s="19" t="n">
        <v>331</v>
      </c>
      <c r="K1013" s="19" t="n">
        <v>7.45504489634308</v>
      </c>
    </row>
    <row r="1014">
      <c r="A1014" s="19" t="n">
        <v>86</v>
      </c>
      <c r="B1014" s="19" t="inlineStr">
        <is>
          <t>Heckmuffins</t>
        </is>
      </c>
      <c r="C1014" s="19" t="inlineStr">
        <is>
          <t>Town</t>
        </is>
      </c>
      <c r="D1014" s="19" t="inlineStr">
        <is>
          <t>Loss</t>
        </is>
      </c>
      <c r="E1014" s="19" t="n">
        <v>-58</v>
      </c>
      <c r="F1014" s="19" t="n">
        <v>27.2824584414901</v>
      </c>
      <c r="G1014" s="19" t="n">
        <v>26.3399173443596</v>
      </c>
      <c r="H1014" s="19" t="n">
        <v>8.18905223687787</v>
      </c>
      <c r="I1014" s="19" t="n">
        <v>1014</v>
      </c>
      <c r="J1014" s="19" t="n">
        <v>956</v>
      </c>
      <c r="K1014" s="19" t="n">
        <v>8.24832738624149</v>
      </c>
    </row>
    <row r="1015">
      <c r="A1015" s="19" t="n">
        <v>86</v>
      </c>
      <c r="B1015" s="19" t="inlineStr">
        <is>
          <t>Rick</t>
        </is>
      </c>
      <c r="C1015" s="19" t="inlineStr">
        <is>
          <t>Town</t>
        </is>
      </c>
      <c r="D1015" s="19" t="inlineStr">
        <is>
          <t>Loss</t>
        </is>
      </c>
      <c r="E1015" s="19" t="n">
        <v>-56</v>
      </c>
      <c r="F1015" s="19" t="n">
        <v>25.1020023585805</v>
      </c>
      <c r="G1015" s="19" t="n">
        <v>24.1993981427073</v>
      </c>
      <c r="H1015" s="19" t="n">
        <v>8.016377335336459</v>
      </c>
      <c r="I1015" s="19" t="n">
        <v>884</v>
      </c>
      <c r="J1015" s="19" t="n">
        <v>828</v>
      </c>
      <c r="K1015" s="19" t="n">
        <v>8.071452792931209</v>
      </c>
    </row>
    <row r="1016">
      <c r="A1016" s="19" t="n">
        <v>86</v>
      </c>
      <c r="B1016" s="19" t="inlineStr">
        <is>
          <t>Chipper</t>
        </is>
      </c>
      <c r="C1016" s="19" t="inlineStr">
        <is>
          <t>Town</t>
        </is>
      </c>
      <c r="D1016" s="19" t="inlineStr">
        <is>
          <t>Loss</t>
        </is>
      </c>
      <c r="E1016" s="19" t="n">
        <v>-48</v>
      </c>
      <c r="F1016" s="19" t="n">
        <v>20.5196893385163</v>
      </c>
      <c r="G1016" s="19" t="n">
        <v>19.7495240596368</v>
      </c>
      <c r="H1016" s="19" t="n">
        <v>7.41318495780117</v>
      </c>
      <c r="I1016" s="19" t="n">
        <v>635</v>
      </c>
      <c r="J1016" s="19" t="n">
        <v>587</v>
      </c>
      <c r="K1016" s="19" t="n">
        <v>7.45492723281502</v>
      </c>
    </row>
    <row r="1017">
      <c r="A1017" s="19" t="n">
        <v>86</v>
      </c>
      <c r="B1017" s="19" t="inlineStr">
        <is>
          <t>Mintt</t>
        </is>
      </c>
      <c r="C1017" s="19" t="inlineStr">
        <is>
          <t>Town</t>
        </is>
      </c>
      <c r="D1017" s="19" t="inlineStr">
        <is>
          <t>Loss</t>
        </is>
      </c>
      <c r="E1017" s="19" t="n">
        <v>-51</v>
      </c>
      <c r="F1017" s="19" t="n">
        <v>26.488085230254</v>
      </c>
      <c r="G1017" s="19" t="n">
        <v>25.6786616780001</v>
      </c>
      <c r="H1017" s="19" t="n">
        <v>7.59727082208885</v>
      </c>
      <c r="I1017" s="19" t="n">
        <v>1022</v>
      </c>
      <c r="J1017" s="19" t="n">
        <v>971</v>
      </c>
      <c r="K1017" s="19" t="n">
        <v>7.64286897481913</v>
      </c>
    </row>
    <row r="1018">
      <c r="A1018" s="19" t="n">
        <v>86</v>
      </c>
      <c r="B1018" s="19" t="inlineStr">
        <is>
          <t>Lofty</t>
        </is>
      </c>
      <c r="C1018" s="19" t="inlineStr">
        <is>
          <t>Town</t>
        </is>
      </c>
      <c r="D1018" s="19" t="inlineStr">
        <is>
          <t>Loss</t>
        </is>
      </c>
      <c r="E1018" s="19" t="n">
        <v>-55</v>
      </c>
      <c r="F1018" s="19" t="n">
        <v>25.8170714032686</v>
      </c>
      <c r="G1018" s="19" t="n">
        <v>24.9224077195873</v>
      </c>
      <c r="H1018" s="19" t="n">
        <v>7.98157115890323</v>
      </c>
      <c r="I1018" s="19" t="n">
        <v>936</v>
      </c>
      <c r="J1018" s="19" t="n">
        <v>881</v>
      </c>
      <c r="K1018" s="19" t="n">
        <v>8.035821369531179</v>
      </c>
    </row>
    <row r="1019">
      <c r="A1019" s="19" t="n">
        <v>86</v>
      </c>
      <c r="B1019" s="19" t="inlineStr">
        <is>
          <t>Brownkow</t>
        </is>
      </c>
      <c r="C1019" s="19" t="inlineStr">
        <is>
          <t>Town</t>
        </is>
      </c>
      <c r="D1019" s="19" t="inlineStr">
        <is>
          <t>Loss</t>
        </is>
      </c>
      <c r="E1019" s="19" t="n">
        <v>-44</v>
      </c>
      <c r="F1019" s="19" t="n">
        <v>27.7037076960944</v>
      </c>
      <c r="G1019" s="19" t="n">
        <v>27.0035743052017</v>
      </c>
      <c r="H1019" s="19" t="n">
        <v>7.07226363925792</v>
      </c>
      <c r="I1019" s="19" t="n">
        <v>1159</v>
      </c>
      <c r="J1019" s="19" t="n">
        <v>1115</v>
      </c>
      <c r="K1019" s="19" t="n">
        <v>7.1073329207455</v>
      </c>
    </row>
    <row r="1020">
      <c r="A1020" s="19" t="n">
        <v>86</v>
      </c>
      <c r="B1020" s="19" t="inlineStr">
        <is>
          <t>Motr</t>
        </is>
      </c>
      <c r="C1020" s="19" t="inlineStr">
        <is>
          <t>Mafia</t>
        </is>
      </c>
      <c r="D1020" s="19" t="inlineStr">
        <is>
          <t>Win</t>
        </is>
      </c>
      <c r="E1020" s="19" t="n">
        <v>72</v>
      </c>
      <c r="F1020" s="19" t="n">
        <v>25</v>
      </c>
      <c r="G1020" s="19" t="n">
        <v>25.962042763537</v>
      </c>
      <c r="H1020" s="19" t="n">
        <v>8.27197785710959</v>
      </c>
      <c r="I1020" s="19" t="n">
        <v>850</v>
      </c>
      <c r="J1020" s="19" t="n">
        <v>922</v>
      </c>
      <c r="K1020" s="19" t="n">
        <v>8.33333333333333</v>
      </c>
    </row>
    <row r="1021">
      <c r="A1021" s="19" t="n">
        <v>86</v>
      </c>
      <c r="B1021" s="19" t="inlineStr">
        <is>
          <t>Badpants</t>
        </is>
      </c>
      <c r="C1021" s="19" t="inlineStr">
        <is>
          <t>Mafia</t>
        </is>
      </c>
      <c r="D1021" s="19" t="inlineStr">
        <is>
          <t>Win</t>
        </is>
      </c>
      <c r="E1021" s="19" t="n">
        <v>54</v>
      </c>
      <c r="F1021" s="19" t="n">
        <v>22.8259212673386</v>
      </c>
      <c r="G1021" s="19" t="n">
        <v>23.5724537486065</v>
      </c>
      <c r="H1021" s="19" t="n">
        <v>7.3000085326061</v>
      </c>
      <c r="I1021" s="19" t="n">
        <v>804</v>
      </c>
      <c r="J1021" s="19" t="n">
        <v>858</v>
      </c>
      <c r="K1021" s="19" t="n">
        <v>7.3394693762852</v>
      </c>
    </row>
    <row r="1022">
      <c r="A1022" s="19" t="n">
        <v>86</v>
      </c>
      <c r="B1022" s="19" t="inlineStr">
        <is>
          <t>Machop</t>
        </is>
      </c>
      <c r="C1022" s="19" t="inlineStr">
        <is>
          <t>Mafia</t>
        </is>
      </c>
      <c r="D1022" s="19" t="inlineStr">
        <is>
          <t>Win</t>
        </is>
      </c>
      <c r="E1022" s="19" t="n">
        <v>53</v>
      </c>
      <c r="F1022" s="19" t="n">
        <v>25.6586002013613</v>
      </c>
      <c r="G1022" s="19" t="n">
        <v>26.3875473281807</v>
      </c>
      <c r="H1022" s="19" t="n">
        <v>7.21458089124145</v>
      </c>
      <c r="I1022" s="19" t="n">
        <v>1005</v>
      </c>
      <c r="J1022" s="19" t="n">
        <v>1058</v>
      </c>
      <c r="K1022" s="19" t="n">
        <v>7.25236361354942</v>
      </c>
    </row>
    <row r="1023">
      <c r="A1023" s="19" t="n">
        <v>85</v>
      </c>
      <c r="B1023" s="19" t="inlineStr">
        <is>
          <t>Machop</t>
        </is>
      </c>
      <c r="C1023" s="19" t="inlineStr">
        <is>
          <t>Town</t>
        </is>
      </c>
      <c r="D1023" s="19" t="inlineStr">
        <is>
          <t>Loss</t>
        </is>
      </c>
      <c r="E1023" s="19" t="n">
        <v>-17</v>
      </c>
      <c r="F1023" s="19" t="n">
        <v>25.9362879135757</v>
      </c>
      <c r="G1023" s="19" t="n">
        <v>25.6586002013613</v>
      </c>
      <c r="H1023" s="19" t="n">
        <v>7.25236361354942</v>
      </c>
      <c r="I1023" s="19" t="n">
        <v>1022</v>
      </c>
      <c r="J1023" s="19" t="n">
        <v>1005</v>
      </c>
      <c r="K1023" s="19" t="n">
        <v>7.27262296955073</v>
      </c>
    </row>
    <row r="1024">
      <c r="A1024" s="19" t="n">
        <v>85</v>
      </c>
      <c r="B1024" s="19" t="inlineStr">
        <is>
          <t>Lofty</t>
        </is>
      </c>
      <c r="C1024" s="19" t="inlineStr">
        <is>
          <t>Town</t>
        </is>
      </c>
      <c r="D1024" s="19" t="inlineStr">
        <is>
          <t>Loss</t>
        </is>
      </c>
      <c r="E1024" s="19" t="n">
        <v>-20</v>
      </c>
      <c r="F1024" s="19" t="n">
        <v>26.1585691071452</v>
      </c>
      <c r="G1024" s="19" t="n">
        <v>25.8170714032686</v>
      </c>
      <c r="H1024" s="19" t="n">
        <v>8.035821369531179</v>
      </c>
      <c r="I1024" s="19" t="n">
        <v>956</v>
      </c>
      <c r="J1024" s="19" t="n">
        <v>936</v>
      </c>
      <c r="K1024" s="19" t="n">
        <v>8.06632409414115</v>
      </c>
    </row>
    <row r="1025">
      <c r="A1025" s="19" t="n">
        <v>85</v>
      </c>
      <c r="B1025" s="19" t="inlineStr">
        <is>
          <t>Kden</t>
        </is>
      </c>
      <c r="C1025" s="19" t="inlineStr">
        <is>
          <t>Town</t>
        </is>
      </c>
      <c r="D1025" s="19" t="inlineStr">
        <is>
          <t>Loss</t>
        </is>
      </c>
      <c r="E1025" s="19" t="n">
        <v>-19</v>
      </c>
      <c r="F1025" s="19" t="n">
        <v>28.846829118706</v>
      </c>
      <c r="G1025" s="19" t="n">
        <v>28.5290684654353</v>
      </c>
      <c r="H1025" s="19" t="n">
        <v>7.75393645558347</v>
      </c>
      <c r="I1025" s="19" t="n">
        <v>1168</v>
      </c>
      <c r="J1025" s="19" t="n">
        <v>1149</v>
      </c>
      <c r="K1025" s="19" t="n">
        <v>7.78053381791921</v>
      </c>
    </row>
    <row r="1026">
      <c r="A1026" s="19" t="n">
        <v>85</v>
      </c>
      <c r="B1026" s="19" t="inlineStr">
        <is>
          <t>Keegan</t>
        </is>
      </c>
      <c r="C1026" s="19" t="inlineStr">
        <is>
          <t>Town</t>
        </is>
      </c>
      <c r="D1026" s="19" t="inlineStr">
        <is>
          <t>Loss</t>
        </is>
      </c>
      <c r="E1026" s="19" t="n">
        <v>-20</v>
      </c>
      <c r="F1026" s="19" t="n">
        <v>28.646304493453</v>
      </c>
      <c r="G1026" s="19" t="n">
        <v>28.3113562837672</v>
      </c>
      <c r="H1026" s="19" t="n">
        <v>7.95907666695574</v>
      </c>
      <c r="I1026" s="19" t="n">
        <v>1133</v>
      </c>
      <c r="J1026" s="19" t="n">
        <v>1113</v>
      </c>
      <c r="K1026" s="19" t="n">
        <v>7.98849063728291</v>
      </c>
    </row>
    <row r="1027">
      <c r="A1027" s="19" t="n">
        <v>85</v>
      </c>
      <c r="B1027" s="19" t="inlineStr">
        <is>
          <t>Brownkow</t>
        </is>
      </c>
      <c r="C1027" s="19" t="inlineStr">
        <is>
          <t>Town</t>
        </is>
      </c>
      <c r="D1027" s="19" t="inlineStr">
        <is>
          <t>Loss</t>
        </is>
      </c>
      <c r="E1027" s="19" t="n">
        <v>-16</v>
      </c>
      <c r="F1027" s="19" t="n">
        <v>27.9703225477129</v>
      </c>
      <c r="G1027" s="19" t="n">
        <v>27.7037076960944</v>
      </c>
      <c r="H1027" s="19" t="n">
        <v>7.1073329207455</v>
      </c>
      <c r="I1027" s="19" t="n">
        <v>1175</v>
      </c>
      <c r="J1027" s="19" t="n">
        <v>1159</v>
      </c>
      <c r="K1027" s="19" t="n">
        <v>7.12589739330714</v>
      </c>
    </row>
    <row r="1028">
      <c r="A1028" s="19" t="n">
        <v>85</v>
      </c>
      <c r="B1028" s="19" t="inlineStr">
        <is>
          <t>Plen</t>
        </is>
      </c>
      <c r="C1028" s="19" t="inlineStr">
        <is>
          <t>Town</t>
        </is>
      </c>
      <c r="D1028" s="19" t="inlineStr">
        <is>
          <t>Loss</t>
        </is>
      </c>
      <c r="E1028" s="19" t="n">
        <v>-17</v>
      </c>
      <c r="F1028" s="19" t="n">
        <v>17.0453483418386</v>
      </c>
      <c r="G1028" s="19" t="n">
        <v>16.7518002171428</v>
      </c>
      <c r="H1028" s="19" t="n">
        <v>7.45504489634308</v>
      </c>
      <c r="I1028" s="19" t="n">
        <v>396</v>
      </c>
      <c r="J1028" s="19" t="n">
        <v>379</v>
      </c>
      <c r="K1028" s="19" t="n">
        <v>7.47777443008237</v>
      </c>
    </row>
    <row r="1029">
      <c r="A1029" s="19" t="n">
        <v>85</v>
      </c>
      <c r="B1029" s="19" t="inlineStr">
        <is>
          <t>Badpants</t>
        </is>
      </c>
      <c r="C1029" s="19" t="inlineStr">
        <is>
          <t>Town</t>
        </is>
      </c>
      <c r="D1029" s="19" t="inlineStr">
        <is>
          <t>Loss</t>
        </is>
      </c>
      <c r="E1029" s="19" t="n">
        <v>-17</v>
      </c>
      <c r="F1029" s="19" t="n">
        <v>23.1103700684951</v>
      </c>
      <c r="G1029" s="19" t="n">
        <v>22.8259212673386</v>
      </c>
      <c r="H1029" s="19" t="n">
        <v>7.3394693762852</v>
      </c>
      <c r="I1029" s="19" t="n">
        <v>821</v>
      </c>
      <c r="J1029" s="19" t="n">
        <v>804</v>
      </c>
      <c r="K1029" s="19" t="n">
        <v>7.36077560562397</v>
      </c>
    </row>
    <row r="1030">
      <c r="A1030" s="19" t="n">
        <v>85</v>
      </c>
      <c r="B1030" s="19" t="inlineStr">
        <is>
          <t>Iln</t>
        </is>
      </c>
      <c r="C1030" s="19" t="inlineStr">
        <is>
          <t>Town</t>
        </is>
      </c>
      <c r="D1030" s="19" t="inlineStr">
        <is>
          <t>Loss</t>
        </is>
      </c>
      <c r="E1030" s="19" t="n">
        <v>-17</v>
      </c>
      <c r="F1030" s="19" t="n">
        <v>22.8886936318667</v>
      </c>
      <c r="G1030" s="19" t="n">
        <v>22.5949255840378</v>
      </c>
      <c r="H1030" s="19" t="n">
        <v>7.45781540862516</v>
      </c>
      <c r="I1030" s="19" t="n">
        <v>793</v>
      </c>
      <c r="J1030" s="19" t="n">
        <v>776</v>
      </c>
      <c r="K1030" s="19" t="n">
        <v>7.48057954697936</v>
      </c>
    </row>
    <row r="1031">
      <c r="A1031" s="19" t="n">
        <v>85</v>
      </c>
      <c r="B1031" s="19" t="inlineStr">
        <is>
          <t>Rick</t>
        </is>
      </c>
      <c r="C1031" s="19" t="inlineStr">
        <is>
          <t>Town</t>
        </is>
      </c>
      <c r="D1031" s="19" t="inlineStr">
        <is>
          <t>Loss</t>
        </is>
      </c>
      <c r="E1031" s="19" t="n">
        <v>-20</v>
      </c>
      <c r="F1031" s="19" t="n">
        <v>25.4465630421212</v>
      </c>
      <c r="G1031" s="19" t="n">
        <v>25.1020023585805</v>
      </c>
      <c r="H1031" s="19" t="n">
        <v>8.071452792931209</v>
      </c>
      <c r="I1031" s="19" t="n">
        <v>904</v>
      </c>
      <c r="J1031" s="19" t="n">
        <v>884</v>
      </c>
      <c r="K1031" s="19" t="n">
        <v>8.10246761061209</v>
      </c>
    </row>
    <row r="1032">
      <c r="A1032" s="19" t="n">
        <v>85</v>
      </c>
      <c r="B1032" s="19" t="inlineStr">
        <is>
          <t>Laur</t>
        </is>
      </c>
      <c r="C1032" s="19" t="inlineStr">
        <is>
          <t>Town</t>
        </is>
      </c>
      <c r="D1032" s="19" t="inlineStr">
        <is>
          <t>Loss</t>
        </is>
      </c>
      <c r="E1032" s="19" t="n">
        <v>-18</v>
      </c>
      <c r="F1032" s="19" t="n">
        <v>32.1460056506966</v>
      </c>
      <c r="G1032" s="19" t="n">
        <v>31.8331431475713</v>
      </c>
      <c r="H1032" s="19" t="n">
        <v>7.69443875040217</v>
      </c>
      <c r="I1032" s="19" t="n">
        <v>1398</v>
      </c>
      <c r="J1032" s="19" t="n">
        <v>1380</v>
      </c>
      <c r="K1032" s="19" t="n">
        <v>7.72024421092682</v>
      </c>
    </row>
    <row r="1033">
      <c r="A1033" s="19" t="n">
        <v>85</v>
      </c>
      <c r="B1033" s="19" t="inlineStr">
        <is>
          <t>Lou</t>
        </is>
      </c>
      <c r="C1033" s="19" t="inlineStr">
        <is>
          <t>Mafia</t>
        </is>
      </c>
      <c r="D1033" s="19" t="inlineStr">
        <is>
          <t>Win</t>
        </is>
      </c>
      <c r="E1033" s="19" t="n">
        <v>22</v>
      </c>
      <c r="F1033" s="19" t="n">
        <v>25.9698919859624</v>
      </c>
      <c r="G1033" s="19" t="n">
        <v>26.25189405906</v>
      </c>
      <c r="H1033" s="19" t="n">
        <v>7.30807069376016</v>
      </c>
      <c r="I1033" s="19" t="n">
        <v>1018</v>
      </c>
      <c r="J1033" s="19" t="n">
        <v>1040</v>
      </c>
      <c r="K1033" s="19" t="n">
        <v>7.32899702577914</v>
      </c>
    </row>
    <row r="1034">
      <c r="A1034" s="19" t="n">
        <v>85</v>
      </c>
      <c r="B1034" s="19" t="inlineStr">
        <is>
          <t>Creatchee</t>
        </is>
      </c>
      <c r="C1034" s="19" t="inlineStr">
        <is>
          <t>Mafia</t>
        </is>
      </c>
      <c r="D1034" s="19" t="inlineStr">
        <is>
          <t>Win</t>
        </is>
      </c>
      <c r="E1034" s="19" t="n">
        <v>22</v>
      </c>
      <c r="F1034" s="19" t="n">
        <v>30.6443758488764</v>
      </c>
      <c r="G1034" s="19" t="n">
        <v>30.9390470685914</v>
      </c>
      <c r="H1034" s="19" t="n">
        <v>7.46918212769413</v>
      </c>
      <c r="I1034" s="19" t="n">
        <v>1320</v>
      </c>
      <c r="J1034" s="19" t="n">
        <v>1342</v>
      </c>
      <c r="K1034" s="19" t="n">
        <v>7.49208848023167</v>
      </c>
    </row>
    <row r="1035">
      <c r="A1035" s="19" t="n">
        <v>85</v>
      </c>
      <c r="B1035" s="19" t="inlineStr">
        <is>
          <t>Rocker</t>
        </is>
      </c>
      <c r="C1035" s="19" t="inlineStr">
        <is>
          <t>Mafia</t>
        </is>
      </c>
      <c r="D1035" s="19" t="inlineStr">
        <is>
          <t>Win</t>
        </is>
      </c>
      <c r="E1035" s="19" t="n">
        <v>20</v>
      </c>
      <c r="F1035" s="19" t="n">
        <v>31.6573260111596</v>
      </c>
      <c r="G1035" s="19" t="n">
        <v>31.9244169750009</v>
      </c>
      <c r="H1035" s="19" t="n">
        <v>7.11363157179581</v>
      </c>
      <c r="I1035" s="19" t="n">
        <v>1425</v>
      </c>
      <c r="J1035" s="19" t="n">
        <v>1445</v>
      </c>
      <c r="K1035" s="19" t="n">
        <v>7.13226842149156</v>
      </c>
    </row>
    <row r="1036">
      <c r="A1036" s="19" t="n">
        <v>84</v>
      </c>
      <c r="B1036" s="19" t="inlineStr">
        <is>
          <t>Wyz</t>
        </is>
      </c>
      <c r="C1036" s="19" t="inlineStr">
        <is>
          <t>Town</t>
        </is>
      </c>
      <c r="D1036" s="19" t="inlineStr">
        <is>
          <t>Loss</t>
        </is>
      </c>
      <c r="E1036" s="19" t="n">
        <v>-71</v>
      </c>
      <c r="F1036" s="19" t="n">
        <v>26.3310233622301</v>
      </c>
      <c r="G1036" s="19" t="n">
        <v>25.1916258123676</v>
      </c>
      <c r="H1036" s="19" t="n">
        <v>8.209193265518691</v>
      </c>
      <c r="I1036" s="19" t="n">
        <v>947</v>
      </c>
      <c r="J1036" s="19" t="n">
        <v>876</v>
      </c>
      <c r="K1036" s="19" t="n">
        <v>8.26945635328887</v>
      </c>
    </row>
    <row r="1037">
      <c r="A1037" s="19" t="n">
        <v>84</v>
      </c>
      <c r="B1037" s="19" t="inlineStr">
        <is>
          <t>Smit</t>
        </is>
      </c>
      <c r="C1037" s="19" t="inlineStr">
        <is>
          <t>Town</t>
        </is>
      </c>
      <c r="D1037" s="19" t="inlineStr">
        <is>
          <t>Loss</t>
        </is>
      </c>
      <c r="E1037" s="19" t="n">
        <v>-58</v>
      </c>
      <c r="F1037" s="19" t="n">
        <v>24.7020320216942</v>
      </c>
      <c r="G1037" s="19" t="n">
        <v>23.7798940348253</v>
      </c>
      <c r="H1037" s="19" t="n">
        <v>7.39648219085895</v>
      </c>
      <c r="I1037" s="19" t="n">
        <v>921</v>
      </c>
      <c r="J1037" s="19" t="n">
        <v>863</v>
      </c>
      <c r="K1037" s="19" t="n">
        <v>7.43823563163214</v>
      </c>
    </row>
    <row r="1038">
      <c r="A1038" s="19" t="n">
        <v>84</v>
      </c>
      <c r="B1038" s="19" t="inlineStr">
        <is>
          <t>Rollo</t>
        </is>
      </c>
      <c r="C1038" s="19" t="inlineStr">
        <is>
          <t>Town</t>
        </is>
      </c>
      <c r="D1038" s="19" t="inlineStr">
        <is>
          <t>Loss</t>
        </is>
      </c>
      <c r="E1038" s="19" t="n">
        <v>-65</v>
      </c>
      <c r="F1038" s="19" t="n">
        <v>26.96710518918</v>
      </c>
      <c r="G1038" s="19" t="n">
        <v>25.9319910379407</v>
      </c>
      <c r="H1038" s="19" t="n">
        <v>7.83025912277053</v>
      </c>
      <c r="I1038" s="19" t="n">
        <v>1030</v>
      </c>
      <c r="J1038" s="19" t="n">
        <v>965</v>
      </c>
      <c r="K1038" s="19" t="n">
        <v>7.88142319879989</v>
      </c>
    </row>
    <row r="1039">
      <c r="A1039" s="19" t="n">
        <v>84</v>
      </c>
      <c r="B1039" s="19" t="inlineStr">
        <is>
          <t>Rocker</t>
        </is>
      </c>
      <c r="C1039" s="19" t="inlineStr">
        <is>
          <t>Town</t>
        </is>
      </c>
      <c r="D1039" s="19" t="inlineStr">
        <is>
          <t>Loss</t>
        </is>
      </c>
      <c r="E1039" s="19" t="n">
        <v>-55</v>
      </c>
      <c r="F1039" s="19" t="n">
        <v>32.5139713554789</v>
      </c>
      <c r="G1039" s="19" t="n">
        <v>31.6573260111596</v>
      </c>
      <c r="H1039" s="19" t="n">
        <v>7.13226842149156</v>
      </c>
      <c r="I1039" s="19" t="n">
        <v>1480</v>
      </c>
      <c r="J1039" s="19" t="n">
        <v>1425</v>
      </c>
      <c r="K1039" s="19" t="n">
        <v>7.16878405088058</v>
      </c>
    </row>
    <row r="1040">
      <c r="A1040" s="19" t="n">
        <v>84</v>
      </c>
      <c r="B1040" s="19" t="inlineStr">
        <is>
          <t>Plen</t>
        </is>
      </c>
      <c r="C1040" s="19" t="inlineStr">
        <is>
          <t>Town</t>
        </is>
      </c>
      <c r="D1040" s="19" t="inlineStr">
        <is>
          <t>Loss</t>
        </is>
      </c>
      <c r="E1040" s="19" t="n">
        <v>-60</v>
      </c>
      <c r="F1040" s="19" t="n">
        <v>17.9881413668735</v>
      </c>
      <c r="G1040" s="19" t="n">
        <v>17.0453483418386</v>
      </c>
      <c r="H1040" s="19" t="n">
        <v>7.47777443008237</v>
      </c>
      <c r="I1040" s="19" t="n">
        <v>456</v>
      </c>
      <c r="J1040" s="19" t="n">
        <v>396</v>
      </c>
      <c r="K1040" s="19" t="n">
        <v>7.52121311288985</v>
      </c>
    </row>
    <row r="1041">
      <c r="A1041" s="19" t="n">
        <v>84</v>
      </c>
      <c r="B1041" s="19" t="inlineStr">
        <is>
          <t>Mintt</t>
        </is>
      </c>
      <c r="C1041" s="19" t="inlineStr">
        <is>
          <t>Town</t>
        </is>
      </c>
      <c r="D1041" s="19" t="inlineStr">
        <is>
          <t>Loss</t>
        </is>
      </c>
      <c r="E1041" s="19" t="n">
        <v>-62</v>
      </c>
      <c r="F1041" s="19" t="n">
        <v>27.4735594737815</v>
      </c>
      <c r="G1041" s="19" t="n">
        <v>26.488085230254</v>
      </c>
      <c r="H1041" s="19" t="n">
        <v>7.64286897481913</v>
      </c>
      <c r="I1041" s="19" t="n">
        <v>1084</v>
      </c>
      <c r="J1041" s="19" t="n">
        <v>1022</v>
      </c>
      <c r="K1041" s="19" t="n">
        <v>7.68984020735069</v>
      </c>
    </row>
    <row r="1042">
      <c r="A1042" s="19" t="n">
        <v>84</v>
      </c>
      <c r="B1042" s="19" t="inlineStr">
        <is>
          <t>Machop</t>
        </is>
      </c>
      <c r="C1042" s="19" t="inlineStr">
        <is>
          <t>Town</t>
        </is>
      </c>
      <c r="D1042" s="19" t="inlineStr">
        <is>
          <t>Loss</t>
        </is>
      </c>
      <c r="E1042" s="19" t="n">
        <v>-56</v>
      </c>
      <c r="F1042" s="19" t="n">
        <v>26.8274121742417</v>
      </c>
      <c r="G1042" s="19" t="n">
        <v>25.9362879135757</v>
      </c>
      <c r="H1042" s="19" t="n">
        <v>7.27262296955073</v>
      </c>
      <c r="I1042" s="19" t="n">
        <v>1078</v>
      </c>
      <c r="J1042" s="19" t="n">
        <v>1022</v>
      </c>
      <c r="K1042" s="19" t="n">
        <v>7.31187596291691</v>
      </c>
    </row>
    <row r="1043">
      <c r="A1043" s="19" t="n">
        <v>84</v>
      </c>
      <c r="B1043" s="19" t="inlineStr">
        <is>
          <t>Lou</t>
        </is>
      </c>
      <c r="C1043" s="19" t="inlineStr">
        <is>
          <t>Town</t>
        </is>
      </c>
      <c r="D1043" s="19" t="inlineStr">
        <is>
          <t>Loss</t>
        </is>
      </c>
      <c r="E1043" s="19" t="n">
        <v>-58</v>
      </c>
      <c r="F1043" s="19" t="n">
        <v>26.8750636932898</v>
      </c>
      <c r="G1043" s="19" t="n">
        <v>25.9698919859624</v>
      </c>
      <c r="H1043" s="19" t="n">
        <v>7.32899702577914</v>
      </c>
      <c r="I1043" s="19" t="n">
        <v>1076</v>
      </c>
      <c r="J1043" s="19" t="n">
        <v>1018</v>
      </c>
      <c r="K1043" s="19" t="n">
        <v>7.36937811159739</v>
      </c>
    </row>
    <row r="1044">
      <c r="A1044" s="19" t="n">
        <v>84</v>
      </c>
      <c r="B1044" s="19" t="inlineStr">
        <is>
          <t>Iln</t>
        </is>
      </c>
      <c r="C1044" s="19" t="inlineStr">
        <is>
          <t>Town</t>
        </is>
      </c>
      <c r="D1044" s="19" t="inlineStr">
        <is>
          <t>Loss</t>
        </is>
      </c>
      <c r="E1044" s="19" t="n">
        <v>-60</v>
      </c>
      <c r="F1044" s="19" t="n">
        <v>23.8322036396547</v>
      </c>
      <c r="G1044" s="19" t="n">
        <v>22.8886936318667</v>
      </c>
      <c r="H1044" s="19" t="n">
        <v>7.48057954697936</v>
      </c>
      <c r="I1044" s="19" t="n">
        <v>853</v>
      </c>
      <c r="J1044" s="19" t="n">
        <v>793</v>
      </c>
      <c r="K1044" s="19" t="n">
        <v>7.52407701373879</v>
      </c>
    </row>
    <row r="1045">
      <c r="A1045" s="19" t="n">
        <v>84</v>
      </c>
      <c r="B1045" s="19" t="inlineStr">
        <is>
          <t>Creatchee</t>
        </is>
      </c>
      <c r="C1045" s="19" t="inlineStr">
        <is>
          <t>Town</t>
        </is>
      </c>
      <c r="D1045" s="19" t="inlineStr">
        <is>
          <t>Loss</t>
        </is>
      </c>
      <c r="E1045" s="19" t="n">
        <v>-60</v>
      </c>
      <c r="F1045" s="19" t="n">
        <v>31.5908304876302</v>
      </c>
      <c r="G1045" s="19" t="n">
        <v>30.6443758488764</v>
      </c>
      <c r="H1045" s="19" t="n">
        <v>7.49208848023167</v>
      </c>
      <c r="I1045" s="19" t="n">
        <v>1380</v>
      </c>
      <c r="J1045" s="19" t="n">
        <v>1320</v>
      </c>
      <c r="K1045" s="19" t="n">
        <v>7.53582757174387</v>
      </c>
    </row>
    <row r="1046">
      <c r="A1046" s="19" t="n">
        <v>84</v>
      </c>
      <c r="B1046" s="19" t="inlineStr">
        <is>
          <t>Badpants</t>
        </is>
      </c>
      <c r="C1046" s="19" t="inlineStr">
        <is>
          <t>Town</t>
        </is>
      </c>
      <c r="D1046" s="19" t="inlineStr">
        <is>
          <t>Loss</t>
        </is>
      </c>
      <c r="E1046" s="19" t="n">
        <v>-58</v>
      </c>
      <c r="F1046" s="19" t="n">
        <v>24.0235107565038</v>
      </c>
      <c r="G1046" s="19" t="n">
        <v>23.1103700684951</v>
      </c>
      <c r="H1046" s="19" t="n">
        <v>7.36077560562397</v>
      </c>
      <c r="I1046" s="19" t="n">
        <v>879</v>
      </c>
      <c r="J1046" s="19" t="n">
        <v>821</v>
      </c>
      <c r="K1046" s="19" t="n">
        <v>7.40179993807262</v>
      </c>
    </row>
    <row r="1047">
      <c r="A1047" s="19" t="n">
        <v>84</v>
      </c>
      <c r="B1047" s="19" t="inlineStr">
        <is>
          <t>Kden</t>
        </is>
      </c>
      <c r="C1047" s="19" t="inlineStr">
        <is>
          <t>Mafia</t>
        </is>
      </c>
      <c r="D1047" s="19" t="inlineStr">
        <is>
          <t>Win</t>
        </is>
      </c>
      <c r="E1047" s="19" t="n">
        <v>75</v>
      </c>
      <c r="F1047" s="19" t="n">
        <v>27.825011365251</v>
      </c>
      <c r="G1047" s="19" t="n">
        <v>28.846829118706</v>
      </c>
      <c r="H1047" s="19" t="n">
        <v>7.78053381791921</v>
      </c>
      <c r="I1047" s="19" t="n">
        <v>1093</v>
      </c>
      <c r="J1047" s="19" t="n">
        <v>1168</v>
      </c>
      <c r="K1047" s="19" t="n">
        <v>7.83056597322649</v>
      </c>
    </row>
    <row r="1048">
      <c r="A1048" s="19" t="n">
        <v>84</v>
      </c>
      <c r="B1048" s="19" t="inlineStr">
        <is>
          <t>Doublea</t>
        </is>
      </c>
      <c r="C1048" s="19" t="inlineStr">
        <is>
          <t>Mafia</t>
        </is>
      </c>
      <c r="D1048" s="19" t="inlineStr">
        <is>
          <t>Win</t>
        </is>
      </c>
      <c r="E1048" s="19" t="n">
        <v>76</v>
      </c>
      <c r="F1048" s="19" t="n">
        <v>24.2538882575916</v>
      </c>
      <c r="G1048" s="19" t="n">
        <v>25.2951109658048</v>
      </c>
      <c r="H1048" s="19" t="n">
        <v>7.85299179611869</v>
      </c>
      <c r="I1048" s="19" t="n">
        <v>843</v>
      </c>
      <c r="J1048" s="19" t="n">
        <v>919</v>
      </c>
      <c r="K1048" s="19" t="n">
        <v>7.90467805086192</v>
      </c>
    </row>
    <row r="1049">
      <c r="A1049" s="19" t="n">
        <v>84</v>
      </c>
      <c r="B1049" s="19" t="inlineStr">
        <is>
          <t>Chipper</t>
        </is>
      </c>
      <c r="C1049" s="19" t="inlineStr">
        <is>
          <t>Mafia</t>
        </is>
      </c>
      <c r="D1049" s="19" t="inlineStr">
        <is>
          <t>Win</t>
        </is>
      </c>
      <c r="E1049" s="19" t="n">
        <v>68</v>
      </c>
      <c r="F1049" s="19" t="n">
        <v>19.5827254568042</v>
      </c>
      <c r="G1049" s="19" t="n">
        <v>20.5196893385163</v>
      </c>
      <c r="H1049" s="19" t="n">
        <v>7.45492723281502</v>
      </c>
      <c r="I1049" s="19" t="n">
        <v>567</v>
      </c>
      <c r="J1049" s="19" t="n">
        <v>635</v>
      </c>
      <c r="K1049" s="19" t="n">
        <v>7.49788870604136</v>
      </c>
    </row>
    <row r="1050">
      <c r="A1050" s="19" t="n">
        <v>83</v>
      </c>
      <c r="B1050" s="19" t="inlineStr">
        <is>
          <t>Smit</t>
        </is>
      </c>
      <c r="C1050" s="19" t="inlineStr">
        <is>
          <t>Town</t>
        </is>
      </c>
      <c r="D1050" s="19" t="inlineStr">
        <is>
          <t>Win</t>
        </is>
      </c>
      <c r="E1050" s="19" t="n">
        <v>78</v>
      </c>
      <c r="F1050" s="19" t="n">
        <v>23.6194090936105</v>
      </c>
      <c r="G1050" s="19" t="n">
        <v>24.7020320216942</v>
      </c>
      <c r="H1050" s="19" t="n">
        <v>7.43823563163214</v>
      </c>
      <c r="I1050" s="19" t="n">
        <v>843</v>
      </c>
      <c r="J1050" s="19" t="n">
        <v>921</v>
      </c>
      <c r="K1050" s="19" t="n">
        <v>7.4835337115246</v>
      </c>
    </row>
    <row r="1051">
      <c r="A1051" s="19" t="n">
        <v>83</v>
      </c>
      <c r="B1051" s="19" t="inlineStr">
        <is>
          <t>Gunny</t>
        </is>
      </c>
      <c r="C1051" s="19" t="inlineStr">
        <is>
          <t>Town</t>
        </is>
      </c>
      <c r="D1051" s="19" t="inlineStr">
        <is>
          <t>Win</t>
        </is>
      </c>
      <c r="E1051" s="19" t="n">
        <v>98</v>
      </c>
      <c r="F1051" s="19" t="n">
        <v>25</v>
      </c>
      <c r="G1051" s="19" t="n">
        <v>26.3420428993666</v>
      </c>
      <c r="H1051" s="19" t="n">
        <v>8.26785780891913</v>
      </c>
      <c r="I1051" s="19" t="n">
        <v>850</v>
      </c>
      <c r="J1051" s="19" t="n">
        <v>948</v>
      </c>
      <c r="K1051" s="19" t="n">
        <v>8.33333333333333</v>
      </c>
    </row>
    <row r="1052">
      <c r="A1052" s="19" t="n">
        <v>83</v>
      </c>
      <c r="B1052" s="19" t="inlineStr">
        <is>
          <t>Laur</t>
        </is>
      </c>
      <c r="C1052" s="19" t="inlineStr">
        <is>
          <t>Town</t>
        </is>
      </c>
      <c r="D1052" s="19" t="inlineStr">
        <is>
          <t>Win</t>
        </is>
      </c>
      <c r="E1052" s="19" t="n">
        <v>84</v>
      </c>
      <c r="F1052" s="19" t="n">
        <v>30.9784670288199</v>
      </c>
      <c r="G1052" s="19" t="n">
        <v>32.1460056506966</v>
      </c>
      <c r="H1052" s="19" t="n">
        <v>7.72024421092682</v>
      </c>
      <c r="I1052" s="19" t="n">
        <v>1314</v>
      </c>
      <c r="J1052" s="19" t="n">
        <v>1398</v>
      </c>
      <c r="K1052" s="19" t="n">
        <v>7.77193421856369</v>
      </c>
    </row>
    <row r="1053">
      <c r="A1053" s="19" t="n">
        <v>83</v>
      </c>
      <c r="B1053" s="19" t="inlineStr">
        <is>
          <t>Keegan</t>
        </is>
      </c>
      <c r="C1053" s="19" t="inlineStr">
        <is>
          <t>Town</t>
        </is>
      </c>
      <c r="D1053" s="19" t="inlineStr">
        <is>
          <t>Win</t>
        </is>
      </c>
      <c r="E1053" s="19" t="n">
        <v>91</v>
      </c>
      <c r="F1053" s="19" t="n">
        <v>27.3948782618202</v>
      </c>
      <c r="G1053" s="19" t="n">
        <v>28.646304493453</v>
      </c>
      <c r="H1053" s="19" t="n">
        <v>7.98849063728291</v>
      </c>
      <c r="I1053" s="19" t="n">
        <v>1042</v>
      </c>
      <c r="J1053" s="19" t="n">
        <v>1133</v>
      </c>
      <c r="K1053" s="19" t="n">
        <v>8.046699863739249</v>
      </c>
    </row>
    <row r="1054">
      <c r="A1054" s="19" t="n">
        <v>83</v>
      </c>
      <c r="B1054" s="19" t="inlineStr">
        <is>
          <t>Doublea</t>
        </is>
      </c>
      <c r="C1054" s="19" t="inlineStr">
        <is>
          <t>Town</t>
        </is>
      </c>
      <c r="D1054" s="19" t="inlineStr">
        <is>
          <t>Win</t>
        </is>
      </c>
      <c r="E1054" s="19" t="n">
        <v>89</v>
      </c>
      <c r="F1054" s="19" t="n">
        <v>23.0289999253059</v>
      </c>
      <c r="G1054" s="19" t="n">
        <v>24.2538882575916</v>
      </c>
      <c r="H1054" s="19" t="n">
        <v>7.90467805086192</v>
      </c>
      <c r="I1054" s="19" t="n">
        <v>754</v>
      </c>
      <c r="J1054" s="19" t="n">
        <v>843</v>
      </c>
      <c r="K1054" s="19" t="n">
        <v>7.9608031515771</v>
      </c>
    </row>
    <row r="1055">
      <c r="A1055" s="19" t="n">
        <v>83</v>
      </c>
      <c r="B1055" s="19" t="inlineStr">
        <is>
          <t>Whyin</t>
        </is>
      </c>
      <c r="C1055" s="19" t="inlineStr">
        <is>
          <t>Town</t>
        </is>
      </c>
      <c r="D1055" s="19" t="inlineStr">
        <is>
          <t>Win</t>
        </is>
      </c>
      <c r="E1055" s="19" t="n">
        <v>78</v>
      </c>
      <c r="F1055" s="19" t="n">
        <v>27.556589376702</v>
      </c>
      <c r="G1055" s="19" t="n">
        <v>28.6406850019562</v>
      </c>
      <c r="H1055" s="19" t="n">
        <v>7.44322296176981</v>
      </c>
      <c r="I1055" s="19" t="n">
        <v>1110</v>
      </c>
      <c r="J1055" s="19" t="n">
        <v>1188</v>
      </c>
      <c r="K1055" s="19" t="n">
        <v>7.48863009938874</v>
      </c>
    </row>
    <row r="1056">
      <c r="A1056" s="19" t="n">
        <v>83</v>
      </c>
      <c r="B1056" s="19" t="inlineStr">
        <is>
          <t>Rocker</t>
        </is>
      </c>
      <c r="C1056" s="19" t="inlineStr">
        <is>
          <t>Town</t>
        </is>
      </c>
      <c r="D1056" s="19" t="inlineStr">
        <is>
          <t>Win</t>
        </is>
      </c>
      <c r="E1056" s="19" t="n">
        <v>73</v>
      </c>
      <c r="F1056" s="19" t="n">
        <v>31.5093664197857</v>
      </c>
      <c r="G1056" s="19" t="n">
        <v>32.5139713554789</v>
      </c>
      <c r="H1056" s="19" t="n">
        <v>7.16878405088058</v>
      </c>
      <c r="I1056" s="19" t="n">
        <v>1407</v>
      </c>
      <c r="J1056" s="19" t="n">
        <v>1480</v>
      </c>
      <c r="K1056" s="19" t="n">
        <v>7.20839638834309</v>
      </c>
    </row>
    <row r="1057">
      <c r="A1057" s="19" t="n">
        <v>83</v>
      </c>
      <c r="B1057" s="19" t="inlineStr">
        <is>
          <t>Rollo</t>
        </is>
      </c>
      <c r="C1057" s="19" t="inlineStr">
        <is>
          <t>Town</t>
        </is>
      </c>
      <c r="D1057" s="19" t="inlineStr">
        <is>
          <t>Win</t>
        </is>
      </c>
      <c r="E1057" s="19" t="n">
        <v>89</v>
      </c>
      <c r="F1057" s="19" t="n">
        <v>25.7495273038706</v>
      </c>
      <c r="G1057" s="19" t="n">
        <v>26.96710518918</v>
      </c>
      <c r="H1057" s="19" t="n">
        <v>7.88142319879989</v>
      </c>
      <c r="I1057" s="19" t="n">
        <v>941</v>
      </c>
      <c r="J1057" s="19" t="n">
        <v>1030</v>
      </c>
      <c r="K1057" s="19" t="n">
        <v>7.93697770685696</v>
      </c>
    </row>
    <row r="1058">
      <c r="A1058" s="19" t="n">
        <v>83</v>
      </c>
      <c r="B1058" s="19" t="inlineStr">
        <is>
          <t>Streety</t>
        </is>
      </c>
      <c r="C1058" s="19" t="inlineStr">
        <is>
          <t>Town</t>
        </is>
      </c>
      <c r="D1058" s="19" t="inlineStr">
        <is>
          <t>Win</t>
        </is>
      </c>
      <c r="E1058" s="19" t="n">
        <v>90</v>
      </c>
      <c r="F1058" s="19" t="n">
        <v>26.1054206019312</v>
      </c>
      <c r="G1058" s="19" t="n">
        <v>27.3413899337593</v>
      </c>
      <c r="H1058" s="19" t="n">
        <v>7.9397889444333</v>
      </c>
      <c r="I1058" s="19" t="n">
        <v>959</v>
      </c>
      <c r="J1058" s="19" t="n">
        <v>1049</v>
      </c>
      <c r="K1058" s="19" t="n">
        <v>7.99678184280088</v>
      </c>
    </row>
    <row r="1059">
      <c r="A1059" s="19" t="n">
        <v>83</v>
      </c>
      <c r="B1059" s="19" t="inlineStr">
        <is>
          <t>Machop</t>
        </is>
      </c>
      <c r="C1059" s="19" t="inlineStr">
        <is>
          <t>Town</t>
        </is>
      </c>
      <c r="D1059" s="19" t="inlineStr">
        <is>
          <t>Win</t>
        </is>
      </c>
      <c r="E1059" s="19" t="n">
        <v>75</v>
      </c>
      <c r="F1059" s="19" t="n">
        <v>25.781753948759</v>
      </c>
      <c r="G1059" s="19" t="n">
        <v>26.8274121742417</v>
      </c>
      <c r="H1059" s="19" t="n">
        <v>7.31187596291691</v>
      </c>
      <c r="I1059" s="19" t="n">
        <v>1003</v>
      </c>
      <c r="J1059" s="19" t="n">
        <v>1078</v>
      </c>
      <c r="K1059" s="19" t="n">
        <v>7.3544576536865</v>
      </c>
    </row>
    <row r="1060">
      <c r="A1060" s="19" t="n">
        <v>83</v>
      </c>
      <c r="B1060" s="19" t="inlineStr">
        <is>
          <t>Brownkow</t>
        </is>
      </c>
      <c r="C1060" s="19" t="inlineStr">
        <is>
          <t>Town</t>
        </is>
      </c>
      <c r="D1060" s="19" t="inlineStr">
        <is>
          <t>Win</t>
        </is>
      </c>
      <c r="E1060" s="19" t="n">
        <v>71</v>
      </c>
      <c r="F1060" s="19" t="n">
        <v>26.9778554745936</v>
      </c>
      <c r="G1060" s="19" t="n">
        <v>27.9703225477129</v>
      </c>
      <c r="H1060" s="19" t="n">
        <v>7.12589739330714</v>
      </c>
      <c r="I1060" s="19" t="n">
        <v>1104</v>
      </c>
      <c r="J1060" s="19" t="n">
        <v>1175</v>
      </c>
      <c r="K1060" s="19" t="n">
        <v>7.16464143367764</v>
      </c>
    </row>
    <row r="1061">
      <c r="A1061" s="19" t="n">
        <v>83</v>
      </c>
      <c r="B1061" s="19" t="inlineStr">
        <is>
          <t>23flash</t>
        </is>
      </c>
      <c r="C1061" s="19" t="inlineStr">
        <is>
          <t>Mafia</t>
        </is>
      </c>
      <c r="D1061" s="19" t="inlineStr">
        <is>
          <t>Loss</t>
        </is>
      </c>
      <c r="E1061" s="19" t="n">
        <v>-80</v>
      </c>
      <c r="F1061" s="19" t="n">
        <v>24.6651766983339</v>
      </c>
      <c r="G1061" s="19" t="n">
        <v>23.4090695614222</v>
      </c>
      <c r="H1061" s="19" t="n">
        <v>8.003176949012991</v>
      </c>
      <c r="I1061" s="19" t="n">
        <v>855</v>
      </c>
      <c r="J1061" s="19" t="n">
        <v>775</v>
      </c>
      <c r="K1061" s="19" t="n">
        <v>8.06175586130218</v>
      </c>
    </row>
    <row r="1062">
      <c r="A1062" s="19" t="n">
        <v>83</v>
      </c>
      <c r="B1062" s="19" t="inlineStr">
        <is>
          <t>Noah</t>
        </is>
      </c>
      <c r="C1062" s="19" t="inlineStr">
        <is>
          <t>Mafia</t>
        </is>
      </c>
      <c r="D1062" s="19" t="inlineStr">
        <is>
          <t>Loss</t>
        </is>
      </c>
      <c r="E1062" s="19" t="n">
        <v>-70</v>
      </c>
      <c r="F1062" s="19" t="n">
        <v>27.7152613520736</v>
      </c>
      <c r="G1062" s="19" t="n">
        <v>26.6157786659421</v>
      </c>
      <c r="H1062" s="19" t="n">
        <v>7.49512189148809</v>
      </c>
      <c r="I1062" s="19" t="n">
        <v>1115</v>
      </c>
      <c r="J1062" s="19" t="n">
        <v>1045</v>
      </c>
      <c r="K1062" s="19" t="n">
        <v>7.5416723012719</v>
      </c>
    </row>
    <row r="1063">
      <c r="A1063" s="19" t="n">
        <v>83</v>
      </c>
      <c r="B1063" s="19" t="inlineStr">
        <is>
          <t>Whyin</t>
        </is>
      </c>
      <c r="C1063" s="19" t="inlineStr">
        <is>
          <t>Mafia</t>
        </is>
      </c>
      <c r="D1063" s="19" t="inlineStr">
        <is>
          <t>Loss</t>
        </is>
      </c>
      <c r="E1063" s="19" t="n">
        <v>-69</v>
      </c>
      <c r="F1063" s="19" t="n">
        <v>27.556589376702</v>
      </c>
      <c r="G1063" s="19" t="n">
        <v>26.4724937514478</v>
      </c>
      <c r="H1063" s="19" t="n">
        <v>7.44322296176981</v>
      </c>
      <c r="I1063" s="19" t="n">
        <v>1110</v>
      </c>
      <c r="J1063" s="19" t="n">
        <v>1041</v>
      </c>
      <c r="K1063" s="19" t="n">
        <v>7.48863009938874</v>
      </c>
    </row>
    <row r="1064">
      <c r="A1064" s="19" t="n">
        <v>82</v>
      </c>
      <c r="B1064" s="19" t="inlineStr">
        <is>
          <t>Mintt</t>
        </is>
      </c>
      <c r="C1064" s="19" t="inlineStr">
        <is>
          <t>Town</t>
        </is>
      </c>
      <c r="D1064" s="19" t="inlineStr">
        <is>
          <t>Win</t>
        </is>
      </c>
      <c r="E1064" s="19" t="n">
        <v>99</v>
      </c>
      <c r="F1064" s="19" t="n">
        <v>26.1157595723792</v>
      </c>
      <c r="G1064" s="19" t="n">
        <v>27.4735594737815</v>
      </c>
      <c r="H1064" s="19" t="n">
        <v>7.68984020735069</v>
      </c>
      <c r="I1064" s="19" t="n">
        <v>985</v>
      </c>
      <c r="J1064" s="19" t="n">
        <v>1084</v>
      </c>
      <c r="K1064" s="19" t="n">
        <v>7.74978647290902</v>
      </c>
    </row>
    <row r="1065">
      <c r="A1065" s="19" t="n">
        <v>82</v>
      </c>
      <c r="B1065" s="19" t="inlineStr">
        <is>
          <t>Sam</t>
        </is>
      </c>
      <c r="C1065" s="19" t="inlineStr">
        <is>
          <t>Town</t>
        </is>
      </c>
      <c r="D1065" s="19" t="inlineStr">
        <is>
          <t>Win</t>
        </is>
      </c>
      <c r="E1065" s="19" t="n">
        <v>107</v>
      </c>
      <c r="F1065" s="19" t="n">
        <v>25.4612572851595</v>
      </c>
      <c r="G1065" s="19" t="n">
        <v>26.9383638310195</v>
      </c>
      <c r="H1065" s="19" t="n">
        <v>8.01451809137464</v>
      </c>
      <c r="I1065" s="19" t="n">
        <v>907</v>
      </c>
      <c r="J1065" s="19" t="n">
        <v>1014</v>
      </c>
      <c r="K1065" s="19" t="n">
        <v>8.083585622771659</v>
      </c>
    </row>
    <row r="1066">
      <c r="A1066" s="19" t="n">
        <v>82</v>
      </c>
      <c r="B1066" s="19" t="inlineStr">
        <is>
          <t>Rocker</t>
        </is>
      </c>
      <c r="C1066" s="19" t="inlineStr">
        <is>
          <t>Town</t>
        </is>
      </c>
      <c r="D1066" s="19" t="inlineStr">
        <is>
          <t>Win</t>
        </is>
      </c>
      <c r="E1066" s="19" t="n">
        <v>85</v>
      </c>
      <c r="F1066" s="19" t="n">
        <v>30.3187800151955</v>
      </c>
      <c r="G1066" s="19" t="n">
        <v>31.5093664197857</v>
      </c>
      <c r="H1066" s="19" t="n">
        <v>7.20839638834309</v>
      </c>
      <c r="I1066" s="19" t="n">
        <v>1322</v>
      </c>
      <c r="J1066" s="19" t="n">
        <v>1407</v>
      </c>
      <c r="K1066" s="19" t="n">
        <v>7.25615587867791</v>
      </c>
    </row>
    <row r="1067">
      <c r="A1067" s="19" t="n">
        <v>82</v>
      </c>
      <c r="B1067" s="19" t="inlineStr">
        <is>
          <t>Laur</t>
        </is>
      </c>
      <c r="C1067" s="19" t="inlineStr">
        <is>
          <t>Town</t>
        </is>
      </c>
      <c r="D1067" s="19" t="inlineStr">
        <is>
          <t>Win</t>
        </is>
      </c>
      <c r="E1067" s="19" t="n">
        <v>101</v>
      </c>
      <c r="F1067" s="19" t="n">
        <v>29.5910009866765</v>
      </c>
      <c r="G1067" s="19" t="n">
        <v>30.9784670288199</v>
      </c>
      <c r="H1067" s="19" t="n">
        <v>7.77193421856369</v>
      </c>
      <c r="I1067" s="19" t="n">
        <v>1213</v>
      </c>
      <c r="J1067" s="19" t="n">
        <v>1314</v>
      </c>
      <c r="K1067" s="19" t="n">
        <v>7.83411584152503</v>
      </c>
    </row>
    <row r="1068">
      <c r="A1068" s="19" t="n">
        <v>82</v>
      </c>
      <c r="B1068" s="19" t="inlineStr">
        <is>
          <t>Jake</t>
        </is>
      </c>
      <c r="C1068" s="19" t="inlineStr">
        <is>
          <t>Town</t>
        </is>
      </c>
      <c r="D1068" s="19" t="inlineStr">
        <is>
          <t>Win</t>
        </is>
      </c>
      <c r="E1068" s="19" t="n">
        <v>110</v>
      </c>
      <c r="F1068" s="19" t="n">
        <v>26.484095910154</v>
      </c>
      <c r="G1068" s="19" t="n">
        <v>28.0035338195264</v>
      </c>
      <c r="H1068" s="19" t="n">
        <v>8.126368457090059</v>
      </c>
      <c r="I1068" s="19" t="n">
        <v>965</v>
      </c>
      <c r="J1068" s="19" t="n">
        <v>1075</v>
      </c>
      <c r="K1068" s="19" t="n">
        <v>8.19875563631318</v>
      </c>
    </row>
    <row r="1069">
      <c r="A1069" s="19" t="n">
        <v>82</v>
      </c>
      <c r="B1069" s="19" t="inlineStr">
        <is>
          <t>Chipper</t>
        </is>
      </c>
      <c r="C1069" s="19" t="inlineStr">
        <is>
          <t>Town</t>
        </is>
      </c>
      <c r="D1069" s="19" t="inlineStr">
        <is>
          <t>Win</t>
        </is>
      </c>
      <c r="E1069" s="19" t="n">
        <v>93</v>
      </c>
      <c r="F1069" s="19" t="n">
        <v>18.2929756272224</v>
      </c>
      <c r="G1069" s="19" t="n">
        <v>19.5827254568042</v>
      </c>
      <c r="H1069" s="19" t="n">
        <v>7.49788870604136</v>
      </c>
      <c r="I1069" s="19" t="n">
        <v>474</v>
      </c>
      <c r="J1069" s="19" t="n">
        <v>567</v>
      </c>
      <c r="K1069" s="19" t="n">
        <v>7.5527901874377</v>
      </c>
    </row>
    <row r="1070">
      <c r="A1070" s="19" t="n">
        <v>82</v>
      </c>
      <c r="B1070" s="19" t="inlineStr">
        <is>
          <t>Carson</t>
        </is>
      </c>
      <c r="C1070" s="19" t="inlineStr">
        <is>
          <t>Town</t>
        </is>
      </c>
      <c r="D1070" s="19" t="inlineStr">
        <is>
          <t>Win</t>
        </is>
      </c>
      <c r="E1070" s="19" t="n">
        <v>93</v>
      </c>
      <c r="F1070" s="19" t="n">
        <v>25.0535074834149</v>
      </c>
      <c r="G1070" s="19" t="n">
        <v>26.3407392772384</v>
      </c>
      <c r="H1070" s="19" t="n">
        <v>7.49068507883459</v>
      </c>
      <c r="I1070" s="19" t="n">
        <v>934</v>
      </c>
      <c r="J1070" s="19" t="n">
        <v>1027</v>
      </c>
      <c r="K1070" s="19" t="n">
        <v>7.54540211825307</v>
      </c>
    </row>
    <row r="1071">
      <c r="A1071" s="19" t="n">
        <v>82</v>
      </c>
      <c r="B1071" s="19" t="inlineStr">
        <is>
          <t>Brownkow</t>
        </is>
      </c>
      <c r="C1071" s="19" t="inlineStr">
        <is>
          <t>Town</t>
        </is>
      </c>
      <c r="D1071" s="19" t="inlineStr">
        <is>
          <t>Win</t>
        </is>
      </c>
      <c r="E1071" s="19" t="n">
        <v>85</v>
      </c>
      <c r="F1071" s="19" t="n">
        <v>25.8018960175316</v>
      </c>
      <c r="G1071" s="19" t="n">
        <v>26.9778554745936</v>
      </c>
      <c r="H1071" s="19" t="n">
        <v>7.16464143367764</v>
      </c>
      <c r="I1071" s="19" t="n">
        <v>1019</v>
      </c>
      <c r="J1071" s="19" t="n">
        <v>1104</v>
      </c>
      <c r="K1071" s="19" t="n">
        <v>7.21136872251019</v>
      </c>
    </row>
    <row r="1072">
      <c r="A1072" s="19" t="n">
        <v>82</v>
      </c>
      <c r="B1072" s="19" t="inlineStr">
        <is>
          <t>Happymeal</t>
        </is>
      </c>
      <c r="C1072" s="19" t="inlineStr">
        <is>
          <t>Town</t>
        </is>
      </c>
      <c r="D1072" s="19" t="inlineStr">
        <is>
          <t>Win</t>
        </is>
      </c>
      <c r="E1072" s="19" t="n">
        <v>101</v>
      </c>
      <c r="F1072" s="19" t="n">
        <v>24.5880343844589</v>
      </c>
      <c r="G1072" s="19" t="n">
        <v>25.9815346741449</v>
      </c>
      <c r="H1072" s="19" t="n">
        <v>7.78851904695569</v>
      </c>
      <c r="I1072" s="19" t="n">
        <v>871</v>
      </c>
      <c r="J1072" s="19" t="n">
        <v>972</v>
      </c>
      <c r="K1072" s="19" t="n">
        <v>7.85115801688328</v>
      </c>
    </row>
    <row r="1073">
      <c r="A1073" s="19" t="n">
        <v>82</v>
      </c>
      <c r="B1073" s="19" t="inlineStr">
        <is>
          <t>Badpants</t>
        </is>
      </c>
      <c r="C1073" s="19" t="inlineStr">
        <is>
          <t>Town</t>
        </is>
      </c>
      <c r="D1073" s="19" t="inlineStr">
        <is>
          <t>Win</t>
        </is>
      </c>
      <c r="E1073" s="19" t="n">
        <v>91</v>
      </c>
      <c r="F1073" s="19" t="n">
        <v>22.7671364475332</v>
      </c>
      <c r="G1073" s="19" t="n">
        <v>24.0235107565038</v>
      </c>
      <c r="H1073" s="19" t="n">
        <v>7.40179993807262</v>
      </c>
      <c r="I1073" s="19" t="n">
        <v>788</v>
      </c>
      <c r="J1073" s="19" t="n">
        <v>879</v>
      </c>
      <c r="K1073" s="19" t="n">
        <v>7.45426972409612</v>
      </c>
    </row>
    <row r="1074">
      <c r="A1074" s="19" t="n">
        <v>82</v>
      </c>
      <c r="B1074" s="19" t="inlineStr">
        <is>
          <t>Whyin</t>
        </is>
      </c>
      <c r="C1074" s="19" t="inlineStr">
        <is>
          <t>Mafia</t>
        </is>
      </c>
      <c r="D1074" s="19" t="inlineStr">
        <is>
          <t>Loss</t>
        </is>
      </c>
      <c r="E1074" s="19" t="n">
        <v>-82</v>
      </c>
      <c r="F1074" s="19" t="n">
        <v>28.8431033237703</v>
      </c>
      <c r="G1074" s="19" t="n">
        <v>27.556589376702</v>
      </c>
      <c r="H1074" s="19" t="n">
        <v>7.48863009938874</v>
      </c>
      <c r="I1074" s="19" t="n">
        <v>1192</v>
      </c>
      <c r="J1074" s="19" t="n">
        <v>1110</v>
      </c>
      <c r="K1074" s="19" t="n">
        <v>7.54329458698913</v>
      </c>
    </row>
    <row r="1075">
      <c r="A1075" s="19" t="n">
        <v>82</v>
      </c>
      <c r="B1075" s="19" t="inlineStr">
        <is>
          <t>Smit</t>
        </is>
      </c>
      <c r="C1075" s="19" t="inlineStr">
        <is>
          <t>Mafia</t>
        </is>
      </c>
      <c r="D1075" s="19" t="inlineStr">
        <is>
          <t>Loss</t>
        </is>
      </c>
      <c r="E1075" s="19" t="n">
        <v>-82</v>
      </c>
      <c r="F1075" s="19" t="n">
        <v>24.9041436741701</v>
      </c>
      <c r="G1075" s="19" t="n">
        <v>23.6194090936105</v>
      </c>
      <c r="H1075" s="19" t="n">
        <v>7.4835337115246</v>
      </c>
      <c r="I1075" s="19" t="n">
        <v>925</v>
      </c>
      <c r="J1075" s="19" t="n">
        <v>843</v>
      </c>
      <c r="K1075" s="19" t="n">
        <v>7.53806799204491</v>
      </c>
    </row>
    <row r="1076">
      <c r="A1076" s="19" t="n">
        <v>82</v>
      </c>
      <c r="B1076" s="19" t="inlineStr">
        <is>
          <t>Iln</t>
        </is>
      </c>
      <c r="C1076" s="19" t="inlineStr">
        <is>
          <t>Mafia</t>
        </is>
      </c>
      <c r="D1076" s="19" t="inlineStr">
        <is>
          <t>Loss</t>
        </is>
      </c>
      <c r="E1076" s="19" t="n">
        <v>-83</v>
      </c>
      <c r="F1076" s="19" t="n">
        <v>25.1311293931022</v>
      </c>
      <c r="G1076" s="19" t="n">
        <v>23.8322036396547</v>
      </c>
      <c r="H1076" s="19" t="n">
        <v>7.52407701373879</v>
      </c>
      <c r="I1076" s="19" t="n">
        <v>936</v>
      </c>
      <c r="J1076" s="19" t="n">
        <v>853</v>
      </c>
      <c r="K1076" s="19" t="n">
        <v>7.57965196770604</v>
      </c>
    </row>
    <row r="1077">
      <c r="A1077" s="19" t="n">
        <v>81</v>
      </c>
      <c r="B1077" s="19" t="inlineStr">
        <is>
          <t>Happymeal</t>
        </is>
      </c>
      <c r="C1077" s="19" t="inlineStr">
        <is>
          <t>Town</t>
        </is>
      </c>
      <c r="D1077" s="19" t="inlineStr">
        <is>
          <t>Win</t>
        </is>
      </c>
      <c r="E1077" s="19" t="n">
        <v>147</v>
      </c>
      <c r="F1077" s="19" t="n">
        <v>22.5244531185106</v>
      </c>
      <c r="G1077" s="19" t="n">
        <v>24.5880343844589</v>
      </c>
      <c r="H1077" s="19" t="n">
        <v>7.85115801688328</v>
      </c>
      <c r="I1077" s="19" t="n">
        <v>724</v>
      </c>
      <c r="J1077" s="19" t="n">
        <v>871</v>
      </c>
      <c r="K1077" s="19" t="n">
        <v>7.92315680855755</v>
      </c>
    </row>
    <row r="1078">
      <c r="A1078" s="19" t="n">
        <v>81</v>
      </c>
      <c r="B1078" s="19" t="inlineStr">
        <is>
          <t>Whyin</t>
        </is>
      </c>
      <c r="C1078" s="19" t="inlineStr">
        <is>
          <t>Town</t>
        </is>
      </c>
      <c r="D1078" s="19" t="inlineStr">
        <is>
          <t>Win</t>
        </is>
      </c>
      <c r="E1078" s="19" t="n">
        <v>136</v>
      </c>
      <c r="F1078" s="19" t="n">
        <v>26.9411475779516</v>
      </c>
      <c r="G1078" s="19" t="n">
        <v>28.8431033237703</v>
      </c>
      <c r="H1078" s="19" t="n">
        <v>7.54329458698913</v>
      </c>
      <c r="I1078" s="19" t="n">
        <v>1056</v>
      </c>
      <c r="J1078" s="19" t="n">
        <v>1192</v>
      </c>
      <c r="K1078" s="19" t="n">
        <v>7.60608562336487</v>
      </c>
    </row>
    <row r="1079">
      <c r="A1079" s="19" t="n">
        <v>81</v>
      </c>
      <c r="B1079" s="19" t="inlineStr">
        <is>
          <t>Dani</t>
        </is>
      </c>
      <c r="C1079" s="19" t="inlineStr">
        <is>
          <t>Town</t>
        </is>
      </c>
      <c r="D1079" s="19" t="inlineStr">
        <is>
          <t>Win</t>
        </is>
      </c>
      <c r="E1079" s="19" t="n">
        <v>155</v>
      </c>
      <c r="F1079" s="19" t="n">
        <v>21.9392575143165</v>
      </c>
      <c r="G1079" s="19" t="n">
        <v>24.1047147059603</v>
      </c>
      <c r="H1079" s="19" t="n">
        <v>8.03867468491876</v>
      </c>
      <c r="I1079" s="19" t="n">
        <v>664</v>
      </c>
      <c r="J1079" s="19" t="n">
        <v>819</v>
      </c>
      <c r="K1079" s="19" t="n">
        <v>8.116651698135041</v>
      </c>
    </row>
    <row r="1080">
      <c r="A1080" s="19" t="n">
        <v>81</v>
      </c>
      <c r="B1080" s="19" t="inlineStr">
        <is>
          <t>Iln</t>
        </is>
      </c>
      <c r="C1080" s="19" t="inlineStr">
        <is>
          <t>Town</t>
        </is>
      </c>
      <c r="D1080" s="19" t="inlineStr">
        <is>
          <t>Win</t>
        </is>
      </c>
      <c r="E1080" s="19" t="n">
        <v>137</v>
      </c>
      <c r="F1080" s="19" t="n">
        <v>23.210449251454</v>
      </c>
      <c r="G1080" s="19" t="n">
        <v>25.1311293931022</v>
      </c>
      <c r="H1080" s="19" t="n">
        <v>7.57965196770604</v>
      </c>
      <c r="I1080" s="19" t="n">
        <v>799</v>
      </c>
      <c r="J1080" s="19" t="n">
        <v>936</v>
      </c>
      <c r="K1080" s="19" t="n">
        <v>7.6434921260083</v>
      </c>
    </row>
    <row r="1081">
      <c r="A1081" s="19" t="n">
        <v>81</v>
      </c>
      <c r="B1081" s="19" t="inlineStr">
        <is>
          <t>Jake</t>
        </is>
      </c>
      <c r="C1081" s="19" t="inlineStr">
        <is>
          <t>Town</t>
        </is>
      </c>
      <c r="D1081" s="19" t="inlineStr">
        <is>
          <t>Win</t>
        </is>
      </c>
      <c r="E1081" s="19" t="n">
        <v>162</v>
      </c>
      <c r="F1081" s="19" t="n">
        <v>24.229598525434</v>
      </c>
      <c r="G1081" s="19" t="n">
        <v>26.484095910154</v>
      </c>
      <c r="H1081" s="19" t="n">
        <v>8.19875563631318</v>
      </c>
      <c r="I1081" s="19" t="n">
        <v>803</v>
      </c>
      <c r="J1081" s="19" t="n">
        <v>965</v>
      </c>
      <c r="K1081" s="19" t="n">
        <v>8.28206609711067</v>
      </c>
    </row>
    <row r="1082">
      <c r="A1082" s="19" t="n">
        <v>81</v>
      </c>
      <c r="B1082" s="19" t="inlineStr">
        <is>
          <t>Lofty</t>
        </is>
      </c>
      <c r="C1082" s="19" t="inlineStr">
        <is>
          <t>Town</t>
        </is>
      </c>
      <c r="D1082" s="19" t="inlineStr">
        <is>
          <t>Win</t>
        </is>
      </c>
      <c r="E1082" s="19" t="n">
        <v>156</v>
      </c>
      <c r="F1082" s="19" t="n">
        <v>23.9778692896909</v>
      </c>
      <c r="G1082" s="19" t="n">
        <v>26.1585691071452</v>
      </c>
      <c r="H1082" s="19" t="n">
        <v>8.06632409414115</v>
      </c>
      <c r="I1082" s="19" t="n">
        <v>800</v>
      </c>
      <c r="J1082" s="19" t="n">
        <v>956</v>
      </c>
      <c r="K1082" s="19" t="n">
        <v>8.14520699737923</v>
      </c>
    </row>
    <row r="1083">
      <c r="A1083" s="19" t="n">
        <v>81</v>
      </c>
      <c r="B1083" s="19" t="inlineStr">
        <is>
          <t>Rocker</t>
        </is>
      </c>
      <c r="C1083" s="19" t="inlineStr">
        <is>
          <t>Town</t>
        </is>
      </c>
      <c r="D1083" s="19" t="inlineStr">
        <is>
          <t>Win</t>
        </is>
      </c>
      <c r="E1083" s="19" t="n">
        <v>126</v>
      </c>
      <c r="F1083" s="19" t="n">
        <v>28.5613089809368</v>
      </c>
      <c r="G1083" s="19" t="n">
        <v>30.3187800151955</v>
      </c>
      <c r="H1083" s="19" t="n">
        <v>7.25615587867791</v>
      </c>
      <c r="I1083" s="19" t="n">
        <v>1196</v>
      </c>
      <c r="J1083" s="19" t="n">
        <v>1322</v>
      </c>
      <c r="K1083" s="19" t="n">
        <v>7.31100903048211</v>
      </c>
    </row>
    <row r="1084">
      <c r="A1084" s="19" t="n">
        <v>81</v>
      </c>
      <c r="B1084" s="19" t="inlineStr">
        <is>
          <t>Kden</t>
        </is>
      </c>
      <c r="C1084" s="19" t="inlineStr">
        <is>
          <t>Town</t>
        </is>
      </c>
      <c r="D1084" s="19" t="inlineStr">
        <is>
          <t>Win</t>
        </is>
      </c>
      <c r="E1084" s="19" t="n">
        <v>146</v>
      </c>
      <c r="F1084" s="19" t="n">
        <v>25.7724587738101</v>
      </c>
      <c r="G1084" s="19" t="n">
        <v>27.825011365251</v>
      </c>
      <c r="H1084" s="19" t="n">
        <v>7.83056597322649</v>
      </c>
      <c r="I1084" s="19" t="n">
        <v>947</v>
      </c>
      <c r="J1084" s="19" t="n">
        <v>1093</v>
      </c>
      <c r="K1084" s="19" t="n">
        <v>7.90192561306565</v>
      </c>
    </row>
    <row r="1085">
      <c r="A1085" s="19" t="n">
        <v>81</v>
      </c>
      <c r="B1085" s="19" t="inlineStr">
        <is>
          <t>Heckmuffins</t>
        </is>
      </c>
      <c r="C1085" s="19" t="inlineStr">
        <is>
          <t>Town</t>
        </is>
      </c>
      <c r="D1085" s="19" t="inlineStr">
        <is>
          <t>Win</t>
        </is>
      </c>
      <c r="E1085" s="19" t="n">
        <v>164</v>
      </c>
      <c r="F1085" s="19" t="n">
        <v>25</v>
      </c>
      <c r="G1085" s="19" t="n">
        <v>27.2824584414901</v>
      </c>
      <c r="H1085" s="19" t="n">
        <v>8.24832738624149</v>
      </c>
      <c r="I1085" s="19" t="n">
        <v>850</v>
      </c>
      <c r="J1085" s="19" t="n">
        <v>1014</v>
      </c>
      <c r="K1085" s="19" t="n">
        <v>8.33333333333333</v>
      </c>
    </row>
    <row r="1086">
      <c r="A1086" s="19" t="n">
        <v>81</v>
      </c>
      <c r="B1086" s="19" t="inlineStr">
        <is>
          <t>Badpants</t>
        </is>
      </c>
      <c r="C1086" s="19" t="inlineStr">
        <is>
          <t>Town</t>
        </is>
      </c>
      <c r="D1086" s="19" t="inlineStr">
        <is>
          <t>Win</t>
        </is>
      </c>
      <c r="E1086" s="19" t="n">
        <v>133</v>
      </c>
      <c r="F1086" s="19" t="n">
        <v>20.9106206455048</v>
      </c>
      <c r="G1086" s="19" t="n">
        <v>22.7671364475332</v>
      </c>
      <c r="H1086" s="19" t="n">
        <v>7.45426972409612</v>
      </c>
      <c r="I1086" s="19" t="n">
        <v>655</v>
      </c>
      <c r="J1086" s="19" t="n">
        <v>788</v>
      </c>
      <c r="K1086" s="19" t="n">
        <v>7.51453415736022</v>
      </c>
    </row>
    <row r="1087">
      <c r="A1087" s="19" t="n">
        <v>81</v>
      </c>
      <c r="B1087" s="19" t="inlineStr">
        <is>
          <t>Laur</t>
        </is>
      </c>
      <c r="C1087" s="19" t="inlineStr">
        <is>
          <t>Mafia</t>
        </is>
      </c>
      <c r="D1087" s="19" t="inlineStr">
        <is>
          <t>Loss</t>
        </is>
      </c>
      <c r="E1087" s="19" t="n">
        <v>-133</v>
      </c>
      <c r="F1087" s="19" t="n">
        <v>31.6454525778591</v>
      </c>
      <c r="G1087" s="19" t="n">
        <v>29.5910009866765</v>
      </c>
      <c r="H1087" s="19" t="n">
        <v>7.83411584152503</v>
      </c>
      <c r="I1087" s="19" t="n">
        <v>1346</v>
      </c>
      <c r="J1087" s="19" t="n">
        <v>1213</v>
      </c>
      <c r="K1087" s="19" t="n">
        <v>7.90558542292168</v>
      </c>
    </row>
    <row r="1088">
      <c r="A1088" s="19" t="n">
        <v>81</v>
      </c>
      <c r="B1088" s="19" t="inlineStr">
        <is>
          <t>Carson</t>
        </is>
      </c>
      <c r="C1088" s="19" t="inlineStr">
        <is>
          <t>Mafia</t>
        </is>
      </c>
      <c r="D1088" s="19" t="inlineStr">
        <is>
          <t>Loss</t>
        </is>
      </c>
      <c r="E1088" s="19" t="n">
        <v>-123</v>
      </c>
      <c r="F1088" s="19" t="n">
        <v>26.9565459824112</v>
      </c>
      <c r="G1088" s="19" t="n">
        <v>25.0535074834149</v>
      </c>
      <c r="H1088" s="19" t="n">
        <v>7.54540211825307</v>
      </c>
      <c r="I1088" s="19" t="n">
        <v>1057</v>
      </c>
      <c r="J1088" s="19" t="n">
        <v>934</v>
      </c>
      <c r="K1088" s="19" t="n">
        <v>7.60825369426058</v>
      </c>
    </row>
    <row r="1089">
      <c r="A1089" s="19" t="n">
        <v>81</v>
      </c>
      <c r="B1089" s="19" t="inlineStr">
        <is>
          <t>Brownkow</t>
        </is>
      </c>
      <c r="C1089" s="19" t="inlineStr">
        <is>
          <t>Mafia</t>
        </is>
      </c>
      <c r="D1089" s="19" t="inlineStr">
        <is>
          <t>Loss</t>
        </is>
      </c>
      <c r="E1089" s="19" t="n">
        <v>-113</v>
      </c>
      <c r="F1089" s="19" t="n">
        <v>27.5373719860472</v>
      </c>
      <c r="G1089" s="19" t="n">
        <v>25.8018960175316</v>
      </c>
      <c r="H1089" s="19" t="n">
        <v>7.21136872251019</v>
      </c>
      <c r="I1089" s="19" t="n">
        <v>1132</v>
      </c>
      <c r="J1089" s="19" t="n">
        <v>1019</v>
      </c>
      <c r="K1089" s="19" t="n">
        <v>7.26503817255854</v>
      </c>
    </row>
    <row r="1090">
      <c r="A1090" s="19" t="n">
        <v>80</v>
      </c>
      <c r="B1090" s="19" t="inlineStr">
        <is>
          <t>Steep</t>
        </is>
      </c>
      <c r="C1090" s="19" t="inlineStr">
        <is>
          <t>Town</t>
        </is>
      </c>
      <c r="D1090" s="19" t="inlineStr">
        <is>
          <t>Loss</t>
        </is>
      </c>
      <c r="E1090" s="19" t="n">
        <v>-70</v>
      </c>
      <c r="F1090" s="19" t="n">
        <v>25</v>
      </c>
      <c r="G1090" s="19" t="n">
        <v>23.8680896816909</v>
      </c>
      <c r="H1090" s="19" t="n">
        <v>8.2681474209644</v>
      </c>
      <c r="I1090" s="19" t="n">
        <v>850</v>
      </c>
      <c r="J1090" s="19" t="n">
        <v>780</v>
      </c>
      <c r="K1090" s="19" t="n">
        <v>8.33333333333333</v>
      </c>
    </row>
    <row r="1091">
      <c r="A1091" s="19" t="n">
        <v>80</v>
      </c>
      <c r="B1091" s="19" t="inlineStr">
        <is>
          <t>Rocker</t>
        </is>
      </c>
      <c r="C1091" s="19" t="inlineStr">
        <is>
          <t>Town</t>
        </is>
      </c>
      <c r="D1091" s="19" t="inlineStr">
        <is>
          <t>Loss</t>
        </is>
      </c>
      <c r="E1091" s="19" t="n">
        <v>-56</v>
      </c>
      <c r="F1091" s="19" t="n">
        <v>29.4429810126983</v>
      </c>
      <c r="G1091" s="19" t="n">
        <v>28.5613089809368</v>
      </c>
      <c r="H1091" s="19" t="n">
        <v>7.31100903048211</v>
      </c>
      <c r="I1091" s="19" t="n">
        <v>1252</v>
      </c>
      <c r="J1091" s="19" t="n">
        <v>1196</v>
      </c>
      <c r="K1091" s="19" t="n">
        <v>7.35336947443026</v>
      </c>
    </row>
    <row r="1092">
      <c r="A1092" s="19" t="n">
        <v>80</v>
      </c>
      <c r="B1092" s="19" t="inlineStr">
        <is>
          <t>Rollo</t>
        </is>
      </c>
      <c r="C1092" s="19" t="inlineStr">
        <is>
          <t>Town</t>
        </is>
      </c>
      <c r="D1092" s="19" t="inlineStr">
        <is>
          <t>Loss</t>
        </is>
      </c>
      <c r="E1092" s="19" t="n">
        <v>-65</v>
      </c>
      <c r="F1092" s="19" t="n">
        <v>26.7911546253506</v>
      </c>
      <c r="G1092" s="19" t="n">
        <v>25.7495273038706</v>
      </c>
      <c r="H1092" s="19" t="n">
        <v>7.93697770685696</v>
      </c>
      <c r="I1092" s="19" t="n">
        <v>1006</v>
      </c>
      <c r="J1092" s="19" t="n">
        <v>941</v>
      </c>
      <c r="K1092" s="19" t="n">
        <v>7.993639017776</v>
      </c>
    </row>
    <row r="1093">
      <c r="A1093" s="19" t="n">
        <v>80</v>
      </c>
      <c r="B1093" s="19" t="inlineStr">
        <is>
          <t>Sam</t>
        </is>
      </c>
      <c r="C1093" s="19" t="inlineStr">
        <is>
          <t>Town</t>
        </is>
      </c>
      <c r="D1093" s="19" t="inlineStr">
        <is>
          <t>Loss</t>
        </is>
      </c>
      <c r="E1093" s="19" t="n">
        <v>-67</v>
      </c>
      <c r="F1093" s="19" t="n">
        <v>26.5423665689025</v>
      </c>
      <c r="G1093" s="19" t="n">
        <v>25.4612572851595</v>
      </c>
      <c r="H1093" s="19" t="n">
        <v>8.083585622771659</v>
      </c>
      <c r="I1093" s="19" t="n">
        <v>974</v>
      </c>
      <c r="J1093" s="19" t="n">
        <v>907</v>
      </c>
      <c r="K1093" s="19" t="n">
        <v>8.14393537067644</v>
      </c>
    </row>
    <row r="1094">
      <c r="A1094" s="19" t="n">
        <v>80</v>
      </c>
      <c r="B1094" s="19" t="inlineStr">
        <is>
          <t>Hunterxp</t>
        </is>
      </c>
      <c r="C1094" s="19" t="inlineStr">
        <is>
          <t>Town</t>
        </is>
      </c>
      <c r="D1094" s="19" t="inlineStr">
        <is>
          <t>Loss</t>
        </is>
      </c>
      <c r="E1094" s="19" t="n">
        <v>-67</v>
      </c>
      <c r="F1094" s="19" t="n">
        <v>25.597070602119</v>
      </c>
      <c r="G1094" s="19" t="n">
        <v>24.5205635833159</v>
      </c>
      <c r="H1094" s="19" t="n">
        <v>8.066642385052189</v>
      </c>
      <c r="I1094" s="19" t="n">
        <v>912</v>
      </c>
      <c r="J1094" s="19" t="n">
        <v>845</v>
      </c>
      <c r="K1094" s="19" t="n">
        <v>8.126559009411221</v>
      </c>
    </row>
    <row r="1095">
      <c r="A1095" s="19" t="n">
        <v>80</v>
      </c>
      <c r="B1095" s="19" t="inlineStr">
        <is>
          <t>Mintt</t>
        </is>
      </c>
      <c r="C1095" s="19" t="inlineStr">
        <is>
          <t>Town</t>
        </is>
      </c>
      <c r="D1095" s="19" t="inlineStr">
        <is>
          <t>Loss</t>
        </is>
      </c>
      <c r="E1095" s="19" t="n">
        <v>-63</v>
      </c>
      <c r="F1095" s="19" t="n">
        <v>27.1080933702826</v>
      </c>
      <c r="G1095" s="19" t="n">
        <v>26.1157595723792</v>
      </c>
      <c r="H1095" s="19" t="n">
        <v>7.74978647290902</v>
      </c>
      <c r="I1095" s="19" t="n">
        <v>1048</v>
      </c>
      <c r="J1095" s="19" t="n">
        <v>985</v>
      </c>
      <c r="K1095" s="19" t="n">
        <v>7.8019299928645</v>
      </c>
    </row>
    <row r="1096">
      <c r="A1096" s="19" t="n">
        <v>80</v>
      </c>
      <c r="B1096" s="19" t="inlineStr">
        <is>
          <t>Carson</t>
        </is>
      </c>
      <c r="C1096" s="19" t="inlineStr">
        <is>
          <t>Town</t>
        </is>
      </c>
      <c r="D1096" s="19" t="inlineStr">
        <is>
          <t>Loss</t>
        </is>
      </c>
      <c r="E1096" s="19" t="n">
        <v>-60</v>
      </c>
      <c r="F1096" s="19" t="n">
        <v>27.9124386075397</v>
      </c>
      <c r="G1096" s="19" t="n">
        <v>26.9565459824112</v>
      </c>
      <c r="H1096" s="19" t="n">
        <v>7.60825369426058</v>
      </c>
      <c r="I1096" s="19" t="n">
        <v>1117</v>
      </c>
      <c r="J1096" s="19" t="n">
        <v>1057</v>
      </c>
      <c r="K1096" s="19" t="n">
        <v>7.65712034273061</v>
      </c>
    </row>
    <row r="1097">
      <c r="A1097" s="19" t="n">
        <v>80</v>
      </c>
      <c r="B1097" s="19" t="inlineStr">
        <is>
          <t>Plen</t>
        </is>
      </c>
      <c r="C1097" s="19" t="inlineStr">
        <is>
          <t>Town</t>
        </is>
      </c>
      <c r="D1097" s="19" t="inlineStr">
        <is>
          <t>Loss</t>
        </is>
      </c>
      <c r="E1097" s="19" t="n">
        <v>-59</v>
      </c>
      <c r="F1097" s="19" t="n">
        <v>18.9219765360581</v>
      </c>
      <c r="G1097" s="19" t="n">
        <v>17.9881413668735</v>
      </c>
      <c r="H1097" s="19" t="n">
        <v>7.52121311288985</v>
      </c>
      <c r="I1097" s="19" t="n">
        <v>515</v>
      </c>
      <c r="J1097" s="19" t="n">
        <v>456</v>
      </c>
      <c r="K1097" s="19" t="n">
        <v>7.568122565406</v>
      </c>
    </row>
    <row r="1098">
      <c r="A1098" s="19" t="n">
        <v>80</v>
      </c>
      <c r="B1098" s="19" t="inlineStr">
        <is>
          <t>Brownkow</t>
        </is>
      </c>
      <c r="C1098" s="19" t="inlineStr">
        <is>
          <t>Town</t>
        </is>
      </c>
      <c r="D1098" s="19" t="inlineStr">
        <is>
          <t>Loss</t>
        </is>
      </c>
      <c r="E1098" s="19" t="n">
        <v>-54</v>
      </c>
      <c r="F1098" s="19" t="n">
        <v>28.4078440262187</v>
      </c>
      <c r="G1098" s="19" t="n">
        <v>27.5373719860472</v>
      </c>
      <c r="H1098" s="19" t="n">
        <v>7.26503817255854</v>
      </c>
      <c r="I1098" s="19" t="n">
        <v>1186</v>
      </c>
      <c r="J1098" s="19" t="n">
        <v>1132</v>
      </c>
      <c r="K1098" s="19" t="n">
        <v>7.30643656879345</v>
      </c>
    </row>
    <row r="1099">
      <c r="A1099" s="19" t="n">
        <v>80</v>
      </c>
      <c r="B1099" s="19" t="inlineStr">
        <is>
          <t>Noah</t>
        </is>
      </c>
      <c r="C1099" s="19" t="inlineStr">
        <is>
          <t>Town</t>
        </is>
      </c>
      <c r="D1099" s="19" t="inlineStr">
        <is>
          <t>Loss</t>
        </is>
      </c>
      <c r="E1099" s="19" t="n">
        <v>-59</v>
      </c>
      <c r="F1099" s="19" t="n">
        <v>28.6542570493792</v>
      </c>
      <c r="G1099" s="19" t="n">
        <v>27.7152613520736</v>
      </c>
      <c r="H1099" s="19" t="n">
        <v>7.5416723012719</v>
      </c>
      <c r="I1099" s="19" t="n">
        <v>1174</v>
      </c>
      <c r="J1099" s="19" t="n">
        <v>1115</v>
      </c>
      <c r="K1099" s="19" t="n">
        <v>7.58903787375045</v>
      </c>
    </row>
    <row r="1100">
      <c r="A1100" s="19" t="n">
        <v>80</v>
      </c>
      <c r="B1100" s="19" t="inlineStr">
        <is>
          <t>Badpants</t>
        </is>
      </c>
      <c r="C1100" s="19" t="inlineStr">
        <is>
          <t>Mafia</t>
        </is>
      </c>
      <c r="D1100" s="19" t="inlineStr">
        <is>
          <t>Win</t>
        </is>
      </c>
      <c r="E1100" s="19" t="n">
        <v>68</v>
      </c>
      <c r="F1100" s="19" t="n">
        <v>19.9784669327697</v>
      </c>
      <c r="G1100" s="19" t="n">
        <v>20.9106206455048</v>
      </c>
      <c r="H1100" s="19" t="n">
        <v>7.51453415736022</v>
      </c>
      <c r="I1100" s="19" t="n">
        <v>587</v>
      </c>
      <c r="J1100" s="19" t="n">
        <v>655</v>
      </c>
      <c r="K1100" s="19" t="n">
        <v>7.56129522781849</v>
      </c>
    </row>
    <row r="1101">
      <c r="A1101" s="19" t="n">
        <v>80</v>
      </c>
      <c r="B1101" s="19" t="inlineStr">
        <is>
          <t>Laur</t>
        </is>
      </c>
      <c r="C1101" s="19" t="inlineStr">
        <is>
          <t>Mafia</t>
        </is>
      </c>
      <c r="D1101" s="19" t="inlineStr">
        <is>
          <t>Win</t>
        </is>
      </c>
      <c r="E1101" s="19" t="n">
        <v>76</v>
      </c>
      <c r="F1101" s="19" t="n">
        <v>30.6121792185004</v>
      </c>
      <c r="G1101" s="19" t="n">
        <v>31.6454525778591</v>
      </c>
      <c r="H1101" s="19" t="n">
        <v>7.90558542292168</v>
      </c>
      <c r="I1101" s="19" t="n">
        <v>1270</v>
      </c>
      <c r="J1101" s="19" t="n">
        <v>1346</v>
      </c>
      <c r="K1101" s="19" t="n">
        <v>7.96147423811732</v>
      </c>
    </row>
    <row r="1102">
      <c r="A1102" s="19" t="n">
        <v>80</v>
      </c>
      <c r="B1102" s="19" t="inlineStr">
        <is>
          <t>Lofty</t>
        </is>
      </c>
      <c r="C1102" s="19" t="inlineStr">
        <is>
          <t>Mafia</t>
        </is>
      </c>
      <c r="D1102" s="19" t="inlineStr">
        <is>
          <t>Win</t>
        </is>
      </c>
      <c r="E1102" s="19" t="n">
        <v>81</v>
      </c>
      <c r="F1102" s="19" t="n">
        <v>22.8799349172307</v>
      </c>
      <c r="G1102" s="19" t="n">
        <v>23.9778692896909</v>
      </c>
      <c r="H1102" s="19" t="n">
        <v>8.14520699737923</v>
      </c>
      <c r="I1102" s="19" t="n">
        <v>719</v>
      </c>
      <c r="J1102" s="19" t="n">
        <v>800</v>
      </c>
      <c r="K1102" s="19" t="n">
        <v>8.207147267082441</v>
      </c>
    </row>
    <row r="1103">
      <c r="A1103" s="19" t="n">
        <v>79</v>
      </c>
      <c r="B1103" s="19" t="inlineStr">
        <is>
          <t>Machop</t>
        </is>
      </c>
      <c r="C1103" s="19" t="inlineStr">
        <is>
          <t>Town</t>
        </is>
      </c>
      <c r="D1103" s="19" t="inlineStr">
        <is>
          <t>Loss</t>
        </is>
      </c>
      <c r="E1103" s="19" t="n">
        <v>-47</v>
      </c>
      <c r="F1103" s="19" t="n">
        <v>26.534602486974</v>
      </c>
      <c r="G1103" s="19" t="n">
        <v>25.781753948759</v>
      </c>
      <c r="H1103" s="19" t="n">
        <v>7.3544576536865</v>
      </c>
      <c r="I1103" s="19" t="n">
        <v>1050</v>
      </c>
      <c r="J1103" s="19" t="n">
        <v>1003</v>
      </c>
      <c r="K1103" s="19" t="n">
        <v>7.39387423430932</v>
      </c>
    </row>
    <row r="1104">
      <c r="A1104" s="19" t="n">
        <v>79</v>
      </c>
      <c r="B1104" s="19" t="inlineStr">
        <is>
          <t>Nick</t>
        </is>
      </c>
      <c r="C1104" s="19" t="inlineStr">
        <is>
          <t>Town</t>
        </is>
      </c>
      <c r="D1104" s="19" t="inlineStr">
        <is>
          <t>Loss</t>
        </is>
      </c>
      <c r="E1104" s="19" t="n">
        <v>-56</v>
      </c>
      <c r="F1104" s="19" t="n">
        <v>26.4567876003317</v>
      </c>
      <c r="G1104" s="19" t="n">
        <v>25.5560097923949</v>
      </c>
      <c r="H1104" s="19" t="n">
        <v>8.034807092016189</v>
      </c>
      <c r="I1104" s="19" t="n">
        <v>974</v>
      </c>
      <c r="J1104" s="19" t="n">
        <v>918</v>
      </c>
      <c r="K1104" s="19" t="n">
        <v>8.0888315528357</v>
      </c>
    </row>
    <row r="1105">
      <c r="A1105" s="19" t="n">
        <v>79</v>
      </c>
      <c r="B1105" s="19" t="inlineStr">
        <is>
          <t>Plen</t>
        </is>
      </c>
      <c r="C1105" s="19" t="inlineStr">
        <is>
          <t>Town</t>
        </is>
      </c>
      <c r="D1105" s="19" t="inlineStr">
        <is>
          <t>Loss</t>
        </is>
      </c>
      <c r="E1105" s="19" t="n">
        <v>-50</v>
      </c>
      <c r="F1105" s="19" t="n">
        <v>19.7197961935323</v>
      </c>
      <c r="G1105" s="19" t="n">
        <v>18.9219765360581</v>
      </c>
      <c r="H1105" s="19" t="n">
        <v>7.568122565406</v>
      </c>
      <c r="I1105" s="19" t="n">
        <v>565</v>
      </c>
      <c r="J1105" s="19" t="n">
        <v>515</v>
      </c>
      <c r="K1105" s="19" t="n">
        <v>7.61185959993887</v>
      </c>
    </row>
    <row r="1106">
      <c r="A1106" s="19" t="n">
        <v>79</v>
      </c>
      <c r="B1106" s="19" t="inlineStr">
        <is>
          <t>Rollo</t>
        </is>
      </c>
      <c r="C1106" s="19" t="inlineStr">
        <is>
          <t>Town</t>
        </is>
      </c>
      <c r="D1106" s="19" t="inlineStr">
        <is>
          <t>Loss</t>
        </is>
      </c>
      <c r="E1106" s="19" t="n">
        <v>-56</v>
      </c>
      <c r="F1106" s="19" t="n">
        <v>27.6825877502955</v>
      </c>
      <c r="G1106" s="19" t="n">
        <v>26.7911546253506</v>
      </c>
      <c r="H1106" s="19" t="n">
        <v>7.993639017776</v>
      </c>
      <c r="I1106" s="19" t="n">
        <v>1062</v>
      </c>
      <c r="J1106" s="19" t="n">
        <v>1006</v>
      </c>
      <c r="K1106" s="19" t="n">
        <v>8.04670732242578</v>
      </c>
    </row>
    <row r="1107">
      <c r="A1107" s="19" t="n">
        <v>79</v>
      </c>
      <c r="B1107" s="19" t="inlineStr">
        <is>
          <t>Rick</t>
        </is>
      </c>
      <c r="C1107" s="19" t="inlineStr">
        <is>
          <t>Town</t>
        </is>
      </c>
      <c r="D1107" s="19" t="inlineStr">
        <is>
          <t>Loss</t>
        </is>
      </c>
      <c r="E1107" s="19" t="n">
        <v>-57</v>
      </c>
      <c r="F1107" s="19" t="n">
        <v>26.3628097315735</v>
      </c>
      <c r="G1107" s="19" t="n">
        <v>25.4465630421212</v>
      </c>
      <c r="H1107" s="19" t="n">
        <v>8.10246761061209</v>
      </c>
      <c r="I1107" s="19" t="n">
        <v>961</v>
      </c>
      <c r="J1107" s="19" t="n">
        <v>904</v>
      </c>
      <c r="K1107" s="19" t="n">
        <v>8.158084594779581</v>
      </c>
    </row>
    <row r="1108">
      <c r="A1108" s="19" t="n">
        <v>79</v>
      </c>
      <c r="B1108" s="19" t="inlineStr">
        <is>
          <t>Streety</t>
        </is>
      </c>
      <c r="C1108" s="19" t="inlineStr">
        <is>
          <t>Town</t>
        </is>
      </c>
      <c r="D1108" s="19" t="inlineStr">
        <is>
          <t>Loss</t>
        </is>
      </c>
      <c r="E1108" s="19" t="n">
        <v>-56</v>
      </c>
      <c r="F1108" s="19" t="n">
        <v>26.9975653168343</v>
      </c>
      <c r="G1108" s="19" t="n">
        <v>26.1054206019312</v>
      </c>
      <c r="H1108" s="19" t="n">
        <v>7.99678184280088</v>
      </c>
      <c r="I1108" s="19" t="n">
        <v>1015</v>
      </c>
      <c r="J1108" s="19" t="n">
        <v>959</v>
      </c>
      <c r="K1108" s="19" t="n">
        <v>8.049922801788931</v>
      </c>
    </row>
    <row r="1109">
      <c r="A1109" s="19" t="n">
        <v>79</v>
      </c>
      <c r="B1109" s="19" t="inlineStr">
        <is>
          <t>Pinkee</t>
        </is>
      </c>
      <c r="C1109" s="19" t="inlineStr">
        <is>
          <t>Town</t>
        </is>
      </c>
      <c r="D1109" s="19" t="inlineStr">
        <is>
          <t>Loss</t>
        </is>
      </c>
      <c r="E1109" s="19" t="n">
        <v>-58</v>
      </c>
      <c r="F1109" s="19" t="n">
        <v>26.3454545550118</v>
      </c>
      <c r="G1109" s="19" t="n">
        <v>25.4037738845899</v>
      </c>
      <c r="H1109" s="19" t="n">
        <v>8.21242854818002</v>
      </c>
      <c r="I1109" s="19" t="n">
        <v>948</v>
      </c>
      <c r="J1109" s="19" t="n">
        <v>890</v>
      </c>
      <c r="K1109" s="19" t="n">
        <v>8.2706902095633</v>
      </c>
    </row>
    <row r="1110">
      <c r="A1110" s="19" t="n">
        <v>79</v>
      </c>
      <c r="B1110" s="19" t="inlineStr">
        <is>
          <t>23flash</t>
        </is>
      </c>
      <c r="C1110" s="19" t="inlineStr">
        <is>
          <t>Town</t>
        </is>
      </c>
      <c r="D1110" s="19" t="inlineStr">
        <is>
          <t>Loss</t>
        </is>
      </c>
      <c r="E1110" s="19" t="n">
        <v>-56</v>
      </c>
      <c r="F1110" s="19" t="n">
        <v>25.572099161776</v>
      </c>
      <c r="G1110" s="19" t="n">
        <v>24.6651766983339</v>
      </c>
      <c r="H1110" s="19" t="n">
        <v>8.06175586130218</v>
      </c>
      <c r="I1110" s="19" t="n">
        <v>911</v>
      </c>
      <c r="J1110" s="19" t="n">
        <v>855</v>
      </c>
      <c r="K1110" s="19" t="n">
        <v>8.11641146457352</v>
      </c>
    </row>
    <row r="1111">
      <c r="A1111" s="19" t="n">
        <v>79</v>
      </c>
      <c r="B1111" s="19" t="inlineStr">
        <is>
          <t>Sam</t>
        </is>
      </c>
      <c r="C1111" s="19" t="inlineStr">
        <is>
          <t>Town</t>
        </is>
      </c>
      <c r="D1111" s="19" t="inlineStr">
        <is>
          <t>Loss</t>
        </is>
      </c>
      <c r="E1111" s="19" t="n">
        <v>-57</v>
      </c>
      <c r="F1111" s="19" t="n">
        <v>27.4681619431869</v>
      </c>
      <c r="G1111" s="19" t="n">
        <v>26.5423665689025</v>
      </c>
      <c r="H1111" s="19" t="n">
        <v>8.14393537067644</v>
      </c>
      <c r="I1111" s="19" t="n">
        <v>1031</v>
      </c>
      <c r="J1111" s="19" t="n">
        <v>974</v>
      </c>
      <c r="K1111" s="19" t="n">
        <v>8.200541429741641</v>
      </c>
    </row>
    <row r="1112">
      <c r="A1112" s="19" t="n">
        <v>79</v>
      </c>
      <c r="B1112" s="19" t="inlineStr">
        <is>
          <t>Carson</t>
        </is>
      </c>
      <c r="C1112" s="19" t="inlineStr">
        <is>
          <t>Town</t>
        </is>
      </c>
      <c r="D1112" s="19" t="inlineStr">
        <is>
          <t>Loss</t>
        </is>
      </c>
      <c r="E1112" s="19" t="n">
        <v>-51</v>
      </c>
      <c r="F1112" s="19" t="n">
        <v>28.7293904821666</v>
      </c>
      <c r="G1112" s="19" t="n">
        <v>27.9124386075397</v>
      </c>
      <c r="H1112" s="19" t="n">
        <v>7.65712034273061</v>
      </c>
      <c r="I1112" s="19" t="n">
        <v>1168</v>
      </c>
      <c r="J1112" s="19" t="n">
        <v>1117</v>
      </c>
      <c r="K1112" s="19" t="n">
        <v>7.70272758283178</v>
      </c>
    </row>
    <row r="1113">
      <c r="A1113" s="19" t="n">
        <v>79</v>
      </c>
      <c r="B1113" s="19" t="inlineStr">
        <is>
          <t>Strik3r</t>
        </is>
      </c>
      <c r="C1113" s="19" t="inlineStr">
        <is>
          <t>Mafia</t>
        </is>
      </c>
      <c r="D1113" s="19" t="inlineStr">
        <is>
          <t>Win</t>
        </is>
      </c>
      <c r="E1113" s="19" t="n">
        <v>64</v>
      </c>
      <c r="F1113" s="19" t="n">
        <v>26.9863851900467</v>
      </c>
      <c r="G1113" s="19" t="n">
        <v>27.8551494393398</v>
      </c>
      <c r="H1113" s="19" t="n">
        <v>7.89282444786449</v>
      </c>
      <c r="I1113" s="19" t="n">
        <v>1025</v>
      </c>
      <c r="J1113" s="19" t="n">
        <v>1089</v>
      </c>
      <c r="K1113" s="19" t="n">
        <v>7.94359174588969</v>
      </c>
    </row>
    <row r="1114">
      <c r="A1114" s="19" t="n">
        <v>79</v>
      </c>
      <c r="B1114" s="19" t="inlineStr">
        <is>
          <t>Doublea</t>
        </is>
      </c>
      <c r="C1114" s="19" t="inlineStr">
        <is>
          <t>Mafia</t>
        </is>
      </c>
      <c r="D1114" s="19" t="inlineStr">
        <is>
          <t>Win</t>
        </is>
      </c>
      <c r="E1114" s="19" t="n">
        <v>65</v>
      </c>
      <c r="F1114" s="19" t="n">
        <v>22.1449836694538</v>
      </c>
      <c r="G1114" s="19" t="n">
        <v>23.0289999253059</v>
      </c>
      <c r="H1114" s="19" t="n">
        <v>7.9608031515771</v>
      </c>
      <c r="I1114" s="19" t="n">
        <v>689</v>
      </c>
      <c r="J1114" s="19" t="n">
        <v>754</v>
      </c>
      <c r="K1114" s="19" t="n">
        <v>8.01311571866318</v>
      </c>
    </row>
    <row r="1115">
      <c r="A1115" s="19" t="n">
        <v>79</v>
      </c>
      <c r="B1115" s="19" t="inlineStr">
        <is>
          <t>Whyin</t>
        </is>
      </c>
      <c r="C1115" s="19" t="inlineStr">
        <is>
          <t>Mafia</t>
        </is>
      </c>
      <c r="D1115" s="19" t="inlineStr">
        <is>
          <t>Win</t>
        </is>
      </c>
      <c r="E1115" s="19" t="n">
        <v>59</v>
      </c>
      <c r="F1115" s="19" t="n">
        <v>26.135195698034</v>
      </c>
      <c r="G1115" s="19" t="n">
        <v>26.9411475779516</v>
      </c>
      <c r="H1115" s="19" t="n">
        <v>7.60608562336487</v>
      </c>
      <c r="I1115" s="19" t="n">
        <v>997</v>
      </c>
      <c r="J1115" s="19" t="n">
        <v>1056</v>
      </c>
      <c r="K1115" s="19" t="n">
        <v>7.65061526272819</v>
      </c>
    </row>
    <row r="1116">
      <c r="A1116" s="19" t="n">
        <v>78</v>
      </c>
      <c r="B1116" s="19" t="inlineStr">
        <is>
          <t>Smit</t>
        </is>
      </c>
      <c r="C1116" s="19" t="inlineStr">
        <is>
          <t>Town</t>
        </is>
      </c>
      <c r="D1116" s="19" t="inlineStr">
        <is>
          <t>Loss</t>
        </is>
      </c>
      <c r="E1116" s="19" t="n">
        <v>-57</v>
      </c>
      <c r="F1116" s="19" t="n">
        <v>25.8212026524394</v>
      </c>
      <c r="G1116" s="19" t="n">
        <v>24.9041436741701</v>
      </c>
      <c r="H1116" s="19" t="n">
        <v>7.53806799204491</v>
      </c>
      <c r="I1116" s="19" t="n">
        <v>982</v>
      </c>
      <c r="J1116" s="19" t="n">
        <v>925</v>
      </c>
      <c r="K1116" s="19" t="n">
        <v>7.58556418652648</v>
      </c>
    </row>
    <row r="1117">
      <c r="A1117" s="19" t="n">
        <v>78</v>
      </c>
      <c r="B1117" s="19" t="inlineStr">
        <is>
          <t>Svaan</t>
        </is>
      </c>
      <c r="C1117" s="19" t="inlineStr">
        <is>
          <t>Town</t>
        </is>
      </c>
      <c r="D1117" s="19" t="inlineStr">
        <is>
          <t>Loss</t>
        </is>
      </c>
      <c r="E1117" s="19" t="n">
        <v>-63</v>
      </c>
      <c r="F1117" s="19" t="n">
        <v>25.7263116361508</v>
      </c>
      <c r="G1117" s="19" t="n">
        <v>24.7195966477362</v>
      </c>
      <c r="H1117" s="19" t="n">
        <v>7.89246166076594</v>
      </c>
      <c r="I1117" s="19" t="n">
        <v>939</v>
      </c>
      <c r="J1117" s="19" t="n">
        <v>876</v>
      </c>
      <c r="K1117" s="19" t="n">
        <v>7.94827284602368</v>
      </c>
    </row>
    <row r="1118">
      <c r="A1118" s="19" t="n">
        <v>78</v>
      </c>
      <c r="B1118" s="19" t="inlineStr">
        <is>
          <t>Mintt</t>
        </is>
      </c>
      <c r="C1118" s="19" t="inlineStr">
        <is>
          <t>Town</t>
        </is>
      </c>
      <c r="D1118" s="19" t="inlineStr">
        <is>
          <t>Loss</t>
        </is>
      </c>
      <c r="E1118" s="19" t="n">
        <v>-61</v>
      </c>
      <c r="F1118" s="19" t="n">
        <v>28.0914892553634</v>
      </c>
      <c r="G1118" s="19" t="n">
        <v>27.1080933702826</v>
      </c>
      <c r="H1118" s="19" t="n">
        <v>7.8019299928645</v>
      </c>
      <c r="I1118" s="19" t="n">
        <v>1109</v>
      </c>
      <c r="J1118" s="19" t="n">
        <v>1048</v>
      </c>
      <c r="K1118" s="19" t="n">
        <v>7.85554566135549</v>
      </c>
    </row>
    <row r="1119">
      <c r="A1119" s="19" t="n">
        <v>78</v>
      </c>
      <c r="B1119" s="19" t="inlineStr">
        <is>
          <t>Machop</t>
        </is>
      </c>
      <c r="C1119" s="19" t="inlineStr">
        <is>
          <t>Town</t>
        </is>
      </c>
      <c r="D1119" s="19" t="inlineStr">
        <is>
          <t>Loss</t>
        </is>
      </c>
      <c r="E1119" s="19" t="n">
        <v>-56</v>
      </c>
      <c r="F1119" s="19" t="n">
        <v>27.4164307427997</v>
      </c>
      <c r="G1119" s="19" t="n">
        <v>26.534602486974</v>
      </c>
      <c r="H1119" s="19" t="n">
        <v>7.39387423430932</v>
      </c>
      <c r="I1119" s="19" t="n">
        <v>1106</v>
      </c>
      <c r="J1119" s="19" t="n">
        <v>1050</v>
      </c>
      <c r="K1119" s="19" t="n">
        <v>7.43819722412492</v>
      </c>
    </row>
    <row r="1120">
      <c r="A1120" s="19" t="n">
        <v>78</v>
      </c>
      <c r="B1120" s="19" t="inlineStr">
        <is>
          <t>Kwix</t>
        </is>
      </c>
      <c r="C1120" s="19" t="inlineStr">
        <is>
          <t>Town</t>
        </is>
      </c>
      <c r="D1120" s="19" t="inlineStr">
        <is>
          <t>Loss</t>
        </is>
      </c>
      <c r="E1120" s="19" t="n">
        <v>-60</v>
      </c>
      <c r="F1120" s="19" t="n">
        <v>22.6745581588065</v>
      </c>
      <c r="G1120" s="19" t="n">
        <v>21.7188465005463</v>
      </c>
      <c r="H1120" s="19" t="n">
        <v>7.69298036237857</v>
      </c>
      <c r="I1120" s="19" t="n">
        <v>752</v>
      </c>
      <c r="J1120" s="19" t="n">
        <v>692</v>
      </c>
      <c r="K1120" s="19" t="n">
        <v>7.74401939325331</v>
      </c>
    </row>
    <row r="1121">
      <c r="A1121" s="19" t="n">
        <v>78</v>
      </c>
      <c r="B1121" s="19" t="inlineStr">
        <is>
          <t>Doublea</t>
        </is>
      </c>
      <c r="C1121" s="19" t="inlineStr">
        <is>
          <t>Town</t>
        </is>
      </c>
      <c r="D1121" s="19" t="inlineStr">
        <is>
          <t>Loss</t>
        </is>
      </c>
      <c r="E1121" s="19" t="n">
        <v>-64</v>
      </c>
      <c r="F1121" s="19" t="n">
        <v>23.1832221328226</v>
      </c>
      <c r="G1121" s="19" t="n">
        <v>22.1449836694538</v>
      </c>
      <c r="H1121" s="19" t="n">
        <v>8.01311571866318</v>
      </c>
      <c r="I1121" s="19" t="n">
        <v>753</v>
      </c>
      <c r="J1121" s="19" t="n">
        <v>689</v>
      </c>
      <c r="K1121" s="19" t="n">
        <v>8.071931155255021</v>
      </c>
    </row>
    <row r="1122">
      <c r="A1122" s="19" t="n">
        <v>78</v>
      </c>
      <c r="B1122" s="19" t="inlineStr">
        <is>
          <t>Chipper</t>
        </is>
      </c>
      <c r="C1122" s="19" t="inlineStr">
        <is>
          <t>Town</t>
        </is>
      </c>
      <c r="D1122" s="19" t="inlineStr">
        <is>
          <t>Loss</t>
        </is>
      </c>
      <c r="E1122" s="19" t="n">
        <v>-57</v>
      </c>
      <c r="F1122" s="19" t="n">
        <v>19.213672171309</v>
      </c>
      <c r="G1122" s="19" t="n">
        <v>18.2929756272224</v>
      </c>
      <c r="H1122" s="19" t="n">
        <v>7.5527901874377</v>
      </c>
      <c r="I1122" s="19" t="n">
        <v>531</v>
      </c>
      <c r="J1122" s="19" t="n">
        <v>474</v>
      </c>
      <c r="K1122" s="19" t="n">
        <v>7.60061706453016</v>
      </c>
    </row>
    <row r="1123">
      <c r="A1123" s="19" t="n">
        <v>78</v>
      </c>
      <c r="B1123" s="19" t="inlineStr">
        <is>
          <t>Snazz</t>
        </is>
      </c>
      <c r="C1123" s="19" t="inlineStr">
        <is>
          <t>Town</t>
        </is>
      </c>
      <c r="D1123" s="19" t="inlineStr">
        <is>
          <t>Loss</t>
        </is>
      </c>
      <c r="E1123" s="19" t="n">
        <v>-65</v>
      </c>
      <c r="F1123" s="19" t="n">
        <v>24.9882367991866</v>
      </c>
      <c r="G1123" s="19" t="n">
        <v>23.948239097352</v>
      </c>
      <c r="H1123" s="19" t="n">
        <v>8.01979210461109</v>
      </c>
      <c r="I1123" s="19" t="n">
        <v>875</v>
      </c>
      <c r="J1123" s="19" t="n">
        <v>810</v>
      </c>
      <c r="K1123" s="19" t="n">
        <v>8.078776422675849</v>
      </c>
    </row>
    <row r="1124">
      <c r="A1124" s="19" t="n">
        <v>78</v>
      </c>
      <c r="B1124" s="19" t="inlineStr">
        <is>
          <t>Kden</t>
        </is>
      </c>
      <c r="C1124" s="19" t="inlineStr">
        <is>
          <t>Town</t>
        </is>
      </c>
      <c r="D1124" s="19" t="inlineStr">
        <is>
          <t>Loss</t>
        </is>
      </c>
      <c r="E1124" s="19" t="n">
        <v>-62</v>
      </c>
      <c r="F1124" s="19" t="n">
        <v>26.7816280120383</v>
      </c>
      <c r="G1124" s="19" t="n">
        <v>25.7724587738101</v>
      </c>
      <c r="H1124" s="19" t="n">
        <v>7.90192561306565</v>
      </c>
      <c r="I1124" s="19" t="n">
        <v>1009</v>
      </c>
      <c r="J1124" s="19" t="n">
        <v>947</v>
      </c>
      <c r="K1124" s="19" t="n">
        <v>7.9579691995342</v>
      </c>
    </row>
    <row r="1125">
      <c r="A1125" s="19" t="n">
        <v>78</v>
      </c>
      <c r="B1125" s="19" t="inlineStr">
        <is>
          <t>Lofty</t>
        </is>
      </c>
      <c r="C1125" s="19" t="inlineStr">
        <is>
          <t>Town</t>
        </is>
      </c>
      <c r="D1125" s="19" t="inlineStr">
        <is>
          <t>Loss</t>
        </is>
      </c>
      <c r="E1125" s="19" t="n">
        <v>-67</v>
      </c>
      <c r="F1125" s="19" t="n">
        <v>23.9699393580033</v>
      </c>
      <c r="G1125" s="19" t="n">
        <v>22.8799349172307</v>
      </c>
      <c r="H1125" s="19" t="n">
        <v>8.207147267082441</v>
      </c>
      <c r="I1125" s="19" t="n">
        <v>786</v>
      </c>
      <c r="J1125" s="19" t="n">
        <v>719</v>
      </c>
      <c r="K1125" s="19" t="n">
        <v>8.27098570466846</v>
      </c>
    </row>
    <row r="1126">
      <c r="A1126" s="19" t="n">
        <v>78</v>
      </c>
      <c r="B1126" s="19" t="inlineStr">
        <is>
          <t>Iln</t>
        </is>
      </c>
      <c r="C1126" s="19" t="inlineStr">
        <is>
          <t>Mafia</t>
        </is>
      </c>
      <c r="D1126" s="19" t="inlineStr">
        <is>
          <t>Win</t>
        </is>
      </c>
      <c r="E1126" s="19" t="n">
        <v>70</v>
      </c>
      <c r="F1126" s="19" t="n">
        <v>22.2671761634392</v>
      </c>
      <c r="G1126" s="19" t="n">
        <v>23.210449251454</v>
      </c>
      <c r="H1126" s="19" t="n">
        <v>7.6434921260083</v>
      </c>
      <c r="I1126" s="19" t="n">
        <v>729</v>
      </c>
      <c r="J1126" s="19" t="n">
        <v>799</v>
      </c>
      <c r="K1126" s="19" t="n">
        <v>7.69338408376466</v>
      </c>
    </row>
    <row r="1127">
      <c r="A1127" s="19" t="n">
        <v>78</v>
      </c>
      <c r="B1127" s="19" t="inlineStr">
        <is>
          <t>Brownkow</t>
        </is>
      </c>
      <c r="C1127" s="19" t="inlineStr">
        <is>
          <t>Mafia</t>
        </is>
      </c>
      <c r="D1127" s="19" t="inlineStr">
        <is>
          <t>Win</t>
        </is>
      </c>
      <c r="E1127" s="19" t="n">
        <v>62</v>
      </c>
      <c r="F1127" s="19" t="n">
        <v>27.5470293419324</v>
      </c>
      <c r="G1127" s="19" t="n">
        <v>28.4078440262187</v>
      </c>
      <c r="H1127" s="19" t="n">
        <v>7.30643656879345</v>
      </c>
      <c r="I1127" s="19" t="n">
        <v>1124</v>
      </c>
      <c r="J1127" s="19" t="n">
        <v>1186</v>
      </c>
      <c r="K1127" s="19" t="n">
        <v>7.3488925015702</v>
      </c>
    </row>
    <row r="1128">
      <c r="A1128" s="19" t="n">
        <v>78</v>
      </c>
      <c r="B1128" s="19" t="inlineStr">
        <is>
          <t>Badpants</t>
        </is>
      </c>
      <c r="C1128" s="19" t="inlineStr">
        <is>
          <t>Mafia</t>
        </is>
      </c>
      <c r="D1128" s="19" t="inlineStr">
        <is>
          <t>Win</t>
        </is>
      </c>
      <c r="E1128" s="19" t="n">
        <v>67</v>
      </c>
      <c r="F1128" s="19" t="n">
        <v>19.0556655353261</v>
      </c>
      <c r="G1128" s="19" t="n">
        <v>19.9784669327697</v>
      </c>
      <c r="H1128" s="19" t="n">
        <v>7.56129522781849</v>
      </c>
      <c r="I1128" s="19" t="n">
        <v>520</v>
      </c>
      <c r="J1128" s="19" t="n">
        <v>587</v>
      </c>
      <c r="K1128" s="19" t="n">
        <v>7.6093137120397</v>
      </c>
    </row>
    <row r="1129">
      <c r="A1129" s="19" t="n">
        <v>77</v>
      </c>
      <c r="B1129" s="19" t="inlineStr">
        <is>
          <t>Svaan</t>
        </is>
      </c>
      <c r="C1129" s="19" t="inlineStr">
        <is>
          <t>Town</t>
        </is>
      </c>
      <c r="D1129" s="19" t="inlineStr">
        <is>
          <t>Loss</t>
        </is>
      </c>
      <c r="E1129" s="19" t="n">
        <v>-59</v>
      </c>
      <c r="F1129" s="19" t="n">
        <v>26.676345638742</v>
      </c>
      <c r="G1129" s="19" t="n">
        <v>25.7263116361508</v>
      </c>
      <c r="H1129" s="19" t="n">
        <v>7.94827284602368</v>
      </c>
      <c r="I1129" s="19" t="n">
        <v>998</v>
      </c>
      <c r="J1129" s="19" t="n">
        <v>939</v>
      </c>
      <c r="K1129" s="19" t="n">
        <v>8.002638974143849</v>
      </c>
    </row>
    <row r="1130">
      <c r="A1130" s="19" t="n">
        <v>77</v>
      </c>
      <c r="B1130" s="19" t="inlineStr">
        <is>
          <t>Smit</t>
        </is>
      </c>
      <c r="C1130" s="19" t="inlineStr">
        <is>
          <t>Town</t>
        </is>
      </c>
      <c r="D1130" s="19" t="inlineStr">
        <is>
          <t>Loss</t>
        </is>
      </c>
      <c r="E1130" s="19" t="n">
        <v>-54</v>
      </c>
      <c r="F1130" s="19" t="n">
        <v>26.6853240240092</v>
      </c>
      <c r="G1130" s="19" t="n">
        <v>25.8212026524394</v>
      </c>
      <c r="H1130" s="19" t="n">
        <v>7.58556418652648</v>
      </c>
      <c r="I1130" s="19" t="n">
        <v>1036</v>
      </c>
      <c r="J1130" s="19" t="n">
        <v>982</v>
      </c>
      <c r="K1130" s="19" t="n">
        <v>7.63168930480287</v>
      </c>
    </row>
    <row r="1131">
      <c r="A1131" s="19" t="n">
        <v>77</v>
      </c>
      <c r="B1131" s="19" t="inlineStr">
        <is>
          <t>Machop</t>
        </is>
      </c>
      <c r="C1131" s="19" t="inlineStr">
        <is>
          <t>Town</t>
        </is>
      </c>
      <c r="D1131" s="19" t="inlineStr">
        <is>
          <t>Loss</t>
        </is>
      </c>
      <c r="E1131" s="19" t="n">
        <v>-52</v>
      </c>
      <c r="F1131" s="19" t="n">
        <v>28.2468575405948</v>
      </c>
      <c r="G1131" s="19" t="n">
        <v>27.4164307427997</v>
      </c>
      <c r="H1131" s="19" t="n">
        <v>7.43819722412492</v>
      </c>
      <c r="I1131" s="19" t="n">
        <v>1158</v>
      </c>
      <c r="J1131" s="19" t="n">
        <v>1106</v>
      </c>
      <c r="K1131" s="19" t="n">
        <v>7.48118459027419</v>
      </c>
    </row>
    <row r="1132">
      <c r="A1132" s="19" t="n">
        <v>77</v>
      </c>
      <c r="B1132" s="19" t="inlineStr">
        <is>
          <t>Doublea</t>
        </is>
      </c>
      <c r="C1132" s="19" t="inlineStr">
        <is>
          <t>Town</t>
        </is>
      </c>
      <c r="D1132" s="19" t="inlineStr">
        <is>
          <t>Loss</t>
        </is>
      </c>
      <c r="E1132" s="19" t="n">
        <v>-61</v>
      </c>
      <c r="F1132" s="19" t="n">
        <v>24.1635202781339</v>
      </c>
      <c r="G1132" s="19" t="n">
        <v>23.1832221328226</v>
      </c>
      <c r="H1132" s="19" t="n">
        <v>8.071931155255021</v>
      </c>
      <c r="I1132" s="19" t="n">
        <v>814</v>
      </c>
      <c r="J1132" s="19" t="n">
        <v>753</v>
      </c>
      <c r="K1132" s="19" t="n">
        <v>8.12928148145266</v>
      </c>
    </row>
    <row r="1133">
      <c r="A1133" s="19" t="n">
        <v>77</v>
      </c>
      <c r="B1133" s="19" t="inlineStr">
        <is>
          <t>Chipper</t>
        </is>
      </c>
      <c r="C1133" s="19" t="inlineStr">
        <is>
          <t>Town</t>
        </is>
      </c>
      <c r="D1133" s="19" t="inlineStr">
        <is>
          <t>Loss</t>
        </is>
      </c>
      <c r="E1133" s="19" t="n">
        <v>-55</v>
      </c>
      <c r="F1133" s="19" t="n">
        <v>20.0812745902848</v>
      </c>
      <c r="G1133" s="19" t="n">
        <v>19.213672171309</v>
      </c>
      <c r="H1133" s="19" t="n">
        <v>7.60061706453016</v>
      </c>
      <c r="I1133" s="19" t="n">
        <v>586</v>
      </c>
      <c r="J1133" s="19" t="n">
        <v>531</v>
      </c>
      <c r="K1133" s="19" t="n">
        <v>7.64706940133333</v>
      </c>
    </row>
    <row r="1134">
      <c r="A1134" s="19" t="n">
        <v>77</v>
      </c>
      <c r="B1134" s="19" t="inlineStr">
        <is>
          <t>Brownkow</t>
        </is>
      </c>
      <c r="C1134" s="19" t="inlineStr">
        <is>
          <t>Town</t>
        </is>
      </c>
      <c r="D1134" s="19" t="inlineStr">
        <is>
          <t>Loss</t>
        </is>
      </c>
      <c r="E1134" s="19" t="n">
        <v>-51</v>
      </c>
      <c r="F1134" s="19" t="n">
        <v>28.3573762407258</v>
      </c>
      <c r="G1134" s="19" t="n">
        <v>27.5470293419324</v>
      </c>
      <c r="H1134" s="19" t="n">
        <v>7.3488925015702</v>
      </c>
      <c r="I1134" s="19" t="n">
        <v>1175</v>
      </c>
      <c r="J1134" s="19" t="n">
        <v>1124</v>
      </c>
      <c r="K1134" s="19" t="n">
        <v>7.39003554640535</v>
      </c>
    </row>
    <row r="1135">
      <c r="A1135" s="19" t="n">
        <v>77</v>
      </c>
      <c r="B1135" s="19" t="inlineStr">
        <is>
          <t>Rocker</t>
        </is>
      </c>
      <c r="C1135" s="19" t="inlineStr">
        <is>
          <t>Town</t>
        </is>
      </c>
      <c r="D1135" s="19" t="inlineStr">
        <is>
          <t>Loss</t>
        </is>
      </c>
      <c r="E1135" s="19" t="n">
        <v>-51</v>
      </c>
      <c r="F1135" s="19" t="n">
        <v>30.2543284629045</v>
      </c>
      <c r="G1135" s="19" t="n">
        <v>29.4429810126983</v>
      </c>
      <c r="H1135" s="19" t="n">
        <v>7.35336947443026</v>
      </c>
      <c r="I1135" s="19" t="n">
        <v>1303</v>
      </c>
      <c r="J1135" s="19" t="n">
        <v>1252</v>
      </c>
      <c r="K1135" s="19" t="n">
        <v>7.39460396473747</v>
      </c>
    </row>
    <row r="1136">
      <c r="A1136" s="19" t="n">
        <v>77</v>
      </c>
      <c r="B1136" s="19" t="inlineStr">
        <is>
          <t>Lofty</t>
        </is>
      </c>
      <c r="C1136" s="19" t="inlineStr">
        <is>
          <t>Town</t>
        </is>
      </c>
      <c r="D1136" s="19" t="inlineStr">
        <is>
          <t>Loss</t>
        </is>
      </c>
      <c r="E1136" s="19" t="n">
        <v>-64</v>
      </c>
      <c r="F1136" s="19" t="n">
        <v>25</v>
      </c>
      <c r="G1136" s="19" t="n">
        <v>23.9699393580033</v>
      </c>
      <c r="H1136" s="19" t="n">
        <v>8.27098570466846</v>
      </c>
      <c r="I1136" s="19" t="n">
        <v>850</v>
      </c>
      <c r="J1136" s="19" t="n">
        <v>786</v>
      </c>
      <c r="K1136" s="19" t="n">
        <v>8.33333333333333</v>
      </c>
    </row>
    <row r="1137">
      <c r="A1137" s="19" t="n">
        <v>77</v>
      </c>
      <c r="B1137" s="19" t="inlineStr">
        <is>
          <t>Badpants</t>
        </is>
      </c>
      <c r="C1137" s="19" t="inlineStr">
        <is>
          <t>Town</t>
        </is>
      </c>
      <c r="D1137" s="19" t="inlineStr">
        <is>
          <t>Loss</t>
        </is>
      </c>
      <c r="E1137" s="19" t="n">
        <v>-54</v>
      </c>
      <c r="F1137" s="19" t="n">
        <v>19.9252824181018</v>
      </c>
      <c r="G1137" s="19" t="n">
        <v>19.0556655353261</v>
      </c>
      <c r="H1137" s="19" t="n">
        <v>7.6093137120397</v>
      </c>
      <c r="I1137" s="19" t="n">
        <v>574</v>
      </c>
      <c r="J1137" s="19" t="n">
        <v>520</v>
      </c>
      <c r="K1137" s="19" t="n">
        <v>7.6559556686494</v>
      </c>
    </row>
    <row r="1138">
      <c r="A1138" s="19" t="n">
        <v>77</v>
      </c>
      <c r="B1138" s="19" t="inlineStr">
        <is>
          <t>Kwix</t>
        </is>
      </c>
      <c r="C1138" s="19" t="inlineStr">
        <is>
          <t>Town</t>
        </is>
      </c>
      <c r="D1138" s="19" t="inlineStr">
        <is>
          <t>Loss</t>
        </is>
      </c>
      <c r="E1138" s="19" t="n">
        <v>-56</v>
      </c>
      <c r="F1138" s="19" t="n">
        <v>23.5756890894152</v>
      </c>
      <c r="G1138" s="19" t="n">
        <v>22.6745581588065</v>
      </c>
      <c r="H1138" s="19" t="n">
        <v>7.74401939325331</v>
      </c>
      <c r="I1138" s="19" t="n">
        <v>808</v>
      </c>
      <c r="J1138" s="19" t="n">
        <v>752</v>
      </c>
      <c r="K1138" s="19" t="n">
        <v>7.79365249051067</v>
      </c>
    </row>
    <row r="1139">
      <c r="A1139" s="19" t="n">
        <v>77</v>
      </c>
      <c r="B1139" s="19" t="inlineStr">
        <is>
          <t>Snazz</t>
        </is>
      </c>
      <c r="C1139" s="19" t="inlineStr">
        <is>
          <t>Mafia</t>
        </is>
      </c>
      <c r="D1139" s="19" t="inlineStr">
        <is>
          <t>Win</t>
        </is>
      </c>
      <c r="E1139" s="19" t="n">
        <v>72</v>
      </c>
      <c r="F1139" s="19" t="n">
        <v>24.0062488204456</v>
      </c>
      <c r="G1139" s="19" t="n">
        <v>24.9882367991866</v>
      </c>
      <c r="H1139" s="19" t="n">
        <v>8.078776422675849</v>
      </c>
      <c r="I1139" s="19" t="n">
        <v>803</v>
      </c>
      <c r="J1139" s="19" t="n">
        <v>875</v>
      </c>
      <c r="K1139" s="19" t="n">
        <v>8.1362946074847</v>
      </c>
    </row>
    <row r="1140">
      <c r="A1140" s="19" t="n">
        <v>77</v>
      </c>
      <c r="B1140" s="19" t="inlineStr">
        <is>
          <t>Kden</t>
        </is>
      </c>
      <c r="C1140" s="19" t="inlineStr">
        <is>
          <t>Mafia</t>
        </is>
      </c>
      <c r="D1140" s="19" t="inlineStr">
        <is>
          <t>Win</t>
        </is>
      </c>
      <c r="E1140" s="19" t="n">
        <v>70</v>
      </c>
      <c r="F1140" s="19" t="n">
        <v>25.8292388694536</v>
      </c>
      <c r="G1140" s="19" t="n">
        <v>26.7816280120383</v>
      </c>
      <c r="H1140" s="19" t="n">
        <v>7.9579691995342</v>
      </c>
      <c r="I1140" s="19" t="n">
        <v>939</v>
      </c>
      <c r="J1140" s="19" t="n">
        <v>1009</v>
      </c>
      <c r="K1140" s="19" t="n">
        <v>8.012566051826211</v>
      </c>
    </row>
    <row r="1141">
      <c r="A1141" s="19" t="n">
        <v>77</v>
      </c>
      <c r="B1141" s="19" t="inlineStr">
        <is>
          <t>Iln</t>
        </is>
      </c>
      <c r="C1141" s="19" t="inlineStr">
        <is>
          <t>Mafia</t>
        </is>
      </c>
      <c r="D1141" s="19" t="inlineStr">
        <is>
          <t>Win</t>
        </is>
      </c>
      <c r="E1141" s="19" t="n">
        <v>65</v>
      </c>
      <c r="F1141" s="19" t="n">
        <v>21.3779598721867</v>
      </c>
      <c r="G1141" s="19" t="n">
        <v>22.2671761634392</v>
      </c>
      <c r="H1141" s="19" t="n">
        <v>7.69338408376466</v>
      </c>
      <c r="I1141" s="19" t="n">
        <v>664</v>
      </c>
      <c r="J1141" s="19" t="n">
        <v>729</v>
      </c>
      <c r="K1141" s="19" t="n">
        <v>7.74188084966337</v>
      </c>
    </row>
    <row r="1142">
      <c r="A1142" s="19" t="n">
        <v>76</v>
      </c>
      <c r="B1142" s="19" t="inlineStr">
        <is>
          <t>Plen</t>
        </is>
      </c>
      <c r="C1142" s="19" t="inlineStr">
        <is>
          <t>Town</t>
        </is>
      </c>
      <c r="D1142" s="19" t="inlineStr">
        <is>
          <t>Loss</t>
        </is>
      </c>
      <c r="E1142" s="19" t="n">
        <v>-49</v>
      </c>
      <c r="F1142" s="19" t="n">
        <v>20.5143439636826</v>
      </c>
      <c r="G1142" s="19" t="n">
        <v>19.7197961935323</v>
      </c>
      <c r="H1142" s="19" t="n">
        <v>7.61185959993887</v>
      </c>
      <c r="I1142" s="19" t="n">
        <v>614</v>
      </c>
      <c r="J1142" s="19" t="n">
        <v>565</v>
      </c>
      <c r="K1142" s="19" t="n">
        <v>7.65650437605546</v>
      </c>
    </row>
    <row r="1143">
      <c r="A1143" s="19" t="n">
        <v>76</v>
      </c>
      <c r="B1143" s="19" t="inlineStr">
        <is>
          <t>Happymeal</t>
        </is>
      </c>
      <c r="C1143" s="19" t="inlineStr">
        <is>
          <t>Town</t>
        </is>
      </c>
      <c r="D1143" s="19" t="inlineStr">
        <is>
          <t>Loss</t>
        </is>
      </c>
      <c r="E1143" s="19" t="n">
        <v>-53</v>
      </c>
      <c r="F1143" s="19" t="n">
        <v>23.3862900259719</v>
      </c>
      <c r="G1143" s="19" t="n">
        <v>22.5244531185106</v>
      </c>
      <c r="H1143" s="19" t="n">
        <v>7.92315680855755</v>
      </c>
      <c r="I1143" s="19" t="n">
        <v>777</v>
      </c>
      <c r="J1143" s="19" t="n">
        <v>724</v>
      </c>
      <c r="K1143" s="19" t="n">
        <v>7.97460351931805</v>
      </c>
    </row>
    <row r="1144">
      <c r="A1144" s="19" t="n">
        <v>76</v>
      </c>
      <c r="B1144" s="19" t="inlineStr">
        <is>
          <t>Dani</t>
        </is>
      </c>
      <c r="C1144" s="19" t="inlineStr">
        <is>
          <t>Town</t>
        </is>
      </c>
      <c r="D1144" s="19" t="inlineStr">
        <is>
          <t>Loss</t>
        </is>
      </c>
      <c r="E1144" s="19" t="n">
        <v>-56</v>
      </c>
      <c r="F1144" s="19" t="n">
        <v>22.8443601532957</v>
      </c>
      <c r="G1144" s="19" t="n">
        <v>21.9392575143165</v>
      </c>
      <c r="H1144" s="19" t="n">
        <v>8.116651698135041</v>
      </c>
      <c r="I1144" s="19" t="n">
        <v>720</v>
      </c>
      <c r="J1144" s="19" t="n">
        <v>664</v>
      </c>
      <c r="K1144" s="19" t="n">
        <v>8.172598451050559</v>
      </c>
    </row>
    <row r="1145">
      <c r="A1145" s="19" t="n">
        <v>76</v>
      </c>
      <c r="B1145" s="19" t="inlineStr">
        <is>
          <t>Mintt</t>
        </is>
      </c>
      <c r="C1145" s="19" t="inlineStr">
        <is>
          <t>Town</t>
        </is>
      </c>
      <c r="D1145" s="19" t="inlineStr">
        <is>
          <t>Loss</t>
        </is>
      </c>
      <c r="E1145" s="19" t="n">
        <v>-52</v>
      </c>
      <c r="F1145" s="19" t="n">
        <v>28.938469028206</v>
      </c>
      <c r="G1145" s="19" t="n">
        <v>28.0914892553634</v>
      </c>
      <c r="H1145" s="19" t="n">
        <v>7.85554566135549</v>
      </c>
      <c r="I1145" s="19" t="n">
        <v>1161</v>
      </c>
      <c r="J1145" s="19" t="n">
        <v>1109</v>
      </c>
      <c r="K1145" s="19" t="n">
        <v>7.90546981071238</v>
      </c>
    </row>
    <row r="1146">
      <c r="A1146" s="19" t="n">
        <v>76</v>
      </c>
      <c r="B1146" s="19" t="inlineStr">
        <is>
          <t>Kwix</t>
        </is>
      </c>
      <c r="C1146" s="19" t="inlineStr">
        <is>
          <t>Town</t>
        </is>
      </c>
      <c r="D1146" s="19" t="inlineStr">
        <is>
          <t>Loss</t>
        </is>
      </c>
      <c r="E1146" s="19" t="n">
        <v>-52</v>
      </c>
      <c r="F1146" s="19" t="n">
        <v>24.4091863498499</v>
      </c>
      <c r="G1146" s="19" t="n">
        <v>23.5756890894152</v>
      </c>
      <c r="H1146" s="19" t="n">
        <v>7.79365249051067</v>
      </c>
      <c r="I1146" s="19" t="n">
        <v>860</v>
      </c>
      <c r="J1146" s="19" t="n">
        <v>808</v>
      </c>
      <c r="K1146" s="19" t="n">
        <v>7.84220507642051</v>
      </c>
    </row>
    <row r="1147">
      <c r="A1147" s="19" t="n">
        <v>76</v>
      </c>
      <c r="B1147" s="19" t="inlineStr">
        <is>
          <t>Aipha</t>
        </is>
      </c>
      <c r="C1147" s="19" t="inlineStr">
        <is>
          <t>Town</t>
        </is>
      </c>
      <c r="D1147" s="19" t="inlineStr">
        <is>
          <t>Loss</t>
        </is>
      </c>
      <c r="E1147" s="19" t="n">
        <v>-53</v>
      </c>
      <c r="F1147" s="19" t="n">
        <v>26.6279984139294</v>
      </c>
      <c r="G1147" s="19" t="n">
        <v>25.7698126770745</v>
      </c>
      <c r="H1147" s="19" t="n">
        <v>7.90659797958121</v>
      </c>
      <c r="I1147" s="19" t="n">
        <v>999</v>
      </c>
      <c r="J1147" s="19" t="n">
        <v>946</v>
      </c>
      <c r="K1147" s="19" t="n">
        <v>7.95766943616028</v>
      </c>
    </row>
    <row r="1148">
      <c r="A1148" s="19" t="n">
        <v>76</v>
      </c>
      <c r="B1148" s="19" t="inlineStr">
        <is>
          <t>Lou</t>
        </is>
      </c>
      <c r="C1148" s="19" t="inlineStr">
        <is>
          <t>Town</t>
        </is>
      </c>
      <c r="D1148" s="19" t="inlineStr">
        <is>
          <t>Loss</t>
        </is>
      </c>
      <c r="E1148" s="19" t="n">
        <v>-46</v>
      </c>
      <c r="F1148" s="19" t="n">
        <v>27.6191667615975</v>
      </c>
      <c r="G1148" s="19" t="n">
        <v>26.8750636932898</v>
      </c>
      <c r="H1148" s="19" t="n">
        <v>7.36937811159739</v>
      </c>
      <c r="I1148" s="19" t="n">
        <v>1122</v>
      </c>
      <c r="J1148" s="19" t="n">
        <v>1076</v>
      </c>
      <c r="K1148" s="19" t="n">
        <v>7.40908324744377</v>
      </c>
    </row>
    <row r="1149">
      <c r="A1149" s="19" t="n">
        <v>76</v>
      </c>
      <c r="B1149" s="19" t="inlineStr">
        <is>
          <t>Creatchee</t>
        </is>
      </c>
      <c r="C1149" s="19" t="inlineStr">
        <is>
          <t>Town</t>
        </is>
      </c>
      <c r="D1149" s="19" t="inlineStr">
        <is>
          <t>Loss</t>
        </is>
      </c>
      <c r="E1149" s="19" t="n">
        <v>-48</v>
      </c>
      <c r="F1149" s="19" t="n">
        <v>32.3693758201352</v>
      </c>
      <c r="G1149" s="19" t="n">
        <v>31.5908304876302</v>
      </c>
      <c r="H1149" s="19" t="n">
        <v>7.53582757174387</v>
      </c>
      <c r="I1149" s="19" t="n">
        <v>1428</v>
      </c>
      <c r="J1149" s="19" t="n">
        <v>1380</v>
      </c>
      <c r="K1149" s="19" t="n">
        <v>7.57889043608138</v>
      </c>
    </row>
    <row r="1150">
      <c r="A1150" s="19" t="n">
        <v>76</v>
      </c>
      <c r="B1150" s="19" t="inlineStr">
        <is>
          <t>Brownkow</t>
        </is>
      </c>
      <c r="C1150" s="19" t="inlineStr">
        <is>
          <t>Town</t>
        </is>
      </c>
      <c r="D1150" s="19" t="inlineStr">
        <is>
          <t>Loss</t>
        </is>
      </c>
      <c r="E1150" s="19" t="n">
        <v>-46</v>
      </c>
      <c r="F1150" s="19" t="n">
        <v>29.1057098337522</v>
      </c>
      <c r="G1150" s="19" t="n">
        <v>28.3573762407258</v>
      </c>
      <c r="H1150" s="19" t="n">
        <v>7.39003554640535</v>
      </c>
      <c r="I1150" s="19" t="n">
        <v>1221</v>
      </c>
      <c r="J1150" s="19" t="n">
        <v>1175</v>
      </c>
      <c r="K1150" s="19" t="n">
        <v>7.43014963580688</v>
      </c>
    </row>
    <row r="1151">
      <c r="A1151" s="19" t="n">
        <v>76</v>
      </c>
      <c r="B1151" s="19" t="inlineStr">
        <is>
          <t>Rocker</t>
        </is>
      </c>
      <c r="C1151" s="19" t="inlineStr">
        <is>
          <t>Town</t>
        </is>
      </c>
      <c r="D1151" s="19" t="inlineStr">
        <is>
          <t>Loss</t>
        </is>
      </c>
      <c r="E1151" s="19" t="n">
        <v>-47</v>
      </c>
      <c r="F1151" s="19" t="n">
        <v>31.0035993231175</v>
      </c>
      <c r="G1151" s="19" t="n">
        <v>30.2543284629045</v>
      </c>
      <c r="H1151" s="19" t="n">
        <v>7.39460396473747</v>
      </c>
      <c r="I1151" s="19" t="n">
        <v>1350</v>
      </c>
      <c r="J1151" s="19" t="n">
        <v>1303</v>
      </c>
      <c r="K1151" s="19" t="n">
        <v>7.43480878925205</v>
      </c>
    </row>
    <row r="1152">
      <c r="A1152" s="19" t="n">
        <v>76</v>
      </c>
      <c r="B1152" s="19" t="inlineStr">
        <is>
          <t>Snazz</t>
        </is>
      </c>
      <c r="C1152" s="19" t="inlineStr">
        <is>
          <t>Mafia</t>
        </is>
      </c>
      <c r="D1152" s="19" t="inlineStr">
        <is>
          <t>Win</t>
        </is>
      </c>
      <c r="E1152" s="19" t="n">
        <v>68</v>
      </c>
      <c r="F1152" s="19" t="n">
        <v>23.096692013764</v>
      </c>
      <c r="G1152" s="19" t="n">
        <v>24.0062488204456</v>
      </c>
      <c r="H1152" s="19" t="n">
        <v>8.1362946074847</v>
      </c>
      <c r="I1152" s="19" t="n">
        <v>735</v>
      </c>
      <c r="J1152" s="19" t="n">
        <v>803</v>
      </c>
      <c r="K1152" s="19" t="n">
        <v>8.19271019188869</v>
      </c>
    </row>
    <row r="1153">
      <c r="A1153" s="19" t="n">
        <v>76</v>
      </c>
      <c r="B1153" s="19" t="inlineStr">
        <is>
          <t>Strik3r</t>
        </is>
      </c>
      <c r="C1153" s="19" t="inlineStr">
        <is>
          <t>Mafia</t>
        </is>
      </c>
      <c r="D1153" s="19" t="inlineStr">
        <is>
          <t>Win</t>
        </is>
      </c>
      <c r="E1153" s="19" t="n">
        <v>64</v>
      </c>
      <c r="F1153" s="19" t="n">
        <v>26.1200312838426</v>
      </c>
      <c r="G1153" s="19" t="n">
        <v>26.9863851900467</v>
      </c>
      <c r="H1153" s="19" t="n">
        <v>7.94359174588969</v>
      </c>
      <c r="I1153" s="19" t="n">
        <v>961</v>
      </c>
      <c r="J1153" s="19" t="n">
        <v>1025</v>
      </c>
      <c r="K1153" s="19" t="n">
        <v>7.99550367102215</v>
      </c>
    </row>
    <row r="1154">
      <c r="A1154" s="19" t="n">
        <v>76</v>
      </c>
      <c r="B1154" s="19" t="inlineStr">
        <is>
          <t>Noah</t>
        </is>
      </c>
      <c r="C1154" s="19" t="inlineStr">
        <is>
          <t>Mafia</t>
        </is>
      </c>
      <c r="D1154" s="19" t="inlineStr">
        <is>
          <t>Win</t>
        </is>
      </c>
      <c r="E1154" s="19" t="n">
        <v>58</v>
      </c>
      <c r="F1154" s="19" t="n">
        <v>27.8645303492597</v>
      </c>
      <c r="G1154" s="19" t="n">
        <v>28.6542570493792</v>
      </c>
      <c r="H1154" s="19" t="n">
        <v>7.58903787375045</v>
      </c>
      <c r="I1154" s="19" t="n">
        <v>1116</v>
      </c>
      <c r="J1154" s="19" t="n">
        <v>1174</v>
      </c>
      <c r="K1154" s="19" t="n">
        <v>7.63320461214531</v>
      </c>
    </row>
    <row r="1155">
      <c r="A1155" s="19" t="n">
        <v>75</v>
      </c>
      <c r="B1155" s="19" t="inlineStr">
        <is>
          <t>Rocker</t>
        </is>
      </c>
      <c r="C1155" s="19" t="inlineStr">
        <is>
          <t>Town</t>
        </is>
      </c>
      <c r="D1155" s="19" t="inlineStr">
        <is>
          <t>Loss</t>
        </is>
      </c>
      <c r="E1155" s="19" t="n">
        <v>-38</v>
      </c>
      <c r="F1155" s="19" t="n">
        <v>31.6116008357066</v>
      </c>
      <c r="G1155" s="19" t="n">
        <v>31.0035993231175</v>
      </c>
      <c r="H1155" s="19" t="n">
        <v>7.43480878925205</v>
      </c>
      <c r="I1155" s="19" t="n">
        <v>1388</v>
      </c>
      <c r="J1155" s="19" t="n">
        <v>1350</v>
      </c>
      <c r="K1155" s="19" t="n">
        <v>7.47092880490549</v>
      </c>
    </row>
    <row r="1156">
      <c r="A1156" s="19" t="n">
        <v>75</v>
      </c>
      <c r="B1156" s="19" t="inlineStr">
        <is>
          <t>Plen</t>
        </is>
      </c>
      <c r="C1156" s="19" t="inlineStr">
        <is>
          <t>Town</t>
        </is>
      </c>
      <c r="D1156" s="19" t="inlineStr">
        <is>
          <t>Loss</t>
        </is>
      </c>
      <c r="E1156" s="19" t="n">
        <v>-40</v>
      </c>
      <c r="F1156" s="19" t="n">
        <v>21.1595949927626</v>
      </c>
      <c r="G1156" s="19" t="n">
        <v>20.5143439636826</v>
      </c>
      <c r="H1156" s="19" t="n">
        <v>7.65650437605546</v>
      </c>
      <c r="I1156" s="19" t="n">
        <v>654</v>
      </c>
      <c r="J1156" s="19" t="n">
        <v>614</v>
      </c>
      <c r="K1156" s="19" t="n">
        <v>7.6967403048033</v>
      </c>
    </row>
    <row r="1157">
      <c r="A1157" s="19" t="n">
        <v>75</v>
      </c>
      <c r="B1157" s="19" t="inlineStr">
        <is>
          <t>Zesta</t>
        </is>
      </c>
      <c r="C1157" s="19" t="inlineStr">
        <is>
          <t>Town</t>
        </is>
      </c>
      <c r="D1157" s="19" t="inlineStr">
        <is>
          <t>Loss</t>
        </is>
      </c>
      <c r="E1157" s="19" t="n">
        <v>-46</v>
      </c>
      <c r="F1157" s="19" t="n">
        <v>25</v>
      </c>
      <c r="G1157" s="19" t="n">
        <v>24.2437668208212</v>
      </c>
      <c r="H1157" s="19" t="n">
        <v>8.28023491094376</v>
      </c>
      <c r="I1157" s="19" t="n">
        <v>850</v>
      </c>
      <c r="J1157" s="19" t="n">
        <v>804</v>
      </c>
      <c r="K1157" s="19" t="n">
        <v>8.33333333333333</v>
      </c>
    </row>
    <row r="1158">
      <c r="A1158" s="19" t="n">
        <v>75</v>
      </c>
      <c r="B1158" s="19" t="inlineStr">
        <is>
          <t>Snazz</t>
        </is>
      </c>
      <c r="C1158" s="19" t="inlineStr">
        <is>
          <t>Town</t>
        </is>
      </c>
      <c r="D1158" s="19" t="inlineStr">
        <is>
          <t>Loss</t>
        </is>
      </c>
      <c r="E1158" s="19" t="n">
        <v>-45</v>
      </c>
      <c r="F1158" s="19" t="n">
        <v>23.8367986528872</v>
      </c>
      <c r="G1158" s="19" t="n">
        <v>23.096692013764</v>
      </c>
      <c r="H1158" s="19" t="n">
        <v>8.19271019188869</v>
      </c>
      <c r="I1158" s="19" t="n">
        <v>780</v>
      </c>
      <c r="J1158" s="19" t="n">
        <v>735</v>
      </c>
      <c r="K1158" s="19" t="n">
        <v>8.2438846788964</v>
      </c>
    </row>
    <row r="1159">
      <c r="A1159" s="19" t="n">
        <v>75</v>
      </c>
      <c r="B1159" s="19" t="inlineStr">
        <is>
          <t>Noah</t>
        </is>
      </c>
      <c r="C1159" s="19" t="inlineStr">
        <is>
          <t>Town</t>
        </is>
      </c>
      <c r="D1159" s="19" t="inlineStr">
        <is>
          <t>Loss</t>
        </is>
      </c>
      <c r="E1159" s="19" t="n">
        <v>-40</v>
      </c>
      <c r="F1159" s="19" t="n">
        <v>28.5058125625951</v>
      </c>
      <c r="G1159" s="19" t="n">
        <v>27.8645303492597</v>
      </c>
      <c r="H1159" s="19" t="n">
        <v>7.63320461214531</v>
      </c>
      <c r="I1159" s="19" t="n">
        <v>1156</v>
      </c>
      <c r="J1159" s="19" t="n">
        <v>1116</v>
      </c>
      <c r="K1159" s="19" t="n">
        <v>7.6729971321923</v>
      </c>
    </row>
    <row r="1160">
      <c r="A1160" s="19" t="n">
        <v>75</v>
      </c>
      <c r="B1160" s="19" t="inlineStr">
        <is>
          <t>Streety</t>
        </is>
      </c>
      <c r="C1160" s="19" t="inlineStr">
        <is>
          <t>Town</t>
        </is>
      </c>
      <c r="D1160" s="19" t="inlineStr">
        <is>
          <t>Loss</t>
        </is>
      </c>
      <c r="E1160" s="19" t="n">
        <v>-43</v>
      </c>
      <c r="F1160" s="19" t="n">
        <v>27.7117517499523</v>
      </c>
      <c r="G1160" s="19" t="n">
        <v>26.9975653168343</v>
      </c>
      <c r="H1160" s="19" t="n">
        <v>8.049922801788931</v>
      </c>
      <c r="I1160" s="19" t="n">
        <v>1058</v>
      </c>
      <c r="J1160" s="19" t="n">
        <v>1015</v>
      </c>
      <c r="K1160" s="19" t="n">
        <v>8.098043755329419</v>
      </c>
    </row>
    <row r="1161">
      <c r="A1161" s="19" t="n">
        <v>75</v>
      </c>
      <c r="B1161" s="19" t="inlineStr">
        <is>
          <t>Happymeal</t>
        </is>
      </c>
      <c r="C1161" s="19" t="inlineStr">
        <is>
          <t>Town</t>
        </is>
      </c>
      <c r="D1161" s="19" t="inlineStr">
        <is>
          <t>Loss</t>
        </is>
      </c>
      <c r="E1161" s="19" t="n">
        <v>-43</v>
      </c>
      <c r="F1161" s="19" t="n">
        <v>24.0869974309484</v>
      </c>
      <c r="G1161" s="19" t="n">
        <v>23.3862900259719</v>
      </c>
      <c r="H1161" s="19" t="n">
        <v>7.97460351931805</v>
      </c>
      <c r="I1161" s="19" t="n">
        <v>820</v>
      </c>
      <c r="J1161" s="19" t="n">
        <v>777</v>
      </c>
      <c r="K1161" s="19" t="n">
        <v>8.021155611867631</v>
      </c>
    </row>
    <row r="1162">
      <c r="A1162" s="19" t="n">
        <v>75</v>
      </c>
      <c r="B1162" s="19" t="inlineStr">
        <is>
          <t>Smit</t>
        </is>
      </c>
      <c r="C1162" s="19" t="inlineStr">
        <is>
          <t>Town</t>
        </is>
      </c>
      <c r="D1162" s="19" t="inlineStr">
        <is>
          <t>Loss</t>
        </is>
      </c>
      <c r="E1162" s="19" t="n">
        <v>-40</v>
      </c>
      <c r="F1162" s="19" t="n">
        <v>27.3263485637268</v>
      </c>
      <c r="G1162" s="19" t="n">
        <v>26.6853240240092</v>
      </c>
      <c r="H1162" s="19" t="n">
        <v>7.63168930480287</v>
      </c>
      <c r="I1162" s="19" t="n">
        <v>1076</v>
      </c>
      <c r="J1162" s="19" t="n">
        <v>1036</v>
      </c>
      <c r="K1162" s="19" t="n">
        <v>7.67145307677264</v>
      </c>
    </row>
    <row r="1163">
      <c r="A1163" s="19" t="n">
        <v>75</v>
      </c>
      <c r="B1163" s="19" t="inlineStr">
        <is>
          <t>Nick</t>
        </is>
      </c>
      <c r="C1163" s="19" t="inlineStr">
        <is>
          <t>Town</t>
        </is>
      </c>
      <c r="D1163" s="19" t="inlineStr">
        <is>
          <t>Loss</t>
        </is>
      </c>
      <c r="E1163" s="19" t="n">
        <v>-44</v>
      </c>
      <c r="F1163" s="19" t="n">
        <v>27.1779894507669</v>
      </c>
      <c r="G1163" s="19" t="n">
        <v>26.4567876003317</v>
      </c>
      <c r="H1163" s="19" t="n">
        <v>8.0888315528357</v>
      </c>
      <c r="I1163" s="19" t="n">
        <v>1018</v>
      </c>
      <c r="J1163" s="19" t="n">
        <v>974</v>
      </c>
      <c r="K1163" s="19" t="n">
        <v>8.13777421577659</v>
      </c>
    </row>
    <row r="1164">
      <c r="A1164" s="19" t="n">
        <v>75</v>
      </c>
      <c r="B1164" s="19" t="inlineStr">
        <is>
          <t>Brownkow</t>
        </is>
      </c>
      <c r="C1164" s="19" t="inlineStr">
        <is>
          <t>Town</t>
        </is>
      </c>
      <c r="D1164" s="19" t="inlineStr">
        <is>
          <t>Loss</t>
        </is>
      </c>
      <c r="E1164" s="19" t="n">
        <v>-38</v>
      </c>
      <c r="F1164" s="19" t="n">
        <v>29.7129408068881</v>
      </c>
      <c r="G1164" s="19" t="n">
        <v>29.1057098337522</v>
      </c>
      <c r="H1164" s="19" t="n">
        <v>7.43014963580688</v>
      </c>
      <c r="I1164" s="19" t="n">
        <v>1259</v>
      </c>
      <c r="J1164" s="19" t="n">
        <v>1221</v>
      </c>
      <c r="K1164" s="19" t="n">
        <v>7.46618559401416</v>
      </c>
    </row>
    <row r="1165">
      <c r="A1165" s="19" t="n">
        <v>75</v>
      </c>
      <c r="B1165" s="19" t="inlineStr">
        <is>
          <t>Creatchee</t>
        </is>
      </c>
      <c r="C1165" s="19" t="inlineStr">
        <is>
          <t>Mafia</t>
        </is>
      </c>
      <c r="D1165" s="19" t="inlineStr">
        <is>
          <t>Win</t>
        </is>
      </c>
      <c r="E1165" s="19" t="n">
        <v>47</v>
      </c>
      <c r="F1165" s="19" t="n">
        <v>31.7372960703762</v>
      </c>
      <c r="G1165" s="19" t="n">
        <v>32.3693758201352</v>
      </c>
      <c r="H1165" s="19" t="n">
        <v>7.57889043608138</v>
      </c>
      <c r="I1165" s="19" t="n">
        <v>1381</v>
      </c>
      <c r="J1165" s="19" t="n">
        <v>1428</v>
      </c>
      <c r="K1165" s="19" t="n">
        <v>7.61765928768926</v>
      </c>
    </row>
    <row r="1166">
      <c r="A1166" s="19" t="n">
        <v>75</v>
      </c>
      <c r="B1166" s="19" t="inlineStr">
        <is>
          <t>Kwix</t>
        </is>
      </c>
      <c r="C1166" s="19" t="inlineStr">
        <is>
          <t>Mafia</t>
        </is>
      </c>
      <c r="D1166" s="19" t="inlineStr">
        <is>
          <t>Win</t>
        </is>
      </c>
      <c r="E1166" s="19" t="n">
        <v>51</v>
      </c>
      <c r="F1166" s="19" t="n">
        <v>23.7318492959031</v>
      </c>
      <c r="G1166" s="19" t="n">
        <v>24.4091863498499</v>
      </c>
      <c r="H1166" s="19" t="n">
        <v>7.84220507642051</v>
      </c>
      <c r="I1166" s="19" t="n">
        <v>809</v>
      </c>
      <c r="J1166" s="19" t="n">
        <v>860</v>
      </c>
      <c r="K1166" s="19" t="n">
        <v>7.8860681296275</v>
      </c>
    </row>
    <row r="1167">
      <c r="A1167" s="19" t="n">
        <v>75</v>
      </c>
      <c r="B1167" s="19" t="inlineStr">
        <is>
          <t>Strik3r</t>
        </is>
      </c>
      <c r="C1167" s="19" t="inlineStr">
        <is>
          <t>Mafia</t>
        </is>
      </c>
      <c r="D1167" s="19" t="inlineStr">
        <is>
          <t>Win</t>
        </is>
      </c>
      <c r="E1167" s="19" t="n">
        <v>53</v>
      </c>
      <c r="F1167" s="19" t="n">
        <v>25.4155970102869</v>
      </c>
      <c r="G1167" s="19" t="n">
        <v>26.1200312838426</v>
      </c>
      <c r="H1167" s="19" t="n">
        <v>7.99550367102215</v>
      </c>
      <c r="I1167" s="19" t="n">
        <v>908</v>
      </c>
      <c r="J1167" s="19" t="n">
        <v>961</v>
      </c>
      <c r="K1167" s="19" t="n">
        <v>8.04248823559305</v>
      </c>
    </row>
    <row r="1168">
      <c r="A1168" s="19" t="n">
        <v>74</v>
      </c>
      <c r="B1168" s="19" t="inlineStr">
        <is>
          <t>Happymeal</t>
        </is>
      </c>
      <c r="C1168" s="19" t="inlineStr">
        <is>
          <t>Town</t>
        </is>
      </c>
      <c r="D1168" s="19" t="inlineStr">
        <is>
          <t>Loss</t>
        </is>
      </c>
      <c r="E1168" s="19" t="n">
        <v>-40</v>
      </c>
      <c r="F1168" s="19" t="n">
        <v>24.7527691908446</v>
      </c>
      <c r="G1168" s="19" t="n">
        <v>24.0869974309484</v>
      </c>
      <c r="H1168" s="19" t="n">
        <v>8.021155611867631</v>
      </c>
      <c r="I1168" s="19" t="n">
        <v>860</v>
      </c>
      <c r="J1168" s="19" t="n">
        <v>820</v>
      </c>
      <c r="K1168" s="19" t="n">
        <v>8.06708187668279</v>
      </c>
    </row>
    <row r="1169">
      <c r="A1169" s="19" t="n">
        <v>74</v>
      </c>
      <c r="B1169" s="19" t="inlineStr">
        <is>
          <t>Lou</t>
        </is>
      </c>
      <c r="C1169" s="19" t="inlineStr">
        <is>
          <t>Town</t>
        </is>
      </c>
      <c r="D1169" s="19" t="inlineStr">
        <is>
          <t>Loss</t>
        </is>
      </c>
      <c r="E1169" s="19" t="n">
        <v>-35</v>
      </c>
      <c r="F1169" s="19" t="n">
        <v>28.1861246751984</v>
      </c>
      <c r="G1169" s="19" t="n">
        <v>27.6191667615975</v>
      </c>
      <c r="H1169" s="19" t="n">
        <v>7.40908324744377</v>
      </c>
      <c r="I1169" s="19" t="n">
        <v>1157</v>
      </c>
      <c r="J1169" s="19" t="n">
        <v>1122</v>
      </c>
      <c r="K1169" s="19" t="n">
        <v>7.44349403698124</v>
      </c>
    </row>
    <row r="1170">
      <c r="A1170" s="19" t="n">
        <v>74</v>
      </c>
      <c r="B1170" s="19" t="inlineStr">
        <is>
          <t>Hunterxp</t>
        </is>
      </c>
      <c r="C1170" s="19" t="inlineStr">
        <is>
          <t>Town</t>
        </is>
      </c>
      <c r="D1170" s="19" t="inlineStr">
        <is>
          <t>Loss</t>
        </is>
      </c>
      <c r="E1170" s="19" t="n">
        <v>-41</v>
      </c>
      <c r="F1170" s="19" t="n">
        <v>26.2806908104175</v>
      </c>
      <c r="G1170" s="19" t="n">
        <v>25.597070602119</v>
      </c>
      <c r="H1170" s="19" t="n">
        <v>8.126559009411221</v>
      </c>
      <c r="I1170" s="19" t="n">
        <v>953</v>
      </c>
      <c r="J1170" s="19" t="n">
        <v>912</v>
      </c>
      <c r="K1170" s="19" t="n">
        <v>8.174648104509769</v>
      </c>
    </row>
    <row r="1171">
      <c r="A1171" s="19" t="n">
        <v>74</v>
      </c>
      <c r="B1171" s="19" t="inlineStr">
        <is>
          <t>Snazz</t>
        </is>
      </c>
      <c r="C1171" s="19" t="inlineStr">
        <is>
          <t>Town</t>
        </is>
      </c>
      <c r="D1171" s="19" t="inlineStr">
        <is>
          <t>Loss</t>
        </is>
      </c>
      <c r="E1171" s="19" t="n">
        <v>-43</v>
      </c>
      <c r="F1171" s="19" t="n">
        <v>24.5405752194385</v>
      </c>
      <c r="G1171" s="19" t="n">
        <v>23.8367986528872</v>
      </c>
      <c r="H1171" s="19" t="n">
        <v>8.2438846788964</v>
      </c>
      <c r="I1171" s="19" t="n">
        <v>823</v>
      </c>
      <c r="J1171" s="19" t="n">
        <v>780</v>
      </c>
      <c r="K1171" s="19" t="n">
        <v>8.294446253512319</v>
      </c>
    </row>
    <row r="1172">
      <c r="A1172" s="19" t="n">
        <v>74</v>
      </c>
      <c r="B1172" s="19" t="inlineStr">
        <is>
          <t>Plen</t>
        </is>
      </c>
      <c r="C1172" s="19" t="inlineStr">
        <is>
          <t>Town</t>
        </is>
      </c>
      <c r="D1172" s="19" t="inlineStr">
        <is>
          <t>Loss</t>
        </is>
      </c>
      <c r="E1172" s="19" t="n">
        <v>-37</v>
      </c>
      <c r="F1172" s="19" t="n">
        <v>21.7719688499718</v>
      </c>
      <c r="G1172" s="19" t="n">
        <v>21.1595949927626</v>
      </c>
      <c r="H1172" s="19" t="n">
        <v>7.6967403048033</v>
      </c>
      <c r="I1172" s="19" t="n">
        <v>691</v>
      </c>
      <c r="J1172" s="19" t="n">
        <v>654</v>
      </c>
      <c r="K1172" s="19" t="n">
        <v>7.73634650561867</v>
      </c>
    </row>
    <row r="1173">
      <c r="A1173" s="19" t="n">
        <v>74</v>
      </c>
      <c r="B1173" s="19" t="inlineStr">
        <is>
          <t>Iln</t>
        </is>
      </c>
      <c r="C1173" s="19" t="inlineStr">
        <is>
          <t>Town</t>
        </is>
      </c>
      <c r="D1173" s="19" t="inlineStr">
        <is>
          <t>Loss</t>
        </is>
      </c>
      <c r="E1173" s="19" t="n">
        <v>-38</v>
      </c>
      <c r="F1173" s="19" t="n">
        <v>21.997625144505</v>
      </c>
      <c r="G1173" s="19" t="n">
        <v>21.3779598721867</v>
      </c>
      <c r="H1173" s="19" t="n">
        <v>7.74188084966337</v>
      </c>
      <c r="I1173" s="19" t="n">
        <v>702</v>
      </c>
      <c r="J1173" s="19" t="n">
        <v>664</v>
      </c>
      <c r="K1173" s="19" t="n">
        <v>7.78233664382065</v>
      </c>
    </row>
    <row r="1174">
      <c r="A1174" s="19" t="n">
        <v>74</v>
      </c>
      <c r="B1174" s="19" t="inlineStr">
        <is>
          <t>Machop</t>
        </is>
      </c>
      <c r="C1174" s="19" t="inlineStr">
        <is>
          <t>Town</t>
        </is>
      </c>
      <c r="D1174" s="19" t="inlineStr">
        <is>
          <t>Loss</t>
        </is>
      </c>
      <c r="E1174" s="19" t="n">
        <v>-35</v>
      </c>
      <c r="F1174" s="19" t="n">
        <v>28.8250290409667</v>
      </c>
      <c r="G1174" s="19" t="n">
        <v>28.2468575405948</v>
      </c>
      <c r="H1174" s="19" t="n">
        <v>7.48118459027419</v>
      </c>
      <c r="I1174" s="19" t="n">
        <v>1193</v>
      </c>
      <c r="J1174" s="19" t="n">
        <v>1158</v>
      </c>
      <c r="K1174" s="19" t="n">
        <v>7.51686265799533</v>
      </c>
    </row>
    <row r="1175">
      <c r="A1175" s="19" t="n">
        <v>74</v>
      </c>
      <c r="B1175" s="19" t="inlineStr">
        <is>
          <t>Badpants</t>
        </is>
      </c>
      <c r="C1175" s="19" t="inlineStr">
        <is>
          <t>Town</t>
        </is>
      </c>
      <c r="D1175" s="19" t="inlineStr">
        <is>
          <t>Loss</t>
        </is>
      </c>
      <c r="E1175" s="19" t="n">
        <v>-37</v>
      </c>
      <c r="F1175" s="19" t="n">
        <v>20.5311068955784</v>
      </c>
      <c r="G1175" s="19" t="n">
        <v>19.9252824181018</v>
      </c>
      <c r="H1175" s="19" t="n">
        <v>7.6559556686494</v>
      </c>
      <c r="I1175" s="19" t="n">
        <v>611</v>
      </c>
      <c r="J1175" s="19" t="n">
        <v>574</v>
      </c>
      <c r="K1175" s="19" t="n">
        <v>7.69480237577087</v>
      </c>
    </row>
    <row r="1176">
      <c r="A1176" s="19" t="n">
        <v>74</v>
      </c>
      <c r="B1176" s="19" t="inlineStr">
        <is>
          <t>Kden</t>
        </is>
      </c>
      <c r="C1176" s="19" t="inlineStr">
        <is>
          <t>Town</t>
        </is>
      </c>
      <c r="D1176" s="19" t="inlineStr">
        <is>
          <t>Loss</t>
        </is>
      </c>
      <c r="E1176" s="19" t="n">
        <v>-41</v>
      </c>
      <c r="F1176" s="19" t="n">
        <v>26.4935669332477</v>
      </c>
      <c r="G1176" s="19" t="n">
        <v>25.8292388694536</v>
      </c>
      <c r="H1176" s="19" t="n">
        <v>8.012566051826211</v>
      </c>
      <c r="I1176" s="19" t="n">
        <v>980</v>
      </c>
      <c r="J1176" s="19" t="n">
        <v>939</v>
      </c>
      <c r="K1176" s="19" t="n">
        <v>8.058318468613651</v>
      </c>
    </row>
    <row r="1177">
      <c r="A1177" s="19" t="n">
        <v>74</v>
      </c>
      <c r="B1177" s="19" t="inlineStr">
        <is>
          <t>Rocker</t>
        </is>
      </c>
      <c r="C1177" s="19" t="inlineStr">
        <is>
          <t>Town</t>
        </is>
      </c>
      <c r="D1177" s="19" t="inlineStr">
        <is>
          <t>Loss</t>
        </is>
      </c>
      <c r="E1177" s="19" t="n">
        <v>-35</v>
      </c>
      <c r="F1177" s="19" t="n">
        <v>32.1881703758559</v>
      </c>
      <c r="G1177" s="19" t="n">
        <v>31.6116008357066</v>
      </c>
      <c r="H1177" s="19" t="n">
        <v>7.47092880490549</v>
      </c>
      <c r="I1177" s="19" t="n">
        <v>1423</v>
      </c>
      <c r="J1177" s="19" t="n">
        <v>1388</v>
      </c>
      <c r="K1177" s="19" t="n">
        <v>7.50642520587893</v>
      </c>
    </row>
    <row r="1178">
      <c r="A1178" s="19" t="n">
        <v>74</v>
      </c>
      <c r="B1178" s="19" t="inlineStr">
        <is>
          <t>Lombax</t>
        </is>
      </c>
      <c r="C1178" s="19" t="inlineStr">
        <is>
          <t>Mafia</t>
        </is>
      </c>
      <c r="D1178" s="19" t="inlineStr">
        <is>
          <t>Win</t>
        </is>
      </c>
      <c r="E1178" s="19" t="n">
        <v>50</v>
      </c>
      <c r="F1178" s="19" t="n">
        <v>23.3571560353407</v>
      </c>
      <c r="G1178" s="19" t="n">
        <v>24.0149840083332</v>
      </c>
      <c r="H1178" s="19" t="n">
        <v>7.97377178625316</v>
      </c>
      <c r="I1178" s="19" t="n">
        <v>770</v>
      </c>
      <c r="J1178" s="19" t="n">
        <v>820</v>
      </c>
      <c r="K1178" s="19" t="n">
        <v>8.018743507720099</v>
      </c>
    </row>
    <row r="1179">
      <c r="A1179" s="19" t="n">
        <v>74</v>
      </c>
      <c r="B1179" s="19" t="inlineStr">
        <is>
          <t>Svaan</t>
        </is>
      </c>
      <c r="C1179" s="19" t="inlineStr">
        <is>
          <t>Mafia</t>
        </is>
      </c>
      <c r="D1179" s="19" t="inlineStr">
        <is>
          <t>Win</t>
        </is>
      </c>
      <c r="E1179" s="19" t="n">
        <v>50</v>
      </c>
      <c r="F1179" s="19" t="n">
        <v>26.0136840467542</v>
      </c>
      <c r="G1179" s="19" t="n">
        <v>26.676345638742</v>
      </c>
      <c r="H1179" s="19" t="n">
        <v>8.002638974143849</v>
      </c>
      <c r="I1179" s="19" t="n">
        <v>948</v>
      </c>
      <c r="J1179" s="19" t="n">
        <v>998</v>
      </c>
      <c r="K1179" s="19" t="n">
        <v>8.04819092091439</v>
      </c>
    </row>
    <row r="1180">
      <c r="A1180" s="19" t="n">
        <v>74</v>
      </c>
      <c r="B1180" s="19" t="inlineStr">
        <is>
          <t>Brownkow</t>
        </is>
      </c>
      <c r="C1180" s="19" t="inlineStr">
        <is>
          <t>Mafia</t>
        </is>
      </c>
      <c r="D1180" s="19" t="inlineStr">
        <is>
          <t>Win</t>
        </is>
      </c>
      <c r="E1180" s="19" t="n">
        <v>43</v>
      </c>
      <c r="F1180" s="19" t="n">
        <v>29.1371113822304</v>
      </c>
      <c r="G1180" s="19" t="n">
        <v>29.7129408068881</v>
      </c>
      <c r="H1180" s="19" t="n">
        <v>7.46618559401416</v>
      </c>
      <c r="I1180" s="19" t="n">
        <v>1216</v>
      </c>
      <c r="J1180" s="19" t="n">
        <v>1259</v>
      </c>
      <c r="K1180" s="19" t="n">
        <v>7.50159813411994</v>
      </c>
    </row>
    <row r="1181">
      <c r="A1181" s="19" t="n">
        <v>73</v>
      </c>
      <c r="B1181" s="19" t="inlineStr">
        <is>
          <t>Happymeal</t>
        </is>
      </c>
      <c r="C1181" s="19" t="inlineStr">
        <is>
          <t>Town</t>
        </is>
      </c>
      <c r="D1181" s="19" t="inlineStr">
        <is>
          <t>Loss</t>
        </is>
      </c>
      <c r="E1181" s="19" t="n">
        <v>-26</v>
      </c>
      <c r="F1181" s="19" t="n">
        <v>25.187097988162</v>
      </c>
      <c r="G1181" s="19" t="n">
        <v>24.7527691908446</v>
      </c>
      <c r="H1181" s="19" t="n">
        <v>8.06708187668279</v>
      </c>
      <c r="I1181" s="19" t="n">
        <v>886</v>
      </c>
      <c r="J1181" s="19" t="n">
        <v>860</v>
      </c>
      <c r="K1181" s="19" t="n">
        <v>8.10223054810624</v>
      </c>
    </row>
    <row r="1182">
      <c r="A1182" s="19" t="n">
        <v>73</v>
      </c>
      <c r="B1182" s="19" t="inlineStr">
        <is>
          <t>Snazz</t>
        </is>
      </c>
      <c r="C1182" s="19" t="inlineStr">
        <is>
          <t>Town</t>
        </is>
      </c>
      <c r="D1182" s="19" t="inlineStr">
        <is>
          <t>Loss</t>
        </is>
      </c>
      <c r="E1182" s="19" t="n">
        <v>-27</v>
      </c>
      <c r="F1182" s="19" t="n">
        <v>25</v>
      </c>
      <c r="G1182" s="19" t="n">
        <v>24.5405752194385</v>
      </c>
      <c r="H1182" s="19" t="n">
        <v>8.294446253512319</v>
      </c>
      <c r="I1182" s="19" t="n">
        <v>850</v>
      </c>
      <c r="J1182" s="19" t="n">
        <v>823</v>
      </c>
      <c r="K1182" s="19" t="n">
        <v>8.33333333333333</v>
      </c>
    </row>
    <row r="1183">
      <c r="A1183" s="19" t="n">
        <v>73</v>
      </c>
      <c r="B1183" s="19" t="inlineStr">
        <is>
          <t>Brownkow</t>
        </is>
      </c>
      <c r="C1183" s="19" t="inlineStr">
        <is>
          <t>Town</t>
        </is>
      </c>
      <c r="D1183" s="19" t="inlineStr">
        <is>
          <t>Loss</t>
        </is>
      </c>
      <c r="E1183" s="19" t="n">
        <v>-23</v>
      </c>
      <c r="F1183" s="19" t="n">
        <v>29.5121656597708</v>
      </c>
      <c r="G1183" s="19" t="n">
        <v>29.1371113822304</v>
      </c>
      <c r="H1183" s="19" t="n">
        <v>7.50159813411994</v>
      </c>
      <c r="I1183" s="19" t="n">
        <v>1239</v>
      </c>
      <c r="J1183" s="19" t="n">
        <v>1216</v>
      </c>
      <c r="K1183" s="19" t="n">
        <v>7.52827179855461</v>
      </c>
    </row>
    <row r="1184">
      <c r="A1184" s="19" t="n">
        <v>73</v>
      </c>
      <c r="B1184" s="19" t="inlineStr">
        <is>
          <t>Plen</t>
        </is>
      </c>
      <c r="C1184" s="19" t="inlineStr">
        <is>
          <t>Town</t>
        </is>
      </c>
      <c r="D1184" s="19" t="inlineStr">
        <is>
          <t>Loss</t>
        </is>
      </c>
      <c r="E1184" s="19" t="n">
        <v>-24</v>
      </c>
      <c r="F1184" s="19" t="n">
        <v>22.1710870241484</v>
      </c>
      <c r="G1184" s="19" t="n">
        <v>21.7719688499718</v>
      </c>
      <c r="H1184" s="19" t="n">
        <v>7.73634650561867</v>
      </c>
      <c r="I1184" s="19" t="n">
        <v>715</v>
      </c>
      <c r="J1184" s="19" t="n">
        <v>691</v>
      </c>
      <c r="K1184" s="19" t="n">
        <v>7.7664002873</v>
      </c>
    </row>
    <row r="1185">
      <c r="A1185" s="19" t="n">
        <v>73</v>
      </c>
      <c r="B1185" s="19" t="inlineStr">
        <is>
          <t>Kden</t>
        </is>
      </c>
      <c r="C1185" s="19" t="inlineStr">
        <is>
          <t>Town</t>
        </is>
      </c>
      <c r="D1185" s="19" t="inlineStr">
        <is>
          <t>Loss</t>
        </is>
      </c>
      <c r="E1185" s="19" t="n">
        <v>-26</v>
      </c>
      <c r="F1185" s="19" t="n">
        <v>26.9269429887758</v>
      </c>
      <c r="G1185" s="19" t="n">
        <v>26.4935669332477</v>
      </c>
      <c r="H1185" s="19" t="n">
        <v>8.058318468613651</v>
      </c>
      <c r="I1185" s="19" t="n">
        <v>1006</v>
      </c>
      <c r="J1185" s="19" t="n">
        <v>980</v>
      </c>
      <c r="K1185" s="19" t="n">
        <v>8.093326963608879</v>
      </c>
    </row>
    <row r="1186">
      <c r="A1186" s="19" t="n">
        <v>73</v>
      </c>
      <c r="B1186" s="19" t="inlineStr">
        <is>
          <t>Lombax</t>
        </is>
      </c>
      <c r="C1186" s="19" t="inlineStr">
        <is>
          <t>Town</t>
        </is>
      </c>
      <c r="D1186" s="19" t="inlineStr">
        <is>
          <t>Loss</t>
        </is>
      </c>
      <c r="E1186" s="19" t="n">
        <v>-26</v>
      </c>
      <c r="F1186" s="19" t="n">
        <v>23.7862429995345</v>
      </c>
      <c r="G1186" s="19" t="n">
        <v>23.3571560353407</v>
      </c>
      <c r="H1186" s="19" t="n">
        <v>8.018743507720099</v>
      </c>
      <c r="I1186" s="19" t="n">
        <v>796</v>
      </c>
      <c r="J1186" s="19" t="n">
        <v>770</v>
      </c>
      <c r="K1186" s="19" t="n">
        <v>8.053122541105591</v>
      </c>
    </row>
    <row r="1187">
      <c r="A1187" s="19" t="n">
        <v>73</v>
      </c>
      <c r="B1187" s="19" t="inlineStr">
        <is>
          <t>Keegan</t>
        </is>
      </c>
      <c r="C1187" s="19" t="inlineStr">
        <is>
          <t>Town</t>
        </is>
      </c>
      <c r="D1187" s="19" t="inlineStr">
        <is>
          <t>Loss</t>
        </is>
      </c>
      <c r="E1187" s="19" t="n">
        <v>-26</v>
      </c>
      <c r="F1187" s="19" t="n">
        <v>27.8269928260633</v>
      </c>
      <c r="G1187" s="19" t="n">
        <v>27.3948782618202</v>
      </c>
      <c r="H1187" s="19" t="n">
        <v>8.046699863739249</v>
      </c>
      <c r="I1187" s="19" t="n">
        <v>1068</v>
      </c>
      <c r="J1187" s="19" t="n">
        <v>1042</v>
      </c>
      <c r="K1187" s="19" t="n">
        <v>8.081522953642709</v>
      </c>
    </row>
    <row r="1188">
      <c r="A1188" s="19" t="n">
        <v>73</v>
      </c>
      <c r="B1188" s="19" t="inlineStr">
        <is>
          <t>Chipper</t>
        </is>
      </c>
      <c r="C1188" s="19" t="inlineStr">
        <is>
          <t>Town</t>
        </is>
      </c>
      <c r="D1188" s="19" t="inlineStr">
        <is>
          <t>Loss</t>
        </is>
      </c>
      <c r="E1188" s="19" t="n">
        <v>-23</v>
      </c>
      <c r="F1188" s="19" t="n">
        <v>20.4711504445411</v>
      </c>
      <c r="G1188" s="19" t="n">
        <v>20.0812745902848</v>
      </c>
      <c r="H1188" s="19" t="n">
        <v>7.64706940133333</v>
      </c>
      <c r="I1188" s="19" t="n">
        <v>609</v>
      </c>
      <c r="J1188" s="19" t="n">
        <v>586</v>
      </c>
      <c r="K1188" s="19" t="n">
        <v>7.67581514664543</v>
      </c>
    </row>
    <row r="1189">
      <c r="A1189" s="19" t="n">
        <v>73</v>
      </c>
      <c r="B1189" s="19" t="inlineStr">
        <is>
          <t>Lou</t>
        </is>
      </c>
      <c r="C1189" s="19" t="inlineStr">
        <is>
          <t>Town</t>
        </is>
      </c>
      <c r="D1189" s="19" t="inlineStr">
        <is>
          <t>Loss</t>
        </is>
      </c>
      <c r="E1189" s="19" t="n">
        <v>-23</v>
      </c>
      <c r="F1189" s="19" t="n">
        <v>28.555341309348</v>
      </c>
      <c r="G1189" s="19" t="n">
        <v>28.1861246751984</v>
      </c>
      <c r="H1189" s="19" t="n">
        <v>7.44349403698124</v>
      </c>
      <c r="I1189" s="19" t="n">
        <v>1180</v>
      </c>
      <c r="J1189" s="19" t="n">
        <v>1157</v>
      </c>
      <c r="K1189" s="19" t="n">
        <v>7.46936024990602</v>
      </c>
    </row>
    <row r="1190">
      <c r="A1190" s="19" t="n">
        <v>73</v>
      </c>
      <c r="B1190" s="19" t="inlineStr">
        <is>
          <t>Badpants</t>
        </is>
      </c>
      <c r="C1190" s="19" t="inlineStr">
        <is>
          <t>Town</t>
        </is>
      </c>
      <c r="D1190" s="19" t="inlineStr">
        <is>
          <t>Loss</t>
        </is>
      </c>
      <c r="E1190" s="19" t="n">
        <v>-24</v>
      </c>
      <c r="F1190" s="19" t="n">
        <v>20.925910412411</v>
      </c>
      <c r="G1190" s="19" t="n">
        <v>20.5311068955784</v>
      </c>
      <c r="H1190" s="19" t="n">
        <v>7.69480237577087</v>
      </c>
      <c r="I1190" s="19" t="n">
        <v>635</v>
      </c>
      <c r="J1190" s="19" t="n">
        <v>611</v>
      </c>
      <c r="K1190" s="19" t="n">
        <v>7.72424399544438</v>
      </c>
    </row>
    <row r="1191">
      <c r="A1191" s="19" t="n">
        <v>73</v>
      </c>
      <c r="B1191" s="19" t="inlineStr">
        <is>
          <t>Svaan</t>
        </is>
      </c>
      <c r="C1191" s="19" t="inlineStr">
        <is>
          <t>Mafia</t>
        </is>
      </c>
      <c r="D1191" s="19" t="inlineStr">
        <is>
          <t>Win</t>
        </is>
      </c>
      <c r="E1191" s="19" t="n">
        <v>33</v>
      </c>
      <c r="F1191" s="19" t="n">
        <v>25.5814076968071</v>
      </c>
      <c r="G1191" s="19" t="n">
        <v>26.0136840467542</v>
      </c>
      <c r="H1191" s="19" t="n">
        <v>8.04819092091439</v>
      </c>
      <c r="I1191" s="19" t="n">
        <v>915</v>
      </c>
      <c r="J1191" s="19" t="n">
        <v>948</v>
      </c>
      <c r="K1191" s="19" t="n">
        <v>8.083037776356489</v>
      </c>
    </row>
    <row r="1192">
      <c r="A1192" s="19" t="n">
        <v>73</v>
      </c>
      <c r="B1192" s="19" t="inlineStr">
        <is>
          <t>Rocker</t>
        </is>
      </c>
      <c r="C1192" s="19" t="inlineStr">
        <is>
          <t>Mafia</t>
        </is>
      </c>
      <c r="D1192" s="19" t="inlineStr">
        <is>
          <t>Win</t>
        </is>
      </c>
      <c r="E1192" s="19" t="n">
        <v>28</v>
      </c>
      <c r="F1192" s="19" t="n">
        <v>31.8126290142706</v>
      </c>
      <c r="G1192" s="19" t="n">
        <v>32.1881703758559</v>
      </c>
      <c r="H1192" s="19" t="n">
        <v>7.50642520587893</v>
      </c>
      <c r="I1192" s="19" t="n">
        <v>1395</v>
      </c>
      <c r="J1192" s="19" t="n">
        <v>1423</v>
      </c>
      <c r="K1192" s="19" t="n">
        <v>7.53316646420079</v>
      </c>
    </row>
    <row r="1193">
      <c r="A1193" s="19" t="n">
        <v>73</v>
      </c>
      <c r="B1193" s="19" t="inlineStr">
        <is>
          <t>Hunterxp</t>
        </is>
      </c>
      <c r="C1193" s="19" t="inlineStr">
        <is>
          <t>Mafia</t>
        </is>
      </c>
      <c r="D1193" s="19" t="inlineStr">
        <is>
          <t>Win</t>
        </is>
      </c>
      <c r="E1193" s="19" t="n">
        <v>34</v>
      </c>
      <c r="F1193" s="19" t="n">
        <v>25.8345797138221</v>
      </c>
      <c r="G1193" s="19" t="n">
        <v>26.2806908104175</v>
      </c>
      <c r="H1193" s="19" t="n">
        <v>8.174648104509769</v>
      </c>
      <c r="I1193" s="19" t="n">
        <v>919</v>
      </c>
      <c r="J1193" s="19" t="n">
        <v>953</v>
      </c>
      <c r="K1193" s="19" t="n">
        <v>8.21154088910618</v>
      </c>
    </row>
    <row r="1194">
      <c r="A1194" s="19" t="n">
        <v>72</v>
      </c>
      <c r="B1194" s="19" t="inlineStr">
        <is>
          <t>23flash</t>
        </is>
      </c>
      <c r="C1194" s="19" t="inlineStr">
        <is>
          <t>Town</t>
        </is>
      </c>
      <c r="D1194" s="19" t="inlineStr">
        <is>
          <t>Loss</t>
        </is>
      </c>
      <c r="E1194" s="19" t="n">
        <v>-68</v>
      </c>
      <c r="F1194" s="19" t="n">
        <v>26.6670623047574</v>
      </c>
      <c r="G1194" s="19" t="n">
        <v>25.572099161776</v>
      </c>
      <c r="H1194" s="19" t="n">
        <v>8.11641146457352</v>
      </c>
      <c r="I1194" s="19" t="n">
        <v>979</v>
      </c>
      <c r="J1194" s="19" t="n">
        <v>911</v>
      </c>
      <c r="K1194" s="19" t="n">
        <v>8.177223331396499</v>
      </c>
    </row>
    <row r="1195">
      <c r="A1195" s="19" t="n">
        <v>72</v>
      </c>
      <c r="B1195" s="19" t="inlineStr">
        <is>
          <t>Antfrost</t>
        </is>
      </c>
      <c r="C1195" s="19" t="inlineStr">
        <is>
          <t>Town</t>
        </is>
      </c>
      <c r="D1195" s="19" t="inlineStr">
        <is>
          <t>Loss</t>
        </is>
      </c>
      <c r="E1195" s="19" t="n">
        <v>-68</v>
      </c>
      <c r="F1195" s="19" t="n">
        <v>23.8073462607483</v>
      </c>
      <c r="G1195" s="19" t="n">
        <v>22.7199450624699</v>
      </c>
      <c r="H1195" s="19" t="n">
        <v>8.088794693913741</v>
      </c>
      <c r="I1195" s="19" t="n">
        <v>788</v>
      </c>
      <c r="J1195" s="19" t="n">
        <v>720</v>
      </c>
      <c r="K1195" s="19" t="n">
        <v>8.1488998395509</v>
      </c>
    </row>
    <row r="1196">
      <c r="A1196" s="19" t="n">
        <v>72</v>
      </c>
      <c r="B1196" s="19" t="inlineStr">
        <is>
          <t>Chipper</t>
        </is>
      </c>
      <c r="C1196" s="19" t="inlineStr">
        <is>
          <t>Town</t>
        </is>
      </c>
      <c r="D1196" s="19" t="inlineStr">
        <is>
          <t>Loss</t>
        </is>
      </c>
      <c r="E1196" s="19" t="n">
        <v>-61</v>
      </c>
      <c r="F1196" s="19" t="n">
        <v>21.4487416037157</v>
      </c>
      <c r="G1196" s="19" t="n">
        <v>20.4711504445411</v>
      </c>
      <c r="H1196" s="19" t="n">
        <v>7.67581514664543</v>
      </c>
      <c r="I1196" s="19" t="n">
        <v>670</v>
      </c>
      <c r="J1196" s="19" t="n">
        <v>609</v>
      </c>
      <c r="K1196" s="19" t="n">
        <v>7.7259100555368</v>
      </c>
    </row>
    <row r="1197">
      <c r="A1197" s="19" t="n">
        <v>72</v>
      </c>
      <c r="B1197" s="19" t="inlineStr">
        <is>
          <t>Rocker</t>
        </is>
      </c>
      <c r="C1197" s="19" t="inlineStr">
        <is>
          <t>Town</t>
        </is>
      </c>
      <c r="D1197" s="19" t="inlineStr">
        <is>
          <t>Loss</t>
        </is>
      </c>
      <c r="E1197" s="19" t="n">
        <v>-59</v>
      </c>
      <c r="F1197" s="19" t="n">
        <v>32.7537083939213</v>
      </c>
      <c r="G1197" s="19" t="n">
        <v>31.8126290142706</v>
      </c>
      <c r="H1197" s="19" t="n">
        <v>7.53316646420079</v>
      </c>
      <c r="I1197" s="19" t="n">
        <v>1454</v>
      </c>
      <c r="J1197" s="19" t="n">
        <v>1395</v>
      </c>
      <c r="K1197" s="19" t="n">
        <v>7.58003900789882</v>
      </c>
    </row>
    <row r="1198">
      <c r="A1198" s="19" t="n">
        <v>72</v>
      </c>
      <c r="B1198" s="19" t="inlineStr">
        <is>
          <t>Keegan</t>
        </is>
      </c>
      <c r="C1198" s="19" t="inlineStr">
        <is>
          <t>Town</t>
        </is>
      </c>
      <c r="D1198" s="19" t="inlineStr">
        <is>
          <t>Loss</t>
        </is>
      </c>
      <c r="E1198" s="19" t="n">
        <v>-68</v>
      </c>
      <c r="F1198" s="19" t="n">
        <v>28.9124074730134</v>
      </c>
      <c r="G1198" s="19" t="n">
        <v>27.8269928260633</v>
      </c>
      <c r="H1198" s="19" t="n">
        <v>8.081522953642709</v>
      </c>
      <c r="I1198" s="19" t="n">
        <v>1136</v>
      </c>
      <c r="J1198" s="19" t="n">
        <v>1068</v>
      </c>
      <c r="K1198" s="19" t="n">
        <v>8.141442808748639</v>
      </c>
    </row>
    <row r="1199">
      <c r="A1199" s="19" t="n">
        <v>72</v>
      </c>
      <c r="B1199" s="19" t="inlineStr">
        <is>
          <t>Machop</t>
        </is>
      </c>
      <c r="C1199" s="19" t="inlineStr">
        <is>
          <t>Town</t>
        </is>
      </c>
      <c r="D1199" s="19" t="inlineStr">
        <is>
          <t>Loss</t>
        </is>
      </c>
      <c r="E1199" s="19" t="n">
        <v>-59</v>
      </c>
      <c r="F1199" s="19" t="n">
        <v>29.761981522352</v>
      </c>
      <c r="G1199" s="19" t="n">
        <v>28.8250290409667</v>
      </c>
      <c r="H1199" s="19" t="n">
        <v>7.51686265799533</v>
      </c>
      <c r="I1199" s="19" t="n">
        <v>1252</v>
      </c>
      <c r="J1199" s="19" t="n">
        <v>1193</v>
      </c>
      <c r="K1199" s="19" t="n">
        <v>7.56337435197073</v>
      </c>
    </row>
    <row r="1200">
      <c r="A1200" s="19" t="n">
        <v>72</v>
      </c>
      <c r="B1200" s="19" t="inlineStr">
        <is>
          <t>Doublea</t>
        </is>
      </c>
      <c r="C1200" s="19" t="inlineStr">
        <is>
          <t>Town</t>
        </is>
      </c>
      <c r="D1200" s="19" t="inlineStr">
        <is>
          <t>Loss</t>
        </is>
      </c>
      <c r="E1200" s="19" t="n">
        <v>-68</v>
      </c>
      <c r="F1200" s="19" t="n">
        <v>25.2620168536771</v>
      </c>
      <c r="G1200" s="19" t="n">
        <v>24.1635202781339</v>
      </c>
      <c r="H1200" s="19" t="n">
        <v>8.12928148145266</v>
      </c>
      <c r="I1200" s="19" t="n">
        <v>882</v>
      </c>
      <c r="J1200" s="19" t="n">
        <v>814</v>
      </c>
      <c r="K1200" s="19" t="n">
        <v>8.19042433363424</v>
      </c>
    </row>
    <row r="1201">
      <c r="A1201" s="19" t="n">
        <v>72</v>
      </c>
      <c r="B1201" s="19" t="inlineStr">
        <is>
          <t>Plen</t>
        </is>
      </c>
      <c r="C1201" s="19" t="inlineStr">
        <is>
          <t>Town</t>
        </is>
      </c>
      <c r="D1201" s="19" t="inlineStr">
        <is>
          <t>Loss</t>
        </is>
      </c>
      <c r="E1201" s="19" t="n">
        <v>-63</v>
      </c>
      <c r="F1201" s="19" t="n">
        <v>23.1722410257107</v>
      </c>
      <c r="G1201" s="19" t="n">
        <v>22.1710870241484</v>
      </c>
      <c r="H1201" s="19" t="n">
        <v>7.7664002873</v>
      </c>
      <c r="I1201" s="19" t="n">
        <v>778</v>
      </c>
      <c r="J1201" s="19" t="n">
        <v>715</v>
      </c>
      <c r="K1201" s="19" t="n">
        <v>7.81860305170693</v>
      </c>
    </row>
    <row r="1202">
      <c r="A1202" s="19" t="n">
        <v>72</v>
      </c>
      <c r="B1202" s="19" t="inlineStr">
        <is>
          <t>Brownkow</t>
        </is>
      </c>
      <c r="C1202" s="19" t="inlineStr">
        <is>
          <t>Town</t>
        </is>
      </c>
      <c r="D1202" s="19" t="inlineStr">
        <is>
          <t>Loss</t>
        </is>
      </c>
      <c r="E1202" s="19" t="n">
        <v>-59</v>
      </c>
      <c r="F1202" s="19" t="n">
        <v>30.4520050844756</v>
      </c>
      <c r="G1202" s="19" t="n">
        <v>29.5121656597708</v>
      </c>
      <c r="H1202" s="19" t="n">
        <v>7.52827179855461</v>
      </c>
      <c r="I1202" s="19" t="n">
        <v>1298</v>
      </c>
      <c r="J1202" s="19" t="n">
        <v>1239</v>
      </c>
      <c r="K1202" s="19" t="n">
        <v>7.57503585028238</v>
      </c>
    </row>
    <row r="1203">
      <c r="A1203" s="19" t="n">
        <v>72</v>
      </c>
      <c r="B1203" s="19" t="inlineStr">
        <is>
          <t>Aipha</t>
        </is>
      </c>
      <c r="C1203" s="19" t="inlineStr">
        <is>
          <t>Town</t>
        </is>
      </c>
      <c r="D1203" s="19" t="inlineStr">
        <is>
          <t>Loss</t>
        </is>
      </c>
      <c r="E1203" s="19" t="n">
        <v>-66</v>
      </c>
      <c r="F1203" s="19" t="n">
        <v>27.6798703019774</v>
      </c>
      <c r="G1203" s="19" t="n">
        <v>26.6279984139294</v>
      </c>
      <c r="H1203" s="19" t="n">
        <v>7.95766943616028</v>
      </c>
      <c r="I1203" s="19" t="n">
        <v>1065</v>
      </c>
      <c r="J1203" s="19" t="n">
        <v>999</v>
      </c>
      <c r="K1203" s="19" t="n">
        <v>8.01448387321874</v>
      </c>
    </row>
    <row r="1204">
      <c r="A1204" s="19" t="n">
        <v>72</v>
      </c>
      <c r="B1204" s="19" t="inlineStr">
        <is>
          <t>Kwix</t>
        </is>
      </c>
      <c r="C1204" s="19" t="inlineStr">
        <is>
          <t>Mafia</t>
        </is>
      </c>
      <c r="D1204" s="19" t="inlineStr">
        <is>
          <t>Win</t>
        </is>
      </c>
      <c r="E1204" s="19" t="n">
        <v>75</v>
      </c>
      <c r="F1204" s="19" t="n">
        <v>22.6991172516359</v>
      </c>
      <c r="G1204" s="19" t="n">
        <v>23.7318492959031</v>
      </c>
      <c r="H1204" s="19" t="n">
        <v>7.8860681296275</v>
      </c>
      <c r="I1204" s="19" t="n">
        <v>734</v>
      </c>
      <c r="J1204" s="19" t="n">
        <v>809</v>
      </c>
      <c r="K1204" s="19" t="n">
        <v>7.9411303077882</v>
      </c>
    </row>
    <row r="1205">
      <c r="A1205" s="19" t="n">
        <v>72</v>
      </c>
      <c r="B1205" s="19" t="inlineStr">
        <is>
          <t>Whyin</t>
        </is>
      </c>
      <c r="C1205" s="19" t="inlineStr">
        <is>
          <t>Mafia</t>
        </is>
      </c>
      <c r="D1205" s="19" t="inlineStr">
        <is>
          <t>Win</t>
        </is>
      </c>
      <c r="E1205" s="19" t="n">
        <v>71</v>
      </c>
      <c r="F1205" s="19" t="n">
        <v>25.1641073693027</v>
      </c>
      <c r="G1205" s="19" t="n">
        <v>26.135195698034</v>
      </c>
      <c r="H1205" s="19" t="n">
        <v>7.65061526272819</v>
      </c>
      <c r="I1205" s="19" t="n">
        <v>926</v>
      </c>
      <c r="J1205" s="19" t="n">
        <v>997</v>
      </c>
      <c r="K1205" s="19" t="n">
        <v>7.7001323490199</v>
      </c>
    </row>
    <row r="1206">
      <c r="A1206" s="19" t="n">
        <v>72</v>
      </c>
      <c r="B1206" s="19" t="inlineStr">
        <is>
          <t>Sam</t>
        </is>
      </c>
      <c r="C1206" s="19" t="inlineStr">
        <is>
          <t>Mafia</t>
        </is>
      </c>
      <c r="D1206" s="19" t="inlineStr">
        <is>
          <t>Win</t>
        </is>
      </c>
      <c r="E1206" s="19" t="n">
        <v>82</v>
      </c>
      <c r="F1206" s="19" t="n">
        <v>26.349992847564</v>
      </c>
      <c r="G1206" s="19" t="n">
        <v>27.4681619431869</v>
      </c>
      <c r="H1206" s="19" t="n">
        <v>8.200541429741641</v>
      </c>
      <c r="I1206" s="19" t="n">
        <v>949</v>
      </c>
      <c r="J1206" s="19" t="n">
        <v>1031</v>
      </c>
      <c r="K1206" s="19" t="n">
        <v>8.26353587166485</v>
      </c>
    </row>
    <row r="1207">
      <c r="A1207" s="19" t="n">
        <v>71</v>
      </c>
      <c r="B1207" s="19" t="inlineStr">
        <is>
          <t>Kden</t>
        </is>
      </c>
      <c r="C1207" s="19" t="inlineStr">
        <is>
          <t>Town</t>
        </is>
      </c>
      <c r="D1207" s="19" t="inlineStr">
        <is>
          <t>Win</t>
        </is>
      </c>
      <c r="E1207" s="19" t="n">
        <v>95</v>
      </c>
      <c r="F1207" s="19" t="n">
        <v>25.6329722914931</v>
      </c>
      <c r="G1207" s="19" t="n">
        <v>26.9269429887758</v>
      </c>
      <c r="H1207" s="19" t="n">
        <v>8.093326963608879</v>
      </c>
      <c r="I1207" s="19" t="n">
        <v>911</v>
      </c>
      <c r="J1207" s="19" t="n">
        <v>1006</v>
      </c>
      <c r="K1207" s="19" t="n">
        <v>8.15836359158669</v>
      </c>
    </row>
    <row r="1208">
      <c r="A1208" s="19" t="n">
        <v>71</v>
      </c>
      <c r="B1208" s="19" t="inlineStr">
        <is>
          <t>Noah</t>
        </is>
      </c>
      <c r="C1208" s="19" t="inlineStr">
        <is>
          <t>Town</t>
        </is>
      </c>
      <c r="D1208" s="19" t="inlineStr">
        <is>
          <t>Win</t>
        </is>
      </c>
      <c r="E1208" s="19" t="n">
        <v>85</v>
      </c>
      <c r="F1208" s="19" t="n">
        <v>27.3448468863479</v>
      </c>
      <c r="G1208" s="19" t="n">
        <v>28.5058125625951</v>
      </c>
      <c r="H1208" s="19" t="n">
        <v>7.6729971321923</v>
      </c>
      <c r="I1208" s="19" t="n">
        <v>1071</v>
      </c>
      <c r="J1208" s="19" t="n">
        <v>1156</v>
      </c>
      <c r="K1208" s="19" t="n">
        <v>7.72710625820324</v>
      </c>
    </row>
    <row r="1209">
      <c r="A1209" s="19" t="n">
        <v>71</v>
      </c>
      <c r="B1209" s="19" t="inlineStr">
        <is>
          <t>Smit</t>
        </is>
      </c>
      <c r="C1209" s="19" t="inlineStr">
        <is>
          <t>Town</t>
        </is>
      </c>
      <c r="D1209" s="19" t="inlineStr">
        <is>
          <t>Win</t>
        </is>
      </c>
      <c r="E1209" s="19" t="n">
        <v>85</v>
      </c>
      <c r="F1209" s="19" t="n">
        <v>26.1658575285833</v>
      </c>
      <c r="G1209" s="19" t="n">
        <v>27.3263485637268</v>
      </c>
      <c r="H1209" s="19" t="n">
        <v>7.67145307677264</v>
      </c>
      <c r="I1209" s="19" t="n">
        <v>991</v>
      </c>
      <c r="J1209" s="19" t="n">
        <v>1076</v>
      </c>
      <c r="K1209" s="19" t="n">
        <v>7.72552416724334</v>
      </c>
    </row>
    <row r="1210">
      <c r="A1210" s="19" t="n">
        <v>71</v>
      </c>
      <c r="B1210" s="19" t="inlineStr">
        <is>
          <t>Lou</t>
        </is>
      </c>
      <c r="C1210" s="19" t="inlineStr">
        <is>
          <t>Town</t>
        </is>
      </c>
      <c r="D1210" s="19" t="inlineStr">
        <is>
          <t>Win</t>
        </is>
      </c>
      <c r="E1210" s="19" t="n">
        <v>80</v>
      </c>
      <c r="F1210" s="19" t="n">
        <v>27.4560970935198</v>
      </c>
      <c r="G1210" s="19" t="n">
        <v>28.555341309348</v>
      </c>
      <c r="H1210" s="19" t="n">
        <v>7.46936024990602</v>
      </c>
      <c r="I1210" s="19" t="n">
        <v>1100</v>
      </c>
      <c r="J1210" s="19" t="n">
        <v>1180</v>
      </c>
      <c r="K1210" s="19" t="n">
        <v>7.51858146690891</v>
      </c>
    </row>
    <row r="1211">
      <c r="A1211" s="19" t="n">
        <v>71</v>
      </c>
      <c r="B1211" s="19" t="inlineStr">
        <is>
          <t>Strik3r</t>
        </is>
      </c>
      <c r="C1211" s="19" t="inlineStr">
        <is>
          <t>Town</t>
        </is>
      </c>
      <c r="D1211" s="19" t="inlineStr">
        <is>
          <t>Win</t>
        </is>
      </c>
      <c r="E1211" s="19" t="n">
        <v>93</v>
      </c>
      <c r="F1211" s="19" t="n">
        <v>24.1381166373808</v>
      </c>
      <c r="G1211" s="19" t="n">
        <v>25.4155970102869</v>
      </c>
      <c r="H1211" s="19" t="n">
        <v>8.04248823559305</v>
      </c>
      <c r="I1211" s="19" t="n">
        <v>815</v>
      </c>
      <c r="J1211" s="19" t="n">
        <v>908</v>
      </c>
      <c r="K1211" s="19" t="n">
        <v>8.10614118570996</v>
      </c>
    </row>
    <row r="1212">
      <c r="A1212" s="19" t="n">
        <v>71</v>
      </c>
      <c r="B1212" s="19" t="inlineStr">
        <is>
          <t>Cody</t>
        </is>
      </c>
      <c r="C1212" s="19" t="inlineStr">
        <is>
          <t>Town</t>
        </is>
      </c>
      <c r="D1212" s="19" t="inlineStr">
        <is>
          <t>Win</t>
        </is>
      </c>
      <c r="E1212" s="19" t="n">
        <v>96</v>
      </c>
      <c r="F1212" s="19" t="n">
        <v>27.9437291444881</v>
      </c>
      <c r="G1212" s="19" t="n">
        <v>29.2491084306628</v>
      </c>
      <c r="H1212" s="19" t="n">
        <v>8.12829949317133</v>
      </c>
      <c r="I1212" s="19" t="n">
        <v>1064</v>
      </c>
      <c r="J1212" s="19" t="n">
        <v>1160</v>
      </c>
      <c r="K1212" s="19" t="n">
        <v>8.19429812411861</v>
      </c>
    </row>
    <row r="1213">
      <c r="A1213" s="19" t="n">
        <v>71</v>
      </c>
      <c r="B1213" s="19" t="inlineStr">
        <is>
          <t>Creatchee</t>
        </is>
      </c>
      <c r="C1213" s="19" t="inlineStr">
        <is>
          <t>Town</t>
        </is>
      </c>
      <c r="D1213" s="19" t="inlineStr">
        <is>
          <t>Win</t>
        </is>
      </c>
      <c r="E1213" s="19" t="n">
        <v>83</v>
      </c>
      <c r="F1213" s="19" t="n">
        <v>30.5932777260055</v>
      </c>
      <c r="G1213" s="19" t="n">
        <v>31.7372960703762</v>
      </c>
      <c r="H1213" s="19" t="n">
        <v>7.61765928768926</v>
      </c>
      <c r="I1213" s="19" t="n">
        <v>1298</v>
      </c>
      <c r="J1213" s="19" t="n">
        <v>1381</v>
      </c>
      <c r="K1213" s="19" t="n">
        <v>7.67041461379865</v>
      </c>
    </row>
    <row r="1214">
      <c r="A1214" s="19" t="n">
        <v>71</v>
      </c>
      <c r="B1214" s="19" t="inlineStr">
        <is>
          <t>Crispy</t>
        </is>
      </c>
      <c r="C1214" s="19" t="inlineStr">
        <is>
          <t>Town</t>
        </is>
      </c>
      <c r="D1214" s="19" t="inlineStr">
        <is>
          <t>Win</t>
        </is>
      </c>
      <c r="E1214" s="19" t="n">
        <v>99</v>
      </c>
      <c r="F1214" s="19" t="n">
        <v>25</v>
      </c>
      <c r="G1214" s="19" t="n">
        <v>26.349992847564</v>
      </c>
      <c r="H1214" s="19" t="n">
        <v>8.26353587166485</v>
      </c>
      <c r="I1214" s="19" t="n">
        <v>850</v>
      </c>
      <c r="J1214" s="19" t="n">
        <v>949</v>
      </c>
      <c r="K1214" s="19" t="n">
        <v>8.33333333333333</v>
      </c>
    </row>
    <row r="1215">
      <c r="A1215" s="19" t="n">
        <v>71</v>
      </c>
      <c r="B1215" s="19" t="inlineStr">
        <is>
          <t>Sam</t>
        </is>
      </c>
      <c r="C1215" s="19" t="inlineStr">
        <is>
          <t>Town</t>
        </is>
      </c>
      <c r="D1215" s="19" t="inlineStr">
        <is>
          <t>Win</t>
        </is>
      </c>
      <c r="E1215" s="19" t="n">
        <v>99</v>
      </c>
      <c r="F1215" s="19" t="n">
        <v>25</v>
      </c>
      <c r="G1215" s="19" t="n">
        <v>26.349992847564</v>
      </c>
      <c r="H1215" s="19" t="n">
        <v>8.26353587166485</v>
      </c>
      <c r="I1215" s="19" t="n">
        <v>850</v>
      </c>
      <c r="J1215" s="19" t="n">
        <v>949</v>
      </c>
      <c r="K1215" s="19" t="n">
        <v>8.33333333333333</v>
      </c>
    </row>
    <row r="1216">
      <c r="A1216" s="19" t="n">
        <v>71</v>
      </c>
      <c r="B1216" s="19" t="inlineStr">
        <is>
          <t>Nick</t>
        </is>
      </c>
      <c r="C1216" s="19" t="inlineStr">
        <is>
          <t>Town</t>
        </is>
      </c>
      <c r="D1216" s="19" t="inlineStr">
        <is>
          <t>Win</t>
        </is>
      </c>
      <c r="E1216" s="19" t="n">
        <v>96</v>
      </c>
      <c r="F1216" s="19" t="n">
        <v>25.8695102727901</v>
      </c>
      <c r="G1216" s="19" t="n">
        <v>27.1779894507669</v>
      </c>
      <c r="H1216" s="19" t="n">
        <v>8.13777421577659</v>
      </c>
      <c r="I1216" s="19" t="n">
        <v>922</v>
      </c>
      <c r="J1216" s="19" t="n">
        <v>1018</v>
      </c>
      <c r="K1216" s="19" t="n">
        <v>8.20403490406742</v>
      </c>
    </row>
    <row r="1217">
      <c r="A1217" s="19" t="n">
        <v>71</v>
      </c>
      <c r="B1217" s="19" t="inlineStr">
        <is>
          <t>Lovekilling</t>
        </is>
      </c>
      <c r="C1217" s="19" t="inlineStr">
        <is>
          <t>Mafia</t>
        </is>
      </c>
      <c r="D1217" s="19" t="inlineStr">
        <is>
          <t>Loss</t>
        </is>
      </c>
      <c r="E1217" s="19" t="n">
        <v>-81</v>
      </c>
      <c r="F1217" s="19" t="n">
        <v>21.6999256255512</v>
      </c>
      <c r="G1217" s="19" t="n">
        <v>20.4071091003487</v>
      </c>
      <c r="H1217" s="19" t="n">
        <v>8.089779864468071</v>
      </c>
      <c r="I1217" s="19" t="n">
        <v>644</v>
      </c>
      <c r="J1217" s="19" t="n">
        <v>563</v>
      </c>
      <c r="K1217" s="19" t="n">
        <v>8.154719384563339</v>
      </c>
    </row>
    <row r="1218">
      <c r="A1218" s="19" t="n">
        <v>71</v>
      </c>
      <c r="B1218" s="19" t="inlineStr">
        <is>
          <t>Whyin</t>
        </is>
      </c>
      <c r="C1218" s="19" t="inlineStr">
        <is>
          <t>Mafia</t>
        </is>
      </c>
      <c r="D1218" s="19" t="inlineStr">
        <is>
          <t>Loss</t>
        </is>
      </c>
      <c r="E1218" s="19" t="n">
        <v>-74</v>
      </c>
      <c r="F1218" s="19" t="n">
        <v>26.3334309875674</v>
      </c>
      <c r="G1218" s="19" t="n">
        <v>25.1641073693027</v>
      </c>
      <c r="H1218" s="19" t="n">
        <v>7.7001323490199</v>
      </c>
      <c r="I1218" s="19" t="n">
        <v>1000</v>
      </c>
      <c r="J1218" s="19" t="n">
        <v>926</v>
      </c>
      <c r="K1218" s="19" t="n">
        <v>7.75491237161758</v>
      </c>
    </row>
    <row r="1219">
      <c r="A1219" s="19" t="n">
        <v>71</v>
      </c>
      <c r="B1219" s="19" t="inlineStr">
        <is>
          <t>Brownkow</t>
        </is>
      </c>
      <c r="C1219" s="19" t="inlineStr">
        <is>
          <t>Mafia</t>
        </is>
      </c>
      <c r="D1219" s="19" t="inlineStr">
        <is>
          <t>Loss</t>
        </is>
      </c>
      <c r="E1219" s="19" t="n">
        <v>-72</v>
      </c>
      <c r="F1219" s="19" t="n">
        <v>31.5830588603322</v>
      </c>
      <c r="G1219" s="19" t="n">
        <v>30.4520050844756</v>
      </c>
      <c r="H1219" s="19" t="n">
        <v>7.57503585028238</v>
      </c>
      <c r="I1219" s="19" t="n">
        <v>1370</v>
      </c>
      <c r="J1219" s="19" t="n">
        <v>1298</v>
      </c>
      <c r="K1219" s="19" t="n">
        <v>7.62676149047269</v>
      </c>
    </row>
    <row r="1220">
      <c r="A1220" s="19" t="n">
        <v>70</v>
      </c>
      <c r="B1220" s="19" t="inlineStr">
        <is>
          <t>Lou</t>
        </is>
      </c>
      <c r="C1220" s="19" t="inlineStr">
        <is>
          <t>Town</t>
        </is>
      </c>
      <c r="D1220" s="19" t="inlineStr">
        <is>
          <t>Loss</t>
        </is>
      </c>
      <c r="E1220" s="19" t="n">
        <v>-16</v>
      </c>
      <c r="F1220" s="19" t="n">
        <v>27.7258082736363</v>
      </c>
      <c r="G1220" s="19" t="n">
        <v>27.4560970935198</v>
      </c>
      <c r="H1220" s="19" t="n">
        <v>7.51858146690891</v>
      </c>
      <c r="I1220" s="19" t="n">
        <v>1116</v>
      </c>
      <c r="J1220" s="19" t="n">
        <v>1100</v>
      </c>
      <c r="K1220" s="19" t="n">
        <v>7.53921433924414</v>
      </c>
    </row>
    <row r="1221">
      <c r="A1221" s="19" t="n">
        <v>70</v>
      </c>
      <c r="B1221" s="19" t="inlineStr">
        <is>
          <t>Matt</t>
        </is>
      </c>
      <c r="C1221" s="19" t="inlineStr">
        <is>
          <t>Town</t>
        </is>
      </c>
      <c r="D1221" s="19" t="inlineStr">
        <is>
          <t>Loss</t>
        </is>
      </c>
      <c r="E1221" s="19" t="n">
        <v>-19</v>
      </c>
      <c r="F1221" s="19" t="n">
        <v>24.0554241585169</v>
      </c>
      <c r="G1221" s="19" t="n">
        <v>23.7305146821809</v>
      </c>
      <c r="H1221" s="19" t="n">
        <v>8.24617208997083</v>
      </c>
      <c r="I1221" s="19" t="n">
        <v>792</v>
      </c>
      <c r="J1221" s="19" t="n">
        <v>773</v>
      </c>
      <c r="K1221" s="19" t="n">
        <v>8.275918589346849</v>
      </c>
    </row>
    <row r="1222">
      <c r="A1222" s="19" t="n">
        <v>70</v>
      </c>
      <c r="B1222" s="19" t="inlineStr">
        <is>
          <t>Doublea</t>
        </is>
      </c>
      <c r="C1222" s="19" t="inlineStr">
        <is>
          <t>Town</t>
        </is>
      </c>
      <c r="D1222" s="19" t="inlineStr">
        <is>
          <t>Loss</t>
        </is>
      </c>
      <c r="E1222" s="19" t="n">
        <v>-19</v>
      </c>
      <c r="F1222" s="19" t="n">
        <v>25.5825108728911</v>
      </c>
      <c r="G1222" s="19" t="n">
        <v>25.2620168536771</v>
      </c>
      <c r="H1222" s="19" t="n">
        <v>8.19042433363424</v>
      </c>
      <c r="I1222" s="19" t="n">
        <v>901</v>
      </c>
      <c r="J1222" s="19" t="n">
        <v>882</v>
      </c>
      <c r="K1222" s="19" t="n">
        <v>8.21941775703089</v>
      </c>
    </row>
    <row r="1223">
      <c r="A1223" s="19" t="n">
        <v>70</v>
      </c>
      <c r="B1223" s="19" t="inlineStr">
        <is>
          <t>Chipper</t>
        </is>
      </c>
      <c r="C1223" s="19" t="inlineStr">
        <is>
          <t>Town</t>
        </is>
      </c>
      <c r="D1223" s="19" t="inlineStr">
        <is>
          <t>Loss</t>
        </is>
      </c>
      <c r="E1223" s="19" t="n">
        <v>-17</v>
      </c>
      <c r="F1223" s="19" t="n">
        <v>21.733646473391</v>
      </c>
      <c r="G1223" s="19" t="n">
        <v>21.4487416037157</v>
      </c>
      <c r="H1223" s="19" t="n">
        <v>7.7259100555368</v>
      </c>
      <c r="I1223" s="19" t="n">
        <v>687</v>
      </c>
      <c r="J1223" s="19" t="n">
        <v>670</v>
      </c>
      <c r="K1223" s="19" t="n">
        <v>7.74898619822986</v>
      </c>
    </row>
    <row r="1224">
      <c r="A1224" s="19" t="n">
        <v>70</v>
      </c>
      <c r="B1224" s="19" t="inlineStr">
        <is>
          <t>Dani</t>
        </is>
      </c>
      <c r="C1224" s="19" t="inlineStr">
        <is>
          <t>Town</t>
        </is>
      </c>
      <c r="D1224" s="19" t="inlineStr">
        <is>
          <t>Loss</t>
        </is>
      </c>
      <c r="E1224" s="19" t="n">
        <v>-19</v>
      </c>
      <c r="F1224" s="19" t="n">
        <v>23.1634488245399</v>
      </c>
      <c r="G1224" s="19" t="n">
        <v>22.8443601532957</v>
      </c>
      <c r="H1224" s="19" t="n">
        <v>8.172598451050559</v>
      </c>
      <c r="I1224" s="19" t="n">
        <v>739</v>
      </c>
      <c r="J1224" s="19" t="n">
        <v>720</v>
      </c>
      <c r="K1224" s="19" t="n">
        <v>8.201353060092551</v>
      </c>
    </row>
    <row r="1225">
      <c r="A1225" s="19" t="n">
        <v>70</v>
      </c>
      <c r="B1225" s="19" t="inlineStr">
        <is>
          <t>Kden</t>
        </is>
      </c>
      <c r="C1225" s="19" t="inlineStr">
        <is>
          <t>Town</t>
        </is>
      </c>
      <c r="D1225" s="19" t="inlineStr">
        <is>
          <t>Loss</t>
        </is>
      </c>
      <c r="E1225" s="19" t="n">
        <v>-19</v>
      </c>
      <c r="F1225" s="19" t="n">
        <v>25.950940995953</v>
      </c>
      <c r="G1225" s="19" t="n">
        <v>25.6329722914931</v>
      </c>
      <c r="H1225" s="19" t="n">
        <v>8.15836359158669</v>
      </c>
      <c r="I1225" s="19" t="n">
        <v>930</v>
      </c>
      <c r="J1225" s="19" t="n">
        <v>911</v>
      </c>
      <c r="K1225" s="19" t="n">
        <v>8.186928184262429</v>
      </c>
    </row>
    <row r="1226">
      <c r="A1226" s="19" t="n">
        <v>70</v>
      </c>
      <c r="B1226" s="19" t="inlineStr">
        <is>
          <t>Plen</t>
        </is>
      </c>
      <c r="C1226" s="19" t="inlineStr">
        <is>
          <t>Town</t>
        </is>
      </c>
      <c r="D1226" s="19" t="inlineStr">
        <is>
          <t>Loss</t>
        </is>
      </c>
      <c r="E1226" s="19" t="n">
        <v>-18</v>
      </c>
      <c r="F1226" s="19" t="n">
        <v>23.464076476517</v>
      </c>
      <c r="G1226" s="19" t="n">
        <v>23.1722410257107</v>
      </c>
      <c r="H1226" s="19" t="n">
        <v>7.81860305170693</v>
      </c>
      <c r="I1226" s="19" t="n">
        <v>796</v>
      </c>
      <c r="J1226" s="19" t="n">
        <v>778</v>
      </c>
      <c r="K1226" s="19" t="n">
        <v>7.84281017712862</v>
      </c>
    </row>
    <row r="1227">
      <c r="A1227" s="19" t="n">
        <v>70</v>
      </c>
      <c r="B1227" s="19" t="inlineStr">
        <is>
          <t>Torharo</t>
        </is>
      </c>
      <c r="C1227" s="19" t="inlineStr">
        <is>
          <t>Town</t>
        </is>
      </c>
      <c r="D1227" s="19" t="inlineStr">
        <is>
          <t>Loss</t>
        </is>
      </c>
      <c r="E1227" s="19" t="n">
        <v>-18</v>
      </c>
      <c r="F1227" s="19" t="n">
        <v>26.0878108185139</v>
      </c>
      <c r="G1227" s="19" t="n">
        <v>25.7768023827674</v>
      </c>
      <c r="H1227" s="19" t="n">
        <v>8.0693159324522</v>
      </c>
      <c r="I1227" s="19" t="n">
        <v>948</v>
      </c>
      <c r="J1227" s="19" t="n">
        <v>930</v>
      </c>
      <c r="K1227" s="19" t="n">
        <v>8.096705648747839</v>
      </c>
    </row>
    <row r="1228">
      <c r="A1228" s="19" t="n">
        <v>70</v>
      </c>
      <c r="B1228" s="19" t="inlineStr">
        <is>
          <t>Machop</t>
        </is>
      </c>
      <c r="C1228" s="19" t="inlineStr">
        <is>
          <t>Town</t>
        </is>
      </c>
      <c r="D1228" s="19" t="inlineStr">
        <is>
          <t>Loss</t>
        </is>
      </c>
      <c r="E1228" s="19" t="n">
        <v>-17</v>
      </c>
      <c r="F1228" s="19" t="n">
        <v>30.0349392401571</v>
      </c>
      <c r="G1228" s="19" t="n">
        <v>29.761981522352</v>
      </c>
      <c r="H1228" s="19" t="n">
        <v>7.56337435197073</v>
      </c>
      <c r="I1228" s="19" t="n">
        <v>1269</v>
      </c>
      <c r="J1228" s="19" t="n">
        <v>1252</v>
      </c>
      <c r="K1228" s="19" t="n">
        <v>7.58452512680093</v>
      </c>
    </row>
    <row r="1229">
      <c r="A1229" s="19" t="n">
        <v>70</v>
      </c>
      <c r="B1229" s="19" t="inlineStr">
        <is>
          <t>Lombax</t>
        </is>
      </c>
      <c r="C1229" s="19" t="inlineStr">
        <is>
          <t>Town</t>
        </is>
      </c>
      <c r="D1229" s="19" t="inlineStr">
        <is>
          <t>Loss</t>
        </is>
      </c>
      <c r="E1229" s="19" t="n">
        <v>-18</v>
      </c>
      <c r="F1229" s="19" t="n">
        <v>24.0959941873115</v>
      </c>
      <c r="G1229" s="19" t="n">
        <v>23.7862429995345</v>
      </c>
      <c r="H1229" s="19" t="n">
        <v>8.053122541105591</v>
      </c>
      <c r="I1229" s="19" t="n">
        <v>814</v>
      </c>
      <c r="J1229" s="19" t="n">
        <v>796</v>
      </c>
      <c r="K1229" s="19" t="n">
        <v>8.08030114397574</v>
      </c>
    </row>
    <row r="1230">
      <c r="A1230" s="19" t="n">
        <v>70</v>
      </c>
      <c r="B1230" s="19" t="inlineStr">
        <is>
          <t>Mintt</t>
        </is>
      </c>
      <c r="C1230" s="19" t="inlineStr">
        <is>
          <t>Mafia</t>
        </is>
      </c>
      <c r="D1230" s="19" t="inlineStr">
        <is>
          <t>Win</t>
        </is>
      </c>
      <c r="E1230" s="19" t="n">
        <v>22</v>
      </c>
      <c r="F1230" s="19" t="n">
        <v>28.6400612427242</v>
      </c>
      <c r="G1230" s="19" t="n">
        <v>28.938469028206</v>
      </c>
      <c r="H1230" s="19" t="n">
        <v>7.90546981071238</v>
      </c>
      <c r="I1230" s="19" t="n">
        <v>1139</v>
      </c>
      <c r="J1230" s="19" t="n">
        <v>1161</v>
      </c>
      <c r="K1230" s="19" t="n">
        <v>7.93075900274757</v>
      </c>
    </row>
    <row r="1231">
      <c r="A1231" s="19" t="n">
        <v>70</v>
      </c>
      <c r="B1231" s="19" t="inlineStr">
        <is>
          <t>Levi</t>
        </is>
      </c>
      <c r="C1231" s="19" t="inlineStr">
        <is>
          <t>Mafia</t>
        </is>
      </c>
      <c r="D1231" s="19" t="inlineStr">
        <is>
          <t>Win</t>
        </is>
      </c>
      <c r="E1231" s="19" t="n">
        <v>25</v>
      </c>
      <c r="F1231" s="19" t="n">
        <v>26.5541887808928</v>
      </c>
      <c r="G1231" s="19" t="n">
        <v>26.8779593469079</v>
      </c>
      <c r="H1231" s="19" t="n">
        <v>8.231830053733219</v>
      </c>
      <c r="I1231" s="19" t="n">
        <v>963</v>
      </c>
      <c r="J1231" s="19" t="n">
        <v>988</v>
      </c>
      <c r="K1231" s="19" t="n">
        <v>8.26138190836253</v>
      </c>
    </row>
    <row r="1232">
      <c r="A1232" s="19" t="n">
        <v>70</v>
      </c>
      <c r="B1232" s="19" t="inlineStr">
        <is>
          <t>Rocker</t>
        </is>
      </c>
      <c r="C1232" s="19" t="inlineStr">
        <is>
          <t>Mafia</t>
        </is>
      </c>
      <c r="D1232" s="19" t="inlineStr">
        <is>
          <t>Win</t>
        </is>
      </c>
      <c r="E1232" s="19" t="n">
        <v>21</v>
      </c>
      <c r="F1232" s="19" t="n">
        <v>32.4795377756982</v>
      </c>
      <c r="G1232" s="19" t="n">
        <v>32.7537083939213</v>
      </c>
      <c r="H1232" s="19" t="n">
        <v>7.58003900789882</v>
      </c>
      <c r="I1232" s="19" t="n">
        <v>1433</v>
      </c>
      <c r="J1232" s="19" t="n">
        <v>1454</v>
      </c>
      <c r="K1232" s="19" t="n">
        <v>7.60138385086704</v>
      </c>
    </row>
    <row r="1233">
      <c r="A1233" s="19" t="n">
        <v>69</v>
      </c>
      <c r="B1233" s="19" t="inlineStr">
        <is>
          <t>Torharo</t>
        </is>
      </c>
      <c r="C1233" s="19" t="inlineStr">
        <is>
          <t>Town</t>
        </is>
      </c>
      <c r="D1233" s="19" t="inlineStr">
        <is>
          <t>Win</t>
        </is>
      </c>
      <c r="E1233" s="19" t="n">
        <v>93</v>
      </c>
      <c r="F1233" s="19" t="n">
        <v>24.8127188022083</v>
      </c>
      <c r="G1233" s="19" t="n">
        <v>26.0878108185139</v>
      </c>
      <c r="H1233" s="19" t="n">
        <v>8.096705648747839</v>
      </c>
      <c r="I1233" s="19" t="n">
        <v>855</v>
      </c>
      <c r="J1233" s="19" t="n">
        <v>948</v>
      </c>
      <c r="K1233" s="19" t="n">
        <v>8.1561336408411</v>
      </c>
    </row>
    <row r="1234">
      <c r="A1234" s="19" t="n">
        <v>69</v>
      </c>
      <c r="B1234" s="19" t="inlineStr">
        <is>
          <t>Lou</t>
        </is>
      </c>
      <c r="C1234" s="19" t="inlineStr">
        <is>
          <t>Town</t>
        </is>
      </c>
      <c r="D1234" s="19" t="inlineStr">
        <is>
          <t>Win</t>
        </is>
      </c>
      <c r="E1234" s="19" t="n">
        <v>79</v>
      </c>
      <c r="F1234" s="19" t="n">
        <v>26.6226576977234</v>
      </c>
      <c r="G1234" s="19" t="n">
        <v>27.7258082736363</v>
      </c>
      <c r="H1234" s="19" t="n">
        <v>7.53921433924414</v>
      </c>
      <c r="I1234" s="19" t="n">
        <v>1037</v>
      </c>
      <c r="J1234" s="19" t="n">
        <v>1116</v>
      </c>
      <c r="K1234" s="19" t="n">
        <v>7.58551676974223</v>
      </c>
    </row>
    <row r="1235">
      <c r="A1235" s="19" t="n">
        <v>69</v>
      </c>
      <c r="B1235" s="19" t="inlineStr">
        <is>
          <t>Doublea</t>
        </is>
      </c>
      <c r="C1235" s="19" t="inlineStr">
        <is>
          <t>Town</t>
        </is>
      </c>
      <c r="D1235" s="19" t="inlineStr">
        <is>
          <t>Win</t>
        </is>
      </c>
      <c r="E1235" s="19" t="n">
        <v>96</v>
      </c>
      <c r="F1235" s="19" t="n">
        <v>24.267818245546</v>
      </c>
      <c r="G1235" s="19" t="n">
        <v>25.5825108728911</v>
      </c>
      <c r="H1235" s="19" t="n">
        <v>8.21941775703089</v>
      </c>
      <c r="I1235" s="19" t="n">
        <v>805</v>
      </c>
      <c r="J1235" s="19" t="n">
        <v>901</v>
      </c>
      <c r="K1235" s="19" t="n">
        <v>8.28198677646767</v>
      </c>
    </row>
    <row r="1236">
      <c r="A1236" s="19" t="n">
        <v>69</v>
      </c>
      <c r="B1236" s="19" t="inlineStr">
        <is>
          <t>Creatchee</t>
        </is>
      </c>
      <c r="C1236" s="19" t="inlineStr">
        <is>
          <t>Town</t>
        </is>
      </c>
      <c r="D1236" s="19" t="inlineStr">
        <is>
          <t>Win</t>
        </is>
      </c>
      <c r="E1236" s="19" t="n">
        <v>83</v>
      </c>
      <c r="F1236" s="19" t="n">
        <v>29.4508323524781</v>
      </c>
      <c r="G1236" s="19" t="n">
        <v>30.5932777260055</v>
      </c>
      <c r="H1236" s="19" t="n">
        <v>7.67041461379865</v>
      </c>
      <c r="I1236" s="19" t="n">
        <v>1215</v>
      </c>
      <c r="J1236" s="19" t="n">
        <v>1298</v>
      </c>
      <c r="K1236" s="19" t="n">
        <v>7.71964232067458</v>
      </c>
    </row>
    <row r="1237">
      <c r="A1237" s="19" t="n">
        <v>69</v>
      </c>
      <c r="B1237" s="19" t="inlineStr">
        <is>
          <t>Wyz</t>
        </is>
      </c>
      <c r="C1237" s="19" t="inlineStr">
        <is>
          <t>Town</t>
        </is>
      </c>
      <c r="D1237" s="19" t="inlineStr">
        <is>
          <t>Win</t>
        </is>
      </c>
      <c r="E1237" s="19" t="n">
        <v>97</v>
      </c>
      <c r="F1237" s="19" t="n">
        <v>25</v>
      </c>
      <c r="G1237" s="19" t="n">
        <v>26.3310233622301</v>
      </c>
      <c r="H1237" s="19" t="n">
        <v>8.26945635328887</v>
      </c>
      <c r="I1237" s="19" t="n">
        <v>850</v>
      </c>
      <c r="J1237" s="19" t="n">
        <v>947</v>
      </c>
      <c r="K1237" s="19" t="n">
        <v>8.33333333333333</v>
      </c>
    </row>
    <row r="1238">
      <c r="A1238" s="19" t="n">
        <v>69</v>
      </c>
      <c r="B1238" s="19" t="inlineStr">
        <is>
          <t>Mintt</t>
        </is>
      </c>
      <c r="C1238" s="19" t="inlineStr">
        <is>
          <t>Town</t>
        </is>
      </c>
      <c r="D1238" s="19" t="inlineStr">
        <is>
          <t>Win</t>
        </is>
      </c>
      <c r="E1238" s="19" t="n">
        <v>89</v>
      </c>
      <c r="F1238" s="19" t="n">
        <v>27.4175124945964</v>
      </c>
      <c r="G1238" s="19" t="n">
        <v>28.6400612427242</v>
      </c>
      <c r="H1238" s="19" t="n">
        <v>7.93075900274757</v>
      </c>
      <c r="I1238" s="19" t="n">
        <v>1050</v>
      </c>
      <c r="J1238" s="19" t="n">
        <v>1139</v>
      </c>
      <c r="K1238" s="19" t="n">
        <v>7.98608697753111</v>
      </c>
    </row>
    <row r="1239">
      <c r="A1239" s="19" t="n">
        <v>69</v>
      </c>
      <c r="B1239" s="19" t="inlineStr">
        <is>
          <t>Smit</t>
        </is>
      </c>
      <c r="C1239" s="19" t="inlineStr">
        <is>
          <t>Town</t>
        </is>
      </c>
      <c r="D1239" s="19" t="inlineStr">
        <is>
          <t>Win</t>
        </is>
      </c>
      <c r="E1239" s="19" t="n">
        <v>84</v>
      </c>
      <c r="F1239" s="19" t="n">
        <v>25.0066925517834</v>
      </c>
      <c r="G1239" s="19" t="n">
        <v>26.1658575285833</v>
      </c>
      <c r="H1239" s="19" t="n">
        <v>7.72552416724334</v>
      </c>
      <c r="I1239" s="19" t="n">
        <v>907</v>
      </c>
      <c r="J1239" s="19" t="n">
        <v>991</v>
      </c>
      <c r="K1239" s="19" t="n">
        <v>7.77601003367273</v>
      </c>
    </row>
    <row r="1240">
      <c r="A1240" s="19" t="n">
        <v>69</v>
      </c>
      <c r="B1240" s="19" t="inlineStr">
        <is>
          <t>Machop</t>
        </is>
      </c>
      <c r="C1240" s="19" t="inlineStr">
        <is>
          <t>Town</t>
        </is>
      </c>
      <c r="D1240" s="19" t="inlineStr">
        <is>
          <t>Win</t>
        </is>
      </c>
      <c r="E1240" s="19" t="n">
        <v>81</v>
      </c>
      <c r="F1240" s="19" t="n">
        <v>28.9182990603794</v>
      </c>
      <c r="G1240" s="19" t="n">
        <v>30.0349392401571</v>
      </c>
      <c r="H1240" s="19" t="n">
        <v>7.58452512680093</v>
      </c>
      <c r="I1240" s="19" t="n">
        <v>1188</v>
      </c>
      <c r="J1240" s="19" t="n">
        <v>1269</v>
      </c>
      <c r="K1240" s="19" t="n">
        <v>7.63182675709886</v>
      </c>
    </row>
    <row r="1241">
      <c r="A1241" s="19" t="n">
        <v>69</v>
      </c>
      <c r="B1241" s="19" t="inlineStr">
        <is>
          <t>Kden</t>
        </is>
      </c>
      <c r="C1241" s="19" t="inlineStr">
        <is>
          <t>Town</t>
        </is>
      </c>
      <c r="D1241" s="19" t="inlineStr">
        <is>
          <t>Win</t>
        </is>
      </c>
      <c r="E1241" s="19" t="n">
        <v>95</v>
      </c>
      <c r="F1241" s="19" t="n">
        <v>24.6467950410632</v>
      </c>
      <c r="G1241" s="19" t="n">
        <v>25.950940995953</v>
      </c>
      <c r="H1241" s="19" t="n">
        <v>8.186928184262429</v>
      </c>
      <c r="I1241" s="19" t="n">
        <v>835</v>
      </c>
      <c r="J1241" s="19" t="n">
        <v>930</v>
      </c>
      <c r="K1241" s="19" t="n">
        <v>8.248656415475709</v>
      </c>
    </row>
    <row r="1242">
      <c r="A1242" s="19" t="n">
        <v>69</v>
      </c>
      <c r="B1242" s="19" t="inlineStr">
        <is>
          <t>Brownkow</t>
        </is>
      </c>
      <c r="C1242" s="19" t="inlineStr">
        <is>
          <t>Town</t>
        </is>
      </c>
      <c r="D1242" s="19" t="inlineStr">
        <is>
          <t>Win</t>
        </is>
      </c>
      <c r="E1242" s="19" t="n">
        <v>82</v>
      </c>
      <c r="F1242" s="19" t="n">
        <v>30.4537673551028</v>
      </c>
      <c r="G1242" s="19" t="n">
        <v>31.5830588603322</v>
      </c>
      <c r="H1242" s="19" t="n">
        <v>7.62676149047269</v>
      </c>
      <c r="I1242" s="19" t="n">
        <v>1288</v>
      </c>
      <c r="J1242" s="19" t="n">
        <v>1370</v>
      </c>
      <c r="K1242" s="19" t="n">
        <v>7.67500500643665</v>
      </c>
    </row>
    <row r="1243">
      <c r="A1243" s="19" t="n">
        <v>69</v>
      </c>
      <c r="B1243" s="19" t="inlineStr">
        <is>
          <t>Keegan</t>
        </is>
      </c>
      <c r="C1243" s="19" t="inlineStr">
        <is>
          <t>Town</t>
        </is>
      </c>
      <c r="D1243" s="19" t="inlineStr">
        <is>
          <t>Win</t>
        </is>
      </c>
      <c r="E1243" s="19" t="n">
        <v>94</v>
      </c>
      <c r="F1243" s="19" t="n">
        <v>27.6229519114694</v>
      </c>
      <c r="G1243" s="19" t="n">
        <v>28.9124074730134</v>
      </c>
      <c r="H1243" s="19" t="n">
        <v>8.141442808748639</v>
      </c>
      <c r="I1243" s="19" t="n">
        <v>1042</v>
      </c>
      <c r="J1243" s="19" t="n">
        <v>1136</v>
      </c>
      <c r="K1243" s="19" t="n">
        <v>8.20200504890779</v>
      </c>
    </row>
    <row r="1244">
      <c r="A1244" s="19" t="n">
        <v>69</v>
      </c>
      <c r="B1244" s="19" t="inlineStr">
        <is>
          <t>Badpants</t>
        </is>
      </c>
      <c r="C1244" s="19" t="inlineStr">
        <is>
          <t>Mafia</t>
        </is>
      </c>
      <c r="D1244" s="19" t="inlineStr">
        <is>
          <t>Loss</t>
        </is>
      </c>
      <c r="E1244" s="19" t="n">
        <v>-74</v>
      </c>
      <c r="F1244" s="19" t="n">
        <v>22.0846855604377</v>
      </c>
      <c r="G1244" s="19" t="n">
        <v>20.925910412411</v>
      </c>
      <c r="H1244" s="19" t="n">
        <v>7.72424399544438</v>
      </c>
      <c r="I1244" s="19" t="n">
        <v>709</v>
      </c>
      <c r="J1244" s="19" t="n">
        <v>635</v>
      </c>
      <c r="K1244" s="19" t="n">
        <v>7.77470043578346</v>
      </c>
    </row>
    <row r="1245">
      <c r="A1245" s="19" t="n">
        <v>69</v>
      </c>
      <c r="B1245" s="19" t="inlineStr">
        <is>
          <t>Lombax</t>
        </is>
      </c>
      <c r="C1245" s="19" t="inlineStr">
        <is>
          <t>Mafia</t>
        </is>
      </c>
      <c r="D1245" s="19" t="inlineStr">
        <is>
          <t>Loss</t>
        </is>
      </c>
      <c r="E1245" s="19" t="n">
        <v>-81</v>
      </c>
      <c r="F1245" s="19" t="n">
        <v>25.3658404404358</v>
      </c>
      <c r="G1245" s="19" t="n">
        <v>24.0959941873115</v>
      </c>
      <c r="H1245" s="19" t="n">
        <v>8.08030114397574</v>
      </c>
      <c r="I1245" s="19" t="n">
        <v>895</v>
      </c>
      <c r="J1245" s="19" t="n">
        <v>814</v>
      </c>
      <c r="K1245" s="19" t="n">
        <v>8.139316326796539</v>
      </c>
    </row>
    <row r="1246">
      <c r="A1246" s="19" t="n">
        <v>69</v>
      </c>
      <c r="B1246" s="19" t="inlineStr">
        <is>
          <t>Rocker</t>
        </is>
      </c>
      <c r="C1246" s="19" t="inlineStr">
        <is>
          <t>Mafia</t>
        </is>
      </c>
      <c r="D1246" s="19" t="inlineStr">
        <is>
          <t>Loss</t>
        </is>
      </c>
      <c r="E1246" s="19" t="n">
        <v>-72</v>
      </c>
      <c r="F1246" s="19" t="n">
        <v>33.6012188404456</v>
      </c>
      <c r="G1246" s="19" t="n">
        <v>32.4795377756982</v>
      </c>
      <c r="H1246" s="19" t="n">
        <v>7.60138385086704</v>
      </c>
      <c r="I1246" s="19" t="n">
        <v>1505</v>
      </c>
      <c r="J1246" s="19" t="n">
        <v>1433</v>
      </c>
      <c r="K1246" s="19" t="n">
        <v>7.64906021924261</v>
      </c>
    </row>
    <row r="1247">
      <c r="A1247" s="19" t="n">
        <v>68</v>
      </c>
      <c r="B1247" s="19" t="inlineStr">
        <is>
          <t>Whyin</t>
        </is>
      </c>
      <c r="C1247" s="19" t="inlineStr">
        <is>
          <t>Town</t>
        </is>
      </c>
      <c r="D1247" s="19" t="inlineStr">
        <is>
          <t>Loss</t>
        </is>
      </c>
      <c r="E1247" s="19" t="n">
        <v>-53</v>
      </c>
      <c r="F1247" s="19" t="n">
        <v>27.190366404947</v>
      </c>
      <c r="G1247" s="19" t="n">
        <v>26.3334309875674</v>
      </c>
      <c r="H1247" s="19" t="n">
        <v>7.75491237161758</v>
      </c>
      <c r="I1247" s="19" t="n">
        <v>1053</v>
      </c>
      <c r="J1247" s="19" t="n">
        <v>1000</v>
      </c>
      <c r="K1247" s="19" t="n">
        <v>7.80314711411403</v>
      </c>
    </row>
    <row r="1248">
      <c r="A1248" s="19" t="n">
        <v>68</v>
      </c>
      <c r="B1248" s="19" t="inlineStr">
        <is>
          <t>Rocker</t>
        </is>
      </c>
      <c r="C1248" s="19" t="inlineStr">
        <is>
          <t>Town</t>
        </is>
      </c>
      <c r="D1248" s="19" t="inlineStr">
        <is>
          <t>Loss</t>
        </is>
      </c>
      <c r="E1248" s="19" t="n">
        <v>-52</v>
      </c>
      <c r="F1248" s="19" t="n">
        <v>34.4345999872136</v>
      </c>
      <c r="G1248" s="19" t="n">
        <v>33.6012188404456</v>
      </c>
      <c r="H1248" s="19" t="n">
        <v>7.64906021924261</v>
      </c>
      <c r="I1248" s="19" t="n">
        <v>1557</v>
      </c>
      <c r="J1248" s="19" t="n">
        <v>1505</v>
      </c>
      <c r="K1248" s="19" t="n">
        <v>7.69499801924069</v>
      </c>
    </row>
    <row r="1249">
      <c r="A1249" s="19" t="n">
        <v>68</v>
      </c>
      <c r="B1249" s="19" t="inlineStr">
        <is>
          <t>Plen</t>
        </is>
      </c>
      <c r="C1249" s="19" t="inlineStr">
        <is>
          <t>Town</t>
        </is>
      </c>
      <c r="D1249" s="19" t="inlineStr">
        <is>
          <t>Loss</t>
        </is>
      </c>
      <c r="E1249" s="19" t="n">
        <v>-54</v>
      </c>
      <c r="F1249" s="19" t="n">
        <v>24.3408311793184</v>
      </c>
      <c r="G1249" s="19" t="n">
        <v>23.464076476517</v>
      </c>
      <c r="H1249" s="19" t="n">
        <v>7.84281017712862</v>
      </c>
      <c r="I1249" s="19" t="n">
        <v>850</v>
      </c>
      <c r="J1249" s="19" t="n">
        <v>796</v>
      </c>
      <c r="K1249" s="19" t="n">
        <v>7.89299914701772</v>
      </c>
    </row>
    <row r="1250">
      <c r="A1250" s="19" t="n">
        <v>68</v>
      </c>
      <c r="B1250" s="19" t="inlineStr">
        <is>
          <t>Noah</t>
        </is>
      </c>
      <c r="C1250" s="19" t="inlineStr">
        <is>
          <t>Town</t>
        </is>
      </c>
      <c r="D1250" s="19" t="inlineStr">
        <is>
          <t>Loss</t>
        </is>
      </c>
      <c r="E1250" s="19" t="n">
        <v>-53</v>
      </c>
      <c r="F1250" s="19" t="n">
        <v>28.195561742326</v>
      </c>
      <c r="G1250" s="19" t="n">
        <v>27.3448468863479</v>
      </c>
      <c r="H1250" s="19" t="n">
        <v>7.72710625820324</v>
      </c>
      <c r="I1250" s="19" t="n">
        <v>1124</v>
      </c>
      <c r="J1250" s="19" t="n">
        <v>1071</v>
      </c>
      <c r="K1250" s="19" t="n">
        <v>7.77473168538647</v>
      </c>
    </row>
    <row r="1251">
      <c r="A1251" s="19" t="n">
        <v>68</v>
      </c>
      <c r="B1251" s="19" t="inlineStr">
        <is>
          <t>Lovekilling</t>
        </is>
      </c>
      <c r="C1251" s="19" t="inlineStr">
        <is>
          <t>Town</t>
        </is>
      </c>
      <c r="D1251" s="19" t="inlineStr">
        <is>
          <t>Loss</t>
        </is>
      </c>
      <c r="E1251" s="19" t="n">
        <v>-58</v>
      </c>
      <c r="F1251" s="19" t="n">
        <v>22.6489226804138</v>
      </c>
      <c r="G1251" s="19" t="n">
        <v>21.6999256255512</v>
      </c>
      <c r="H1251" s="19" t="n">
        <v>8.154719384563339</v>
      </c>
      <c r="I1251" s="19" t="n">
        <v>702</v>
      </c>
      <c r="J1251" s="19" t="n">
        <v>644</v>
      </c>
      <c r="K1251" s="19" t="n">
        <v>8.212196170902731</v>
      </c>
    </row>
    <row r="1252">
      <c r="A1252" s="19" t="n">
        <v>68</v>
      </c>
      <c r="B1252" s="19" t="inlineStr">
        <is>
          <t>Kwix</t>
        </is>
      </c>
      <c r="C1252" s="19" t="inlineStr">
        <is>
          <t>Town</t>
        </is>
      </c>
      <c r="D1252" s="19" t="inlineStr">
        <is>
          <t>Loss</t>
        </is>
      </c>
      <c r="E1252" s="19" t="n">
        <v>-55</v>
      </c>
      <c r="F1252" s="19" t="n">
        <v>23.5983216507644</v>
      </c>
      <c r="G1252" s="19" t="n">
        <v>22.6991172516359</v>
      </c>
      <c r="H1252" s="19" t="n">
        <v>7.9411303077882</v>
      </c>
      <c r="I1252" s="19" t="n">
        <v>789</v>
      </c>
      <c r="J1252" s="19" t="n">
        <v>734</v>
      </c>
      <c r="K1252" s="19" t="n">
        <v>7.99355646366102</v>
      </c>
    </row>
    <row r="1253">
      <c r="A1253" s="19" t="n">
        <v>68</v>
      </c>
      <c r="B1253" s="19" t="inlineStr">
        <is>
          <t>Creatchee</t>
        </is>
      </c>
      <c r="C1253" s="19" t="inlineStr">
        <is>
          <t>Town</t>
        </is>
      </c>
      <c r="D1253" s="19" t="inlineStr">
        <is>
          <t>Loss</t>
        </is>
      </c>
      <c r="E1253" s="19" t="n">
        <v>-53</v>
      </c>
      <c r="F1253" s="19" t="n">
        <v>30.2998814572283</v>
      </c>
      <c r="G1253" s="19" t="n">
        <v>29.4508323524781</v>
      </c>
      <c r="H1253" s="19" t="n">
        <v>7.71964232067458</v>
      </c>
      <c r="I1253" s="19" t="n">
        <v>1268</v>
      </c>
      <c r="J1253" s="19" t="n">
        <v>1215</v>
      </c>
      <c r="K1253" s="19" t="n">
        <v>7.76710491352165</v>
      </c>
    </row>
    <row r="1254">
      <c r="A1254" s="19" t="n">
        <v>68</v>
      </c>
      <c r="B1254" s="19" t="inlineStr">
        <is>
          <t>Chipper</t>
        </is>
      </c>
      <c r="C1254" s="19" t="inlineStr">
        <is>
          <t>Town</t>
        </is>
      </c>
      <c r="D1254" s="19" t="inlineStr">
        <is>
          <t>Loss</t>
        </is>
      </c>
      <c r="E1254" s="19" t="n">
        <v>-54</v>
      </c>
      <c r="F1254" s="19" t="n">
        <v>22.5892541535788</v>
      </c>
      <c r="G1254" s="19" t="n">
        <v>21.733646473391</v>
      </c>
      <c r="H1254" s="19" t="n">
        <v>7.74898619822986</v>
      </c>
      <c r="I1254" s="19" t="n">
        <v>741</v>
      </c>
      <c r="J1254" s="19" t="n">
        <v>687</v>
      </c>
      <c r="K1254" s="19" t="n">
        <v>7.79709072383951</v>
      </c>
    </row>
    <row r="1255">
      <c r="A1255" s="19" t="n">
        <v>68</v>
      </c>
      <c r="B1255" s="19" t="inlineStr">
        <is>
          <t>Brownkow</t>
        </is>
      </c>
      <c r="C1255" s="19" t="inlineStr">
        <is>
          <t>Town</t>
        </is>
      </c>
      <c r="D1255" s="19" t="inlineStr">
        <is>
          <t>Loss</t>
        </is>
      </c>
      <c r="E1255" s="19" t="n">
        <v>-52</v>
      </c>
      <c r="F1255" s="19" t="n">
        <v>31.2928901087864</v>
      </c>
      <c r="G1255" s="19" t="n">
        <v>30.4537673551028</v>
      </c>
      <c r="H1255" s="19" t="n">
        <v>7.67500500643665</v>
      </c>
      <c r="I1255" s="19" t="n">
        <v>1340</v>
      </c>
      <c r="J1255" s="19" t="n">
        <v>1288</v>
      </c>
      <c r="K1255" s="19" t="n">
        <v>7.72150014272364</v>
      </c>
    </row>
    <row r="1256">
      <c r="A1256" s="19" t="n">
        <v>68</v>
      </c>
      <c r="B1256" s="19" t="inlineStr">
        <is>
          <t>Aipha</t>
        </is>
      </c>
      <c r="C1256" s="19" t="inlineStr">
        <is>
          <t>Town</t>
        </is>
      </c>
      <c r="D1256" s="19" t="inlineStr">
        <is>
          <t>Loss</t>
        </is>
      </c>
      <c r="E1256" s="19" t="n">
        <v>-57</v>
      </c>
      <c r="F1256" s="19" t="n">
        <v>28.5960169350924</v>
      </c>
      <c r="G1256" s="19" t="n">
        <v>27.6798703019774</v>
      </c>
      <c r="H1256" s="19" t="n">
        <v>8.01448387321874</v>
      </c>
      <c r="I1256" s="19" t="n">
        <v>1122</v>
      </c>
      <c r="J1256" s="19" t="n">
        <v>1065</v>
      </c>
      <c r="K1256" s="19" t="n">
        <v>8.06861487592853</v>
      </c>
    </row>
    <row r="1257">
      <c r="A1257" s="19" t="n">
        <v>68</v>
      </c>
      <c r="B1257" s="19" t="inlineStr">
        <is>
          <t>Smit</t>
        </is>
      </c>
      <c r="C1257" s="19" t="inlineStr">
        <is>
          <t>Mafia</t>
        </is>
      </c>
      <c r="D1257" s="19" t="inlineStr">
        <is>
          <t>Win</t>
        </is>
      </c>
      <c r="E1257" s="19" t="n">
        <v>63</v>
      </c>
      <c r="F1257" s="19" t="n">
        <v>24.1450215674304</v>
      </c>
      <c r="G1257" s="19" t="n">
        <v>25.0066925517834</v>
      </c>
      <c r="H1257" s="19" t="n">
        <v>7.77601003367273</v>
      </c>
      <c r="I1257" s="19" t="n">
        <v>844</v>
      </c>
      <c r="J1257" s="19" t="n">
        <v>907</v>
      </c>
      <c r="K1257" s="19" t="n">
        <v>7.82470993152922</v>
      </c>
    </row>
    <row r="1258">
      <c r="A1258" s="19" t="n">
        <v>68</v>
      </c>
      <c r="B1258" s="19" t="inlineStr">
        <is>
          <t>Mintt</t>
        </is>
      </c>
      <c r="C1258" s="19" t="inlineStr">
        <is>
          <t>Mafia</t>
        </is>
      </c>
      <c r="D1258" s="19" t="inlineStr">
        <is>
          <t>Win</t>
        </is>
      </c>
      <c r="E1258" s="19" t="n">
        <v>67</v>
      </c>
      <c r="F1258" s="19" t="n">
        <v>26.5079442094009</v>
      </c>
      <c r="G1258" s="19" t="n">
        <v>27.4175124945964</v>
      </c>
      <c r="H1258" s="19" t="n">
        <v>7.98608697753111</v>
      </c>
      <c r="I1258" s="19" t="n">
        <v>983</v>
      </c>
      <c r="J1258" s="19" t="n">
        <v>1050</v>
      </c>
      <c r="K1258" s="19" t="n">
        <v>8.039554340744701</v>
      </c>
    </row>
    <row r="1259">
      <c r="A1259" s="19" t="n">
        <v>68</v>
      </c>
      <c r="B1259" s="19" t="inlineStr">
        <is>
          <t>Kny</t>
        </is>
      </c>
      <c r="C1259" s="19" t="inlineStr">
        <is>
          <t>Mafia</t>
        </is>
      </c>
      <c r="D1259" s="19" t="inlineStr">
        <is>
          <t>Win</t>
        </is>
      </c>
      <c r="E1259" s="19" t="n">
        <v>67</v>
      </c>
      <c r="F1259" s="19" t="n">
        <v>27.4855968488769</v>
      </c>
      <c r="G1259" s="19" t="n">
        <v>28.3976313450147</v>
      </c>
      <c r="H1259" s="19" t="n">
        <v>7.99674546475772</v>
      </c>
      <c r="I1259" s="19" t="n">
        <v>1048</v>
      </c>
      <c r="J1259" s="19" t="n">
        <v>1115</v>
      </c>
      <c r="K1259" s="19" t="n">
        <v>8.05046137568482</v>
      </c>
    </row>
    <row r="1260">
      <c r="A1260" s="19" t="n">
        <v>67</v>
      </c>
      <c r="B1260" s="19" t="inlineStr">
        <is>
          <t>23flash</t>
        </is>
      </c>
      <c r="C1260" s="19" t="inlineStr">
        <is>
          <t>Town</t>
        </is>
      </c>
      <c r="D1260" s="19" t="inlineStr">
        <is>
          <t>Win</t>
        </is>
      </c>
      <c r="E1260" s="19" t="n">
        <v>101</v>
      </c>
      <c r="F1260" s="19" t="n">
        <v>25.2727187611963</v>
      </c>
      <c r="G1260" s="19" t="n">
        <v>26.6670623047574</v>
      </c>
      <c r="H1260" s="19" t="n">
        <v>8.177223331396499</v>
      </c>
      <c r="I1260" s="19" t="n">
        <v>878</v>
      </c>
      <c r="J1260" s="19" t="n">
        <v>979</v>
      </c>
      <c r="K1260" s="19" t="n">
        <v>8.24002482982114</v>
      </c>
    </row>
    <row r="1261">
      <c r="A1261" s="19" t="n">
        <v>67</v>
      </c>
      <c r="B1261" s="19" t="inlineStr">
        <is>
          <t>Lou</t>
        </is>
      </c>
      <c r="C1261" s="19" t="inlineStr">
        <is>
          <t>Town</t>
        </is>
      </c>
      <c r="D1261" s="19" t="inlineStr">
        <is>
          <t>Win</t>
        </is>
      </c>
      <c r="E1261" s="19" t="n">
        <v>87</v>
      </c>
      <c r="F1261" s="19" t="n">
        <v>25.4256437112752</v>
      </c>
      <c r="G1261" s="19" t="n">
        <v>26.6226576977234</v>
      </c>
      <c r="H1261" s="19" t="n">
        <v>7.58551676974223</v>
      </c>
      <c r="I1261" s="19" t="n">
        <v>950</v>
      </c>
      <c r="J1261" s="19" t="n">
        <v>1037</v>
      </c>
      <c r="K1261" s="19" t="n">
        <v>7.63388798361939</v>
      </c>
    </row>
    <row r="1262">
      <c r="A1262" s="19" t="n">
        <v>67</v>
      </c>
      <c r="B1262" s="19" t="inlineStr">
        <is>
          <t>Streety</t>
        </is>
      </c>
      <c r="C1262" s="19" t="inlineStr">
        <is>
          <t>Town</t>
        </is>
      </c>
      <c r="D1262" s="19" t="inlineStr">
        <is>
          <t>Win</t>
        </is>
      </c>
      <c r="E1262" s="19" t="n">
        <v>99</v>
      </c>
      <c r="F1262" s="19" t="n">
        <v>26.3447292311311</v>
      </c>
      <c r="G1262" s="19" t="n">
        <v>27.7117517499523</v>
      </c>
      <c r="H1262" s="19" t="n">
        <v>8.098043755329419</v>
      </c>
      <c r="I1262" s="19" t="n">
        <v>959</v>
      </c>
      <c r="J1262" s="19" t="n">
        <v>1058</v>
      </c>
      <c r="K1262" s="19" t="n">
        <v>8.15878910106481</v>
      </c>
    </row>
    <row r="1263">
      <c r="A1263" s="19" t="n">
        <v>67</v>
      </c>
      <c r="B1263" s="19" t="inlineStr">
        <is>
          <t>Whyin</t>
        </is>
      </c>
      <c r="C1263" s="19" t="inlineStr">
        <is>
          <t>Town</t>
        </is>
      </c>
      <c r="D1263" s="19" t="inlineStr">
        <is>
          <t>Win</t>
        </is>
      </c>
      <c r="E1263" s="19" t="n">
        <v>92</v>
      </c>
      <c r="F1263" s="19" t="n">
        <v>25.922606029312</v>
      </c>
      <c r="G1263" s="19" t="n">
        <v>27.190366404947</v>
      </c>
      <c r="H1263" s="19" t="n">
        <v>7.80314711411403</v>
      </c>
      <c r="I1263" s="19" t="n">
        <v>961</v>
      </c>
      <c r="J1263" s="19" t="n">
        <v>1053</v>
      </c>
      <c r="K1263" s="19" t="n">
        <v>7.85657880056369</v>
      </c>
    </row>
    <row r="1264">
      <c r="A1264" s="19" t="n">
        <v>67</v>
      </c>
      <c r="B1264" s="19" t="inlineStr">
        <is>
          <t>Boobles</t>
        </is>
      </c>
      <c r="C1264" s="19" t="inlineStr">
        <is>
          <t>Town</t>
        </is>
      </c>
      <c r="D1264" s="19" t="inlineStr">
        <is>
          <t>Win</t>
        </is>
      </c>
      <c r="E1264" s="19" t="n">
        <v>93</v>
      </c>
      <c r="F1264" s="19" t="n">
        <v>26.7529225971842</v>
      </c>
      <c r="G1264" s="19" t="n">
        <v>28.0459811454124</v>
      </c>
      <c r="H1264" s="19" t="n">
        <v>7.87942166758777</v>
      </c>
      <c r="I1264" s="19" t="n">
        <v>1010</v>
      </c>
      <c r="J1264" s="19" t="n">
        <v>1103</v>
      </c>
      <c r="K1264" s="19" t="n">
        <v>7.93469382164342</v>
      </c>
    </row>
    <row r="1265">
      <c r="A1265" s="19" t="n">
        <v>67</v>
      </c>
      <c r="B1265" s="19" t="inlineStr">
        <is>
          <t>Rocker</t>
        </is>
      </c>
      <c r="C1265" s="19" t="inlineStr">
        <is>
          <t>Town</t>
        </is>
      </c>
      <c r="D1265" s="19" t="inlineStr">
        <is>
          <t>Win</t>
        </is>
      </c>
      <c r="E1265" s="19" t="n">
        <v>89</v>
      </c>
      <c r="F1265" s="19" t="n">
        <v>33.2022616402093</v>
      </c>
      <c r="G1265" s="19" t="n">
        <v>34.4345999872136</v>
      </c>
      <c r="H1265" s="19" t="n">
        <v>7.69499801924069</v>
      </c>
      <c r="I1265" s="19" t="n">
        <v>1468</v>
      </c>
      <c r="J1265" s="19" t="n">
        <v>1557</v>
      </c>
      <c r="K1265" s="19" t="n">
        <v>7.74587999885548</v>
      </c>
    </row>
    <row r="1266">
      <c r="A1266" s="19" t="n">
        <v>67</v>
      </c>
      <c r="B1266" s="19" t="inlineStr">
        <is>
          <t>Qe</t>
        </is>
      </c>
      <c r="C1266" s="19" t="inlineStr">
        <is>
          <t>Town</t>
        </is>
      </c>
      <c r="D1266" s="19" t="inlineStr">
        <is>
          <t>Win</t>
        </is>
      </c>
      <c r="E1266" s="19" t="n">
        <v>104</v>
      </c>
      <c r="F1266" s="19" t="n">
        <v>25</v>
      </c>
      <c r="G1266" s="19" t="n">
        <v>26.4260588714491</v>
      </c>
      <c r="H1266" s="19" t="n">
        <v>8.26812188715467</v>
      </c>
      <c r="I1266" s="19" t="n">
        <v>850</v>
      </c>
      <c r="J1266" s="19" t="n">
        <v>954</v>
      </c>
      <c r="K1266" s="19" t="n">
        <v>8.33333333333333</v>
      </c>
    </row>
    <row r="1267">
      <c r="A1267" s="19" t="n">
        <v>67</v>
      </c>
      <c r="B1267" s="19" t="inlineStr">
        <is>
          <t>Creatchee</t>
        </is>
      </c>
      <c r="C1267" s="19" t="inlineStr">
        <is>
          <t>Town</t>
        </is>
      </c>
      <c r="D1267" s="19" t="inlineStr">
        <is>
          <t>Win</t>
        </is>
      </c>
      <c r="E1267" s="19" t="n">
        <v>91</v>
      </c>
      <c r="F1267" s="19" t="n">
        <v>29.0439842980178</v>
      </c>
      <c r="G1267" s="19" t="n">
        <v>30.2998814572283</v>
      </c>
      <c r="H1267" s="19" t="n">
        <v>7.76710491352165</v>
      </c>
      <c r="I1267" s="19" t="n">
        <v>1177</v>
      </c>
      <c r="J1267" s="19" t="n">
        <v>1268</v>
      </c>
      <c r="K1267" s="19" t="n">
        <v>7.81967912161225</v>
      </c>
    </row>
    <row r="1268">
      <c r="A1268" s="19" t="n">
        <v>67</v>
      </c>
      <c r="B1268" s="19" t="inlineStr">
        <is>
          <t>Kny</t>
        </is>
      </c>
      <c r="C1268" s="19" t="inlineStr">
        <is>
          <t>Town</t>
        </is>
      </c>
      <c r="D1268" s="19" t="inlineStr">
        <is>
          <t>Win</t>
        </is>
      </c>
      <c r="E1268" s="19" t="n">
        <v>98</v>
      </c>
      <c r="F1268" s="19" t="n">
        <v>26.1348561423519</v>
      </c>
      <c r="G1268" s="19" t="n">
        <v>27.4855968488769</v>
      </c>
      <c r="H1268" s="19" t="n">
        <v>8.05046137568482</v>
      </c>
      <c r="I1268" s="19" t="n">
        <v>950</v>
      </c>
      <c r="J1268" s="19" t="n">
        <v>1048</v>
      </c>
      <c r="K1268" s="19" t="n">
        <v>8.109990169733519</v>
      </c>
    </row>
    <row r="1269">
      <c r="A1269" s="19" t="n">
        <v>67</v>
      </c>
      <c r="B1269" s="19" t="inlineStr">
        <is>
          <t>Plen</t>
        </is>
      </c>
      <c r="C1269" s="19" t="inlineStr">
        <is>
          <t>Town</t>
        </is>
      </c>
      <c r="D1269" s="19" t="inlineStr">
        <is>
          <t>Win</t>
        </is>
      </c>
      <c r="E1269" s="19" t="n">
        <v>94</v>
      </c>
      <c r="F1269" s="19" t="n">
        <v>23.0432419051791</v>
      </c>
      <c r="G1269" s="19" t="n">
        <v>24.3408311793184</v>
      </c>
      <c r="H1269" s="19" t="n">
        <v>7.89299914701772</v>
      </c>
      <c r="I1269" s="19" t="n">
        <v>756</v>
      </c>
      <c r="J1269" s="19" t="n">
        <v>850</v>
      </c>
      <c r="K1269" s="19" t="n">
        <v>7.94860262230463</v>
      </c>
    </row>
    <row r="1270">
      <c r="A1270" s="19" t="n">
        <v>67</v>
      </c>
      <c r="B1270" s="19" t="inlineStr">
        <is>
          <t>Noah</t>
        </is>
      </c>
      <c r="C1270" s="19" t="inlineStr">
        <is>
          <t>Town</t>
        </is>
      </c>
      <c r="D1270" s="19" t="inlineStr">
        <is>
          <t>Win</t>
        </is>
      </c>
      <c r="E1270" s="19" t="n">
        <v>91</v>
      </c>
      <c r="F1270" s="19" t="n">
        <v>26.937159113893</v>
      </c>
      <c r="G1270" s="19" t="n">
        <v>28.195561742326</v>
      </c>
      <c r="H1270" s="19" t="n">
        <v>7.77473168538647</v>
      </c>
      <c r="I1270" s="19" t="n">
        <v>1033</v>
      </c>
      <c r="J1270" s="19" t="n">
        <v>1124</v>
      </c>
      <c r="K1270" s="19" t="n">
        <v>7.8274866922439</v>
      </c>
    </row>
    <row r="1271">
      <c r="A1271" s="19" t="n">
        <v>67</v>
      </c>
      <c r="B1271" s="19" t="inlineStr">
        <is>
          <t>Smit</t>
        </is>
      </c>
      <c r="C1271" s="19" t="inlineStr">
        <is>
          <t>Mafia</t>
        </is>
      </c>
      <c r="D1271" s="19" t="inlineStr">
        <is>
          <t>Loss</t>
        </is>
      </c>
      <c r="E1271" s="19" t="n">
        <v>-81</v>
      </c>
      <c r="F1271" s="19" t="n">
        <v>25.4199072073494</v>
      </c>
      <c r="G1271" s="19" t="n">
        <v>24.1450215674304</v>
      </c>
      <c r="H1271" s="19" t="n">
        <v>7.82470993152922</v>
      </c>
      <c r="I1271" s="19" t="n">
        <v>925</v>
      </c>
      <c r="J1271" s="19" t="n">
        <v>844</v>
      </c>
      <c r="K1271" s="19" t="n">
        <v>7.87865835063158</v>
      </c>
    </row>
    <row r="1272">
      <c r="A1272" s="19" t="n">
        <v>67</v>
      </c>
      <c r="B1272" s="19" t="inlineStr">
        <is>
          <t>Lovekilling</t>
        </is>
      </c>
      <c r="C1272" s="19" t="inlineStr">
        <is>
          <t>Mafia</t>
        </is>
      </c>
      <c r="D1272" s="19" t="inlineStr">
        <is>
          <t>Loss</t>
        </is>
      </c>
      <c r="E1272" s="19" t="n">
        <v>-90</v>
      </c>
      <c r="F1272" s="19" t="n">
        <v>24.0554241585169</v>
      </c>
      <c r="G1272" s="19" t="n">
        <v>22.6489226804138</v>
      </c>
      <c r="H1272" s="19" t="n">
        <v>8.212196170902731</v>
      </c>
      <c r="I1272" s="19" t="n">
        <v>792</v>
      </c>
      <c r="J1272" s="19" t="n">
        <v>702</v>
      </c>
      <c r="K1272" s="19" t="n">
        <v>8.275918589346849</v>
      </c>
    </row>
    <row r="1273">
      <c r="A1273" s="19" t="n">
        <v>67</v>
      </c>
      <c r="B1273" s="19" t="inlineStr">
        <is>
          <t>Brownkow</t>
        </is>
      </c>
      <c r="C1273" s="19" t="inlineStr">
        <is>
          <t>Mafia</t>
        </is>
      </c>
      <c r="D1273" s="19" t="inlineStr">
        <is>
          <t>Loss</t>
        </is>
      </c>
      <c r="E1273" s="19" t="n">
        <v>-79</v>
      </c>
      <c r="F1273" s="19" t="n">
        <v>32.5338601385527</v>
      </c>
      <c r="G1273" s="19" t="n">
        <v>31.2928901087864</v>
      </c>
      <c r="H1273" s="19" t="n">
        <v>7.72150014272364</v>
      </c>
      <c r="I1273" s="19" t="n">
        <v>1419</v>
      </c>
      <c r="J1273" s="19" t="n">
        <v>1340</v>
      </c>
      <c r="K1273" s="19" t="n">
        <v>7.77300049411759</v>
      </c>
    </row>
    <row r="1274">
      <c r="A1274" s="19" t="n">
        <v>66</v>
      </c>
      <c r="B1274" s="19" t="inlineStr">
        <is>
          <t>Plen</t>
        </is>
      </c>
      <c r="C1274" s="19" t="inlineStr">
        <is>
          <t>Town</t>
        </is>
      </c>
      <c r="D1274" s="19" t="inlineStr">
        <is>
          <t>Loss</t>
        </is>
      </c>
      <c r="E1274" s="19" t="n">
        <v>-21</v>
      </c>
      <c r="F1274" s="19" t="n">
        <v>23.3949100664963</v>
      </c>
      <c r="G1274" s="19" t="n">
        <v>23.0432419051791</v>
      </c>
      <c r="H1274" s="19" t="n">
        <v>7.94860262230463</v>
      </c>
      <c r="I1274" s="19" t="n">
        <v>777</v>
      </c>
      <c r="J1274" s="19" t="n">
        <v>756</v>
      </c>
      <c r="K1274" s="19" t="n">
        <v>7.97760670412844</v>
      </c>
    </row>
    <row r="1275">
      <c r="A1275" s="19" t="n">
        <v>66</v>
      </c>
      <c r="B1275" s="19" t="inlineStr">
        <is>
          <t>Whyin</t>
        </is>
      </c>
      <c r="C1275" s="19" t="inlineStr">
        <is>
          <t>Town</t>
        </is>
      </c>
      <c r="D1275" s="19" t="inlineStr">
        <is>
          <t>Loss</t>
        </is>
      </c>
      <c r="E1275" s="19" t="n">
        <v>-21</v>
      </c>
      <c r="F1275" s="19" t="n">
        <v>26.2661088761511</v>
      </c>
      <c r="G1275" s="19" t="n">
        <v>25.922606029312</v>
      </c>
      <c r="H1275" s="19" t="n">
        <v>7.85657880056369</v>
      </c>
      <c r="I1275" s="19" t="n">
        <v>982</v>
      </c>
      <c r="J1275" s="19" t="n">
        <v>961</v>
      </c>
      <c r="K1275" s="19" t="n">
        <v>7.88431499854336</v>
      </c>
    </row>
    <row r="1276">
      <c r="A1276" s="19" t="n">
        <v>66</v>
      </c>
      <c r="B1276" s="19" t="inlineStr">
        <is>
          <t>Smit</t>
        </is>
      </c>
      <c r="C1276" s="19" t="inlineStr">
        <is>
          <t>Town</t>
        </is>
      </c>
      <c r="D1276" s="19" t="inlineStr">
        <is>
          <t>Loss</t>
        </is>
      </c>
      <c r="E1276" s="19" t="n">
        <v>-21</v>
      </c>
      <c r="F1276" s="19" t="n">
        <v>25.7653602088458</v>
      </c>
      <c r="G1276" s="19" t="n">
        <v>25.4199072073494</v>
      </c>
      <c r="H1276" s="19" t="n">
        <v>7.87865835063158</v>
      </c>
      <c r="I1276" s="19" t="n">
        <v>946</v>
      </c>
      <c r="J1276" s="19" t="n">
        <v>925</v>
      </c>
      <c r="K1276" s="19" t="n">
        <v>7.90669628417275</v>
      </c>
    </row>
    <row r="1277">
      <c r="A1277" s="19" t="n">
        <v>66</v>
      </c>
      <c r="B1277" s="19" t="inlineStr">
        <is>
          <t>Badpants</t>
        </is>
      </c>
      <c r="C1277" s="19" t="inlineStr">
        <is>
          <t>Town</t>
        </is>
      </c>
      <c r="D1277" s="19" t="inlineStr">
        <is>
          <t>Loss</t>
        </is>
      </c>
      <c r="E1277" s="19" t="n">
        <v>-20</v>
      </c>
      <c r="F1277" s="19" t="n">
        <v>22.4210060024575</v>
      </c>
      <c r="G1277" s="19" t="n">
        <v>22.0846855604377</v>
      </c>
      <c r="H1277" s="19" t="n">
        <v>7.77470043578346</v>
      </c>
      <c r="I1277" s="19" t="n">
        <v>729</v>
      </c>
      <c r="J1277" s="19" t="n">
        <v>709</v>
      </c>
      <c r="K1277" s="19" t="n">
        <v>7.80133118597678</v>
      </c>
    </row>
    <row r="1278">
      <c r="A1278" s="19" t="n">
        <v>66</v>
      </c>
      <c r="B1278" s="19" t="inlineStr">
        <is>
          <t>Chipper</t>
        </is>
      </c>
      <c r="C1278" s="19" t="inlineStr">
        <is>
          <t>Town</t>
        </is>
      </c>
      <c r="D1278" s="19" t="inlineStr">
        <is>
          <t>Loss</t>
        </is>
      </c>
      <c r="E1278" s="19" t="n">
        <v>-20</v>
      </c>
      <c r="F1278" s="19" t="n">
        <v>22.9275309503503</v>
      </c>
      <c r="G1278" s="19" t="n">
        <v>22.5892541535788</v>
      </c>
      <c r="H1278" s="19" t="n">
        <v>7.79709072383951</v>
      </c>
      <c r="I1278" s="19" t="n">
        <v>761</v>
      </c>
      <c r="J1278" s="19" t="n">
        <v>741</v>
      </c>
      <c r="K1278" s="19" t="n">
        <v>7.82402166660461</v>
      </c>
    </row>
    <row r="1279">
      <c r="A1279" s="19" t="n">
        <v>66</v>
      </c>
      <c r="B1279" s="19" t="inlineStr">
        <is>
          <t>Machop</t>
        </is>
      </c>
      <c r="C1279" s="19" t="inlineStr">
        <is>
          <t>Town</t>
        </is>
      </c>
      <c r="D1279" s="19" t="inlineStr">
        <is>
          <t>Loss</t>
        </is>
      </c>
      <c r="E1279" s="19" t="n">
        <v>-20</v>
      </c>
      <c r="F1279" s="19" t="n">
        <v>29.2422728046845</v>
      </c>
      <c r="G1279" s="19" t="n">
        <v>28.9182990603794</v>
      </c>
      <c r="H1279" s="19" t="n">
        <v>7.63182675709886</v>
      </c>
      <c r="I1279" s="19" t="n">
        <v>1208</v>
      </c>
      <c r="J1279" s="19" t="n">
        <v>1188</v>
      </c>
      <c r="K1279" s="19" t="n">
        <v>7.6565787227973</v>
      </c>
    </row>
    <row r="1280">
      <c r="A1280" s="19" t="n">
        <v>66</v>
      </c>
      <c r="B1280" s="19" t="inlineStr">
        <is>
          <t>Lou</t>
        </is>
      </c>
      <c r="C1280" s="19" t="inlineStr">
        <is>
          <t>Town</t>
        </is>
      </c>
      <c r="D1280" s="19" t="inlineStr">
        <is>
          <t>Loss</t>
        </is>
      </c>
      <c r="E1280" s="19" t="n">
        <v>-20</v>
      </c>
      <c r="F1280" s="19" t="n">
        <v>25.7497938985702</v>
      </c>
      <c r="G1280" s="19" t="n">
        <v>25.4256437112752</v>
      </c>
      <c r="H1280" s="19" t="n">
        <v>7.63388798361939</v>
      </c>
      <c r="I1280" s="19" t="n">
        <v>970</v>
      </c>
      <c r="J1280" s="19" t="n">
        <v>950</v>
      </c>
      <c r="K1280" s="19" t="n">
        <v>7.6586666068129</v>
      </c>
    </row>
    <row r="1281">
      <c r="A1281" s="19" t="n">
        <v>66</v>
      </c>
      <c r="B1281" s="19" t="inlineStr">
        <is>
          <t>Dani</t>
        </is>
      </c>
      <c r="C1281" s="19" t="inlineStr">
        <is>
          <t>Town</t>
        </is>
      </c>
      <c r="D1281" s="19" t="inlineStr">
        <is>
          <t>Loss</t>
        </is>
      </c>
      <c r="E1281" s="19" t="n">
        <v>-22</v>
      </c>
      <c r="F1281" s="19" t="n">
        <v>23.5380507287392</v>
      </c>
      <c r="G1281" s="19" t="n">
        <v>23.1634488245399</v>
      </c>
      <c r="H1281" s="19" t="n">
        <v>8.201353060092551</v>
      </c>
      <c r="I1281" s="19" t="n">
        <v>761</v>
      </c>
      <c r="J1281" s="19" t="n">
        <v>739</v>
      </c>
      <c r="K1281" s="19" t="n">
        <v>8.23398148087694</v>
      </c>
    </row>
    <row r="1282">
      <c r="A1282" s="19" t="n">
        <v>66</v>
      </c>
      <c r="B1282" s="19" t="inlineStr">
        <is>
          <t>Lombax</t>
        </is>
      </c>
      <c r="C1282" s="19" t="inlineStr">
        <is>
          <t>Town</t>
        </is>
      </c>
      <c r="D1282" s="19" t="inlineStr">
        <is>
          <t>Loss</t>
        </is>
      </c>
      <c r="E1282" s="19" t="n">
        <v>-22</v>
      </c>
      <c r="F1282" s="19" t="n">
        <v>25.7347444005578</v>
      </c>
      <c r="G1282" s="19" t="n">
        <v>25.3658404404358</v>
      </c>
      <c r="H1282" s="19" t="n">
        <v>8.139316326796539</v>
      </c>
      <c r="I1282" s="19" t="n">
        <v>917</v>
      </c>
      <c r="J1282" s="19" t="n">
        <v>895</v>
      </c>
      <c r="K1282" s="19" t="n">
        <v>8.17103558557489</v>
      </c>
    </row>
    <row r="1283">
      <c r="A1283" s="19" t="n">
        <v>66</v>
      </c>
      <c r="B1283" s="19" t="inlineStr">
        <is>
          <t>Iln</t>
        </is>
      </c>
      <c r="C1283" s="19" t="inlineStr">
        <is>
          <t>Town</t>
        </is>
      </c>
      <c r="D1283" s="19" t="inlineStr">
        <is>
          <t>Loss</t>
        </is>
      </c>
      <c r="E1283" s="19" t="n">
        <v>-20</v>
      </c>
      <c r="F1283" s="19" t="n">
        <v>22.3346121476319</v>
      </c>
      <c r="G1283" s="19" t="n">
        <v>21.997625144505</v>
      </c>
      <c r="H1283" s="19" t="n">
        <v>7.78233664382065</v>
      </c>
      <c r="I1283" s="19" t="n">
        <v>722</v>
      </c>
      <c r="J1283" s="19" t="n">
        <v>702</v>
      </c>
      <c r="K1283" s="19" t="n">
        <v>7.80906959774633</v>
      </c>
    </row>
    <row r="1284">
      <c r="A1284" s="19" t="n">
        <v>66</v>
      </c>
      <c r="B1284" s="19" t="inlineStr">
        <is>
          <t>Aipha</t>
        </is>
      </c>
      <c r="C1284" s="19" t="inlineStr">
        <is>
          <t>Mafia</t>
        </is>
      </c>
      <c r="D1284" s="19" t="inlineStr">
        <is>
          <t>Win</t>
        </is>
      </c>
      <c r="E1284" s="19" t="n">
        <v>28</v>
      </c>
      <c r="F1284" s="19" t="n">
        <v>28.23355204466</v>
      </c>
      <c r="G1284" s="19" t="n">
        <v>28.5960169350924</v>
      </c>
      <c r="H1284" s="19" t="n">
        <v>8.06861487592853</v>
      </c>
      <c r="I1284" s="19" t="n">
        <v>1094</v>
      </c>
      <c r="J1284" s="19" t="n">
        <v>1122</v>
      </c>
      <c r="K1284" s="19" t="n">
        <v>8.099313622116551</v>
      </c>
    </row>
    <row r="1285">
      <c r="A1285" s="19" t="n">
        <v>66</v>
      </c>
      <c r="B1285" s="19" t="inlineStr">
        <is>
          <t>Kden</t>
        </is>
      </c>
      <c r="C1285" s="19" t="inlineStr">
        <is>
          <t>Mafia</t>
        </is>
      </c>
      <c r="D1285" s="19" t="inlineStr">
        <is>
          <t>Win</t>
        </is>
      </c>
      <c r="E1285" s="19" t="n">
        <v>30</v>
      </c>
      <c r="F1285" s="19" t="n">
        <v>24.267818245546</v>
      </c>
      <c r="G1285" s="19" t="n">
        <v>24.6467950410632</v>
      </c>
      <c r="H1285" s="19" t="n">
        <v>8.248656415475709</v>
      </c>
      <c r="I1285" s="19" t="n">
        <v>805</v>
      </c>
      <c r="J1285" s="19" t="n">
        <v>835</v>
      </c>
      <c r="K1285" s="19" t="n">
        <v>8.28198677646767</v>
      </c>
    </row>
    <row r="1286">
      <c r="A1286" s="19" t="n">
        <v>66</v>
      </c>
      <c r="B1286" s="19" t="inlineStr">
        <is>
          <t>Brownkow</t>
        </is>
      </c>
      <c r="C1286" s="19" t="inlineStr">
        <is>
          <t>Mafia</t>
        </is>
      </c>
      <c r="D1286" s="19" t="inlineStr">
        <is>
          <t>Win</t>
        </is>
      </c>
      <c r="E1286" s="19" t="n">
        <v>25</v>
      </c>
      <c r="F1286" s="19" t="n">
        <v>32.1976879915869</v>
      </c>
      <c r="G1286" s="19" t="n">
        <v>32.5338601385527</v>
      </c>
      <c r="H1286" s="19" t="n">
        <v>7.77300049411759</v>
      </c>
      <c r="I1286" s="19" t="n">
        <v>1394</v>
      </c>
      <c r="J1286" s="19" t="n">
        <v>1419</v>
      </c>
      <c r="K1286" s="19" t="n">
        <v>7.7996085170221</v>
      </c>
    </row>
    <row r="1287">
      <c r="A1287" s="19" t="n">
        <v>65</v>
      </c>
      <c r="B1287" s="19" t="inlineStr">
        <is>
          <t>Rocker</t>
        </is>
      </c>
      <c r="C1287" s="19" t="inlineStr">
        <is>
          <t>Town</t>
        </is>
      </c>
      <c r="D1287" s="19" t="inlineStr">
        <is>
          <t>Win</t>
        </is>
      </c>
      <c r="E1287" s="19" t="n">
        <v>58</v>
      </c>
      <c r="F1287" s="19" t="n">
        <v>32.4266080218</v>
      </c>
      <c r="G1287" s="19" t="n">
        <v>33.2022616402093</v>
      </c>
      <c r="H1287" s="19" t="n">
        <v>7.74587999885548</v>
      </c>
      <c r="I1287" s="19" t="n">
        <v>1410</v>
      </c>
      <c r="J1287" s="19" t="n">
        <v>1468</v>
      </c>
      <c r="K1287" s="19" t="n">
        <v>7.79156021967353</v>
      </c>
    </row>
    <row r="1288">
      <c r="A1288" s="19" t="n">
        <v>65</v>
      </c>
      <c r="B1288" s="19" t="inlineStr">
        <is>
          <t>Mintt</t>
        </is>
      </c>
      <c r="C1288" s="19" t="inlineStr">
        <is>
          <t>Town</t>
        </is>
      </c>
      <c r="D1288" s="19" t="inlineStr">
        <is>
          <t>Win</t>
        </is>
      </c>
      <c r="E1288" s="19" t="n">
        <v>63</v>
      </c>
      <c r="F1288" s="19" t="n">
        <v>25.6714859287472</v>
      </c>
      <c r="G1288" s="19" t="n">
        <v>26.5079442094009</v>
      </c>
      <c r="H1288" s="19" t="n">
        <v>8.039554340744701</v>
      </c>
      <c r="I1288" s="19" t="n">
        <v>920</v>
      </c>
      <c r="J1288" s="19" t="n">
        <v>983</v>
      </c>
      <c r="K1288" s="19" t="n">
        <v>8.09163087247352</v>
      </c>
    </row>
    <row r="1289">
      <c r="A1289" s="19" t="n">
        <v>65</v>
      </c>
      <c r="B1289" s="19" t="inlineStr">
        <is>
          <t>Machop</t>
        </is>
      </c>
      <c r="C1289" s="19" t="inlineStr">
        <is>
          <t>Town</t>
        </is>
      </c>
      <c r="D1289" s="19" t="inlineStr">
        <is>
          <t>Win</t>
        </is>
      </c>
      <c r="E1289" s="19" t="n">
        <v>56</v>
      </c>
      <c r="F1289" s="19" t="n">
        <v>28.4846354870632</v>
      </c>
      <c r="G1289" s="19" t="n">
        <v>29.2422728046845</v>
      </c>
      <c r="H1289" s="19" t="n">
        <v>7.6565787227973</v>
      </c>
      <c r="I1289" s="19" t="n">
        <v>1152</v>
      </c>
      <c r="J1289" s="19" t="n">
        <v>1208</v>
      </c>
      <c r="K1289" s="19" t="n">
        <v>7.70040458358712</v>
      </c>
    </row>
    <row r="1290">
      <c r="A1290" s="19" t="n">
        <v>65</v>
      </c>
      <c r="B1290" s="19" t="inlineStr">
        <is>
          <t>Lou</t>
        </is>
      </c>
      <c r="C1290" s="19" t="inlineStr">
        <is>
          <t>Town</t>
        </is>
      </c>
      <c r="D1290" s="19" t="inlineStr">
        <is>
          <t>Win</t>
        </is>
      </c>
      <c r="E1290" s="19" t="n">
        <v>56</v>
      </c>
      <c r="F1290" s="19" t="n">
        <v>24.9917378691638</v>
      </c>
      <c r="G1290" s="19" t="n">
        <v>25.7497938985702</v>
      </c>
      <c r="H1290" s="19" t="n">
        <v>7.6586666068129</v>
      </c>
      <c r="I1290" s="19" t="n">
        <v>914</v>
      </c>
      <c r="J1290" s="19" t="n">
        <v>970</v>
      </c>
      <c r="K1290" s="19" t="n">
        <v>7.70253535060898</v>
      </c>
    </row>
    <row r="1291">
      <c r="A1291" s="19" t="n">
        <v>65</v>
      </c>
      <c r="B1291" s="19" t="inlineStr">
        <is>
          <t>Lombax</t>
        </is>
      </c>
      <c r="C1291" s="19" t="inlineStr">
        <is>
          <t>Town</t>
        </is>
      </c>
      <c r="D1291" s="19" t="inlineStr">
        <is>
          <t>Win</t>
        </is>
      </c>
      <c r="E1291" s="19" t="n">
        <v>65</v>
      </c>
      <c r="F1291" s="19" t="n">
        <v>24.8702866424351</v>
      </c>
      <c r="G1291" s="19" t="n">
        <v>25.7347444005578</v>
      </c>
      <c r="H1291" s="19" t="n">
        <v>8.17103558557489</v>
      </c>
      <c r="I1291" s="19" t="n">
        <v>852</v>
      </c>
      <c r="J1291" s="19" t="n">
        <v>917</v>
      </c>
      <c r="K1291" s="19" t="n">
        <v>8.226128248724031</v>
      </c>
    </row>
    <row r="1292">
      <c r="A1292" s="19" t="n">
        <v>65</v>
      </c>
      <c r="B1292" s="19" t="inlineStr">
        <is>
          <t>Laur</t>
        </is>
      </c>
      <c r="C1292" s="19" t="inlineStr">
        <is>
          <t>Town</t>
        </is>
      </c>
      <c r="D1292" s="19" t="inlineStr">
        <is>
          <t>Win</t>
        </is>
      </c>
      <c r="E1292" s="19" t="n">
        <v>61</v>
      </c>
      <c r="F1292" s="19" t="n">
        <v>29.7921207542803</v>
      </c>
      <c r="G1292" s="19" t="n">
        <v>30.6121792185004</v>
      </c>
      <c r="H1292" s="19" t="n">
        <v>7.96147423811732</v>
      </c>
      <c r="I1292" s="19" t="n">
        <v>1209</v>
      </c>
      <c r="J1292" s="19" t="n">
        <v>1270</v>
      </c>
      <c r="K1292" s="19" t="n">
        <v>8.01180478416055</v>
      </c>
    </row>
    <row r="1293">
      <c r="A1293" s="19" t="n">
        <v>65</v>
      </c>
      <c r="B1293" s="19" t="inlineStr">
        <is>
          <t>Keegan</t>
        </is>
      </c>
      <c r="C1293" s="19" t="inlineStr">
        <is>
          <t>Town</t>
        </is>
      </c>
      <c r="D1293" s="19" t="inlineStr">
        <is>
          <t>Win</t>
        </is>
      </c>
      <c r="E1293" s="19" t="n">
        <v>65</v>
      </c>
      <c r="F1293" s="19" t="n">
        <v>26.7518289517197</v>
      </c>
      <c r="G1293" s="19" t="n">
        <v>27.6229519114694</v>
      </c>
      <c r="H1293" s="19" t="n">
        <v>8.20200504890779</v>
      </c>
      <c r="I1293" s="19" t="n">
        <v>977</v>
      </c>
      <c r="J1293" s="19" t="n">
        <v>1042</v>
      </c>
      <c r="K1293" s="19" t="n">
        <v>8.257822200655889</v>
      </c>
    </row>
    <row r="1294">
      <c r="A1294" s="19" t="n">
        <v>65</v>
      </c>
      <c r="B1294" s="19" t="inlineStr">
        <is>
          <t>Creatchee</t>
        </is>
      </c>
      <c r="C1294" s="19" t="inlineStr">
        <is>
          <t>Town</t>
        </is>
      </c>
      <c r="D1294" s="19" t="inlineStr">
        <is>
          <t>Win</t>
        </is>
      </c>
      <c r="E1294" s="19" t="n">
        <v>58</v>
      </c>
      <c r="F1294" s="19" t="n">
        <v>28.2532755679642</v>
      </c>
      <c r="G1294" s="19" t="n">
        <v>29.0439842980178</v>
      </c>
      <c r="H1294" s="19" t="n">
        <v>7.81967912161225</v>
      </c>
      <c r="I1294" s="19" t="n">
        <v>1119</v>
      </c>
      <c r="J1294" s="19" t="n">
        <v>1177</v>
      </c>
      <c r="K1294" s="19" t="n">
        <v>7.8669233074972</v>
      </c>
    </row>
    <row r="1295">
      <c r="A1295" s="19" t="n">
        <v>65</v>
      </c>
      <c r="B1295" s="19" t="inlineStr">
        <is>
          <t>Brownkow</t>
        </is>
      </c>
      <c r="C1295" s="19" t="inlineStr">
        <is>
          <t>Town</t>
        </is>
      </c>
      <c r="D1295" s="19" t="inlineStr">
        <is>
          <t>Win</t>
        </is>
      </c>
      <c r="E1295" s="19" t="n">
        <v>58</v>
      </c>
      <c r="F1295" s="19" t="n">
        <v>31.4110886061014</v>
      </c>
      <c r="G1295" s="19" t="n">
        <v>32.1976879915869</v>
      </c>
      <c r="H1295" s="19" t="n">
        <v>7.7996085170221</v>
      </c>
      <c r="I1295" s="19" t="n">
        <v>1336</v>
      </c>
      <c r="J1295" s="19" t="n">
        <v>1394</v>
      </c>
      <c r="K1295" s="19" t="n">
        <v>7.84642451694702</v>
      </c>
    </row>
    <row r="1296">
      <c r="A1296" s="19" t="n">
        <v>65</v>
      </c>
      <c r="B1296" s="19" t="inlineStr">
        <is>
          <t>Badpants</t>
        </is>
      </c>
      <c r="C1296" s="19" t="inlineStr">
        <is>
          <t>Town</t>
        </is>
      </c>
      <c r="D1296" s="19" t="inlineStr">
        <is>
          <t>Win</t>
        </is>
      </c>
      <c r="E1296" s="19" t="n">
        <v>58</v>
      </c>
      <c r="F1296" s="19" t="n">
        <v>21.6340543474784</v>
      </c>
      <c r="G1296" s="19" t="n">
        <v>22.4210060024575</v>
      </c>
      <c r="H1296" s="19" t="n">
        <v>7.80133118597678</v>
      </c>
      <c r="I1296" s="19" t="n">
        <v>671</v>
      </c>
      <c r="J1296" s="19" t="n">
        <v>729</v>
      </c>
      <c r="K1296" s="19" t="n">
        <v>7.84818385361965</v>
      </c>
    </row>
    <row r="1297">
      <c r="A1297" s="19" t="n">
        <v>65</v>
      </c>
      <c r="B1297" s="19" t="inlineStr">
        <is>
          <t>Smit</t>
        </is>
      </c>
      <c r="C1297" s="19" t="inlineStr">
        <is>
          <t>Mafia</t>
        </is>
      </c>
      <c r="D1297" s="19" t="inlineStr">
        <is>
          <t>Loss</t>
        </is>
      </c>
      <c r="E1297" s="19" t="n">
        <v>-50</v>
      </c>
      <c r="F1297" s="19" t="n">
        <v>26.5740142655903</v>
      </c>
      <c r="G1297" s="19" t="n">
        <v>25.7653602088458</v>
      </c>
      <c r="H1297" s="19" t="n">
        <v>7.90669628417275</v>
      </c>
      <c r="I1297" s="19" t="n">
        <v>996</v>
      </c>
      <c r="J1297" s="19" t="n">
        <v>946</v>
      </c>
      <c r="K1297" s="19" t="n">
        <v>7.95582170721179</v>
      </c>
    </row>
    <row r="1298">
      <c r="A1298" s="19" t="n">
        <v>65</v>
      </c>
      <c r="B1298" s="19" t="inlineStr">
        <is>
          <t>Iln</t>
        </is>
      </c>
      <c r="C1298" s="19" t="inlineStr">
        <is>
          <t>Mafia</t>
        </is>
      </c>
      <c r="D1298" s="19" t="inlineStr">
        <is>
          <t>Loss</t>
        </is>
      </c>
      <c r="E1298" s="19" t="n">
        <v>-49</v>
      </c>
      <c r="F1298" s="19" t="n">
        <v>23.1231472476224</v>
      </c>
      <c r="G1298" s="19" t="n">
        <v>22.3346121476319</v>
      </c>
      <c r="H1298" s="19" t="n">
        <v>7.80906959774633</v>
      </c>
      <c r="I1298" s="19" t="n">
        <v>771</v>
      </c>
      <c r="J1298" s="19" t="n">
        <v>722</v>
      </c>
      <c r="K1298" s="19" t="n">
        <v>7.85608717437302</v>
      </c>
    </row>
    <row r="1299">
      <c r="A1299" s="19" t="n">
        <v>65</v>
      </c>
      <c r="B1299" s="19" t="inlineStr">
        <is>
          <t>Chipper</t>
        </is>
      </c>
      <c r="C1299" s="19" t="inlineStr">
        <is>
          <t>Mafia</t>
        </is>
      </c>
      <c r="D1299" s="19" t="inlineStr">
        <is>
          <t>Loss</t>
        </is>
      </c>
      <c r="E1299" s="19" t="n">
        <v>-49</v>
      </c>
      <c r="F1299" s="19" t="n">
        <v>23.7191302596023</v>
      </c>
      <c r="G1299" s="19" t="n">
        <v>22.9275309503503</v>
      </c>
      <c r="H1299" s="19" t="n">
        <v>7.82402166660461</v>
      </c>
      <c r="I1299" s="19" t="n">
        <v>810</v>
      </c>
      <c r="J1299" s="19" t="n">
        <v>761</v>
      </c>
      <c r="K1299" s="19" t="n">
        <v>7.87135877728593</v>
      </c>
    </row>
    <row r="1300">
      <c r="A1300" s="19" t="n">
        <v>64</v>
      </c>
      <c r="B1300" s="19" t="inlineStr">
        <is>
          <t>Mintt</t>
        </is>
      </c>
      <c r="C1300" s="19" t="inlineStr">
        <is>
          <t>Town</t>
        </is>
      </c>
      <c r="D1300" s="19" t="inlineStr">
        <is>
          <t>Loss</t>
        </is>
      </c>
      <c r="E1300" s="19" t="n">
        <v>-50</v>
      </c>
      <c r="F1300" s="19" t="n">
        <v>26.4724399996185</v>
      </c>
      <c r="G1300" s="19" t="n">
        <v>25.6714859287472</v>
      </c>
      <c r="H1300" s="19" t="n">
        <v>8.09163087247352</v>
      </c>
      <c r="I1300" s="19" t="n">
        <v>970</v>
      </c>
      <c r="J1300" s="19" t="n">
        <v>920</v>
      </c>
      <c r="K1300" s="19" t="n">
        <v>8.13858617075801</v>
      </c>
    </row>
    <row r="1301">
      <c r="A1301" s="19" t="n">
        <v>64</v>
      </c>
      <c r="B1301" s="19" t="inlineStr">
        <is>
          <t>Chipper</t>
        </is>
      </c>
      <c r="C1301" s="19" t="inlineStr">
        <is>
          <t>Town</t>
        </is>
      </c>
      <c r="D1301" s="19" t="inlineStr">
        <is>
          <t>Loss</t>
        </is>
      </c>
      <c r="E1301" s="19" t="n">
        <v>-47</v>
      </c>
      <c r="F1301" s="19" t="n">
        <v>24.476534444481</v>
      </c>
      <c r="G1301" s="19" t="n">
        <v>23.7191302596023</v>
      </c>
      <c r="H1301" s="19" t="n">
        <v>7.87135877728593</v>
      </c>
      <c r="I1301" s="19" t="n">
        <v>857</v>
      </c>
      <c r="J1301" s="19" t="n">
        <v>810</v>
      </c>
      <c r="K1301" s="19" t="n">
        <v>7.91392707392577</v>
      </c>
    </row>
    <row r="1302">
      <c r="A1302" s="19" t="n">
        <v>64</v>
      </c>
      <c r="B1302" s="19" t="inlineStr">
        <is>
          <t>Carson</t>
        </is>
      </c>
      <c r="C1302" s="19" t="inlineStr">
        <is>
          <t>Town</t>
        </is>
      </c>
      <c r="D1302" s="19" t="inlineStr">
        <is>
          <t>Loss</t>
        </is>
      </c>
      <c r="E1302" s="19" t="n">
        <v>-45</v>
      </c>
      <c r="F1302" s="19" t="n">
        <v>29.4543075706035</v>
      </c>
      <c r="G1302" s="19" t="n">
        <v>28.7293904821666</v>
      </c>
      <c r="H1302" s="19" t="n">
        <v>7.70272758283178</v>
      </c>
      <c r="I1302" s="19" t="n">
        <v>1213</v>
      </c>
      <c r="J1302" s="19" t="n">
        <v>1168</v>
      </c>
      <c r="K1302" s="19" t="n">
        <v>7.74209289413753</v>
      </c>
    </row>
    <row r="1303">
      <c r="A1303" s="19" t="n">
        <v>64</v>
      </c>
      <c r="B1303" s="19" t="inlineStr">
        <is>
          <t>Plen</t>
        </is>
      </c>
      <c r="C1303" s="19" t="inlineStr">
        <is>
          <t>Town</t>
        </is>
      </c>
      <c r="D1303" s="19" t="inlineStr">
        <is>
          <t>Loss</t>
        </is>
      </c>
      <c r="E1303" s="19" t="n">
        <v>-49</v>
      </c>
      <c r="F1303" s="19" t="n">
        <v>24.1731626418206</v>
      </c>
      <c r="G1303" s="19" t="n">
        <v>23.3949100664963</v>
      </c>
      <c r="H1303" s="19" t="n">
        <v>7.97760670412844</v>
      </c>
      <c r="I1303" s="19" t="n">
        <v>826</v>
      </c>
      <c r="J1303" s="19" t="n">
        <v>777</v>
      </c>
      <c r="K1303" s="19" t="n">
        <v>8.022261898385709</v>
      </c>
    </row>
    <row r="1304">
      <c r="A1304" s="19" t="n">
        <v>64</v>
      </c>
      <c r="B1304" s="19" t="inlineStr">
        <is>
          <t>Iln</t>
        </is>
      </c>
      <c r="C1304" s="19" t="inlineStr">
        <is>
          <t>Town</t>
        </is>
      </c>
      <c r="D1304" s="19" t="inlineStr">
        <is>
          <t>Loss</t>
        </is>
      </c>
      <c r="E1304" s="19" t="n">
        <v>-47</v>
      </c>
      <c r="F1304" s="19" t="n">
        <v>23.8775789186895</v>
      </c>
      <c r="G1304" s="19" t="n">
        <v>23.1231472476224</v>
      </c>
      <c r="H1304" s="19" t="n">
        <v>7.85608717437302</v>
      </c>
      <c r="I1304" s="19" t="n">
        <v>818</v>
      </c>
      <c r="J1304" s="19" t="n">
        <v>771</v>
      </c>
      <c r="K1304" s="19" t="n">
        <v>7.89835992012786</v>
      </c>
    </row>
    <row r="1305">
      <c r="A1305" s="19" t="n">
        <v>64</v>
      </c>
      <c r="B1305" s="19" t="inlineStr">
        <is>
          <t>Lou</t>
        </is>
      </c>
      <c r="C1305" s="19" t="inlineStr">
        <is>
          <t>Town</t>
        </is>
      </c>
      <c r="D1305" s="19" t="inlineStr">
        <is>
          <t>Loss</t>
        </is>
      </c>
      <c r="E1305" s="19" t="n">
        <v>-45</v>
      </c>
      <c r="F1305" s="19" t="n">
        <v>25.7166183447375</v>
      </c>
      <c r="G1305" s="19" t="n">
        <v>24.9917378691638</v>
      </c>
      <c r="H1305" s="19" t="n">
        <v>7.70253535060898</v>
      </c>
      <c r="I1305" s="19" t="n">
        <v>959</v>
      </c>
      <c r="J1305" s="19" t="n">
        <v>914</v>
      </c>
      <c r="K1305" s="19" t="n">
        <v>7.74189708595571</v>
      </c>
    </row>
    <row r="1306">
      <c r="A1306" s="19" t="n">
        <v>64</v>
      </c>
      <c r="B1306" s="19" t="inlineStr">
        <is>
          <t>Creatchee</t>
        </is>
      </c>
      <c r="C1306" s="19" t="inlineStr">
        <is>
          <t>Town</t>
        </is>
      </c>
      <c r="D1306" s="19" t="inlineStr">
        <is>
          <t>Loss</t>
        </is>
      </c>
      <c r="E1306" s="19" t="n">
        <v>-47</v>
      </c>
      <c r="F1306" s="19" t="n">
        <v>29.0098157939873</v>
      </c>
      <c r="G1306" s="19" t="n">
        <v>28.2532755679642</v>
      </c>
      <c r="H1306" s="19" t="n">
        <v>7.8669233074972</v>
      </c>
      <c r="I1306" s="19" t="n">
        <v>1166</v>
      </c>
      <c r="J1306" s="19" t="n">
        <v>1119</v>
      </c>
      <c r="K1306" s="19" t="n">
        <v>7.90940565109072</v>
      </c>
    </row>
    <row r="1307">
      <c r="A1307" s="19" t="n">
        <v>64</v>
      </c>
      <c r="B1307" s="19" t="inlineStr">
        <is>
          <t>Brownkow</t>
        </is>
      </c>
      <c r="C1307" s="19" t="inlineStr">
        <is>
          <t>Town</t>
        </is>
      </c>
      <c r="D1307" s="19" t="inlineStr">
        <is>
          <t>Loss</t>
        </is>
      </c>
      <c r="E1307" s="19" t="n">
        <v>-46</v>
      </c>
      <c r="F1307" s="19" t="n">
        <v>32.1636426379805</v>
      </c>
      <c r="G1307" s="19" t="n">
        <v>31.4110886061014</v>
      </c>
      <c r="H1307" s="19" t="n">
        <v>7.84642451694702</v>
      </c>
      <c r="I1307" s="19" t="n">
        <v>1382</v>
      </c>
      <c r="J1307" s="19" t="n">
        <v>1336</v>
      </c>
      <c r="K1307" s="19" t="n">
        <v>7.88851083002429</v>
      </c>
    </row>
    <row r="1308">
      <c r="A1308" s="19" t="n">
        <v>64</v>
      </c>
      <c r="B1308" s="19" t="inlineStr">
        <is>
          <t>Whyin</t>
        </is>
      </c>
      <c r="C1308" s="19" t="inlineStr">
        <is>
          <t>Town</t>
        </is>
      </c>
      <c r="D1308" s="19" t="inlineStr">
        <is>
          <t>Loss</t>
        </is>
      </c>
      <c r="E1308" s="19" t="n">
        <v>-47</v>
      </c>
      <c r="F1308" s="19" t="n">
        <v>27.0260396561482</v>
      </c>
      <c r="G1308" s="19" t="n">
        <v>26.2661088761511</v>
      </c>
      <c r="H1308" s="19" t="n">
        <v>7.88431499854336</v>
      </c>
      <c r="I1308" s="19" t="n">
        <v>1029</v>
      </c>
      <c r="J1308" s="19" t="n">
        <v>982</v>
      </c>
      <c r="K1308" s="19" t="n">
        <v>7.92713490125981</v>
      </c>
    </row>
    <row r="1309">
      <c r="A1309" s="19" t="n">
        <v>64</v>
      </c>
      <c r="B1309" s="19" t="inlineStr">
        <is>
          <t>Antfrost</t>
        </is>
      </c>
      <c r="C1309" s="19" t="inlineStr">
        <is>
          <t>Town</t>
        </is>
      </c>
      <c r="D1309" s="19" t="inlineStr">
        <is>
          <t>Loss</t>
        </is>
      </c>
      <c r="E1309" s="19" t="n">
        <v>-50</v>
      </c>
      <c r="F1309" s="19" t="n">
        <v>24.6198302589352</v>
      </c>
      <c r="G1309" s="19" t="n">
        <v>23.8073462607483</v>
      </c>
      <c r="H1309" s="19" t="n">
        <v>8.1488998395509</v>
      </c>
      <c r="I1309" s="19" t="n">
        <v>838</v>
      </c>
      <c r="J1309" s="19" t="n">
        <v>788</v>
      </c>
      <c r="K1309" s="19" t="n">
        <v>8.19703434594873</v>
      </c>
    </row>
    <row r="1310">
      <c r="A1310" s="19" t="n">
        <v>64</v>
      </c>
      <c r="B1310" s="19" t="inlineStr">
        <is>
          <t>Strik3r</t>
        </is>
      </c>
      <c r="C1310" s="19" t="inlineStr">
        <is>
          <t>Town</t>
        </is>
      </c>
      <c r="D1310" s="19" t="inlineStr">
        <is>
          <t>Loss</t>
        </is>
      </c>
      <c r="E1310" s="19" t="n">
        <v>-49</v>
      </c>
      <c r="F1310" s="19" t="n">
        <v>24.9419839562726</v>
      </c>
      <c r="G1310" s="19" t="n">
        <v>24.1381166373808</v>
      </c>
      <c r="H1310" s="19" t="n">
        <v>8.10614118570996</v>
      </c>
      <c r="I1310" s="19" t="n">
        <v>864</v>
      </c>
      <c r="J1310" s="19" t="n">
        <v>815</v>
      </c>
      <c r="K1310" s="19" t="n">
        <v>8.15339373472349</v>
      </c>
    </row>
    <row r="1311">
      <c r="A1311" s="19" t="n">
        <v>64</v>
      </c>
      <c r="B1311" s="19" t="inlineStr">
        <is>
          <t>23flash</t>
        </is>
      </c>
      <c r="C1311" s="19" t="inlineStr">
        <is>
          <t>Mafia</t>
        </is>
      </c>
      <c r="D1311" s="19" t="inlineStr">
        <is>
          <t>Win</t>
        </is>
      </c>
      <c r="E1311" s="19" t="n">
        <v>62</v>
      </c>
      <c r="F1311" s="19" t="n">
        <v>24.4417118231725</v>
      </c>
      <c r="G1311" s="19" t="n">
        <v>25.2727187611963</v>
      </c>
      <c r="H1311" s="19" t="n">
        <v>8.24002482982114</v>
      </c>
      <c r="I1311" s="19" t="n">
        <v>816</v>
      </c>
      <c r="J1311" s="19" t="n">
        <v>878</v>
      </c>
      <c r="K1311" s="19" t="n">
        <v>8.29006917722233</v>
      </c>
    </row>
    <row r="1312">
      <c r="A1312" s="19" t="n">
        <v>64</v>
      </c>
      <c r="B1312" s="19" t="inlineStr">
        <is>
          <t>5up</t>
        </is>
      </c>
      <c r="C1312" s="19" t="inlineStr">
        <is>
          <t>Mafia</t>
        </is>
      </c>
      <c r="D1312" s="19" t="inlineStr">
        <is>
          <t>Win</t>
        </is>
      </c>
      <c r="E1312" s="19" t="n">
        <v>61</v>
      </c>
      <c r="F1312" s="19" t="n">
        <v>26.7518289517197</v>
      </c>
      <c r="G1312" s="19" t="n">
        <v>27.5763919474829</v>
      </c>
      <c r="H1312" s="19" t="n">
        <v>8.20844441987655</v>
      </c>
      <c r="I1312" s="19" t="n">
        <v>977</v>
      </c>
      <c r="J1312" s="19" t="n">
        <v>1038</v>
      </c>
      <c r="K1312" s="19" t="n">
        <v>8.257822200655889</v>
      </c>
    </row>
    <row r="1313">
      <c r="A1313" s="19" t="n">
        <v>64</v>
      </c>
      <c r="B1313" s="19" t="inlineStr">
        <is>
          <t>Noah</t>
        </is>
      </c>
      <c r="C1313" s="19" t="inlineStr">
        <is>
          <t>Mafia</t>
        </is>
      </c>
      <c r="D1313" s="19" t="inlineStr">
        <is>
          <t>Win</t>
        </is>
      </c>
      <c r="E1313" s="19" t="n">
        <v>55</v>
      </c>
      <c r="F1313" s="19" t="n">
        <v>26.1882780258417</v>
      </c>
      <c r="G1313" s="19" t="n">
        <v>26.937159113893</v>
      </c>
      <c r="H1313" s="19" t="n">
        <v>7.8274866922439</v>
      </c>
      <c r="I1313" s="19" t="n">
        <v>978</v>
      </c>
      <c r="J1313" s="19" t="n">
        <v>1033</v>
      </c>
      <c r="K1313" s="19" t="n">
        <v>7.86920889105519</v>
      </c>
    </row>
    <row r="1314">
      <c r="A1314" s="19" t="n">
        <v>63</v>
      </c>
      <c r="B1314" s="19" t="inlineStr">
        <is>
          <t>Noah</t>
        </is>
      </c>
      <c r="C1314" s="19" t="inlineStr">
        <is>
          <t>Town</t>
        </is>
      </c>
      <c r="D1314" s="19" t="inlineStr">
        <is>
          <t>Win</t>
        </is>
      </c>
      <c r="E1314" s="19" t="n">
        <v>114</v>
      </c>
      <c r="F1314" s="19" t="n">
        <v>24.6003776012816</v>
      </c>
      <c r="G1314" s="19" t="n">
        <v>26.1882780258417</v>
      </c>
      <c r="H1314" s="19" t="n">
        <v>7.86920889105519</v>
      </c>
      <c r="I1314" s="19" t="n">
        <v>864</v>
      </c>
      <c r="J1314" s="19" t="n">
        <v>978</v>
      </c>
      <c r="K1314" s="19" t="n">
        <v>7.93332930325424</v>
      </c>
    </row>
    <row r="1315">
      <c r="A1315" s="19" t="n">
        <v>63</v>
      </c>
      <c r="B1315" s="19" t="inlineStr">
        <is>
          <t>Whyin</t>
        </is>
      </c>
      <c r="C1315" s="19" t="inlineStr">
        <is>
          <t>Town</t>
        </is>
      </c>
      <c r="D1315" s="19" t="inlineStr">
        <is>
          <t>Win</t>
        </is>
      </c>
      <c r="E1315" s="19" t="n">
        <v>116</v>
      </c>
      <c r="F1315" s="19" t="n">
        <v>25.414243674506</v>
      </c>
      <c r="G1315" s="19" t="n">
        <v>27.0260396561482</v>
      </c>
      <c r="H1315" s="19" t="n">
        <v>7.92713490125981</v>
      </c>
      <c r="I1315" s="19" t="n">
        <v>913</v>
      </c>
      <c r="J1315" s="19" t="n">
        <v>1029</v>
      </c>
      <c r="K1315" s="19" t="n">
        <v>7.99288357701283</v>
      </c>
    </row>
    <row r="1316">
      <c r="A1316" s="19" t="n">
        <v>63</v>
      </c>
      <c r="B1316" s="19" t="inlineStr">
        <is>
          <t>Carson</t>
        </is>
      </c>
      <c r="C1316" s="19" t="inlineStr">
        <is>
          <t>Town</t>
        </is>
      </c>
      <c r="D1316" s="19" t="inlineStr">
        <is>
          <t>Win</t>
        </is>
      </c>
      <c r="E1316" s="19" t="n">
        <v>110</v>
      </c>
      <c r="F1316" s="19" t="n">
        <v>27.9181858193407</v>
      </c>
      <c r="G1316" s="19" t="n">
        <v>29.4543075706035</v>
      </c>
      <c r="H1316" s="19" t="n">
        <v>7.74209289413753</v>
      </c>
      <c r="I1316" s="19" t="n">
        <v>1103</v>
      </c>
      <c r="J1316" s="19" t="n">
        <v>1213</v>
      </c>
      <c r="K1316" s="19" t="n">
        <v>7.80272321814955</v>
      </c>
    </row>
    <row r="1317">
      <c r="A1317" s="19" t="n">
        <v>63</v>
      </c>
      <c r="B1317" s="19" t="inlineStr">
        <is>
          <t>Strik3r</t>
        </is>
      </c>
      <c r="C1317" s="19" t="inlineStr">
        <is>
          <t>Town</t>
        </is>
      </c>
      <c r="D1317" s="19" t="inlineStr">
        <is>
          <t>Win</t>
        </is>
      </c>
      <c r="E1317" s="19" t="n">
        <v>123</v>
      </c>
      <c r="F1317" s="19" t="n">
        <v>23.2350434115681</v>
      </c>
      <c r="G1317" s="19" t="n">
        <v>24.9419839562726</v>
      </c>
      <c r="H1317" s="19" t="n">
        <v>8.15339373472349</v>
      </c>
      <c r="I1317" s="19" t="n">
        <v>741</v>
      </c>
      <c r="J1317" s="19" t="n">
        <v>864</v>
      </c>
      <c r="K1317" s="19" t="n">
        <v>8.225734740489001</v>
      </c>
    </row>
    <row r="1318">
      <c r="A1318" s="19" t="n">
        <v>63</v>
      </c>
      <c r="B1318" s="19" t="inlineStr">
        <is>
          <t>Nick</t>
        </is>
      </c>
      <c r="C1318" s="19" t="inlineStr">
        <is>
          <t>Town</t>
        </is>
      </c>
      <c r="D1318" s="19" t="inlineStr">
        <is>
          <t>Win</t>
        </is>
      </c>
      <c r="E1318" s="19" t="n">
        <v>125</v>
      </c>
      <c r="F1318" s="19" t="n">
        <v>24.1408788142085</v>
      </c>
      <c r="G1318" s="19" t="n">
        <v>25.8695102727901</v>
      </c>
      <c r="H1318" s="19" t="n">
        <v>8.20403490406742</v>
      </c>
      <c r="I1318" s="19" t="n">
        <v>797</v>
      </c>
      <c r="J1318" s="19" t="n">
        <v>922</v>
      </c>
      <c r="K1318" s="19" t="n">
        <v>8.27790301316009</v>
      </c>
    </row>
    <row r="1319">
      <c r="A1319" s="19" t="n">
        <v>63</v>
      </c>
      <c r="B1319" s="19" t="inlineStr">
        <is>
          <t>Laur</t>
        </is>
      </c>
      <c r="C1319" s="19" t="inlineStr">
        <is>
          <t>Town</t>
        </is>
      </c>
      <c r="D1319" s="19" t="inlineStr">
        <is>
          <t>Win</t>
        </is>
      </c>
      <c r="E1319" s="19" t="n">
        <v>119</v>
      </c>
      <c r="F1319" s="19" t="n">
        <v>28.1450577295012</v>
      </c>
      <c r="G1319" s="19" t="n">
        <v>29.7921207542803</v>
      </c>
      <c r="H1319" s="19" t="n">
        <v>8.01180478416055</v>
      </c>
      <c r="I1319" s="19" t="n">
        <v>1090</v>
      </c>
      <c r="J1319" s="19" t="n">
        <v>1209</v>
      </c>
      <c r="K1319" s="19" t="n">
        <v>8.079976760951141</v>
      </c>
    </row>
    <row r="1320">
      <c r="A1320" s="19" t="n">
        <v>63</v>
      </c>
      <c r="B1320" s="19" t="inlineStr">
        <is>
          <t>Torharo</t>
        </is>
      </c>
      <c r="C1320" s="19" t="inlineStr">
        <is>
          <t>Town</t>
        </is>
      </c>
      <c r="D1320" s="19" t="inlineStr">
        <is>
          <t>Win</t>
        </is>
      </c>
      <c r="E1320" s="19" t="n">
        <v>123</v>
      </c>
      <c r="F1320" s="19" t="n">
        <v>23.1046083970816</v>
      </c>
      <c r="G1320" s="19" t="n">
        <v>24.8127188022083</v>
      </c>
      <c r="H1320" s="19" t="n">
        <v>8.1561336408411</v>
      </c>
      <c r="I1320" s="19" t="n">
        <v>732</v>
      </c>
      <c r="J1320" s="19" t="n">
        <v>855</v>
      </c>
      <c r="K1320" s="19" t="n">
        <v>8.22855678039531</v>
      </c>
    </row>
    <row r="1321">
      <c r="A1321" s="19" t="n">
        <v>63</v>
      </c>
      <c r="B1321" s="19" t="inlineStr">
        <is>
          <t>5up</t>
        </is>
      </c>
      <c r="C1321" s="19" t="inlineStr">
        <is>
          <t>Town</t>
        </is>
      </c>
      <c r="D1321" s="19" t="inlineStr">
        <is>
          <t>Win</t>
        </is>
      </c>
      <c r="E1321" s="19" t="n">
        <v>127</v>
      </c>
      <c r="F1321" s="19" t="n">
        <v>25</v>
      </c>
      <c r="G1321" s="19" t="n">
        <v>26.7518289517197</v>
      </c>
      <c r="H1321" s="19" t="n">
        <v>8.257822200655889</v>
      </c>
      <c r="I1321" s="19" t="n">
        <v>850</v>
      </c>
      <c r="J1321" s="19" t="n">
        <v>977</v>
      </c>
      <c r="K1321" s="19" t="n">
        <v>8.33333333333333</v>
      </c>
    </row>
    <row r="1322">
      <c r="A1322" s="19" t="n">
        <v>63</v>
      </c>
      <c r="B1322" s="19" t="inlineStr">
        <is>
          <t>Keegan</t>
        </is>
      </c>
      <c r="C1322" s="19" t="inlineStr">
        <is>
          <t>Town</t>
        </is>
      </c>
      <c r="D1322" s="19" t="inlineStr">
        <is>
          <t>Win</t>
        </is>
      </c>
      <c r="E1322" s="19" t="n">
        <v>127</v>
      </c>
      <c r="F1322" s="19" t="n">
        <v>25</v>
      </c>
      <c r="G1322" s="19" t="n">
        <v>26.7518289517197</v>
      </c>
      <c r="H1322" s="19" t="n">
        <v>8.257822200655889</v>
      </c>
      <c r="I1322" s="19" t="n">
        <v>850</v>
      </c>
      <c r="J1322" s="19" t="n">
        <v>977</v>
      </c>
      <c r="K1322" s="19" t="n">
        <v>8.33333333333333</v>
      </c>
    </row>
    <row r="1323">
      <c r="A1323" s="19" t="n">
        <v>63</v>
      </c>
      <c r="B1323" s="19" t="inlineStr">
        <is>
          <t>Cody</t>
        </is>
      </c>
      <c r="C1323" s="19" t="inlineStr">
        <is>
          <t>Town</t>
        </is>
      </c>
      <c r="D1323" s="19" t="inlineStr">
        <is>
          <t>Win</t>
        </is>
      </c>
      <c r="E1323" s="19" t="n">
        <v>124</v>
      </c>
      <c r="F1323" s="19" t="n">
        <v>26.2192794668675</v>
      </c>
      <c r="G1323" s="19" t="n">
        <v>27.9437291444881</v>
      </c>
      <c r="H1323" s="19" t="n">
        <v>8.19429812411861</v>
      </c>
      <c r="I1323" s="19" t="n">
        <v>940</v>
      </c>
      <c r="J1323" s="19" t="n">
        <v>1064</v>
      </c>
      <c r="K1323" s="19" t="n">
        <v>8.26787112968529</v>
      </c>
    </row>
    <row r="1324">
      <c r="A1324" s="19" t="n">
        <v>63</v>
      </c>
      <c r="B1324" s="19" t="inlineStr">
        <is>
          <t>Plen</t>
        </is>
      </c>
      <c r="C1324" s="19" t="inlineStr">
        <is>
          <t>Mafia</t>
        </is>
      </c>
      <c r="D1324" s="19" t="inlineStr">
        <is>
          <t>Loss</t>
        </is>
      </c>
      <c r="E1324" s="19" t="n">
        <v>-105</v>
      </c>
      <c r="F1324" s="19" t="n">
        <v>25.8246092890867</v>
      </c>
      <c r="G1324" s="19" t="n">
        <v>24.1731626418206</v>
      </c>
      <c r="H1324" s="19" t="n">
        <v>8.022261898385709</v>
      </c>
      <c r="I1324" s="19" t="n">
        <v>931</v>
      </c>
      <c r="J1324" s="19" t="n">
        <v>826</v>
      </c>
      <c r="K1324" s="19" t="n">
        <v>8.09073676048479</v>
      </c>
    </row>
    <row r="1325">
      <c r="A1325" s="19" t="n">
        <v>63</v>
      </c>
      <c r="B1325" s="19" t="inlineStr">
        <is>
          <t>Machop</t>
        </is>
      </c>
      <c r="C1325" s="19" t="inlineStr">
        <is>
          <t>Mafia</t>
        </is>
      </c>
      <c r="D1325" s="19" t="inlineStr">
        <is>
          <t>Loss</t>
        </is>
      </c>
      <c r="E1325" s="19" t="n">
        <v>-97</v>
      </c>
      <c r="F1325" s="19" t="n">
        <v>30.0039729239365</v>
      </c>
      <c r="G1325" s="19" t="n">
        <v>28.4846354870632</v>
      </c>
      <c r="H1325" s="19" t="n">
        <v>7.70040458358712</v>
      </c>
      <c r="I1325" s="19" t="n">
        <v>1249</v>
      </c>
      <c r="J1325" s="19" t="n">
        <v>1152</v>
      </c>
      <c r="K1325" s="19" t="n">
        <v>7.75991484949257</v>
      </c>
    </row>
    <row r="1326">
      <c r="A1326" s="19" t="n">
        <v>63</v>
      </c>
      <c r="B1326" s="19" t="inlineStr">
        <is>
          <t>Antfrost</t>
        </is>
      </c>
      <c r="C1326" s="19" t="inlineStr">
        <is>
          <t>Mafia</t>
        </is>
      </c>
      <c r="D1326" s="19" t="inlineStr">
        <is>
          <t>Loss</t>
        </is>
      </c>
      <c r="E1326" s="19" t="n">
        <v>-110</v>
      </c>
      <c r="F1326" s="19" t="n">
        <v>26.3454545550118</v>
      </c>
      <c r="G1326" s="19" t="n">
        <v>24.6198302589352</v>
      </c>
      <c r="H1326" s="19" t="n">
        <v>8.19703434594873</v>
      </c>
      <c r="I1326" s="19" t="n">
        <v>948</v>
      </c>
      <c r="J1326" s="19" t="n">
        <v>838</v>
      </c>
      <c r="K1326" s="19" t="n">
        <v>8.2706902095633</v>
      </c>
    </row>
    <row r="1327">
      <c r="A1327" s="19" t="n">
        <v>62</v>
      </c>
      <c r="B1327" s="19" t="inlineStr">
        <is>
          <t>Sunspot</t>
        </is>
      </c>
      <c r="C1327" s="19" t="inlineStr">
        <is>
          <t>Town</t>
        </is>
      </c>
      <c r="D1327" s="19" t="inlineStr">
        <is>
          <t>Loss</t>
        </is>
      </c>
      <c r="E1327" s="19" t="n">
        <v>-45</v>
      </c>
      <c r="F1327" s="19" t="n">
        <v>25</v>
      </c>
      <c r="G1327" s="19" t="n">
        <v>24.267818245546</v>
      </c>
      <c r="H1327" s="19" t="n">
        <v>8.28198677646767</v>
      </c>
      <c r="I1327" s="19" t="n">
        <v>850</v>
      </c>
      <c r="J1327" s="19" t="n">
        <v>805</v>
      </c>
      <c r="K1327" s="19" t="n">
        <v>8.33333333333333</v>
      </c>
    </row>
    <row r="1328">
      <c r="A1328" s="19" t="n">
        <v>62</v>
      </c>
      <c r="B1328" s="19" t="inlineStr">
        <is>
          <t>Cyclone</t>
        </is>
      </c>
      <c r="C1328" s="19" t="inlineStr">
        <is>
          <t>Town</t>
        </is>
      </c>
      <c r="D1328" s="19" t="inlineStr">
        <is>
          <t>Loss</t>
        </is>
      </c>
      <c r="E1328" s="19" t="n">
        <v>-44</v>
      </c>
      <c r="F1328" s="19" t="n">
        <v>25.9112783677779</v>
      </c>
      <c r="G1328" s="19" t="n">
        <v>25.1890864873589</v>
      </c>
      <c r="H1328" s="19" t="n">
        <v>8.226064618008159</v>
      </c>
      <c r="I1328" s="19" t="n">
        <v>918</v>
      </c>
      <c r="J1328" s="19" t="n">
        <v>874</v>
      </c>
      <c r="K1328" s="19" t="n">
        <v>8.276213977247339</v>
      </c>
    </row>
    <row r="1329">
      <c r="A1329" s="19" t="n">
        <v>62</v>
      </c>
      <c r="B1329" s="19" t="inlineStr">
        <is>
          <t>Doublea</t>
        </is>
      </c>
      <c r="C1329" s="19" t="inlineStr">
        <is>
          <t>Town</t>
        </is>
      </c>
      <c r="D1329" s="19" t="inlineStr">
        <is>
          <t>Loss</t>
        </is>
      </c>
      <c r="E1329" s="19" t="n">
        <v>-45</v>
      </c>
      <c r="F1329" s="19" t="n">
        <v>25</v>
      </c>
      <c r="G1329" s="19" t="n">
        <v>24.267818245546</v>
      </c>
      <c r="H1329" s="19" t="n">
        <v>8.28198677646767</v>
      </c>
      <c r="I1329" s="19" t="n">
        <v>850</v>
      </c>
      <c r="J1329" s="19" t="n">
        <v>805</v>
      </c>
      <c r="K1329" s="19" t="n">
        <v>8.33333333333333</v>
      </c>
    </row>
    <row r="1330">
      <c r="A1330" s="19" t="n">
        <v>62</v>
      </c>
      <c r="B1330" s="19" t="inlineStr">
        <is>
          <t>Kden</t>
        </is>
      </c>
      <c r="C1330" s="19" t="inlineStr">
        <is>
          <t>Town</t>
        </is>
      </c>
      <c r="D1330" s="19" t="inlineStr">
        <is>
          <t>Loss</t>
        </is>
      </c>
      <c r="E1330" s="19" t="n">
        <v>-45</v>
      </c>
      <c r="F1330" s="19" t="n">
        <v>25</v>
      </c>
      <c r="G1330" s="19" t="n">
        <v>24.267818245546</v>
      </c>
      <c r="H1330" s="19" t="n">
        <v>8.28198677646767</v>
      </c>
      <c r="I1330" s="19" t="n">
        <v>850</v>
      </c>
      <c r="J1330" s="19" t="n">
        <v>805</v>
      </c>
      <c r="K1330" s="19" t="n">
        <v>8.33333333333333</v>
      </c>
    </row>
    <row r="1331">
      <c r="A1331" s="19" t="n">
        <v>62</v>
      </c>
      <c r="B1331" s="19" t="inlineStr">
        <is>
          <t>Rocker</t>
        </is>
      </c>
      <c r="C1331" s="19" t="inlineStr">
        <is>
          <t>Town</t>
        </is>
      </c>
      <c r="D1331" s="19" t="inlineStr">
        <is>
          <t>Loss</t>
        </is>
      </c>
      <c r="E1331" s="19" t="n">
        <v>-40</v>
      </c>
      <c r="F1331" s="19" t="n">
        <v>33.0736083837078</v>
      </c>
      <c r="G1331" s="19" t="n">
        <v>32.4266080218</v>
      </c>
      <c r="H1331" s="19" t="n">
        <v>7.79156021967353</v>
      </c>
      <c r="I1331" s="19" t="n">
        <v>1450</v>
      </c>
      <c r="J1331" s="19" t="n">
        <v>1410</v>
      </c>
      <c r="K1331" s="19" t="n">
        <v>7.83293478020363</v>
      </c>
    </row>
    <row r="1332">
      <c r="A1332" s="19" t="n">
        <v>62</v>
      </c>
      <c r="B1332" s="19" t="inlineStr">
        <is>
          <t>Whyin</t>
        </is>
      </c>
      <c r="C1332" s="19" t="inlineStr">
        <is>
          <t>Town</t>
        </is>
      </c>
      <c r="D1332" s="19" t="inlineStr">
        <is>
          <t>Loss</t>
        </is>
      </c>
      <c r="E1332" s="19" t="n">
        <v>-42</v>
      </c>
      <c r="F1332" s="19" t="n">
        <v>26.0955494483561</v>
      </c>
      <c r="G1332" s="19" t="n">
        <v>25.414243674506</v>
      </c>
      <c r="H1332" s="19" t="n">
        <v>7.99288357701283</v>
      </c>
      <c r="I1332" s="19" t="n">
        <v>955</v>
      </c>
      <c r="J1332" s="19" t="n">
        <v>913</v>
      </c>
      <c r="K1332" s="19" t="n">
        <v>8.03820950833984</v>
      </c>
    </row>
    <row r="1333">
      <c r="A1333" s="19" t="n">
        <v>62</v>
      </c>
      <c r="B1333" s="19" t="inlineStr">
        <is>
          <t>Machop</t>
        </is>
      </c>
      <c r="C1333" s="19" t="inlineStr">
        <is>
          <t>Town</t>
        </is>
      </c>
      <c r="D1333" s="19" t="inlineStr">
        <is>
          <t>Loss</t>
        </is>
      </c>
      <c r="E1333" s="19" t="n">
        <v>-39</v>
      </c>
      <c r="F1333" s="19" t="n">
        <v>30.6456645106446</v>
      </c>
      <c r="G1333" s="19" t="n">
        <v>30.0039729239365</v>
      </c>
      <c r="H1333" s="19" t="n">
        <v>7.75991484949257</v>
      </c>
      <c r="I1333" s="19" t="n">
        <v>1288</v>
      </c>
      <c r="J1333" s="19" t="n">
        <v>1249</v>
      </c>
      <c r="K1333" s="19" t="n">
        <v>7.80068580974569</v>
      </c>
    </row>
    <row r="1334">
      <c r="A1334" s="19" t="n">
        <v>62</v>
      </c>
      <c r="B1334" s="19" t="inlineStr">
        <is>
          <t>Lou</t>
        </is>
      </c>
      <c r="C1334" s="19" t="inlineStr">
        <is>
          <t>Town</t>
        </is>
      </c>
      <c r="D1334" s="19" t="inlineStr">
        <is>
          <t>Loss</t>
        </is>
      </c>
      <c r="E1334" s="19" t="n">
        <v>-39</v>
      </c>
      <c r="F1334" s="19" t="n">
        <v>26.3552974295102</v>
      </c>
      <c r="G1334" s="19" t="n">
        <v>25.7166183447375</v>
      </c>
      <c r="H1334" s="19" t="n">
        <v>7.74189708595571</v>
      </c>
      <c r="I1334" s="19" t="n">
        <v>998</v>
      </c>
      <c r="J1334" s="19" t="n">
        <v>959</v>
      </c>
      <c r="K1334" s="19" t="n">
        <v>7.78232647212276</v>
      </c>
    </row>
    <row r="1335">
      <c r="A1335" s="19" t="n">
        <v>62</v>
      </c>
      <c r="B1335" s="19" t="inlineStr">
        <is>
          <t>Badpants</t>
        </is>
      </c>
      <c r="C1335" s="19" t="inlineStr">
        <is>
          <t>Town</t>
        </is>
      </c>
      <c r="D1335" s="19" t="inlineStr">
        <is>
          <t>Loss</t>
        </is>
      </c>
      <c r="E1335" s="19" t="n">
        <v>-40</v>
      </c>
      <c r="F1335" s="19" t="n">
        <v>22.2906104087431</v>
      </c>
      <c r="G1335" s="19" t="n">
        <v>21.6340543474784</v>
      </c>
      <c r="H1335" s="19" t="n">
        <v>7.84818385361965</v>
      </c>
      <c r="I1335" s="19" t="n">
        <v>711</v>
      </c>
      <c r="J1335" s="19" t="n">
        <v>671</v>
      </c>
      <c r="K1335" s="19" t="n">
        <v>7.89065021763482</v>
      </c>
    </row>
    <row r="1336">
      <c r="A1336" s="19" t="n">
        <v>62</v>
      </c>
      <c r="B1336" s="19" t="inlineStr">
        <is>
          <t>Hunterxp</t>
        </is>
      </c>
      <c r="C1336" s="19" t="inlineStr">
        <is>
          <t>Town</t>
        </is>
      </c>
      <c r="D1336" s="19" t="inlineStr">
        <is>
          <t>Loss</t>
        </is>
      </c>
      <c r="E1336" s="19" t="n">
        <v>-44</v>
      </c>
      <c r="F1336" s="19" t="n">
        <v>26.5541887808928</v>
      </c>
      <c r="G1336" s="19" t="n">
        <v>25.8345797138221</v>
      </c>
      <c r="H1336" s="19" t="n">
        <v>8.21154088910618</v>
      </c>
      <c r="I1336" s="19" t="n">
        <v>963</v>
      </c>
      <c r="J1336" s="19" t="n">
        <v>919</v>
      </c>
      <c r="K1336" s="19" t="n">
        <v>8.26138190836253</v>
      </c>
    </row>
    <row r="1337">
      <c r="A1337" s="19" t="n">
        <v>62</v>
      </c>
      <c r="B1337" s="19" t="inlineStr">
        <is>
          <t>Smit</t>
        </is>
      </c>
      <c r="C1337" s="19" t="inlineStr">
        <is>
          <t>Mafia</t>
        </is>
      </c>
      <c r="D1337" s="19" t="inlineStr">
        <is>
          <t>Win</t>
        </is>
      </c>
      <c r="E1337" s="19" t="n">
        <v>51</v>
      </c>
      <c r="F1337" s="19" t="n">
        <v>25.8990929243984</v>
      </c>
      <c r="G1337" s="19" t="n">
        <v>26.5740142655903</v>
      </c>
      <c r="H1337" s="19" t="n">
        <v>7.95582170721179</v>
      </c>
      <c r="I1337" s="19" t="n">
        <v>945</v>
      </c>
      <c r="J1337" s="19" t="n">
        <v>996</v>
      </c>
      <c r="K1337" s="19" t="n">
        <v>8.000405614797129</v>
      </c>
    </row>
    <row r="1338">
      <c r="A1338" s="19" t="n">
        <v>62</v>
      </c>
      <c r="B1338" s="19" t="inlineStr">
        <is>
          <t>Chipper</t>
        </is>
      </c>
      <c r="C1338" s="19" t="inlineStr">
        <is>
          <t>Mafia</t>
        </is>
      </c>
      <c r="D1338" s="19" t="inlineStr">
        <is>
          <t>Win</t>
        </is>
      </c>
      <c r="E1338" s="19" t="n">
        <v>50</v>
      </c>
      <c r="F1338" s="19" t="n">
        <v>23.8087924689644</v>
      </c>
      <c r="G1338" s="19" t="n">
        <v>24.476534444481</v>
      </c>
      <c r="H1338" s="19" t="n">
        <v>7.91392707392577</v>
      </c>
      <c r="I1338" s="19" t="n">
        <v>807</v>
      </c>
      <c r="J1338" s="19" t="n">
        <v>857</v>
      </c>
      <c r="K1338" s="19" t="n">
        <v>7.9576801923781</v>
      </c>
    </row>
    <row r="1339">
      <c r="A1339" s="19" t="n">
        <v>62</v>
      </c>
      <c r="B1339" s="19" t="inlineStr">
        <is>
          <t>Brownkow</t>
        </is>
      </c>
      <c r="C1339" s="19" t="inlineStr">
        <is>
          <t>Mafia</t>
        </is>
      </c>
      <c r="D1339" s="19" t="inlineStr">
        <is>
          <t>Win</t>
        </is>
      </c>
      <c r="E1339" s="19" t="n">
        <v>49</v>
      </c>
      <c r="F1339" s="19" t="n">
        <v>31.5002367505206</v>
      </c>
      <c r="G1339" s="19" t="n">
        <v>32.1636426379805</v>
      </c>
      <c r="H1339" s="19" t="n">
        <v>7.88851083002429</v>
      </c>
      <c r="I1339" s="19" t="n">
        <v>1333</v>
      </c>
      <c r="J1339" s="19" t="n">
        <v>1382</v>
      </c>
      <c r="K1339" s="19" t="n">
        <v>7.93176404309763</v>
      </c>
    </row>
    <row r="1340">
      <c r="A1340" s="19" t="n">
        <v>61</v>
      </c>
      <c r="B1340" s="19" t="inlineStr">
        <is>
          <t>Brownkow</t>
        </is>
      </c>
      <c r="C1340" s="19" t="inlineStr">
        <is>
          <t>Town</t>
        </is>
      </c>
      <c r="D1340" s="19" t="inlineStr">
        <is>
          <t>Win</t>
        </is>
      </c>
      <c r="E1340" s="19" t="n">
        <v>82</v>
      </c>
      <c r="F1340" s="19" t="n">
        <v>30.3796363082344</v>
      </c>
      <c r="G1340" s="19" t="n">
        <v>31.5002367505206</v>
      </c>
      <c r="H1340" s="19" t="n">
        <v>7.93176404309763</v>
      </c>
      <c r="I1340" s="19" t="n">
        <v>1251</v>
      </c>
      <c r="J1340" s="19" t="n">
        <v>1333</v>
      </c>
      <c r="K1340" s="19" t="n">
        <v>7.98854590949686</v>
      </c>
    </row>
    <row r="1341">
      <c r="A1341" s="19" t="n">
        <v>61</v>
      </c>
      <c r="B1341" s="19" t="inlineStr">
        <is>
          <t>Cody</t>
        </is>
      </c>
      <c r="C1341" s="19" t="inlineStr">
        <is>
          <t>Town</t>
        </is>
      </c>
      <c r="D1341" s="19" t="inlineStr">
        <is>
          <t>Win</t>
        </is>
      </c>
      <c r="E1341" s="19" t="n">
        <v>90</v>
      </c>
      <c r="F1341" s="19" t="n">
        <v>25</v>
      </c>
      <c r="G1341" s="19" t="n">
        <v>26.2192794668675</v>
      </c>
      <c r="H1341" s="19" t="n">
        <v>8.26787112968529</v>
      </c>
      <c r="I1341" s="19" t="n">
        <v>850</v>
      </c>
      <c r="J1341" s="19" t="n">
        <v>940</v>
      </c>
      <c r="K1341" s="19" t="n">
        <v>8.33333333333333</v>
      </c>
    </row>
    <row r="1342">
      <c r="A1342" s="19" t="n">
        <v>61</v>
      </c>
      <c r="B1342" s="19" t="inlineStr">
        <is>
          <t>Laura</t>
        </is>
      </c>
      <c r="C1342" s="19" t="inlineStr">
        <is>
          <t>Town</t>
        </is>
      </c>
      <c r="D1342" s="19" t="inlineStr">
        <is>
          <t>Win</t>
        </is>
      </c>
      <c r="E1342" s="19" t="n">
        <v>88</v>
      </c>
      <c r="F1342" s="19" t="n">
        <v>24.088721632222</v>
      </c>
      <c r="G1342" s="19" t="n">
        <v>25.2913652730624</v>
      </c>
      <c r="H1342" s="19" t="n">
        <v>8.212238334119951</v>
      </c>
      <c r="I1342" s="19" t="n">
        <v>794</v>
      </c>
      <c r="J1342" s="19" t="n">
        <v>882</v>
      </c>
      <c r="K1342" s="19" t="n">
        <v>8.276213977247339</v>
      </c>
    </row>
    <row r="1343">
      <c r="A1343" s="19" t="n">
        <v>61</v>
      </c>
      <c r="B1343" s="19" t="inlineStr">
        <is>
          <t>Kwix</t>
        </is>
      </c>
      <c r="C1343" s="19" t="inlineStr">
        <is>
          <t>Town</t>
        </is>
      </c>
      <c r="D1343" s="19" t="inlineStr">
        <is>
          <t>Win</t>
        </is>
      </c>
      <c r="E1343" s="19" t="n">
        <v>83</v>
      </c>
      <c r="F1343" s="19" t="n">
        <v>22.4599071933022</v>
      </c>
      <c r="G1343" s="19" t="n">
        <v>23.5983216507644</v>
      </c>
      <c r="H1343" s="19" t="n">
        <v>7.99355646366102</v>
      </c>
      <c r="I1343" s="19" t="n">
        <v>706</v>
      </c>
      <c r="J1343" s="19" t="n">
        <v>789</v>
      </c>
      <c r="K1343" s="19" t="n">
        <v>8.05188074271142</v>
      </c>
    </row>
    <row r="1344">
      <c r="A1344" s="19" t="n">
        <v>61</v>
      </c>
      <c r="B1344" s="19" t="inlineStr">
        <is>
          <t>Boobles</t>
        </is>
      </c>
      <c r="C1344" s="19" t="inlineStr">
        <is>
          <t>Town</t>
        </is>
      </c>
      <c r="D1344" s="19" t="inlineStr">
        <is>
          <t>Win</t>
        </is>
      </c>
      <c r="E1344" s="19" t="n">
        <v>82</v>
      </c>
      <c r="F1344" s="19" t="n">
        <v>25.631480861275</v>
      </c>
      <c r="G1344" s="19" t="n">
        <v>26.7529225971842</v>
      </c>
      <c r="H1344" s="19" t="n">
        <v>7.93469382164342</v>
      </c>
      <c r="I1344" s="19" t="n">
        <v>928</v>
      </c>
      <c r="J1344" s="19" t="n">
        <v>1010</v>
      </c>
      <c r="K1344" s="19" t="n">
        <v>7.99154828488286</v>
      </c>
    </row>
    <row r="1345">
      <c r="A1345" s="19" t="n">
        <v>61</v>
      </c>
      <c r="B1345" s="19" t="inlineStr">
        <is>
          <t>Aipha</t>
        </is>
      </c>
      <c r="C1345" s="19" t="inlineStr">
        <is>
          <t>Town</t>
        </is>
      </c>
      <c r="D1345" s="19" t="inlineStr">
        <is>
          <t>Win</t>
        </is>
      </c>
      <c r="E1345" s="19" t="n">
        <v>86</v>
      </c>
      <c r="F1345" s="19" t="n">
        <v>27.0643068059267</v>
      </c>
      <c r="G1345" s="19" t="n">
        <v>28.23355204466</v>
      </c>
      <c r="H1345" s="19" t="n">
        <v>8.099313622116551</v>
      </c>
      <c r="I1345" s="19" t="n">
        <v>1008</v>
      </c>
      <c r="J1345" s="19" t="n">
        <v>1094</v>
      </c>
      <c r="K1345" s="19" t="n">
        <v>8.16033308497367</v>
      </c>
    </row>
    <row r="1346">
      <c r="A1346" s="19" t="n">
        <v>61</v>
      </c>
      <c r="B1346" s="19" t="inlineStr">
        <is>
          <t>Creatchee</t>
        </is>
      </c>
      <c r="C1346" s="19" t="inlineStr">
        <is>
          <t>Town</t>
        </is>
      </c>
      <c r="D1346" s="19" t="inlineStr">
        <is>
          <t>Win</t>
        </is>
      </c>
      <c r="E1346" s="19" t="n">
        <v>82</v>
      </c>
      <c r="F1346" s="19" t="n">
        <v>27.8956247243783</v>
      </c>
      <c r="G1346" s="19" t="n">
        <v>29.0098157939873</v>
      </c>
      <c r="H1346" s="19" t="n">
        <v>7.90940565109072</v>
      </c>
      <c r="I1346" s="19" t="n">
        <v>1084</v>
      </c>
      <c r="J1346" s="19" t="n">
        <v>1166</v>
      </c>
      <c r="K1346" s="19" t="n">
        <v>7.96563524240926</v>
      </c>
    </row>
    <row r="1347">
      <c r="A1347" s="19" t="n">
        <v>61</v>
      </c>
      <c r="B1347" s="19" t="inlineStr">
        <is>
          <t>Xcync</t>
        </is>
      </c>
      <c r="C1347" s="19" t="inlineStr">
        <is>
          <t>Town</t>
        </is>
      </c>
      <c r="D1347" s="19" t="inlineStr">
        <is>
          <t>Win</t>
        </is>
      </c>
      <c r="E1347" s="19" t="n">
        <v>79</v>
      </c>
      <c r="F1347" s="19" t="n">
        <v>27.3711125841721</v>
      </c>
      <c r="G1347" s="19" t="n">
        <v>28.45851716702</v>
      </c>
      <c r="H1347" s="19" t="n">
        <v>7.81522666670921</v>
      </c>
      <c r="I1347" s="19" t="n">
        <v>1059</v>
      </c>
      <c r="J1347" s="19" t="n">
        <v>1138</v>
      </c>
      <c r="K1347" s="19" t="n">
        <v>7.86916354134277</v>
      </c>
    </row>
    <row r="1348">
      <c r="A1348" s="19" t="n">
        <v>61</v>
      </c>
      <c r="B1348" s="19" t="inlineStr">
        <is>
          <t>Rollo</t>
        </is>
      </c>
      <c r="C1348" s="19" t="inlineStr">
        <is>
          <t>Town</t>
        </is>
      </c>
      <c r="D1348" s="19" t="inlineStr">
        <is>
          <t>Win</t>
        </is>
      </c>
      <c r="E1348" s="19" t="n">
        <v>85</v>
      </c>
      <c r="F1348" s="19" t="n">
        <v>26.5287325846784</v>
      </c>
      <c r="G1348" s="19" t="n">
        <v>27.6825877502955</v>
      </c>
      <c r="H1348" s="19" t="n">
        <v>8.04670732242578</v>
      </c>
      <c r="I1348" s="19" t="n">
        <v>977</v>
      </c>
      <c r="J1348" s="19" t="n">
        <v>1062</v>
      </c>
      <c r="K1348" s="19" t="n">
        <v>8.106377342088811</v>
      </c>
    </row>
    <row r="1349">
      <c r="A1349" s="19" t="n">
        <v>61</v>
      </c>
      <c r="B1349" s="19" t="inlineStr">
        <is>
          <t>Noah</t>
        </is>
      </c>
      <c r="C1349" s="19" t="inlineStr">
        <is>
          <t>Town</t>
        </is>
      </c>
      <c r="D1349" s="19" t="inlineStr">
        <is>
          <t>Win</t>
        </is>
      </c>
      <c r="E1349" s="19" t="n">
        <v>82</v>
      </c>
      <c r="F1349" s="19" t="n">
        <v>23.4793277315977</v>
      </c>
      <c r="G1349" s="19" t="n">
        <v>24.6003776012816</v>
      </c>
      <c r="H1349" s="19" t="n">
        <v>7.93332930325424</v>
      </c>
      <c r="I1349" s="19" t="n">
        <v>782</v>
      </c>
      <c r="J1349" s="19" t="n">
        <v>864</v>
      </c>
      <c r="K1349" s="19" t="n">
        <v>7.99014994856805</v>
      </c>
    </row>
    <row r="1350">
      <c r="A1350" s="19" t="n">
        <v>61</v>
      </c>
      <c r="B1350" s="19" t="inlineStr">
        <is>
          <t>Josh</t>
        </is>
      </c>
      <c r="C1350" s="19" t="inlineStr">
        <is>
          <t>Mafia</t>
        </is>
      </c>
      <c r="D1350" s="19" t="inlineStr">
        <is>
          <t>Loss</t>
        </is>
      </c>
      <c r="E1350" s="19" t="n">
        <v>-71</v>
      </c>
      <c r="F1350" s="19" t="n">
        <v>26.6276946274788</v>
      </c>
      <c r="G1350" s="19" t="n">
        <v>25.5038450247309</v>
      </c>
      <c r="H1350" s="19" t="n">
        <v>7.94307277971238</v>
      </c>
      <c r="I1350" s="19" t="n">
        <v>995</v>
      </c>
      <c r="J1350" s="19" t="n">
        <v>924</v>
      </c>
      <c r="K1350" s="19" t="n">
        <v>8.00013515730206</v>
      </c>
    </row>
    <row r="1351">
      <c r="A1351" s="19" t="n">
        <v>61</v>
      </c>
      <c r="B1351" s="19" t="inlineStr">
        <is>
          <t>Gilbert</t>
        </is>
      </c>
      <c r="C1351" s="19" t="inlineStr">
        <is>
          <t>Mafia</t>
        </is>
      </c>
      <c r="D1351" s="19" t="inlineStr">
        <is>
          <t>Loss</t>
        </is>
      </c>
      <c r="E1351" s="19" t="n">
        <v>-75</v>
      </c>
      <c r="F1351" s="19" t="n">
        <v>24.4417118231725</v>
      </c>
      <c r="G1351" s="19" t="n">
        <v>23.2350434115681</v>
      </c>
      <c r="H1351" s="19" t="n">
        <v>8.225734740489001</v>
      </c>
      <c r="I1351" s="19" t="n">
        <v>816</v>
      </c>
      <c r="J1351" s="19" t="n">
        <v>741</v>
      </c>
      <c r="K1351" s="19" t="n">
        <v>8.29006917722233</v>
      </c>
    </row>
    <row r="1352">
      <c r="A1352" s="19" t="n">
        <v>61</v>
      </c>
      <c r="B1352" s="19" t="inlineStr">
        <is>
          <t>Strik3r</t>
        </is>
      </c>
      <c r="C1352" s="19" t="inlineStr">
        <is>
          <t>Mafia</t>
        </is>
      </c>
      <c r="D1352" s="19" t="inlineStr">
        <is>
          <t>Loss</t>
        </is>
      </c>
      <c r="E1352" s="19" t="n">
        <v>-75</v>
      </c>
      <c r="F1352" s="19" t="n">
        <v>24.4417118231725</v>
      </c>
      <c r="G1352" s="19" t="n">
        <v>23.2350434115681</v>
      </c>
      <c r="H1352" s="19" t="n">
        <v>8.225734740489001</v>
      </c>
      <c r="I1352" s="19" t="n">
        <v>816</v>
      </c>
      <c r="J1352" s="19" t="n">
        <v>741</v>
      </c>
      <c r="K1352" s="19" t="n">
        <v>8.29006917722233</v>
      </c>
    </row>
    <row r="1353">
      <c r="A1353" s="19" t="n">
        <v>60</v>
      </c>
      <c r="B1353" s="19" t="inlineStr">
        <is>
          <t>23flash</t>
        </is>
      </c>
      <c r="C1353" s="19" t="inlineStr">
        <is>
          <t>Town</t>
        </is>
      </c>
      <c r="D1353" s="19" t="inlineStr">
        <is>
          <t>Loss</t>
        </is>
      </c>
      <c r="E1353" s="19" t="n">
        <v>-34</v>
      </c>
      <c r="F1353" s="19" t="n">
        <v>25</v>
      </c>
      <c r="G1353" s="19" t="n">
        <v>24.4417118231725</v>
      </c>
      <c r="H1353" s="19" t="n">
        <v>8.29006917722233</v>
      </c>
      <c r="I1353" s="19" t="n">
        <v>850</v>
      </c>
      <c r="J1353" s="19" t="n">
        <v>816</v>
      </c>
      <c r="K1353" s="19" t="n">
        <v>8.33333333333333</v>
      </c>
    </row>
    <row r="1354">
      <c r="A1354" s="19" t="n">
        <v>60</v>
      </c>
      <c r="B1354" s="19" t="inlineStr">
        <is>
          <t>Machop</t>
        </is>
      </c>
      <c r="C1354" s="19" t="inlineStr">
        <is>
          <t>Town</t>
        </is>
      </c>
      <c r="D1354" s="19" t="inlineStr">
        <is>
          <t>Loss</t>
        </is>
      </c>
      <c r="E1354" s="19" t="n">
        <v>-30</v>
      </c>
      <c r="F1354" s="19" t="n">
        <v>31.13931096436</v>
      </c>
      <c r="G1354" s="19" t="n">
        <v>30.6456645106446</v>
      </c>
      <c r="H1354" s="19" t="n">
        <v>7.80068580974569</v>
      </c>
      <c r="I1354" s="19" t="n">
        <v>1318</v>
      </c>
      <c r="J1354" s="19" t="n">
        <v>1288</v>
      </c>
      <c r="K1354" s="19" t="n">
        <v>7.83539138281172</v>
      </c>
    </row>
    <row r="1355">
      <c r="A1355" s="19" t="n">
        <v>60</v>
      </c>
      <c r="B1355" s="19" t="inlineStr">
        <is>
          <t>Josh</t>
        </is>
      </c>
      <c r="C1355" s="19" t="inlineStr">
        <is>
          <t>Town</t>
        </is>
      </c>
      <c r="D1355" s="19" t="inlineStr">
        <is>
          <t>Loss</t>
        </is>
      </c>
      <c r="E1355" s="19" t="n">
        <v>-31</v>
      </c>
      <c r="F1355" s="19" t="n">
        <v>27.1471898976504</v>
      </c>
      <c r="G1355" s="19" t="n">
        <v>26.6276946274788</v>
      </c>
      <c r="H1355" s="19" t="n">
        <v>8.00013515730206</v>
      </c>
      <c r="I1355" s="19" t="n">
        <v>1026</v>
      </c>
      <c r="J1355" s="19" t="n">
        <v>995</v>
      </c>
      <c r="K1355" s="19" t="n">
        <v>8.03820950833984</v>
      </c>
    </row>
    <row r="1356">
      <c r="A1356" s="19" t="n">
        <v>60</v>
      </c>
      <c r="B1356" s="19" t="inlineStr">
        <is>
          <t>Dani</t>
        </is>
      </c>
      <c r="C1356" s="19" t="inlineStr">
        <is>
          <t>Town</t>
        </is>
      </c>
      <c r="D1356" s="19" t="inlineStr">
        <is>
          <t>Loss</t>
        </is>
      </c>
      <c r="E1356" s="19" t="n">
        <v>-33</v>
      </c>
      <c r="F1356" s="19" t="n">
        <v>24.088721632222</v>
      </c>
      <c r="G1356" s="19" t="n">
        <v>23.5380507287392</v>
      </c>
      <c r="H1356" s="19" t="n">
        <v>8.23398148087694</v>
      </c>
      <c r="I1356" s="19" t="n">
        <v>794</v>
      </c>
      <c r="J1356" s="19" t="n">
        <v>761</v>
      </c>
      <c r="K1356" s="19" t="n">
        <v>8.276213977247339</v>
      </c>
    </row>
    <row r="1357">
      <c r="A1357" s="19" t="n">
        <v>60</v>
      </c>
      <c r="B1357" s="19" t="inlineStr">
        <is>
          <t>Kny</t>
        </is>
      </c>
      <c r="C1357" s="19" t="inlineStr">
        <is>
          <t>Town</t>
        </is>
      </c>
      <c r="D1357" s="19" t="inlineStr">
        <is>
          <t>Loss</t>
        </is>
      </c>
      <c r="E1357" s="19" t="n">
        <v>-32</v>
      </c>
      <c r="F1357" s="19" t="n">
        <v>26.6688799119068</v>
      </c>
      <c r="G1357" s="19" t="n">
        <v>26.1348561423519</v>
      </c>
      <c r="H1357" s="19" t="n">
        <v>8.109990169733519</v>
      </c>
      <c r="I1357" s="19" t="n">
        <v>982</v>
      </c>
      <c r="J1357" s="19" t="n">
        <v>950</v>
      </c>
      <c r="K1357" s="19" t="n">
        <v>8.14998942591815</v>
      </c>
    </row>
    <row r="1358">
      <c r="A1358" s="19" t="n">
        <v>60</v>
      </c>
      <c r="B1358" s="19" t="inlineStr">
        <is>
          <t>Gilbert</t>
        </is>
      </c>
      <c r="C1358" s="19" t="inlineStr">
        <is>
          <t>Town</t>
        </is>
      </c>
      <c r="D1358" s="19" t="inlineStr">
        <is>
          <t>Loss</t>
        </is>
      </c>
      <c r="E1358" s="19" t="n">
        <v>-34</v>
      </c>
      <c r="F1358" s="19" t="n">
        <v>25</v>
      </c>
      <c r="G1358" s="19" t="n">
        <v>24.4417118231725</v>
      </c>
      <c r="H1358" s="19" t="n">
        <v>8.29006917722233</v>
      </c>
      <c r="I1358" s="19" t="n">
        <v>850</v>
      </c>
      <c r="J1358" s="19" t="n">
        <v>816</v>
      </c>
      <c r="K1358" s="19" t="n">
        <v>8.33333333333333</v>
      </c>
    </row>
    <row r="1359">
      <c r="A1359" s="19" t="n">
        <v>60</v>
      </c>
      <c r="B1359" s="19" t="inlineStr">
        <is>
          <t>Strik3r</t>
        </is>
      </c>
      <c r="C1359" s="19" t="inlineStr">
        <is>
          <t>Town</t>
        </is>
      </c>
      <c r="D1359" s="19" t="inlineStr">
        <is>
          <t>Loss</t>
        </is>
      </c>
      <c r="E1359" s="19" t="n">
        <v>-34</v>
      </c>
      <c r="F1359" s="19" t="n">
        <v>25</v>
      </c>
      <c r="G1359" s="19" t="n">
        <v>24.4417118231725</v>
      </c>
      <c r="H1359" s="19" t="n">
        <v>8.29006917722233</v>
      </c>
      <c r="I1359" s="19" t="n">
        <v>850</v>
      </c>
      <c r="J1359" s="19" t="n">
        <v>816</v>
      </c>
      <c r="K1359" s="19" t="n">
        <v>8.33333333333333</v>
      </c>
    </row>
    <row r="1360">
      <c r="A1360" s="19" t="n">
        <v>60</v>
      </c>
      <c r="B1360" s="19" t="inlineStr">
        <is>
          <t>Carson</t>
        </is>
      </c>
      <c r="C1360" s="19" t="inlineStr">
        <is>
          <t>Town</t>
        </is>
      </c>
      <c r="D1360" s="19" t="inlineStr">
        <is>
          <t>Loss</t>
        </is>
      </c>
      <c r="E1360" s="19" t="n">
        <v>-30</v>
      </c>
      <c r="F1360" s="19" t="n">
        <v>28.4120928820505</v>
      </c>
      <c r="G1360" s="19" t="n">
        <v>27.9181858193407</v>
      </c>
      <c r="H1360" s="19" t="n">
        <v>7.80272321814955</v>
      </c>
      <c r="I1360" s="19" t="n">
        <v>1133</v>
      </c>
      <c r="J1360" s="19" t="n">
        <v>1103</v>
      </c>
      <c r="K1360" s="19" t="n">
        <v>7.83746239605928</v>
      </c>
    </row>
    <row r="1361">
      <c r="A1361" s="19" t="n">
        <v>60</v>
      </c>
      <c r="B1361" s="19" t="inlineStr">
        <is>
          <t>Torharo</t>
        </is>
      </c>
      <c r="C1361" s="19" t="inlineStr">
        <is>
          <t>Town</t>
        </is>
      </c>
      <c r="D1361" s="19" t="inlineStr">
        <is>
          <t>Loss</t>
        </is>
      </c>
      <c r="E1361" s="19" t="n">
        <v>-33</v>
      </c>
      <c r="F1361" s="19" t="n">
        <v>23.6545454449881</v>
      </c>
      <c r="G1361" s="19" t="n">
        <v>23.1046083970816</v>
      </c>
      <c r="H1361" s="19" t="n">
        <v>8.22855678039531</v>
      </c>
      <c r="I1361" s="19" t="n">
        <v>765</v>
      </c>
      <c r="J1361" s="19" t="n">
        <v>732</v>
      </c>
      <c r="K1361" s="19" t="n">
        <v>8.2706902095633</v>
      </c>
    </row>
    <row r="1362">
      <c r="A1362" s="19" t="n">
        <v>60</v>
      </c>
      <c r="B1362" s="19" t="inlineStr">
        <is>
          <t>Noah</t>
        </is>
      </c>
      <c r="C1362" s="19" t="inlineStr">
        <is>
          <t>Town</t>
        </is>
      </c>
      <c r="D1362" s="19" t="inlineStr">
        <is>
          <t>Loss</t>
        </is>
      </c>
      <c r="E1362" s="19" t="n">
        <v>-31</v>
      </c>
      <c r="F1362" s="19" t="n">
        <v>23.9975127078108</v>
      </c>
      <c r="G1362" s="19" t="n">
        <v>23.4793277315977</v>
      </c>
      <c r="H1362" s="19" t="n">
        <v>7.99014994856805</v>
      </c>
      <c r="I1362" s="19" t="n">
        <v>813</v>
      </c>
      <c r="J1362" s="19" t="n">
        <v>782</v>
      </c>
      <c r="K1362" s="19" t="n">
        <v>8.028051806268209</v>
      </c>
    </row>
    <row r="1363">
      <c r="A1363" s="19" t="n">
        <v>60</v>
      </c>
      <c r="B1363" s="19" t="inlineStr">
        <is>
          <t>Rocker</t>
        </is>
      </c>
      <c r="C1363" s="19" t="inlineStr">
        <is>
          <t>Mafia</t>
        </is>
      </c>
      <c r="D1363" s="19" t="inlineStr">
        <is>
          <t>Win</t>
        </is>
      </c>
      <c r="E1363" s="19" t="n">
        <v>37</v>
      </c>
      <c r="F1363" s="19" t="n">
        <v>32.5758285718843</v>
      </c>
      <c r="G1363" s="19" t="n">
        <v>33.0736083837078</v>
      </c>
      <c r="H1363" s="19" t="n">
        <v>7.83293478020363</v>
      </c>
      <c r="I1363" s="19" t="n">
        <v>1413</v>
      </c>
      <c r="J1363" s="19" t="n">
        <v>1450</v>
      </c>
      <c r="K1363" s="19" t="n">
        <v>7.86817420358069</v>
      </c>
    </row>
    <row r="1364">
      <c r="A1364" s="19" t="n">
        <v>60</v>
      </c>
      <c r="B1364" s="19" t="inlineStr">
        <is>
          <t>Dlgn</t>
        </is>
      </c>
      <c r="C1364" s="19" t="inlineStr">
        <is>
          <t>Mafia</t>
        </is>
      </c>
      <c r="D1364" s="19" t="inlineStr">
        <is>
          <t>Win</t>
        </is>
      </c>
      <c r="E1364" s="19" t="n">
        <v>42</v>
      </c>
      <c r="F1364" s="19" t="n">
        <v>25</v>
      </c>
      <c r="G1364" s="19" t="n">
        <v>25.5582881768274</v>
      </c>
      <c r="H1364" s="19" t="n">
        <v>8.29006917722233</v>
      </c>
      <c r="I1364" s="19" t="n">
        <v>850</v>
      </c>
      <c r="J1364" s="19" t="n">
        <v>892</v>
      </c>
      <c r="K1364" s="19" t="n">
        <v>8.33333333333333</v>
      </c>
    </row>
    <row r="1365">
      <c r="A1365" s="19" t="n">
        <v>60</v>
      </c>
      <c r="B1365" s="19" t="inlineStr">
        <is>
          <t>Rollo</t>
        </is>
      </c>
      <c r="C1365" s="19" t="inlineStr">
        <is>
          <t>Mafia</t>
        </is>
      </c>
      <c r="D1365" s="19" t="inlineStr">
        <is>
          <t>Win</t>
        </is>
      </c>
      <c r="E1365" s="19" t="n">
        <v>40</v>
      </c>
      <c r="F1365" s="19" t="n">
        <v>25.9951899123206</v>
      </c>
      <c r="G1365" s="19" t="n">
        <v>26.5287325846784</v>
      </c>
      <c r="H1365" s="19" t="n">
        <v>8.106377342088811</v>
      </c>
      <c r="I1365" s="19" t="n">
        <v>937</v>
      </c>
      <c r="J1365" s="19" t="n">
        <v>977</v>
      </c>
      <c r="K1365" s="19" t="n">
        <v>8.1463124962485</v>
      </c>
    </row>
    <row r="1366">
      <c r="A1366" s="19" t="n">
        <v>59</v>
      </c>
      <c r="B1366" s="19" t="inlineStr">
        <is>
          <t>Laur</t>
        </is>
      </c>
      <c r="C1366" s="19" t="inlineStr">
        <is>
          <t>Town</t>
        </is>
      </c>
      <c r="D1366" s="19" t="inlineStr">
        <is>
          <t>Win</t>
        </is>
      </c>
      <c r="E1366" s="19" t="n">
        <v>108</v>
      </c>
      <c r="F1366" s="19" t="n">
        <v>26.6596100237831</v>
      </c>
      <c r="G1366" s="19" t="n">
        <v>28.1450577295012</v>
      </c>
      <c r="H1366" s="19" t="n">
        <v>8.079976760951141</v>
      </c>
      <c r="I1366" s="19" t="n">
        <v>982</v>
      </c>
      <c r="J1366" s="19" t="n">
        <v>1090</v>
      </c>
      <c r="K1366" s="19" t="n">
        <v>8.14671510753092</v>
      </c>
    </row>
    <row r="1367">
      <c r="A1367" s="19" t="n">
        <v>59</v>
      </c>
      <c r="B1367" s="19" t="inlineStr">
        <is>
          <t>Hunterxp</t>
        </is>
      </c>
      <c r="C1367" s="19" t="inlineStr">
        <is>
          <t>Town</t>
        </is>
      </c>
      <c r="D1367" s="19" t="inlineStr">
        <is>
          <t>Win</t>
        </is>
      </c>
      <c r="E1367" s="19" t="n">
        <v>113</v>
      </c>
      <c r="F1367" s="19" t="n">
        <v>25</v>
      </c>
      <c r="G1367" s="19" t="n">
        <v>26.5541887808928</v>
      </c>
      <c r="H1367" s="19" t="n">
        <v>8.26138190836253</v>
      </c>
      <c r="I1367" s="19" t="n">
        <v>850</v>
      </c>
      <c r="J1367" s="19" t="n">
        <v>963</v>
      </c>
      <c r="K1367" s="19" t="n">
        <v>8.33333333333333</v>
      </c>
    </row>
    <row r="1368">
      <c r="A1368" s="19" t="n">
        <v>59</v>
      </c>
      <c r="B1368" s="19" t="inlineStr">
        <is>
          <t>Coffee</t>
        </is>
      </c>
      <c r="C1368" s="19" t="inlineStr">
        <is>
          <t>Town</t>
        </is>
      </c>
      <c r="D1368" s="19" t="inlineStr">
        <is>
          <t>Win</t>
        </is>
      </c>
      <c r="E1368" s="19" t="n">
        <v>113</v>
      </c>
      <c r="F1368" s="19" t="n">
        <v>25</v>
      </c>
      <c r="G1368" s="19" t="n">
        <v>26.5541887808928</v>
      </c>
      <c r="H1368" s="19" t="n">
        <v>8.26138190836253</v>
      </c>
      <c r="I1368" s="19" t="n">
        <v>850</v>
      </c>
      <c r="J1368" s="19" t="n">
        <v>963</v>
      </c>
      <c r="K1368" s="19" t="n">
        <v>8.33333333333333</v>
      </c>
    </row>
    <row r="1369">
      <c r="A1369" s="19" t="n">
        <v>59</v>
      </c>
      <c r="B1369" s="19" t="inlineStr">
        <is>
          <t>Machop</t>
        </is>
      </c>
      <c r="C1369" s="19" t="inlineStr">
        <is>
          <t>Town</t>
        </is>
      </c>
      <c r="D1369" s="19" t="inlineStr">
        <is>
          <t>Win</t>
        </is>
      </c>
      <c r="E1369" s="19" t="n">
        <v>101</v>
      </c>
      <c r="F1369" s="19" t="n">
        <v>29.7439531962811</v>
      </c>
      <c r="G1369" s="19" t="n">
        <v>31.13931096436</v>
      </c>
      <c r="H1369" s="19" t="n">
        <v>7.83539138281172</v>
      </c>
      <c r="I1369" s="19" t="n">
        <v>1217</v>
      </c>
      <c r="J1369" s="19" t="n">
        <v>1318</v>
      </c>
      <c r="K1369" s="19" t="n">
        <v>7.89546331814324</v>
      </c>
    </row>
    <row r="1370">
      <c r="A1370" s="19" t="n">
        <v>59</v>
      </c>
      <c r="B1370" s="19" t="inlineStr">
        <is>
          <t>Levi</t>
        </is>
      </c>
      <c r="C1370" s="19" t="inlineStr">
        <is>
          <t>Town</t>
        </is>
      </c>
      <c r="D1370" s="19" t="inlineStr">
        <is>
          <t>Win</t>
        </is>
      </c>
      <c r="E1370" s="19" t="n">
        <v>113</v>
      </c>
      <c r="F1370" s="19" t="n">
        <v>25</v>
      </c>
      <c r="G1370" s="19" t="n">
        <v>26.5541887808928</v>
      </c>
      <c r="H1370" s="19" t="n">
        <v>8.26138190836253</v>
      </c>
      <c r="I1370" s="19" t="n">
        <v>850</v>
      </c>
      <c r="J1370" s="19" t="n">
        <v>963</v>
      </c>
      <c r="K1370" s="19" t="n">
        <v>8.33333333333333</v>
      </c>
    </row>
    <row r="1371">
      <c r="A1371" s="19" t="n">
        <v>59</v>
      </c>
      <c r="B1371" s="19" t="inlineStr">
        <is>
          <t>Chipper</t>
        </is>
      </c>
      <c r="C1371" s="19" t="inlineStr">
        <is>
          <t>Town</t>
        </is>
      </c>
      <c r="D1371" s="19" t="inlineStr">
        <is>
          <t>Win</t>
        </is>
      </c>
      <c r="E1371" s="19" t="n">
        <v>104</v>
      </c>
      <c r="F1371" s="19" t="n">
        <v>22.3687622442842</v>
      </c>
      <c r="G1371" s="19" t="n">
        <v>23.8087924689644</v>
      </c>
      <c r="H1371" s="19" t="n">
        <v>7.9576801923781</v>
      </c>
      <c r="I1371" s="19" t="n">
        <v>703</v>
      </c>
      <c r="J1371" s="19" t="n">
        <v>807</v>
      </c>
      <c r="K1371" s="19" t="n">
        <v>8.02103408669125</v>
      </c>
    </row>
    <row r="1372">
      <c r="A1372" s="19" t="n">
        <v>59</v>
      </c>
      <c r="B1372" s="19" t="inlineStr">
        <is>
          <t>Badpants</t>
        </is>
      </c>
      <c r="C1372" s="19" t="inlineStr">
        <is>
          <t>Town</t>
        </is>
      </c>
      <c r="D1372" s="19" t="inlineStr">
        <is>
          <t>Win</t>
        </is>
      </c>
      <c r="E1372" s="19" t="n">
        <v>103</v>
      </c>
      <c r="F1372" s="19" t="n">
        <v>20.8751581763111</v>
      </c>
      <c r="G1372" s="19" t="n">
        <v>22.2906104087431</v>
      </c>
      <c r="H1372" s="19" t="n">
        <v>7.89065021763482</v>
      </c>
      <c r="I1372" s="19" t="n">
        <v>608</v>
      </c>
      <c r="J1372" s="19" t="n">
        <v>711</v>
      </c>
      <c r="K1372" s="19" t="n">
        <v>7.95219264351785</v>
      </c>
    </row>
    <row r="1373">
      <c r="A1373" s="19" t="n">
        <v>59</v>
      </c>
      <c r="B1373" s="19" t="inlineStr">
        <is>
          <t>Iln</t>
        </is>
      </c>
      <c r="C1373" s="19" t="inlineStr">
        <is>
          <t>Town</t>
        </is>
      </c>
      <c r="D1373" s="19" t="inlineStr">
        <is>
          <t>Win</t>
        </is>
      </c>
      <c r="E1373" s="19" t="n">
        <v>103</v>
      </c>
      <c r="F1373" s="19" t="n">
        <v>22.4593110916078</v>
      </c>
      <c r="G1373" s="19" t="n">
        <v>23.8775789186895</v>
      </c>
      <c r="H1373" s="19" t="n">
        <v>7.89835992012786</v>
      </c>
      <c r="I1373" s="19" t="n">
        <v>715</v>
      </c>
      <c r="J1373" s="19" t="n">
        <v>818</v>
      </c>
      <c r="K1373" s="19" t="n">
        <v>7.96010914584645</v>
      </c>
    </row>
    <row r="1374">
      <c r="A1374" s="19" t="n">
        <v>59</v>
      </c>
      <c r="B1374" s="19" t="inlineStr">
        <is>
          <t>Rocker</t>
        </is>
      </c>
      <c r="C1374" s="19" t="inlineStr">
        <is>
          <t>Town</t>
        </is>
      </c>
      <c r="D1374" s="19" t="inlineStr">
        <is>
          <t>Win</t>
        </is>
      </c>
      <c r="E1374" s="19" t="n">
        <v>102</v>
      </c>
      <c r="F1374" s="19" t="n">
        <v>31.1685678114036</v>
      </c>
      <c r="G1374" s="19" t="n">
        <v>32.5758285718843</v>
      </c>
      <c r="H1374" s="19" t="n">
        <v>7.86817420358069</v>
      </c>
      <c r="I1374" s="19" t="n">
        <v>1311</v>
      </c>
      <c r="J1374" s="19" t="n">
        <v>1413</v>
      </c>
      <c r="K1374" s="19" t="n">
        <v>7.92911604040407</v>
      </c>
    </row>
    <row r="1375">
      <c r="A1375" s="19" t="n">
        <v>59</v>
      </c>
      <c r="B1375" s="19" t="inlineStr">
        <is>
          <t>Lou</t>
        </is>
      </c>
      <c r="C1375" s="19" t="inlineStr">
        <is>
          <t>Town</t>
        </is>
      </c>
      <c r="D1375" s="19" t="inlineStr">
        <is>
          <t>Win</t>
        </is>
      </c>
      <c r="E1375" s="19" t="n">
        <v>99</v>
      </c>
      <c r="F1375" s="19" t="n">
        <v>24.9790941618485</v>
      </c>
      <c r="G1375" s="19" t="n">
        <v>26.3552974295102</v>
      </c>
      <c r="H1375" s="19" t="n">
        <v>7.78232647212276</v>
      </c>
      <c r="I1375" s="19" t="n">
        <v>899</v>
      </c>
      <c r="J1375" s="19" t="n">
        <v>998</v>
      </c>
      <c r="K1375" s="19" t="n">
        <v>7.84100555964444</v>
      </c>
    </row>
    <row r="1376">
      <c r="A1376" s="19" t="n">
        <v>59</v>
      </c>
      <c r="B1376" s="19" t="inlineStr">
        <is>
          <t>Ken</t>
        </is>
      </c>
      <c r="C1376" s="19" t="inlineStr">
        <is>
          <t>Mafia</t>
        </is>
      </c>
      <c r="D1376" s="19" t="inlineStr">
        <is>
          <t>Loss</t>
        </is>
      </c>
      <c r="E1376" s="19" t="n">
        <v>-98</v>
      </c>
      <c r="F1376" s="19" t="n">
        <v>25</v>
      </c>
      <c r="G1376" s="19" t="n">
        <v>23.4458112191071</v>
      </c>
      <c r="H1376" s="19" t="n">
        <v>8.26138190836253</v>
      </c>
      <c r="I1376" s="19" t="n">
        <v>850</v>
      </c>
      <c r="J1376" s="19" t="n">
        <v>752</v>
      </c>
      <c r="K1376" s="19" t="n">
        <v>8.33333333333333</v>
      </c>
    </row>
    <row r="1377">
      <c r="A1377" s="19" t="n">
        <v>59</v>
      </c>
      <c r="B1377" s="19" t="inlineStr">
        <is>
          <t>Chelsea</t>
        </is>
      </c>
      <c r="C1377" s="19" t="inlineStr">
        <is>
          <t>Mafia</t>
        </is>
      </c>
      <c r="D1377" s="19" t="inlineStr">
        <is>
          <t>Loss</t>
        </is>
      </c>
      <c r="E1377" s="19" t="n">
        <v>-98</v>
      </c>
      <c r="F1377" s="19" t="n">
        <v>25</v>
      </c>
      <c r="G1377" s="19" t="n">
        <v>23.4458112191071</v>
      </c>
      <c r="H1377" s="19" t="n">
        <v>8.26138190836253</v>
      </c>
      <c r="I1377" s="19" t="n">
        <v>850</v>
      </c>
      <c r="J1377" s="19" t="n">
        <v>752</v>
      </c>
      <c r="K1377" s="19" t="n">
        <v>8.33333333333333</v>
      </c>
    </row>
    <row r="1378">
      <c r="A1378" s="19" t="n">
        <v>59</v>
      </c>
      <c r="B1378" s="19" t="inlineStr">
        <is>
          <t>Creatchee</t>
        </is>
      </c>
      <c r="C1378" s="19" t="inlineStr">
        <is>
          <t>Mafia</t>
        </is>
      </c>
      <c r="D1378" s="19" t="inlineStr">
        <is>
          <t>Loss</t>
        </is>
      </c>
      <c r="E1378" s="19" t="n">
        <v>-92</v>
      </c>
      <c r="F1378" s="19" t="n">
        <v>29.3385866333772</v>
      </c>
      <c r="G1378" s="19" t="n">
        <v>27.8956247243783</v>
      </c>
      <c r="H1378" s="19" t="n">
        <v>7.96563524240926</v>
      </c>
      <c r="I1378" s="19" t="n">
        <v>1176</v>
      </c>
      <c r="J1378" s="19" t="n">
        <v>1084</v>
      </c>
      <c r="K1378" s="19" t="n">
        <v>8.029206153082001</v>
      </c>
    </row>
    <row r="1379">
      <c r="A1379" s="19" t="n">
        <v>58</v>
      </c>
      <c r="B1379" s="19" t="inlineStr">
        <is>
          <t>Svaan</t>
        </is>
      </c>
      <c r="C1379" s="19" t="inlineStr">
        <is>
          <t>Town</t>
        </is>
      </c>
      <c r="D1379" s="19" t="inlineStr">
        <is>
          <t>Loss</t>
        </is>
      </c>
      <c r="E1379" s="19" t="n">
        <v>-54</v>
      </c>
      <c r="F1379" s="19" t="n">
        <v>26.4500253428651</v>
      </c>
      <c r="G1379" s="19" t="n">
        <v>25.5814076968071</v>
      </c>
      <c r="H1379" s="19" t="n">
        <v>8.083037776356489</v>
      </c>
      <c r="I1379" s="19" t="n">
        <v>969</v>
      </c>
      <c r="J1379" s="19" t="n">
        <v>915</v>
      </c>
      <c r="K1379" s="19" t="n">
        <v>8.13567751135421</v>
      </c>
    </row>
    <row r="1380">
      <c r="A1380" s="19" t="n">
        <v>58</v>
      </c>
      <c r="B1380" s="19" t="inlineStr">
        <is>
          <t>Machop</t>
        </is>
      </c>
      <c r="C1380" s="19" t="inlineStr">
        <is>
          <t>Town</t>
        </is>
      </c>
      <c r="D1380" s="19" t="inlineStr">
        <is>
          <t>Loss</t>
        </is>
      </c>
      <c r="E1380" s="19" t="n">
        <v>-52</v>
      </c>
      <c r="F1380" s="19" t="n">
        <v>30.5721679754527</v>
      </c>
      <c r="G1380" s="19" t="n">
        <v>29.7439531962811</v>
      </c>
      <c r="H1380" s="19" t="n">
        <v>7.89546331814324</v>
      </c>
      <c r="I1380" s="19" t="n">
        <v>1269</v>
      </c>
      <c r="J1380" s="19" t="n">
        <v>1217</v>
      </c>
      <c r="K1380" s="19" t="n">
        <v>7.94394969093824</v>
      </c>
    </row>
    <row r="1381">
      <c r="A1381" s="19" t="n">
        <v>58</v>
      </c>
      <c r="B1381" s="19" t="inlineStr">
        <is>
          <t>Chipper</t>
        </is>
      </c>
      <c r="C1381" s="19" t="inlineStr">
        <is>
          <t>Town</t>
        </is>
      </c>
      <c r="D1381" s="19" t="inlineStr">
        <is>
          <t>Loss</t>
        </is>
      </c>
      <c r="E1381" s="19" t="n">
        <v>-53</v>
      </c>
      <c r="F1381" s="19" t="n">
        <v>23.2239134448424</v>
      </c>
      <c r="G1381" s="19" t="n">
        <v>22.3687622442842</v>
      </c>
      <c r="H1381" s="19" t="n">
        <v>8.02103408669125</v>
      </c>
      <c r="I1381" s="19" t="n">
        <v>756</v>
      </c>
      <c r="J1381" s="19" t="n">
        <v>703</v>
      </c>
      <c r="K1381" s="19" t="n">
        <v>8.07227979390621</v>
      </c>
    </row>
    <row r="1382">
      <c r="A1382" s="19" t="n">
        <v>58</v>
      </c>
      <c r="B1382" s="19" t="inlineStr">
        <is>
          <t>Badpants</t>
        </is>
      </c>
      <c r="C1382" s="19" t="inlineStr">
        <is>
          <t>Town</t>
        </is>
      </c>
      <c r="D1382" s="19" t="inlineStr">
        <is>
          <t>Loss</t>
        </is>
      </c>
      <c r="E1382" s="19" t="n">
        <v>-52</v>
      </c>
      <c r="F1382" s="19" t="n">
        <v>21.7154864092516</v>
      </c>
      <c r="G1382" s="19" t="n">
        <v>20.8751581763111</v>
      </c>
      <c r="H1382" s="19" t="n">
        <v>7.95219264351785</v>
      </c>
      <c r="I1382" s="19" t="n">
        <v>660</v>
      </c>
      <c r="J1382" s="19" t="n">
        <v>608</v>
      </c>
      <c r="K1382" s="19" t="n">
        <v>8.001915090960059</v>
      </c>
    </row>
    <row r="1383">
      <c r="A1383" s="19" t="n">
        <v>58</v>
      </c>
      <c r="B1383" s="19" t="inlineStr">
        <is>
          <t>Laura</t>
        </is>
      </c>
      <c r="C1383" s="19" t="inlineStr">
        <is>
          <t>Town</t>
        </is>
      </c>
      <c r="D1383" s="19" t="inlineStr">
        <is>
          <t>Loss</t>
        </is>
      </c>
      <c r="E1383" s="19" t="n">
        <v>-56</v>
      </c>
      <c r="F1383" s="19" t="n">
        <v>25</v>
      </c>
      <c r="G1383" s="19" t="n">
        <v>24.088721632222</v>
      </c>
      <c r="H1383" s="19" t="n">
        <v>8.276213977247339</v>
      </c>
      <c r="I1383" s="19" t="n">
        <v>850</v>
      </c>
      <c r="J1383" s="19" t="n">
        <v>794</v>
      </c>
      <c r="K1383" s="19" t="n">
        <v>8.33333333333333</v>
      </c>
    </row>
    <row r="1384">
      <c r="A1384" s="19" t="n">
        <v>58</v>
      </c>
      <c r="B1384" s="19" t="inlineStr">
        <is>
          <t>Dani</t>
        </is>
      </c>
      <c r="C1384" s="19" t="inlineStr">
        <is>
          <t>Town</t>
        </is>
      </c>
      <c r="D1384" s="19" t="inlineStr">
        <is>
          <t>Loss</t>
        </is>
      </c>
      <c r="E1384" s="19" t="n">
        <v>-56</v>
      </c>
      <c r="F1384" s="19" t="n">
        <v>25</v>
      </c>
      <c r="G1384" s="19" t="n">
        <v>24.088721632222</v>
      </c>
      <c r="H1384" s="19" t="n">
        <v>8.276213977247339</v>
      </c>
      <c r="I1384" s="19" t="n">
        <v>850</v>
      </c>
      <c r="J1384" s="19" t="n">
        <v>794</v>
      </c>
      <c r="K1384" s="19" t="n">
        <v>8.33333333333333</v>
      </c>
    </row>
    <row r="1385">
      <c r="A1385" s="19" t="n">
        <v>58</v>
      </c>
      <c r="B1385" s="19" t="inlineStr">
        <is>
          <t>Iln</t>
        </is>
      </c>
      <c r="C1385" s="19" t="inlineStr">
        <is>
          <t>Town</t>
        </is>
      </c>
      <c r="D1385" s="19" t="inlineStr">
        <is>
          <t>Loss</t>
        </is>
      </c>
      <c r="E1385" s="19" t="n">
        <v>-52</v>
      </c>
      <c r="F1385" s="19" t="n">
        <v>23.3013370317285</v>
      </c>
      <c r="G1385" s="19" t="n">
        <v>22.4593110916078</v>
      </c>
      <c r="H1385" s="19" t="n">
        <v>7.96010914584645</v>
      </c>
      <c r="I1385" s="19" t="n">
        <v>767</v>
      </c>
      <c r="J1385" s="19" t="n">
        <v>715</v>
      </c>
      <c r="K1385" s="19" t="n">
        <v>8.010005459158281</v>
      </c>
    </row>
    <row r="1386">
      <c r="A1386" s="19" t="n">
        <v>58</v>
      </c>
      <c r="B1386" s="19" t="inlineStr">
        <is>
          <t>Rocker</t>
        </is>
      </c>
      <c r="C1386" s="19" t="inlineStr">
        <is>
          <t>Town</t>
        </is>
      </c>
      <c r="D1386" s="19" t="inlineStr">
        <is>
          <t>Loss</t>
        </is>
      </c>
      <c r="E1386" s="19" t="n">
        <v>-51</v>
      </c>
      <c r="F1386" s="19" t="n">
        <v>32.0039574196941</v>
      </c>
      <c r="G1386" s="19" t="n">
        <v>31.1685678114036</v>
      </c>
      <c r="H1386" s="19" t="n">
        <v>7.92911604040407</v>
      </c>
      <c r="I1386" s="19" t="n">
        <v>1362</v>
      </c>
      <c r="J1386" s="19" t="n">
        <v>1311</v>
      </c>
      <c r="K1386" s="19" t="n">
        <v>7.97833359162764</v>
      </c>
    </row>
    <row r="1387">
      <c r="A1387" s="19" t="n">
        <v>58</v>
      </c>
      <c r="B1387" s="19" t="inlineStr">
        <is>
          <t>Asiansam</t>
        </is>
      </c>
      <c r="C1387" s="19" t="inlineStr">
        <is>
          <t>Town</t>
        </is>
      </c>
      <c r="D1387" s="19" t="inlineStr">
        <is>
          <t>Loss</t>
        </is>
      </c>
      <c r="E1387" s="19" t="n">
        <v>-54</v>
      </c>
      <c r="F1387" s="19" t="n">
        <v>25.7609425255673</v>
      </c>
      <c r="G1387" s="19" t="n">
        <v>24.8895158049077</v>
      </c>
      <c r="H1387" s="19" t="n">
        <v>8.095908235727199</v>
      </c>
      <c r="I1387" s="19" t="n">
        <v>921</v>
      </c>
      <c r="J1387" s="19" t="n">
        <v>867</v>
      </c>
      <c r="K1387" s="19" t="n">
        <v>8.14883997868513</v>
      </c>
    </row>
    <row r="1388">
      <c r="A1388" s="19" t="n">
        <v>58</v>
      </c>
      <c r="B1388" s="19" t="inlineStr">
        <is>
          <t>Lombax</t>
        </is>
      </c>
      <c r="C1388" s="19" t="inlineStr">
        <is>
          <t>Town</t>
        </is>
      </c>
      <c r="D1388" s="19" t="inlineStr">
        <is>
          <t>Loss</t>
        </is>
      </c>
      <c r="E1388" s="19" t="n">
        <v>-56</v>
      </c>
      <c r="F1388" s="19" t="n">
        <v>25.7704014745659</v>
      </c>
      <c r="G1388" s="19" t="n">
        <v>24.8702866424351</v>
      </c>
      <c r="H1388" s="19" t="n">
        <v>8.226128248724031</v>
      </c>
      <c r="I1388" s="19" t="n">
        <v>908</v>
      </c>
      <c r="J1388" s="19" t="n">
        <v>852</v>
      </c>
      <c r="K1388" s="19" t="n">
        <v>8.28206609711067</v>
      </c>
    </row>
    <row r="1389">
      <c r="A1389" s="19" t="n">
        <v>58</v>
      </c>
      <c r="B1389" s="19" t="inlineStr">
        <is>
          <t>Cyclone</t>
        </is>
      </c>
      <c r="C1389" s="19" t="inlineStr">
        <is>
          <t>Mafia</t>
        </is>
      </c>
      <c r="D1389" s="19" t="inlineStr">
        <is>
          <t>Win</t>
        </is>
      </c>
      <c r="E1389" s="19" t="n">
        <v>68</v>
      </c>
      <c r="F1389" s="19" t="n">
        <v>25</v>
      </c>
      <c r="G1389" s="19" t="n">
        <v>25.9112783677779</v>
      </c>
      <c r="H1389" s="19" t="n">
        <v>8.276213977247339</v>
      </c>
      <c r="I1389" s="19" t="n">
        <v>850</v>
      </c>
      <c r="J1389" s="19" t="n">
        <v>918</v>
      </c>
      <c r="K1389" s="19" t="n">
        <v>8.33333333333333</v>
      </c>
    </row>
    <row r="1390">
      <c r="A1390" s="19" t="n">
        <v>58</v>
      </c>
      <c r="B1390" s="19" t="inlineStr">
        <is>
          <t>Smit</t>
        </is>
      </c>
      <c r="C1390" s="19" t="inlineStr">
        <is>
          <t>Mafia</t>
        </is>
      </c>
      <c r="D1390" s="19" t="inlineStr">
        <is>
          <t>Win</t>
        </is>
      </c>
      <c r="E1390" s="19" t="n">
        <v>63</v>
      </c>
      <c r="F1390" s="19" t="n">
        <v>25.0483976404743</v>
      </c>
      <c r="G1390" s="19" t="n">
        <v>25.8990929243984</v>
      </c>
      <c r="H1390" s="19" t="n">
        <v>8.000405614797129</v>
      </c>
      <c r="I1390" s="19" t="n">
        <v>882</v>
      </c>
      <c r="J1390" s="19" t="n">
        <v>945</v>
      </c>
      <c r="K1390" s="19" t="n">
        <v>8.051192181134811</v>
      </c>
    </row>
    <row r="1391">
      <c r="A1391" s="19" t="n">
        <v>58</v>
      </c>
      <c r="B1391" s="19" t="inlineStr">
        <is>
          <t>Boobles</t>
        </is>
      </c>
      <c r="C1391" s="19" t="inlineStr">
        <is>
          <t>Mafia</t>
        </is>
      </c>
      <c r="D1391" s="19" t="inlineStr">
        <is>
          <t>Win</t>
        </is>
      </c>
      <c r="E1391" s="19" t="n">
        <v>63</v>
      </c>
      <c r="F1391" s="19" t="n">
        <v>24.7826951060583</v>
      </c>
      <c r="G1391" s="19" t="n">
        <v>25.631480861275</v>
      </c>
      <c r="H1391" s="19" t="n">
        <v>7.99154828488286</v>
      </c>
      <c r="I1391" s="19" t="n">
        <v>865</v>
      </c>
      <c r="J1391" s="19" t="n">
        <v>928</v>
      </c>
      <c r="K1391" s="19" t="n">
        <v>8.042138416772699</v>
      </c>
    </row>
    <row r="1392">
      <c r="A1392" s="19" t="n">
        <v>57</v>
      </c>
      <c r="B1392" s="19" t="inlineStr">
        <is>
          <t>Whyin</t>
        </is>
      </c>
      <c r="C1392" s="19" t="inlineStr">
        <is>
          <t>Town</t>
        </is>
      </c>
      <c r="D1392" s="19" t="inlineStr">
        <is>
          <t>Win</t>
        </is>
      </c>
      <c r="E1392" s="19" t="n">
        <v>93</v>
      </c>
      <c r="F1392" s="19" t="n">
        <v>24.8258516794089</v>
      </c>
      <c r="G1392" s="19" t="n">
        <v>26.0955494483561</v>
      </c>
      <c r="H1392" s="19" t="n">
        <v>8.03820950833984</v>
      </c>
      <c r="I1392" s="19" t="n">
        <v>862</v>
      </c>
      <c r="J1392" s="19" t="n">
        <v>955</v>
      </c>
      <c r="K1392" s="19" t="n">
        <v>8.09501436420283</v>
      </c>
    </row>
    <row r="1393">
      <c r="A1393" s="19" t="n">
        <v>57</v>
      </c>
      <c r="B1393" s="19" t="inlineStr">
        <is>
          <t>Starv</t>
        </is>
      </c>
      <c r="C1393" s="19" t="inlineStr">
        <is>
          <t>Town</t>
        </is>
      </c>
      <c r="D1393" s="19" t="inlineStr">
        <is>
          <t>Win</t>
        </is>
      </c>
      <c r="E1393" s="19" t="n">
        <v>93</v>
      </c>
      <c r="F1393" s="19" t="n">
        <v>27.4134718469208</v>
      </c>
      <c r="G1393" s="19" t="n">
        <v>28.6868712847855</v>
      </c>
      <c r="H1393" s="19" t="n">
        <v>8.049735470703929</v>
      </c>
      <c r="I1393" s="19" t="n">
        <v>1037</v>
      </c>
      <c r="J1393" s="19" t="n">
        <v>1130</v>
      </c>
      <c r="K1393" s="19" t="n">
        <v>8.10682203633772</v>
      </c>
    </row>
    <row r="1394">
      <c r="A1394" s="19" t="n">
        <v>57</v>
      </c>
      <c r="B1394" s="19" t="inlineStr">
        <is>
          <t>Rocker</t>
        </is>
      </c>
      <c r="C1394" s="19" t="inlineStr">
        <is>
          <t>Town</t>
        </is>
      </c>
      <c r="D1394" s="19" t="inlineStr">
        <is>
          <t>Win</t>
        </is>
      </c>
      <c r="E1394" s="19" t="n">
        <v>90</v>
      </c>
      <c r="F1394" s="19" t="n">
        <v>30.7533985589468</v>
      </c>
      <c r="G1394" s="19" t="n">
        <v>32.0039574196941</v>
      </c>
      <c r="H1394" s="19" t="n">
        <v>7.97833359162764</v>
      </c>
      <c r="I1394" s="19" t="n">
        <v>1272</v>
      </c>
      <c r="J1394" s="19" t="n">
        <v>1362</v>
      </c>
      <c r="K1394" s="19" t="n">
        <v>8.03368779167144</v>
      </c>
    </row>
    <row r="1395">
      <c r="A1395" s="19" t="n">
        <v>57</v>
      </c>
      <c r="B1395" s="19" t="inlineStr">
        <is>
          <t>Pinkee</t>
        </is>
      </c>
      <c r="C1395" s="19" t="inlineStr">
        <is>
          <t>Town</t>
        </is>
      </c>
      <c r="D1395" s="19" t="inlineStr">
        <is>
          <t>Win</t>
        </is>
      </c>
      <c r="E1395" s="19" t="n">
        <v>98</v>
      </c>
      <c r="F1395" s="19" t="n">
        <v>25</v>
      </c>
      <c r="G1395" s="19" t="n">
        <v>26.3454545550118</v>
      </c>
      <c r="H1395" s="19" t="n">
        <v>8.2706902095633</v>
      </c>
      <c r="I1395" s="19" t="n">
        <v>850</v>
      </c>
      <c r="J1395" s="19" t="n">
        <v>948</v>
      </c>
      <c r="K1395" s="19" t="n">
        <v>8.33333333333333</v>
      </c>
    </row>
    <row r="1396">
      <c r="A1396" s="19" t="n">
        <v>57</v>
      </c>
      <c r="B1396" s="19" t="inlineStr">
        <is>
          <t>Noah</t>
        </is>
      </c>
      <c r="C1396" s="19" t="inlineStr">
        <is>
          <t>Town</t>
        </is>
      </c>
      <c r="D1396" s="19" t="inlineStr">
        <is>
          <t>Win</t>
        </is>
      </c>
      <c r="E1396" s="19" t="n">
        <v>92</v>
      </c>
      <c r="F1396" s="19" t="n">
        <v>22.7310724989497</v>
      </c>
      <c r="G1396" s="19" t="n">
        <v>23.9975127078108</v>
      </c>
      <c r="H1396" s="19" t="n">
        <v>8.028051806268209</v>
      </c>
      <c r="I1396" s="19" t="n">
        <v>721</v>
      </c>
      <c r="J1396" s="19" t="n">
        <v>813</v>
      </c>
      <c r="K1396" s="19" t="n">
        <v>8.084609055202939</v>
      </c>
    </row>
    <row r="1397">
      <c r="A1397" s="19" t="n">
        <v>57</v>
      </c>
      <c r="B1397" s="19" t="inlineStr">
        <is>
          <t>Maz</t>
        </is>
      </c>
      <c r="C1397" s="19" t="inlineStr">
        <is>
          <t>Town</t>
        </is>
      </c>
      <c r="D1397" s="19" t="inlineStr">
        <is>
          <t>Win</t>
        </is>
      </c>
      <c r="E1397" s="19" t="n">
        <v>96</v>
      </c>
      <c r="F1397" s="19" t="n">
        <v>23.748464751845</v>
      </c>
      <c r="G1397" s="19" t="n">
        <v>25.0727465291538</v>
      </c>
      <c r="H1397" s="19" t="n">
        <v>8.206422777633509</v>
      </c>
      <c r="I1397" s="19" t="n">
        <v>772</v>
      </c>
      <c r="J1397" s="19" t="n">
        <v>868</v>
      </c>
      <c r="K1397" s="19" t="n">
        <v>8.26741882334399</v>
      </c>
    </row>
    <row r="1398">
      <c r="A1398" s="19" t="n">
        <v>57</v>
      </c>
      <c r="B1398" s="19" t="inlineStr">
        <is>
          <t>Josh</t>
        </is>
      </c>
      <c r="C1398" s="19" t="inlineStr">
        <is>
          <t>Town</t>
        </is>
      </c>
      <c r="D1398" s="19" t="inlineStr">
        <is>
          <t>Win</t>
        </is>
      </c>
      <c r="E1398" s="19" t="n">
        <v>92</v>
      </c>
      <c r="F1398" s="19" t="n">
        <v>25.8774921287033</v>
      </c>
      <c r="G1398" s="19" t="n">
        <v>27.1471898976504</v>
      </c>
      <c r="H1398" s="19" t="n">
        <v>8.03820950833984</v>
      </c>
      <c r="I1398" s="19" t="n">
        <v>934</v>
      </c>
      <c r="J1398" s="19" t="n">
        <v>1026</v>
      </c>
      <c r="K1398" s="19" t="n">
        <v>8.09501436420283</v>
      </c>
    </row>
    <row r="1399">
      <c r="A1399" s="19" t="n">
        <v>57</v>
      </c>
      <c r="B1399" s="19" t="inlineStr">
        <is>
          <t>Carson</t>
        </is>
      </c>
      <c r="C1399" s="19" t="inlineStr">
        <is>
          <t>Town</t>
        </is>
      </c>
      <c r="D1399" s="19" t="inlineStr">
        <is>
          <t>Win</t>
        </is>
      </c>
      <c r="E1399" s="19" t="n">
        <v>88</v>
      </c>
      <c r="F1399" s="19" t="n">
        <v>27.205962928209</v>
      </c>
      <c r="G1399" s="19" t="n">
        <v>28.4120928820505</v>
      </c>
      <c r="H1399" s="19" t="n">
        <v>7.83746239605928</v>
      </c>
      <c r="I1399" s="19" t="n">
        <v>1045</v>
      </c>
      <c r="J1399" s="19" t="n">
        <v>1133</v>
      </c>
      <c r="K1399" s="19" t="n">
        <v>7.88948724225616</v>
      </c>
    </row>
    <row r="1400">
      <c r="A1400" s="19" t="n">
        <v>57</v>
      </c>
      <c r="B1400" s="19" t="inlineStr">
        <is>
          <t>Brownkow</t>
        </is>
      </c>
      <c r="C1400" s="19" t="inlineStr">
        <is>
          <t>Town</t>
        </is>
      </c>
      <c r="D1400" s="19" t="inlineStr">
        <is>
          <t>Win</t>
        </is>
      </c>
      <c r="E1400" s="19" t="n">
        <v>91</v>
      </c>
      <c r="F1400" s="19" t="n">
        <v>29.1258239189287</v>
      </c>
      <c r="G1400" s="19" t="n">
        <v>30.3796363082344</v>
      </c>
      <c r="H1400" s="19" t="n">
        <v>7.98854590949686</v>
      </c>
      <c r="I1400" s="19" t="n">
        <v>1160</v>
      </c>
      <c r="J1400" s="19" t="n">
        <v>1251</v>
      </c>
      <c r="K1400" s="19" t="n">
        <v>8.044146018181319</v>
      </c>
    </row>
    <row r="1401">
      <c r="A1401" s="19" t="n">
        <v>57</v>
      </c>
      <c r="B1401" s="19" t="inlineStr">
        <is>
          <t>Antfrost</t>
        </is>
      </c>
      <c r="C1401" s="19" t="inlineStr">
        <is>
          <t>Town</t>
        </is>
      </c>
      <c r="D1401" s="19" t="inlineStr">
        <is>
          <t>Win</t>
        </is>
      </c>
      <c r="E1401" s="19" t="n">
        <v>98</v>
      </c>
      <c r="F1401" s="19" t="n">
        <v>25</v>
      </c>
      <c r="G1401" s="19" t="n">
        <v>26.3454545550118</v>
      </c>
      <c r="H1401" s="19" t="n">
        <v>8.2706902095633</v>
      </c>
      <c r="I1401" s="19" t="n">
        <v>850</v>
      </c>
      <c r="J1401" s="19" t="n">
        <v>948</v>
      </c>
      <c r="K1401" s="19" t="n">
        <v>8.33333333333333</v>
      </c>
    </row>
    <row r="1402">
      <c r="A1402" s="19" t="n">
        <v>57</v>
      </c>
      <c r="B1402" s="19" t="inlineStr">
        <is>
          <t>Aipha</t>
        </is>
      </c>
      <c r="C1402" s="19" t="inlineStr">
        <is>
          <t>Town</t>
        </is>
      </c>
      <c r="D1402" s="19" t="inlineStr">
        <is>
          <t>Win</t>
        </is>
      </c>
      <c r="E1402" s="19" t="n">
        <v>95</v>
      </c>
      <c r="F1402" s="19" t="n">
        <v>25.7551006676362</v>
      </c>
      <c r="G1402" s="19" t="n">
        <v>27.0643068059267</v>
      </c>
      <c r="H1402" s="19" t="n">
        <v>8.16033308497367</v>
      </c>
      <c r="I1402" s="19" t="n">
        <v>913</v>
      </c>
      <c r="J1402" s="19" t="n">
        <v>1008</v>
      </c>
      <c r="K1402" s="19" t="n">
        <v>8.22016361245128</v>
      </c>
    </row>
    <row r="1403">
      <c r="A1403" s="19" t="n">
        <v>57</v>
      </c>
      <c r="B1403" s="19" t="inlineStr">
        <is>
          <t>Torharo</t>
        </is>
      </c>
      <c r="C1403" s="19" t="inlineStr">
        <is>
          <t>Mafia</t>
        </is>
      </c>
      <c r="D1403" s="19" t="inlineStr">
        <is>
          <t>Loss</t>
        </is>
      </c>
      <c r="E1403" s="19" t="n">
        <v>-85</v>
      </c>
      <c r="F1403" s="19" t="n">
        <v>25</v>
      </c>
      <c r="G1403" s="19" t="n">
        <v>23.6545454449881</v>
      </c>
      <c r="H1403" s="19" t="n">
        <v>8.2706902095633</v>
      </c>
      <c r="I1403" s="19" t="n">
        <v>850</v>
      </c>
      <c r="J1403" s="19" t="n">
        <v>765</v>
      </c>
      <c r="K1403" s="19" t="n">
        <v>8.33333333333333</v>
      </c>
    </row>
    <row r="1404">
      <c r="A1404" s="19" t="n">
        <v>57</v>
      </c>
      <c r="B1404" s="19" t="inlineStr">
        <is>
          <t>Mintt</t>
        </is>
      </c>
      <c r="C1404" s="19" t="inlineStr">
        <is>
          <t>Mafia</t>
        </is>
      </c>
      <c r="D1404" s="19" t="inlineStr">
        <is>
          <t>Loss</t>
        </is>
      </c>
      <c r="E1404" s="19" t="n">
        <v>-82</v>
      </c>
      <c r="F1404" s="19" t="n">
        <v>27.7745643043049</v>
      </c>
      <c r="G1404" s="19" t="n">
        <v>26.4724399996185</v>
      </c>
      <c r="H1404" s="19" t="n">
        <v>8.13858617075801</v>
      </c>
      <c r="I1404" s="19" t="n">
        <v>1052</v>
      </c>
      <c r="J1404" s="19" t="n">
        <v>970</v>
      </c>
      <c r="K1404" s="19" t="n">
        <v>8.19787128058487</v>
      </c>
    </row>
    <row r="1405">
      <c r="A1405" s="19" t="n">
        <v>57</v>
      </c>
      <c r="B1405" s="19" t="inlineStr">
        <is>
          <t>Lou</t>
        </is>
      </c>
      <c r="C1405" s="19" t="inlineStr">
        <is>
          <t>Mafia</t>
        </is>
      </c>
      <c r="D1405" s="19" t="inlineStr">
        <is>
          <t>Loss</t>
        </is>
      </c>
      <c r="E1405" s="19" t="n">
        <v>-77</v>
      </c>
      <c r="F1405" s="19" t="n">
        <v>26.1863312824507</v>
      </c>
      <c r="G1405" s="19" t="n">
        <v>24.9790941618485</v>
      </c>
      <c r="H1405" s="19" t="n">
        <v>7.84100555964444</v>
      </c>
      <c r="I1405" s="19" t="n">
        <v>976</v>
      </c>
      <c r="J1405" s="19" t="n">
        <v>899</v>
      </c>
      <c r="K1405" s="19" t="n">
        <v>7.89311272169108</v>
      </c>
    </row>
    <row r="1406">
      <c r="A1406" s="19" t="n">
        <v>56</v>
      </c>
      <c r="B1406" s="19" t="inlineStr">
        <is>
          <t>Rick</t>
        </is>
      </c>
      <c r="C1406" s="19" t="inlineStr">
        <is>
          <t>Town</t>
        </is>
      </c>
      <c r="D1406" s="19" t="inlineStr">
        <is>
          <t>Loss</t>
        </is>
      </c>
      <c r="E1406" s="19" t="n">
        <v>-51</v>
      </c>
      <c r="F1406" s="19" t="n">
        <v>27.1968815110722</v>
      </c>
      <c r="G1406" s="19" t="n">
        <v>26.3628097315735</v>
      </c>
      <c r="H1406" s="19" t="n">
        <v>8.158084594779581</v>
      </c>
      <c r="I1406" s="19" t="n">
        <v>1012</v>
      </c>
      <c r="J1406" s="19" t="n">
        <v>961</v>
      </c>
      <c r="K1406" s="19" t="n">
        <v>8.210787285530721</v>
      </c>
    </row>
    <row r="1407">
      <c r="A1407" s="19" t="n">
        <v>56</v>
      </c>
      <c r="B1407" s="19" t="inlineStr">
        <is>
          <t>Josh</t>
        </is>
      </c>
      <c r="C1407" s="19" t="inlineStr">
        <is>
          <t>Town</t>
        </is>
      </c>
      <c r="D1407" s="19" t="inlineStr">
        <is>
          <t>Loss</t>
        </is>
      </c>
      <c r="E1407" s="19" t="n">
        <v>-51</v>
      </c>
      <c r="F1407" s="19" t="n">
        <v>26.6985337204329</v>
      </c>
      <c r="G1407" s="19" t="n">
        <v>25.8774921287033</v>
      </c>
      <c r="H1407" s="19" t="n">
        <v>8.09501436420283</v>
      </c>
      <c r="I1407" s="19" t="n">
        <v>985</v>
      </c>
      <c r="J1407" s="19" t="n">
        <v>934</v>
      </c>
      <c r="K1407" s="19" t="n">
        <v>8.1463124962485</v>
      </c>
    </row>
    <row r="1408">
      <c r="A1408" s="19" t="n">
        <v>56</v>
      </c>
      <c r="B1408" s="19" t="inlineStr">
        <is>
          <t>Nick</t>
        </is>
      </c>
      <c r="C1408" s="19" t="inlineStr">
        <is>
          <t>Town</t>
        </is>
      </c>
      <c r="D1408" s="19" t="inlineStr">
        <is>
          <t>Loss</t>
        </is>
      </c>
      <c r="E1408" s="19" t="n">
        <v>-53</v>
      </c>
      <c r="F1408" s="19" t="n">
        <v>25</v>
      </c>
      <c r="G1408" s="19" t="n">
        <v>24.1408788142085</v>
      </c>
      <c r="H1408" s="19" t="n">
        <v>8.27790301316009</v>
      </c>
      <c r="I1408" s="19" t="n">
        <v>850</v>
      </c>
      <c r="J1408" s="19" t="n">
        <v>797</v>
      </c>
      <c r="K1408" s="19" t="n">
        <v>8.33333333333333</v>
      </c>
    </row>
    <row r="1409">
      <c r="A1409" s="19" t="n">
        <v>56</v>
      </c>
      <c r="B1409" s="19" t="inlineStr">
        <is>
          <t>Chipper</t>
        </is>
      </c>
      <c r="C1409" s="19" t="inlineStr">
        <is>
          <t>Town</t>
        </is>
      </c>
      <c r="D1409" s="19" t="inlineStr">
        <is>
          <t>Loss</t>
        </is>
      </c>
      <c r="E1409" s="19" t="n">
        <v>-50</v>
      </c>
      <c r="F1409" s="19" t="n">
        <v>24.0402843538181</v>
      </c>
      <c r="G1409" s="19" t="n">
        <v>23.2239134448424</v>
      </c>
      <c r="H1409" s="19" t="n">
        <v>8.07227979390621</v>
      </c>
      <c r="I1409" s="19" t="n">
        <v>806</v>
      </c>
      <c r="J1409" s="19" t="n">
        <v>756</v>
      </c>
      <c r="K1409" s="19" t="n">
        <v>8.12307685419456</v>
      </c>
    </row>
    <row r="1410">
      <c r="A1410" s="19" t="n">
        <v>56</v>
      </c>
      <c r="B1410" s="19" t="inlineStr">
        <is>
          <t>Carson</t>
        </is>
      </c>
      <c r="C1410" s="19" t="inlineStr">
        <is>
          <t>Town</t>
        </is>
      </c>
      <c r="D1410" s="19" t="inlineStr">
        <is>
          <t>Loss</t>
        </is>
      </c>
      <c r="E1410" s="19" t="n">
        <v>-48</v>
      </c>
      <c r="F1410" s="19" t="n">
        <v>27.9852844904371</v>
      </c>
      <c r="G1410" s="19" t="n">
        <v>27.205962928209</v>
      </c>
      <c r="H1410" s="19" t="n">
        <v>7.88948724225616</v>
      </c>
      <c r="I1410" s="19" t="n">
        <v>1093</v>
      </c>
      <c r="J1410" s="19" t="n">
        <v>1045</v>
      </c>
      <c r="K1410" s="19" t="n">
        <v>7.93635465764643</v>
      </c>
    </row>
    <row r="1411">
      <c r="A1411" s="19" t="n">
        <v>56</v>
      </c>
      <c r="B1411" s="19" t="inlineStr">
        <is>
          <t>Streety</t>
        </is>
      </c>
      <c r="C1411" s="19" t="inlineStr">
        <is>
          <t>Town</t>
        </is>
      </c>
      <c r="D1411" s="19" t="inlineStr">
        <is>
          <t>Loss</t>
        </is>
      </c>
      <c r="E1411" s="19" t="n">
        <v>-52</v>
      </c>
      <c r="F1411" s="19" t="n">
        <v>27.1789471649048</v>
      </c>
      <c r="G1411" s="19" t="n">
        <v>26.3447292311311</v>
      </c>
      <c r="H1411" s="19" t="n">
        <v>8.15878910106481</v>
      </c>
      <c r="I1411" s="19" t="n">
        <v>1011</v>
      </c>
      <c r="J1411" s="19" t="n">
        <v>959</v>
      </c>
      <c r="K1411" s="19" t="n">
        <v>8.21150760182139</v>
      </c>
    </row>
    <row r="1412">
      <c r="A1412" s="19" t="n">
        <v>56</v>
      </c>
      <c r="B1412" s="19" t="inlineStr">
        <is>
          <t>Kny</t>
        </is>
      </c>
      <c r="C1412" s="19" t="inlineStr">
        <is>
          <t>Town</t>
        </is>
      </c>
      <c r="D1412" s="19" t="inlineStr">
        <is>
          <t>Loss</t>
        </is>
      </c>
      <c r="E1412" s="19" t="n">
        <v>-51</v>
      </c>
      <c r="F1412" s="19" t="n">
        <v>27.5012732565541</v>
      </c>
      <c r="G1412" s="19" t="n">
        <v>26.6688799119068</v>
      </c>
      <c r="H1412" s="19" t="n">
        <v>8.14998942591815</v>
      </c>
      <c r="I1412" s="19" t="n">
        <v>1033</v>
      </c>
      <c r="J1412" s="19" t="n">
        <v>982</v>
      </c>
      <c r="K1412" s="19" t="n">
        <v>8.202510643038639</v>
      </c>
    </row>
    <row r="1413">
      <c r="A1413" s="19" t="n">
        <v>56</v>
      </c>
      <c r="B1413" s="19" t="inlineStr">
        <is>
          <t>Vandy</t>
        </is>
      </c>
      <c r="C1413" s="19" t="inlineStr">
        <is>
          <t>Town</t>
        </is>
      </c>
      <c r="D1413" s="19" t="inlineStr">
        <is>
          <t>Loss</t>
        </is>
      </c>
      <c r="E1413" s="19" t="n">
        <v>-53</v>
      </c>
      <c r="F1413" s="19" t="n">
        <v>25</v>
      </c>
      <c r="G1413" s="19" t="n">
        <v>24.1408788142085</v>
      </c>
      <c r="H1413" s="19" t="n">
        <v>8.27790301316009</v>
      </c>
      <c r="I1413" s="19" t="n">
        <v>850</v>
      </c>
      <c r="J1413" s="19" t="n">
        <v>797</v>
      </c>
      <c r="K1413" s="19" t="n">
        <v>8.33333333333333</v>
      </c>
    </row>
    <row r="1414">
      <c r="A1414" s="19" t="n">
        <v>56</v>
      </c>
      <c r="B1414" s="19" t="inlineStr">
        <is>
          <t>Noah</t>
        </is>
      </c>
      <c r="C1414" s="19" t="inlineStr">
        <is>
          <t>Town</t>
        </is>
      </c>
      <c r="D1414" s="19" t="inlineStr">
        <is>
          <t>Loss</t>
        </is>
      </c>
      <c r="E1414" s="19" t="n">
        <v>-51</v>
      </c>
      <c r="F1414" s="19" t="n">
        <v>23.5499746571348</v>
      </c>
      <c r="G1414" s="19" t="n">
        <v>22.7310724989497</v>
      </c>
      <c r="H1414" s="19" t="n">
        <v>8.084609055202939</v>
      </c>
      <c r="I1414" s="19" t="n">
        <v>772</v>
      </c>
      <c r="J1414" s="19" t="n">
        <v>721</v>
      </c>
      <c r="K1414" s="19" t="n">
        <v>8.13567751135421</v>
      </c>
    </row>
    <row r="1415">
      <c r="A1415" s="19" t="n">
        <v>56</v>
      </c>
      <c r="B1415" s="19" t="inlineStr">
        <is>
          <t>Kwix</t>
        </is>
      </c>
      <c r="C1415" s="19" t="inlineStr">
        <is>
          <t>Town</t>
        </is>
      </c>
      <c r="D1415" s="19" t="inlineStr">
        <is>
          <t>Loss</t>
        </is>
      </c>
      <c r="E1415" s="19" t="n">
        <v>-50</v>
      </c>
      <c r="F1415" s="19" t="n">
        <v>23.2720990627061</v>
      </c>
      <c r="G1415" s="19" t="n">
        <v>22.4599071933022</v>
      </c>
      <c r="H1415" s="19" t="n">
        <v>8.05188074271142</v>
      </c>
      <c r="I1415" s="19" t="n">
        <v>756</v>
      </c>
      <c r="J1415" s="19" t="n">
        <v>706</v>
      </c>
      <c r="K1415" s="19" t="n">
        <v>8.10223054810624</v>
      </c>
    </row>
    <row r="1416">
      <c r="A1416" s="19" t="n">
        <v>56</v>
      </c>
      <c r="B1416" s="19" t="inlineStr">
        <is>
          <t>Xcync</t>
        </is>
      </c>
      <c r="C1416" s="19" t="inlineStr">
        <is>
          <t>Mafia</t>
        </is>
      </c>
      <c r="D1416" s="19" t="inlineStr">
        <is>
          <t>Win</t>
        </is>
      </c>
      <c r="E1416" s="19" t="n">
        <v>58</v>
      </c>
      <c r="F1416" s="19" t="n">
        <v>26.5958550110735</v>
      </c>
      <c r="G1416" s="19" t="n">
        <v>27.3711125841721</v>
      </c>
      <c r="H1416" s="19" t="n">
        <v>7.86916354134277</v>
      </c>
      <c r="I1416" s="19" t="n">
        <v>1001</v>
      </c>
      <c r="J1416" s="19" t="n">
        <v>1059</v>
      </c>
      <c r="K1416" s="19" t="n">
        <v>7.91560479887927</v>
      </c>
    </row>
    <row r="1417">
      <c r="A1417" s="19" t="n">
        <v>56</v>
      </c>
      <c r="B1417" s="19" t="inlineStr">
        <is>
          <t>Whyin</t>
        </is>
      </c>
      <c r="C1417" s="19" t="inlineStr">
        <is>
          <t>Mafia</t>
        </is>
      </c>
      <c r="D1417" s="19" t="inlineStr">
        <is>
          <t>Win</t>
        </is>
      </c>
      <c r="E1417" s="19" t="n">
        <v>61</v>
      </c>
      <c r="F1417" s="19" t="n">
        <v>24.0048100876793</v>
      </c>
      <c r="G1417" s="19" t="n">
        <v>24.8258516794089</v>
      </c>
      <c r="H1417" s="19" t="n">
        <v>8.09501436420283</v>
      </c>
      <c r="I1417" s="19" t="n">
        <v>801</v>
      </c>
      <c r="J1417" s="19" t="n">
        <v>862</v>
      </c>
      <c r="K1417" s="19" t="n">
        <v>8.1463124962485</v>
      </c>
    </row>
    <row r="1418">
      <c r="A1418" s="19" t="n">
        <v>56</v>
      </c>
      <c r="B1418" s="19" t="inlineStr">
        <is>
          <t>Asiansam</t>
        </is>
      </c>
      <c r="C1418" s="19" t="inlineStr">
        <is>
          <t>Mafia</t>
        </is>
      </c>
      <c r="D1418" s="19" t="inlineStr">
        <is>
          <t>Win</t>
        </is>
      </c>
      <c r="E1418" s="19" t="n">
        <v>62</v>
      </c>
      <c r="F1418" s="19" t="n">
        <v>24.9287873617825</v>
      </c>
      <c r="G1418" s="19" t="n">
        <v>25.7609425255673</v>
      </c>
      <c r="H1418" s="19" t="n">
        <v>8.14883997868513</v>
      </c>
      <c r="I1418" s="19" t="n">
        <v>859</v>
      </c>
      <c r="J1418" s="19" t="n">
        <v>921</v>
      </c>
      <c r="K1418" s="19" t="n">
        <v>8.20133545669011</v>
      </c>
    </row>
    <row r="1419">
      <c r="A1419" s="19" t="n">
        <v>55</v>
      </c>
      <c r="B1419" s="19" t="inlineStr">
        <is>
          <t>Insomnia</t>
        </is>
      </c>
      <c r="C1419" s="19" t="inlineStr">
        <is>
          <t>Town</t>
        </is>
      </c>
      <c r="D1419" s="19" t="inlineStr">
        <is>
          <t>Win</t>
        </is>
      </c>
      <c r="E1419" s="19" t="n">
        <v>93</v>
      </c>
      <c r="F1419" s="19" t="n">
        <v>25</v>
      </c>
      <c r="G1419" s="19" t="n">
        <v>26.269718971282</v>
      </c>
      <c r="H1419" s="19" t="n">
        <v>8.266683343136529</v>
      </c>
      <c r="I1419" s="19" t="n">
        <v>850</v>
      </c>
      <c r="J1419" s="19" t="n">
        <v>943</v>
      </c>
      <c r="K1419" s="19" t="n">
        <v>8.33333333333333</v>
      </c>
    </row>
    <row r="1420">
      <c r="A1420" s="19" t="n">
        <v>55</v>
      </c>
      <c r="B1420" s="19" t="inlineStr">
        <is>
          <t>Brownkow</t>
        </is>
      </c>
      <c r="C1420" s="19" t="inlineStr">
        <is>
          <t>Town</t>
        </is>
      </c>
      <c r="D1420" s="19" t="inlineStr">
        <is>
          <t>Win</t>
        </is>
      </c>
      <c r="E1420" s="19" t="n">
        <v>88</v>
      </c>
      <c r="F1420" s="19" t="n">
        <v>27.9246816609095</v>
      </c>
      <c r="G1420" s="19" t="n">
        <v>29.1258239189287</v>
      </c>
      <c r="H1420" s="19" t="n">
        <v>8.044146018181319</v>
      </c>
      <c r="I1420" s="19" t="n">
        <v>1072</v>
      </c>
      <c r="J1420" s="19" t="n">
        <v>1160</v>
      </c>
      <c r="K1420" s="19" t="n">
        <v>8.104870965636961</v>
      </c>
    </row>
    <row r="1421">
      <c r="A1421" s="19" t="n">
        <v>55</v>
      </c>
      <c r="B1421" s="19" t="inlineStr">
        <is>
          <t>Chipper</t>
        </is>
      </c>
      <c r="C1421" s="19" t="inlineStr">
        <is>
          <t>Town</t>
        </is>
      </c>
      <c r="D1421" s="19" t="inlineStr">
        <is>
          <t>Win</t>
        </is>
      </c>
      <c r="E1421" s="19" t="n">
        <v>90</v>
      </c>
      <c r="F1421" s="19" t="n">
        <v>22.815048083928</v>
      </c>
      <c r="G1421" s="19" t="n">
        <v>24.0402843538181</v>
      </c>
      <c r="H1421" s="19" t="n">
        <v>8.12307685419456</v>
      </c>
      <c r="I1421" s="19" t="n">
        <v>716</v>
      </c>
      <c r="J1421" s="19" t="n">
        <v>806</v>
      </c>
      <c r="K1421" s="19" t="n">
        <v>8.18586644074993</v>
      </c>
    </row>
    <row r="1422">
      <c r="A1422" s="19" t="n">
        <v>55</v>
      </c>
      <c r="B1422" s="19" t="inlineStr">
        <is>
          <t>Rick</t>
        </is>
      </c>
      <c r="C1422" s="19" t="inlineStr">
        <is>
          <t>Town</t>
        </is>
      </c>
      <c r="D1422" s="19" t="inlineStr">
        <is>
          <t>Win</t>
        </is>
      </c>
      <c r="E1422" s="19" t="n">
        <v>92</v>
      </c>
      <c r="F1422" s="19" t="n">
        <v>25.944575841483</v>
      </c>
      <c r="G1422" s="19" t="n">
        <v>27.1968815110722</v>
      </c>
      <c r="H1422" s="19" t="n">
        <v>8.210787285530721</v>
      </c>
      <c r="I1422" s="19" t="n">
        <v>920</v>
      </c>
      <c r="J1422" s="19" t="n">
        <v>1012</v>
      </c>
      <c r="K1422" s="19" t="n">
        <v>8.275918589346849</v>
      </c>
    </row>
    <row r="1423">
      <c r="A1423" s="19" t="n">
        <v>55</v>
      </c>
      <c r="B1423" s="19" t="inlineStr">
        <is>
          <t>Machop</t>
        </is>
      </c>
      <c r="C1423" s="19" t="inlineStr">
        <is>
          <t>Town</t>
        </is>
      </c>
      <c r="D1423" s="19" t="inlineStr">
        <is>
          <t>Win</t>
        </is>
      </c>
      <c r="E1423" s="19" t="n">
        <v>86</v>
      </c>
      <c r="F1423" s="19" t="n">
        <v>29.401249243519</v>
      </c>
      <c r="G1423" s="19" t="n">
        <v>30.5721679754527</v>
      </c>
      <c r="H1423" s="19" t="n">
        <v>7.94394969093824</v>
      </c>
      <c r="I1423" s="19" t="n">
        <v>1183</v>
      </c>
      <c r="J1423" s="19" t="n">
        <v>1269</v>
      </c>
      <c r="K1423" s="19" t="n">
        <v>8.002111145608209</v>
      </c>
    </row>
    <row r="1424">
      <c r="A1424" s="19" t="n">
        <v>55</v>
      </c>
      <c r="B1424" s="19" t="inlineStr">
        <is>
          <t>Lou</t>
        </is>
      </c>
      <c r="C1424" s="19" t="inlineStr">
        <is>
          <t>Town</t>
        </is>
      </c>
      <c r="D1424" s="19" t="inlineStr">
        <is>
          <t>Win</t>
        </is>
      </c>
      <c r="E1424" s="19" t="n">
        <v>85</v>
      </c>
      <c r="F1424" s="19" t="n">
        <v>25.0305926591535</v>
      </c>
      <c r="G1424" s="19" t="n">
        <v>26.1863312824507</v>
      </c>
      <c r="H1424" s="19" t="n">
        <v>7.89311272169108</v>
      </c>
      <c r="I1424" s="19" t="n">
        <v>891</v>
      </c>
      <c r="J1424" s="19" t="n">
        <v>976</v>
      </c>
      <c r="K1424" s="19" t="n">
        <v>7.94999777616705</v>
      </c>
    </row>
    <row r="1425">
      <c r="A1425" s="19" t="n">
        <v>55</v>
      </c>
      <c r="B1425" s="19" t="inlineStr">
        <is>
          <t>Kwix</t>
        </is>
      </c>
      <c r="C1425" s="19" t="inlineStr">
        <is>
          <t>Town</t>
        </is>
      </c>
      <c r="D1425" s="19" t="inlineStr">
        <is>
          <t>Win</t>
        </is>
      </c>
      <c r="E1425" s="19" t="n">
        <v>89</v>
      </c>
      <c r="F1425" s="19" t="n">
        <v>22.053250673464</v>
      </c>
      <c r="G1425" s="19" t="n">
        <v>23.2720990627061</v>
      </c>
      <c r="H1425" s="19" t="n">
        <v>8.10223054810624</v>
      </c>
      <c r="I1425" s="19" t="n">
        <v>667</v>
      </c>
      <c r="J1425" s="19" t="n">
        <v>756</v>
      </c>
      <c r="K1425" s="19" t="n">
        <v>8.16447094000922</v>
      </c>
    </row>
    <row r="1426">
      <c r="A1426" s="19" t="n">
        <v>55</v>
      </c>
      <c r="B1426" s="19" t="inlineStr">
        <is>
          <t>Kny</t>
        </is>
      </c>
      <c r="C1426" s="19" t="inlineStr">
        <is>
          <t>Town</t>
        </is>
      </c>
      <c r="D1426" s="19" t="inlineStr">
        <is>
          <t>Win</t>
        </is>
      </c>
      <c r="E1426" s="19" t="n">
        <v>91</v>
      </c>
      <c r="F1426" s="19" t="n">
        <v>26.2515352481549</v>
      </c>
      <c r="G1426" s="19" t="n">
        <v>27.5012732565541</v>
      </c>
      <c r="H1426" s="19" t="n">
        <v>8.202510643038639</v>
      </c>
      <c r="I1426" s="19" t="n">
        <v>942</v>
      </c>
      <c r="J1426" s="19" t="n">
        <v>1033</v>
      </c>
      <c r="K1426" s="19" t="n">
        <v>8.26741882334399</v>
      </c>
    </row>
    <row r="1427">
      <c r="A1427" s="19" t="n">
        <v>55</v>
      </c>
      <c r="B1427" s="19" t="inlineStr">
        <is>
          <t>Xcync</t>
        </is>
      </c>
      <c r="C1427" s="19" t="inlineStr">
        <is>
          <t>Town</t>
        </is>
      </c>
      <c r="D1427" s="19" t="inlineStr">
        <is>
          <t>Win</t>
        </is>
      </c>
      <c r="E1427" s="19" t="n">
        <v>85</v>
      </c>
      <c r="F1427" s="19" t="n">
        <v>25.433412985263</v>
      </c>
      <c r="G1427" s="19" t="n">
        <v>26.5958550110735</v>
      </c>
      <c r="H1427" s="19" t="n">
        <v>7.91560479887927</v>
      </c>
      <c r="I1427" s="19" t="n">
        <v>916</v>
      </c>
      <c r="J1427" s="19" t="n">
        <v>1001</v>
      </c>
      <c r="K1427" s="19" t="n">
        <v>7.97305257886662</v>
      </c>
    </row>
    <row r="1428">
      <c r="A1428" s="19" t="n">
        <v>55</v>
      </c>
      <c r="B1428" s="19" t="inlineStr">
        <is>
          <t>Starv</t>
        </is>
      </c>
      <c r="C1428" s="19" t="inlineStr">
        <is>
          <t>Town</t>
        </is>
      </c>
      <c r="D1428" s="19" t="inlineStr">
        <is>
          <t>Win</t>
        </is>
      </c>
      <c r="E1428" s="19" t="n">
        <v>89</v>
      </c>
      <c r="F1428" s="19" t="n">
        <v>26.1932180072551</v>
      </c>
      <c r="G1428" s="19" t="n">
        <v>27.4134718469208</v>
      </c>
      <c r="H1428" s="19" t="n">
        <v>8.10682203633772</v>
      </c>
      <c r="I1428" s="19" t="n">
        <v>948</v>
      </c>
      <c r="J1428" s="19" t="n">
        <v>1037</v>
      </c>
      <c r="K1428" s="19" t="n">
        <v>8.169183149149999</v>
      </c>
    </row>
    <row r="1429">
      <c r="A1429" s="19" t="n">
        <v>55</v>
      </c>
      <c r="B1429" s="19" t="inlineStr">
        <is>
          <t>Happymeal</t>
        </is>
      </c>
      <c r="C1429" s="19" t="inlineStr">
        <is>
          <t>Mafia</t>
        </is>
      </c>
      <c r="D1429" s="19" t="inlineStr">
        <is>
          <t>Loss</t>
        </is>
      </c>
      <c r="E1429" s="19" t="n">
        <v>-77</v>
      </c>
      <c r="F1429" s="19" t="n">
        <v>26.4059463774041</v>
      </c>
      <c r="G1429" s="19" t="n">
        <v>25.187097988162</v>
      </c>
      <c r="H1429" s="19" t="n">
        <v>8.10223054810624</v>
      </c>
      <c r="I1429" s="19" t="n">
        <v>963</v>
      </c>
      <c r="J1429" s="19" t="n">
        <v>886</v>
      </c>
      <c r="K1429" s="19" t="n">
        <v>8.16447094000922</v>
      </c>
    </row>
    <row r="1430">
      <c r="A1430" s="19" t="n">
        <v>55</v>
      </c>
      <c r="B1430" s="19" t="inlineStr">
        <is>
          <t>Boobles</t>
        </is>
      </c>
      <c r="C1430" s="19" t="inlineStr">
        <is>
          <t>Mafia</t>
        </is>
      </c>
      <c r="D1430" s="19" t="inlineStr">
        <is>
          <t>Loss</t>
        </is>
      </c>
      <c r="E1430" s="19" t="n">
        <v>-75</v>
      </c>
      <c r="F1430" s="19" t="n">
        <v>25.9832278132446</v>
      </c>
      <c r="G1430" s="19" t="n">
        <v>24.7826951060583</v>
      </c>
      <c r="H1430" s="19" t="n">
        <v>8.042138416772699</v>
      </c>
      <c r="I1430" s="19" t="n">
        <v>940</v>
      </c>
      <c r="J1430" s="19" t="n">
        <v>865</v>
      </c>
      <c r="K1430" s="19" t="n">
        <v>8.10281137270167</v>
      </c>
    </row>
    <row r="1431">
      <c r="A1431" s="19" t="n">
        <v>55</v>
      </c>
      <c r="B1431" s="19" t="inlineStr">
        <is>
          <t>Badpants</t>
        </is>
      </c>
      <c r="C1431" s="19" t="inlineStr">
        <is>
          <t>Mafia</t>
        </is>
      </c>
      <c r="D1431" s="19" t="inlineStr">
        <is>
          <t>Loss</t>
        </is>
      </c>
      <c r="E1431" s="19" t="n">
        <v>-75</v>
      </c>
      <c r="F1431" s="19" t="n">
        <v>22.9038406952535</v>
      </c>
      <c r="G1431" s="19" t="n">
        <v>21.7154864092516</v>
      </c>
      <c r="H1431" s="19" t="n">
        <v>8.001915090960059</v>
      </c>
      <c r="I1431" s="19" t="n">
        <v>735</v>
      </c>
      <c r="J1431" s="19" t="n">
        <v>660</v>
      </c>
      <c r="K1431" s="19" t="n">
        <v>8.061551795708899</v>
      </c>
    </row>
    <row r="1432">
      <c r="A1432" s="19" t="n">
        <v>54</v>
      </c>
      <c r="B1432" s="19" t="inlineStr">
        <is>
          <t>Laur</t>
        </is>
      </c>
      <c r="C1432" s="19" t="inlineStr">
        <is>
          <t>Town</t>
        </is>
      </c>
      <c r="D1432" s="19" t="inlineStr">
        <is>
          <t>Win</t>
        </is>
      </c>
      <c r="E1432" s="19" t="n">
        <v>89</v>
      </c>
      <c r="F1432" s="19" t="n">
        <v>25.4449730983005</v>
      </c>
      <c r="G1432" s="19" t="n">
        <v>26.6596100237831</v>
      </c>
      <c r="H1432" s="19" t="n">
        <v>8.14671510753092</v>
      </c>
      <c r="I1432" s="19" t="n">
        <v>893</v>
      </c>
      <c r="J1432" s="19" t="n">
        <v>982</v>
      </c>
      <c r="K1432" s="19" t="n">
        <v>8.20940916345992</v>
      </c>
    </row>
    <row r="1433">
      <c r="A1433" s="19" t="n">
        <v>54</v>
      </c>
      <c r="B1433" s="19" t="inlineStr">
        <is>
          <t>Kny</t>
        </is>
      </c>
      <c r="C1433" s="19" t="inlineStr">
        <is>
          <t>Town</t>
        </is>
      </c>
      <c r="D1433" s="19" t="inlineStr">
        <is>
          <t>Win</t>
        </is>
      </c>
      <c r="E1433" s="19" t="n">
        <v>92</v>
      </c>
      <c r="F1433" s="19" t="n">
        <v>25</v>
      </c>
      <c r="G1433" s="19" t="n">
        <v>26.2515352481549</v>
      </c>
      <c r="H1433" s="19" t="n">
        <v>8.26741882334399</v>
      </c>
      <c r="I1433" s="19" t="n">
        <v>850</v>
      </c>
      <c r="J1433" s="19" t="n">
        <v>942</v>
      </c>
      <c r="K1433" s="19" t="n">
        <v>8.33333333333333</v>
      </c>
    </row>
    <row r="1434">
      <c r="A1434" s="19" t="n">
        <v>54</v>
      </c>
      <c r="B1434" s="19" t="inlineStr">
        <is>
          <t>Machop</t>
        </is>
      </c>
      <c r="C1434" s="19" t="inlineStr">
        <is>
          <t>Town</t>
        </is>
      </c>
      <c r="D1434" s="19" t="inlineStr">
        <is>
          <t>Win</t>
        </is>
      </c>
      <c r="E1434" s="19" t="n">
        <v>86</v>
      </c>
      <c r="F1434" s="19" t="n">
        <v>28.2300531528781</v>
      </c>
      <c r="G1434" s="19" t="n">
        <v>29.401249243519</v>
      </c>
      <c r="H1434" s="19" t="n">
        <v>8.002111145608209</v>
      </c>
      <c r="I1434" s="19" t="n">
        <v>1097</v>
      </c>
      <c r="J1434" s="19" t="n">
        <v>1183</v>
      </c>
      <c r="K1434" s="19" t="n">
        <v>8.061070379899309</v>
      </c>
    </row>
    <row r="1435">
      <c r="A1435" s="19" t="n">
        <v>54</v>
      </c>
      <c r="B1435" s="19" t="inlineStr">
        <is>
          <t>Streety</t>
        </is>
      </c>
      <c r="C1435" s="19" t="inlineStr">
        <is>
          <t>Town</t>
        </is>
      </c>
      <c r="D1435" s="19" t="inlineStr">
        <is>
          <t>Win</t>
        </is>
      </c>
      <c r="E1435" s="19" t="n">
        <v>91</v>
      </c>
      <c r="F1435" s="19" t="n">
        <v>25.944575841483</v>
      </c>
      <c r="G1435" s="19" t="n">
        <v>27.1789471649048</v>
      </c>
      <c r="H1435" s="19" t="n">
        <v>8.21150760182139</v>
      </c>
      <c r="I1435" s="19" t="n">
        <v>920</v>
      </c>
      <c r="J1435" s="19" t="n">
        <v>1011</v>
      </c>
      <c r="K1435" s="19" t="n">
        <v>8.275918589346849</v>
      </c>
    </row>
    <row r="1436">
      <c r="A1436" s="19" t="n">
        <v>54</v>
      </c>
      <c r="B1436" s="19" t="inlineStr">
        <is>
          <t>Rocker</t>
        </is>
      </c>
      <c r="C1436" s="19" t="inlineStr">
        <is>
          <t>Town</t>
        </is>
      </c>
      <c r="D1436" s="19" t="inlineStr">
        <is>
          <t>Win</t>
        </is>
      </c>
      <c r="E1436" s="19" t="n">
        <v>87</v>
      </c>
      <c r="F1436" s="19" t="n">
        <v>29.5727873490563</v>
      </c>
      <c r="G1436" s="19" t="n">
        <v>30.7533985589468</v>
      </c>
      <c r="H1436" s="19" t="n">
        <v>8.03368779167144</v>
      </c>
      <c r="I1436" s="19" t="n">
        <v>1185</v>
      </c>
      <c r="J1436" s="19" t="n">
        <v>1272</v>
      </c>
      <c r="K1436" s="19" t="n">
        <v>8.093451258338879</v>
      </c>
    </row>
    <row r="1437">
      <c r="A1437" s="19" t="n">
        <v>54</v>
      </c>
      <c r="B1437" s="19" t="inlineStr">
        <is>
          <t>Smit</t>
        </is>
      </c>
      <c r="C1437" s="19" t="inlineStr">
        <is>
          <t>Town</t>
        </is>
      </c>
      <c r="D1437" s="19" t="inlineStr">
        <is>
          <t>Win</t>
        </is>
      </c>
      <c r="E1437" s="19" t="n">
        <v>87</v>
      </c>
      <c r="F1437" s="19" t="n">
        <v>23.8625501431828</v>
      </c>
      <c r="G1437" s="19" t="n">
        <v>25.0483976404743</v>
      </c>
      <c r="H1437" s="19" t="n">
        <v>8.051192181134811</v>
      </c>
      <c r="I1437" s="19" t="n">
        <v>795</v>
      </c>
      <c r="J1437" s="19" t="n">
        <v>882</v>
      </c>
      <c r="K1437" s="19" t="n">
        <v>8.111404183388901</v>
      </c>
    </row>
    <row r="1438">
      <c r="A1438" s="19" t="n">
        <v>54</v>
      </c>
      <c r="B1438" s="19" t="inlineStr">
        <is>
          <t>Boobles</t>
        </is>
      </c>
      <c r="C1438" s="19" t="inlineStr">
        <is>
          <t>Town</t>
        </is>
      </c>
      <c r="D1438" s="19" t="inlineStr">
        <is>
          <t>Win</t>
        </is>
      </c>
      <c r="E1438" s="19" t="n">
        <v>88</v>
      </c>
      <c r="F1438" s="19" t="n">
        <v>24.7818679952064</v>
      </c>
      <c r="G1438" s="19" t="n">
        <v>25.9832278132446</v>
      </c>
      <c r="H1438" s="19" t="n">
        <v>8.10281137270167</v>
      </c>
      <c r="I1438" s="19" t="n">
        <v>852</v>
      </c>
      <c r="J1438" s="19" t="n">
        <v>940</v>
      </c>
      <c r="K1438" s="19" t="n">
        <v>8.16435740169905</v>
      </c>
    </row>
    <row r="1439">
      <c r="A1439" s="19" t="n">
        <v>54</v>
      </c>
      <c r="B1439" s="19" t="inlineStr">
        <is>
          <t>Xcync</t>
        </is>
      </c>
      <c r="C1439" s="19" t="inlineStr">
        <is>
          <t>Town</t>
        </is>
      </c>
      <c r="D1439" s="19" t="inlineStr">
        <is>
          <t>Win</t>
        </is>
      </c>
      <c r="E1439" s="19" t="n">
        <v>85</v>
      </c>
      <c r="F1439" s="19" t="n">
        <v>24.2708462544576</v>
      </c>
      <c r="G1439" s="19" t="n">
        <v>25.433412985263</v>
      </c>
      <c r="H1439" s="19" t="n">
        <v>7.97305257886662</v>
      </c>
      <c r="I1439" s="19" t="n">
        <v>831</v>
      </c>
      <c r="J1439" s="19" t="n">
        <v>916</v>
      </c>
      <c r="K1439" s="19" t="n">
        <v>8.03127725366202</v>
      </c>
    </row>
    <row r="1440">
      <c r="A1440" s="19" t="n">
        <v>54</v>
      </c>
      <c r="B1440" s="19" t="inlineStr">
        <is>
          <t>Iln</t>
        </is>
      </c>
      <c r="C1440" s="19" t="inlineStr">
        <is>
          <t>Town</t>
        </is>
      </c>
      <c r="D1440" s="19" t="inlineStr">
        <is>
          <t>Win</t>
        </is>
      </c>
      <c r="E1440" s="19" t="n">
        <v>85</v>
      </c>
      <c r="F1440" s="19" t="n">
        <v>22.1277908255808</v>
      </c>
      <c r="G1440" s="19" t="n">
        <v>23.3013370317285</v>
      </c>
      <c r="H1440" s="19" t="n">
        <v>8.010005459158281</v>
      </c>
      <c r="I1440" s="19" t="n">
        <v>682</v>
      </c>
      <c r="J1440" s="19" t="n">
        <v>767</v>
      </c>
      <c r="K1440" s="19" t="n">
        <v>8.069165166466821</v>
      </c>
    </row>
    <row r="1441">
      <c r="A1441" s="19" t="n">
        <v>54</v>
      </c>
      <c r="B1441" s="19" t="inlineStr">
        <is>
          <t>Creatchee</t>
        </is>
      </c>
      <c r="C1441" s="19" t="inlineStr">
        <is>
          <t>Town</t>
        </is>
      </c>
      <c r="D1441" s="19" t="inlineStr">
        <is>
          <t>Win</t>
        </is>
      </c>
      <c r="E1441" s="19" t="n">
        <v>86</v>
      </c>
      <c r="F1441" s="19" t="n">
        <v>28.159314110832</v>
      </c>
      <c r="G1441" s="19" t="n">
        <v>29.3385866333772</v>
      </c>
      <c r="H1441" s="19" t="n">
        <v>8.029206153082001</v>
      </c>
      <c r="I1441" s="19" t="n">
        <v>1090</v>
      </c>
      <c r="J1441" s="19" t="n">
        <v>1176</v>
      </c>
      <c r="K1441" s="19" t="n">
        <v>8.088855093003771</v>
      </c>
    </row>
    <row r="1442">
      <c r="A1442" s="19" t="n">
        <v>54</v>
      </c>
      <c r="B1442" s="19" t="inlineStr">
        <is>
          <t>Maz</t>
        </is>
      </c>
      <c r="C1442" s="19" t="inlineStr">
        <is>
          <t>Mafia</t>
        </is>
      </c>
      <c r="D1442" s="19" t="inlineStr">
        <is>
          <t>Loss</t>
        </is>
      </c>
      <c r="E1442" s="19" t="n">
        <v>-78</v>
      </c>
      <c r="F1442" s="19" t="n">
        <v>25</v>
      </c>
      <c r="G1442" s="19" t="n">
        <v>23.748464751845</v>
      </c>
      <c r="H1442" s="19" t="n">
        <v>8.26741882334399</v>
      </c>
      <c r="I1442" s="19" t="n">
        <v>850</v>
      </c>
      <c r="J1442" s="19" t="n">
        <v>772</v>
      </c>
      <c r="K1442" s="19" t="n">
        <v>8.33333333333333</v>
      </c>
    </row>
    <row r="1443">
      <c r="A1443" s="19" t="n">
        <v>54</v>
      </c>
      <c r="B1443" s="19" t="inlineStr">
        <is>
          <t>Kowa</t>
        </is>
      </c>
      <c r="C1443" s="19" t="inlineStr">
        <is>
          <t>Mafia</t>
        </is>
      </c>
      <c r="D1443" s="19" t="inlineStr">
        <is>
          <t>Loss</t>
        </is>
      </c>
      <c r="E1443" s="19" t="n">
        <v>-77</v>
      </c>
      <c r="F1443" s="19" t="n">
        <v>24.1893971511041</v>
      </c>
      <c r="G1443" s="19" t="n">
        <v>22.9536739190734</v>
      </c>
      <c r="H1443" s="19" t="n">
        <v>8.21592621119388</v>
      </c>
      <c r="I1443" s="19" t="n">
        <v>800</v>
      </c>
      <c r="J1443" s="19" t="n">
        <v>723</v>
      </c>
      <c r="K1443" s="19" t="n">
        <v>8.280455278387979</v>
      </c>
    </row>
    <row r="1444">
      <c r="A1444" s="19" t="n">
        <v>54</v>
      </c>
      <c r="B1444" s="19" t="inlineStr">
        <is>
          <t>Lou</t>
        </is>
      </c>
      <c r="C1444" s="19" t="inlineStr">
        <is>
          <t>Mafia</t>
        </is>
      </c>
      <c r="D1444" s="19" t="inlineStr">
        <is>
          <t>Loss</t>
        </is>
      </c>
      <c r="E1444" s="19" t="n">
        <v>-73</v>
      </c>
      <c r="F1444" s="19" t="n">
        <v>26.1863367501225</v>
      </c>
      <c r="G1444" s="19" t="n">
        <v>25.0305926591535</v>
      </c>
      <c r="H1444" s="19" t="n">
        <v>7.94999777616705</v>
      </c>
      <c r="I1444" s="19" t="n">
        <v>964</v>
      </c>
      <c r="J1444" s="19" t="n">
        <v>891</v>
      </c>
      <c r="K1444" s="19" t="n">
        <v>8.00764341807692</v>
      </c>
    </row>
    <row r="1445">
      <c r="A1445" s="19" t="n">
        <v>53</v>
      </c>
      <c r="B1445" s="19" t="inlineStr">
        <is>
          <t>Rollo</t>
        </is>
      </c>
      <c r="C1445" s="19" t="inlineStr">
        <is>
          <t>Town</t>
        </is>
      </c>
      <c r="D1445" s="19" t="inlineStr">
        <is>
          <t>Win</t>
        </is>
      </c>
      <c r="E1445" s="19" t="n">
        <v>99</v>
      </c>
      <c r="F1445" s="19" t="n">
        <v>24.6483280959438</v>
      </c>
      <c r="G1445" s="19" t="n">
        <v>25.9951899123206</v>
      </c>
      <c r="H1445" s="19" t="n">
        <v>8.1463124962485</v>
      </c>
      <c r="I1445" s="19" t="n">
        <v>838</v>
      </c>
      <c r="J1445" s="19" t="n">
        <v>937</v>
      </c>
      <c r="K1445" s="19" t="n">
        <v>8.21175207018624</v>
      </c>
    </row>
    <row r="1446">
      <c r="A1446" s="19" t="n">
        <v>53</v>
      </c>
      <c r="B1446" s="19" t="inlineStr">
        <is>
          <t>Boobles</t>
        </is>
      </c>
      <c r="C1446" s="19" t="inlineStr">
        <is>
          <t>Town</t>
        </is>
      </c>
      <c r="D1446" s="19" t="inlineStr">
        <is>
          <t>Win</t>
        </is>
      </c>
      <c r="E1446" s="19" t="n">
        <v>98</v>
      </c>
      <c r="F1446" s="19" t="n">
        <v>23.4289258955793</v>
      </c>
      <c r="G1446" s="19" t="n">
        <v>24.7818679952064</v>
      </c>
      <c r="H1446" s="19" t="n">
        <v>8.16435740169905</v>
      </c>
      <c r="I1446" s="19" t="n">
        <v>754</v>
      </c>
      <c r="J1446" s="19" t="n">
        <v>852</v>
      </c>
      <c r="K1446" s="19" t="n">
        <v>8.230291479075211</v>
      </c>
    </row>
    <row r="1447">
      <c r="A1447" s="19" t="n">
        <v>53</v>
      </c>
      <c r="B1447" s="19" t="inlineStr">
        <is>
          <t>Svaan</t>
        </is>
      </c>
      <c r="C1447" s="19" t="inlineStr">
        <is>
          <t>Town</t>
        </is>
      </c>
      <c r="D1447" s="19" t="inlineStr">
        <is>
          <t>Win</t>
        </is>
      </c>
      <c r="E1447" s="19" t="n">
        <v>98</v>
      </c>
      <c r="F1447" s="19" t="n">
        <v>25.1067402580032</v>
      </c>
      <c r="G1447" s="19" t="n">
        <v>26.4500253428651</v>
      </c>
      <c r="H1447" s="19" t="n">
        <v>8.13567751135421</v>
      </c>
      <c r="I1447" s="19" t="n">
        <v>871</v>
      </c>
      <c r="J1447" s="19" t="n">
        <v>969</v>
      </c>
      <c r="K1447" s="19" t="n">
        <v>8.200826669225981</v>
      </c>
    </row>
    <row r="1448">
      <c r="A1448" s="19" t="n">
        <v>53</v>
      </c>
      <c r="B1448" s="19" t="inlineStr">
        <is>
          <t>Mintt</t>
        </is>
      </c>
      <c r="C1448" s="19" t="inlineStr">
        <is>
          <t>Town</t>
        </is>
      </c>
      <c r="D1448" s="19" t="inlineStr">
        <is>
          <t>Win</t>
        </is>
      </c>
      <c r="E1448" s="19" t="n">
        <v>99</v>
      </c>
      <c r="F1448" s="19" t="n">
        <v>26.4102913023048</v>
      </c>
      <c r="G1448" s="19" t="n">
        <v>27.7745643043049</v>
      </c>
      <c r="H1448" s="19" t="n">
        <v>8.19787128058487</v>
      </c>
      <c r="I1448" s="19" t="n">
        <v>953</v>
      </c>
      <c r="J1448" s="19" t="n">
        <v>1052</v>
      </c>
      <c r="K1448" s="19" t="n">
        <v>8.26472960331672</v>
      </c>
    </row>
    <row r="1449">
      <c r="A1449" s="19" t="n">
        <v>53</v>
      </c>
      <c r="B1449" s="19" t="inlineStr">
        <is>
          <t>Creatchee</t>
        </is>
      </c>
      <c r="C1449" s="19" t="inlineStr">
        <is>
          <t>Town</t>
        </is>
      </c>
      <c r="D1449" s="19" t="inlineStr">
        <is>
          <t>Win</t>
        </is>
      </c>
      <c r="E1449" s="19" t="n">
        <v>97</v>
      </c>
      <c r="F1449" s="19" t="n">
        <v>26.8317166610213</v>
      </c>
      <c r="G1449" s="19" t="n">
        <v>28.159314110832</v>
      </c>
      <c r="H1449" s="19" t="n">
        <v>8.088855093003771</v>
      </c>
      <c r="I1449" s="19" t="n">
        <v>993</v>
      </c>
      <c r="J1449" s="19" t="n">
        <v>1090</v>
      </c>
      <c r="K1449" s="19" t="n">
        <v>8.15273465138004</v>
      </c>
    </row>
    <row r="1450">
      <c r="A1450" s="19" t="n">
        <v>53</v>
      </c>
      <c r="B1450" s="19" t="inlineStr">
        <is>
          <t>Xcync</t>
        </is>
      </c>
      <c r="C1450" s="19" t="inlineStr">
        <is>
          <t>Town</t>
        </is>
      </c>
      <c r="D1450" s="19" t="inlineStr">
        <is>
          <t>Win</t>
        </is>
      </c>
      <c r="E1450" s="19" t="n">
        <v>95</v>
      </c>
      <c r="F1450" s="19" t="n">
        <v>22.9624070414147</v>
      </c>
      <c r="G1450" s="19" t="n">
        <v>24.2708462544576</v>
      </c>
      <c r="H1450" s="19" t="n">
        <v>8.03127725366202</v>
      </c>
      <c r="I1450" s="19" t="n">
        <v>736</v>
      </c>
      <c r="J1450" s="19" t="n">
        <v>831</v>
      </c>
      <c r="K1450" s="19" t="n">
        <v>8.09361558178461</v>
      </c>
    </row>
    <row r="1451">
      <c r="A1451" s="19" t="n">
        <v>53</v>
      </c>
      <c r="B1451" s="19" t="inlineStr">
        <is>
          <t>Josh</t>
        </is>
      </c>
      <c r="C1451" s="19" t="inlineStr">
        <is>
          <t>Town</t>
        </is>
      </c>
      <c r="D1451" s="19" t="inlineStr">
        <is>
          <t>Win</t>
        </is>
      </c>
      <c r="E1451" s="19" t="n">
        <v>99</v>
      </c>
      <c r="F1451" s="19" t="n">
        <v>25.3516719040561</v>
      </c>
      <c r="G1451" s="19" t="n">
        <v>26.6985337204329</v>
      </c>
      <c r="H1451" s="19" t="n">
        <v>8.1463124962485</v>
      </c>
      <c r="I1451" s="19" t="n">
        <v>886</v>
      </c>
      <c r="J1451" s="19" t="n">
        <v>985</v>
      </c>
      <c r="K1451" s="19" t="n">
        <v>8.21175207018624</v>
      </c>
    </row>
    <row r="1452">
      <c r="A1452" s="19" t="n">
        <v>53</v>
      </c>
      <c r="B1452" s="19" t="inlineStr">
        <is>
          <t>Brownkow</t>
        </is>
      </c>
      <c r="C1452" s="19" t="inlineStr">
        <is>
          <t>Town</t>
        </is>
      </c>
      <c r="D1452" s="19" t="inlineStr">
        <is>
          <t>Win</t>
        </is>
      </c>
      <c r="E1452" s="19" t="n">
        <v>97</v>
      </c>
      <c r="F1452" s="19" t="n">
        <v>26.5917290867371</v>
      </c>
      <c r="G1452" s="19" t="n">
        <v>27.9246816609095</v>
      </c>
      <c r="H1452" s="19" t="n">
        <v>8.104870965636961</v>
      </c>
      <c r="I1452" s="19" t="n">
        <v>975</v>
      </c>
      <c r="J1452" s="19" t="n">
        <v>1072</v>
      </c>
      <c r="K1452" s="19" t="n">
        <v>8.169183149149999</v>
      </c>
    </row>
    <row r="1453">
      <c r="A1453" s="19" t="n">
        <v>53</v>
      </c>
      <c r="B1453" s="19" t="inlineStr">
        <is>
          <t>Rocker</t>
        </is>
      </c>
      <c r="C1453" s="19" t="inlineStr">
        <is>
          <t>Town</t>
        </is>
      </c>
      <c r="D1453" s="19" t="inlineStr">
        <is>
          <t>Win</t>
        </is>
      </c>
      <c r="E1453" s="19" t="n">
        <v>96</v>
      </c>
      <c r="F1453" s="19" t="n">
        <v>28.2436542701998</v>
      </c>
      <c r="G1453" s="19" t="n">
        <v>29.5727873490563</v>
      </c>
      <c r="H1453" s="19" t="n">
        <v>8.093451258338879</v>
      </c>
      <c r="I1453" s="19" t="n">
        <v>1089</v>
      </c>
      <c r="J1453" s="19" t="n">
        <v>1185</v>
      </c>
      <c r="K1453" s="19" t="n">
        <v>8.157454794621589</v>
      </c>
    </row>
    <row r="1454">
      <c r="A1454" s="19" t="n">
        <v>53</v>
      </c>
      <c r="B1454" s="19" t="inlineStr">
        <is>
          <t>Carson</t>
        </is>
      </c>
      <c r="C1454" s="19" t="inlineStr">
        <is>
          <t>Town</t>
        </is>
      </c>
      <c r="D1454" s="19" t="inlineStr">
        <is>
          <t>Win</t>
        </is>
      </c>
      <c r="E1454" s="19" t="n">
        <v>92</v>
      </c>
      <c r="F1454" s="19" t="n">
        <v>26.7081098597625</v>
      </c>
      <c r="G1454" s="19" t="n">
        <v>27.9852844904371</v>
      </c>
      <c r="H1454" s="19" t="n">
        <v>7.93635465764643</v>
      </c>
      <c r="I1454" s="19" t="n">
        <v>1001</v>
      </c>
      <c r="J1454" s="19" t="n">
        <v>1093</v>
      </c>
      <c r="K1454" s="19" t="n">
        <v>7.99619977373246</v>
      </c>
    </row>
    <row r="1455">
      <c r="A1455" s="19" t="n">
        <v>53</v>
      </c>
      <c r="B1455" s="19" t="inlineStr">
        <is>
          <t>Plen</t>
        </is>
      </c>
      <c r="C1455" s="19" t="inlineStr">
        <is>
          <t>Mafia</t>
        </is>
      </c>
      <c r="D1455" s="19" t="inlineStr">
        <is>
          <t>Loss</t>
        </is>
      </c>
      <c r="E1455" s="19" t="n">
        <v>-84</v>
      </c>
      <c r="F1455" s="19" t="n">
        <v>27.1528353115684</v>
      </c>
      <c r="G1455" s="19" t="n">
        <v>25.8246092890867</v>
      </c>
      <c r="H1455" s="19" t="n">
        <v>8.09073676048479</v>
      </c>
      <c r="I1455" s="19" t="n">
        <v>1015</v>
      </c>
      <c r="J1455" s="19" t="n">
        <v>931</v>
      </c>
      <c r="K1455" s="19" t="n">
        <v>8.154667058331381</v>
      </c>
    </row>
    <row r="1456">
      <c r="A1456" s="19" t="n">
        <v>53</v>
      </c>
      <c r="B1456" s="19" t="inlineStr">
        <is>
          <t>Whyin</t>
        </is>
      </c>
      <c r="C1456" s="19" t="inlineStr">
        <is>
          <t>Mafia</t>
        </is>
      </c>
      <c r="D1456" s="19" t="inlineStr">
        <is>
          <t>Loss</t>
        </is>
      </c>
      <c r="E1456" s="19" t="n">
        <v>-85</v>
      </c>
      <c r="F1456" s="19" t="n">
        <v>25.3516719040561</v>
      </c>
      <c r="G1456" s="19" t="n">
        <v>24.0048100876793</v>
      </c>
      <c r="H1456" s="19" t="n">
        <v>8.1463124962485</v>
      </c>
      <c r="I1456" s="19" t="n">
        <v>886</v>
      </c>
      <c r="J1456" s="19" t="n">
        <v>801</v>
      </c>
      <c r="K1456" s="19" t="n">
        <v>8.21175207018624</v>
      </c>
    </row>
    <row r="1457">
      <c r="A1457" s="19" t="n">
        <v>53</v>
      </c>
      <c r="B1457" s="19" t="inlineStr">
        <is>
          <t>Noah</t>
        </is>
      </c>
      <c r="C1457" s="19" t="inlineStr">
        <is>
          <t>Mafia</t>
        </is>
      </c>
      <c r="D1457" s="19" t="inlineStr">
        <is>
          <t>Loss</t>
        </is>
      </c>
      <c r="E1457" s="19" t="n">
        <v>-84</v>
      </c>
      <c r="F1457" s="19" t="n">
        <v>24.8932597419967</v>
      </c>
      <c r="G1457" s="19" t="n">
        <v>23.5499746571348</v>
      </c>
      <c r="H1457" s="19" t="n">
        <v>8.13567751135421</v>
      </c>
      <c r="I1457" s="19" t="n">
        <v>856</v>
      </c>
      <c r="J1457" s="19" t="n">
        <v>772</v>
      </c>
      <c r="K1457" s="19" t="n">
        <v>8.200826669225981</v>
      </c>
    </row>
    <row r="1458">
      <c r="A1458" s="19" t="n">
        <v>52</v>
      </c>
      <c r="B1458" s="19" t="inlineStr">
        <is>
          <t>Laur</t>
        </is>
      </c>
      <c r="C1458" s="19" t="inlineStr">
        <is>
          <t>Town</t>
        </is>
      </c>
      <c r="D1458" s="19" t="inlineStr">
        <is>
          <t>Loss</t>
        </is>
      </c>
      <c r="E1458" s="19" t="n">
        <v>-57</v>
      </c>
      <c r="F1458" s="19" t="n">
        <v>26.3741976660755</v>
      </c>
      <c r="G1458" s="19" t="n">
        <v>25.4449730983005</v>
      </c>
      <c r="H1458" s="19" t="n">
        <v>8.20940916345992</v>
      </c>
      <c r="I1458" s="19" t="n">
        <v>950</v>
      </c>
      <c r="J1458" s="19" t="n">
        <v>893</v>
      </c>
      <c r="K1458" s="19" t="n">
        <v>8.265250671092989</v>
      </c>
    </row>
    <row r="1459">
      <c r="A1459" s="19" t="n">
        <v>52</v>
      </c>
      <c r="B1459" s="19" t="inlineStr">
        <is>
          <t>Matt</t>
        </is>
      </c>
      <c r="C1459" s="19" t="inlineStr">
        <is>
          <t>Town</t>
        </is>
      </c>
      <c r="D1459" s="19" t="inlineStr">
        <is>
          <t>Loss</t>
        </is>
      </c>
      <c r="E1459" s="19" t="n">
        <v>-58</v>
      </c>
      <c r="F1459" s="19" t="n">
        <v>25</v>
      </c>
      <c r="G1459" s="19" t="n">
        <v>24.0554241585169</v>
      </c>
      <c r="H1459" s="19" t="n">
        <v>8.275918589346849</v>
      </c>
      <c r="I1459" s="19" t="n">
        <v>850</v>
      </c>
      <c r="J1459" s="19" t="n">
        <v>792</v>
      </c>
      <c r="K1459" s="19" t="n">
        <v>8.33333333333333</v>
      </c>
    </row>
    <row r="1460">
      <c r="A1460" s="19" t="n">
        <v>52</v>
      </c>
      <c r="B1460" s="19" t="inlineStr">
        <is>
          <t>Lovekilling</t>
        </is>
      </c>
      <c r="C1460" s="19" t="inlineStr">
        <is>
          <t>Town</t>
        </is>
      </c>
      <c r="D1460" s="19" t="inlineStr">
        <is>
          <t>Loss</t>
        </is>
      </c>
      <c r="E1460" s="19" t="n">
        <v>-58</v>
      </c>
      <c r="F1460" s="19" t="n">
        <v>25</v>
      </c>
      <c r="G1460" s="19" t="n">
        <v>24.0554241585169</v>
      </c>
      <c r="H1460" s="19" t="n">
        <v>8.275918589346849</v>
      </c>
      <c r="I1460" s="19" t="n">
        <v>850</v>
      </c>
      <c r="J1460" s="19" t="n">
        <v>792</v>
      </c>
      <c r="K1460" s="19" t="n">
        <v>8.33333333333333</v>
      </c>
    </row>
    <row r="1461">
      <c r="A1461" s="19" t="n">
        <v>52</v>
      </c>
      <c r="B1461" s="19" t="inlineStr">
        <is>
          <t>Whyin</t>
        </is>
      </c>
      <c r="C1461" s="19" t="inlineStr">
        <is>
          <t>Town</t>
        </is>
      </c>
      <c r="D1461" s="19" t="inlineStr">
        <is>
          <t>Loss</t>
        </is>
      </c>
      <c r="E1461" s="19" t="n">
        <v>-58</v>
      </c>
      <c r="F1461" s="19" t="n">
        <v>26.2814350108236</v>
      </c>
      <c r="G1461" s="19" t="n">
        <v>25.3516719040561</v>
      </c>
      <c r="H1461" s="19" t="n">
        <v>8.21175207018624</v>
      </c>
      <c r="I1461" s="19" t="n">
        <v>944</v>
      </c>
      <c r="J1461" s="19" t="n">
        <v>886</v>
      </c>
      <c r="K1461" s="19" t="n">
        <v>8.26764857231961</v>
      </c>
    </row>
    <row r="1462">
      <c r="A1462" s="19" t="n">
        <v>52</v>
      </c>
      <c r="B1462" s="19" t="inlineStr">
        <is>
          <t>Siggy</t>
        </is>
      </c>
      <c r="C1462" s="19" t="inlineStr">
        <is>
          <t>Town</t>
        </is>
      </c>
      <c r="D1462" s="19" t="inlineStr">
        <is>
          <t>Loss</t>
        </is>
      </c>
      <c r="E1462" s="19" t="n">
        <v>-58</v>
      </c>
      <c r="F1462" s="19" t="n">
        <v>26.2814350108236</v>
      </c>
      <c r="G1462" s="19" t="n">
        <v>25.3516719040561</v>
      </c>
      <c r="H1462" s="19" t="n">
        <v>8.21175207018624</v>
      </c>
      <c r="I1462" s="19" t="n">
        <v>944</v>
      </c>
      <c r="J1462" s="19" t="n">
        <v>886</v>
      </c>
      <c r="K1462" s="19" t="n">
        <v>8.26764857231961</v>
      </c>
    </row>
    <row r="1463">
      <c r="A1463" s="19" t="n">
        <v>52</v>
      </c>
      <c r="B1463" s="19" t="inlineStr">
        <is>
          <t>Lou</t>
        </is>
      </c>
      <c r="C1463" s="19" t="inlineStr">
        <is>
          <t>Town</t>
        </is>
      </c>
      <c r="D1463" s="19" t="inlineStr">
        <is>
          <t>Loss</t>
        </is>
      </c>
      <c r="E1463" s="19" t="n">
        <v>-55</v>
      </c>
      <c r="F1463" s="19" t="n">
        <v>27.0697947321075</v>
      </c>
      <c r="G1463" s="19" t="n">
        <v>26.1863367501225</v>
      </c>
      <c r="H1463" s="19" t="n">
        <v>8.00764341807692</v>
      </c>
      <c r="I1463" s="19" t="n">
        <v>1019</v>
      </c>
      <c r="J1463" s="19" t="n">
        <v>964</v>
      </c>
      <c r="K1463" s="19" t="n">
        <v>8.058863813584869</v>
      </c>
    </row>
    <row r="1464">
      <c r="A1464" s="19" t="n">
        <v>52</v>
      </c>
      <c r="B1464" s="19" t="inlineStr">
        <is>
          <t>Carson</t>
        </is>
      </c>
      <c r="C1464" s="19" t="inlineStr">
        <is>
          <t>Town</t>
        </is>
      </c>
      <c r="D1464" s="19" t="inlineStr">
        <is>
          <t>Loss</t>
        </is>
      </c>
      <c r="E1464" s="19" t="n">
        <v>-54</v>
      </c>
      <c r="F1464" s="19" t="n">
        <v>27.5890082272668</v>
      </c>
      <c r="G1464" s="19" t="n">
        <v>26.7081098597625</v>
      </c>
      <c r="H1464" s="19" t="n">
        <v>7.99619977373246</v>
      </c>
      <c r="I1464" s="19" t="n">
        <v>1055</v>
      </c>
      <c r="J1464" s="19" t="n">
        <v>1001</v>
      </c>
      <c r="K1464" s="19" t="n">
        <v>8.0471647999412</v>
      </c>
    </row>
    <row r="1465">
      <c r="A1465" s="19" t="n">
        <v>52</v>
      </c>
      <c r="B1465" s="19" t="inlineStr">
        <is>
          <t>Smit</t>
        </is>
      </c>
      <c r="C1465" s="19" t="inlineStr">
        <is>
          <t>Town</t>
        </is>
      </c>
      <c r="D1465" s="19" t="inlineStr">
        <is>
          <t>Loss</t>
        </is>
      </c>
      <c r="E1465" s="19" t="n">
        <v>-56</v>
      </c>
      <c r="F1465" s="19" t="n">
        <v>24.7693934120556</v>
      </c>
      <c r="G1465" s="19" t="n">
        <v>23.8625501431828</v>
      </c>
      <c r="H1465" s="19" t="n">
        <v>8.111404183388901</v>
      </c>
      <c r="I1465" s="19" t="n">
        <v>851</v>
      </c>
      <c r="J1465" s="19" t="n">
        <v>795</v>
      </c>
      <c r="K1465" s="19" t="n">
        <v>8.164972830925359</v>
      </c>
    </row>
    <row r="1466">
      <c r="A1466" s="19" t="n">
        <v>52</v>
      </c>
      <c r="B1466" s="19" t="inlineStr">
        <is>
          <t>Iln</t>
        </is>
      </c>
      <c r="C1466" s="19" t="inlineStr">
        <is>
          <t>Town</t>
        </is>
      </c>
      <c r="D1466" s="19" t="inlineStr">
        <is>
          <t>Loss</t>
        </is>
      </c>
      <c r="E1466" s="19" t="n">
        <v>-55</v>
      </c>
      <c r="F1466" s="19" t="n">
        <v>23.0250758974101</v>
      </c>
      <c r="G1466" s="19" t="n">
        <v>22.1277908255808</v>
      </c>
      <c r="H1466" s="19" t="n">
        <v>8.069165166466821</v>
      </c>
      <c r="I1466" s="19" t="n">
        <v>737</v>
      </c>
      <c r="J1466" s="19" t="n">
        <v>682</v>
      </c>
      <c r="K1466" s="19" t="n">
        <v>8.12177072909007</v>
      </c>
    </row>
    <row r="1467">
      <c r="A1467" s="19" t="n">
        <v>52</v>
      </c>
      <c r="B1467" s="19" t="inlineStr">
        <is>
          <t>Josh</t>
        </is>
      </c>
      <c r="C1467" s="19" t="inlineStr">
        <is>
          <t>Town</t>
        </is>
      </c>
      <c r="D1467" s="19" t="inlineStr">
        <is>
          <t>Loss</t>
        </is>
      </c>
      <c r="E1467" s="19" t="n">
        <v>-58</v>
      </c>
      <c r="F1467" s="19" t="n">
        <v>26.2814350108236</v>
      </c>
      <c r="G1467" s="19" t="n">
        <v>25.3516719040561</v>
      </c>
      <c r="H1467" s="19" t="n">
        <v>8.21175207018624</v>
      </c>
      <c r="I1467" s="19" t="n">
        <v>944</v>
      </c>
      <c r="J1467" s="19" t="n">
        <v>886</v>
      </c>
      <c r="K1467" s="19" t="n">
        <v>8.26764857231961</v>
      </c>
    </row>
    <row r="1468">
      <c r="A1468" s="19" t="n">
        <v>52</v>
      </c>
      <c r="B1468" s="19" t="inlineStr">
        <is>
          <t>Rick</t>
        </is>
      </c>
      <c r="C1468" s="19" t="inlineStr">
        <is>
          <t>Mafia</t>
        </is>
      </c>
      <c r="D1468" s="19" t="inlineStr">
        <is>
          <t>Win</t>
        </is>
      </c>
      <c r="E1468" s="19" t="n">
        <v>70</v>
      </c>
      <c r="F1468" s="19" t="n">
        <v>25</v>
      </c>
      <c r="G1468" s="19" t="n">
        <v>25.944575841483</v>
      </c>
      <c r="H1468" s="19" t="n">
        <v>8.275918589346849</v>
      </c>
      <c r="I1468" s="19" t="n">
        <v>850</v>
      </c>
      <c r="J1468" s="19" t="n">
        <v>920</v>
      </c>
      <c r="K1468" s="19" t="n">
        <v>8.33333333333333</v>
      </c>
    </row>
    <row r="1469">
      <c r="A1469" s="19" t="n">
        <v>52</v>
      </c>
      <c r="B1469" s="19" t="inlineStr">
        <is>
          <t>Streety</t>
        </is>
      </c>
      <c r="C1469" s="19" t="inlineStr">
        <is>
          <t>Mafia</t>
        </is>
      </c>
      <c r="D1469" s="19" t="inlineStr">
        <is>
          <t>Win</t>
        </is>
      </c>
      <c r="E1469" s="19" t="n">
        <v>70</v>
      </c>
      <c r="F1469" s="19" t="n">
        <v>25</v>
      </c>
      <c r="G1469" s="19" t="n">
        <v>25.944575841483</v>
      </c>
      <c r="H1469" s="19" t="n">
        <v>8.275918589346849</v>
      </c>
      <c r="I1469" s="19" t="n">
        <v>850</v>
      </c>
      <c r="J1469" s="19" t="n">
        <v>920</v>
      </c>
      <c r="K1469" s="19" t="n">
        <v>8.33333333333333</v>
      </c>
    </row>
    <row r="1470">
      <c r="A1470" s="19" t="n">
        <v>52</v>
      </c>
      <c r="B1470" s="19" t="inlineStr">
        <is>
          <t>Rollo</t>
        </is>
      </c>
      <c r="C1470" s="19" t="inlineStr">
        <is>
          <t>Mafia</t>
        </is>
      </c>
      <c r="D1470" s="19" t="inlineStr">
        <is>
          <t>Win</t>
        </is>
      </c>
      <c r="E1470" s="19" t="n">
        <v>68</v>
      </c>
      <c r="F1470" s="19" t="n">
        <v>23.7185649891763</v>
      </c>
      <c r="G1470" s="19" t="n">
        <v>24.6483280959438</v>
      </c>
      <c r="H1470" s="19" t="n">
        <v>8.21175207018624</v>
      </c>
      <c r="I1470" s="19" t="n">
        <v>770</v>
      </c>
      <c r="J1470" s="19" t="n">
        <v>838</v>
      </c>
      <c r="K1470" s="19" t="n">
        <v>8.26764857231961</v>
      </c>
    </row>
    <row r="1471">
      <c r="A1471" s="19" t="n">
        <v>51</v>
      </c>
      <c r="B1471" s="19" t="inlineStr">
        <is>
          <t>Plen</t>
        </is>
      </c>
      <c r="C1471" s="19" t="inlineStr">
        <is>
          <t>Town</t>
        </is>
      </c>
      <c r="D1471" s="19" t="inlineStr">
        <is>
          <t>Loss</t>
        </is>
      </c>
      <c r="E1471" s="19" t="n">
        <v>-37</v>
      </c>
      <c r="F1471" s="19" t="n">
        <v>27.7619852464069</v>
      </c>
      <c r="G1471" s="19" t="n">
        <v>27.1528353115684</v>
      </c>
      <c r="H1471" s="19" t="n">
        <v>8.154667058331381</v>
      </c>
      <c r="I1471" s="19" t="n">
        <v>1052</v>
      </c>
      <c r="J1471" s="19" t="n">
        <v>1015</v>
      </c>
      <c r="K1471" s="19" t="n">
        <v>8.198494502961401</v>
      </c>
    </row>
    <row r="1472">
      <c r="A1472" s="19" t="n">
        <v>51</v>
      </c>
      <c r="B1472" s="19" t="inlineStr">
        <is>
          <t>Iln</t>
        </is>
      </c>
      <c r="C1472" s="19" t="inlineStr">
        <is>
          <t>Town</t>
        </is>
      </c>
      <c r="D1472" s="19" t="inlineStr">
        <is>
          <t>Loss</t>
        </is>
      </c>
      <c r="E1472" s="19" t="n">
        <v>-37</v>
      </c>
      <c r="F1472" s="19" t="n">
        <v>23.6292613282348</v>
      </c>
      <c r="G1472" s="19" t="n">
        <v>23.0250758974101</v>
      </c>
      <c r="H1472" s="19" t="n">
        <v>8.12177072909007</v>
      </c>
      <c r="I1472" s="19" t="n">
        <v>774</v>
      </c>
      <c r="J1472" s="19" t="n">
        <v>737</v>
      </c>
      <c r="K1472" s="19" t="n">
        <v>8.164972830925359</v>
      </c>
    </row>
    <row r="1473">
      <c r="A1473" s="19" t="n">
        <v>51</v>
      </c>
      <c r="B1473" s="19" t="inlineStr">
        <is>
          <t>Chipper</t>
        </is>
      </c>
      <c r="C1473" s="19" t="inlineStr">
        <is>
          <t>Town</t>
        </is>
      </c>
      <c r="D1473" s="19" t="inlineStr">
        <is>
          <t>Loss</t>
        </is>
      </c>
      <c r="E1473" s="19" t="n">
        <v>-38</v>
      </c>
      <c r="F1473" s="19" t="n">
        <v>23.4289258955793</v>
      </c>
      <c r="G1473" s="19" t="n">
        <v>22.815048083928</v>
      </c>
      <c r="H1473" s="19" t="n">
        <v>8.18586644074993</v>
      </c>
      <c r="I1473" s="19" t="n">
        <v>754</v>
      </c>
      <c r="J1473" s="19" t="n">
        <v>716</v>
      </c>
      <c r="K1473" s="19" t="n">
        <v>8.230291479075211</v>
      </c>
    </row>
    <row r="1474">
      <c r="A1474" s="19" t="n">
        <v>51</v>
      </c>
      <c r="B1474" s="19" t="inlineStr">
        <is>
          <t>Carson</t>
        </is>
      </c>
      <c r="C1474" s="19" t="inlineStr">
        <is>
          <t>Town</t>
        </is>
      </c>
      <c r="D1474" s="19" t="inlineStr">
        <is>
          <t>Loss</t>
        </is>
      </c>
      <c r="E1474" s="19" t="n">
        <v>-36</v>
      </c>
      <c r="F1474" s="19" t="n">
        <v>28.1820126100058</v>
      </c>
      <c r="G1474" s="19" t="n">
        <v>27.5890082272668</v>
      </c>
      <c r="H1474" s="19" t="n">
        <v>8.0471647999412</v>
      </c>
      <c r="I1474" s="19" t="n">
        <v>1091</v>
      </c>
      <c r="J1474" s="19" t="n">
        <v>1055</v>
      </c>
      <c r="K1474" s="19" t="n">
        <v>8.088966631333539</v>
      </c>
    </row>
    <row r="1475">
      <c r="A1475" s="19" t="n">
        <v>51</v>
      </c>
      <c r="B1475" s="19" t="inlineStr">
        <is>
          <t>Xcync</t>
        </is>
      </c>
      <c r="C1475" s="19" t="inlineStr">
        <is>
          <t>Town</t>
        </is>
      </c>
      <c r="D1475" s="19" t="inlineStr">
        <is>
          <t>Loss</t>
        </is>
      </c>
      <c r="E1475" s="19" t="n">
        <v>-36</v>
      </c>
      <c r="F1475" s="19" t="n">
        <v>23.5623601993476</v>
      </c>
      <c r="G1475" s="19" t="n">
        <v>22.9624070414147</v>
      </c>
      <c r="H1475" s="19" t="n">
        <v>8.09361558178461</v>
      </c>
      <c r="I1475" s="19" t="n">
        <v>772</v>
      </c>
      <c r="J1475" s="19" t="n">
        <v>736</v>
      </c>
      <c r="K1475" s="19" t="n">
        <v>8.13628632514517</v>
      </c>
    </row>
    <row r="1476">
      <c r="A1476" s="19" t="n">
        <v>51</v>
      </c>
      <c r="B1476" s="19" t="inlineStr">
        <is>
          <t>Badpants</t>
        </is>
      </c>
      <c r="C1476" s="19" t="inlineStr">
        <is>
          <t>Town</t>
        </is>
      </c>
      <c r="D1476" s="19" t="inlineStr">
        <is>
          <t>Loss</t>
        </is>
      </c>
      <c r="E1476" s="19" t="n">
        <v>-36</v>
      </c>
      <c r="F1476" s="19" t="n">
        <v>23.4989928083254</v>
      </c>
      <c r="G1476" s="19" t="n">
        <v>22.9038406952535</v>
      </c>
      <c r="H1476" s="19" t="n">
        <v>8.061551795708899</v>
      </c>
      <c r="I1476" s="19" t="n">
        <v>771</v>
      </c>
      <c r="J1476" s="19" t="n">
        <v>735</v>
      </c>
      <c r="K1476" s="19" t="n">
        <v>8.10362172558149</v>
      </c>
    </row>
    <row r="1477">
      <c r="A1477" s="19" t="n">
        <v>51</v>
      </c>
      <c r="B1477" s="19" t="inlineStr">
        <is>
          <t>Brownkow</t>
        </is>
      </c>
      <c r="C1477" s="19" t="inlineStr">
        <is>
          <t>Town</t>
        </is>
      </c>
      <c r="D1477" s="19" t="inlineStr">
        <is>
          <t>Loss</t>
        </is>
      </c>
      <c r="E1477" s="19" t="n">
        <v>-37</v>
      </c>
      <c r="F1477" s="19" t="n">
        <v>27.2030763958919</v>
      </c>
      <c r="G1477" s="19" t="n">
        <v>26.5917290867371</v>
      </c>
      <c r="H1477" s="19" t="n">
        <v>8.169183149149999</v>
      </c>
      <c r="I1477" s="19" t="n">
        <v>1012</v>
      </c>
      <c r="J1477" s="19" t="n">
        <v>975</v>
      </c>
      <c r="K1477" s="19" t="n">
        <v>8.213288087889779</v>
      </c>
    </row>
    <row r="1478">
      <c r="A1478" s="19" t="n">
        <v>51</v>
      </c>
      <c r="B1478" s="19" t="inlineStr">
        <is>
          <t>Lou</t>
        </is>
      </c>
      <c r="C1478" s="19" t="inlineStr">
        <is>
          <t>Town</t>
        </is>
      </c>
      <c r="D1478" s="19" t="inlineStr">
        <is>
          <t>Loss</t>
        </is>
      </c>
      <c r="E1478" s="19" t="n">
        <v>-36</v>
      </c>
      <c r="F1478" s="19" t="n">
        <v>27.6645452702574</v>
      </c>
      <c r="G1478" s="19" t="n">
        <v>27.0697947321075</v>
      </c>
      <c r="H1478" s="19" t="n">
        <v>8.058863813584869</v>
      </c>
      <c r="I1478" s="19" t="n">
        <v>1055</v>
      </c>
      <c r="J1478" s="19" t="n">
        <v>1019</v>
      </c>
      <c r="K1478" s="19" t="n">
        <v>8.1008835837088</v>
      </c>
    </row>
    <row r="1479">
      <c r="A1479" s="19" t="n">
        <v>51</v>
      </c>
      <c r="B1479" s="19" t="inlineStr">
        <is>
          <t>Aipha</t>
        </is>
      </c>
      <c r="C1479" s="19" t="inlineStr">
        <is>
          <t>Town</t>
        </is>
      </c>
      <c r="D1479" s="19" t="inlineStr">
        <is>
          <t>Loss</t>
        </is>
      </c>
      <c r="E1479" s="19" t="n">
        <v>-37</v>
      </c>
      <c r="F1479" s="19" t="n">
        <v>26.3741976660755</v>
      </c>
      <c r="G1479" s="19" t="n">
        <v>25.7551006676362</v>
      </c>
      <c r="H1479" s="19" t="n">
        <v>8.22016361245128</v>
      </c>
      <c r="I1479" s="19" t="n">
        <v>950</v>
      </c>
      <c r="J1479" s="19" t="n">
        <v>913</v>
      </c>
      <c r="K1479" s="19" t="n">
        <v>8.265250671092989</v>
      </c>
    </row>
    <row r="1480">
      <c r="A1480" s="19" t="n">
        <v>51</v>
      </c>
      <c r="B1480" s="19" t="inlineStr">
        <is>
          <t>Chester</t>
        </is>
      </c>
      <c r="C1480" s="19" t="inlineStr">
        <is>
          <t>Town</t>
        </is>
      </c>
      <c r="D1480" s="19" t="inlineStr">
        <is>
          <t>Loss</t>
        </is>
      </c>
      <c r="E1480" s="19" t="n">
        <v>-36</v>
      </c>
      <c r="F1480" s="19" t="n">
        <v>26.9168125931377</v>
      </c>
      <c r="G1480" s="19" t="n">
        <v>26.3150712208534</v>
      </c>
      <c r="H1480" s="19" t="n">
        <v>8.10552417488552</v>
      </c>
      <c r="I1480" s="19" t="n">
        <v>999</v>
      </c>
      <c r="J1480" s="19" t="n">
        <v>963</v>
      </c>
      <c r="K1480" s="19" t="n">
        <v>8.14841923039314</v>
      </c>
    </row>
    <row r="1481">
      <c r="A1481" s="19" t="n">
        <v>51</v>
      </c>
      <c r="B1481" s="19" t="inlineStr">
        <is>
          <t>Rocker</t>
        </is>
      </c>
      <c r="C1481" s="19" t="inlineStr">
        <is>
          <t>Mafia</t>
        </is>
      </c>
      <c r="D1481" s="19" t="inlineStr">
        <is>
          <t>Win</t>
        </is>
      </c>
      <c r="E1481" s="19" t="n">
        <v>46</v>
      </c>
      <c r="F1481" s="19" t="n">
        <v>27.6340826598648</v>
      </c>
      <c r="G1481" s="19" t="n">
        <v>28.2436542701998</v>
      </c>
      <c r="H1481" s="19" t="n">
        <v>8.157454794621589</v>
      </c>
      <c r="I1481" s="19" t="n">
        <v>1043</v>
      </c>
      <c r="J1481" s="19" t="n">
        <v>1089</v>
      </c>
      <c r="K1481" s="19" t="n">
        <v>8.20133545669011</v>
      </c>
    </row>
    <row r="1482">
      <c r="A1482" s="19" t="n">
        <v>51</v>
      </c>
      <c r="B1482" s="19" t="inlineStr">
        <is>
          <t>Starv</t>
        </is>
      </c>
      <c r="C1482" s="19" t="inlineStr">
        <is>
          <t>Mafia</t>
        </is>
      </c>
      <c r="D1482" s="19" t="inlineStr">
        <is>
          <t>Win</t>
        </is>
      </c>
      <c r="E1482" s="19" t="n">
        <v>46</v>
      </c>
      <c r="F1482" s="19" t="n">
        <v>25.5818706981003</v>
      </c>
      <c r="G1482" s="19" t="n">
        <v>26.1932180072551</v>
      </c>
      <c r="H1482" s="19" t="n">
        <v>8.169183149149999</v>
      </c>
      <c r="I1482" s="19" t="n">
        <v>902</v>
      </c>
      <c r="J1482" s="19" t="n">
        <v>948</v>
      </c>
      <c r="K1482" s="19" t="n">
        <v>8.213288087889779</v>
      </c>
    </row>
    <row r="1483">
      <c r="A1483" s="19" t="n">
        <v>51</v>
      </c>
      <c r="B1483" s="19" t="inlineStr">
        <is>
          <t>Machop</t>
        </is>
      </c>
      <c r="C1483" s="19" t="inlineStr">
        <is>
          <t>Mafia</t>
        </is>
      </c>
      <c r="D1483" s="19" t="inlineStr">
        <is>
          <t>Win</t>
        </is>
      </c>
      <c r="E1483" s="19" t="n">
        <v>44</v>
      </c>
      <c r="F1483" s="19" t="n">
        <v>27.6349729719299</v>
      </c>
      <c r="G1483" s="19" t="n">
        <v>28.2300531528781</v>
      </c>
      <c r="H1483" s="19" t="n">
        <v>8.061070379899309</v>
      </c>
      <c r="I1483" s="19" t="n">
        <v>1053</v>
      </c>
      <c r="J1483" s="19" t="n">
        <v>1097</v>
      </c>
      <c r="K1483" s="19" t="n">
        <v>8.10313132383477</v>
      </c>
    </row>
    <row r="1484">
      <c r="A1484" s="19" t="n">
        <v>50</v>
      </c>
      <c r="B1484" s="19" t="inlineStr">
        <is>
          <t>Aipha</t>
        </is>
      </c>
      <c r="C1484" s="19" t="inlineStr">
        <is>
          <t>Town</t>
        </is>
      </c>
      <c r="D1484" s="19" t="inlineStr">
        <is>
          <t>Win</t>
        </is>
      </c>
      <c r="E1484" s="19" t="n">
        <v>100</v>
      </c>
      <c r="F1484" s="19" t="n">
        <v>25</v>
      </c>
      <c r="G1484" s="19" t="n">
        <v>26.3741976660755</v>
      </c>
      <c r="H1484" s="19" t="n">
        <v>8.265250671092989</v>
      </c>
      <c r="I1484" s="19" t="n">
        <v>850</v>
      </c>
      <c r="J1484" s="19" t="n">
        <v>950</v>
      </c>
      <c r="K1484" s="19" t="n">
        <v>8.33333333333333</v>
      </c>
    </row>
    <row r="1485">
      <c r="A1485" s="19" t="n">
        <v>50</v>
      </c>
      <c r="B1485" s="19" t="inlineStr">
        <is>
          <t>Carson</t>
        </is>
      </c>
      <c r="C1485" s="19" t="inlineStr">
        <is>
          <t>Town</t>
        </is>
      </c>
      <c r="D1485" s="19" t="inlineStr">
        <is>
          <t>Win</t>
        </is>
      </c>
      <c r="E1485" s="19" t="n">
        <v>96</v>
      </c>
      <c r="F1485" s="19" t="n">
        <v>26.8668170394004</v>
      </c>
      <c r="G1485" s="19" t="n">
        <v>28.1820126100058</v>
      </c>
      <c r="H1485" s="19" t="n">
        <v>8.088966631333539</v>
      </c>
      <c r="I1485" s="19" t="n">
        <v>995</v>
      </c>
      <c r="J1485" s="19" t="n">
        <v>1091</v>
      </c>
      <c r="K1485" s="19" t="n">
        <v>8.152235066969769</v>
      </c>
    </row>
    <row r="1486">
      <c r="A1486" s="19" t="n">
        <v>50</v>
      </c>
      <c r="B1486" s="19" t="inlineStr">
        <is>
          <t>Lou</t>
        </is>
      </c>
      <c r="C1486" s="19" t="inlineStr">
        <is>
          <t>Town</t>
        </is>
      </c>
      <c r="D1486" s="19" t="inlineStr">
        <is>
          <t>Win</t>
        </is>
      </c>
      <c r="E1486" s="19" t="n">
        <v>96</v>
      </c>
      <c r="F1486" s="19" t="n">
        <v>26.3454040668263</v>
      </c>
      <c r="G1486" s="19" t="n">
        <v>27.6645452702574</v>
      </c>
      <c r="H1486" s="19" t="n">
        <v>8.1008835837088</v>
      </c>
      <c r="I1486" s="19" t="n">
        <v>959</v>
      </c>
      <c r="J1486" s="19" t="n">
        <v>1055</v>
      </c>
      <c r="K1486" s="19" t="n">
        <v>8.16447094000922</v>
      </c>
    </row>
    <row r="1487">
      <c r="A1487" s="19" t="n">
        <v>50</v>
      </c>
      <c r="B1487" s="19" t="inlineStr">
        <is>
          <t>Creatchee</t>
        </is>
      </c>
      <c r="C1487" s="19" t="inlineStr">
        <is>
          <t>Town</t>
        </is>
      </c>
      <c r="D1487" s="19" t="inlineStr">
        <is>
          <t>Win</t>
        </is>
      </c>
      <c r="E1487" s="19" t="n">
        <v>98</v>
      </c>
      <c r="F1487" s="19" t="n">
        <v>25.4953354291494</v>
      </c>
      <c r="G1487" s="19" t="n">
        <v>26.8317166610213</v>
      </c>
      <c r="H1487" s="19" t="n">
        <v>8.15273465138004</v>
      </c>
      <c r="I1487" s="19" t="n">
        <v>895</v>
      </c>
      <c r="J1487" s="19" t="n">
        <v>993</v>
      </c>
      <c r="K1487" s="19" t="n">
        <v>8.217720590471529</v>
      </c>
    </row>
    <row r="1488">
      <c r="A1488" s="19" t="n">
        <v>50</v>
      </c>
      <c r="B1488" s="19" t="inlineStr">
        <is>
          <t>Smit</t>
        </is>
      </c>
      <c r="C1488" s="19" t="inlineStr">
        <is>
          <t>Town</t>
        </is>
      </c>
      <c r="D1488" s="19" t="inlineStr">
        <is>
          <t>Win</t>
        </is>
      </c>
      <c r="E1488" s="19" t="n">
        <v>97</v>
      </c>
      <c r="F1488" s="19" t="n">
        <v>23.4289258955793</v>
      </c>
      <c r="G1488" s="19" t="n">
        <v>24.7693934120556</v>
      </c>
      <c r="H1488" s="19" t="n">
        <v>8.164972830925359</v>
      </c>
      <c r="I1488" s="19" t="n">
        <v>754</v>
      </c>
      <c r="J1488" s="19" t="n">
        <v>851</v>
      </c>
      <c r="K1488" s="19" t="n">
        <v>8.230291479075211</v>
      </c>
    </row>
    <row r="1489">
      <c r="A1489" s="19" t="n">
        <v>50</v>
      </c>
      <c r="B1489" s="19" t="inlineStr">
        <is>
          <t>Laur</t>
        </is>
      </c>
      <c r="C1489" s="19" t="inlineStr">
        <is>
          <t>Town</t>
        </is>
      </c>
      <c r="D1489" s="19" t="inlineStr">
        <is>
          <t>Win</t>
        </is>
      </c>
      <c r="E1489" s="19" t="n">
        <v>100</v>
      </c>
      <c r="F1489" s="19" t="n">
        <v>25</v>
      </c>
      <c r="G1489" s="19" t="n">
        <v>26.3741976660755</v>
      </c>
      <c r="H1489" s="19" t="n">
        <v>8.265250671092989</v>
      </c>
      <c r="I1489" s="19" t="n">
        <v>850</v>
      </c>
      <c r="J1489" s="19" t="n">
        <v>950</v>
      </c>
      <c r="K1489" s="19" t="n">
        <v>8.33333333333333</v>
      </c>
    </row>
    <row r="1490">
      <c r="A1490" s="19" t="n">
        <v>50</v>
      </c>
      <c r="B1490" s="19" t="inlineStr">
        <is>
          <t>Chester</t>
        </is>
      </c>
      <c r="C1490" s="19" t="inlineStr">
        <is>
          <t>Town</t>
        </is>
      </c>
      <c r="D1490" s="19" t="inlineStr">
        <is>
          <t>Win</t>
        </is>
      </c>
      <c r="E1490" s="19" t="n">
        <v>97</v>
      </c>
      <c r="F1490" s="19" t="n">
        <v>25.5818706981003</v>
      </c>
      <c r="G1490" s="19" t="n">
        <v>26.9168125931377</v>
      </c>
      <c r="H1490" s="19" t="n">
        <v>8.14841923039314</v>
      </c>
      <c r="I1490" s="19" t="n">
        <v>902</v>
      </c>
      <c r="J1490" s="19" t="n">
        <v>999</v>
      </c>
      <c r="K1490" s="19" t="n">
        <v>8.213288087889779</v>
      </c>
    </row>
    <row r="1491">
      <c r="A1491" s="19" t="n">
        <v>50</v>
      </c>
      <c r="B1491" s="19" t="inlineStr">
        <is>
          <t>Plen</t>
        </is>
      </c>
      <c r="C1491" s="19" t="inlineStr">
        <is>
          <t>Town</t>
        </is>
      </c>
      <c r="D1491" s="19" t="inlineStr">
        <is>
          <t>Win</t>
        </is>
      </c>
      <c r="E1491" s="19" t="n">
        <v>99</v>
      </c>
      <c r="F1491" s="19" t="n">
        <v>26.4102913023048</v>
      </c>
      <c r="G1491" s="19" t="n">
        <v>27.7619852464069</v>
      </c>
      <c r="H1491" s="19" t="n">
        <v>8.198494502961401</v>
      </c>
      <c r="I1491" s="19" t="n">
        <v>953</v>
      </c>
      <c r="J1491" s="19" t="n">
        <v>1052</v>
      </c>
      <c r="K1491" s="19" t="n">
        <v>8.26472960331672</v>
      </c>
    </row>
    <row r="1492">
      <c r="A1492" s="19" t="n">
        <v>50</v>
      </c>
      <c r="B1492" s="19" t="inlineStr">
        <is>
          <t>Badpants</t>
        </is>
      </c>
      <c r="C1492" s="19" t="inlineStr">
        <is>
          <t>Town</t>
        </is>
      </c>
      <c r="D1492" s="19" t="inlineStr">
        <is>
          <t>Win</t>
        </is>
      </c>
      <c r="E1492" s="19" t="n">
        <v>96</v>
      </c>
      <c r="F1492" s="19" t="n">
        <v>22.1789441433979</v>
      </c>
      <c r="G1492" s="19" t="n">
        <v>23.4989928083254</v>
      </c>
      <c r="H1492" s="19" t="n">
        <v>8.10362172558149</v>
      </c>
      <c r="I1492" s="19" t="n">
        <v>675</v>
      </c>
      <c r="J1492" s="19" t="n">
        <v>771</v>
      </c>
      <c r="K1492" s="19" t="n">
        <v>8.167282492363119</v>
      </c>
    </row>
    <row r="1493">
      <c r="A1493" s="19" t="n">
        <v>50</v>
      </c>
      <c r="B1493" s="19" t="inlineStr">
        <is>
          <t>Rocker</t>
        </is>
      </c>
      <c r="C1493" s="19" t="inlineStr">
        <is>
          <t>Town</t>
        </is>
      </c>
      <c r="D1493" s="19" t="inlineStr">
        <is>
          <t>Win</t>
        </is>
      </c>
      <c r="E1493" s="19" t="n">
        <v>99</v>
      </c>
      <c r="F1493" s="19" t="n">
        <v>26.2814350108236</v>
      </c>
      <c r="G1493" s="19" t="n">
        <v>27.6340826598648</v>
      </c>
      <c r="H1493" s="19" t="n">
        <v>8.20133545669011</v>
      </c>
      <c r="I1493" s="19" t="n">
        <v>944</v>
      </c>
      <c r="J1493" s="19" t="n">
        <v>1043</v>
      </c>
      <c r="K1493" s="19" t="n">
        <v>8.26764857231961</v>
      </c>
    </row>
    <row r="1494">
      <c r="A1494" s="19" t="n">
        <v>50</v>
      </c>
      <c r="B1494" s="19" t="inlineStr">
        <is>
          <t>Iln</t>
        </is>
      </c>
      <c r="C1494" s="19" t="inlineStr">
        <is>
          <t>Mafia</t>
        </is>
      </c>
      <c r="D1494" s="19" t="inlineStr">
        <is>
          <t>Loss</t>
        </is>
      </c>
      <c r="E1494" s="19" t="n">
        <v>-84</v>
      </c>
      <c r="F1494" s="19" t="n">
        <v>24.9697288447111</v>
      </c>
      <c r="G1494" s="19" t="n">
        <v>23.6292613282348</v>
      </c>
      <c r="H1494" s="19" t="n">
        <v>8.164972830925359</v>
      </c>
      <c r="I1494" s="19" t="n">
        <v>858</v>
      </c>
      <c r="J1494" s="19" t="n">
        <v>774</v>
      </c>
      <c r="K1494" s="19" t="n">
        <v>8.230291479075211</v>
      </c>
    </row>
    <row r="1495">
      <c r="A1495" s="19" t="n">
        <v>50</v>
      </c>
      <c r="B1495" s="19" t="inlineStr">
        <is>
          <t>Xcync</t>
        </is>
      </c>
      <c r="C1495" s="19" t="inlineStr">
        <is>
          <t>Mafia</t>
        </is>
      </c>
      <c r="D1495" s="19" t="inlineStr">
        <is>
          <t>Loss</t>
        </is>
      </c>
      <c r="E1495" s="19" t="n">
        <v>-84</v>
      </c>
      <c r="F1495" s="19" t="n">
        <v>24.8932597419967</v>
      </c>
      <c r="G1495" s="19" t="n">
        <v>23.5623601993476</v>
      </c>
      <c r="H1495" s="19" t="n">
        <v>8.13628632514517</v>
      </c>
      <c r="I1495" s="19" t="n">
        <v>856</v>
      </c>
      <c r="J1495" s="19" t="n">
        <v>772</v>
      </c>
      <c r="K1495" s="19" t="n">
        <v>8.200826669225981</v>
      </c>
    </row>
    <row r="1496">
      <c r="A1496" s="19" t="n">
        <v>50</v>
      </c>
      <c r="B1496" s="19" t="inlineStr">
        <is>
          <t>Asiansam</t>
        </is>
      </c>
      <c r="C1496" s="19" t="inlineStr">
        <is>
          <t>Mafia</t>
        </is>
      </c>
      <c r="D1496" s="19" t="inlineStr">
        <is>
          <t>Loss</t>
        </is>
      </c>
      <c r="E1496" s="19" t="n">
        <v>-85</v>
      </c>
      <c r="F1496" s="19" t="n">
        <v>26.2814350108236</v>
      </c>
      <c r="G1496" s="19" t="n">
        <v>24.9287873617825</v>
      </c>
      <c r="H1496" s="19" t="n">
        <v>8.20133545669011</v>
      </c>
      <c r="I1496" s="19" t="n">
        <v>944</v>
      </c>
      <c r="J1496" s="19" t="n">
        <v>859</v>
      </c>
      <c r="K1496" s="19" t="n">
        <v>8.26764857231961</v>
      </c>
    </row>
    <row r="1497">
      <c r="A1497" s="19" t="n">
        <v>49</v>
      </c>
      <c r="B1497" s="19" t="inlineStr">
        <is>
          <t>Mintt</t>
        </is>
      </c>
      <c r="C1497" s="19" t="inlineStr">
        <is>
          <t>Town</t>
        </is>
      </c>
      <c r="D1497" s="19" t="inlineStr">
        <is>
          <t>Win</t>
        </is>
      </c>
      <c r="E1497" s="19" t="n">
        <v>103</v>
      </c>
      <c r="F1497" s="19" t="n">
        <v>25</v>
      </c>
      <c r="G1497" s="19" t="n">
        <v>26.4102913023048</v>
      </c>
      <c r="H1497" s="19" t="n">
        <v>8.26472960331672</v>
      </c>
      <c r="I1497" s="19" t="n">
        <v>850</v>
      </c>
      <c r="J1497" s="19" t="n">
        <v>953</v>
      </c>
      <c r="K1497" s="19" t="n">
        <v>8.33333333333333</v>
      </c>
    </row>
    <row r="1498">
      <c r="A1498" s="19" t="n">
        <v>49</v>
      </c>
      <c r="B1498" s="19" t="inlineStr">
        <is>
          <t>Machop</t>
        </is>
      </c>
      <c r="C1498" s="19" t="inlineStr">
        <is>
          <t>Town</t>
        </is>
      </c>
      <c r="D1498" s="19" t="inlineStr">
        <is>
          <t>Win</t>
        </is>
      </c>
      <c r="E1498" s="19" t="n">
        <v>99</v>
      </c>
      <c r="F1498" s="19" t="n">
        <v>26.2802529074702</v>
      </c>
      <c r="G1498" s="19" t="n">
        <v>27.6349729719299</v>
      </c>
      <c r="H1498" s="19" t="n">
        <v>8.10313132383477</v>
      </c>
      <c r="I1498" s="19" t="n">
        <v>954</v>
      </c>
      <c r="J1498" s="19" t="n">
        <v>1053</v>
      </c>
      <c r="K1498" s="19" t="n">
        <v>8.167282492363119</v>
      </c>
    </row>
    <row r="1499">
      <c r="A1499" s="19" t="n">
        <v>49</v>
      </c>
      <c r="B1499" s="19" t="inlineStr">
        <is>
          <t>Chester</t>
        </is>
      </c>
      <c r="C1499" s="19" t="inlineStr">
        <is>
          <t>Town</t>
        </is>
      </c>
      <c r="D1499" s="19" t="inlineStr">
        <is>
          <t>Win</t>
        </is>
      </c>
      <c r="E1499" s="19" t="n">
        <v>102</v>
      </c>
      <c r="F1499" s="19" t="n">
        <v>24.1893971511041</v>
      </c>
      <c r="G1499" s="19" t="n">
        <v>25.5818706981003</v>
      </c>
      <c r="H1499" s="19" t="n">
        <v>8.213288087889779</v>
      </c>
      <c r="I1499" s="19" t="n">
        <v>800</v>
      </c>
      <c r="J1499" s="19" t="n">
        <v>902</v>
      </c>
      <c r="K1499" s="19" t="n">
        <v>8.280455278387979</v>
      </c>
    </row>
    <row r="1500">
      <c r="A1500" s="19" t="n">
        <v>49</v>
      </c>
      <c r="B1500" s="19" t="inlineStr">
        <is>
          <t>Plen</t>
        </is>
      </c>
      <c r="C1500" s="19" t="inlineStr">
        <is>
          <t>Town</t>
        </is>
      </c>
      <c r="D1500" s="19" t="inlineStr">
        <is>
          <t>Win</t>
        </is>
      </c>
      <c r="E1500" s="19" t="n">
        <v>103</v>
      </c>
      <c r="F1500" s="19" t="n">
        <v>25</v>
      </c>
      <c r="G1500" s="19" t="n">
        <v>26.4102913023048</v>
      </c>
      <c r="H1500" s="19" t="n">
        <v>8.26472960331672</v>
      </c>
      <c r="I1500" s="19" t="n">
        <v>850</v>
      </c>
      <c r="J1500" s="19" t="n">
        <v>953</v>
      </c>
      <c r="K1500" s="19" t="n">
        <v>8.33333333333333</v>
      </c>
    </row>
    <row r="1501">
      <c r="A1501" s="19" t="n">
        <v>49</v>
      </c>
      <c r="B1501" s="19" t="inlineStr">
        <is>
          <t>Happymeal</t>
        </is>
      </c>
      <c r="C1501" s="19" t="inlineStr">
        <is>
          <t>Town</t>
        </is>
      </c>
      <c r="D1501" s="19" t="inlineStr">
        <is>
          <t>Win</t>
        </is>
      </c>
      <c r="E1501" s="19" t="n">
        <v>100</v>
      </c>
      <c r="F1501" s="19" t="n">
        <v>25.0302711552888</v>
      </c>
      <c r="G1501" s="19" t="n">
        <v>26.4059463774041</v>
      </c>
      <c r="H1501" s="19" t="n">
        <v>8.16447094000922</v>
      </c>
      <c r="I1501" s="19" t="n">
        <v>863</v>
      </c>
      <c r="J1501" s="19" t="n">
        <v>963</v>
      </c>
      <c r="K1501" s="19" t="n">
        <v>8.230291479075211</v>
      </c>
    </row>
    <row r="1502">
      <c r="A1502" s="19" t="n">
        <v>49</v>
      </c>
      <c r="B1502" s="19" t="inlineStr">
        <is>
          <t>Brownkow</t>
        </is>
      </c>
      <c r="C1502" s="19" t="inlineStr">
        <is>
          <t>Town</t>
        </is>
      </c>
      <c r="D1502" s="19" t="inlineStr">
        <is>
          <t>Win</t>
        </is>
      </c>
      <c r="E1502" s="19" t="n">
        <v>101</v>
      </c>
      <c r="F1502" s="19" t="n">
        <v>25.8106028488958</v>
      </c>
      <c r="G1502" s="19" t="n">
        <v>27.2030763958919</v>
      </c>
      <c r="H1502" s="19" t="n">
        <v>8.213288087889779</v>
      </c>
      <c r="I1502" s="19" t="n">
        <v>911</v>
      </c>
      <c r="J1502" s="19" t="n">
        <v>1012</v>
      </c>
      <c r="K1502" s="19" t="n">
        <v>8.280455278387979</v>
      </c>
    </row>
    <row r="1503">
      <c r="A1503" s="19" t="n">
        <v>49</v>
      </c>
      <c r="B1503" s="19" t="inlineStr">
        <is>
          <t>Starv</t>
        </is>
      </c>
      <c r="C1503" s="19" t="inlineStr">
        <is>
          <t>Town</t>
        </is>
      </c>
      <c r="D1503" s="19" t="inlineStr">
        <is>
          <t>Win</t>
        </is>
      </c>
      <c r="E1503" s="19" t="n">
        <v>102</v>
      </c>
      <c r="F1503" s="19" t="n">
        <v>24.1893971511041</v>
      </c>
      <c r="G1503" s="19" t="n">
        <v>25.5818706981003</v>
      </c>
      <c r="H1503" s="19" t="n">
        <v>8.213288087889779</v>
      </c>
      <c r="I1503" s="19" t="n">
        <v>800</v>
      </c>
      <c r="J1503" s="19" t="n">
        <v>902</v>
      </c>
      <c r="K1503" s="19" t="n">
        <v>8.280455278387979</v>
      </c>
    </row>
    <row r="1504">
      <c r="A1504" s="19" t="n">
        <v>49</v>
      </c>
      <c r="B1504" s="19" t="inlineStr">
        <is>
          <t>Carson</t>
        </is>
      </c>
      <c r="C1504" s="19" t="inlineStr">
        <is>
          <t>Town</t>
        </is>
      </c>
      <c r="D1504" s="19" t="inlineStr">
        <is>
          <t>Win</t>
        </is>
      </c>
      <c r="E1504" s="19" t="n">
        <v>100</v>
      </c>
      <c r="F1504" s="19" t="n">
        <v>25.4953354291494</v>
      </c>
      <c r="G1504" s="19" t="n">
        <v>26.8668170394004</v>
      </c>
      <c r="H1504" s="19" t="n">
        <v>8.152235066969769</v>
      </c>
      <c r="I1504" s="19" t="n">
        <v>895</v>
      </c>
      <c r="J1504" s="19" t="n">
        <v>995</v>
      </c>
      <c r="K1504" s="19" t="n">
        <v>8.217720590471529</v>
      </c>
    </row>
    <row r="1505">
      <c r="A1505" s="19" t="n">
        <v>49</v>
      </c>
      <c r="B1505" s="19" t="inlineStr">
        <is>
          <t>Lou</t>
        </is>
      </c>
      <c r="C1505" s="19" t="inlineStr">
        <is>
          <t>Town</t>
        </is>
      </c>
      <c r="D1505" s="19" t="inlineStr">
        <is>
          <t>Win</t>
        </is>
      </c>
      <c r="E1505" s="19" t="n">
        <v>101</v>
      </c>
      <c r="F1505" s="19" t="n">
        <v>24.9697288447111</v>
      </c>
      <c r="G1505" s="19" t="n">
        <v>26.3454040668263</v>
      </c>
      <c r="H1505" s="19" t="n">
        <v>8.16447094000922</v>
      </c>
      <c r="I1505" s="19" t="n">
        <v>858</v>
      </c>
      <c r="J1505" s="19" t="n">
        <v>959</v>
      </c>
      <c r="K1505" s="19" t="n">
        <v>8.230291479075211</v>
      </c>
    </row>
    <row r="1506">
      <c r="A1506" s="19" t="n">
        <v>49</v>
      </c>
      <c r="B1506" s="19" t="inlineStr">
        <is>
          <t>Svaan</t>
        </is>
      </c>
      <c r="C1506" s="19" t="inlineStr">
        <is>
          <t>Town</t>
        </is>
      </c>
      <c r="D1506" s="19" t="inlineStr">
        <is>
          <t>Win</t>
        </is>
      </c>
      <c r="E1506" s="19" t="n">
        <v>101</v>
      </c>
      <c r="F1506" s="19" t="n">
        <v>23.7185649891763</v>
      </c>
      <c r="G1506" s="19" t="n">
        <v>25.1067402580032</v>
      </c>
      <c r="H1506" s="19" t="n">
        <v>8.200826669225981</v>
      </c>
      <c r="I1506" s="19" t="n">
        <v>770</v>
      </c>
      <c r="J1506" s="19" t="n">
        <v>871</v>
      </c>
      <c r="K1506" s="19" t="n">
        <v>8.26764857231961</v>
      </c>
    </row>
    <row r="1507">
      <c r="A1507" s="19" t="n">
        <v>49</v>
      </c>
      <c r="B1507" s="19" t="inlineStr">
        <is>
          <t>Xcync</t>
        </is>
      </c>
      <c r="C1507" s="19" t="inlineStr">
        <is>
          <t>Mafia</t>
        </is>
      </c>
      <c r="D1507" s="19" t="inlineStr">
        <is>
          <t>Loss</t>
        </is>
      </c>
      <c r="E1507" s="19" t="n">
        <v>-88</v>
      </c>
      <c r="F1507" s="19" t="n">
        <v>26.2814350108236</v>
      </c>
      <c r="G1507" s="19" t="n">
        <v>24.8932597419967</v>
      </c>
      <c r="H1507" s="19" t="n">
        <v>8.200826669225981</v>
      </c>
      <c r="I1507" s="19" t="n">
        <v>944</v>
      </c>
      <c r="J1507" s="19" t="n">
        <v>856</v>
      </c>
      <c r="K1507" s="19" t="n">
        <v>8.26764857231961</v>
      </c>
    </row>
    <row r="1508">
      <c r="A1508" s="19" t="n">
        <v>49</v>
      </c>
      <c r="B1508" s="19" t="inlineStr">
        <is>
          <t>Kwix</t>
        </is>
      </c>
      <c r="C1508" s="19" t="inlineStr">
        <is>
          <t>Mafia</t>
        </is>
      </c>
      <c r="D1508" s="19" t="inlineStr">
        <is>
          <t>Loss</t>
        </is>
      </c>
      <c r="E1508" s="19" t="n">
        <v>-87</v>
      </c>
      <c r="F1508" s="19" t="n">
        <v>23.4289258955793</v>
      </c>
      <c r="G1508" s="19" t="n">
        <v>22.053250673464</v>
      </c>
      <c r="H1508" s="19" t="n">
        <v>8.16447094000922</v>
      </c>
      <c r="I1508" s="19" t="n">
        <v>754</v>
      </c>
      <c r="J1508" s="19" t="n">
        <v>667</v>
      </c>
      <c r="K1508" s="19" t="n">
        <v>8.230291479075211</v>
      </c>
    </row>
    <row r="1509">
      <c r="A1509" s="19" t="n">
        <v>49</v>
      </c>
      <c r="B1509" s="19" t="inlineStr">
        <is>
          <t>Noah</t>
        </is>
      </c>
      <c r="C1509" s="19" t="inlineStr">
        <is>
          <t>Mafia</t>
        </is>
      </c>
      <c r="D1509" s="19" t="inlineStr">
        <is>
          <t>Loss</t>
        </is>
      </c>
      <c r="E1509" s="19" t="n">
        <v>-88</v>
      </c>
      <c r="F1509" s="19" t="n">
        <v>26.2814350108236</v>
      </c>
      <c r="G1509" s="19" t="n">
        <v>24.8932597419967</v>
      </c>
      <c r="H1509" s="19" t="n">
        <v>8.200826669225981</v>
      </c>
      <c r="I1509" s="19" t="n">
        <v>944</v>
      </c>
      <c r="J1509" s="19" t="n">
        <v>856</v>
      </c>
      <c r="K1509" s="19" t="n">
        <v>8.26764857231961</v>
      </c>
    </row>
    <row r="1510">
      <c r="A1510" s="19" t="n">
        <v>48</v>
      </c>
      <c r="B1510" s="19" t="inlineStr">
        <is>
          <t>Carson</t>
        </is>
      </c>
      <c r="C1510" s="19" t="inlineStr">
        <is>
          <t>Town</t>
        </is>
      </c>
      <c r="D1510" s="19" t="inlineStr">
        <is>
          <t>Win</t>
        </is>
      </c>
      <c r="E1510" s="19" t="n">
        <v>92</v>
      </c>
      <c r="F1510" s="19" t="n">
        <v>24.229598525434</v>
      </c>
      <c r="G1510" s="19" t="n">
        <v>25.4953354291494</v>
      </c>
      <c r="H1510" s="19" t="n">
        <v>8.217720590471529</v>
      </c>
      <c r="I1510" s="19" t="n">
        <v>803</v>
      </c>
      <c r="J1510" s="19" t="n">
        <v>895</v>
      </c>
      <c r="K1510" s="19" t="n">
        <v>8.28206609711067</v>
      </c>
    </row>
    <row r="1511">
      <c r="A1511" s="19" t="n">
        <v>48</v>
      </c>
      <c r="B1511" s="19" t="inlineStr">
        <is>
          <t>Josh</t>
        </is>
      </c>
      <c r="C1511" s="19" t="inlineStr">
        <is>
          <t>Town</t>
        </is>
      </c>
      <c r="D1511" s="19" t="inlineStr">
        <is>
          <t>Win</t>
        </is>
      </c>
      <c r="E1511" s="19" t="n">
        <v>94</v>
      </c>
      <c r="F1511" s="19" t="n">
        <v>25</v>
      </c>
      <c r="G1511" s="19" t="n">
        <v>26.2814350108236</v>
      </c>
      <c r="H1511" s="19" t="n">
        <v>8.26764857231961</v>
      </c>
      <c r="I1511" s="19" t="n">
        <v>850</v>
      </c>
      <c r="J1511" s="19" t="n">
        <v>944</v>
      </c>
      <c r="K1511" s="19" t="n">
        <v>8.33333333333333</v>
      </c>
    </row>
    <row r="1512">
      <c r="A1512" s="19" t="n">
        <v>48</v>
      </c>
      <c r="B1512" s="19" t="inlineStr">
        <is>
          <t>Whyin</t>
        </is>
      </c>
      <c r="C1512" s="19" t="inlineStr">
        <is>
          <t>Town</t>
        </is>
      </c>
      <c r="D1512" s="19" t="inlineStr">
        <is>
          <t>Win</t>
        </is>
      </c>
      <c r="E1512" s="19" t="n">
        <v>94</v>
      </c>
      <c r="F1512" s="19" t="n">
        <v>25</v>
      </c>
      <c r="G1512" s="19" t="n">
        <v>26.2814350108236</v>
      </c>
      <c r="H1512" s="19" t="n">
        <v>8.26764857231961</v>
      </c>
      <c r="I1512" s="19" t="n">
        <v>850</v>
      </c>
      <c r="J1512" s="19" t="n">
        <v>944</v>
      </c>
      <c r="K1512" s="19" t="n">
        <v>8.33333333333333</v>
      </c>
    </row>
    <row r="1513">
      <c r="A1513" s="19" t="n">
        <v>48</v>
      </c>
      <c r="B1513" s="19" t="inlineStr">
        <is>
          <t>Machop</t>
        </is>
      </c>
      <c r="C1513" s="19" t="inlineStr">
        <is>
          <t>Town</t>
        </is>
      </c>
      <c r="D1513" s="19" t="inlineStr">
        <is>
          <t>Win</t>
        </is>
      </c>
      <c r="E1513" s="19" t="n">
        <v>91</v>
      </c>
      <c r="F1513" s="19" t="n">
        <v>25.0302711552888</v>
      </c>
      <c r="G1513" s="19" t="n">
        <v>26.2802529074702</v>
      </c>
      <c r="H1513" s="19" t="n">
        <v>8.167282492363119</v>
      </c>
      <c r="I1513" s="19" t="n">
        <v>863</v>
      </c>
      <c r="J1513" s="19" t="n">
        <v>954</v>
      </c>
      <c r="K1513" s="19" t="n">
        <v>8.230291479075211</v>
      </c>
    </row>
    <row r="1514">
      <c r="A1514" s="19" t="n">
        <v>48</v>
      </c>
      <c r="B1514" s="19" t="inlineStr">
        <is>
          <t>Asiansam</t>
        </is>
      </c>
      <c r="C1514" s="19" t="inlineStr">
        <is>
          <t>Town</t>
        </is>
      </c>
      <c r="D1514" s="19" t="inlineStr">
        <is>
          <t>Win</t>
        </is>
      </c>
      <c r="E1514" s="19" t="n">
        <v>94</v>
      </c>
      <c r="F1514" s="19" t="n">
        <v>25</v>
      </c>
      <c r="G1514" s="19" t="n">
        <v>26.2814350108236</v>
      </c>
      <c r="H1514" s="19" t="n">
        <v>8.26764857231961</v>
      </c>
      <c r="I1514" s="19" t="n">
        <v>850</v>
      </c>
      <c r="J1514" s="19" t="n">
        <v>944</v>
      </c>
      <c r="K1514" s="19" t="n">
        <v>8.33333333333333</v>
      </c>
    </row>
    <row r="1515">
      <c r="A1515" s="19" t="n">
        <v>48</v>
      </c>
      <c r="B1515" s="19" t="inlineStr">
        <is>
          <t>Xcync</t>
        </is>
      </c>
      <c r="C1515" s="19" t="inlineStr">
        <is>
          <t>Town</t>
        </is>
      </c>
      <c r="D1515" s="19" t="inlineStr">
        <is>
          <t>Win</t>
        </is>
      </c>
      <c r="E1515" s="19" t="n">
        <v>94</v>
      </c>
      <c r="F1515" s="19" t="n">
        <v>25</v>
      </c>
      <c r="G1515" s="19" t="n">
        <v>26.2814350108236</v>
      </c>
      <c r="H1515" s="19" t="n">
        <v>8.26764857231961</v>
      </c>
      <c r="I1515" s="19" t="n">
        <v>850</v>
      </c>
      <c r="J1515" s="19" t="n">
        <v>944</v>
      </c>
      <c r="K1515" s="19" t="n">
        <v>8.33333333333333</v>
      </c>
    </row>
    <row r="1516">
      <c r="A1516" s="19" t="n">
        <v>48</v>
      </c>
      <c r="B1516" s="19" t="inlineStr">
        <is>
          <t>Rocker</t>
        </is>
      </c>
      <c r="C1516" s="19" t="inlineStr">
        <is>
          <t>Town</t>
        </is>
      </c>
      <c r="D1516" s="19" t="inlineStr">
        <is>
          <t>Win</t>
        </is>
      </c>
      <c r="E1516" s="19" t="n">
        <v>94</v>
      </c>
      <c r="F1516" s="19" t="n">
        <v>25</v>
      </c>
      <c r="G1516" s="19" t="n">
        <v>26.2814350108236</v>
      </c>
      <c r="H1516" s="19" t="n">
        <v>8.26764857231961</v>
      </c>
      <c r="I1516" s="19" t="n">
        <v>850</v>
      </c>
      <c r="J1516" s="19" t="n">
        <v>944</v>
      </c>
      <c r="K1516" s="19" t="n">
        <v>8.33333333333333</v>
      </c>
    </row>
    <row r="1517">
      <c r="A1517" s="19" t="n">
        <v>48</v>
      </c>
      <c r="B1517" s="19" t="inlineStr">
        <is>
          <t>Siggy</t>
        </is>
      </c>
      <c r="C1517" s="19" t="inlineStr">
        <is>
          <t>Town</t>
        </is>
      </c>
      <c r="D1517" s="19" t="inlineStr">
        <is>
          <t>Win</t>
        </is>
      </c>
      <c r="E1517" s="19" t="n">
        <v>94</v>
      </c>
      <c r="F1517" s="19" t="n">
        <v>25</v>
      </c>
      <c r="G1517" s="19" t="n">
        <v>26.2814350108236</v>
      </c>
      <c r="H1517" s="19" t="n">
        <v>8.26764857231961</v>
      </c>
      <c r="I1517" s="19" t="n">
        <v>850</v>
      </c>
      <c r="J1517" s="19" t="n">
        <v>944</v>
      </c>
      <c r="K1517" s="19" t="n">
        <v>8.33333333333333</v>
      </c>
    </row>
    <row r="1518">
      <c r="A1518" s="19" t="n">
        <v>48</v>
      </c>
      <c r="B1518" s="19" t="inlineStr">
        <is>
          <t>Noah</t>
        </is>
      </c>
      <c r="C1518" s="19" t="inlineStr">
        <is>
          <t>Town</t>
        </is>
      </c>
      <c r="D1518" s="19" t="inlineStr">
        <is>
          <t>Win</t>
        </is>
      </c>
      <c r="E1518" s="19" t="n">
        <v>94</v>
      </c>
      <c r="F1518" s="19" t="n">
        <v>25</v>
      </c>
      <c r="G1518" s="19" t="n">
        <v>26.2814350108236</v>
      </c>
      <c r="H1518" s="19" t="n">
        <v>8.26764857231961</v>
      </c>
      <c r="I1518" s="19" t="n">
        <v>850</v>
      </c>
      <c r="J1518" s="19" t="n">
        <v>944</v>
      </c>
      <c r="K1518" s="19" t="n">
        <v>8.33333333333333</v>
      </c>
    </row>
    <row r="1519">
      <c r="A1519" s="19" t="n">
        <v>48</v>
      </c>
      <c r="B1519" s="19" t="inlineStr">
        <is>
          <t>Creatchee</t>
        </is>
      </c>
      <c r="C1519" s="19" t="inlineStr">
        <is>
          <t>Town</t>
        </is>
      </c>
      <c r="D1519" s="19" t="inlineStr">
        <is>
          <t>Win</t>
        </is>
      </c>
      <c r="E1519" s="19" t="n">
        <v>92</v>
      </c>
      <c r="F1519" s="19" t="n">
        <v>24.229598525434</v>
      </c>
      <c r="G1519" s="19" t="n">
        <v>25.4953354291494</v>
      </c>
      <c r="H1519" s="19" t="n">
        <v>8.217720590471529</v>
      </c>
      <c r="I1519" s="19" t="n">
        <v>803</v>
      </c>
      <c r="J1519" s="19" t="n">
        <v>895</v>
      </c>
      <c r="K1519" s="19" t="n">
        <v>8.28206609711067</v>
      </c>
    </row>
    <row r="1520">
      <c r="A1520" s="19" t="n">
        <v>48</v>
      </c>
      <c r="B1520" s="19" t="inlineStr">
        <is>
          <t>Badpants</t>
        </is>
      </c>
      <c r="C1520" s="19" t="inlineStr">
        <is>
          <t>Mafia</t>
        </is>
      </c>
      <c r="D1520" s="19" t="inlineStr">
        <is>
          <t>Loss</t>
        </is>
      </c>
      <c r="E1520" s="19" t="n">
        <v>-79</v>
      </c>
      <c r="F1520" s="19" t="n">
        <v>23.4289258955793</v>
      </c>
      <c r="G1520" s="19" t="n">
        <v>22.1789441433979</v>
      </c>
      <c r="H1520" s="19" t="n">
        <v>8.167282492363119</v>
      </c>
      <c r="I1520" s="19" t="n">
        <v>754</v>
      </c>
      <c r="J1520" s="19" t="n">
        <v>675</v>
      </c>
      <c r="K1520" s="19" t="n">
        <v>8.230291479075211</v>
      </c>
    </row>
    <row r="1521">
      <c r="A1521" s="19" t="n">
        <v>48</v>
      </c>
      <c r="B1521" s="19" t="inlineStr">
        <is>
          <t>Svaan</t>
        </is>
      </c>
      <c r="C1521" s="19" t="inlineStr">
        <is>
          <t>Mafia</t>
        </is>
      </c>
      <c r="D1521" s="19" t="inlineStr">
        <is>
          <t>Loss</t>
        </is>
      </c>
      <c r="E1521" s="19" t="n">
        <v>-80</v>
      </c>
      <c r="F1521" s="19" t="n">
        <v>25</v>
      </c>
      <c r="G1521" s="19" t="n">
        <v>23.7185649891763</v>
      </c>
      <c r="H1521" s="19" t="n">
        <v>8.26764857231961</v>
      </c>
      <c r="I1521" s="19" t="n">
        <v>850</v>
      </c>
      <c r="J1521" s="19" t="n">
        <v>770</v>
      </c>
      <c r="K1521" s="19" t="n">
        <v>8.33333333333333</v>
      </c>
    </row>
    <row r="1522">
      <c r="A1522" s="19" t="n">
        <v>48</v>
      </c>
      <c r="B1522" s="19" t="inlineStr">
        <is>
          <t>Rollo</t>
        </is>
      </c>
      <c r="C1522" s="19" t="inlineStr">
        <is>
          <t>Mafia</t>
        </is>
      </c>
      <c r="D1522" s="19" t="inlineStr">
        <is>
          <t>Loss</t>
        </is>
      </c>
      <c r="E1522" s="19" t="n">
        <v>-80</v>
      </c>
      <c r="F1522" s="19" t="n">
        <v>25</v>
      </c>
      <c r="G1522" s="19" t="n">
        <v>23.7185649891763</v>
      </c>
      <c r="H1522" s="19" t="n">
        <v>8.26764857231961</v>
      </c>
      <c r="I1522" s="19" t="n">
        <v>850</v>
      </c>
      <c r="J1522" s="19" t="n">
        <v>770</v>
      </c>
      <c r="K1522" s="19" t="n">
        <v>8.33333333333333</v>
      </c>
    </row>
    <row r="1523">
      <c r="A1523" s="19" t="n">
        <v>47</v>
      </c>
      <c r="B1523" s="19" t="inlineStr">
        <is>
          <t>Kowa</t>
        </is>
      </c>
      <c r="C1523" s="19" t="inlineStr">
        <is>
          <t>Town</t>
        </is>
      </c>
      <c r="D1523" s="19" t="inlineStr">
        <is>
          <t>Loss</t>
        </is>
      </c>
      <c r="E1523" s="19" t="n">
        <v>-50</v>
      </c>
      <c r="F1523" s="19" t="n">
        <v>25</v>
      </c>
      <c r="G1523" s="19" t="n">
        <v>24.1893971511041</v>
      </c>
      <c r="H1523" s="19" t="n">
        <v>8.280455278387979</v>
      </c>
      <c r="I1523" s="19" t="n">
        <v>850</v>
      </c>
      <c r="J1523" s="19" t="n">
        <v>800</v>
      </c>
      <c r="K1523" s="19" t="n">
        <v>8.33333333333333</v>
      </c>
    </row>
    <row r="1524">
      <c r="A1524" s="19" t="n">
        <v>47</v>
      </c>
      <c r="B1524" s="19" t="inlineStr">
        <is>
          <t>Boobles</t>
        </is>
      </c>
      <c r="C1524" s="19" t="inlineStr">
        <is>
          <t>Town</t>
        </is>
      </c>
      <c r="D1524" s="19" t="inlineStr">
        <is>
          <t>Loss</t>
        </is>
      </c>
      <c r="E1524" s="19" t="n">
        <v>-49</v>
      </c>
      <c r="F1524" s="19" t="n">
        <v>24.229598525434</v>
      </c>
      <c r="G1524" s="19" t="n">
        <v>23.4289258955793</v>
      </c>
      <c r="H1524" s="19" t="n">
        <v>8.230291479075211</v>
      </c>
      <c r="I1524" s="19" t="n">
        <v>803</v>
      </c>
      <c r="J1524" s="19" t="n">
        <v>754</v>
      </c>
      <c r="K1524" s="19" t="n">
        <v>8.28206609711067</v>
      </c>
    </row>
    <row r="1525">
      <c r="A1525" s="19" t="n">
        <v>47</v>
      </c>
      <c r="B1525" s="19" t="inlineStr">
        <is>
          <t>Starv</t>
        </is>
      </c>
      <c r="C1525" s="19" t="inlineStr">
        <is>
          <t>Town</t>
        </is>
      </c>
      <c r="D1525" s="19" t="inlineStr">
        <is>
          <t>Loss</t>
        </is>
      </c>
      <c r="E1525" s="19" t="n">
        <v>-50</v>
      </c>
      <c r="F1525" s="19" t="n">
        <v>25</v>
      </c>
      <c r="G1525" s="19" t="n">
        <v>24.1893971511041</v>
      </c>
      <c r="H1525" s="19" t="n">
        <v>8.280455278387979</v>
      </c>
      <c r="I1525" s="19" t="n">
        <v>850</v>
      </c>
      <c r="J1525" s="19" t="n">
        <v>800</v>
      </c>
      <c r="K1525" s="19" t="n">
        <v>8.33333333333333</v>
      </c>
    </row>
    <row r="1526">
      <c r="A1526" s="19" t="n">
        <v>47</v>
      </c>
      <c r="B1526" s="19" t="inlineStr">
        <is>
          <t>Chester</t>
        </is>
      </c>
      <c r="C1526" s="19" t="inlineStr">
        <is>
          <t>Town</t>
        </is>
      </c>
      <c r="D1526" s="19" t="inlineStr">
        <is>
          <t>Loss</t>
        </is>
      </c>
      <c r="E1526" s="19" t="n">
        <v>-50</v>
      </c>
      <c r="F1526" s="19" t="n">
        <v>25</v>
      </c>
      <c r="G1526" s="19" t="n">
        <v>24.1893971511041</v>
      </c>
      <c r="H1526" s="19" t="n">
        <v>8.280455278387979</v>
      </c>
      <c r="I1526" s="19" t="n">
        <v>850</v>
      </c>
      <c r="J1526" s="19" t="n">
        <v>800</v>
      </c>
      <c r="K1526" s="19" t="n">
        <v>8.33333333333333</v>
      </c>
    </row>
    <row r="1527">
      <c r="A1527" s="19" t="n">
        <v>47</v>
      </c>
      <c r="B1527" s="19" t="inlineStr">
        <is>
          <t>Chipper</t>
        </is>
      </c>
      <c r="C1527" s="19" t="inlineStr">
        <is>
          <t>Town</t>
        </is>
      </c>
      <c r="D1527" s="19" t="inlineStr">
        <is>
          <t>Loss</t>
        </is>
      </c>
      <c r="E1527" s="19" t="n">
        <v>-49</v>
      </c>
      <c r="F1527" s="19" t="n">
        <v>24.229598525434</v>
      </c>
      <c r="G1527" s="19" t="n">
        <v>23.4289258955793</v>
      </c>
      <c r="H1527" s="19" t="n">
        <v>8.230291479075211</v>
      </c>
      <c r="I1527" s="19" t="n">
        <v>803</v>
      </c>
      <c r="J1527" s="19" t="n">
        <v>754</v>
      </c>
      <c r="K1527" s="19" t="n">
        <v>8.28206609711067</v>
      </c>
    </row>
    <row r="1528">
      <c r="A1528" s="19" t="n">
        <v>47</v>
      </c>
      <c r="B1528" s="19" t="inlineStr">
        <is>
          <t>Kwix</t>
        </is>
      </c>
      <c r="C1528" s="19" t="inlineStr">
        <is>
          <t>Town</t>
        </is>
      </c>
      <c r="D1528" s="19" t="inlineStr">
        <is>
          <t>Loss</t>
        </is>
      </c>
      <c r="E1528" s="19" t="n">
        <v>-49</v>
      </c>
      <c r="F1528" s="19" t="n">
        <v>24.229598525434</v>
      </c>
      <c r="G1528" s="19" t="n">
        <v>23.4289258955793</v>
      </c>
      <c r="H1528" s="19" t="n">
        <v>8.230291479075211</v>
      </c>
      <c r="I1528" s="19" t="n">
        <v>803</v>
      </c>
      <c r="J1528" s="19" t="n">
        <v>754</v>
      </c>
      <c r="K1528" s="19" t="n">
        <v>8.28206609711067</v>
      </c>
    </row>
    <row r="1529">
      <c r="A1529" s="19" t="n">
        <v>47</v>
      </c>
      <c r="B1529" s="19" t="inlineStr">
        <is>
          <t>Badpants</t>
        </is>
      </c>
      <c r="C1529" s="19" t="inlineStr">
        <is>
          <t>Town</t>
        </is>
      </c>
      <c r="D1529" s="19" t="inlineStr">
        <is>
          <t>Loss</t>
        </is>
      </c>
      <c r="E1529" s="19" t="n">
        <v>-49</v>
      </c>
      <c r="F1529" s="19" t="n">
        <v>24.229598525434</v>
      </c>
      <c r="G1529" s="19" t="n">
        <v>23.4289258955793</v>
      </c>
      <c r="H1529" s="19" t="n">
        <v>8.230291479075211</v>
      </c>
      <c r="I1529" s="19" t="n">
        <v>803</v>
      </c>
      <c r="J1529" s="19" t="n">
        <v>754</v>
      </c>
      <c r="K1529" s="19" t="n">
        <v>8.28206609711067</v>
      </c>
    </row>
    <row r="1530">
      <c r="A1530" s="19" t="n">
        <v>47</v>
      </c>
      <c r="B1530" s="19" t="inlineStr">
        <is>
          <t>Smit</t>
        </is>
      </c>
      <c r="C1530" s="19" t="inlineStr">
        <is>
          <t>Town</t>
        </is>
      </c>
      <c r="D1530" s="19" t="inlineStr">
        <is>
          <t>Loss</t>
        </is>
      </c>
      <c r="E1530" s="19" t="n">
        <v>-49</v>
      </c>
      <c r="F1530" s="19" t="n">
        <v>24.229598525434</v>
      </c>
      <c r="G1530" s="19" t="n">
        <v>23.4289258955793</v>
      </c>
      <c r="H1530" s="19" t="n">
        <v>8.230291479075211</v>
      </c>
      <c r="I1530" s="19" t="n">
        <v>803</v>
      </c>
      <c r="J1530" s="19" t="n">
        <v>754</v>
      </c>
      <c r="K1530" s="19" t="n">
        <v>8.28206609711067</v>
      </c>
    </row>
    <row r="1531">
      <c r="A1531" s="19" t="n">
        <v>47</v>
      </c>
      <c r="B1531" s="19" t="inlineStr">
        <is>
          <t>Iln</t>
        </is>
      </c>
      <c r="C1531" s="19" t="inlineStr">
        <is>
          <t>Town</t>
        </is>
      </c>
      <c r="D1531" s="19" t="inlineStr">
        <is>
          <t>Loss</t>
        </is>
      </c>
      <c r="E1531" s="19" t="n">
        <v>-50</v>
      </c>
      <c r="F1531" s="19" t="n">
        <v>25.7704014745659</v>
      </c>
      <c r="G1531" s="19" t="n">
        <v>24.9697288447111</v>
      </c>
      <c r="H1531" s="19" t="n">
        <v>8.230291479075211</v>
      </c>
      <c r="I1531" s="19" t="n">
        <v>908</v>
      </c>
      <c r="J1531" s="19" t="n">
        <v>858</v>
      </c>
      <c r="K1531" s="19" t="n">
        <v>8.28206609711067</v>
      </c>
    </row>
    <row r="1532">
      <c r="A1532" s="19" t="n">
        <v>47</v>
      </c>
      <c r="B1532" s="19" t="inlineStr">
        <is>
          <t>Lou</t>
        </is>
      </c>
      <c r="C1532" s="19" t="inlineStr">
        <is>
          <t>Town</t>
        </is>
      </c>
      <c r="D1532" s="19" t="inlineStr">
        <is>
          <t>Loss</t>
        </is>
      </c>
      <c r="E1532" s="19" t="n">
        <v>-50</v>
      </c>
      <c r="F1532" s="19" t="n">
        <v>25.7704014745659</v>
      </c>
      <c r="G1532" s="19" t="n">
        <v>24.9697288447111</v>
      </c>
      <c r="H1532" s="19" t="n">
        <v>8.230291479075211</v>
      </c>
      <c r="I1532" s="19" t="n">
        <v>908</v>
      </c>
      <c r="J1532" s="19" t="n">
        <v>858</v>
      </c>
      <c r="K1532" s="19" t="n">
        <v>8.28206609711067</v>
      </c>
    </row>
    <row r="1533">
      <c r="A1533" s="19" t="n">
        <v>47</v>
      </c>
      <c r="B1533" s="19" t="inlineStr">
        <is>
          <t>Machop</t>
        </is>
      </c>
      <c r="C1533" s="19" t="inlineStr">
        <is>
          <t>Mafia</t>
        </is>
      </c>
      <c r="D1533" s="19" t="inlineStr">
        <is>
          <t>Win</t>
        </is>
      </c>
      <c r="E1533" s="19" t="n">
        <v>60</v>
      </c>
      <c r="F1533" s="19" t="n">
        <v>24.229598525434</v>
      </c>
      <c r="G1533" s="19" t="n">
        <v>25.0302711552888</v>
      </c>
      <c r="H1533" s="19" t="n">
        <v>8.230291479075211</v>
      </c>
      <c r="I1533" s="19" t="n">
        <v>803</v>
      </c>
      <c r="J1533" s="19" t="n">
        <v>863</v>
      </c>
      <c r="K1533" s="19" t="n">
        <v>8.28206609711067</v>
      </c>
    </row>
    <row r="1534">
      <c r="A1534" s="19" t="n">
        <v>47</v>
      </c>
      <c r="B1534" s="19" t="inlineStr">
        <is>
          <t>Happymeal</t>
        </is>
      </c>
      <c r="C1534" s="19" t="inlineStr">
        <is>
          <t>Mafia</t>
        </is>
      </c>
      <c r="D1534" s="19" t="inlineStr">
        <is>
          <t>Win</t>
        </is>
      </c>
      <c r="E1534" s="19" t="n">
        <v>60</v>
      </c>
      <c r="F1534" s="19" t="n">
        <v>24.229598525434</v>
      </c>
      <c r="G1534" s="19" t="n">
        <v>25.0302711552888</v>
      </c>
      <c r="H1534" s="19" t="n">
        <v>8.230291479075211</v>
      </c>
      <c r="I1534" s="19" t="n">
        <v>803</v>
      </c>
      <c r="J1534" s="19" t="n">
        <v>863</v>
      </c>
      <c r="K1534" s="19" t="n">
        <v>8.28206609711067</v>
      </c>
    </row>
    <row r="1535">
      <c r="A1535" s="19" t="n">
        <v>47</v>
      </c>
      <c r="B1535" s="19" t="inlineStr">
        <is>
          <t>Brownkow</t>
        </is>
      </c>
      <c r="C1535" s="19" t="inlineStr">
        <is>
          <t>Mafia</t>
        </is>
      </c>
      <c r="D1535" s="19" t="inlineStr">
        <is>
          <t>Win</t>
        </is>
      </c>
      <c r="E1535" s="19" t="n">
        <v>61</v>
      </c>
      <c r="F1535" s="19" t="n">
        <v>25</v>
      </c>
      <c r="G1535" s="19" t="n">
        <v>25.8106028488958</v>
      </c>
      <c r="H1535" s="19" t="n">
        <v>8.280455278387979</v>
      </c>
      <c r="I1535" s="19" t="n">
        <v>850</v>
      </c>
      <c r="J1535" s="19" t="n">
        <v>911</v>
      </c>
      <c r="K1535" s="19" t="n">
        <v>8.33333333333333</v>
      </c>
    </row>
    <row r="1536">
      <c r="A1536" s="19" t="n">
        <v>46</v>
      </c>
      <c r="B1536" s="19" t="inlineStr">
        <is>
          <t>Happymeal</t>
        </is>
      </c>
      <c r="C1536" s="19" t="inlineStr">
        <is>
          <t>Town</t>
        </is>
      </c>
      <c r="D1536" s="19" t="inlineStr">
        <is>
          <t>Loss</t>
        </is>
      </c>
      <c r="E1536" s="19" t="n">
        <v>-47</v>
      </c>
      <c r="F1536" s="19" t="n">
        <v>25</v>
      </c>
      <c r="G1536" s="19" t="n">
        <v>24.229598525434</v>
      </c>
      <c r="H1536" s="19" t="n">
        <v>8.28206609711067</v>
      </c>
      <c r="I1536" s="19" t="n">
        <v>850</v>
      </c>
      <c r="J1536" s="19" t="n">
        <v>803</v>
      </c>
      <c r="K1536" s="19" t="n">
        <v>8.33333333333333</v>
      </c>
    </row>
    <row r="1537">
      <c r="A1537" s="19" t="n">
        <v>46</v>
      </c>
      <c r="B1537" s="19" t="inlineStr">
        <is>
          <t>Machop</t>
        </is>
      </c>
      <c r="C1537" s="19" t="inlineStr">
        <is>
          <t>Town</t>
        </is>
      </c>
      <c r="D1537" s="19" t="inlineStr">
        <is>
          <t>Loss</t>
        </is>
      </c>
      <c r="E1537" s="19" t="n">
        <v>-47</v>
      </c>
      <c r="F1537" s="19" t="n">
        <v>25</v>
      </c>
      <c r="G1537" s="19" t="n">
        <v>24.229598525434</v>
      </c>
      <c r="H1537" s="19" t="n">
        <v>8.28206609711067</v>
      </c>
      <c r="I1537" s="19" t="n">
        <v>850</v>
      </c>
      <c r="J1537" s="19" t="n">
        <v>803</v>
      </c>
      <c r="K1537" s="19" t="n">
        <v>8.33333333333333</v>
      </c>
    </row>
    <row r="1538">
      <c r="A1538" s="19" t="n">
        <v>46</v>
      </c>
      <c r="B1538" s="19" t="inlineStr">
        <is>
          <t>Chipper</t>
        </is>
      </c>
      <c r="C1538" s="19" t="inlineStr">
        <is>
          <t>Town</t>
        </is>
      </c>
      <c r="D1538" s="19" t="inlineStr">
        <is>
          <t>Loss</t>
        </is>
      </c>
      <c r="E1538" s="19" t="n">
        <v>-47</v>
      </c>
      <c r="F1538" s="19" t="n">
        <v>25</v>
      </c>
      <c r="G1538" s="19" t="n">
        <v>24.229598525434</v>
      </c>
      <c r="H1538" s="19" t="n">
        <v>8.28206609711067</v>
      </c>
      <c r="I1538" s="19" t="n">
        <v>850</v>
      </c>
      <c r="J1538" s="19" t="n">
        <v>803</v>
      </c>
      <c r="K1538" s="19" t="n">
        <v>8.33333333333333</v>
      </c>
    </row>
    <row r="1539">
      <c r="A1539" s="19" t="n">
        <v>46</v>
      </c>
      <c r="B1539" s="19" t="inlineStr">
        <is>
          <t>Kwix</t>
        </is>
      </c>
      <c r="C1539" s="19" t="inlineStr">
        <is>
          <t>Town</t>
        </is>
      </c>
      <c r="D1539" s="19" t="inlineStr">
        <is>
          <t>Loss</t>
        </is>
      </c>
      <c r="E1539" s="19" t="n">
        <v>-47</v>
      </c>
      <c r="F1539" s="19" t="n">
        <v>25</v>
      </c>
      <c r="G1539" s="19" t="n">
        <v>24.229598525434</v>
      </c>
      <c r="H1539" s="19" t="n">
        <v>8.28206609711067</v>
      </c>
      <c r="I1539" s="19" t="n">
        <v>850</v>
      </c>
      <c r="J1539" s="19" t="n">
        <v>803</v>
      </c>
      <c r="K1539" s="19" t="n">
        <v>8.33333333333333</v>
      </c>
    </row>
    <row r="1540">
      <c r="A1540" s="19" t="n">
        <v>46</v>
      </c>
      <c r="B1540" s="19" t="inlineStr">
        <is>
          <t>Badpants</t>
        </is>
      </c>
      <c r="C1540" s="19" t="inlineStr">
        <is>
          <t>Town</t>
        </is>
      </c>
      <c r="D1540" s="19" t="inlineStr">
        <is>
          <t>Loss</t>
        </is>
      </c>
      <c r="E1540" s="19" t="n">
        <v>-47</v>
      </c>
      <c r="F1540" s="19" t="n">
        <v>25</v>
      </c>
      <c r="G1540" s="19" t="n">
        <v>24.229598525434</v>
      </c>
      <c r="H1540" s="19" t="n">
        <v>8.28206609711067</v>
      </c>
      <c r="I1540" s="19" t="n">
        <v>850</v>
      </c>
      <c r="J1540" s="19" t="n">
        <v>803</v>
      </c>
      <c r="K1540" s="19" t="n">
        <v>8.33333333333333</v>
      </c>
    </row>
    <row r="1541">
      <c r="A1541" s="19" t="n">
        <v>46</v>
      </c>
      <c r="B1541" s="19" t="inlineStr">
        <is>
          <t>Boobles</t>
        </is>
      </c>
      <c r="C1541" s="19" t="inlineStr">
        <is>
          <t>Town</t>
        </is>
      </c>
      <c r="D1541" s="19" t="inlineStr">
        <is>
          <t>Loss</t>
        </is>
      </c>
      <c r="E1541" s="19" t="n">
        <v>-47</v>
      </c>
      <c r="F1541" s="19" t="n">
        <v>25</v>
      </c>
      <c r="G1541" s="19" t="n">
        <v>24.229598525434</v>
      </c>
      <c r="H1541" s="19" t="n">
        <v>8.28206609711067</v>
      </c>
      <c r="I1541" s="19" t="n">
        <v>850</v>
      </c>
      <c r="J1541" s="19" t="n">
        <v>803</v>
      </c>
      <c r="K1541" s="19" t="n">
        <v>8.33333333333333</v>
      </c>
    </row>
    <row r="1542">
      <c r="A1542" s="19" t="n">
        <v>46</v>
      </c>
      <c r="B1542" s="19" t="inlineStr">
        <is>
          <t>Smit</t>
        </is>
      </c>
      <c r="C1542" s="19" t="inlineStr">
        <is>
          <t>Town</t>
        </is>
      </c>
      <c r="D1542" s="19" t="inlineStr">
        <is>
          <t>Loss</t>
        </is>
      </c>
      <c r="E1542" s="19" t="n">
        <v>-47</v>
      </c>
      <c r="F1542" s="19" t="n">
        <v>25</v>
      </c>
      <c r="G1542" s="19" t="n">
        <v>24.229598525434</v>
      </c>
      <c r="H1542" s="19" t="n">
        <v>8.28206609711067</v>
      </c>
      <c r="I1542" s="19" t="n">
        <v>850</v>
      </c>
      <c r="J1542" s="19" t="n">
        <v>803</v>
      </c>
      <c r="K1542" s="19" t="n">
        <v>8.33333333333333</v>
      </c>
    </row>
    <row r="1543">
      <c r="A1543" s="19" t="n">
        <v>46</v>
      </c>
      <c r="B1543" s="19" t="inlineStr">
        <is>
          <t>Creatchee</t>
        </is>
      </c>
      <c r="C1543" s="19" t="inlineStr">
        <is>
          <t>Town</t>
        </is>
      </c>
      <c r="D1543" s="19" t="inlineStr">
        <is>
          <t>Loss</t>
        </is>
      </c>
      <c r="E1543" s="19" t="n">
        <v>-47</v>
      </c>
      <c r="F1543" s="19" t="n">
        <v>25</v>
      </c>
      <c r="G1543" s="19" t="n">
        <v>24.229598525434</v>
      </c>
      <c r="H1543" s="19" t="n">
        <v>8.28206609711067</v>
      </c>
      <c r="I1543" s="19" t="n">
        <v>850</v>
      </c>
      <c r="J1543" s="19" t="n">
        <v>803</v>
      </c>
      <c r="K1543" s="19" t="n">
        <v>8.33333333333333</v>
      </c>
    </row>
    <row r="1544">
      <c r="A1544" s="19" t="n">
        <v>46</v>
      </c>
      <c r="B1544" s="19" t="inlineStr">
        <is>
          <t>Carson</t>
        </is>
      </c>
      <c r="C1544" s="19" t="inlineStr">
        <is>
          <t>Town</t>
        </is>
      </c>
      <c r="D1544" s="19" t="inlineStr">
        <is>
          <t>Loss</t>
        </is>
      </c>
      <c r="E1544" s="19" t="n">
        <v>-47</v>
      </c>
      <c r="F1544" s="19" t="n">
        <v>25</v>
      </c>
      <c r="G1544" s="19" t="n">
        <v>24.229598525434</v>
      </c>
      <c r="H1544" s="19" t="n">
        <v>8.28206609711067</v>
      </c>
      <c r="I1544" s="19" t="n">
        <v>850</v>
      </c>
      <c r="J1544" s="19" t="n">
        <v>803</v>
      </c>
      <c r="K1544" s="19" t="n">
        <v>8.33333333333333</v>
      </c>
    </row>
    <row r="1545">
      <c r="A1545" s="19" t="n">
        <v>46</v>
      </c>
      <c r="B1545" s="19" t="inlineStr">
        <is>
          <t>Jake</t>
        </is>
      </c>
      <c r="C1545" s="19" t="inlineStr">
        <is>
          <t>Town</t>
        </is>
      </c>
      <c r="D1545" s="19" t="inlineStr">
        <is>
          <t>Loss</t>
        </is>
      </c>
      <c r="E1545" s="19" t="n">
        <v>-47</v>
      </c>
      <c r="F1545" s="19" t="n">
        <v>25</v>
      </c>
      <c r="G1545" s="19" t="n">
        <v>24.229598525434</v>
      </c>
      <c r="H1545" s="19" t="n">
        <v>8.28206609711067</v>
      </c>
      <c r="I1545" s="19" t="n">
        <v>850</v>
      </c>
      <c r="J1545" s="19" t="n">
        <v>803</v>
      </c>
      <c r="K1545" s="19" t="n">
        <v>8.33333333333333</v>
      </c>
    </row>
    <row r="1546">
      <c r="A1546" s="19" t="n">
        <v>46</v>
      </c>
      <c r="B1546" s="19" t="inlineStr">
        <is>
          <t>Lombax</t>
        </is>
      </c>
      <c r="C1546" s="19" t="inlineStr">
        <is>
          <t>Mafia</t>
        </is>
      </c>
      <c r="D1546" s="19" t="inlineStr">
        <is>
          <t>Win</t>
        </is>
      </c>
      <c r="E1546" s="19" t="n">
        <v>58</v>
      </c>
      <c r="F1546" s="19" t="n">
        <v>25</v>
      </c>
      <c r="G1546" s="19" t="n">
        <v>25.7704014745659</v>
      </c>
      <c r="H1546" s="19" t="n">
        <v>8.28206609711067</v>
      </c>
      <c r="I1546" s="19" t="n">
        <v>850</v>
      </c>
      <c r="J1546" s="19" t="n">
        <v>908</v>
      </c>
      <c r="K1546" s="19" t="n">
        <v>8.33333333333333</v>
      </c>
    </row>
    <row r="1547">
      <c r="A1547" s="19" t="n">
        <v>46</v>
      </c>
      <c r="B1547" s="19" t="inlineStr">
        <is>
          <t>Iln</t>
        </is>
      </c>
      <c r="C1547" s="19" t="inlineStr">
        <is>
          <t>Mafia</t>
        </is>
      </c>
      <c r="D1547" s="19" t="inlineStr">
        <is>
          <t>Win</t>
        </is>
      </c>
      <c r="E1547" s="19" t="n">
        <v>58</v>
      </c>
      <c r="F1547" s="19" t="n">
        <v>25</v>
      </c>
      <c r="G1547" s="19" t="n">
        <v>25.7704014745659</v>
      </c>
      <c r="H1547" s="19" t="n">
        <v>8.28206609711067</v>
      </c>
      <c r="I1547" s="19" t="n">
        <v>850</v>
      </c>
      <c r="J1547" s="19" t="n">
        <v>908</v>
      </c>
      <c r="K1547" s="19" t="n">
        <v>8.33333333333333</v>
      </c>
    </row>
    <row r="1548">
      <c r="A1548" s="19" t="n">
        <v>46</v>
      </c>
      <c r="B1548" s="19" t="inlineStr">
        <is>
          <t>Lou</t>
        </is>
      </c>
      <c r="C1548" s="19" t="inlineStr">
        <is>
          <t>Mafia</t>
        </is>
      </c>
      <c r="D1548" s="19" t="inlineStr">
        <is>
          <t>Win</t>
        </is>
      </c>
      <c r="E1548" s="19" t="n">
        <v>58</v>
      </c>
      <c r="F1548" s="19" t="n">
        <v>25</v>
      </c>
      <c r="G1548" s="19" t="n">
        <v>25.7704014745659</v>
      </c>
      <c r="H1548" s="19" t="n">
        <v>8.28206609711067</v>
      </c>
      <c r="I1548" s="19" t="n">
        <v>850</v>
      </c>
      <c r="J1548" s="19" t="n">
        <v>908</v>
      </c>
      <c r="K1548" s="19" t="n">
        <v>8.33333333333333</v>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E99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1.88" customWidth="1" style="21" min="1" max="1"/>
    <col width="15.25" customWidth="1" style="21" min="2" max="2"/>
    <col width="13.63" customWidth="1" style="21" min="3" max="3"/>
    <col width="14.38" customWidth="1" style="21" min="4" max="4"/>
    <col width="15.38" customWidth="1" style="21" min="5" max="5"/>
    <col width="13.75" customWidth="1" style="21" min="6" max="6"/>
    <col width="14.5" customWidth="1" style="21" min="7" max="7"/>
    <col width="14.13" customWidth="1" style="21" min="8" max="8"/>
  </cols>
  <sheetData>
    <row r="1" ht="22.5" customHeight="1" s="21">
      <c r="A1" s="6" t="inlineStr">
        <is>
          <t>Name</t>
        </is>
      </c>
      <c r="B1" s="6" t="inlineStr">
        <is>
          <t>Town Games</t>
        </is>
      </c>
      <c r="C1" s="6" t="inlineStr">
        <is>
          <t>Town Wins</t>
        </is>
      </c>
      <c r="D1" s="6" t="inlineStr">
        <is>
          <t>Town Win %</t>
        </is>
      </c>
      <c r="E1" s="5" t="inlineStr">
        <is>
          <t>Mafia Games</t>
        </is>
      </c>
      <c r="F1" s="6" t="inlineStr">
        <is>
          <t>Mafia Wins</t>
        </is>
      </c>
      <c r="G1" s="6" t="inlineStr">
        <is>
          <t>Mafia Win %</t>
        </is>
      </c>
      <c r="H1" s="6" t="inlineStr">
        <is>
          <t>Total Win %</t>
        </is>
      </c>
      <c r="I1" s="6" t="inlineStr">
        <is>
          <t>Mu</t>
        </is>
      </c>
      <c r="J1" s="6" t="inlineStr">
        <is>
          <t>Sigma</t>
        </is>
      </c>
      <c r="K1" s="6" t="inlineStr">
        <is>
          <t>Rating</t>
        </is>
      </c>
    </row>
    <row r="2" ht="22.5" customHeight="1" s="21">
      <c r="A2" s="14" t="inlineStr">
        <is>
          <t>Machop</t>
        </is>
      </c>
      <c r="B2" s="14">
        <f>COUNTIFS('Season 1 - MatchHistory'!$B:$B, $A2, 'Season 1 - MatchHistory'!$C:$C, "Town")</f>
        <v/>
      </c>
      <c r="C2" s="14">
        <f>COUNTIFS('Season 1 - MatchHistory'!B:B, A2, 'Season 1 - MatchHistory'!C:C, "Town", 'Season 1 - MatchHistory'!D:D, "Win")</f>
        <v/>
      </c>
      <c r="D2" s="13">
        <f>IFERROR(__xludf.DUMMYFUNCTION("IF(EQ($B2, 0), TO_PERCENT(0), TO_PERCENT($C2/$B2))"),0.47058823529411764)</f>
        <v/>
      </c>
      <c r="E2" s="14">
        <f>COUNTIFS('Season 1 - MatchHistory'!$B:$B, $A2, 'Season 1 - MatchHistory'!$C:$C, "Mafia")</f>
        <v/>
      </c>
      <c r="F2" s="14">
        <f>COUNTIFS('Season 1 - MatchHistory'!$B:$B, $A2, 'Season 1 - MatchHistory'!$C:$C, "Mafia", 'Season 1 - MatchHistory'!$D:$D, "Win")</f>
        <v/>
      </c>
      <c r="G2" s="13">
        <f>IFERROR(__xludf.DUMMYFUNCTION("TO_PERCENT(IFERROR($F2/$E2, 0))"),1.0)</f>
        <v/>
      </c>
      <c r="H2" s="13">
        <f>IFERROR(__xludf.DUMMYFUNCTION("TO_PERCENT(IFERROR(($F2+$C2)/($E2+$B2), 0))"),0.55)</f>
        <v/>
      </c>
      <c r="I2" s="11">
        <f t="array" ref="I2">INDEX('Season 1 - MatchHistory'!$G:$G,MATCH(1,('Season 1 - MatchHistory'!$B:$B=$A2)*('Season 1 - MatchHistory'!$G:$G&lt;&gt;""),0))</f>
        <v/>
      </c>
      <c r="J2" s="11">
        <f t="array" ref="J2">INDEX('Season 1 - MatchHistory'!$H:$H,MATCH(1,('Season 1 - MatchHistory'!$B:$B=$A2)*('Season 1 - MatchHistory'!$H:$H&lt;&gt;""),0))</f>
        <v/>
      </c>
      <c r="K2" s="12">
        <f t="array" ref="K2">INDEX('Season 1 - MatchHistory'!$J:$J,MATCH(1,('Season 1 - MatchHistory'!$B:$B=$A2)*('Season 1 - MatchHistory'!$J:$J&lt;&gt;""),0))</f>
        <v/>
      </c>
    </row>
    <row r="3" ht="22.5" customHeight="1" s="21">
      <c r="A3" s="14" t="inlineStr">
        <is>
          <t>Maz</t>
        </is>
      </c>
      <c r="B3" s="14">
        <f>COUNTIFS('Season 1 - MatchHistory'!$B:$B, $A3, 'Season 1 - MatchHistory'!$C:$C, "Town")</f>
        <v/>
      </c>
      <c r="C3" s="14">
        <f>COUNTIFS('Season 1 - MatchHistory'!B:B, A3, 'Season 1 - MatchHistory'!C:C, "Town", 'Season 1 - MatchHistory'!D:D, "Win")</f>
        <v/>
      </c>
      <c r="D3" s="13">
        <f>IFERROR(__xludf.DUMMYFUNCTION("IF(EQ($B3, 0), TO_PERCENT(0), TO_PERCENT($C3/$B3))"),0.4666666666666667)</f>
        <v/>
      </c>
      <c r="E3" s="14">
        <f>COUNTIFS('Season 1 - MatchHistory'!$B:$B, $A3, 'Season 1 - MatchHistory'!$C:$C, "Mafia")</f>
        <v/>
      </c>
      <c r="F3" s="14">
        <f>COUNTIFS('Season 1 - MatchHistory'!$B:$B, $A3, 'Season 1 - MatchHistory'!$C:$C, "Mafia", 'Season 1 - MatchHistory'!$D:$D, "Win")</f>
        <v/>
      </c>
      <c r="G3" s="13">
        <f>IFERROR(__xludf.DUMMYFUNCTION("TO_PERCENT(IFERROR($F3/$E3, 0))"),1.0)</f>
        <v/>
      </c>
      <c r="H3" s="13">
        <f>IFERROR(__xludf.DUMMYFUNCTION("TO_PERCENT(IFERROR(($F3+$C3)/($E3+$B3), 0))"),0.6363636363636364)</f>
        <v/>
      </c>
      <c r="I3" s="11">
        <f t="array" ref="I3">INDEX('Season 1 - MatchHistory'!$G:$G,MATCH(1,('Season 1 - MatchHistory'!$B:$B=$A3)*('Season 1 - MatchHistory'!$G:$G&lt;&gt;""),0))</f>
        <v/>
      </c>
      <c r="J3" s="11">
        <f t="array" ref="J3">INDEX('Season 1 - MatchHistory'!$H:$H,MATCH(1,('Season 1 - MatchHistory'!$B:$B=$A3)*('Season 1 - MatchHistory'!$H:$H&lt;&gt;""),0))</f>
        <v/>
      </c>
      <c r="K3" s="12">
        <f t="array" ref="K3">INDEX('Season 1 - MatchHistory'!$J:$J,MATCH(1,('Season 1 - MatchHistory'!$B:$B=$A3)*('Season 1 - MatchHistory'!$J:$J&lt;&gt;""),0))</f>
        <v/>
      </c>
    </row>
    <row r="4" ht="22.5" customHeight="1" s="21">
      <c r="A4" s="14" t="inlineStr">
        <is>
          <t>Boobles</t>
        </is>
      </c>
      <c r="B4" s="14">
        <f>COUNTIFS('Season 1 - MatchHistory'!$B:$B, $A4, 'Season 1 - MatchHistory'!$C:$C, "Town")</f>
        <v/>
      </c>
      <c r="C4" s="14">
        <f>COUNTIFS('Season 1 - MatchHistory'!B:B, A4, 'Season 1 - MatchHistory'!C:C, "Town", 'Season 1 - MatchHistory'!D:D, "Win")</f>
        <v/>
      </c>
      <c r="D4" s="13">
        <f>IFERROR(__xludf.DUMMYFUNCTION("IF(EQ($B4, 0), TO_PERCENT(0), TO_PERCENT($C4/$B4))"),0.6363636363636364)</f>
        <v/>
      </c>
      <c r="E4" s="14">
        <f>COUNTIFS('Season 1 - MatchHistory'!$B:$B, $A4, 'Season 1 - MatchHistory'!$C:$C, "Mafia")</f>
        <v/>
      </c>
      <c r="F4" s="14">
        <f>COUNTIFS('Season 1 - MatchHistory'!$B:$B, $A4, 'Season 1 - MatchHistory'!$C:$C, "Mafia", 'Season 1 - MatchHistory'!$D:$D, "Win")</f>
        <v/>
      </c>
      <c r="G4" s="13">
        <f>IFERROR(__xludf.DUMMYFUNCTION("TO_PERCENT(IFERROR($F4/$E4, 0))"),1.0)</f>
        <v/>
      </c>
      <c r="H4" s="13">
        <f>IFERROR(__xludf.DUMMYFUNCTION("TO_PERCENT(IFERROR(($F4+$C4)/($E4+$B4), 0))"),0.6666666666666666)</f>
        <v/>
      </c>
      <c r="I4" s="11">
        <f t="array" ref="I4">INDEX('Season 1 - MatchHistory'!$G:$G,MATCH(1,('Season 1 - MatchHistory'!$B:$B=$A4)*('Season 1 - MatchHistory'!$G:$G&lt;&gt;""),0))</f>
        <v/>
      </c>
      <c r="J4" s="11">
        <f t="array" ref="J4">INDEX('Season 1 - MatchHistory'!$H:$H,MATCH(1,('Season 1 - MatchHistory'!$B:$B=$A4)*('Season 1 - MatchHistory'!$H:$H&lt;&gt;""),0))</f>
        <v/>
      </c>
      <c r="K4" s="12">
        <f t="array" ref="K4">INDEX('Season 1 - MatchHistory'!$J:$J,MATCH(1,('Season 1 - MatchHistory'!$B:$B=$A4)*('Season 1 - MatchHistory'!$J:$J&lt;&gt;""),0))</f>
        <v/>
      </c>
    </row>
    <row r="5" ht="22.5" customHeight="1" s="21">
      <c r="A5" s="14" t="inlineStr">
        <is>
          <t>Noah</t>
        </is>
      </c>
      <c r="B5" s="14">
        <f>COUNTIFS('Season 1 - MatchHistory'!$B:$B, $A5, 'Season 1 - MatchHistory'!$C:$C, "Town")</f>
        <v/>
      </c>
      <c r="C5" s="14">
        <f>COUNTIFS('Season 1 - MatchHistory'!B:B, A5, 'Season 1 - MatchHistory'!C:C, "Town", 'Season 1 - MatchHistory'!D:D, "Win")</f>
        <v/>
      </c>
      <c r="D5" s="13">
        <f>IFERROR(__xludf.DUMMYFUNCTION("IF(EQ($B5, 0), TO_PERCENT(0), TO_PERCENT($C5/$B5))"),0.4230769230769231)</f>
        <v/>
      </c>
      <c r="E5" s="14">
        <f>COUNTIFS('Season 1 - MatchHistory'!$B:$B, $A5, 'Season 1 - MatchHistory'!$C:$C, "Mafia")</f>
        <v/>
      </c>
      <c r="F5" s="14">
        <f>COUNTIFS('Season 1 - MatchHistory'!$B:$B, $A5, 'Season 1 - MatchHistory'!$C:$C, "Mafia", 'Season 1 - MatchHistory'!$D:$D, "Win")</f>
        <v/>
      </c>
      <c r="G5" s="13">
        <f>IFERROR(__xludf.DUMMYFUNCTION("TO_PERCENT(IFERROR($F5/$E5, 0))"),0.8333333333333334)</f>
        <v/>
      </c>
      <c r="H5" s="13">
        <f>IFERROR(__xludf.DUMMYFUNCTION("TO_PERCENT(IFERROR(($F5+$C5)/($E5+$B5), 0))"),0.5526315789473685)</f>
        <v/>
      </c>
      <c r="I5" s="11">
        <f t="array" ref="I5">INDEX('Season 1 - MatchHistory'!$G:$G,MATCH(1,('Season 1 - MatchHistory'!$B:$B=$A5)*('Season 1 - MatchHistory'!$G:$G&lt;&gt;""),0))</f>
        <v/>
      </c>
      <c r="J5" s="11">
        <f t="array" ref="J5">INDEX('Season 1 - MatchHistory'!$H:$H,MATCH(1,('Season 1 - MatchHistory'!$B:$B=$A5)*('Season 1 - MatchHistory'!$H:$H&lt;&gt;""),0))</f>
        <v/>
      </c>
      <c r="K5" s="12">
        <f t="array" ref="K5">INDEX('Season 1 - MatchHistory'!$J:$J,MATCH(1,('Season 1 - MatchHistory'!$B:$B=$A5)*('Season 1 - MatchHistory'!$J:$J&lt;&gt;""),0))</f>
        <v/>
      </c>
    </row>
    <row r="6" ht="22.5" customHeight="1" s="21">
      <c r="A6" s="14" t="inlineStr">
        <is>
          <t>Rick</t>
        </is>
      </c>
      <c r="B6" s="14">
        <f>COUNTIFS('Season 1 - MatchHistory'!$B:$B, $A6, 'Season 1 - MatchHistory'!$C:$C, "Town")</f>
        <v/>
      </c>
      <c r="C6" s="14">
        <f>COUNTIFS('Season 1 - MatchHistory'!B:B, A6, 'Season 1 - MatchHistory'!C:C, "Town", 'Season 1 - MatchHistory'!D:D, "Win")</f>
        <v/>
      </c>
      <c r="D6" s="13">
        <f>IFERROR(__xludf.DUMMYFUNCTION("IF(EQ($B6, 0), TO_PERCENT(0), TO_PERCENT($C6/$B6))"),0.8)</f>
        <v/>
      </c>
      <c r="E6" s="14">
        <f>COUNTIFS('Season 1 - MatchHistory'!$B:$B, $A6, 'Season 1 - MatchHistory'!$C:$C, "Mafia")</f>
        <v/>
      </c>
      <c r="F6" s="14">
        <f>COUNTIFS('Season 1 - MatchHistory'!$B:$B, $A6, 'Season 1 - MatchHistory'!$C:$C, "Mafia", 'Season 1 - MatchHistory'!$D:$D, "Win")</f>
        <v/>
      </c>
      <c r="G6" s="13">
        <f>IFERROR(__xludf.DUMMYFUNCTION("TO_PERCENT(IFERROR($F6/$E6, 0))"),1.0)</f>
        <v/>
      </c>
      <c r="H6" s="13">
        <f>IFERROR(__xludf.DUMMYFUNCTION("TO_PERCENT(IFERROR(($F6+$C6)/($E6+$B6), 0))"),0.8333333333333334)</f>
        <v/>
      </c>
      <c r="I6" s="11">
        <f t="array" ref="I6">INDEX('Season 1 - MatchHistory'!$G:$G,MATCH(1,('Season 1 - MatchHistory'!$B:$B=$A6)*('Season 1 - MatchHistory'!$G:$G&lt;&gt;""),0))</f>
        <v/>
      </c>
      <c r="J6" s="11">
        <f t="array" ref="J6">INDEX('Season 1 - MatchHistory'!$H:$H,MATCH(1,('Season 1 - MatchHistory'!$B:$B=$A6)*('Season 1 - MatchHistory'!$H:$H&lt;&gt;""),0))</f>
        <v/>
      </c>
      <c r="K6" s="12">
        <f t="array" ref="K6">INDEX('Season 1 - MatchHistory'!$J:$J,MATCH(1,('Season 1 - MatchHistory'!$B:$B=$A6)*('Season 1 - MatchHistory'!$J:$J&lt;&gt;""),0))</f>
        <v/>
      </c>
    </row>
    <row r="7" ht="22.5" customHeight="1" s="21">
      <c r="A7" s="14" t="inlineStr">
        <is>
          <t>Keegan</t>
        </is>
      </c>
      <c r="B7" s="14">
        <f>COUNTIFS('Season 1 - MatchHistory'!$B:$B, $A7, 'Season 1 - MatchHistory'!$C:$C, "Town")</f>
        <v/>
      </c>
      <c r="C7" s="14">
        <f>COUNTIFS('Season 1 - MatchHistory'!B:B, A7, 'Season 1 - MatchHistory'!C:C, "Town", 'Season 1 - MatchHistory'!D:D, "Win")</f>
        <v/>
      </c>
      <c r="D7" s="13">
        <f>IFERROR(__xludf.DUMMYFUNCTION("IF(EQ($B7, 0), TO_PERCENT(0), TO_PERCENT($C7/$B7))"),0.4666666666666667)</f>
        <v/>
      </c>
      <c r="E7" s="14">
        <f>COUNTIFS('Season 1 - MatchHistory'!$B:$B, $A7, 'Season 1 - MatchHistory'!$C:$C, "Mafia")</f>
        <v/>
      </c>
      <c r="F7" s="14">
        <f>COUNTIFS('Season 1 - MatchHistory'!$B:$B, $A7, 'Season 1 - MatchHistory'!$C:$C, "Mafia", 'Season 1 - MatchHistory'!$D:$D, "Win")</f>
        <v/>
      </c>
      <c r="G7" s="13">
        <f>IFERROR(__xludf.DUMMYFUNCTION("TO_PERCENT(IFERROR($F7/$E7, 0))"),1.0)</f>
        <v/>
      </c>
      <c r="H7" s="13">
        <f>IFERROR(__xludf.DUMMYFUNCTION("TO_PERCENT(IFERROR(($F7+$C7)/($E7+$B7), 0))"),0.5294117647058824)</f>
        <v/>
      </c>
      <c r="I7" s="11">
        <f t="array" ref="I7">INDEX('Season 1 - MatchHistory'!$G:$G,MATCH(1,('Season 1 - MatchHistory'!$B:$B=$A7)*('Season 1 - MatchHistory'!$G:$G&lt;&gt;""),0))</f>
        <v/>
      </c>
      <c r="J7" s="11">
        <f t="array" ref="J7">INDEX('Season 1 - MatchHistory'!$H:$H,MATCH(1,('Season 1 - MatchHistory'!$B:$B=$A7)*('Season 1 - MatchHistory'!$H:$H&lt;&gt;""),0))</f>
        <v/>
      </c>
      <c r="K7" s="12">
        <f t="array" ref="K7">INDEX('Season 1 - MatchHistory'!$J:$J,MATCH(1,('Season 1 - MatchHistory'!$B:$B=$A7)*('Season 1 - MatchHistory'!$J:$J&lt;&gt;""),0))</f>
        <v/>
      </c>
    </row>
    <row r="8" ht="22.5" customHeight="1" s="21">
      <c r="A8" s="14" t="inlineStr">
        <is>
          <t>Mintt</t>
        </is>
      </c>
      <c r="B8" s="14">
        <f>COUNTIFS('Season 1 - MatchHistory'!$B:$B, $A8, 'Season 1 - MatchHistory'!$C:$C, "Town")</f>
        <v/>
      </c>
      <c r="C8" s="14">
        <f>COUNTIFS('Season 1 - MatchHistory'!B:B, A8, 'Season 1 - MatchHistory'!C:C, "Town", 'Season 1 - MatchHistory'!D:D, "Win")</f>
        <v/>
      </c>
      <c r="D8" s="13">
        <f>IFERROR(__xludf.DUMMYFUNCTION("IF(EQ($B8, 0), TO_PERCENT(0), TO_PERCENT($C8/$B8))"),0.75)</f>
        <v/>
      </c>
      <c r="E8" s="14">
        <f>COUNTIFS('Season 1 - MatchHistory'!$B:$B, $A8, 'Season 1 - MatchHistory'!$C:$C, "Mafia")</f>
        <v/>
      </c>
      <c r="F8" s="14">
        <f>COUNTIFS('Season 1 - MatchHistory'!$B:$B, $A8, 'Season 1 - MatchHistory'!$C:$C, "Mafia", 'Season 1 - MatchHistory'!$D:$D, "Win")</f>
        <v/>
      </c>
      <c r="G8" s="13">
        <f>IFERROR(__xludf.DUMMYFUNCTION("TO_PERCENT(IFERROR($F8/$E8, 0))"),1.0)</f>
        <v/>
      </c>
      <c r="H8" s="13">
        <f>IFERROR(__xludf.DUMMYFUNCTION("TO_PERCENT(IFERROR(($F8+$C8)/($E8+$B8), 0))"),0.8)</f>
        <v/>
      </c>
      <c r="I8" s="11">
        <f t="array" ref="I8">INDEX('Season 1 - MatchHistory'!$G:$G,MATCH(1,('Season 1 - MatchHistory'!$B:$B=$A8)*('Season 1 - MatchHistory'!$G:$G&lt;&gt;""),0))</f>
        <v/>
      </c>
      <c r="J8" s="11">
        <f t="array" ref="J8">INDEX('Season 1 - MatchHistory'!$H:$H,MATCH(1,('Season 1 - MatchHistory'!$B:$B=$A8)*('Season 1 - MatchHistory'!$H:$H&lt;&gt;""),0))</f>
        <v/>
      </c>
      <c r="K8" s="12">
        <f t="array" ref="K8">INDEX('Season 1 - MatchHistory'!$J:$J,MATCH(1,('Season 1 - MatchHistory'!$B:$B=$A8)*('Season 1 - MatchHistory'!$J:$J&lt;&gt;""),0))</f>
        <v/>
      </c>
    </row>
    <row r="9" ht="22.5" customHeight="1" s="21">
      <c r="A9" s="14" t="inlineStr">
        <is>
          <t>Badpants</t>
        </is>
      </c>
      <c r="B9" s="14">
        <f>COUNTIFS('Season 1 - MatchHistory'!$B:$B, $A9, 'Season 1 - MatchHistory'!$C:$C, "Town")</f>
        <v/>
      </c>
      <c r="C9" s="14">
        <f>COUNTIFS('Season 1 - MatchHistory'!B:B, A9, 'Season 1 - MatchHistory'!C:C, "Town", 'Season 1 - MatchHistory'!D:D, "Win")</f>
        <v/>
      </c>
      <c r="D9" s="13">
        <f>IFERROR(__xludf.DUMMYFUNCTION("IF(EQ($B9, 0), TO_PERCENT(0), TO_PERCENT($C9/$B9))"),1.0)</f>
        <v/>
      </c>
      <c r="E9" s="14">
        <f>COUNTIFS('Season 1 - MatchHistory'!$B:$B, $A9, 'Season 1 - MatchHistory'!$C:$C, "Mafia")</f>
        <v/>
      </c>
      <c r="F9" s="14">
        <f>COUNTIFS('Season 1 - MatchHistory'!$B:$B, $A9, 'Season 1 - MatchHistory'!$C:$C, "Mafia", 'Season 1 - MatchHistory'!$D:$D, "Win")</f>
        <v/>
      </c>
      <c r="G9" s="13">
        <f>IFERROR(__xludf.DUMMYFUNCTION("TO_PERCENT(IFERROR($F9/$E9, 0))"),0.6666666666666666)</f>
        <v/>
      </c>
      <c r="H9" s="13">
        <f>IFERROR(__xludf.DUMMYFUNCTION("TO_PERCENT(IFERROR(($F9+$C9)/($E9+$B9), 0))"),0.8)</f>
        <v/>
      </c>
      <c r="I9" s="11">
        <f t="array" ref="I9">INDEX('Season 1 - MatchHistory'!$G:$G,MATCH(1,('Season 1 - MatchHistory'!$B:$B=$A9)*('Season 1 - MatchHistory'!$G:$G&lt;&gt;""),0))</f>
        <v/>
      </c>
      <c r="J9" s="11">
        <f t="array" ref="J9">INDEX('Season 1 - MatchHistory'!$H:$H,MATCH(1,('Season 1 - MatchHistory'!$B:$B=$A9)*('Season 1 - MatchHistory'!$H:$H&lt;&gt;""),0))</f>
        <v/>
      </c>
      <c r="K9" s="12">
        <f t="array" ref="K9">INDEX('Season 1 - MatchHistory'!$J:$J,MATCH(1,('Season 1 - MatchHistory'!$B:$B=$A9)*('Season 1 - MatchHistory'!$J:$J&lt;&gt;""),0))</f>
        <v/>
      </c>
    </row>
    <row r="10" ht="22.5" customHeight="1" s="21">
      <c r="A10" s="14" t="inlineStr">
        <is>
          <t>Xcync</t>
        </is>
      </c>
      <c r="B10" s="14">
        <f>COUNTIFS('Season 1 - MatchHistory'!$B:$B, $A10, 'Season 1 - MatchHistory'!$C:$C, "Town")</f>
        <v/>
      </c>
      <c r="C10" s="14">
        <f>COUNTIFS('Season 1 - MatchHistory'!B:B, A10, 'Season 1 - MatchHistory'!C:C, "Town", 'Season 1 - MatchHistory'!D:D, "Win")</f>
        <v/>
      </c>
      <c r="D10" s="13">
        <f>IFERROR(__xludf.DUMMYFUNCTION("IF(EQ($B10, 0), TO_PERCENT(0), TO_PERCENT($C10/$B10))"),0.6666666666666666)</f>
        <v/>
      </c>
      <c r="E10" s="14">
        <f>COUNTIFS('Season 1 - MatchHistory'!$B:$B, $A10, 'Season 1 - MatchHistory'!$C:$C, "Mafia")</f>
        <v/>
      </c>
      <c r="F10" s="14">
        <f>COUNTIFS('Season 1 - MatchHistory'!$B:$B, $A10, 'Season 1 - MatchHistory'!$C:$C, "Mafia", 'Season 1 - MatchHistory'!$D:$D, "Win")</f>
        <v/>
      </c>
      <c r="G10" s="13">
        <f>IFERROR(__xludf.DUMMYFUNCTION("TO_PERCENT(IFERROR($F10/$E10, 0))"),0.0)</f>
        <v/>
      </c>
      <c r="H10" s="13">
        <f>IFERROR(__xludf.DUMMYFUNCTION("TO_PERCENT(IFERROR(($F10+$C10)/($E10+$B10), 0))"),0.5714285714285714)</f>
        <v/>
      </c>
      <c r="I10" s="11">
        <f t="array" ref="I10">INDEX('Season 1 - MatchHistory'!$G:$G,MATCH(1,('Season 1 - MatchHistory'!$B:$B=$A10)*('Season 1 - MatchHistory'!$G:$G&lt;&gt;""),0))</f>
        <v/>
      </c>
      <c r="J10" s="11">
        <f t="array" ref="J10">INDEX('Season 1 - MatchHistory'!$H:$H,MATCH(1,('Season 1 - MatchHistory'!$B:$B=$A10)*('Season 1 - MatchHistory'!$H:$H&lt;&gt;""),0))</f>
        <v/>
      </c>
      <c r="K10" s="12">
        <f t="array" ref="K10">INDEX('Season 1 - MatchHistory'!$J:$J,MATCH(1,('Season 1 - MatchHistory'!$B:$B=$A10)*('Season 1 - MatchHistory'!$J:$J&lt;&gt;""),0))</f>
        <v/>
      </c>
    </row>
    <row r="11" ht="22.5" customHeight="1" s="21">
      <c r="A11" s="14" t="inlineStr">
        <is>
          <t>Aipha</t>
        </is>
      </c>
      <c r="B11" s="14">
        <f>COUNTIFS('Season 1 - MatchHistory'!$B:$B, $A11, 'Season 1 - MatchHistory'!$C:$C, "Town")</f>
        <v/>
      </c>
      <c r="C11" s="14">
        <f>COUNTIFS('Season 1 - MatchHistory'!B:B, A11, 'Season 1 - MatchHistory'!C:C, "Town", 'Season 1 - MatchHistory'!D:D, "Win")</f>
        <v/>
      </c>
      <c r="D11" s="13">
        <f>IFERROR(__xludf.DUMMYFUNCTION("IF(EQ($B11, 0), TO_PERCENT(0), TO_PERCENT($C11/$B11))"),1.0)</f>
        <v/>
      </c>
      <c r="E11" s="14">
        <f>COUNTIFS('Season 1 - MatchHistory'!$B:$B, $A11, 'Season 1 - MatchHistory'!$C:$C, "Mafia")</f>
        <v/>
      </c>
      <c r="F11" s="14">
        <f>COUNTIFS('Season 1 - MatchHistory'!$B:$B, $A11, 'Season 1 - MatchHistory'!$C:$C, "Mafia", 'Season 1 - MatchHistory'!$D:$D, "Win")</f>
        <v/>
      </c>
      <c r="G11" s="13">
        <f>IFERROR(__xludf.DUMMYFUNCTION("TO_PERCENT(IFERROR($F11/$E11, 0))"),1.0)</f>
        <v/>
      </c>
      <c r="H11" s="13">
        <f>IFERROR(__xludf.DUMMYFUNCTION("TO_PERCENT(IFERROR(($F11+$C11)/($E11+$B11), 0))"),1.0)</f>
        <v/>
      </c>
      <c r="I11" s="11">
        <f t="array" ref="I11">INDEX('Season 1 - MatchHistory'!$G:$G,MATCH(1,('Season 1 - MatchHistory'!$B:$B=$A11)*('Season 1 - MatchHistory'!$G:$G&lt;&gt;""),0))</f>
        <v/>
      </c>
      <c r="J11" s="11">
        <f t="array" ref="J11">INDEX('Season 1 - MatchHistory'!$H:$H,MATCH(1,('Season 1 - MatchHistory'!$B:$B=$A11)*('Season 1 - MatchHistory'!$H:$H&lt;&gt;""),0))</f>
        <v/>
      </c>
      <c r="K11" s="12">
        <f t="array" ref="K11">INDEX('Season 1 - MatchHistory'!$J:$J,MATCH(1,('Season 1 - MatchHistory'!$B:$B=$A11)*('Season 1 - MatchHistory'!$J:$J&lt;&gt;""),0))</f>
        <v/>
      </c>
    </row>
    <row r="12" ht="22.5" customHeight="1" s="21">
      <c r="A12" s="14" t="inlineStr">
        <is>
          <t>Motr</t>
        </is>
      </c>
      <c r="B12" s="14">
        <f>COUNTIFS('Season 1 - MatchHistory'!$B:$B, $A12, 'Season 1 - MatchHistory'!$C:$C, "Town")</f>
        <v/>
      </c>
      <c r="C12" s="14">
        <f>COUNTIFS('Season 1 - MatchHistory'!B:B, A12, 'Season 1 - MatchHistory'!C:C, "Town", 'Season 1 - MatchHistory'!D:D, "Win")</f>
        <v/>
      </c>
      <c r="D12" s="13">
        <f>IFERROR(__xludf.DUMMYFUNCTION("IF(EQ($B12, 0), TO_PERCENT(0), TO_PERCENT($C12/$B12))"),0.75)</f>
        <v/>
      </c>
      <c r="E12" s="14">
        <f>COUNTIFS('Season 1 - MatchHistory'!$B:$B, $A12, 'Season 1 - MatchHistory'!$C:$C, "Mafia")</f>
        <v/>
      </c>
      <c r="F12" s="14">
        <f>COUNTIFS('Season 1 - MatchHistory'!$B:$B, $A12, 'Season 1 - MatchHistory'!$C:$C, "Mafia", 'Season 1 - MatchHistory'!$D:$D, "Win")</f>
        <v/>
      </c>
      <c r="G12" s="13">
        <f>IFERROR(__xludf.DUMMYFUNCTION("TO_PERCENT(IFERROR($F12/$E12, 0))"),0.5)</f>
        <v/>
      </c>
      <c r="H12" s="13">
        <f>IFERROR(__xludf.DUMMYFUNCTION("TO_PERCENT(IFERROR(($F12+$C12)/($E12+$B12), 0))"),0.6666666666666666)</f>
        <v/>
      </c>
      <c r="I12" s="11">
        <f t="array" ref="I12">INDEX('Season 1 - MatchHistory'!$G:$G,MATCH(1,('Season 1 - MatchHistory'!$B:$B=$A12)*('Season 1 - MatchHistory'!$G:$G&lt;&gt;""),0))</f>
        <v/>
      </c>
      <c r="J12" s="11">
        <f t="array" ref="J12">INDEX('Season 1 - MatchHistory'!$H:$H,MATCH(1,('Season 1 - MatchHistory'!$B:$B=$A12)*('Season 1 - MatchHistory'!$H:$H&lt;&gt;""),0))</f>
        <v/>
      </c>
      <c r="K12" s="12">
        <f t="array" ref="K12">INDEX('Season 1 - MatchHistory'!$J:$J,MATCH(1,('Season 1 - MatchHistory'!$B:$B=$A12)*('Season 1 - MatchHistory'!$J:$J&lt;&gt;""),0))</f>
        <v/>
      </c>
    </row>
    <row r="13" ht="22.5" customHeight="1" s="21">
      <c r="A13" s="14" t="inlineStr">
        <is>
          <t>Chipper</t>
        </is>
      </c>
      <c r="B13" s="14">
        <f>COUNTIFS('Season 1 - MatchHistory'!$B:$B, $A13, 'Season 1 - MatchHistory'!$C:$C, "Town")</f>
        <v/>
      </c>
      <c r="C13" s="14">
        <f>COUNTIFS('Season 1 - MatchHistory'!B:B, A13, 'Season 1 - MatchHistory'!C:C, "Town", 'Season 1 - MatchHistory'!D:D, "Win")</f>
        <v/>
      </c>
      <c r="D13" s="13">
        <f>IFERROR(__xludf.DUMMYFUNCTION("IF(EQ($B13, 0), TO_PERCENT(0), TO_PERCENT($C13/$B13))"),0.6666666666666666)</f>
        <v/>
      </c>
      <c r="E13" s="14">
        <f>COUNTIFS('Season 1 - MatchHistory'!$B:$B, $A13, 'Season 1 - MatchHistory'!$C:$C, "Mafia")</f>
        <v/>
      </c>
      <c r="F13" s="14">
        <f>COUNTIFS('Season 1 - MatchHistory'!$B:$B, $A13, 'Season 1 - MatchHistory'!$C:$C, "Mafia", 'Season 1 - MatchHistory'!$D:$D, "Win")</f>
        <v/>
      </c>
      <c r="G13" s="13">
        <f>IFERROR(__xludf.DUMMYFUNCTION("TO_PERCENT(IFERROR($F13/$E13, 0))"),0.0)</f>
        <v/>
      </c>
      <c r="H13" s="13">
        <f>IFERROR(__xludf.DUMMYFUNCTION("TO_PERCENT(IFERROR(($F13+$C13)/($E13+$B13), 0))"),0.5714285714285714)</f>
        <v/>
      </c>
      <c r="I13" s="11">
        <f t="array" ref="I13">INDEX('Season 1 - MatchHistory'!$G:$G,MATCH(1,('Season 1 - MatchHistory'!$B:$B=$A13)*('Season 1 - MatchHistory'!$G:$G&lt;&gt;""),0))</f>
        <v/>
      </c>
      <c r="J13" s="11">
        <f t="array" ref="J13">INDEX('Season 1 - MatchHistory'!$H:$H,MATCH(1,('Season 1 - MatchHistory'!$B:$B=$A13)*('Season 1 - MatchHistory'!$H:$H&lt;&gt;""),0))</f>
        <v/>
      </c>
      <c r="K13" s="12">
        <f t="array" ref="K13">INDEX('Season 1 - MatchHistory'!$J:$J,MATCH(1,('Season 1 - MatchHistory'!$B:$B=$A13)*('Season 1 - MatchHistory'!$J:$J&lt;&gt;""),0))</f>
        <v/>
      </c>
    </row>
    <row r="14" ht="22.5" customHeight="1" s="21">
      <c r="A14" s="14" t="inlineStr">
        <is>
          <t>Nick</t>
        </is>
      </c>
      <c r="B14" s="14">
        <f>COUNTIFS('Season 1 - MatchHistory'!$B:$B, $A14, 'Season 1 - MatchHistory'!$C:$C, "Town")</f>
        <v/>
      </c>
      <c r="C14" s="14">
        <f>COUNTIFS('Season 1 - MatchHistory'!B:B, A14, 'Season 1 - MatchHistory'!C:C, "Town", 'Season 1 - MatchHistory'!D:D, "Win")</f>
        <v/>
      </c>
      <c r="D14" s="13">
        <f>IFERROR(__xludf.DUMMYFUNCTION("IF(EQ($B14, 0), TO_PERCENT(0), TO_PERCENT($C14/$B14))"),0.6)</f>
        <v/>
      </c>
      <c r="E14" s="14">
        <f>COUNTIFS('Season 1 - MatchHistory'!$B:$B, $A14, 'Season 1 - MatchHistory'!$C:$C, "Mafia")</f>
        <v/>
      </c>
      <c r="F14" s="14">
        <f>COUNTIFS('Season 1 - MatchHistory'!$B:$B, $A14, 'Season 1 - MatchHistory'!$C:$C, "Mafia", 'Season 1 - MatchHistory'!$D:$D, "Win")</f>
        <v/>
      </c>
      <c r="G14" s="13">
        <f>IFERROR(__xludf.DUMMYFUNCTION("TO_PERCENT(IFERROR($F14/$E14, 0))"),0.0)</f>
        <v/>
      </c>
      <c r="H14" s="13">
        <f>IFERROR(__xludf.DUMMYFUNCTION("TO_PERCENT(IFERROR(($F14+$C14)/($E14+$B14), 0))"),0.6)</f>
        <v/>
      </c>
      <c r="I14" s="11">
        <f t="array" ref="I14">INDEX('Season 1 - MatchHistory'!$G:$G,MATCH(1,('Season 1 - MatchHistory'!$B:$B=$A14)*('Season 1 - MatchHistory'!$G:$G&lt;&gt;""),0))</f>
        <v/>
      </c>
      <c r="J14" s="11">
        <f t="array" ref="J14">INDEX('Season 1 - MatchHistory'!$H:$H,MATCH(1,('Season 1 - MatchHistory'!$B:$B=$A14)*('Season 1 - MatchHistory'!$H:$H&lt;&gt;""),0))</f>
        <v/>
      </c>
      <c r="K14" s="12">
        <f t="array" ref="K14">INDEX('Season 1 - MatchHistory'!$J:$J,MATCH(1,('Season 1 - MatchHistory'!$B:$B=$A14)*('Season 1 - MatchHistory'!$J:$J&lt;&gt;""),0))</f>
        <v/>
      </c>
    </row>
    <row r="15" ht="22.5" customHeight="1" s="21">
      <c r="A15" s="14" t="inlineStr">
        <is>
          <t>Hydro</t>
        </is>
      </c>
      <c r="B15" s="14">
        <f>COUNTIFS('Season 1 - MatchHistory'!$B:$B, $A15, 'Season 1 - MatchHistory'!$C:$C, "Town")</f>
        <v/>
      </c>
      <c r="C15" s="14">
        <f>COUNTIFS('Season 1 - MatchHistory'!B:B, A15, 'Season 1 - MatchHistory'!C:C, "Town", 'Season 1 - MatchHistory'!D:D, "Win")</f>
        <v/>
      </c>
      <c r="D15" s="13">
        <f>IFERROR(__xludf.DUMMYFUNCTION("IF(EQ($B15, 0), TO_PERCENT(0), TO_PERCENT($C15/$B15))"),0.5714285714285714)</f>
        <v/>
      </c>
      <c r="E15" s="14">
        <f>COUNTIFS('Season 1 - MatchHistory'!$B:$B, $A15, 'Season 1 - MatchHistory'!$C:$C, "Mafia")</f>
        <v/>
      </c>
      <c r="F15" s="14">
        <f>COUNTIFS('Season 1 - MatchHistory'!$B:$B, $A15, 'Season 1 - MatchHistory'!$C:$C, "Mafia", 'Season 1 - MatchHistory'!$D:$D, "Win")</f>
        <v/>
      </c>
      <c r="G15" s="13">
        <f>IFERROR(__xludf.DUMMYFUNCTION("TO_PERCENT(IFERROR($F15/$E15, 0))"),0.0)</f>
        <v/>
      </c>
      <c r="H15" s="13">
        <f>IFERROR(__xludf.DUMMYFUNCTION("TO_PERCENT(IFERROR(($F15+$C15)/($E15+$B15), 0))"),0.5714285714285714)</f>
        <v/>
      </c>
      <c r="I15" s="11">
        <f t="array" ref="I15">INDEX('Season 1 - MatchHistory'!$G:$G,MATCH(1,('Season 1 - MatchHistory'!$B:$B=$A15)*('Season 1 - MatchHistory'!$G:$G&lt;&gt;""),0))</f>
        <v/>
      </c>
      <c r="J15" s="11">
        <f t="array" ref="J15">INDEX('Season 1 - MatchHistory'!$H:$H,MATCH(1,('Season 1 - MatchHistory'!$B:$B=$A15)*('Season 1 - MatchHistory'!$H:$H&lt;&gt;""),0))</f>
        <v/>
      </c>
      <c r="K15" s="12">
        <f t="array" ref="K15">INDEX('Season 1 - MatchHistory'!$J:$J,MATCH(1,('Season 1 - MatchHistory'!$B:$B=$A15)*('Season 1 - MatchHistory'!$J:$J&lt;&gt;""),0))</f>
        <v/>
      </c>
    </row>
    <row r="16" ht="22.5" customHeight="1" s="21">
      <c r="A16" s="14" t="inlineStr">
        <is>
          <t>Kny</t>
        </is>
      </c>
      <c r="B16" s="14">
        <f>COUNTIFS('Season 1 - MatchHistory'!$B:$B, $A16, 'Season 1 - MatchHistory'!$C:$C, "Town")</f>
        <v/>
      </c>
      <c r="C16" s="14">
        <f>COUNTIFS('Season 1 - MatchHistory'!B:B, A16, 'Season 1 - MatchHistory'!C:C, "Town", 'Season 1 - MatchHistory'!D:D, "Win")</f>
        <v/>
      </c>
      <c r="D16" s="13">
        <f>IFERROR(__xludf.DUMMYFUNCTION("IF(EQ($B16, 0), TO_PERCENT(0), TO_PERCENT($C16/$B16))"),0.3888888888888889)</f>
        <v/>
      </c>
      <c r="E16" s="14">
        <f>COUNTIFS('Season 1 - MatchHistory'!$B:$B, $A16, 'Season 1 - MatchHistory'!$C:$C, "Mafia")</f>
        <v/>
      </c>
      <c r="F16" s="14">
        <f>COUNTIFS('Season 1 - MatchHistory'!$B:$B, $A16, 'Season 1 - MatchHistory'!$C:$C, "Mafia", 'Season 1 - MatchHistory'!$D:$D, "Win")</f>
        <v/>
      </c>
      <c r="G16" s="13">
        <f>IFERROR(__xludf.DUMMYFUNCTION("TO_PERCENT(IFERROR($F16/$E16, 0))"),0.6666666666666666)</f>
        <v/>
      </c>
      <c r="H16" s="13">
        <f>IFERROR(__xludf.DUMMYFUNCTION("TO_PERCENT(IFERROR(($F16+$C16)/($E16+$B16), 0))"),0.42857142857142855)</f>
        <v/>
      </c>
      <c r="I16" s="11">
        <f t="array" ref="I16">INDEX('Season 1 - MatchHistory'!$G:$G,MATCH(1,('Season 1 - MatchHistory'!$B:$B=$A16)*('Season 1 - MatchHistory'!$G:$G&lt;&gt;""),0))</f>
        <v/>
      </c>
      <c r="J16" s="11">
        <f t="array" ref="J16">INDEX('Season 1 - MatchHistory'!$H:$H,MATCH(1,('Season 1 - MatchHistory'!$B:$B=$A16)*('Season 1 - MatchHistory'!$H:$H&lt;&gt;""),0))</f>
        <v/>
      </c>
      <c r="K16" s="12">
        <f t="array" ref="K16">INDEX('Season 1 - MatchHistory'!$J:$J,MATCH(1,('Season 1 - MatchHistory'!$B:$B=$A16)*('Season 1 - MatchHistory'!$J:$J&lt;&gt;""),0))</f>
        <v/>
      </c>
    </row>
    <row r="17" ht="22.5" customHeight="1" s="21">
      <c r="A17" s="14" t="inlineStr">
        <is>
          <t>Lou</t>
        </is>
      </c>
      <c r="B17" s="14">
        <f>COUNTIFS('Season 1 - MatchHistory'!$B:$B, $A17, 'Season 1 - MatchHistory'!$C:$C, "Town")</f>
        <v/>
      </c>
      <c r="C17" s="14">
        <f>COUNTIFS('Season 1 - MatchHistory'!B:B, A17, 'Season 1 - MatchHistory'!C:C, "Town", 'Season 1 - MatchHistory'!D:D, "Win")</f>
        <v/>
      </c>
      <c r="D17" s="13">
        <f>IFERROR(__xludf.DUMMYFUNCTION("IF(EQ($B17, 0), TO_PERCENT(0), TO_PERCENT($C17/$B17))"),0.75)</f>
        <v/>
      </c>
      <c r="E17" s="14">
        <f>COUNTIFS('Season 1 - MatchHistory'!$B:$B, $A17, 'Season 1 - MatchHistory'!$C:$C, "Mafia")</f>
        <v/>
      </c>
      <c r="F17" s="14">
        <f>COUNTIFS('Season 1 - MatchHistory'!$B:$B, $A17, 'Season 1 - MatchHistory'!$C:$C, "Mafia", 'Season 1 - MatchHistory'!$D:$D, "Win")</f>
        <v/>
      </c>
      <c r="G17" s="13">
        <f>IFERROR(__xludf.DUMMYFUNCTION("TO_PERCENT(IFERROR($F17/$E17, 0))"),0.5)</f>
        <v/>
      </c>
      <c r="H17" s="13">
        <f>IFERROR(__xludf.DUMMYFUNCTION("TO_PERCENT(IFERROR(($F17+$C17)/($E17+$B17), 0))"),0.6666666666666666)</f>
        <v/>
      </c>
      <c r="I17" s="11">
        <f t="array" ref="I17">INDEX('Season 1 - MatchHistory'!$G:$G,MATCH(1,('Season 1 - MatchHistory'!$B:$B=$A17)*('Season 1 - MatchHistory'!$G:$G&lt;&gt;""),0))</f>
        <v/>
      </c>
      <c r="J17" s="11">
        <f t="array" ref="J17">INDEX('Season 1 - MatchHistory'!$H:$H,MATCH(1,('Season 1 - MatchHistory'!$B:$B=$A17)*('Season 1 - MatchHistory'!$H:$H&lt;&gt;""),0))</f>
        <v/>
      </c>
      <c r="K17" s="12">
        <f t="array" ref="K17">INDEX('Season 1 - MatchHistory'!$J:$J,MATCH(1,('Season 1 - MatchHistory'!$B:$B=$A17)*('Season 1 - MatchHistory'!$J:$J&lt;&gt;""),0))</f>
        <v/>
      </c>
    </row>
    <row r="18" ht="22.5" customHeight="1" s="21">
      <c r="A18" s="14" t="inlineStr">
        <is>
          <t>Carson</t>
        </is>
      </c>
      <c r="B18" s="14">
        <f>COUNTIFS('Season 1 - MatchHistory'!$B:$B, $A18, 'Season 1 - MatchHistory'!$C:$C, "Town")</f>
        <v/>
      </c>
      <c r="C18" s="14">
        <f>COUNTIFS('Season 1 - MatchHistory'!B:B, A18, 'Season 1 - MatchHistory'!C:C, "Town", 'Season 1 - MatchHistory'!D:D, "Win")</f>
        <v/>
      </c>
      <c r="D18" s="13">
        <f>IFERROR(__xludf.DUMMYFUNCTION("IF(EQ($B18, 0), TO_PERCENT(0), TO_PERCENT($C18/$B18))"),0.38095238095238093)</f>
        <v/>
      </c>
      <c r="E18" s="14">
        <f>COUNTIFS('Season 1 - MatchHistory'!$B:$B, $A18, 'Season 1 - MatchHistory'!$C:$C, "Mafia")</f>
        <v/>
      </c>
      <c r="F18" s="14">
        <f>COUNTIFS('Season 1 - MatchHistory'!$B:$B, $A18, 'Season 1 - MatchHistory'!$C:$C, "Mafia", 'Season 1 - MatchHistory'!$D:$D, "Win")</f>
        <v/>
      </c>
      <c r="G18" s="13">
        <f>IFERROR(__xludf.DUMMYFUNCTION("TO_PERCENT(IFERROR($F18/$E18, 0))"),0.6666666666666666)</f>
        <v/>
      </c>
      <c r="H18" s="13">
        <f>IFERROR(__xludf.DUMMYFUNCTION("TO_PERCENT(IFERROR(($F18+$C18)/($E18+$B18), 0))"),0.4444444444444444)</f>
        <v/>
      </c>
      <c r="I18" s="11">
        <f t="array" ref="I18">INDEX('Season 1 - MatchHistory'!$G:$G,MATCH(1,('Season 1 - MatchHistory'!$B:$B=$A18)*('Season 1 - MatchHistory'!$G:$G&lt;&gt;""),0))</f>
        <v/>
      </c>
      <c r="J18" s="11">
        <f t="array" ref="J18">INDEX('Season 1 - MatchHistory'!$H:$H,MATCH(1,('Season 1 - MatchHistory'!$B:$B=$A18)*('Season 1 - MatchHistory'!$H:$H&lt;&gt;""),0))</f>
        <v/>
      </c>
      <c r="K18" s="12">
        <f t="array" ref="K18">INDEX('Season 1 - MatchHistory'!$J:$J,MATCH(1,('Season 1 - MatchHistory'!$B:$B=$A18)*('Season 1 - MatchHistory'!$J:$J&lt;&gt;""),0))</f>
        <v/>
      </c>
    </row>
    <row r="19" ht="22.5" customHeight="1" s="21">
      <c r="A19" s="14" t="inlineStr">
        <is>
          <t>Antfrost</t>
        </is>
      </c>
      <c r="B19" s="14">
        <f>COUNTIFS('Season 1 - MatchHistory'!$B:$B, $A19, 'Season 1 - MatchHistory'!$C:$C, "Town")</f>
        <v/>
      </c>
      <c r="C19" s="14">
        <f>COUNTIFS('Season 1 - MatchHistory'!B:B, A19, 'Season 1 - MatchHistory'!C:C, "Town", 'Season 1 - MatchHistory'!D:D, "Win")</f>
        <v/>
      </c>
      <c r="D19" s="13">
        <f>IFERROR(__xludf.DUMMYFUNCTION("IF(EQ($B19, 0), TO_PERCENT(0), TO_PERCENT($C19/$B19))"),0.6666666666666666)</f>
        <v/>
      </c>
      <c r="E19" s="14">
        <f>COUNTIFS('Season 1 - MatchHistory'!$B:$B, $A19, 'Season 1 - MatchHistory'!$C:$C, "Mafia")</f>
        <v/>
      </c>
      <c r="F19" s="14">
        <f>COUNTIFS('Season 1 - MatchHistory'!$B:$B, $A19, 'Season 1 - MatchHistory'!$C:$C, "Mafia", 'Season 1 - MatchHistory'!$D:$D, "Win")</f>
        <v/>
      </c>
      <c r="G19" s="13">
        <f>IFERROR(__xludf.DUMMYFUNCTION("TO_PERCENT(IFERROR($F19/$E19, 0))"),0.0)</f>
        <v/>
      </c>
      <c r="H19" s="13">
        <f>IFERROR(__xludf.DUMMYFUNCTION("TO_PERCENT(IFERROR(($F19+$C19)/($E19+$B19), 0))"),0.6666666666666666)</f>
        <v/>
      </c>
      <c r="I19" s="11">
        <f t="array" ref="I19">INDEX('Season 1 - MatchHistory'!$G:$G,MATCH(1,('Season 1 - MatchHistory'!$B:$B=$A19)*('Season 1 - MatchHistory'!$G:$G&lt;&gt;""),0))</f>
        <v/>
      </c>
      <c r="J19" s="11">
        <f t="array" ref="J19">INDEX('Season 1 - MatchHistory'!$H:$H,MATCH(1,('Season 1 - MatchHistory'!$B:$B=$A19)*('Season 1 - MatchHistory'!$H:$H&lt;&gt;""),0))</f>
        <v/>
      </c>
      <c r="K19" s="12">
        <f t="array" ref="K19">INDEX('Season 1 - MatchHistory'!$J:$J,MATCH(1,('Season 1 - MatchHistory'!$B:$B=$A19)*('Season 1 - MatchHistory'!$J:$J&lt;&gt;""),0))</f>
        <v/>
      </c>
    </row>
    <row r="20" ht="22.5" customHeight="1" s="21">
      <c r="A20" s="14" t="inlineStr">
        <is>
          <t>Kdak</t>
        </is>
      </c>
      <c r="B20" s="14">
        <f>COUNTIFS('Season 1 - MatchHistory'!$B:$B, $A20, 'Season 1 - MatchHistory'!$C:$C, "Town")</f>
        <v/>
      </c>
      <c r="C20" s="14">
        <f>COUNTIFS('Season 1 - MatchHistory'!B:B, A20, 'Season 1 - MatchHistory'!C:C, "Town", 'Season 1 - MatchHistory'!D:D, "Win")</f>
        <v/>
      </c>
      <c r="D20" s="13">
        <f>IFERROR(__xludf.DUMMYFUNCTION("IF(EQ($B20, 0), TO_PERCENT(0), TO_PERCENT($C20/$B20))"),1.0)</f>
        <v/>
      </c>
      <c r="E20" s="14">
        <f>COUNTIFS('Season 1 - MatchHistory'!$B:$B, $A20, 'Season 1 - MatchHistory'!$C:$C, "Mafia")</f>
        <v/>
      </c>
      <c r="F20" s="14">
        <f>COUNTIFS('Season 1 - MatchHistory'!$B:$B, $A20, 'Season 1 - MatchHistory'!$C:$C, "Mafia", 'Season 1 - MatchHistory'!$D:$D, "Win")</f>
        <v/>
      </c>
      <c r="G20" s="13">
        <f>IFERROR(__xludf.DUMMYFUNCTION("TO_PERCENT(IFERROR($F20/$E20, 0))"),0.0)</f>
        <v/>
      </c>
      <c r="H20" s="13">
        <f>IFERROR(__xludf.DUMMYFUNCTION("TO_PERCENT(IFERROR(($F20+$C20)/($E20+$B20), 0))"),1.0)</f>
        <v/>
      </c>
      <c r="I20" s="11">
        <f t="array" ref="I20">INDEX('Season 1 - MatchHistory'!$G:$G,MATCH(1,('Season 1 - MatchHistory'!$B:$B=$A20)*('Season 1 - MatchHistory'!$G:$G&lt;&gt;""),0))</f>
        <v/>
      </c>
      <c r="J20" s="11">
        <f t="array" ref="J20">INDEX('Season 1 - MatchHistory'!$H:$H,MATCH(1,('Season 1 - MatchHistory'!$B:$B=$A20)*('Season 1 - MatchHistory'!$H:$H&lt;&gt;""),0))</f>
        <v/>
      </c>
      <c r="K20" s="12">
        <f t="array" ref="K20">INDEX('Season 1 - MatchHistory'!$J:$J,MATCH(1,('Season 1 - MatchHistory'!$B:$B=$A20)*('Season 1 - MatchHistory'!$J:$J&lt;&gt;""),0))</f>
        <v/>
      </c>
    </row>
    <row r="21" ht="22.5" customHeight="1" s="21">
      <c r="A21" s="14" t="inlineStr">
        <is>
          <t>Schmittball</t>
        </is>
      </c>
      <c r="B21" s="14">
        <f>COUNTIFS('Season 1 - MatchHistory'!$B:$B, $A21, 'Season 1 - MatchHistory'!$C:$C, "Town")</f>
        <v/>
      </c>
      <c r="C21" s="14">
        <f>COUNTIFS('Season 1 - MatchHistory'!B:B, A21, 'Season 1 - MatchHistory'!C:C, "Town", 'Season 1 - MatchHistory'!D:D, "Win")</f>
        <v/>
      </c>
      <c r="D21" s="13">
        <f>IFERROR(__xludf.DUMMYFUNCTION("IF(EQ($B21, 0), TO_PERCENT(0), TO_PERCENT($C21/$B21))"),1.0)</f>
        <v/>
      </c>
      <c r="E21" s="14">
        <f>COUNTIFS('Season 1 - MatchHistory'!$B:$B, $A21, 'Season 1 - MatchHistory'!$C:$C, "Mafia")</f>
        <v/>
      </c>
      <c r="F21" s="14">
        <f>COUNTIFS('Season 1 - MatchHistory'!$B:$B, $A21, 'Season 1 - MatchHistory'!$C:$C, "Mafia", 'Season 1 - MatchHistory'!$D:$D, "Win")</f>
        <v/>
      </c>
      <c r="G21" s="13">
        <f>IFERROR(__xludf.DUMMYFUNCTION("TO_PERCENT(IFERROR($F21/$E21, 0))"),0.0)</f>
        <v/>
      </c>
      <c r="H21" s="13">
        <f>IFERROR(__xludf.DUMMYFUNCTION("TO_PERCENT(IFERROR(($F21+$C21)/($E21+$B21), 0))"),1.0)</f>
        <v/>
      </c>
      <c r="I21" s="11">
        <f t="array" ref="I21">INDEX('Season 1 - MatchHistory'!$G:$G,MATCH(1,('Season 1 - MatchHistory'!$B:$B=$A21)*('Season 1 - MatchHistory'!$G:$G&lt;&gt;""),0))</f>
        <v/>
      </c>
      <c r="J21" s="11">
        <f t="array" ref="J21">INDEX('Season 1 - MatchHistory'!$H:$H,MATCH(1,('Season 1 - MatchHistory'!$B:$B=$A21)*('Season 1 - MatchHistory'!$H:$H&lt;&gt;""),0))</f>
        <v/>
      </c>
      <c r="K21" s="12">
        <f t="array" ref="K21">INDEX('Season 1 - MatchHistory'!$J:$J,MATCH(1,('Season 1 - MatchHistory'!$B:$B=$A21)*('Season 1 - MatchHistory'!$J:$J&lt;&gt;""),0))</f>
        <v/>
      </c>
    </row>
    <row r="22" ht="22.5" customHeight="1" s="21">
      <c r="A22" s="14" t="inlineStr">
        <is>
          <t>Crispy</t>
        </is>
      </c>
      <c r="B22" s="14">
        <f>COUNTIFS('Season 1 - MatchHistory'!$B:$B, $A22, 'Season 1 - MatchHistory'!$C:$C, "Town")</f>
        <v/>
      </c>
      <c r="C22" s="14">
        <f>COUNTIFS('Season 1 - MatchHistory'!B:B, A22, 'Season 1 - MatchHistory'!C:C, "Town", 'Season 1 - MatchHistory'!D:D, "Win")</f>
        <v/>
      </c>
      <c r="D22" s="13">
        <f>IFERROR(__xludf.DUMMYFUNCTION("IF(EQ($B22, 0), TO_PERCENT(0), TO_PERCENT($C22/$B22))"),1.0)</f>
        <v/>
      </c>
      <c r="E22" s="14">
        <f>COUNTIFS('Season 1 - MatchHistory'!$B:$B, $A22, 'Season 1 - MatchHistory'!$C:$C, "Mafia")</f>
        <v/>
      </c>
      <c r="F22" s="14">
        <f>COUNTIFS('Season 1 - MatchHistory'!$B:$B, $A22, 'Season 1 - MatchHistory'!$C:$C, "Mafia", 'Season 1 - MatchHistory'!$D:$D, "Win")</f>
        <v/>
      </c>
      <c r="G22" s="13">
        <f>IFERROR(__xludf.DUMMYFUNCTION("TO_PERCENT(IFERROR($F22/$E22, 0))"),0.0)</f>
        <v/>
      </c>
      <c r="H22" s="13">
        <f>IFERROR(__xludf.DUMMYFUNCTION("TO_PERCENT(IFERROR(($F22+$C22)/($E22+$B22), 0))"),1.0)</f>
        <v/>
      </c>
      <c r="I22" s="11">
        <f t="array" ref="I22">INDEX('Season 1 - MatchHistory'!$G:$G,MATCH(1,('Season 1 - MatchHistory'!$B:$B=$A22)*('Season 1 - MatchHistory'!$G:$G&lt;&gt;""),0))</f>
        <v/>
      </c>
      <c r="J22" s="11">
        <f t="array" ref="J22">INDEX('Season 1 - MatchHistory'!$H:$H,MATCH(1,('Season 1 - MatchHistory'!$B:$B=$A22)*('Season 1 - MatchHistory'!$H:$H&lt;&gt;""),0))</f>
        <v/>
      </c>
      <c r="K22" s="12">
        <f t="array" ref="K22">INDEX('Season 1 - MatchHistory'!$J:$J,MATCH(1,('Season 1 - MatchHistory'!$B:$B=$A22)*('Season 1 - MatchHistory'!$J:$J&lt;&gt;""),0))</f>
        <v/>
      </c>
    </row>
    <row r="23" ht="22.5" customHeight="1" s="21">
      <c r="A23" s="14" t="inlineStr">
        <is>
          <t>Jonas</t>
        </is>
      </c>
      <c r="B23" s="14">
        <f>COUNTIFS('Season 1 - MatchHistory'!$B:$B, $A23, 'Season 1 - MatchHistory'!$C:$C, "Town")</f>
        <v/>
      </c>
      <c r="C23" s="14">
        <f>COUNTIFS('Season 1 - MatchHistory'!B:B, A23, 'Season 1 - MatchHistory'!C:C, "Town", 'Season 1 - MatchHistory'!D:D, "Win")</f>
        <v/>
      </c>
      <c r="D23" s="13">
        <f>IFERROR(__xludf.DUMMYFUNCTION("IF(EQ($B23, 0), TO_PERCENT(0), TO_PERCENT($C23/$B23))"),1.0)</f>
        <v/>
      </c>
      <c r="E23" s="14">
        <f>COUNTIFS('Season 1 - MatchHistory'!$B:$B, $A23, 'Season 1 - MatchHistory'!$C:$C, "Mafia")</f>
        <v/>
      </c>
      <c r="F23" s="14">
        <f>COUNTIFS('Season 1 - MatchHistory'!$B:$B, $A23, 'Season 1 - MatchHistory'!$C:$C, "Mafia", 'Season 1 - MatchHistory'!$D:$D, "Win")</f>
        <v/>
      </c>
      <c r="G23" s="13">
        <f>IFERROR(__xludf.DUMMYFUNCTION("TO_PERCENT(IFERROR($F23/$E23, 0))"),0.0)</f>
        <v/>
      </c>
      <c r="H23" s="13">
        <f>IFERROR(__xludf.DUMMYFUNCTION("TO_PERCENT(IFERROR(($F23+$C23)/($E23+$B23), 0))"),1.0)</f>
        <v/>
      </c>
      <c r="I23" s="11">
        <f t="array" ref="I23">INDEX('Season 1 - MatchHistory'!$G:$G,MATCH(1,('Season 1 - MatchHistory'!$B:$B=$A23)*('Season 1 - MatchHistory'!$G:$G&lt;&gt;""),0))</f>
        <v/>
      </c>
      <c r="J23" s="11">
        <f t="array" ref="J23">INDEX('Season 1 - MatchHistory'!$H:$H,MATCH(1,('Season 1 - MatchHistory'!$B:$B=$A23)*('Season 1 - MatchHistory'!$H:$H&lt;&gt;""),0))</f>
        <v/>
      </c>
      <c r="K23" s="12">
        <f t="array" ref="K23">INDEX('Season 1 - MatchHistory'!$J:$J,MATCH(1,('Season 1 - MatchHistory'!$B:$B=$A23)*('Season 1 - MatchHistory'!$J:$J&lt;&gt;""),0))</f>
        <v/>
      </c>
    </row>
    <row r="24" ht="22.5" customHeight="1" s="21">
      <c r="A24" s="14" t="inlineStr">
        <is>
          <t>Pinkee</t>
        </is>
      </c>
      <c r="B24" s="14">
        <f>COUNTIFS('Season 1 - MatchHistory'!$B:$B, $A24, 'Season 1 - MatchHistory'!$C:$C, "Town")</f>
        <v/>
      </c>
      <c r="C24" s="14">
        <f>COUNTIFS('Season 1 - MatchHistory'!B:B, A24, 'Season 1 - MatchHistory'!C:C, "Town", 'Season 1 - MatchHistory'!D:D, "Win")</f>
        <v/>
      </c>
      <c r="D24" s="13">
        <f>IFERROR(__xludf.DUMMYFUNCTION("IF(EQ($B24, 0), TO_PERCENT(0), TO_PERCENT($C24/$B24))"),0.4)</f>
        <v/>
      </c>
      <c r="E24" s="14">
        <f>COUNTIFS('Season 1 - MatchHistory'!$B:$B, $A24, 'Season 1 - MatchHistory'!$C:$C, "Mafia")</f>
        <v/>
      </c>
      <c r="F24" s="14">
        <f>COUNTIFS('Season 1 - MatchHistory'!$B:$B, $A24, 'Season 1 - MatchHistory'!$C:$C, "Mafia", 'Season 1 - MatchHistory'!$D:$D, "Win")</f>
        <v/>
      </c>
      <c r="G24" s="13">
        <f>IFERROR(__xludf.DUMMYFUNCTION("TO_PERCENT(IFERROR($F24/$E24, 0))"),1.0)</f>
        <v/>
      </c>
      <c r="H24" s="13">
        <f>IFERROR(__xludf.DUMMYFUNCTION("TO_PERCENT(IFERROR(($F24+$C24)/($E24+$B24), 0))"),0.5)</f>
        <v/>
      </c>
      <c r="I24" s="11">
        <f t="array" ref="I24">INDEX('Season 1 - MatchHistory'!$G:$G,MATCH(1,('Season 1 - MatchHistory'!$B:$B=$A24)*('Season 1 - MatchHistory'!$G:$G&lt;&gt;""),0))</f>
        <v/>
      </c>
      <c r="J24" s="11">
        <f t="array" ref="J24">INDEX('Season 1 - MatchHistory'!$H:$H,MATCH(1,('Season 1 - MatchHistory'!$B:$B=$A24)*('Season 1 - MatchHistory'!$H:$H&lt;&gt;""),0))</f>
        <v/>
      </c>
      <c r="K24" s="12">
        <f t="array" ref="K24">INDEX('Season 1 - MatchHistory'!$J:$J,MATCH(1,('Season 1 - MatchHistory'!$B:$B=$A24)*('Season 1 - MatchHistory'!$J:$J&lt;&gt;""),0))</f>
        <v/>
      </c>
    </row>
    <row r="25" ht="22.5" customHeight="1" s="21">
      <c r="A25" s="14" t="inlineStr">
        <is>
          <t>Kwix</t>
        </is>
      </c>
      <c r="B25" s="14">
        <f>COUNTIFS('Season 1 - MatchHistory'!$B:$B, $A25, 'Season 1 - MatchHistory'!$C:$C, "Town")</f>
        <v/>
      </c>
      <c r="C25" s="14">
        <f>COUNTIFS('Season 1 - MatchHistory'!B:B, A25, 'Season 1 - MatchHistory'!C:C, "Town", 'Season 1 - MatchHistory'!D:D, "Win")</f>
        <v/>
      </c>
      <c r="D25" s="13">
        <f>IFERROR(__xludf.DUMMYFUNCTION("IF(EQ($B25, 0), TO_PERCENT(0), TO_PERCENT($C25/$B25))"),0.4166666666666667)</f>
        <v/>
      </c>
      <c r="E25" s="14">
        <f>COUNTIFS('Season 1 - MatchHistory'!$B:$B, $A25, 'Season 1 - MatchHistory'!$C:$C, "Mafia")</f>
        <v/>
      </c>
      <c r="F25" s="14">
        <f>COUNTIFS('Season 1 - MatchHistory'!$B:$B, $A25, 'Season 1 - MatchHistory'!$C:$C, "Mafia", 'Season 1 - MatchHistory'!$D:$D, "Win")</f>
        <v/>
      </c>
      <c r="G25" s="13">
        <f>IFERROR(__xludf.DUMMYFUNCTION("TO_PERCENT(IFERROR($F25/$E25, 0))"),0.6)</f>
        <v/>
      </c>
      <c r="H25" s="13">
        <f>IFERROR(__xludf.DUMMYFUNCTION("TO_PERCENT(IFERROR(($F25+$C25)/($E25+$B25), 0))"),0.47058823529411764)</f>
        <v/>
      </c>
      <c r="I25" s="11">
        <f t="array" ref="I25">INDEX('Season 1 - MatchHistory'!$G:$G,MATCH(1,('Season 1 - MatchHistory'!$B:$B=$A25)*('Season 1 - MatchHistory'!$G:$G&lt;&gt;""),0))</f>
        <v/>
      </c>
      <c r="J25" s="11">
        <f t="array" ref="J25">INDEX('Season 1 - MatchHistory'!$H:$H,MATCH(1,('Season 1 - MatchHistory'!$B:$B=$A25)*('Season 1 - MatchHistory'!$H:$H&lt;&gt;""),0))</f>
        <v/>
      </c>
      <c r="K25" s="12">
        <f t="array" ref="K25">INDEX('Season 1 - MatchHistory'!$J:$J,MATCH(1,('Season 1 - MatchHistory'!$B:$B=$A25)*('Season 1 - MatchHistory'!$J:$J&lt;&gt;""),0))</f>
        <v/>
      </c>
    </row>
    <row r="26" ht="22.5" customHeight="1" s="21">
      <c r="A26" s="14" t="inlineStr">
        <is>
          <t>Torharo</t>
        </is>
      </c>
      <c r="B26" s="14">
        <f>COUNTIFS('Season 1 - MatchHistory'!$B:$B, $A26, 'Season 1 - MatchHistory'!$C:$C, "Town")</f>
        <v/>
      </c>
      <c r="C26" s="14">
        <f>COUNTIFS('Season 1 - MatchHistory'!B:B, A26, 'Season 1 - MatchHistory'!C:C, "Town", 'Season 1 - MatchHistory'!D:D, "Win")</f>
        <v/>
      </c>
      <c r="D26" s="13">
        <f>IFERROR(__xludf.DUMMYFUNCTION("IF(EQ($B26, 0), TO_PERCENT(0), TO_PERCENT($C26/$B26))"),0.3333333333333333)</f>
        <v/>
      </c>
      <c r="E26" s="14">
        <f>COUNTIFS('Season 1 - MatchHistory'!$B:$B, $A26, 'Season 1 - MatchHistory'!$C:$C, "Mafia")</f>
        <v/>
      </c>
      <c r="F26" s="14">
        <f>COUNTIFS('Season 1 - MatchHistory'!$B:$B, $A26, 'Season 1 - MatchHistory'!$C:$C, "Mafia", 'Season 1 - MatchHistory'!$D:$D, "Win")</f>
        <v/>
      </c>
      <c r="G26" s="13">
        <f>IFERROR(__xludf.DUMMYFUNCTION("TO_PERCENT(IFERROR($F26/$E26, 0))"),0.7142857142857143)</f>
        <v/>
      </c>
      <c r="H26" s="13">
        <f>IFERROR(__xludf.DUMMYFUNCTION("TO_PERCENT(IFERROR(($F26+$C26)/($E26+$B26), 0))"),0.5384615384615384)</f>
        <v/>
      </c>
      <c r="I26" s="11">
        <f t="array" ref="I26">INDEX('Season 1 - MatchHistory'!$G:$G,MATCH(1,('Season 1 - MatchHistory'!$B:$B=$A26)*('Season 1 - MatchHistory'!$G:$G&lt;&gt;""),0))</f>
        <v/>
      </c>
      <c r="J26" s="11">
        <f t="array" ref="J26">INDEX('Season 1 - MatchHistory'!$H:$H,MATCH(1,('Season 1 - MatchHistory'!$B:$B=$A26)*('Season 1 - MatchHistory'!$H:$H&lt;&gt;""),0))</f>
        <v/>
      </c>
      <c r="K26" s="12">
        <f t="array" ref="K26">INDEX('Season 1 - MatchHistory'!$J:$J,MATCH(1,('Season 1 - MatchHistory'!$B:$B=$A26)*('Season 1 - MatchHistory'!$J:$J&lt;&gt;""),0))</f>
        <v/>
      </c>
    </row>
    <row r="27" ht="22.5" customHeight="1" s="21">
      <c r="A27" s="14" t="inlineStr">
        <is>
          <t>Lombax</t>
        </is>
      </c>
      <c r="B27" s="14">
        <f>COUNTIFS('Season 1 - MatchHistory'!$B:$B, $A27, 'Season 1 - MatchHistory'!$C:$C, "Town")</f>
        <v/>
      </c>
      <c r="C27" s="14">
        <f>COUNTIFS('Season 1 - MatchHistory'!B:B, A27, 'Season 1 - MatchHistory'!C:C, "Town", 'Season 1 - MatchHistory'!D:D, "Win")</f>
        <v/>
      </c>
      <c r="D27" s="13">
        <f>IFERROR(__xludf.DUMMYFUNCTION("IF(EQ($B27, 0), TO_PERCENT(0), TO_PERCENT($C27/$B27))"),0.5)</f>
        <v/>
      </c>
      <c r="E27" s="14">
        <f>COUNTIFS('Season 1 - MatchHistory'!$B:$B, $A27, 'Season 1 - MatchHistory'!$C:$C, "Mafia")</f>
        <v/>
      </c>
      <c r="F27" s="14">
        <f>COUNTIFS('Season 1 - MatchHistory'!$B:$B, $A27, 'Season 1 - MatchHistory'!$C:$C, "Mafia", 'Season 1 - MatchHistory'!$D:$D, "Win")</f>
        <v/>
      </c>
      <c r="G27" s="13">
        <f>IFERROR(__xludf.DUMMYFUNCTION("TO_PERCENT(IFERROR($F27/$E27, 0))"),0.0)</f>
        <v/>
      </c>
      <c r="H27" s="13">
        <f>IFERROR(__xludf.DUMMYFUNCTION("TO_PERCENT(IFERROR(($F27+$C27)/($E27+$B27), 0))"),0.5)</f>
        <v/>
      </c>
      <c r="I27" s="11">
        <f t="array" ref="I27">INDEX('Season 1 - MatchHistory'!$G:$G,MATCH(1,('Season 1 - MatchHistory'!$B:$B=$A27)*('Season 1 - MatchHistory'!$G:$G&lt;&gt;""),0))</f>
        <v/>
      </c>
      <c r="J27" s="11">
        <f t="array" ref="J27">INDEX('Season 1 - MatchHistory'!$H:$H,MATCH(1,('Season 1 - MatchHistory'!$B:$B=$A27)*('Season 1 - MatchHistory'!$H:$H&lt;&gt;""),0))</f>
        <v/>
      </c>
      <c r="K27" s="12">
        <f t="array" ref="K27">INDEX('Season 1 - MatchHistory'!$J:$J,MATCH(1,('Season 1 - MatchHistory'!$B:$B=$A27)*('Season 1 - MatchHistory'!$J:$J&lt;&gt;""),0))</f>
        <v/>
      </c>
    </row>
    <row r="28" ht="22.5" customHeight="1" s="21">
      <c r="A28" s="14" t="inlineStr">
        <is>
          <t>Streety</t>
        </is>
      </c>
      <c r="B28" s="14">
        <f>COUNTIFS('Season 1 - MatchHistory'!$B:$B, $A28, 'Season 1 - MatchHistory'!$C:$C, "Town")</f>
        <v/>
      </c>
      <c r="C28" s="14">
        <f>COUNTIFS('Season 1 - MatchHistory'!B:B, A28, 'Season 1 - MatchHistory'!C:C, "Town", 'Season 1 - MatchHistory'!D:D, "Win")</f>
        <v/>
      </c>
      <c r="D28" s="13">
        <f>IFERROR(__xludf.DUMMYFUNCTION("IF(EQ($B28, 0), TO_PERCENT(0), TO_PERCENT($C28/$B28))"),0.3157894736842105)</f>
        <v/>
      </c>
      <c r="E28" s="14">
        <f>COUNTIFS('Season 1 - MatchHistory'!$B:$B, $A28, 'Season 1 - MatchHistory'!$C:$C, "Mafia")</f>
        <v/>
      </c>
      <c r="F28" s="14">
        <f>COUNTIFS('Season 1 - MatchHistory'!$B:$B, $A28, 'Season 1 - MatchHistory'!$C:$C, "Mafia", 'Season 1 - MatchHistory'!$D:$D, "Win")</f>
        <v/>
      </c>
      <c r="G28" s="13">
        <f>IFERROR(__xludf.DUMMYFUNCTION("TO_PERCENT(IFERROR($F28/$E28, 0))"),0.8)</f>
        <v/>
      </c>
      <c r="H28" s="13">
        <f>IFERROR(__xludf.DUMMYFUNCTION("TO_PERCENT(IFERROR(($F28+$C28)/($E28+$B28), 0))"),0.4166666666666667)</f>
        <v/>
      </c>
      <c r="I28" s="11">
        <f t="array" ref="I28">INDEX('Season 1 - MatchHistory'!$G:$G,MATCH(1,('Season 1 - MatchHistory'!$B:$B=$A28)*('Season 1 - MatchHistory'!$G:$G&lt;&gt;""),0))</f>
        <v/>
      </c>
      <c r="J28" s="11">
        <f t="array" ref="J28">INDEX('Season 1 - MatchHistory'!$H:$H,MATCH(1,('Season 1 - MatchHistory'!$B:$B=$A28)*('Season 1 - MatchHistory'!$H:$H&lt;&gt;""),0))</f>
        <v/>
      </c>
      <c r="K28" s="12">
        <f t="array" ref="K28">INDEX('Season 1 - MatchHistory'!$J:$J,MATCH(1,('Season 1 - MatchHistory'!$B:$B=$A28)*('Season 1 - MatchHistory'!$J:$J&lt;&gt;""),0))</f>
        <v/>
      </c>
    </row>
    <row r="29" ht="22.5" customHeight="1" s="21">
      <c r="A29" s="14" t="inlineStr">
        <is>
          <t>Jan</t>
        </is>
      </c>
      <c r="B29" s="14">
        <f>COUNTIFS('Season 1 - MatchHistory'!$B:$B, $A29, 'Season 1 - MatchHistory'!$C:$C, "Town")</f>
        <v/>
      </c>
      <c r="C29" s="14">
        <f>COUNTIFS('Season 1 - MatchHistory'!B:B, A29, 'Season 1 - MatchHistory'!C:C, "Town", 'Season 1 - MatchHistory'!D:D, "Win")</f>
        <v/>
      </c>
      <c r="D29" s="13">
        <f>IFERROR(__xludf.DUMMYFUNCTION("IF(EQ($B29, 0), TO_PERCENT(0), TO_PERCENT($C29/$B29))"),0.0)</f>
        <v/>
      </c>
      <c r="E29" s="14">
        <f>COUNTIFS('Season 1 - MatchHistory'!$B:$B, $A29, 'Season 1 - MatchHistory'!$C:$C, "Mafia")</f>
        <v/>
      </c>
      <c r="F29" s="14">
        <f>COUNTIFS('Season 1 - MatchHistory'!$B:$B, $A29, 'Season 1 - MatchHistory'!$C:$C, "Mafia", 'Season 1 - MatchHistory'!$D:$D, "Win")</f>
        <v/>
      </c>
      <c r="G29" s="13">
        <f>IFERROR(__xludf.DUMMYFUNCTION("TO_PERCENT(IFERROR($F29/$E29, 0))"),1.0)</f>
        <v/>
      </c>
      <c r="H29" s="13">
        <f>IFERROR(__xludf.DUMMYFUNCTION("TO_PERCENT(IFERROR(($F29+$C29)/($E29+$B29), 0))"),1.0)</f>
        <v/>
      </c>
      <c r="I29" s="11">
        <f t="array" ref="I29">INDEX('Season 1 - MatchHistory'!$G:$G,MATCH(1,('Season 1 - MatchHistory'!$B:$B=$A29)*('Season 1 - MatchHistory'!$G:$G&lt;&gt;""),0))</f>
        <v/>
      </c>
      <c r="J29" s="11">
        <f t="array" ref="J29">INDEX('Season 1 - MatchHistory'!$H:$H,MATCH(1,('Season 1 - MatchHistory'!$B:$B=$A29)*('Season 1 - MatchHistory'!$H:$H&lt;&gt;""),0))</f>
        <v/>
      </c>
      <c r="K29" s="12">
        <f t="array" ref="K29">INDEX('Season 1 - MatchHistory'!$J:$J,MATCH(1,('Season 1 - MatchHistory'!$B:$B=$A29)*('Season 1 - MatchHistory'!$J:$J&lt;&gt;""),0))</f>
        <v/>
      </c>
    </row>
    <row r="30" ht="22.5" customHeight="1" s="21">
      <c r="A30" s="14" t="inlineStr">
        <is>
          <t>Striker</t>
        </is>
      </c>
      <c r="B30" s="14">
        <f>COUNTIFS('Season 1 - MatchHistory'!$B:$B, $A30, 'Season 1 - MatchHistory'!$C:$C, "Town")</f>
        <v/>
      </c>
      <c r="C30" s="14">
        <f>COUNTIFS('Season 1 - MatchHistory'!B:B, A30, 'Season 1 - MatchHistory'!C:C, "Town", 'Season 1 - MatchHistory'!D:D, "Win")</f>
        <v/>
      </c>
      <c r="D30" s="13">
        <f>IFERROR(__xludf.DUMMYFUNCTION("IF(EQ($B30, 0), TO_PERCENT(0), TO_PERCENT($C30/$B30))"),0.5)</f>
        <v/>
      </c>
      <c r="E30" s="14">
        <f>COUNTIFS('Season 1 - MatchHistory'!$B:$B, $A30, 'Season 1 - MatchHistory'!$C:$C, "Mafia")</f>
        <v/>
      </c>
      <c r="F30" s="14">
        <f>COUNTIFS('Season 1 - MatchHistory'!$B:$B, $A30, 'Season 1 - MatchHistory'!$C:$C, "Mafia", 'Season 1 - MatchHistory'!$D:$D, "Win")</f>
        <v/>
      </c>
      <c r="G30" s="13">
        <f>IFERROR(__xludf.DUMMYFUNCTION("TO_PERCENT(IFERROR($F30/$E30, 0))"),0.0)</f>
        <v/>
      </c>
      <c r="H30" s="13">
        <f>IFERROR(__xludf.DUMMYFUNCTION("TO_PERCENT(IFERROR(($F30+$C30)/($E30+$B30), 0))"),0.5)</f>
        <v/>
      </c>
      <c r="I30" s="11">
        <f t="array" ref="I30">INDEX('Season 1 - MatchHistory'!$G:$G,MATCH(1,('Season 1 - MatchHistory'!$B:$B=$A30)*('Season 1 - MatchHistory'!$G:$G&lt;&gt;""),0))</f>
        <v/>
      </c>
      <c r="J30" s="11">
        <f t="array" ref="J30">INDEX('Season 1 - MatchHistory'!$H:$H,MATCH(1,('Season 1 - MatchHistory'!$B:$B=$A30)*('Season 1 - MatchHistory'!$H:$H&lt;&gt;""),0))</f>
        <v/>
      </c>
      <c r="K30" s="12">
        <f t="array" ref="K30">INDEX('Season 1 - MatchHistory'!$J:$J,MATCH(1,('Season 1 - MatchHistory'!$B:$B=$A30)*('Season 1 - MatchHistory'!$J:$J&lt;&gt;""),0))</f>
        <v/>
      </c>
    </row>
    <row r="31" ht="22.5" customHeight="1" s="21">
      <c r="A31" s="14" t="inlineStr">
        <is>
          <t>SamStockton</t>
        </is>
      </c>
      <c r="B31" s="14">
        <f>COUNTIFS('Season 1 - MatchHistory'!$B:$B, $A31, 'Season 1 - MatchHistory'!$C:$C, "Town")</f>
        <v/>
      </c>
      <c r="C31" s="14">
        <f>COUNTIFS('Season 1 - MatchHistory'!B:B, A31, 'Season 1 - MatchHistory'!C:C, "Town", 'Season 1 - MatchHistory'!D:D, "Win")</f>
        <v/>
      </c>
      <c r="D31" s="13">
        <f>IFERROR(__xludf.DUMMYFUNCTION("IF(EQ($B31, 0), TO_PERCENT(0), TO_PERCENT($C31/$B31))"),0.3333333333333333)</f>
        <v/>
      </c>
      <c r="E31" s="14">
        <f>COUNTIFS('Season 1 - MatchHistory'!$B:$B, $A31, 'Season 1 - MatchHistory'!$C:$C, "Mafia")</f>
        <v/>
      </c>
      <c r="F31" s="14">
        <f>COUNTIFS('Season 1 - MatchHistory'!$B:$B, $A31, 'Season 1 - MatchHistory'!$C:$C, "Mafia", 'Season 1 - MatchHistory'!$D:$D, "Win")</f>
        <v/>
      </c>
      <c r="G31" s="13">
        <f>IFERROR(__xludf.DUMMYFUNCTION("TO_PERCENT(IFERROR($F31/$E31, 0))"),1.0)</f>
        <v/>
      </c>
      <c r="H31" s="13">
        <f>IFERROR(__xludf.DUMMYFUNCTION("TO_PERCENT(IFERROR(($F31+$C31)/($E31+$B31), 0))"),0.5)</f>
        <v/>
      </c>
      <c r="I31" s="11">
        <f t="array" ref="I31">INDEX('Season 1 - MatchHistory'!$G:$G,MATCH(1,('Season 1 - MatchHistory'!$B:$B=$A31)*('Season 1 - MatchHistory'!$G:$G&lt;&gt;""),0))</f>
        <v/>
      </c>
      <c r="J31" s="11">
        <f t="array" ref="J31">INDEX('Season 1 - MatchHistory'!$H:$H,MATCH(1,('Season 1 - MatchHistory'!$B:$B=$A31)*('Season 1 - MatchHistory'!$H:$H&lt;&gt;""),0))</f>
        <v/>
      </c>
      <c r="K31" s="12">
        <f t="array" ref="K31">INDEX('Season 1 - MatchHistory'!$J:$J,MATCH(1,('Season 1 - MatchHistory'!$B:$B=$A31)*('Season 1 - MatchHistory'!$J:$J&lt;&gt;""),0))</f>
        <v/>
      </c>
    </row>
    <row r="32" ht="22.5" customHeight="1" s="21">
      <c r="A32" s="14" t="inlineStr">
        <is>
          <t>Zangetsu</t>
        </is>
      </c>
      <c r="B32" s="14">
        <f>COUNTIFS('Season 1 - MatchHistory'!$B:$B, $A32, 'Season 1 - MatchHistory'!$C:$C, "Town")</f>
        <v/>
      </c>
      <c r="C32" s="14">
        <f>COUNTIFS('Season 1 - MatchHistory'!B:B, A32, 'Season 1 - MatchHistory'!C:C, "Town", 'Season 1 - MatchHistory'!D:D, "Win")</f>
        <v/>
      </c>
      <c r="D32" s="13">
        <f>IFERROR(__xludf.DUMMYFUNCTION("IF(EQ($B32, 0), TO_PERCENT(0), TO_PERCENT($C32/$B32))"),0.5)</f>
        <v/>
      </c>
      <c r="E32" s="14">
        <f>COUNTIFS('Season 1 - MatchHistory'!$B:$B, $A32, 'Season 1 - MatchHistory'!$C:$C, "Mafia")</f>
        <v/>
      </c>
      <c r="F32" s="14">
        <f>COUNTIFS('Season 1 - MatchHistory'!$B:$B, $A32, 'Season 1 - MatchHistory'!$C:$C, "Mafia", 'Season 1 - MatchHistory'!$D:$D, "Win")</f>
        <v/>
      </c>
      <c r="G32" s="13">
        <f>IFERROR(__xludf.DUMMYFUNCTION("TO_PERCENT(IFERROR($F32/$E32, 0))"),0.0)</f>
        <v/>
      </c>
      <c r="H32" s="13">
        <f>IFERROR(__xludf.DUMMYFUNCTION("TO_PERCENT(IFERROR(($F32+$C32)/($E32+$B32), 0))"),0.5)</f>
        <v/>
      </c>
      <c r="I32" s="11">
        <f t="array" ref="I32">INDEX('Season 1 - MatchHistory'!$G:$G,MATCH(1,('Season 1 - MatchHistory'!$B:$B=$A32)*('Season 1 - MatchHistory'!$G:$G&lt;&gt;""),0))</f>
        <v/>
      </c>
      <c r="J32" s="11">
        <f t="array" ref="J32">INDEX('Season 1 - MatchHistory'!$H:$H,MATCH(1,('Season 1 - MatchHistory'!$B:$B=$A32)*('Season 1 - MatchHistory'!$H:$H&lt;&gt;""),0))</f>
        <v/>
      </c>
      <c r="K32" s="12">
        <f t="array" ref="K32">INDEX('Season 1 - MatchHistory'!$J:$J,MATCH(1,('Season 1 - MatchHistory'!$B:$B=$A32)*('Season 1 - MatchHistory'!$J:$J&lt;&gt;""),0))</f>
        <v/>
      </c>
    </row>
    <row r="33" ht="22.5" customHeight="1" s="21">
      <c r="A33" s="14" t="inlineStr">
        <is>
          <t>CJ</t>
        </is>
      </c>
      <c r="B33" s="14">
        <f>COUNTIFS('Season 1 - MatchHistory'!$B:$B, $A33, 'Season 1 - MatchHistory'!$C:$C, "Town")</f>
        <v/>
      </c>
      <c r="C33" s="14">
        <f>COUNTIFS('Season 1 - MatchHistory'!B:B, A33, 'Season 1 - MatchHistory'!C:C, "Town", 'Season 1 - MatchHistory'!D:D, "Win")</f>
        <v/>
      </c>
      <c r="D33" s="13">
        <f>IFERROR(__xludf.DUMMYFUNCTION("IF(EQ($B33, 0), TO_PERCENT(0), TO_PERCENT($C33/$B33))"),0.5)</f>
        <v/>
      </c>
      <c r="E33" s="14">
        <f>COUNTIFS('Season 1 - MatchHistory'!$B:$B, $A33, 'Season 1 - MatchHistory'!$C:$C, "Mafia")</f>
        <v/>
      </c>
      <c r="F33" s="14">
        <f>COUNTIFS('Season 1 - MatchHistory'!$B:$B, $A33, 'Season 1 - MatchHistory'!$C:$C, "Mafia", 'Season 1 - MatchHistory'!$D:$D, "Win")</f>
        <v/>
      </c>
      <c r="G33" s="13">
        <f>IFERROR(__xludf.DUMMYFUNCTION("TO_PERCENT(IFERROR($F33/$E33, 0))"),0.6666666666666666)</f>
        <v/>
      </c>
      <c r="H33" s="13">
        <f>IFERROR(__xludf.DUMMYFUNCTION("TO_PERCENT(IFERROR(($F33+$C33)/($E33+$B33), 0))"),0.6)</f>
        <v/>
      </c>
      <c r="I33" s="11">
        <f t="array" ref="I33">INDEX('Season 1 - MatchHistory'!$G:$G,MATCH(1,('Season 1 - MatchHistory'!$B:$B=$A33)*('Season 1 - MatchHistory'!$G:$G&lt;&gt;""),0))</f>
        <v/>
      </c>
      <c r="J33" s="11">
        <f t="array" ref="J33">INDEX('Season 1 - MatchHistory'!$H:$H,MATCH(1,('Season 1 - MatchHistory'!$B:$B=$A33)*('Season 1 - MatchHistory'!$H:$H&lt;&gt;""),0))</f>
        <v/>
      </c>
      <c r="K33" s="12">
        <f t="array" ref="K33">INDEX('Season 1 - MatchHistory'!$J:$J,MATCH(1,('Season 1 - MatchHistory'!$B:$B=$A33)*('Season 1 - MatchHistory'!$J:$J&lt;&gt;""),0))</f>
        <v/>
      </c>
    </row>
    <row r="34" ht="22.5" customHeight="1" s="21">
      <c r="A34" s="14" t="inlineStr">
        <is>
          <t>Kaelten</t>
        </is>
      </c>
      <c r="B34" s="14">
        <f>COUNTIFS('Season 1 - MatchHistory'!$B:$B, $A34, 'Season 1 - MatchHistory'!$C:$C, "Town")</f>
        <v/>
      </c>
      <c r="C34" s="14">
        <f>COUNTIFS('Season 1 - MatchHistory'!B:B, A34, 'Season 1 - MatchHistory'!C:C, "Town", 'Season 1 - MatchHistory'!D:D, "Win")</f>
        <v/>
      </c>
      <c r="D34" s="13">
        <f>IFERROR(__xludf.DUMMYFUNCTION("IF(EQ($B34, 0), TO_PERCENT(0), TO_PERCENT($C34/$B34))"),0.0)</f>
        <v/>
      </c>
      <c r="E34" s="14">
        <f>COUNTIFS('Season 1 - MatchHistory'!$B:$B, $A34, 'Season 1 - MatchHistory'!$C:$C, "Mafia")</f>
        <v/>
      </c>
      <c r="F34" s="14">
        <f>COUNTIFS('Season 1 - MatchHistory'!$B:$B, $A34, 'Season 1 - MatchHistory'!$C:$C, "Mafia", 'Season 1 - MatchHistory'!$D:$D, "Win")</f>
        <v/>
      </c>
      <c r="G34" s="13">
        <f>IFERROR(__xludf.DUMMYFUNCTION("TO_PERCENT(IFERROR($F34/$E34, 0))"),1.0)</f>
        <v/>
      </c>
      <c r="H34" s="13">
        <f>IFERROR(__xludf.DUMMYFUNCTION("TO_PERCENT(IFERROR(($F34+$C34)/($E34+$B34), 0))"),1.0)</f>
        <v/>
      </c>
      <c r="I34" s="11">
        <f t="array" ref="I34">INDEX('Season 1 - MatchHistory'!$G:$G,MATCH(1,('Season 1 - MatchHistory'!$B:$B=$A34)*('Season 1 - MatchHistory'!$G:$G&lt;&gt;""),0))</f>
        <v/>
      </c>
      <c r="J34" s="11">
        <f t="array" ref="J34">INDEX('Season 1 - MatchHistory'!$H:$H,MATCH(1,('Season 1 - MatchHistory'!$B:$B=$A34)*('Season 1 - MatchHistory'!$H:$H&lt;&gt;""),0))</f>
        <v/>
      </c>
      <c r="K34" s="12">
        <f t="array" ref="K34">INDEX('Season 1 - MatchHistory'!$J:$J,MATCH(1,('Season 1 - MatchHistory'!$B:$B=$A34)*('Season 1 - MatchHistory'!$J:$J&lt;&gt;""),0))</f>
        <v/>
      </c>
    </row>
    <row r="35" ht="22.5" customHeight="1" s="21">
      <c r="A35" s="14" t="inlineStr">
        <is>
          <t>Tulsa</t>
        </is>
      </c>
      <c r="B35" s="14">
        <f>COUNTIFS('Season 1 - MatchHistory'!$B:$B, $A35, 'Season 1 - MatchHistory'!$C:$C, "Town")</f>
        <v/>
      </c>
      <c r="C35" s="14">
        <f>COUNTIFS('Season 1 - MatchHistory'!B:B, A35, 'Season 1 - MatchHistory'!C:C, "Town", 'Season 1 - MatchHistory'!D:D, "Win")</f>
        <v/>
      </c>
      <c r="D35" s="13">
        <f>IFERROR(__xludf.DUMMYFUNCTION("IF(EQ($B35, 0), TO_PERCENT(0), TO_PERCENT($C35/$B35))"),0.0)</f>
        <v/>
      </c>
      <c r="E35" s="14">
        <f>COUNTIFS('Season 1 - MatchHistory'!$B:$B, $A35, 'Season 1 - MatchHistory'!$C:$C, "Mafia")</f>
        <v/>
      </c>
      <c r="F35" s="14">
        <f>COUNTIFS('Season 1 - MatchHistory'!$B:$B, $A35, 'Season 1 - MatchHistory'!$C:$C, "Mafia", 'Season 1 - MatchHistory'!$D:$D, "Win")</f>
        <v/>
      </c>
      <c r="G35" s="13">
        <f>IFERROR(__xludf.DUMMYFUNCTION("TO_PERCENT(IFERROR($F35/$E35, 0))"),1.0)</f>
        <v/>
      </c>
      <c r="H35" s="13">
        <f>IFERROR(__xludf.DUMMYFUNCTION("TO_PERCENT(IFERROR(($F35+$C35)/($E35+$B35), 0))"),1.0)</f>
        <v/>
      </c>
      <c r="I35" s="11">
        <f t="array" ref="I35">INDEX('Season 1 - MatchHistory'!$G:$G,MATCH(1,('Season 1 - MatchHistory'!$B:$B=$A35)*('Season 1 - MatchHistory'!$G:$G&lt;&gt;""),0))</f>
        <v/>
      </c>
      <c r="J35" s="11">
        <f t="array" ref="J35">INDEX('Season 1 - MatchHistory'!$H:$H,MATCH(1,('Season 1 - MatchHistory'!$B:$B=$A35)*('Season 1 - MatchHistory'!$H:$H&lt;&gt;""),0))</f>
        <v/>
      </c>
      <c r="K35" s="12">
        <f t="array" ref="K35">INDEX('Season 1 - MatchHistory'!$J:$J,MATCH(1,('Season 1 - MatchHistory'!$B:$B=$A35)*('Season 1 - MatchHistory'!$J:$J&lt;&gt;""),0))</f>
        <v/>
      </c>
    </row>
    <row r="36" ht="22.5" customHeight="1" s="21">
      <c r="A36" s="14" t="inlineStr">
        <is>
          <t>Plen</t>
        </is>
      </c>
      <c r="B36" s="14">
        <f>COUNTIFS('Season 1 - MatchHistory'!$B:$B, $A36, 'Season 1 - MatchHistory'!$C:$C, "Town")</f>
        <v/>
      </c>
      <c r="C36" s="14">
        <f>COUNTIFS('Season 1 - MatchHistory'!B:B, A36, 'Season 1 - MatchHistory'!C:C, "Town", 'Season 1 - MatchHistory'!D:D, "Win")</f>
        <v/>
      </c>
      <c r="D36" s="13">
        <f>IFERROR(__xludf.DUMMYFUNCTION("IF(EQ($B36, 0), TO_PERCENT(0), TO_PERCENT($C36/$B36))"),0.4)</f>
        <v/>
      </c>
      <c r="E36" s="14">
        <f>COUNTIFS('Season 1 - MatchHistory'!$B:$B, $A36, 'Season 1 - MatchHistory'!$C:$C, "Mafia")</f>
        <v/>
      </c>
      <c r="F36" s="14">
        <f>COUNTIFS('Season 1 - MatchHistory'!$B:$B, $A36, 'Season 1 - MatchHistory'!$C:$C, "Mafia", 'Season 1 - MatchHistory'!$D:$D, "Win")</f>
        <v/>
      </c>
      <c r="G36" s="13">
        <f>IFERROR(__xludf.DUMMYFUNCTION("TO_PERCENT(IFERROR($F36/$E36, 0))"),0.5)</f>
        <v/>
      </c>
      <c r="H36" s="13">
        <f>IFERROR(__xludf.DUMMYFUNCTION("TO_PERCENT(IFERROR(($F36+$C36)/($E36+$B36), 0))"),0.42857142857142855)</f>
        <v/>
      </c>
      <c r="I36" s="11">
        <f t="array" ref="I36">INDEX('Season 1 - MatchHistory'!$G:$G,MATCH(1,('Season 1 - MatchHistory'!$B:$B=$A36)*('Season 1 - MatchHistory'!$G:$G&lt;&gt;""),0))</f>
        <v/>
      </c>
      <c r="J36" s="11">
        <f t="array" ref="J36">INDEX('Season 1 - MatchHistory'!$H:$H,MATCH(1,('Season 1 - MatchHistory'!$B:$B=$A36)*('Season 1 - MatchHistory'!$H:$H&lt;&gt;""),0))</f>
        <v/>
      </c>
      <c r="K36" s="12">
        <f t="array" ref="K36">INDEX('Season 1 - MatchHistory'!$J:$J,MATCH(1,('Season 1 - MatchHistory'!$B:$B=$A36)*('Season 1 - MatchHistory'!$J:$J&lt;&gt;""),0))</f>
        <v/>
      </c>
    </row>
    <row r="37" ht="22.5" customHeight="1" s="21">
      <c r="A37" s="14" t="inlineStr">
        <is>
          <t>Shane</t>
        </is>
      </c>
      <c r="B37" s="14">
        <f>COUNTIFS('Season 1 - MatchHistory'!$B:$B, $A37, 'Season 1 - MatchHistory'!$C:$C, "Town")</f>
        <v/>
      </c>
      <c r="C37" s="14">
        <f>COUNTIFS('Season 1 - MatchHistory'!B:B, A37, 'Season 1 - MatchHistory'!C:C, "Town", 'Season 1 - MatchHistory'!D:D, "Win")</f>
        <v/>
      </c>
      <c r="D37" s="13">
        <f>IFERROR(__xludf.DUMMYFUNCTION("IF(EQ($B37, 0), TO_PERCENT(0), TO_PERCENT($C37/$B37))"),0.5)</f>
        <v/>
      </c>
      <c r="E37" s="14">
        <f>COUNTIFS('Season 1 - MatchHistory'!$B:$B, $A37, 'Season 1 - MatchHistory'!$C:$C, "Mafia")</f>
        <v/>
      </c>
      <c r="F37" s="14">
        <f>COUNTIFS('Season 1 - MatchHistory'!$B:$B, $A37, 'Season 1 - MatchHistory'!$C:$C, "Mafia", 'Season 1 - MatchHistory'!$D:$D, "Win")</f>
        <v/>
      </c>
      <c r="G37" s="13">
        <f>IFERROR(__xludf.DUMMYFUNCTION("TO_PERCENT(IFERROR($F37/$E37, 0))"),0.0)</f>
        <v/>
      </c>
      <c r="H37" s="13">
        <f>IFERROR(__xludf.DUMMYFUNCTION("TO_PERCENT(IFERROR(($F37+$C37)/($E37+$B37), 0))"),0.5)</f>
        <v/>
      </c>
      <c r="I37" s="11">
        <f t="array" ref="I37">INDEX('Season 1 - MatchHistory'!$G:$G,MATCH(1,('Season 1 - MatchHistory'!$B:$B=$A37)*('Season 1 - MatchHistory'!$G:$G&lt;&gt;""),0))</f>
        <v/>
      </c>
      <c r="J37" s="11">
        <f t="array" ref="J37">INDEX('Season 1 - MatchHistory'!$H:$H,MATCH(1,('Season 1 - MatchHistory'!$B:$B=$A37)*('Season 1 - MatchHistory'!$H:$H&lt;&gt;""),0))</f>
        <v/>
      </c>
      <c r="K37" s="12">
        <f t="array" ref="K37">INDEX('Season 1 - MatchHistory'!$J:$J,MATCH(1,('Season 1 - MatchHistory'!$B:$B=$A37)*('Season 1 - MatchHistory'!$J:$J&lt;&gt;""),0))</f>
        <v/>
      </c>
    </row>
    <row r="38" ht="22.5" customHeight="1" s="21">
      <c r="A38" s="14" t="inlineStr">
        <is>
          <t>Morty</t>
        </is>
      </c>
      <c r="B38" s="14">
        <f>COUNTIFS('Season 1 - MatchHistory'!$B:$B, $A38, 'Season 1 - MatchHistory'!$C:$C, "Town")</f>
        <v/>
      </c>
      <c r="C38" s="14">
        <f>COUNTIFS('Season 1 - MatchHistory'!B:B, A38, 'Season 1 - MatchHistory'!C:C, "Town", 'Season 1 - MatchHistory'!D:D, "Win")</f>
        <v/>
      </c>
      <c r="D38" s="13">
        <f>IFERROR(__xludf.DUMMYFUNCTION("IF(EQ($B38, 0), TO_PERCENT(0), TO_PERCENT($C38/$B38))"),0.5)</f>
        <v/>
      </c>
      <c r="E38" s="14">
        <f>COUNTIFS('Season 1 - MatchHistory'!$B:$B, $A38, 'Season 1 - MatchHistory'!$C:$C, "Mafia")</f>
        <v/>
      </c>
      <c r="F38" s="14">
        <f>COUNTIFS('Season 1 - MatchHistory'!$B:$B, $A38, 'Season 1 - MatchHistory'!$C:$C, "Mafia", 'Season 1 - MatchHistory'!$D:$D, "Win")</f>
        <v/>
      </c>
      <c r="G38" s="13">
        <f>IFERROR(__xludf.DUMMYFUNCTION("TO_PERCENT(IFERROR($F38/$E38, 0))"),0.0)</f>
        <v/>
      </c>
      <c r="H38" s="13">
        <f>IFERROR(__xludf.DUMMYFUNCTION("TO_PERCENT(IFERROR(($F38+$C38)/($E38+$B38), 0))"),0.5)</f>
        <v/>
      </c>
      <c r="I38" s="11">
        <f t="array" ref="I38">INDEX('Season 1 - MatchHistory'!$G:$G,MATCH(1,('Season 1 - MatchHistory'!$B:$B=$A38)*('Season 1 - MatchHistory'!$G:$G&lt;&gt;""),0))</f>
        <v/>
      </c>
      <c r="J38" s="11">
        <f t="array" ref="J38">INDEX('Season 1 - MatchHistory'!$H:$H,MATCH(1,('Season 1 - MatchHistory'!$B:$B=$A38)*('Season 1 - MatchHistory'!$H:$H&lt;&gt;""),0))</f>
        <v/>
      </c>
      <c r="K38" s="12">
        <f t="array" ref="K38">INDEX('Season 1 - MatchHistory'!$J:$J,MATCH(1,('Season 1 - MatchHistory'!$B:$B=$A38)*('Season 1 - MatchHistory'!$J:$J&lt;&gt;""),0))</f>
        <v/>
      </c>
    </row>
    <row r="39" ht="22.5" customHeight="1" s="21">
      <c r="A39" s="14" t="inlineStr">
        <is>
          <t>Hunter</t>
        </is>
      </c>
      <c r="B39" s="14">
        <f>COUNTIFS('Season 1 - MatchHistory'!$B:$B, $A39, 'Season 1 - MatchHistory'!$C:$C, "Town")</f>
        <v/>
      </c>
      <c r="C39" s="14">
        <f>COUNTIFS('Season 1 - MatchHistory'!B:B, A39, 'Season 1 - MatchHistory'!C:C, "Town", 'Season 1 - MatchHistory'!D:D, "Win")</f>
        <v/>
      </c>
      <c r="D39" s="13">
        <f>IFERROR(__xludf.DUMMYFUNCTION("IF(EQ($B39, 0), TO_PERCENT(0), TO_PERCENT($C39/$B39))"),0.3333333333333333)</f>
        <v/>
      </c>
      <c r="E39" s="14">
        <f>COUNTIFS('Season 1 - MatchHistory'!$B:$B, $A39, 'Season 1 - MatchHistory'!$C:$C, "Mafia")</f>
        <v/>
      </c>
      <c r="F39" s="14">
        <f>COUNTIFS('Season 1 - MatchHistory'!$B:$B, $A39, 'Season 1 - MatchHistory'!$C:$C, "Mafia", 'Season 1 - MatchHistory'!$D:$D, "Win")</f>
        <v/>
      </c>
      <c r="G39" s="13">
        <f>IFERROR(__xludf.DUMMYFUNCTION("TO_PERCENT(IFERROR($F39/$E39, 0))"),0.0)</f>
        <v/>
      </c>
      <c r="H39" s="13">
        <f>IFERROR(__xludf.DUMMYFUNCTION("TO_PERCENT(IFERROR(($F39+$C39)/($E39+$B39), 0))"),0.3333333333333333)</f>
        <v/>
      </c>
      <c r="I39" s="11">
        <f t="array" ref="I39">INDEX('Season 1 - MatchHistory'!$G:$G,MATCH(1,('Season 1 - MatchHistory'!$B:$B=$A39)*('Season 1 - MatchHistory'!$G:$G&lt;&gt;""),0))</f>
        <v/>
      </c>
      <c r="J39" s="11">
        <f t="array" ref="J39">INDEX('Season 1 - MatchHistory'!$H:$H,MATCH(1,('Season 1 - MatchHistory'!$B:$B=$A39)*('Season 1 - MatchHistory'!$H:$H&lt;&gt;""),0))</f>
        <v/>
      </c>
      <c r="K39" s="12">
        <f t="array" ref="K39">INDEX('Season 1 - MatchHistory'!$J:$J,MATCH(1,('Season 1 - MatchHistory'!$B:$B=$A39)*('Season 1 - MatchHistory'!$J:$J&lt;&gt;""),0))</f>
        <v/>
      </c>
    </row>
    <row r="40" ht="22.5" customHeight="1" s="21">
      <c r="A40" s="14" t="inlineStr">
        <is>
          <t>Levi</t>
        </is>
      </c>
      <c r="B40" s="14">
        <f>COUNTIFS('Season 1 - MatchHistory'!$B:$B, $A40, 'Season 1 - MatchHistory'!$C:$C, "Town")</f>
        <v/>
      </c>
      <c r="C40" s="14">
        <f>COUNTIFS('Season 1 - MatchHistory'!B:B, A40, 'Season 1 - MatchHistory'!C:C, "Town", 'Season 1 - MatchHistory'!D:D, "Win")</f>
        <v/>
      </c>
      <c r="D40" s="13">
        <f>IFERROR(__xludf.DUMMYFUNCTION("IF(EQ($B40, 0), TO_PERCENT(0), TO_PERCENT($C40/$B40))"),0.5)</f>
        <v/>
      </c>
      <c r="E40" s="14">
        <f>COUNTIFS('Season 1 - MatchHistory'!$B:$B, $A40, 'Season 1 - MatchHistory'!$C:$C, "Mafia")</f>
        <v/>
      </c>
      <c r="F40" s="14">
        <f>COUNTIFS('Season 1 - MatchHistory'!$B:$B, $A40, 'Season 1 - MatchHistory'!$C:$C, "Mafia", 'Season 1 - MatchHistory'!$D:$D, "Win")</f>
        <v/>
      </c>
      <c r="G40" s="13">
        <f>IFERROR(__xludf.DUMMYFUNCTION("TO_PERCENT(IFERROR($F40/$E40, 0))"),0.0)</f>
        <v/>
      </c>
      <c r="H40" s="13">
        <f>IFERROR(__xludf.DUMMYFUNCTION("TO_PERCENT(IFERROR(($F40+$C40)/($E40+$B40), 0))"),0.5)</f>
        <v/>
      </c>
      <c r="I40" s="11">
        <f t="array" ref="I40">INDEX('Season 1 - MatchHistory'!$G:$G,MATCH(1,('Season 1 - MatchHistory'!$B:$B=$A40)*('Season 1 - MatchHistory'!$G:$G&lt;&gt;""),0))</f>
        <v/>
      </c>
      <c r="J40" s="11">
        <f t="array" ref="J40">INDEX('Season 1 - MatchHistory'!$H:$H,MATCH(1,('Season 1 - MatchHistory'!$B:$B=$A40)*('Season 1 - MatchHistory'!$H:$H&lt;&gt;""),0))</f>
        <v/>
      </c>
      <c r="K40" s="12">
        <f t="array" ref="K40">INDEX('Season 1 - MatchHistory'!$J:$J,MATCH(1,('Season 1 - MatchHistory'!$B:$B=$A40)*('Season 1 - MatchHistory'!$J:$J&lt;&gt;""),0))</f>
        <v/>
      </c>
    </row>
    <row r="41" ht="22.5" customHeight="1" s="21">
      <c r="A41" s="14" t="inlineStr">
        <is>
          <t>Steep</t>
        </is>
      </c>
      <c r="B41" s="14">
        <f>COUNTIFS('Season 1 - MatchHistory'!$B:$B, $A41, 'Season 1 - MatchHistory'!$C:$C, "Town")</f>
        <v/>
      </c>
      <c r="C41" s="14">
        <f>COUNTIFS('Season 1 - MatchHistory'!B:B, A41, 'Season 1 - MatchHistory'!C:C, "Town", 'Season 1 - MatchHistory'!D:D, "Win")</f>
        <v/>
      </c>
      <c r="D41" s="13">
        <f>IFERROR(__xludf.DUMMYFUNCTION("IF(EQ($B41, 0), TO_PERCENT(0), TO_PERCENT($C41/$B41))"),0.25)</f>
        <v/>
      </c>
      <c r="E41" s="14">
        <f>COUNTIFS('Season 1 - MatchHistory'!$B:$B, $A41, 'Season 1 - MatchHistory'!$C:$C, "Mafia")</f>
        <v/>
      </c>
      <c r="F41" s="14">
        <f>COUNTIFS('Season 1 - MatchHistory'!$B:$B, $A41, 'Season 1 - MatchHistory'!$C:$C, "Mafia", 'Season 1 - MatchHistory'!$D:$D, "Win")</f>
        <v/>
      </c>
      <c r="G41" s="13">
        <f>IFERROR(__xludf.DUMMYFUNCTION("TO_PERCENT(IFERROR($F41/$E41, 0))"),1.0)</f>
        <v/>
      </c>
      <c r="H41" s="13">
        <f>IFERROR(__xludf.DUMMYFUNCTION("TO_PERCENT(IFERROR(($F41+$C41)/($E41+$B41), 0))"),0.4)</f>
        <v/>
      </c>
      <c r="I41" s="11">
        <f t="array" ref="I41">INDEX('Season 1 - MatchHistory'!$G:$G,MATCH(1,('Season 1 - MatchHistory'!$B:$B=$A41)*('Season 1 - MatchHistory'!$G:$G&lt;&gt;""),0))</f>
        <v/>
      </c>
      <c r="J41" s="11">
        <f t="array" ref="J41">INDEX('Season 1 - MatchHistory'!$H:$H,MATCH(1,('Season 1 - MatchHistory'!$B:$B=$A41)*('Season 1 - MatchHistory'!$H:$H&lt;&gt;""),0))</f>
        <v/>
      </c>
      <c r="K41" s="12">
        <f t="array" ref="K41">INDEX('Season 1 - MatchHistory'!$J:$J,MATCH(1,('Season 1 - MatchHistory'!$B:$B=$A41)*('Season 1 - MatchHistory'!$J:$J&lt;&gt;""),0))</f>
        <v/>
      </c>
    </row>
    <row r="42" ht="22.5" customHeight="1" s="21">
      <c r="A42" s="14" t="inlineStr">
        <is>
          <t>5up</t>
        </is>
      </c>
      <c r="B42" s="14">
        <f>COUNTIFS('Season 1 - MatchHistory'!$B:$B, $A42, 'Season 1 - MatchHistory'!$C:$C, "Town")</f>
        <v/>
      </c>
      <c r="C42" s="14">
        <f>COUNTIFS('Season 1 - MatchHistory'!B:B, A42, 'Season 1 - MatchHistory'!C:C, "Town", 'Season 1 - MatchHistory'!D:D, "Win")</f>
        <v/>
      </c>
      <c r="D42" s="13">
        <f>IFERROR(__xludf.DUMMYFUNCTION("IF(EQ($B42, 0), TO_PERCENT(0), TO_PERCENT($C42/$B42))"),0.3333333333333333)</f>
        <v/>
      </c>
      <c r="E42" s="14">
        <f>COUNTIFS('Season 1 - MatchHistory'!$B:$B, $A42, 'Season 1 - MatchHistory'!$C:$C, "Mafia")</f>
        <v/>
      </c>
      <c r="F42" s="14">
        <f>COUNTIFS('Season 1 - MatchHistory'!$B:$B, $A42, 'Season 1 - MatchHistory'!$C:$C, "Mafia", 'Season 1 - MatchHistory'!$D:$D, "Win")</f>
        <v/>
      </c>
      <c r="G42" s="13">
        <f>IFERROR(__xludf.DUMMYFUNCTION("TO_PERCENT(IFERROR($F42/$E42, 0))"),1.0)</f>
        <v/>
      </c>
      <c r="H42" s="13">
        <f>IFERROR(__xludf.DUMMYFUNCTION("TO_PERCENT(IFERROR(($F42+$C42)/($E42+$B42), 0))"),0.42857142857142855)</f>
        <v/>
      </c>
      <c r="I42" s="11">
        <f t="array" ref="I42">INDEX('Season 1 - MatchHistory'!$G:$G,MATCH(1,('Season 1 - MatchHistory'!$B:$B=$A42)*('Season 1 - MatchHistory'!$G:$G&lt;&gt;""),0))</f>
        <v/>
      </c>
      <c r="J42" s="11">
        <f t="array" ref="J42">INDEX('Season 1 - MatchHistory'!$H:$H,MATCH(1,('Season 1 - MatchHistory'!$B:$B=$A42)*('Season 1 - MatchHistory'!$H:$H&lt;&gt;""),0))</f>
        <v/>
      </c>
      <c r="K42" s="12">
        <f t="array" ref="K42">INDEX('Season 1 - MatchHistory'!$J:$J,MATCH(1,('Season 1 - MatchHistory'!$B:$B=$A42)*('Season 1 - MatchHistory'!$J:$J&lt;&gt;""),0))</f>
        <v/>
      </c>
    </row>
    <row r="43" ht="22.5" customHeight="1" s="21">
      <c r="A43" s="14" t="inlineStr">
        <is>
          <t>AsianSam</t>
        </is>
      </c>
      <c r="B43" s="14">
        <f>COUNTIFS('Season 1 - MatchHistory'!$B:$B, $A43, 'Season 1 - MatchHistory'!$C:$C, "Town")</f>
        <v/>
      </c>
      <c r="C43" s="14">
        <f>COUNTIFS('Season 1 - MatchHistory'!B:B, A43, 'Season 1 - MatchHistory'!C:C, "Town", 'Season 1 - MatchHistory'!D:D, "Win")</f>
        <v/>
      </c>
      <c r="D43" s="13">
        <f>IFERROR(__xludf.DUMMYFUNCTION("IF(EQ($B43, 0), TO_PERCENT(0), TO_PERCENT($C43/$B43))"),0.5)</f>
        <v/>
      </c>
      <c r="E43" s="14">
        <f>COUNTIFS('Season 1 - MatchHistory'!$B:$B, $A43, 'Season 1 - MatchHistory'!$C:$C, "Mafia")</f>
        <v/>
      </c>
      <c r="F43" s="14">
        <f>COUNTIFS('Season 1 - MatchHistory'!$B:$B, $A43, 'Season 1 - MatchHistory'!$C:$C, "Mafia", 'Season 1 - MatchHistory'!$D:$D, "Win")</f>
        <v/>
      </c>
      <c r="G43" s="13">
        <f>IFERROR(__xludf.DUMMYFUNCTION("TO_PERCENT(IFERROR($F43/$E43, 0))"),0.5)</f>
        <v/>
      </c>
      <c r="H43" s="13">
        <f>IFERROR(__xludf.DUMMYFUNCTION("TO_PERCENT(IFERROR(($F43+$C43)/($E43+$B43), 0))"),0.5)</f>
        <v/>
      </c>
      <c r="I43" s="11">
        <f t="array" ref="I43">INDEX('Season 1 - MatchHistory'!$G:$G,MATCH(1,('Season 1 - MatchHistory'!$B:$B=$A43)*('Season 1 - MatchHistory'!$G:$G&lt;&gt;""),0))</f>
        <v/>
      </c>
      <c r="J43" s="11">
        <f t="array" ref="J43">INDEX('Season 1 - MatchHistory'!$H:$H,MATCH(1,('Season 1 - MatchHistory'!$B:$B=$A43)*('Season 1 - MatchHistory'!$H:$H&lt;&gt;""),0))</f>
        <v/>
      </c>
      <c r="K43" s="12">
        <f t="array" ref="K43">INDEX('Season 1 - MatchHistory'!$J:$J,MATCH(1,('Season 1 - MatchHistory'!$B:$B=$A43)*('Season 1 - MatchHistory'!$J:$J&lt;&gt;""),0))</f>
        <v/>
      </c>
    </row>
    <row r="44" ht="22.5" customHeight="1" s="21">
      <c r="A44" s="14" t="inlineStr">
        <is>
          <t>Dani</t>
        </is>
      </c>
      <c r="B44" s="14">
        <f>COUNTIFS('Season 1 - MatchHistory'!$B:$B, $A44, 'Season 1 - MatchHistory'!$C:$C, "Town")</f>
        <v/>
      </c>
      <c r="C44" s="14">
        <f>COUNTIFS('Season 1 - MatchHistory'!B:B, A44, 'Season 1 - MatchHistory'!C:C, "Town", 'Season 1 - MatchHistory'!D:D, "Win")</f>
        <v/>
      </c>
      <c r="D44" s="13">
        <f>IFERROR(__xludf.DUMMYFUNCTION("IF(EQ($B44, 0), TO_PERCENT(0), TO_PERCENT($C44/$B44))"),0.5)</f>
        <v/>
      </c>
      <c r="E44" s="14">
        <f>COUNTIFS('Season 1 - MatchHistory'!$B:$B, $A44, 'Season 1 - MatchHistory'!$C:$C, "Mafia")</f>
        <v/>
      </c>
      <c r="F44" s="14">
        <f>COUNTIFS('Season 1 - MatchHistory'!$B:$B, $A44, 'Season 1 - MatchHistory'!$C:$C, "Mafia", 'Season 1 - MatchHistory'!$D:$D, "Win")</f>
        <v/>
      </c>
      <c r="G44" s="13">
        <f>IFERROR(__xludf.DUMMYFUNCTION("TO_PERCENT(IFERROR($F44/$E44, 0))"),0.6666666666666666)</f>
        <v/>
      </c>
      <c r="H44" s="13">
        <f>IFERROR(__xludf.DUMMYFUNCTION("TO_PERCENT(IFERROR(($F44+$C44)/($E44+$B44), 0))"),0.6)</f>
        <v/>
      </c>
      <c r="I44" s="11">
        <f t="array" ref="I44">INDEX('Season 1 - MatchHistory'!$G:$G,MATCH(1,('Season 1 - MatchHistory'!$B:$B=$A44)*('Season 1 - MatchHistory'!$G:$G&lt;&gt;""),0))</f>
        <v/>
      </c>
      <c r="J44" s="11">
        <f t="array" ref="J44">INDEX('Season 1 - MatchHistory'!$H:$H,MATCH(1,('Season 1 - MatchHistory'!$B:$B=$A44)*('Season 1 - MatchHistory'!$H:$H&lt;&gt;""),0))</f>
        <v/>
      </c>
      <c r="K44" s="12">
        <f t="array" ref="K44">INDEX('Season 1 - MatchHistory'!$J:$J,MATCH(1,('Season 1 - MatchHistory'!$B:$B=$A44)*('Season 1 - MatchHistory'!$J:$J&lt;&gt;""),0))</f>
        <v/>
      </c>
    </row>
    <row r="45" ht="22.5" customHeight="1" s="21">
      <c r="A45" s="14" t="inlineStr">
        <is>
          <t>Josh</t>
        </is>
      </c>
      <c r="B45" s="14">
        <f>COUNTIFS('Season 1 - MatchHistory'!$B:$B, $A45, 'Season 1 - MatchHistory'!$C:$C, "Town")</f>
        <v/>
      </c>
      <c r="C45" s="14">
        <f>COUNTIFS('Season 1 - MatchHistory'!B:B, A45, 'Season 1 - MatchHistory'!C:C, "Town", 'Season 1 - MatchHistory'!D:D, "Win")</f>
        <v/>
      </c>
      <c r="D45" s="13">
        <f>IFERROR(__xludf.DUMMYFUNCTION("IF(EQ($B45, 0), TO_PERCENT(0), TO_PERCENT($C45/$B45))"),0.3333333333333333)</f>
        <v/>
      </c>
      <c r="E45" s="14">
        <f>COUNTIFS('Season 1 - MatchHistory'!$B:$B, $A45, 'Season 1 - MatchHistory'!$C:$C, "Mafia")</f>
        <v/>
      </c>
      <c r="F45" s="14">
        <f>COUNTIFS('Season 1 - MatchHistory'!$B:$B, $A45, 'Season 1 - MatchHistory'!$C:$C, "Mafia", 'Season 1 - MatchHistory'!$D:$D, "Win")</f>
        <v/>
      </c>
      <c r="G45" s="13">
        <f>IFERROR(__xludf.DUMMYFUNCTION("TO_PERCENT(IFERROR($F45/$E45, 0))"),1.0)</f>
        <v/>
      </c>
      <c r="H45" s="13">
        <f>IFERROR(__xludf.DUMMYFUNCTION("TO_PERCENT(IFERROR(($F45+$C45)/($E45+$B45), 0))"),0.4)</f>
        <v/>
      </c>
      <c r="I45" s="11">
        <f t="array" ref="I45">INDEX('Season 1 - MatchHistory'!$G:$G,MATCH(1,('Season 1 - MatchHistory'!$B:$B=$A45)*('Season 1 - MatchHistory'!$G:$G&lt;&gt;""),0))</f>
        <v/>
      </c>
      <c r="J45" s="11">
        <f t="array" ref="J45">INDEX('Season 1 - MatchHistory'!$H:$H,MATCH(1,('Season 1 - MatchHistory'!$B:$B=$A45)*('Season 1 - MatchHistory'!$H:$H&lt;&gt;""),0))</f>
        <v/>
      </c>
      <c r="K45" s="12">
        <f t="array" ref="K45">INDEX('Season 1 - MatchHistory'!$J:$J,MATCH(1,('Season 1 - MatchHistory'!$B:$B=$A45)*('Season 1 - MatchHistory'!$J:$J&lt;&gt;""),0))</f>
        <v/>
      </c>
    </row>
    <row r="46" ht="22.5" customHeight="1" s="21">
      <c r="A46" s="14" t="inlineStr">
        <is>
          <t>Kowa</t>
        </is>
      </c>
      <c r="B46" s="14">
        <f>COUNTIFS('Season 1 - MatchHistory'!$B:$B, $A46, 'Season 1 - MatchHistory'!$C:$C, "Town")</f>
        <v/>
      </c>
      <c r="C46" s="14">
        <f>COUNTIFS('Season 1 - MatchHistory'!B:B, A46, 'Season 1 - MatchHistory'!C:C, "Town", 'Season 1 - MatchHistory'!D:D, "Win")</f>
        <v/>
      </c>
      <c r="D46" s="13">
        <f>IFERROR(__xludf.DUMMYFUNCTION("IF(EQ($B46, 0), TO_PERCENT(0), TO_PERCENT($C46/$B46))"),1.0)</f>
        <v/>
      </c>
      <c r="E46" s="14">
        <f>COUNTIFS('Season 1 - MatchHistory'!$B:$B, $A46, 'Season 1 - MatchHistory'!$C:$C, "Mafia")</f>
        <v/>
      </c>
      <c r="F46" s="14">
        <f>COUNTIFS('Season 1 - MatchHistory'!$B:$B, $A46, 'Season 1 - MatchHistory'!$C:$C, "Mafia", 'Season 1 - MatchHistory'!$D:$D, "Win")</f>
        <v/>
      </c>
      <c r="G46" s="13">
        <f>IFERROR(__xludf.DUMMYFUNCTION("TO_PERCENT(IFERROR($F46/$E46, 0))"),0.0)</f>
        <v/>
      </c>
      <c r="H46" s="13">
        <f>IFERROR(__xludf.DUMMYFUNCTION("TO_PERCENT(IFERROR(($F46+$C46)/($E46+$B46), 0))"),0.5)</f>
        <v/>
      </c>
      <c r="I46" s="11">
        <f t="array" ref="I46">INDEX('Season 1 - MatchHistory'!$G:$G,MATCH(1,('Season 1 - MatchHistory'!$B:$B=$A46)*('Season 1 - MatchHistory'!$G:$G&lt;&gt;""),0))</f>
        <v/>
      </c>
      <c r="J46" s="11">
        <f t="array" ref="J46">INDEX('Season 1 - MatchHistory'!$H:$H,MATCH(1,('Season 1 - MatchHistory'!$B:$B=$A46)*('Season 1 - MatchHistory'!$H:$H&lt;&gt;""),0))</f>
        <v/>
      </c>
      <c r="K46" s="12">
        <f t="array" ref="K46">INDEX('Season 1 - MatchHistory'!$J:$J,MATCH(1,('Season 1 - MatchHistory'!$B:$B=$A46)*('Season 1 - MatchHistory'!$J:$J&lt;&gt;""),0))</f>
        <v/>
      </c>
    </row>
    <row r="47" ht="22.5" customHeight="1" s="21">
      <c r="A47" s="14" t="inlineStr">
        <is>
          <t>23flash</t>
        </is>
      </c>
      <c r="B47" s="14">
        <f>COUNTIFS('Season 1 - MatchHistory'!$B:$B, $A47, 'Season 1 - MatchHistory'!$C:$C, "Town")</f>
        <v/>
      </c>
      <c r="C47" s="14">
        <f>COUNTIFS('Season 1 - MatchHistory'!B:B, A47, 'Season 1 - MatchHistory'!C:C, "Town", 'Season 1 - MatchHistory'!D:D, "Win")</f>
        <v/>
      </c>
      <c r="D47" s="13">
        <f>IFERROR(__xludf.DUMMYFUNCTION("IF(EQ($B47, 0), TO_PERCENT(0), TO_PERCENT($C47/$B47))"),0.3333333333333333)</f>
        <v/>
      </c>
      <c r="E47" s="14">
        <f>COUNTIFS('Season 1 - MatchHistory'!$B:$B, $A47, 'Season 1 - MatchHistory'!$C:$C, "Mafia")</f>
        <v/>
      </c>
      <c r="F47" s="14">
        <f>COUNTIFS('Season 1 - MatchHistory'!$B:$B, $A47, 'Season 1 - MatchHistory'!$C:$C, "Mafia", 'Season 1 - MatchHistory'!$D:$D, "Win")</f>
        <v/>
      </c>
      <c r="G47" s="13">
        <f>IFERROR(__xludf.DUMMYFUNCTION("TO_PERCENT(IFERROR($F47/$E47, 0))"),0.0)</f>
        <v/>
      </c>
      <c r="H47" s="13">
        <f>IFERROR(__xludf.DUMMYFUNCTION("TO_PERCENT(IFERROR(($F47+$C47)/($E47+$B47), 0))"),0.3333333333333333)</f>
        <v/>
      </c>
      <c r="I47" s="11">
        <f t="array" ref="I47">INDEX('Season 1 - MatchHistory'!$G:$G,MATCH(1,('Season 1 - MatchHistory'!$B:$B=$A47)*('Season 1 - MatchHistory'!$G:$G&lt;&gt;""),0))</f>
        <v/>
      </c>
      <c r="J47" s="11">
        <f t="array" ref="J47">INDEX('Season 1 - MatchHistory'!$H:$H,MATCH(1,('Season 1 - MatchHistory'!$B:$B=$A47)*('Season 1 - MatchHistory'!$H:$H&lt;&gt;""),0))</f>
        <v/>
      </c>
      <c r="K47" s="12">
        <f t="array" ref="K47">INDEX('Season 1 - MatchHistory'!$J:$J,MATCH(1,('Season 1 - MatchHistory'!$B:$B=$A47)*('Season 1 - MatchHistory'!$J:$J&lt;&gt;""),0))</f>
        <v/>
      </c>
    </row>
    <row r="48" ht="22.5" customHeight="1" s="21">
      <c r="A48" s="14" t="inlineStr">
        <is>
          <t>Brownkow</t>
        </is>
      </c>
      <c r="B48" s="14">
        <f>COUNTIFS('Season 1 - MatchHistory'!$B:$B, $A48, 'Season 1 - MatchHistory'!$C:$C, "Town")</f>
        <v/>
      </c>
      <c r="C48" s="14">
        <f>COUNTIFS('Season 1 - MatchHistory'!B:B, A48, 'Season 1 - MatchHistory'!C:C, "Town", 'Season 1 - MatchHistory'!D:D, "Win")</f>
        <v/>
      </c>
      <c r="D48" s="13">
        <f>IFERROR(__xludf.DUMMYFUNCTION("IF(EQ($B48, 0), TO_PERCENT(0), TO_PERCENT($C48/$B48))"),0.3333333333333333)</f>
        <v/>
      </c>
      <c r="E48" s="14">
        <f>COUNTIFS('Season 1 - MatchHistory'!$B:$B, $A48, 'Season 1 - MatchHistory'!$C:$C, "Mafia")</f>
        <v/>
      </c>
      <c r="F48" s="14">
        <f>COUNTIFS('Season 1 - MatchHistory'!$B:$B, $A48, 'Season 1 - MatchHistory'!$C:$C, "Mafia", 'Season 1 - MatchHistory'!$D:$D, "Win")</f>
        <v/>
      </c>
      <c r="G48" s="13">
        <f>IFERROR(__xludf.DUMMYFUNCTION("TO_PERCENT(IFERROR($F48/$E48, 0))"),0.0)</f>
        <v/>
      </c>
      <c r="H48" s="13">
        <f>IFERROR(__xludf.DUMMYFUNCTION("TO_PERCENT(IFERROR(($F48+$C48)/($E48+$B48), 0))"),0.3333333333333333)</f>
        <v/>
      </c>
      <c r="I48" s="11">
        <f t="array" ref="I48">INDEX('Season 1 - MatchHistory'!$G:$G,MATCH(1,('Season 1 - MatchHistory'!$B:$B=$A48)*('Season 1 - MatchHistory'!$G:$G&lt;&gt;""),0))</f>
        <v/>
      </c>
      <c r="J48" s="11">
        <f t="array" ref="J48">INDEX('Season 1 - MatchHistory'!$H:$H,MATCH(1,('Season 1 - MatchHistory'!$B:$B=$A48)*('Season 1 - MatchHistory'!$H:$H&lt;&gt;""),0))</f>
        <v/>
      </c>
      <c r="K48" s="12">
        <f t="array" ref="K48">INDEX('Season 1 - MatchHistory'!$J:$J,MATCH(1,('Season 1 - MatchHistory'!$B:$B=$A48)*('Season 1 - MatchHistory'!$J:$J&lt;&gt;""),0))</f>
        <v/>
      </c>
    </row>
    <row r="49" ht="22.5" customHeight="1" s="21">
      <c r="A49" s="14" t="inlineStr">
        <is>
          <t>Aro</t>
        </is>
      </c>
      <c r="B49" s="14">
        <f>COUNTIFS('Season 1 - MatchHistory'!$B:$B, $A49, 'Season 1 - MatchHistory'!$C:$C, "Town")</f>
        <v/>
      </c>
      <c r="C49" s="14">
        <f>COUNTIFS('Season 1 - MatchHistory'!B:B, A49, 'Season 1 - MatchHistory'!C:C, "Town", 'Season 1 - MatchHistory'!D:D, "Win")</f>
        <v/>
      </c>
      <c r="D49" s="13">
        <f>IFERROR(__xludf.DUMMYFUNCTION("IF(EQ($B49, 0), TO_PERCENT(0), TO_PERCENT($C49/$B49))"),0.0)</f>
        <v/>
      </c>
      <c r="E49" s="14">
        <f>COUNTIFS('Season 1 - MatchHistory'!$B:$B, $A49, 'Season 1 - MatchHistory'!$C:$C, "Mafia")</f>
        <v/>
      </c>
      <c r="F49" s="14">
        <f>COUNTIFS('Season 1 - MatchHistory'!$B:$B, $A49, 'Season 1 - MatchHistory'!$C:$C, "Mafia", 'Season 1 - MatchHistory'!$D:$D, "Win")</f>
        <v/>
      </c>
      <c r="G49" s="13">
        <f>IFERROR(__xludf.DUMMYFUNCTION("TO_PERCENT(IFERROR($F49/$E49, 0))"),1.0)</f>
        <v/>
      </c>
      <c r="H49" s="13">
        <f>IFERROR(__xludf.DUMMYFUNCTION("TO_PERCENT(IFERROR(($F49+$C49)/($E49+$B49), 0))"),0.5)</f>
        <v/>
      </c>
      <c r="I49" s="11">
        <f t="array" ref="I49">INDEX('Season 1 - MatchHistory'!$G:$G,MATCH(1,('Season 1 - MatchHistory'!$B:$B=$A49)*('Season 1 - MatchHistory'!$G:$G&lt;&gt;""),0))</f>
        <v/>
      </c>
      <c r="J49" s="11">
        <f t="array" ref="J49">INDEX('Season 1 - MatchHistory'!$H:$H,MATCH(1,('Season 1 - MatchHistory'!$B:$B=$A49)*('Season 1 - MatchHistory'!$H:$H&lt;&gt;""),0))</f>
        <v/>
      </c>
      <c r="K49" s="12">
        <f t="array" ref="K49">INDEX('Season 1 - MatchHistory'!$J:$J,MATCH(1,('Season 1 - MatchHistory'!$B:$B=$A49)*('Season 1 - MatchHistory'!$J:$J&lt;&gt;""),0))</f>
        <v/>
      </c>
    </row>
    <row r="50" ht="22.5" customHeight="1" s="21">
      <c r="A50" s="14" t="inlineStr">
        <is>
          <t>Vandy</t>
        </is>
      </c>
      <c r="B50" s="14">
        <f>COUNTIFS('Season 1 - MatchHistory'!$B:$B, $A50, 'Season 1 - MatchHistory'!$C:$C, "Town")</f>
        <v/>
      </c>
      <c r="C50" s="14">
        <f>COUNTIFS('Season 1 - MatchHistory'!B:B, A50, 'Season 1 - MatchHistory'!C:C, "Town", 'Season 1 - MatchHistory'!D:D, "Win")</f>
        <v/>
      </c>
      <c r="D50" s="13">
        <f>IFERROR(__xludf.DUMMYFUNCTION("IF(EQ($B50, 0), TO_PERCENT(0), TO_PERCENT($C50/$B50))"),0.5)</f>
        <v/>
      </c>
      <c r="E50" s="14">
        <f>COUNTIFS('Season 1 - MatchHistory'!$B:$B, $A50, 'Season 1 - MatchHistory'!$C:$C, "Mafia")</f>
        <v/>
      </c>
      <c r="F50" s="14">
        <f>COUNTIFS('Season 1 - MatchHistory'!$B:$B, $A50, 'Season 1 - MatchHistory'!$C:$C, "Mafia", 'Season 1 - MatchHistory'!$D:$D, "Win")</f>
        <v/>
      </c>
      <c r="G50" s="13">
        <f>IFERROR(__xludf.DUMMYFUNCTION("TO_PERCENT(IFERROR($F50/$E50, 0))"),0.5)</f>
        <v/>
      </c>
      <c r="H50" s="13">
        <f>IFERROR(__xludf.DUMMYFUNCTION("TO_PERCENT(IFERROR(($F50+$C50)/($E50+$B50), 0))"),0.5)</f>
        <v/>
      </c>
      <c r="I50" s="11">
        <f t="array" ref="I50">INDEX('Season 1 - MatchHistory'!$G:$G,MATCH(1,('Season 1 - MatchHistory'!$B:$B=$A50)*('Season 1 - MatchHistory'!$G:$G&lt;&gt;""),0))</f>
        <v/>
      </c>
      <c r="J50" s="11">
        <f t="array" ref="J50">INDEX('Season 1 - MatchHistory'!$H:$H,MATCH(1,('Season 1 - MatchHistory'!$B:$B=$A50)*('Season 1 - MatchHistory'!$H:$H&lt;&gt;""),0))</f>
        <v/>
      </c>
      <c r="K50" s="12">
        <f t="array" ref="K50">INDEX('Season 1 - MatchHistory'!$J:$J,MATCH(1,('Season 1 - MatchHistory'!$B:$B=$A50)*('Season 1 - MatchHistory'!$J:$J&lt;&gt;""),0))</f>
        <v/>
      </c>
      <c r="L50" s="19">
        <f>'Season 1 - MafiaRatings'!H:H</f>
        <v/>
      </c>
      <c r="M50" s="19">
        <f>'Season 1 - MafiaRatings'!I:I</f>
        <v/>
      </c>
      <c r="N50" s="19">
        <f>'Season 1 - MafiaRatings'!J:J</f>
        <v/>
      </c>
      <c r="O50" s="19">
        <f>'Season 1 - MafiaRatings'!K:K</f>
        <v/>
      </c>
      <c r="P50" s="19">
        <f>'Season 1 - MafiaRatings'!L:L</f>
        <v/>
      </c>
      <c r="Q50" s="19">
        <f>'Season 1 - MafiaRatings'!M:M</f>
        <v/>
      </c>
      <c r="R50" s="19">
        <f>'Season 1 - MafiaRatings'!N:N</f>
        <v/>
      </c>
      <c r="S50" s="19">
        <f>'Season 1 - MafiaRatings'!O:O</f>
        <v/>
      </c>
      <c r="T50" s="19">
        <f>'Season 1 - MafiaRatings'!P:P</f>
        <v/>
      </c>
      <c r="U50" s="19">
        <f>'Season 1 - MafiaRatings'!Q:Q</f>
        <v/>
      </c>
      <c r="V50" s="19">
        <f>'Season 1 - MafiaRatings'!R:R</f>
        <v/>
      </c>
      <c r="W50" s="19">
        <f>'Season 1 - MafiaRatings'!S:S</f>
        <v/>
      </c>
      <c r="X50" s="19">
        <f>'Season 1 - MafiaRatings'!T:T</f>
        <v/>
      </c>
      <c r="Y50" s="19">
        <f>'Season 1 - MafiaRatings'!U:U</f>
        <v/>
      </c>
      <c r="Z50" s="19">
        <f>'Season 1 - MafiaRatings'!V:V</f>
        <v/>
      </c>
      <c r="AA50" s="19">
        <f>'Season 1 - MafiaRatings'!W:W</f>
        <v/>
      </c>
      <c r="AB50" s="19">
        <f>'Season 1 - MafiaRatings'!X:X</f>
        <v/>
      </c>
      <c r="AC50" s="19">
        <f>'Season 1 - MafiaRatings'!Y:Y</f>
        <v/>
      </c>
      <c r="AD50" s="19">
        <f>'Season 1 - MafiaRatings'!Z:Z</f>
        <v/>
      </c>
      <c r="AE50" s="19">
        <f>'Season 1 - MafiaRatings'!AA:AA</f>
        <v/>
      </c>
    </row>
    <row r="51" ht="22.5" customHeight="1" s="21">
      <c r="A51" s="14" t="inlineStr">
        <is>
          <t>Happymeal</t>
        </is>
      </c>
      <c r="B51" s="14">
        <f>COUNTIFS('Season 1 - MatchHistory'!$B:$B, $A51, 'Season 1 - MatchHistory'!$C:$C, "Town")</f>
        <v/>
      </c>
      <c r="C51" s="14">
        <f>COUNTIFS('Season 1 - MatchHistory'!B:B, A51, 'Season 1 - MatchHistory'!C:C, "Town", 'Season 1 - MatchHistory'!D:D, "Win")</f>
        <v/>
      </c>
      <c r="D51" s="13">
        <f>IFERROR(__xludf.DUMMYFUNCTION("IF(EQ($B51, 0), TO_PERCENT(0), TO_PERCENT($C51/$B51))"),0.2727272727272727)</f>
        <v/>
      </c>
      <c r="E51" s="14">
        <f>COUNTIFS('Season 1 - MatchHistory'!$B:$B, $A51, 'Season 1 - MatchHistory'!$C:$C, "Mafia")</f>
        <v/>
      </c>
      <c r="F51" s="14">
        <f>COUNTIFS('Season 1 - MatchHistory'!$B:$B, $A51, 'Season 1 - MatchHistory'!$C:$C, "Mafia", 'Season 1 - MatchHistory'!$D:$D, "Win")</f>
        <v/>
      </c>
      <c r="G51" s="13">
        <f>IFERROR(__xludf.DUMMYFUNCTION("TO_PERCENT(IFERROR($F51/$E51, 0))"),1.0)</f>
        <v/>
      </c>
      <c r="H51" s="13">
        <f>IFERROR(__xludf.DUMMYFUNCTION("TO_PERCENT(IFERROR(($F51+$C51)/($E51+$B51), 0))"),0.3333333333333333)</f>
        <v/>
      </c>
      <c r="I51" s="11">
        <f t="array" ref="I51">INDEX('Season 1 - MatchHistory'!$G:$G,MATCH(1,('Season 1 - MatchHistory'!$B:$B=$A51)*('Season 1 - MatchHistory'!$G:$G&lt;&gt;""),0))</f>
        <v/>
      </c>
      <c r="J51" s="11">
        <f t="array" ref="J51">INDEX('Season 1 - MatchHistory'!$H:$H,MATCH(1,('Season 1 - MatchHistory'!$B:$B=$A51)*('Season 1 - MatchHistory'!$H:$H&lt;&gt;""),0))</f>
        <v/>
      </c>
      <c r="K51" s="12">
        <f t="array" ref="K51">INDEX('Season 1 - MatchHistory'!$J:$J,MATCH(1,('Season 1 - MatchHistory'!$B:$B=$A51)*('Season 1 - MatchHistory'!$J:$J&lt;&gt;""),0))</f>
        <v/>
      </c>
    </row>
    <row r="52" ht="22.5" customHeight="1" s="21">
      <c r="A52" s="14" t="inlineStr">
        <is>
          <t>Putinwalk</t>
        </is>
      </c>
      <c r="B52" s="14">
        <f>COUNTIFS('Season 1 - MatchHistory'!$B:$B, $A52, 'Season 1 - MatchHistory'!$C:$C, "Town")</f>
        <v/>
      </c>
      <c r="C52" s="14">
        <f>COUNTIFS('Season 1 - MatchHistory'!B:B, A52, 'Season 1 - MatchHistory'!C:C, "Town", 'Season 1 - MatchHistory'!D:D, "Win")</f>
        <v/>
      </c>
      <c r="D52" s="13">
        <f>IFERROR(__xludf.DUMMYFUNCTION("IF(EQ($B52, 0), TO_PERCENT(0), TO_PERCENT($C52/$B52))"),0.0)</f>
        <v/>
      </c>
      <c r="E52" s="14">
        <f>COUNTIFS('Season 1 - MatchHistory'!$B:$B, $A52, 'Season 1 - MatchHistory'!$C:$C, "Mafia")</f>
        <v/>
      </c>
      <c r="F52" s="14">
        <f>COUNTIFS('Season 1 - MatchHistory'!$B:$B, $A52, 'Season 1 - MatchHistory'!$C:$C, "Mafia", 'Season 1 - MatchHistory'!$D:$D, "Win")</f>
        <v/>
      </c>
      <c r="G52" s="13">
        <f>IFERROR(__xludf.DUMMYFUNCTION("TO_PERCENT(IFERROR($F52/$E52, 0))"),0.5)</f>
        <v/>
      </c>
      <c r="H52" s="13">
        <f>IFERROR(__xludf.DUMMYFUNCTION("TO_PERCENT(IFERROR(($F52+$C52)/($E52+$B52), 0))"),0.5)</f>
        <v/>
      </c>
      <c r="I52" s="11">
        <f t="array" ref="I52">INDEX('Season 1 - MatchHistory'!$G:$G,MATCH(1,('Season 1 - MatchHistory'!$B:$B=$A52)*('Season 1 - MatchHistory'!$G:$G&lt;&gt;""),0))</f>
        <v/>
      </c>
      <c r="J52" s="11">
        <f t="array" ref="J52">INDEX('Season 1 - MatchHistory'!$H:$H,MATCH(1,('Season 1 - MatchHistory'!$B:$B=$A52)*('Season 1 - MatchHistory'!$H:$H&lt;&gt;""),0))</f>
        <v/>
      </c>
      <c r="K52" s="12">
        <f t="array" ref="K52">INDEX('Season 1 - MatchHistory'!$J:$J,MATCH(1,('Season 1 - MatchHistory'!$B:$B=$A52)*('Season 1 - MatchHistory'!$J:$J&lt;&gt;""),0))</f>
        <v/>
      </c>
    </row>
    <row r="53" ht="22.5" customHeight="1" s="21">
      <c r="A53" s="14" t="inlineStr">
        <is>
          <t>Jared</t>
        </is>
      </c>
      <c r="B53" s="14">
        <f>COUNTIFS('Season 1 - MatchHistory'!$B:$B, $A53, 'Season 1 - MatchHistory'!$C:$C, "Town")</f>
        <v/>
      </c>
      <c r="C53" s="14">
        <f>COUNTIFS('Season 1 - MatchHistory'!B:B, A53, 'Season 1 - MatchHistory'!C:C, "Town", 'Season 1 - MatchHistory'!D:D, "Win")</f>
        <v/>
      </c>
      <c r="D53" s="13">
        <f>IFERROR(__xludf.DUMMYFUNCTION("IF(EQ($B53, 0), TO_PERCENT(0), TO_PERCENT($C53/$B53))"),0.0)</f>
        <v/>
      </c>
      <c r="E53" s="14">
        <f>COUNTIFS('Season 1 - MatchHistory'!$B:$B, $A53, 'Season 1 - MatchHistory'!$C:$C, "Mafia")</f>
        <v/>
      </c>
      <c r="F53" s="14">
        <f>COUNTIFS('Season 1 - MatchHistory'!$B:$B, $A53, 'Season 1 - MatchHistory'!$C:$C, "Mafia", 'Season 1 - MatchHistory'!$D:$D, "Win")</f>
        <v/>
      </c>
      <c r="G53" s="13">
        <f>IFERROR(__xludf.DUMMYFUNCTION("TO_PERCENT(IFERROR($F53/$E53, 0))"),1.0)</f>
        <v/>
      </c>
      <c r="H53" s="13">
        <f>IFERROR(__xludf.DUMMYFUNCTION("TO_PERCENT(IFERROR(($F53+$C53)/($E53+$B53), 0))"),0.5)</f>
        <v/>
      </c>
      <c r="I53" s="11">
        <f t="array" ref="I53">INDEX('Season 1 - MatchHistory'!$G:$G,MATCH(1,('Season 1 - MatchHistory'!$B:$B=$A53)*('Season 1 - MatchHistory'!$G:$G&lt;&gt;""),0))</f>
        <v/>
      </c>
      <c r="J53" s="11">
        <f t="array" ref="J53">INDEX('Season 1 - MatchHistory'!$H:$H,MATCH(1,('Season 1 - MatchHistory'!$B:$B=$A53)*('Season 1 - MatchHistory'!$H:$H&lt;&gt;""),0))</f>
        <v/>
      </c>
      <c r="K53" s="12">
        <f t="array" ref="K53">INDEX('Season 1 - MatchHistory'!$J:$J,MATCH(1,('Season 1 - MatchHistory'!$B:$B=$A53)*('Season 1 - MatchHistory'!$J:$J&lt;&gt;""),0))</f>
        <v/>
      </c>
    </row>
    <row r="54" ht="22.5" customHeight="1" s="21">
      <c r="A54" s="14" t="inlineStr">
        <is>
          <t>Jojo</t>
        </is>
      </c>
      <c r="B54" s="14">
        <f>COUNTIFS('Season 1 - MatchHistory'!$B:$B, $A54, 'Season 1 - MatchHistory'!$C:$C, "Town")</f>
        <v/>
      </c>
      <c r="C54" s="14">
        <f>COUNTIFS('Season 1 - MatchHistory'!B:B, A54, 'Season 1 - MatchHistory'!C:C, "Town", 'Season 1 - MatchHistory'!D:D, "Win")</f>
        <v/>
      </c>
      <c r="D54" s="13">
        <f>IFERROR(__xludf.DUMMYFUNCTION("IF(EQ($B54, 0), TO_PERCENT(0), TO_PERCENT($C54/$B54))"),0.0)</f>
        <v/>
      </c>
      <c r="E54" s="14">
        <f>COUNTIFS('Season 1 - MatchHistory'!$B:$B, $A54, 'Season 1 - MatchHistory'!$C:$C, "Mafia")</f>
        <v/>
      </c>
      <c r="F54" s="14">
        <f>COUNTIFS('Season 1 - MatchHistory'!$B:$B, $A54, 'Season 1 - MatchHistory'!$C:$C, "Mafia", 'Season 1 - MatchHistory'!$D:$D, "Win")</f>
        <v/>
      </c>
      <c r="G54" s="13">
        <f>IFERROR(__xludf.DUMMYFUNCTION("TO_PERCENT(IFERROR($F54/$E54, 0))"),1.0)</f>
        <v/>
      </c>
      <c r="H54" s="13">
        <f>IFERROR(__xludf.DUMMYFUNCTION("TO_PERCENT(IFERROR(($F54+$C54)/($E54+$B54), 0))"),0.3333333333333333)</f>
        <v/>
      </c>
      <c r="I54" s="11">
        <f t="array" ref="I54">INDEX('Season 1 - MatchHistory'!$G:$G,MATCH(1,('Season 1 - MatchHistory'!$B:$B=$A54)*('Season 1 - MatchHistory'!$G:$G&lt;&gt;""),0))</f>
        <v/>
      </c>
      <c r="J54" s="11">
        <f t="array" ref="J54">INDEX('Season 1 - MatchHistory'!$H:$H,MATCH(1,('Season 1 - MatchHistory'!$B:$B=$A54)*('Season 1 - MatchHistory'!$H:$H&lt;&gt;""),0))</f>
        <v/>
      </c>
      <c r="K54" s="12">
        <f t="array" ref="K54">INDEX('Season 1 - MatchHistory'!$J:$J,MATCH(1,('Season 1 - MatchHistory'!$B:$B=$A54)*('Season 1 - MatchHistory'!$J:$J&lt;&gt;""),0))</f>
        <v/>
      </c>
    </row>
    <row r="55" ht="22.5" customHeight="1" s="21">
      <c r="A55" s="14" t="inlineStr">
        <is>
          <t>Rollo</t>
        </is>
      </c>
      <c r="B55" s="14">
        <f>COUNTIFS('Season 1 - MatchHistory'!$B:$B, $A55, 'Season 1 - MatchHistory'!$C:$C, "Town")</f>
        <v/>
      </c>
      <c r="C55" s="14">
        <f>COUNTIFS('Season 1 - MatchHistory'!B:B, A55, 'Season 1 - MatchHistory'!C:C, "Town", 'Season 1 - MatchHistory'!D:D, "Win")</f>
        <v/>
      </c>
      <c r="D55" s="13">
        <f>IFERROR(__xludf.DUMMYFUNCTION("IF(EQ($B55, 0), TO_PERCENT(0), TO_PERCENT($C55/$B55))"),0.0)</f>
        <v/>
      </c>
      <c r="E55" s="14">
        <f>COUNTIFS('Season 1 - MatchHistory'!$B:$B, $A55, 'Season 1 - MatchHistory'!$C:$C, "Mafia")</f>
        <v/>
      </c>
      <c r="F55" s="14">
        <f>COUNTIFS('Season 1 - MatchHistory'!$B:$B, $A55, 'Season 1 - MatchHistory'!$C:$C, "Mafia", 'Season 1 - MatchHistory'!$D:$D, "Win")</f>
        <v/>
      </c>
      <c r="G55" s="13">
        <f>IFERROR(__xludf.DUMMYFUNCTION("TO_PERCENT(IFERROR($F55/$E55, 0))"),1.0)</f>
        <v/>
      </c>
      <c r="H55" s="13">
        <f>IFERROR(__xludf.DUMMYFUNCTION("TO_PERCENT(IFERROR(($F55+$C55)/($E55+$B55), 0))"),0.3333333333333333)</f>
        <v/>
      </c>
      <c r="I55" s="11">
        <f t="array" ref="I55">INDEX('Season 1 - MatchHistory'!$G:$G,MATCH(1,('Season 1 - MatchHistory'!$B:$B=$A55)*('Season 1 - MatchHistory'!$G:$G&lt;&gt;""),0))</f>
        <v/>
      </c>
      <c r="J55" s="11">
        <f t="array" ref="J55">INDEX('Season 1 - MatchHistory'!$H:$H,MATCH(1,('Season 1 - MatchHistory'!$B:$B=$A55)*('Season 1 - MatchHistory'!$H:$H&lt;&gt;""),0))</f>
        <v/>
      </c>
      <c r="K55" s="12">
        <f t="array" ref="K55">INDEX('Season 1 - MatchHistory'!$J:$J,MATCH(1,('Season 1 - MatchHistory'!$B:$B=$A55)*('Season 1 - MatchHistory'!$J:$J&lt;&gt;""),0))</f>
        <v/>
      </c>
    </row>
    <row r="56" ht="22.5" customHeight="1" s="21">
      <c r="A56" s="14" t="inlineStr">
        <is>
          <t>Iln</t>
        </is>
      </c>
      <c r="B56" s="14">
        <f>COUNTIFS('Season 1 - MatchHistory'!$B:$B, $A56, 'Season 1 - MatchHistory'!$C:$C, "Town")</f>
        <v/>
      </c>
      <c r="C56" s="14">
        <f>COUNTIFS('Season 1 - MatchHistory'!B:B, A56, 'Season 1 - MatchHistory'!C:C, "Town", 'Season 1 - MatchHistory'!D:D, "Win")</f>
        <v/>
      </c>
      <c r="D56" s="13">
        <f>IFERROR(__xludf.DUMMYFUNCTION("IF(EQ($B56, 0), TO_PERCENT(0), TO_PERCENT($C56/$B56))"),1.0)</f>
        <v/>
      </c>
      <c r="E56" s="14">
        <f>COUNTIFS('Season 1 - MatchHistory'!$B:$B, $A56, 'Season 1 - MatchHistory'!$C:$C, "Mafia")</f>
        <v/>
      </c>
      <c r="F56" s="14">
        <f>COUNTIFS('Season 1 - MatchHistory'!$B:$B, $A56, 'Season 1 - MatchHistory'!$C:$C, "Mafia", 'Season 1 - MatchHistory'!$D:$D, "Win")</f>
        <v/>
      </c>
      <c r="G56" s="13">
        <f>IFERROR(__xludf.DUMMYFUNCTION("TO_PERCENT(IFERROR($F56/$E56, 0))"),0.0)</f>
        <v/>
      </c>
      <c r="H56" s="13">
        <f>IFERROR(__xludf.DUMMYFUNCTION("TO_PERCENT(IFERROR(($F56+$C56)/($E56+$B56), 0))"),0.5)</f>
        <v/>
      </c>
      <c r="I56" s="11">
        <f t="array" ref="I56">INDEX('Season 1 - MatchHistory'!$G:$G,MATCH(1,('Season 1 - MatchHistory'!$B:$B=$A56)*('Season 1 - MatchHistory'!$G:$G&lt;&gt;""),0))</f>
        <v/>
      </c>
      <c r="J56" s="11">
        <f t="array" ref="J56">INDEX('Season 1 - MatchHistory'!$H:$H,MATCH(1,('Season 1 - MatchHistory'!$B:$B=$A56)*('Season 1 - MatchHistory'!$H:$H&lt;&gt;""),0))</f>
        <v/>
      </c>
      <c r="K56" s="12">
        <f t="array" ref="K56">INDEX('Season 1 - MatchHistory'!$J:$J,MATCH(1,('Season 1 - MatchHistory'!$B:$B=$A56)*('Season 1 - MatchHistory'!$J:$J&lt;&gt;""),0))</f>
        <v/>
      </c>
    </row>
    <row r="57" ht="22.5" customHeight="1" s="21">
      <c r="A57" s="14" t="inlineStr">
        <is>
          <t>Wyz</t>
        </is>
      </c>
      <c r="B57" s="14">
        <f>COUNTIFS('Season 1 - MatchHistory'!$B:$B, $A57, 'Season 1 - MatchHistory'!$C:$C, "Town")</f>
        <v/>
      </c>
      <c r="C57" s="14">
        <f>COUNTIFS('Season 1 - MatchHistory'!B:B, A57, 'Season 1 - MatchHistory'!C:C, "Town", 'Season 1 - MatchHistory'!D:D, "Win")</f>
        <v/>
      </c>
      <c r="D57" s="13">
        <f>IFERROR(__xludf.DUMMYFUNCTION("IF(EQ($B57, 0), TO_PERCENT(0), TO_PERCENT($C57/$B57))"),0.0)</f>
        <v/>
      </c>
      <c r="E57" s="14">
        <f>COUNTIFS('Season 1 - MatchHistory'!$B:$B, $A57, 'Season 1 - MatchHistory'!$C:$C, "Mafia")</f>
        <v/>
      </c>
      <c r="F57" s="14">
        <f>COUNTIFS('Season 1 - MatchHistory'!$B:$B, $A57, 'Season 1 - MatchHistory'!$C:$C, "Mafia", 'Season 1 - MatchHistory'!$D:$D, "Win")</f>
        <v/>
      </c>
      <c r="G57" s="13">
        <f>IFERROR(__xludf.DUMMYFUNCTION("TO_PERCENT(IFERROR($F57/$E57, 0))"),0.0)</f>
        <v/>
      </c>
      <c r="H57" s="13">
        <f>IFERROR(__xludf.DUMMYFUNCTION("TO_PERCENT(IFERROR(($F57+$C57)/($E57+$B57), 0))"),0.0)</f>
        <v/>
      </c>
      <c r="I57" s="11">
        <f t="array" ref="I57">INDEX('Season 1 - MatchHistory'!$G:$G,MATCH(1,('Season 1 - MatchHistory'!$B:$B=$A57)*('Season 1 - MatchHistory'!$G:$G&lt;&gt;""),0))</f>
        <v/>
      </c>
      <c r="J57" s="11">
        <f t="array" ref="J57">INDEX('Season 1 - MatchHistory'!$H:$H,MATCH(1,('Season 1 - MatchHistory'!$B:$B=$A57)*('Season 1 - MatchHistory'!$H:$H&lt;&gt;""),0))</f>
        <v/>
      </c>
      <c r="K57" s="12">
        <f t="array" ref="K57">INDEX('Season 1 - MatchHistory'!$J:$J,MATCH(1,('Season 1 - MatchHistory'!$B:$B=$A57)*('Season 1 - MatchHistory'!$J:$J&lt;&gt;""),0))</f>
        <v/>
      </c>
    </row>
    <row r="58" ht="22.5" customHeight="1" s="21">
      <c r="A58" s="14" t="inlineStr">
        <is>
          <t>Duke</t>
        </is>
      </c>
      <c r="B58" s="14">
        <f>COUNTIFS('Season 1 - MatchHistory'!$B:$B, $A58, 'Season 1 - MatchHistory'!$C:$C, "Town")</f>
        <v/>
      </c>
      <c r="C58" s="14">
        <f>COUNTIFS('Season 1 - MatchHistory'!B:B, A58, 'Season 1 - MatchHistory'!C:C, "Town", 'Season 1 - MatchHistory'!D:D, "Win")</f>
        <v/>
      </c>
      <c r="D58" s="13">
        <f>IFERROR(__xludf.DUMMYFUNCTION("IF(EQ($B58, 0), TO_PERCENT(0), TO_PERCENT($C58/$B58))"),0.0)</f>
        <v/>
      </c>
      <c r="E58" s="14">
        <f>COUNTIFS('Season 1 - MatchHistory'!$B:$B, $A58, 'Season 1 - MatchHistory'!$C:$C, "Mafia")</f>
        <v/>
      </c>
      <c r="F58" s="14">
        <f>COUNTIFS('Season 1 - MatchHistory'!$B:$B, $A58, 'Season 1 - MatchHistory'!$C:$C, "Mafia", 'Season 1 - MatchHistory'!$D:$D, "Win")</f>
        <v/>
      </c>
      <c r="G58" s="13">
        <f>IFERROR(__xludf.DUMMYFUNCTION("TO_PERCENT(IFERROR($F58/$E58, 0))"),0.0)</f>
        <v/>
      </c>
      <c r="H58" s="13">
        <f>IFERROR(__xludf.DUMMYFUNCTION("TO_PERCENT(IFERROR(($F58+$C58)/($E58+$B58), 0))"),0.0)</f>
        <v/>
      </c>
      <c r="I58" s="11">
        <f t="array" ref="I58">INDEX('Season 1 - MatchHistory'!$G:$G,MATCH(1,('Season 1 - MatchHistory'!$B:$B=$A58)*('Season 1 - MatchHistory'!$G:$G&lt;&gt;""),0))</f>
        <v/>
      </c>
      <c r="J58" s="11">
        <f t="array" ref="J58">INDEX('Season 1 - MatchHistory'!$H:$H,MATCH(1,('Season 1 - MatchHistory'!$B:$B=$A58)*('Season 1 - MatchHistory'!$H:$H&lt;&gt;""),0))</f>
        <v/>
      </c>
      <c r="K58" s="12">
        <f t="array" ref="K58">INDEX('Season 1 - MatchHistory'!$J:$J,MATCH(1,('Season 1 - MatchHistory'!$B:$B=$A58)*('Season 1 - MatchHistory'!$J:$J&lt;&gt;""),0))</f>
        <v/>
      </c>
    </row>
    <row r="59" ht="22.5" customHeight="1" s="21">
      <c r="A59" s="14" t="inlineStr">
        <is>
          <t>Laura</t>
        </is>
      </c>
      <c r="B59" s="14">
        <f>COUNTIFS('Season 1 - MatchHistory'!$B:$B, $A59, 'Season 1 - MatchHistory'!$C:$C, "Town")</f>
        <v/>
      </c>
      <c r="C59" s="14">
        <f>COUNTIFS('Season 1 - MatchHistory'!B:B, A59, 'Season 1 - MatchHistory'!C:C, "Town", 'Season 1 - MatchHistory'!D:D, "Win")</f>
        <v/>
      </c>
      <c r="D59" s="13">
        <f>IFERROR(__xludf.DUMMYFUNCTION("IF(EQ($B59, 0), TO_PERCENT(0), TO_PERCENT($C59/$B59))"),0.5)</f>
        <v/>
      </c>
      <c r="E59" s="14">
        <f>COUNTIFS('Season 1 - MatchHistory'!$B:$B, $A59, 'Season 1 - MatchHistory'!$C:$C, "Mafia")</f>
        <v/>
      </c>
      <c r="F59" s="14">
        <f>COUNTIFS('Season 1 - MatchHistory'!$B:$B, $A59, 'Season 1 - MatchHistory'!$C:$C, "Mafia", 'Season 1 - MatchHistory'!$D:$D, "Win")</f>
        <v/>
      </c>
      <c r="G59" s="13">
        <f>IFERROR(__xludf.DUMMYFUNCTION("TO_PERCENT(IFERROR($F59/$E59, 0))"),0.0)</f>
        <v/>
      </c>
      <c r="H59" s="13">
        <f>IFERROR(__xludf.DUMMYFUNCTION("TO_PERCENT(IFERROR(($F59+$C59)/($E59+$B59), 0))"),0.3333333333333333)</f>
        <v/>
      </c>
      <c r="I59" s="11">
        <f t="array" ref="I59">INDEX('Season 1 - MatchHistory'!$G:$G,MATCH(1,('Season 1 - MatchHistory'!$B:$B=$A59)*('Season 1 - MatchHistory'!$G:$G&lt;&gt;""),0))</f>
        <v/>
      </c>
      <c r="J59" s="11">
        <f t="array" ref="J59">INDEX('Season 1 - MatchHistory'!$H:$H,MATCH(1,('Season 1 - MatchHistory'!$B:$B=$A59)*('Season 1 - MatchHistory'!$H:$H&lt;&gt;""),0))</f>
        <v/>
      </c>
      <c r="K59" s="12">
        <f t="array" ref="K59">INDEX('Season 1 - MatchHistory'!$J:$J,MATCH(1,('Season 1 - MatchHistory'!$B:$B=$A59)*('Season 1 - MatchHistory'!$J:$J&lt;&gt;""),0))</f>
        <v/>
      </c>
    </row>
    <row r="60" ht="22.5" customHeight="1" s="21">
      <c r="A60" s="14" t="inlineStr">
        <is>
          <t>Brady</t>
        </is>
      </c>
      <c r="B60" s="14">
        <f>COUNTIFS('Season 1 - MatchHistory'!$B:$B, $A60, 'Season 1 - MatchHistory'!$C:$C, "Town")</f>
        <v/>
      </c>
      <c r="C60" s="14">
        <f>COUNTIFS('Season 1 - MatchHistory'!B:B, A60, 'Season 1 - MatchHistory'!C:C, "Town", 'Season 1 - MatchHistory'!D:D, "Win")</f>
        <v/>
      </c>
      <c r="D60" s="13">
        <f>IFERROR(__xludf.DUMMYFUNCTION("IF(EQ($B60, 0), TO_PERCENT(0), TO_PERCENT($C60/$B60))"),0.0)</f>
        <v/>
      </c>
      <c r="E60" s="14">
        <f>COUNTIFS('Season 1 - MatchHistory'!$B:$B, $A60, 'Season 1 - MatchHistory'!$C:$C, "Mafia")</f>
        <v/>
      </c>
      <c r="F60" s="14">
        <f>COUNTIFS('Season 1 - MatchHistory'!$B:$B, $A60, 'Season 1 - MatchHistory'!$C:$C, "Mafia", 'Season 1 - MatchHistory'!$D:$D, "Win")</f>
        <v/>
      </c>
      <c r="G60" s="13">
        <f>IFERROR(__xludf.DUMMYFUNCTION("TO_PERCENT(IFERROR($F60/$E60, 0))"),0.0)</f>
        <v/>
      </c>
      <c r="H60" s="13">
        <f>IFERROR(__xludf.DUMMYFUNCTION("TO_PERCENT(IFERROR(($F60+$C60)/($E60+$B60), 0))"),0.0)</f>
        <v/>
      </c>
      <c r="I60" s="11">
        <f t="array" ref="I60">INDEX('Season 1 - MatchHistory'!$G:$G,MATCH(1,('Season 1 - MatchHistory'!$B:$B=$A60)*('Season 1 - MatchHistory'!$G:$G&lt;&gt;""),0))</f>
        <v/>
      </c>
      <c r="J60" s="11">
        <f t="array" ref="J60">INDEX('Season 1 - MatchHistory'!$H:$H,MATCH(1,('Season 1 - MatchHistory'!$B:$B=$A60)*('Season 1 - MatchHistory'!$H:$H&lt;&gt;""),0))</f>
        <v/>
      </c>
      <c r="K60" s="12">
        <f t="array" ref="K60">INDEX('Season 1 - MatchHistory'!$J:$J,MATCH(1,('Season 1 - MatchHistory'!$B:$B=$A60)*('Season 1 - MatchHistory'!$J:$J&lt;&gt;""),0))</f>
        <v/>
      </c>
    </row>
    <row r="61" ht="22.5" customHeight="1" s="21">
      <c r="A61" s="14" t="inlineStr">
        <is>
          <t>Younguns</t>
        </is>
      </c>
      <c r="B61" s="14">
        <f>COUNTIFS('Season 1 - MatchHistory'!$B:$B, $A61, 'Season 1 - MatchHistory'!$C:$C, "Town")</f>
        <v/>
      </c>
      <c r="C61" s="14">
        <f>COUNTIFS('Season 1 - MatchHistory'!B:B, A61, 'Season 1 - MatchHistory'!C:C, "Town", 'Season 1 - MatchHistory'!D:D, "Win")</f>
        <v/>
      </c>
      <c r="D61" s="13">
        <f>IFERROR(__xludf.DUMMYFUNCTION("IF(EQ($B61, 0), TO_PERCENT(0), TO_PERCENT($C61/$B61))"),0.0)</f>
        <v/>
      </c>
      <c r="E61" s="14">
        <f>COUNTIFS('Season 1 - MatchHistory'!$B:$B, $A61, 'Season 1 - MatchHistory'!$C:$C, "Mafia")</f>
        <v/>
      </c>
      <c r="F61" s="14">
        <f>COUNTIFS('Season 1 - MatchHistory'!$B:$B, $A61, 'Season 1 - MatchHistory'!$C:$C, "Mafia", 'Season 1 - MatchHistory'!$D:$D, "Win")</f>
        <v/>
      </c>
      <c r="G61" s="13">
        <f>IFERROR(__xludf.DUMMYFUNCTION("TO_PERCENT(IFERROR($F61/$E61, 0))"),0.0)</f>
        <v/>
      </c>
      <c r="H61" s="13">
        <f>IFERROR(__xludf.DUMMYFUNCTION("TO_PERCENT(IFERROR(($F61+$C61)/($E61+$B61), 0))"),0.0)</f>
        <v/>
      </c>
      <c r="I61" s="11">
        <f t="array" ref="I61">INDEX('Season 1 - MatchHistory'!$G:$G,MATCH(1,('Season 1 - MatchHistory'!$B:$B=$A61)*('Season 1 - MatchHistory'!$G:$G&lt;&gt;""),0))</f>
        <v/>
      </c>
      <c r="J61" s="11">
        <f t="array" ref="J61">INDEX('Season 1 - MatchHistory'!$H:$H,MATCH(1,('Season 1 - MatchHistory'!$B:$B=$A61)*('Season 1 - MatchHistory'!$H:$H&lt;&gt;""),0))</f>
        <v/>
      </c>
      <c r="K61" s="12">
        <f t="array" ref="K61">INDEX('Season 1 - MatchHistory'!$J:$J,MATCH(1,('Season 1 - MatchHistory'!$B:$B=$A61)*('Season 1 - MatchHistory'!$J:$J&lt;&gt;""),0))</f>
        <v/>
      </c>
    </row>
    <row r="62" ht="22.5" customHeight="1" s="21">
      <c r="A62" s="14" t="inlineStr">
        <is>
          <t>Daniel</t>
        </is>
      </c>
      <c r="B62" s="14">
        <f>COUNTIFS('Season 1 - MatchHistory'!$B:$B, $A62, 'Season 1 - MatchHistory'!$C:$C, "Town")</f>
        <v/>
      </c>
      <c r="C62" s="14">
        <f>COUNTIFS('Season 1 - MatchHistory'!B:B, A62, 'Season 1 - MatchHistory'!C:C, "Town", 'Season 1 - MatchHistory'!D:D, "Win")</f>
        <v/>
      </c>
      <c r="D62" s="13">
        <f>IFERROR(__xludf.DUMMYFUNCTION("IF(EQ($B62, 0), TO_PERCENT(0), TO_PERCENT($C62/$B62))"),0.0)</f>
        <v/>
      </c>
      <c r="E62" s="14">
        <f>COUNTIFS('Season 1 - MatchHistory'!$B:$B, $A62, 'Season 1 - MatchHistory'!$C:$C, "Mafia")</f>
        <v/>
      </c>
      <c r="F62" s="14">
        <f>COUNTIFS('Season 1 - MatchHistory'!$B:$B, $A62, 'Season 1 - MatchHistory'!$C:$C, "Mafia", 'Season 1 - MatchHistory'!$D:$D, "Win")</f>
        <v/>
      </c>
      <c r="G62" s="13">
        <f>IFERROR(__xludf.DUMMYFUNCTION("TO_PERCENT(IFERROR($F62/$E62, 0))"),0.0)</f>
        <v/>
      </c>
      <c r="H62" s="13">
        <f>IFERROR(__xludf.DUMMYFUNCTION("TO_PERCENT(IFERROR(($F62+$C62)/($E62+$B62), 0))"),0.0)</f>
        <v/>
      </c>
      <c r="I62" s="11">
        <f t="array" ref="I62">INDEX('Season 1 - MatchHistory'!$G:$G,MATCH(1,('Season 1 - MatchHistory'!$B:$B=$A62)*('Season 1 - MatchHistory'!$G:$G&lt;&gt;""),0))</f>
        <v/>
      </c>
      <c r="J62" s="11">
        <f t="array" ref="J62">INDEX('Season 1 - MatchHistory'!$H:$H,MATCH(1,('Season 1 - MatchHistory'!$B:$B=$A62)*('Season 1 - MatchHistory'!$H:$H&lt;&gt;""),0))</f>
        <v/>
      </c>
      <c r="K62" s="12">
        <f t="array" ref="K62">INDEX('Season 1 - MatchHistory'!$J:$J,MATCH(1,('Season 1 - MatchHistory'!$B:$B=$A62)*('Season 1 - MatchHistory'!$J:$J&lt;&gt;""),0))</f>
        <v/>
      </c>
    </row>
    <row r="63" ht="22.5" customHeight="1" s="21">
      <c r="A63" s="14" t="inlineStr">
        <is>
          <t>Yuzu</t>
        </is>
      </c>
      <c r="B63" s="14">
        <f>COUNTIFS('Season 1 - MatchHistory'!$B:$B, $A63, 'Season 1 - MatchHistory'!$C:$C, "Town")</f>
        <v/>
      </c>
      <c r="C63" s="14">
        <f>COUNTIFS('Season 1 - MatchHistory'!B:B, A63, 'Season 1 - MatchHistory'!C:C, "Town", 'Season 1 - MatchHistory'!D:D, "Win")</f>
        <v/>
      </c>
      <c r="D63" s="13">
        <f>IFERROR(__xludf.DUMMYFUNCTION("IF(EQ($B63, 0), TO_PERCENT(0), TO_PERCENT($C63/$B63))"),0.0)</f>
        <v/>
      </c>
      <c r="E63" s="14">
        <f>COUNTIFS('Season 1 - MatchHistory'!$B:$B, $A63, 'Season 1 - MatchHistory'!$C:$C, "Mafia")</f>
        <v/>
      </c>
      <c r="F63" s="14">
        <f>COUNTIFS('Season 1 - MatchHistory'!$B:$B, $A63, 'Season 1 - MatchHistory'!$C:$C, "Mafia", 'Season 1 - MatchHistory'!$D:$D, "Win")</f>
        <v/>
      </c>
      <c r="G63" s="13">
        <f>IFERROR(__xludf.DUMMYFUNCTION("TO_PERCENT(IFERROR($F63/$E63, 0))"),0.0)</f>
        <v/>
      </c>
      <c r="H63" s="13">
        <f>IFERROR(__xludf.DUMMYFUNCTION("TO_PERCENT(IFERROR(($F63+$C63)/($E63+$B63), 0))"),0.0)</f>
        <v/>
      </c>
      <c r="I63" s="11">
        <f t="array" ref="I63">INDEX('Season 1 - MatchHistory'!$G:$G,MATCH(1,('Season 1 - MatchHistory'!$B:$B=$A63)*('Season 1 - MatchHistory'!$G:$G&lt;&gt;""),0))</f>
        <v/>
      </c>
      <c r="J63" s="11">
        <f t="array" ref="J63">INDEX('Season 1 - MatchHistory'!$H:$H,MATCH(1,('Season 1 - MatchHistory'!$B:$B=$A63)*('Season 1 - MatchHistory'!$H:$H&lt;&gt;""),0))</f>
        <v/>
      </c>
      <c r="K63" s="12">
        <f t="array" ref="K63">INDEX('Season 1 - MatchHistory'!$J:$J,MATCH(1,('Season 1 - MatchHistory'!$B:$B=$A63)*('Season 1 - MatchHistory'!$J:$J&lt;&gt;""),0))</f>
        <v/>
      </c>
    </row>
    <row r="64" ht="22.5" customHeight="1" s="21">
      <c r="A64" s="14" t="inlineStr">
        <is>
          <t>Drim</t>
        </is>
      </c>
      <c r="B64" s="14">
        <f>COUNTIFS('Season 1 - MatchHistory'!$B:$B, $A64, 'Season 1 - MatchHistory'!$C:$C, "Town")</f>
        <v/>
      </c>
      <c r="C64" s="14">
        <f>COUNTIFS('Season 1 - MatchHistory'!B:B, A64, 'Season 1 - MatchHistory'!C:C, "Town", 'Season 1 - MatchHistory'!D:D, "Win")</f>
        <v/>
      </c>
      <c r="D64" s="13">
        <f>IFERROR(__xludf.DUMMYFUNCTION("IF(EQ($B64, 0), TO_PERCENT(0), TO_PERCENT($C64/$B64))"),0.0)</f>
        <v/>
      </c>
      <c r="E64" s="14">
        <f>COUNTIFS('Season 1 - MatchHistory'!$B:$B, $A64, 'Season 1 - MatchHistory'!$C:$C, "Mafia")</f>
        <v/>
      </c>
      <c r="F64" s="14">
        <f>COUNTIFS('Season 1 - MatchHistory'!$B:$B, $A64, 'Season 1 - MatchHistory'!$C:$C, "Mafia", 'Season 1 - MatchHistory'!$D:$D, "Win")</f>
        <v/>
      </c>
      <c r="G64" s="13">
        <f>IFERROR(__xludf.DUMMYFUNCTION("TO_PERCENT(IFERROR($F64/$E64, 0))"),0.0)</f>
        <v/>
      </c>
      <c r="H64" s="13">
        <f>IFERROR(__xludf.DUMMYFUNCTION("TO_PERCENT(IFERROR(($F64+$C64)/($E64+$B64), 0))"),0.0)</f>
        <v/>
      </c>
      <c r="I64" s="11">
        <f t="array" ref="I64">INDEX('Season 1 - MatchHistory'!$G:$G,MATCH(1,('Season 1 - MatchHistory'!$B:$B=$A64)*('Season 1 - MatchHistory'!$G:$G&lt;&gt;""),0))</f>
        <v/>
      </c>
      <c r="J64" s="11">
        <f t="array" ref="J64">INDEX('Season 1 - MatchHistory'!$H:$H,MATCH(1,('Season 1 - MatchHistory'!$B:$B=$A64)*('Season 1 - MatchHistory'!$H:$H&lt;&gt;""),0))</f>
        <v/>
      </c>
      <c r="K64" s="12">
        <f t="array" ref="K64">INDEX('Season 1 - MatchHistory'!$J:$J,MATCH(1,('Season 1 - MatchHistory'!$B:$B=$A64)*('Season 1 - MatchHistory'!$J:$J&lt;&gt;""),0))</f>
        <v/>
      </c>
    </row>
    <row r="65" ht="22.5" customHeight="1" s="21">
      <c r="A65" s="14" t="inlineStr">
        <is>
          <t>Emo</t>
        </is>
      </c>
      <c r="B65" s="14">
        <f>COUNTIFS('Season 1 - MatchHistory'!$B:$B, $A65, 'Season 1 - MatchHistory'!$C:$C, "Town")</f>
        <v/>
      </c>
      <c r="C65" s="14">
        <f>COUNTIFS('Season 1 - MatchHistory'!B:B, A65, 'Season 1 - MatchHistory'!C:C, "Town", 'Season 1 - MatchHistory'!D:D, "Win")</f>
        <v/>
      </c>
      <c r="D65" s="13">
        <f>IFERROR(__xludf.DUMMYFUNCTION("TO_PERCENT(IFERROR($C65/$B65, 0))"),0.0)</f>
        <v/>
      </c>
      <c r="E65" s="14">
        <f>COUNTIFS('Season 1 - MatchHistory'!$B:$B, $A65, 'Season 1 - MatchHistory'!$C:$C, "Mafia")</f>
        <v/>
      </c>
      <c r="F65" s="14">
        <f>COUNTIFS('Season 1 - MatchHistory'!$B:$B, $A65, 'Season 1 - MatchHistory'!$C:$C, "Mafia", 'Season 1 - MatchHistory'!$D:$D, "Win")</f>
        <v/>
      </c>
      <c r="G65" s="13">
        <f>IFERROR(__xludf.DUMMYFUNCTION("TO_PERCENT(IFERROR($F65/$E65, 0))"),0.0)</f>
        <v/>
      </c>
      <c r="H65" s="13">
        <f>IFERROR(__xludf.DUMMYFUNCTION("TO_PERCENT(IFERROR(($F65+$C65)/($E65+$B65), 0))"),0.0)</f>
        <v/>
      </c>
      <c r="I65" s="11">
        <f t="array" ref="I65">INDEX('Season 1 - MatchHistory'!$G:$G,MATCH(1,('Season 1 - MatchHistory'!$B:$B=$A65)*('Season 1 - MatchHistory'!$G:$G&lt;&gt;""),0))</f>
        <v/>
      </c>
      <c r="J65" s="11">
        <f t="array" ref="J65">INDEX('Season 1 - MatchHistory'!$H:$H,MATCH(1,('Season 1 - MatchHistory'!$B:$B=$A65)*('Season 1 - MatchHistory'!$H:$H&lt;&gt;""),0))</f>
        <v/>
      </c>
      <c r="K65" s="12">
        <f t="array" ref="K65">INDEX('Season 1 - MatchHistory'!$J:$J,MATCH(1,('Season 1 - MatchHistory'!$B:$B=$A65)*('Season 1 - MatchHistory'!$J:$J&lt;&gt;""),0))</f>
        <v/>
      </c>
    </row>
    <row r="66" ht="22.5" customHeight="1" s="21">
      <c r="A66" s="14" t="inlineStr">
        <is>
          <t>Tambo</t>
        </is>
      </c>
      <c r="B66" s="14">
        <f>COUNTIFS('Season 1 - MatchHistory'!$B:$B, $A66, 'Season 1 - MatchHistory'!$C:$C, "Town")</f>
        <v/>
      </c>
      <c r="C66" s="14">
        <f>COUNTIFS('Season 1 - MatchHistory'!B:B, A66, 'Season 1 - MatchHistory'!C:C, "Town", 'Season 1 - MatchHistory'!D:D, "Win")</f>
        <v/>
      </c>
      <c r="D66" s="13">
        <f>IFERROR(__xludf.DUMMYFUNCTION("IF(EQ($B66, 0), TO_PERCENT(0), TO_PERCENT($C66/$B66))"),0.0)</f>
        <v/>
      </c>
      <c r="E66" s="14">
        <f>COUNTIFS('Season 1 - MatchHistory'!$B:$B, $A66, 'Season 1 - MatchHistory'!$C:$C, "Mafia")</f>
        <v/>
      </c>
      <c r="F66" s="14">
        <f>COUNTIFS('Season 1 - MatchHistory'!$B:$B, $A66, 'Season 1 - MatchHistory'!$C:$C, "Mafia", 'Season 1 - MatchHistory'!$D:$D, "Win")</f>
        <v/>
      </c>
      <c r="G66" s="13">
        <f>IFERROR(__xludf.DUMMYFUNCTION("TO_PERCENT(IFERROR($F66/$E66, 0))"),0.0)</f>
        <v/>
      </c>
      <c r="H66" s="13">
        <f>IFERROR(__xludf.DUMMYFUNCTION("TO_PERCENT(IFERROR(($F66+$C66)/($E66+$B66), 0))"),0.0)</f>
        <v/>
      </c>
      <c r="I66" s="11">
        <f t="array" ref="I66">INDEX('Season 1 - MatchHistory'!$G:$G,MATCH(1,('Season 1 - MatchHistory'!$B:$B=$A66)*('Season 1 - MatchHistory'!$G:$G&lt;&gt;""),0))</f>
        <v/>
      </c>
      <c r="J66" s="11">
        <f t="array" ref="J66">INDEX('Season 1 - MatchHistory'!$H:$H,MATCH(1,('Season 1 - MatchHistory'!$B:$B=$A66)*('Season 1 - MatchHistory'!$H:$H&lt;&gt;""),0))</f>
        <v/>
      </c>
      <c r="K66" s="12">
        <f t="array" ref="K66">INDEX('Season 1 - MatchHistory'!$J:$J,MATCH(1,('Season 1 - MatchHistory'!$B:$B=$A66)*('Season 1 - MatchHistory'!$J:$J&lt;&gt;""),0))</f>
        <v/>
      </c>
    </row>
    <row r="67" ht="22.5" customHeight="1" s="21">
      <c r="A67" s="14" t="inlineStr">
        <is>
          <t>Sam A</t>
        </is>
      </c>
      <c r="B67" s="14">
        <f>COUNTIFS('Season 1 - MatchHistory'!$B:$B, $A67, 'Season 1 - MatchHistory'!$C:$C, "Town")</f>
        <v/>
      </c>
      <c r="C67" s="14">
        <f>COUNTIFS('Season 1 - MatchHistory'!B:B, A67, 'Season 1 - MatchHistory'!C:C, "Town", 'Season 1 - MatchHistory'!D:D, "Win")</f>
        <v/>
      </c>
      <c r="D67" s="13">
        <f>IFERROR(__xludf.DUMMYFUNCTION("IF(EQ($B67, 0), TO_PERCENT(0), TO_PERCENT($C67/$B67))"),0.0)</f>
        <v/>
      </c>
      <c r="E67" s="14">
        <f>COUNTIFS('Season 1 - MatchHistory'!$B:$B, $A67, 'Season 1 - MatchHistory'!$C:$C, "Mafia")</f>
        <v/>
      </c>
      <c r="F67" s="14">
        <f>COUNTIFS('Season 1 - MatchHistory'!$B:$B, $A67, 'Season 1 - MatchHistory'!$C:$C, "Mafia", 'Season 1 - MatchHistory'!$D:$D, "Win")</f>
        <v/>
      </c>
      <c r="G67" s="13">
        <f>IFERROR(__xludf.DUMMYFUNCTION("TO_PERCENT(IFERROR($F67/$E67, 0))"),0.0)</f>
        <v/>
      </c>
      <c r="H67" s="13">
        <f>IFERROR(__xludf.DUMMYFUNCTION("TO_PERCENT(IFERROR(($F67+$C67)/($E67+$B67), 0))"),0.0)</f>
        <v/>
      </c>
      <c r="I67" s="11">
        <f t="array" ref="I67">INDEX('Season 1 - MatchHistory'!$G:$G,MATCH(1,('Season 1 - MatchHistory'!$B:$B=$A67)*('Season 1 - MatchHistory'!$G:$G&lt;&gt;""),0))</f>
        <v/>
      </c>
      <c r="J67" s="11">
        <f t="array" ref="J67">INDEX('Season 1 - MatchHistory'!$H:$H,MATCH(1,('Season 1 - MatchHistory'!$B:$B=$A67)*('Season 1 - MatchHistory'!$H:$H&lt;&gt;""),0))</f>
        <v/>
      </c>
      <c r="K67" s="12">
        <f t="array" ref="K67">INDEX('Season 1 - MatchHistory'!$J:$J,MATCH(1,('Season 1 - MatchHistory'!$B:$B=$A67)*('Season 1 - MatchHistory'!$J:$J&lt;&gt;""),0))</f>
        <v/>
      </c>
    </row>
    <row r="68" ht="22.5" customHeight="1" s="21">
      <c r="A68" s="14" t="inlineStr">
        <is>
          <t>Coffee</t>
        </is>
      </c>
      <c r="B68" s="14">
        <f>COUNTIFS('Season 1 - MatchHistory'!$B:$B, $A68, 'Season 1 - MatchHistory'!$C:$C, "Town")</f>
        <v/>
      </c>
      <c r="C68" s="14">
        <f>COUNTIFS('Season 1 - MatchHistory'!B:B, A68, 'Season 1 - MatchHistory'!C:C, "Town", 'Season 1 - MatchHistory'!D:D, "Win")</f>
        <v/>
      </c>
      <c r="D68" s="13">
        <f>IFERROR(__xludf.DUMMYFUNCTION("IF(EQ($B68, 0), TO_PERCENT(0), TO_PERCENT($C68/$B68))"),1.0)</f>
        <v/>
      </c>
      <c r="E68" s="14">
        <f>COUNTIFS('Season 1 - MatchHistory'!$B:$B, $A68, 'Season 1 - MatchHistory'!$C:$C, "Mafia")</f>
        <v/>
      </c>
      <c r="F68" s="14">
        <f>COUNTIFS('Season 1 - MatchHistory'!$B:$B, $A68, 'Season 1 - MatchHistory'!$C:$C, "Mafia", 'Season 1 - MatchHistory'!$D:$D, "Win")</f>
        <v/>
      </c>
      <c r="G68" s="13">
        <f>IFERROR(__xludf.DUMMYFUNCTION("TO_PERCENT(IFERROR($F68/$E68, 0))"),0.0)</f>
        <v/>
      </c>
      <c r="H68" s="13">
        <f>IFERROR(__xludf.DUMMYFUNCTION("TO_PERCENT(IFERROR(($F68+$C68)/($E68+$B68), 0))"),0.3333333333333333)</f>
        <v/>
      </c>
      <c r="I68" s="11">
        <f t="array" ref="I68">INDEX('Season 1 - MatchHistory'!$G:$G,MATCH(1,('Season 1 - MatchHistory'!$B:$B=$A68)*('Season 1 - MatchHistory'!$G:$G&lt;&gt;""),0))</f>
        <v/>
      </c>
      <c r="J68" s="11">
        <f t="array" ref="J68">INDEX('Season 1 - MatchHistory'!$H:$H,MATCH(1,('Season 1 - MatchHistory'!$B:$B=$A68)*('Season 1 - MatchHistory'!$H:$H&lt;&gt;""),0))</f>
        <v/>
      </c>
      <c r="K68" s="12">
        <f t="array" ref="K68">INDEX('Season 1 - MatchHistory'!$J:$J,MATCH(1,('Season 1 - MatchHistory'!$B:$B=$A68)*('Season 1 - MatchHistory'!$J:$J&lt;&gt;""),0))</f>
        <v/>
      </c>
    </row>
    <row r="69" ht="22.5" customHeight="1" s="21">
      <c r="A69" s="14" t="inlineStr">
        <is>
          <t>Robin</t>
        </is>
      </c>
      <c r="B69" s="14">
        <f>COUNTIFS('Season 1 - MatchHistory'!$B:$B, $A69, 'Season 1 - MatchHistory'!$C:$C, "Town")</f>
        <v/>
      </c>
      <c r="C69" s="14">
        <f>COUNTIFS('Season 1 - MatchHistory'!B:B, A69, 'Season 1 - MatchHistory'!C:C, "Town", 'Season 1 - MatchHistory'!D:D, "Win")</f>
        <v/>
      </c>
      <c r="D69" s="13">
        <f>IFERROR(__xludf.DUMMYFUNCTION("IF(EQ($B69, 0), TO_PERCENT(0), TO_PERCENT($C69/$B69))"),0.0)</f>
        <v/>
      </c>
      <c r="E69" s="14">
        <f>COUNTIFS('Season 1 - MatchHistory'!$B:$B, $A69, 'Season 1 - MatchHistory'!$C:$C, "Mafia")</f>
        <v/>
      </c>
      <c r="F69" s="14">
        <f>COUNTIFS('Season 1 - MatchHistory'!$B:$B, $A69, 'Season 1 - MatchHistory'!$C:$C, "Mafia", 'Season 1 - MatchHistory'!$D:$D, "Win")</f>
        <v/>
      </c>
      <c r="G69" s="13">
        <f>IFERROR(__xludf.DUMMYFUNCTION("TO_PERCENT(IFERROR($F69/$E69, 0))"),0.0)</f>
        <v/>
      </c>
      <c r="H69" s="13">
        <f>IFERROR(__xludf.DUMMYFUNCTION("TO_PERCENT(IFERROR(($F69+$C69)/($E69+$B69), 0))"),0.0)</f>
        <v/>
      </c>
      <c r="I69" s="11">
        <f t="array" ref="I69">INDEX('Season 1 - MatchHistory'!$G:$G,MATCH(1,('Season 1 - MatchHistory'!$B:$B=$A69)*('Season 1 - MatchHistory'!$G:$G&lt;&gt;""),0))</f>
        <v/>
      </c>
      <c r="J69" s="11">
        <f t="array" ref="J69">INDEX('Season 1 - MatchHistory'!$H:$H,MATCH(1,('Season 1 - MatchHistory'!$B:$B=$A69)*('Season 1 - MatchHistory'!$H:$H&lt;&gt;""),0))</f>
        <v/>
      </c>
      <c r="K69" s="12">
        <f t="array" ref="K69">INDEX('Season 1 - MatchHistory'!$J:$J,MATCH(1,('Season 1 - MatchHistory'!$B:$B=$A69)*('Season 1 - MatchHistory'!$J:$J&lt;&gt;""),0))</f>
        <v/>
      </c>
    </row>
    <row r="70" ht="22.5" customHeight="1" s="21">
      <c r="A70" s="14" t="inlineStr">
        <is>
          <t>Lovely</t>
        </is>
      </c>
      <c r="B70" s="14">
        <f>COUNTIFS('Season 1 - MatchHistory'!$B:$B, $A70, 'Season 1 - MatchHistory'!$C:$C, "Town")</f>
        <v/>
      </c>
      <c r="C70" s="14">
        <f>COUNTIFS('Season 1 - MatchHistory'!B:B, A70, 'Season 1 - MatchHistory'!C:C, "Town", 'Season 1 - MatchHistory'!D:D, "Win")</f>
        <v/>
      </c>
      <c r="D70" s="13">
        <f>IFERROR(__xludf.DUMMYFUNCTION("IF(EQ($B70, 0), TO_PERCENT(0), TO_PERCENT($C70/$B70))"),0.0)</f>
        <v/>
      </c>
      <c r="E70" s="14">
        <f>COUNTIFS('Season 1 - MatchHistory'!$B:$B, $A70, 'Season 1 - MatchHistory'!$C:$C, "Mafia")</f>
        <v/>
      </c>
      <c r="F70" s="14">
        <f>COUNTIFS('Season 1 - MatchHistory'!$B:$B, $A70, 'Season 1 - MatchHistory'!$C:$C, "Mafia", 'Season 1 - MatchHistory'!$D:$D, "Win")</f>
        <v/>
      </c>
      <c r="G70" s="13">
        <f>IFERROR(__xludf.DUMMYFUNCTION("TO_PERCENT(IFERROR($F70/$E70, 0))"),0.0)</f>
        <v/>
      </c>
      <c r="H70" s="13">
        <f>IFERROR(__xludf.DUMMYFUNCTION("TO_PERCENT(IFERROR(($F70+$C70)/($E70+$B70), 0))"),0.0)</f>
        <v/>
      </c>
      <c r="I70" s="11">
        <f t="array" ref="I70">INDEX('Season 1 - MatchHistory'!$G:$G,MATCH(1,('Season 1 - MatchHistory'!$B:$B=$A70)*('Season 1 - MatchHistory'!$G:$G&lt;&gt;""),0))</f>
        <v/>
      </c>
      <c r="J70" s="11">
        <f t="array" ref="J70">INDEX('Season 1 - MatchHistory'!$H:$H,MATCH(1,('Season 1 - MatchHistory'!$B:$B=$A70)*('Season 1 - MatchHistory'!$H:$H&lt;&gt;""),0))</f>
        <v/>
      </c>
      <c r="K70" s="12">
        <f t="array" ref="K70">INDEX('Season 1 - MatchHistory'!$J:$J,MATCH(1,('Season 1 - MatchHistory'!$B:$B=$A70)*('Season 1 - MatchHistory'!$J:$J&lt;&gt;""),0))</f>
        <v/>
      </c>
    </row>
    <row r="71" ht="22.5" customHeight="1" s="21">
      <c r="A71" s="14" t="inlineStr">
        <is>
          <t>Demon</t>
        </is>
      </c>
      <c r="B71" s="14">
        <f>COUNTIFS('Season 1 - MatchHistory'!$B:$B, $A71, 'Season 1 - MatchHistory'!$C:$C, "Town")</f>
        <v/>
      </c>
      <c r="C71" s="14">
        <f>COUNTIFS('Season 1 - MatchHistory'!B:B, A71, 'Season 1 - MatchHistory'!C:C, "Town", 'Season 1 - MatchHistory'!D:D, "Win")</f>
        <v/>
      </c>
      <c r="D71" s="13">
        <f>IFERROR(__xludf.DUMMYFUNCTION("IF(EQ($B71, 0), TO_PERCENT(0), TO_PERCENT($C71/$B71))"),0.5)</f>
        <v/>
      </c>
      <c r="E71" s="14">
        <f>COUNTIFS('Season 1 - MatchHistory'!$B:$B, $A71, 'Season 1 - MatchHistory'!$C:$C, "Mafia")</f>
        <v/>
      </c>
      <c r="F71" s="14">
        <f>COUNTIFS('Season 1 - MatchHistory'!$B:$B, $A71, 'Season 1 - MatchHistory'!$C:$C, "Mafia", 'Season 1 - MatchHistory'!$D:$D, "Win")</f>
        <v/>
      </c>
      <c r="G71" s="13">
        <f>IFERROR(__xludf.DUMMYFUNCTION("TO_PERCENT(IFERROR($F71/$E71, 0))"),0.0)</f>
        <v/>
      </c>
      <c r="H71" s="13">
        <f>IFERROR(__xludf.DUMMYFUNCTION("TO_PERCENT(IFERROR(($F71+$C71)/($E71+$B71), 0))"),0.3333333333333333)</f>
        <v/>
      </c>
      <c r="I71" s="11">
        <f t="array" ref="I71">INDEX('Season 1 - MatchHistory'!$G:$G,MATCH(1,('Season 1 - MatchHistory'!$B:$B=$A71)*('Season 1 - MatchHistory'!$G:$G&lt;&gt;""),0))</f>
        <v/>
      </c>
      <c r="J71" s="11">
        <f t="array" ref="J71">INDEX('Season 1 - MatchHistory'!$H:$H,MATCH(1,('Season 1 - MatchHistory'!$B:$B=$A71)*('Season 1 - MatchHistory'!$H:$H&lt;&gt;""),0))</f>
        <v/>
      </c>
      <c r="K71" s="12">
        <f t="array" ref="K71">INDEX('Season 1 - MatchHistory'!$J:$J,MATCH(1,('Season 1 - MatchHistory'!$B:$B=$A71)*('Season 1 - MatchHistory'!$J:$J&lt;&gt;""),0))</f>
        <v/>
      </c>
    </row>
    <row r="72" ht="22.5" customHeight="1" s="21">
      <c r="A72" s="14" t="inlineStr">
        <is>
          <t>QE</t>
        </is>
      </c>
      <c r="B72" s="14">
        <f>COUNTIFS('Season 1 - MatchHistory'!$B:$B, $A72, 'Season 1 - MatchHistory'!$C:$C, "Town")</f>
        <v/>
      </c>
      <c r="C72" s="14">
        <f>COUNTIFS('Season 1 - MatchHistory'!B:B, A72, 'Season 1 - MatchHistory'!C:C, "Town", 'Season 1 - MatchHistory'!D:D, "Win")</f>
        <v/>
      </c>
      <c r="D72" s="13">
        <f>IFERROR(__xludf.DUMMYFUNCTION("IF(EQ($B72, 0), TO_PERCENT(0), TO_PERCENT($C72/$B72))"),0.2857142857142857)</f>
        <v/>
      </c>
      <c r="E72" s="14">
        <f>COUNTIFS('Season 1 - MatchHistory'!$B:$B, $A72, 'Season 1 - MatchHistory'!$C:$C, "Mafia")</f>
        <v/>
      </c>
      <c r="F72" s="14">
        <f>COUNTIFS('Season 1 - MatchHistory'!$B:$B, $A72, 'Season 1 - MatchHistory'!$C:$C, "Mafia", 'Season 1 - MatchHistory'!$D:$D, "Win")</f>
        <v/>
      </c>
      <c r="G72" s="13">
        <f>IFERROR(__xludf.DUMMYFUNCTION("TO_PERCENT(IFERROR($F72/$E72, 0))"),0.0)</f>
        <v/>
      </c>
      <c r="H72" s="13">
        <f>IFERROR(__xludf.DUMMYFUNCTION("TO_PERCENT(IFERROR(($F72+$C72)/($E72+$B72), 0))"),0.2857142857142857)</f>
        <v/>
      </c>
      <c r="I72" s="11">
        <f t="array" ref="I72">INDEX('Season 1 - MatchHistory'!$G:$G,MATCH(1,('Season 1 - MatchHistory'!$B:$B=$A72)*('Season 1 - MatchHistory'!$G:$G&lt;&gt;""),0))</f>
        <v/>
      </c>
      <c r="J72" s="11">
        <f t="array" ref="J72">INDEX('Season 1 - MatchHistory'!$H:$H,MATCH(1,('Season 1 - MatchHistory'!$B:$B=$A72)*('Season 1 - MatchHistory'!$H:$H&lt;&gt;""),0))</f>
        <v/>
      </c>
      <c r="K72" s="12">
        <f t="array" ref="K72">INDEX('Season 1 - MatchHistory'!$J:$J,MATCH(1,('Season 1 - MatchHistory'!$B:$B=$A72)*('Season 1 - MatchHistory'!$J:$J&lt;&gt;""),0))</f>
        <v/>
      </c>
    </row>
    <row r="73" ht="22.5" customHeight="1" s="21">
      <c r="A73" s="14" t="inlineStr">
        <is>
          <t>Ramza</t>
        </is>
      </c>
      <c r="B73" s="14">
        <f>COUNTIFS('Season 1 - MatchHistory'!$B:$B, $A73, 'Season 1 - MatchHistory'!$C:$C, "Town")</f>
        <v/>
      </c>
      <c r="C73" s="14">
        <f>COUNTIFS('Season 1 - MatchHistory'!B:B, A73, 'Season 1 - MatchHistory'!C:C, "Town", 'Season 1 - MatchHistory'!D:D, "Win")</f>
        <v/>
      </c>
      <c r="D73" s="13">
        <f>IFERROR(__xludf.DUMMYFUNCTION("IF(EQ($B73, 0), TO_PERCENT(0), TO_PERCENT($C73/$B73))"),0.0)</f>
        <v/>
      </c>
      <c r="E73" s="14">
        <f>COUNTIFS('Season 1 - MatchHistory'!$B:$B, $A73, 'Season 1 - MatchHistory'!$C:$C, "Mafia")</f>
        <v/>
      </c>
      <c r="F73" s="14">
        <f>COUNTIFS('Season 1 - MatchHistory'!$B:$B, $A73, 'Season 1 - MatchHistory'!$C:$C, "Mafia", 'Season 1 - MatchHistory'!$D:$D, "Win")</f>
        <v/>
      </c>
      <c r="G73" s="13">
        <f>IFERROR(__xludf.DUMMYFUNCTION("TO_PERCENT(IFERROR($F73/$E73, 0))"),0.0)</f>
        <v/>
      </c>
      <c r="H73" s="13">
        <f>IFERROR(__xludf.DUMMYFUNCTION("TO_PERCENT(IFERROR(($F73+$C73)/($E73+$B73), 0))"),0.0)</f>
        <v/>
      </c>
      <c r="I73" s="11">
        <f t="array" ref="I73">INDEX('Season 1 - MatchHistory'!$G:$G,MATCH(1,('Season 1 - MatchHistory'!$B:$B=$A73)*('Season 1 - MatchHistory'!$G:$G&lt;&gt;""),0))</f>
        <v/>
      </c>
      <c r="J73" s="11">
        <f t="array" ref="J73">INDEX('Season 1 - MatchHistory'!$H:$H,MATCH(1,('Season 1 - MatchHistory'!$B:$B=$A73)*('Season 1 - MatchHistory'!$H:$H&lt;&gt;""),0))</f>
        <v/>
      </c>
      <c r="K73" s="12">
        <f t="array" ref="K73">INDEX('Season 1 - MatchHistory'!$J:$J,MATCH(1,('Season 1 - MatchHistory'!$B:$B=$A73)*('Season 1 - MatchHistory'!$J:$J&lt;&gt;""),0))</f>
        <v/>
      </c>
    </row>
    <row r="74" ht="22.5" customHeight="1" s="21">
      <c r="A74" s="14" t="inlineStr">
        <is>
          <t>DoubleA</t>
        </is>
      </c>
      <c r="B74" s="14">
        <f>COUNTIFS('Season 1 - MatchHistory'!$B:$B, $A74, 'Season 1 - MatchHistory'!$C:$C, "Town")</f>
        <v/>
      </c>
      <c r="C74" s="14">
        <f>COUNTIFS('Season 1 - MatchHistory'!B:B, A74, 'Season 1 - MatchHistory'!C:C, "Town", 'Season 1 - MatchHistory'!D:D, "Win")</f>
        <v/>
      </c>
      <c r="D74" s="13">
        <f>IFERROR(__xludf.DUMMYFUNCTION("IF(EQ($B74, 0), TO_PERCENT(0), TO_PERCENT($C74/$B74))"),0.0)</f>
        <v/>
      </c>
      <c r="E74" s="14">
        <f>COUNTIFS('Season 1 - MatchHistory'!$B:$B, $A74, 'Season 1 - MatchHistory'!$C:$C, "Mafia")</f>
        <v/>
      </c>
      <c r="F74" s="14">
        <f>COUNTIFS('Season 1 - MatchHistory'!$B:$B, $A74, 'Season 1 - MatchHistory'!$C:$C, "Mafia", 'Season 1 - MatchHistory'!$D:$D, "Win")</f>
        <v/>
      </c>
      <c r="G74" s="13">
        <f>IFERROR(__xludf.DUMMYFUNCTION("TO_PERCENT(IFERROR($F74/$E74, 0))"),0.0)</f>
        <v/>
      </c>
      <c r="H74" s="13">
        <f>IFERROR(__xludf.DUMMYFUNCTION("TO_PERCENT(IFERROR(($F74+$C74)/($E74+$B74), 0))"),0.0)</f>
        <v/>
      </c>
      <c r="I74" s="11">
        <f t="array" ref="I74">INDEX('Season 1 - MatchHistory'!$G:$G,MATCH(1,('Season 1 - MatchHistory'!$B:$B=$A74)*('Season 1 - MatchHistory'!$G:$G&lt;&gt;""),0))</f>
        <v/>
      </c>
      <c r="J74" s="11">
        <f t="array" ref="J74">INDEX('Season 1 - MatchHistory'!$H:$H,MATCH(1,('Season 1 - MatchHistory'!$B:$B=$A74)*('Season 1 - MatchHistory'!$H:$H&lt;&gt;""),0))</f>
        <v/>
      </c>
      <c r="K74" s="12">
        <f t="array" ref="K74">INDEX('Season 1 - MatchHistory'!$J:$J,MATCH(1,('Season 1 - MatchHistory'!$B:$B=$A74)*('Season 1 - MatchHistory'!$J:$J&lt;&gt;""),0))</f>
        <v/>
      </c>
    </row>
    <row r="75" ht="22.5" customHeight="1" s="21">
      <c r="A75" s="14" t="inlineStr">
        <is>
          <t>Jerm</t>
        </is>
      </c>
      <c r="B75" s="14">
        <f>COUNTIFS('Season 1 - MatchHistory'!$B:$B, $A75, 'Season 1 - MatchHistory'!$C:$C, "Town")</f>
        <v/>
      </c>
      <c r="C75" s="14">
        <f>COUNTIFS('Season 1 - MatchHistory'!B:B, A75, 'Season 1 - MatchHistory'!C:C, "Town", 'Season 1 - MatchHistory'!D:D, "Win")</f>
        <v/>
      </c>
      <c r="D75" s="13">
        <f>IFERROR(__xludf.DUMMYFUNCTION("IF(EQ($B75, 0), TO_PERCENT(0), TO_PERCENT($C75/$B75))"),0.0)</f>
        <v/>
      </c>
      <c r="E75" s="14">
        <f>COUNTIFS('Season 1 - MatchHistory'!$B:$B, $A75, 'Season 1 - MatchHistory'!$C:$C, "Mafia")</f>
        <v/>
      </c>
      <c r="F75" s="14">
        <f>COUNTIFS('Season 1 - MatchHistory'!$B:$B, $A75, 'Season 1 - MatchHistory'!$C:$C, "Mafia", 'Season 1 - MatchHistory'!$D:$D, "Win")</f>
        <v/>
      </c>
      <c r="G75" s="13">
        <f>IFERROR(__xludf.DUMMYFUNCTION("TO_PERCENT(IFERROR($F75/$E75, 0))"),0.0)</f>
        <v/>
      </c>
      <c r="H75" s="13">
        <f>IFERROR(__xludf.DUMMYFUNCTION("TO_PERCENT(IFERROR(($F75+$C75)/($E75+$B75), 0))"),0.0)</f>
        <v/>
      </c>
      <c r="I75" s="11">
        <f t="array" ref="I75">INDEX('Season 1 - MatchHistory'!$G:$G,MATCH(1,('Season 1 - MatchHistory'!$B:$B=$A75)*('Season 1 - MatchHistory'!$G:$G&lt;&gt;""),0))</f>
        <v/>
      </c>
      <c r="J75" s="11">
        <f t="array" ref="J75">INDEX('Season 1 - MatchHistory'!$H:$H,MATCH(1,('Season 1 - MatchHistory'!$B:$B=$A75)*('Season 1 - MatchHistory'!$H:$H&lt;&gt;""),0))</f>
        <v/>
      </c>
      <c r="K75" s="12">
        <f t="array" ref="K75">INDEX('Season 1 - MatchHistory'!$J:$J,MATCH(1,('Season 1 - MatchHistory'!$B:$B=$A75)*('Season 1 - MatchHistory'!$J:$J&lt;&gt;""),0))</f>
        <v/>
      </c>
    </row>
    <row r="76" ht="22.5" customHeight="1" s="21">
      <c r="A76" s="14" t="inlineStr">
        <is>
          <t>Svaan</t>
        </is>
      </c>
      <c r="B76" s="14">
        <f>COUNTIFS('Season 1 - MatchHistory'!$B:$B, $A76, 'Season 1 - MatchHistory'!$C:$C, "Town")</f>
        <v/>
      </c>
      <c r="C76" s="14">
        <f>COUNTIFS('Season 1 - MatchHistory'!B:B, A76, 'Season 1 - MatchHistory'!C:C, "Town", 'Season 1 - MatchHistory'!D:D, "Win")</f>
        <v/>
      </c>
      <c r="D76" s="13">
        <f>IFERROR(__xludf.DUMMYFUNCTION("IF(EQ($B76, 0), TO_PERCENT(0), TO_PERCENT($C76/$B76))"),0.2)</f>
        <v/>
      </c>
      <c r="E76" s="14">
        <f>COUNTIFS('Season 1 - MatchHistory'!$B:$B, $A76, 'Season 1 - MatchHistory'!$C:$C, "Mafia")</f>
        <v/>
      </c>
      <c r="F76" s="14">
        <f>COUNTIFS('Season 1 - MatchHistory'!$B:$B, $A76, 'Season 1 - MatchHistory'!$C:$C, "Mafia", 'Season 1 - MatchHistory'!$D:$D, "Win")</f>
        <v/>
      </c>
      <c r="G76" s="13">
        <f>IFERROR(__xludf.DUMMYFUNCTION("TO_PERCENT(IFERROR($F76/$E76, 0))"),0.5)</f>
        <v/>
      </c>
      <c r="H76" s="13">
        <f>IFERROR(__xludf.DUMMYFUNCTION("TO_PERCENT(IFERROR(($F76+$C76)/($E76+$B76), 0))"),0.2857142857142857)</f>
        <v/>
      </c>
      <c r="I76" s="11">
        <f t="array" ref="I76">INDEX('Season 1 - MatchHistory'!$G:$G,MATCH(1,('Season 1 - MatchHistory'!$B:$B=$A76)*('Season 1 - MatchHistory'!$G:$G&lt;&gt;""),0))</f>
        <v/>
      </c>
      <c r="J76" s="11">
        <f t="array" ref="J76">INDEX('Season 1 - MatchHistory'!$H:$H,MATCH(1,('Season 1 - MatchHistory'!$B:$B=$A76)*('Season 1 - MatchHistory'!$H:$H&lt;&gt;""),0))</f>
        <v/>
      </c>
      <c r="K76" s="12">
        <f t="array" ref="K76">INDEX('Season 1 - MatchHistory'!$J:$J,MATCH(1,('Season 1 - MatchHistory'!$B:$B=$A76)*('Season 1 - MatchHistory'!$J:$J&lt;&gt;""),0))</f>
        <v/>
      </c>
    </row>
    <row r="77" ht="22.5" customHeight="1" s="21">
      <c r="A77" s="14" t="inlineStr">
        <is>
          <t>Danny</t>
        </is>
      </c>
      <c r="B77" s="14">
        <f>COUNTIFS('Season 1 - MatchHistory'!$B:$B, $A77, 'Season 1 - MatchHistory'!$C:$C, "Town")</f>
        <v/>
      </c>
      <c r="C77" s="14">
        <f>COUNTIFS('Season 1 - MatchHistory'!B:B, A77, 'Season 1 - MatchHistory'!C:C, "Town", 'Season 1 - MatchHistory'!D:D, "Win")</f>
        <v/>
      </c>
      <c r="D77" s="13">
        <f>IFERROR(__xludf.DUMMYFUNCTION("IF(EQ($B77, 0), TO_PERCENT(0), TO_PERCENT($C77/$B77))"),0.0)</f>
        <v/>
      </c>
      <c r="E77" s="14">
        <f>COUNTIFS('Season 1 - MatchHistory'!$B:$B, $A77, 'Season 1 - MatchHistory'!$C:$C, "Mafia")</f>
        <v/>
      </c>
      <c r="F77" s="14">
        <f>COUNTIFS('Season 1 - MatchHistory'!$B:$B, $A77, 'Season 1 - MatchHistory'!$C:$C, "Mafia", 'Season 1 - MatchHistory'!$D:$D, "Win")</f>
        <v/>
      </c>
      <c r="G77" s="13">
        <f>IFERROR(__xludf.DUMMYFUNCTION("TO_PERCENT(IFERROR($F77/$E77, 0))"),0.0)</f>
        <v/>
      </c>
      <c r="H77" s="13">
        <f>IFERROR(__xludf.DUMMYFUNCTION("TO_PERCENT(IFERROR(($F77+$C77)/($E77+$B77), 0))"),0.0)</f>
        <v/>
      </c>
      <c r="I77" s="11">
        <f t="array" ref="I77">INDEX('Season 1 - MatchHistory'!$G:$G,MATCH(1,('Season 1 - MatchHistory'!$B:$B=$A77)*('Season 1 - MatchHistory'!$G:$G&lt;&gt;""),0))</f>
        <v/>
      </c>
      <c r="J77" s="11">
        <f t="array" ref="J77">INDEX('Season 1 - MatchHistory'!$H:$H,MATCH(1,('Season 1 - MatchHistory'!$B:$B=$A77)*('Season 1 - MatchHistory'!$H:$H&lt;&gt;""),0))</f>
        <v/>
      </c>
      <c r="K77" s="12">
        <f t="array" ref="K77">INDEX('Season 1 - MatchHistory'!$J:$J,MATCH(1,('Season 1 - MatchHistory'!$B:$B=$A77)*('Season 1 - MatchHistory'!$J:$J&lt;&gt;""),0))</f>
        <v/>
      </c>
    </row>
    <row r="78" ht="22.5" customHeight="1" s="21">
      <c r="A78" s="14" t="inlineStr">
        <is>
          <t>Augi</t>
        </is>
      </c>
      <c r="B78" s="14">
        <f>COUNTIFS('Season 1 - MatchHistory'!$B:$B, $A78, 'Season 1 - MatchHistory'!$C:$C, "Town")</f>
        <v/>
      </c>
      <c r="C78" s="14">
        <f>COUNTIFS('Season 1 - MatchHistory'!B:B, A78, 'Season 1 - MatchHistory'!C:C, "Town", 'Season 1 - MatchHistory'!D:D, "Win")</f>
        <v/>
      </c>
      <c r="D78" s="13">
        <f>IFERROR(__xludf.DUMMYFUNCTION("IF(EQ($B78, 0), TO_PERCENT(0), TO_PERCENT($C78/$B78))"),0.0)</f>
        <v/>
      </c>
      <c r="E78" s="14">
        <f>COUNTIFS('Season 1 - MatchHistory'!$B:$B, $A78, 'Season 1 - MatchHistory'!$C:$C, "Mafia")</f>
        <v/>
      </c>
      <c r="F78" s="14">
        <f>COUNTIFS('Season 1 - MatchHistory'!$B:$B, $A78, 'Season 1 - MatchHistory'!$C:$C, "Mafia", 'Season 1 - MatchHistory'!$D:$D, "Win")</f>
        <v/>
      </c>
      <c r="G78" s="13">
        <f>IFERROR(__xludf.DUMMYFUNCTION("TO_PERCENT(IFERROR($F78/$E78, 0))"),0.0)</f>
        <v/>
      </c>
      <c r="H78" s="13">
        <f>IFERROR(__xludf.DUMMYFUNCTION("TO_PERCENT(IFERROR(($F78+$C78)/($E78+$B78), 0))"),0.0)</f>
        <v/>
      </c>
      <c r="I78" s="11">
        <f t="array" ref="I78">INDEX('Season 1 - MatchHistory'!$G:$G,MATCH(1,('Season 1 - MatchHistory'!$B:$B=$A78)*('Season 1 - MatchHistory'!$G:$G&lt;&gt;""),0))</f>
        <v/>
      </c>
      <c r="J78" s="11">
        <f t="array" ref="J78">INDEX('Season 1 - MatchHistory'!$H:$H,MATCH(1,('Season 1 - MatchHistory'!$B:$B=$A78)*('Season 1 - MatchHistory'!$H:$H&lt;&gt;""),0))</f>
        <v/>
      </c>
      <c r="K78" s="12">
        <f t="array" ref="K78">INDEX('Season 1 - MatchHistory'!$J:$J,MATCH(1,('Season 1 - MatchHistory'!$B:$B=$A78)*('Season 1 - MatchHistory'!$J:$J&lt;&gt;""),0))</f>
        <v/>
      </c>
    </row>
    <row r="79" ht="22.5" customHeight="1" s="21">
      <c r="A79" s="14" t="inlineStr">
        <is>
          <t>Raf</t>
        </is>
      </c>
      <c r="B79" s="14">
        <f>COUNTIFS('Season 1 - MatchHistory'!$B:$B, $A79, 'Season 1 - MatchHistory'!$C:$C, "Town")</f>
        <v/>
      </c>
      <c r="C79" s="14">
        <f>COUNTIFS('Season 1 - MatchHistory'!B:B, A79, 'Season 1 - MatchHistory'!C:C, "Town", 'Season 1 - MatchHistory'!D:D, "Win")</f>
        <v/>
      </c>
      <c r="D79" s="13">
        <f>IFERROR(__xludf.DUMMYFUNCTION("IF(EQ($B79, 0), TO_PERCENT(0), TO_PERCENT($C79/$B79))"),0.0)</f>
        <v/>
      </c>
      <c r="E79" s="14">
        <f>COUNTIFS('Season 1 - MatchHistory'!$B:$B, $A79, 'Season 1 - MatchHistory'!$C:$C, "Mafia")</f>
        <v/>
      </c>
      <c r="F79" s="14">
        <f>COUNTIFS('Season 1 - MatchHistory'!$B:$B, $A79, 'Season 1 - MatchHistory'!$C:$C, "Mafia", 'Season 1 - MatchHistory'!$D:$D, "Win")</f>
        <v/>
      </c>
      <c r="G79" s="13">
        <f>IFERROR(__xludf.DUMMYFUNCTION("TO_PERCENT(IFERROR($F79/$E79, 0))"),0.0)</f>
        <v/>
      </c>
      <c r="H79" s="13">
        <f>IFERROR(__xludf.DUMMYFUNCTION("TO_PERCENT(IFERROR(($F79+$C79)/($E79+$B79), 0))"),0.0)</f>
        <v/>
      </c>
      <c r="I79" s="11">
        <f t="array" ref="I79">INDEX('Season 1 - MatchHistory'!$G:$G,MATCH(1,('Season 1 - MatchHistory'!$B:$B=$A79)*('Season 1 - MatchHistory'!$G:$G&lt;&gt;""),0))</f>
        <v/>
      </c>
      <c r="J79" s="11">
        <f t="array" ref="J79">INDEX('Season 1 - MatchHistory'!$H:$H,MATCH(1,('Season 1 - MatchHistory'!$B:$B=$A79)*('Season 1 - MatchHistory'!$H:$H&lt;&gt;""),0))</f>
        <v/>
      </c>
      <c r="K79" s="12">
        <f t="array" ref="K79">INDEX('Season 1 - MatchHistory'!$J:$J,MATCH(1,('Season 1 - MatchHistory'!$B:$B=$A79)*('Season 1 - MatchHistory'!$J:$J&lt;&gt;""),0))</f>
        <v/>
      </c>
    </row>
    <row r="80" ht="22.5" customHeight="1" s="21">
      <c r="A80" s="14" t="inlineStr">
        <is>
          <t>Guy</t>
        </is>
      </c>
      <c r="B80" s="14">
        <f>COUNTIFS('Season 1 - MatchHistory'!$B:$B, $A80, 'Season 1 - MatchHistory'!$C:$C, "Town")</f>
        <v/>
      </c>
      <c r="C80" s="14">
        <f>COUNTIFS('Season 1 - MatchHistory'!B:B, A80, 'Season 1 - MatchHistory'!C:C, "Town", 'Season 1 - MatchHistory'!D:D, "Win")</f>
        <v/>
      </c>
      <c r="D80" s="13">
        <f>IFERROR(__xludf.DUMMYFUNCTION("IF(EQ($B80, 0), TO_PERCENT(0), TO_PERCENT($C80/$B80))"),0.0)</f>
        <v/>
      </c>
      <c r="E80" s="14">
        <f>COUNTIFS('Season 1 - MatchHistory'!$B:$B, $A80, 'Season 1 - MatchHistory'!$C:$C, "Mafia")</f>
        <v/>
      </c>
      <c r="F80" s="14">
        <f>COUNTIFS('Season 1 - MatchHistory'!$B:$B, $A80, 'Season 1 - MatchHistory'!$C:$C, "Mafia", 'Season 1 - MatchHistory'!$D:$D, "Win")</f>
        <v/>
      </c>
      <c r="G80" s="13">
        <f>IFERROR(__xludf.DUMMYFUNCTION("TO_PERCENT(IFERROR($F80/$E80, 0))"),0.0)</f>
        <v/>
      </c>
      <c r="H80" s="13">
        <f>IFERROR(__xludf.DUMMYFUNCTION("TO_PERCENT(IFERROR(($F80+$C80)/($E80+$B80), 0))"),0.0)</f>
        <v/>
      </c>
      <c r="I80" s="11">
        <f t="array" ref="I80">INDEX('Season 1 - MatchHistory'!$G:$G,MATCH(1,('Season 1 - MatchHistory'!$B:$B=$A80)*('Season 1 - MatchHistory'!$G:$G&lt;&gt;""),0))</f>
        <v/>
      </c>
      <c r="J80" s="11">
        <f t="array" ref="J80">INDEX('Season 1 - MatchHistory'!$H:$H,MATCH(1,('Season 1 - MatchHistory'!$B:$B=$A80)*('Season 1 - MatchHistory'!$H:$H&lt;&gt;""),0))</f>
        <v/>
      </c>
      <c r="K80" s="12">
        <f t="array" ref="K80">INDEX('Season 1 - MatchHistory'!$J:$J,MATCH(1,('Season 1 - MatchHistory'!$B:$B=$A80)*('Season 1 - MatchHistory'!$J:$J&lt;&gt;""),0))</f>
        <v/>
      </c>
    </row>
    <row r="81" ht="22.5" customHeight="1" s="21">
      <c r="A81" s="14" t="inlineStr">
        <is>
          <t>Wiggles</t>
        </is>
      </c>
      <c r="B81" s="14">
        <f>COUNTIFS('Season 1 - MatchHistory'!$B:$B, $A81, 'Season 1 - MatchHistory'!$C:$C, "Town")</f>
        <v/>
      </c>
      <c r="C81" s="14">
        <f>COUNTIFS('Season 1 - MatchHistory'!B:B, A81, 'Season 1 - MatchHistory'!C:C, "Town", 'Season 1 - MatchHistory'!D:D, "Win")</f>
        <v/>
      </c>
      <c r="D81" s="13">
        <f>IFERROR(__xludf.DUMMYFUNCTION("IF(EQ($B81, 0), TO_PERCENT(0), TO_PERCENT($C81/$B81))"),0.0)</f>
        <v/>
      </c>
      <c r="E81" s="14">
        <f>COUNTIFS('Season 1 - MatchHistory'!$B:$B, $A81, 'Season 1 - MatchHistory'!$C:$C, "Mafia")</f>
        <v/>
      </c>
      <c r="F81" s="14">
        <f>COUNTIFS('Season 1 - MatchHistory'!$B:$B, $A81, 'Season 1 - MatchHistory'!$C:$C, "Mafia", 'Season 1 - MatchHistory'!$D:$D, "Win")</f>
        <v/>
      </c>
      <c r="G81" s="13">
        <f>IFERROR(__xludf.DUMMYFUNCTION("TO_PERCENT(IFERROR($F81/$E81, 0))"),0.0)</f>
        <v/>
      </c>
      <c r="H81" s="13">
        <f>IFERROR(__xludf.DUMMYFUNCTION("TO_PERCENT(IFERROR(($F81+$C81)/($E81+$B81), 0))"),0.0)</f>
        <v/>
      </c>
      <c r="I81" s="11">
        <f t="array" ref="I81">INDEX('Season 1 - MatchHistory'!$G:$G,MATCH(1,('Season 1 - MatchHistory'!$B:$B=$A81)*('Season 1 - MatchHistory'!$G:$G&lt;&gt;""),0))</f>
        <v/>
      </c>
      <c r="J81" s="11">
        <f t="array" ref="J81">INDEX('Season 1 - MatchHistory'!$H:$H,MATCH(1,('Season 1 - MatchHistory'!$B:$B=$A81)*('Season 1 - MatchHistory'!$H:$H&lt;&gt;""),0))</f>
        <v/>
      </c>
      <c r="K81" s="12">
        <f t="array" ref="K81">INDEX('Season 1 - MatchHistory'!$J:$J,MATCH(1,('Season 1 - MatchHistory'!$B:$B=$A81)*('Season 1 - MatchHistory'!$J:$J&lt;&gt;""),0))</f>
        <v/>
      </c>
    </row>
    <row r="82" ht="22.5" customHeight="1" s="21">
      <c r="A82" s="14" t="inlineStr">
        <is>
          <t>Trump</t>
        </is>
      </c>
      <c r="B82" s="14">
        <f>COUNTIFS('Season 1 - MatchHistory'!$B:$B, $A82, 'Season 1 - MatchHistory'!$C:$C, "Town")</f>
        <v/>
      </c>
      <c r="C82" s="14">
        <f>COUNTIFS('Season 1 - MatchHistory'!B:B, A82, 'Season 1 - MatchHistory'!C:C, "Town", 'Season 1 - MatchHistory'!D:D, "Win")</f>
        <v/>
      </c>
      <c r="D82" s="13">
        <f>IFERROR(__xludf.DUMMYFUNCTION("IF(EQ($B82, 0), TO_PERCENT(0), TO_PERCENT($C82/$B82))"),0.2)</f>
        <v/>
      </c>
      <c r="E82" s="14">
        <f>COUNTIFS('Season 1 - MatchHistory'!$B:$B, $A82, 'Season 1 - MatchHistory'!$C:$C, "Mafia")</f>
        <v/>
      </c>
      <c r="F82" s="14">
        <f>COUNTIFS('Season 1 - MatchHistory'!$B:$B, $A82, 'Season 1 - MatchHistory'!$C:$C, "Mafia", 'Season 1 - MatchHistory'!$D:$D, "Win")</f>
        <v/>
      </c>
      <c r="G82" s="13">
        <f>IFERROR(__xludf.DUMMYFUNCTION("TO_PERCENT(IFERROR($F82/$E82, 0))"),0.5)</f>
        <v/>
      </c>
      <c r="H82" s="13">
        <f>IFERROR(__xludf.DUMMYFUNCTION("TO_PERCENT(IFERROR(($F82+$C82)/($E82+$B82), 0))"),0.2857142857142857)</f>
        <v/>
      </c>
      <c r="I82" s="11">
        <f t="array" ref="I82">INDEX('Season 1 - MatchHistory'!$G:$G,MATCH(1,('Season 1 - MatchHistory'!$B:$B=$A82)*('Season 1 - MatchHistory'!$G:$G&lt;&gt;""),0))</f>
        <v/>
      </c>
      <c r="J82" s="11">
        <f t="array" ref="J82">INDEX('Season 1 - MatchHistory'!$H:$H,MATCH(1,('Season 1 - MatchHistory'!$B:$B=$A82)*('Season 1 - MatchHistory'!$H:$H&lt;&gt;""),0))</f>
        <v/>
      </c>
      <c r="K82" s="12">
        <f t="array" ref="K82">INDEX('Season 1 - MatchHistory'!$J:$J,MATCH(1,('Season 1 - MatchHistory'!$B:$B=$A82)*('Season 1 - MatchHistory'!$J:$J&lt;&gt;""),0))</f>
        <v/>
      </c>
    </row>
    <row r="83" ht="22.5" customHeight="1" s="21">
      <c r="A83" s="14" t="inlineStr">
        <is>
          <t>Elmo</t>
        </is>
      </c>
      <c r="B83" s="14">
        <f>COUNTIFS('Season 1 - MatchHistory'!$B:$B, $A83, 'Season 1 - MatchHistory'!$C:$C, "Town")</f>
        <v/>
      </c>
      <c r="C83" s="14">
        <f>COUNTIFS('Season 1 - MatchHistory'!B:B, A83, 'Season 1 - MatchHistory'!C:C, "Town", 'Season 1 - MatchHistory'!D:D, "Win")</f>
        <v/>
      </c>
      <c r="D83" s="13">
        <f>IFERROR(__xludf.DUMMYFUNCTION("IF(EQ($B83, 0), TO_PERCENT(0), TO_PERCENT($C83/$B83))"),0.2)</f>
        <v/>
      </c>
      <c r="E83" s="14">
        <f>COUNTIFS('Season 1 - MatchHistory'!$B:$B, $A83, 'Season 1 - MatchHistory'!$C:$C, "Mafia")</f>
        <v/>
      </c>
      <c r="F83" s="14">
        <f>COUNTIFS('Season 1 - MatchHistory'!$B:$B, $A83, 'Season 1 - MatchHistory'!$C:$C, "Mafia", 'Season 1 - MatchHistory'!$D:$D, "Win")</f>
        <v/>
      </c>
      <c r="G83" s="13">
        <f>IFERROR(__xludf.DUMMYFUNCTION("TO_PERCENT(IFERROR($F83/$E83, 0))"),0.0)</f>
        <v/>
      </c>
      <c r="H83" s="13">
        <f>IFERROR(__xludf.DUMMYFUNCTION("TO_PERCENT(IFERROR(($F83+$C83)/($E83+$B83), 0))"),0.2)</f>
        <v/>
      </c>
      <c r="I83" s="11">
        <f t="array" ref="I83">INDEX('Season 1 - MatchHistory'!$G:$G,MATCH(1,('Season 1 - MatchHistory'!$B:$B=$A83)*('Season 1 - MatchHistory'!$G:$G&lt;&gt;""),0))</f>
        <v/>
      </c>
      <c r="J83" s="11">
        <f t="array" ref="J83">INDEX('Season 1 - MatchHistory'!$H:$H,MATCH(1,('Season 1 - MatchHistory'!$B:$B=$A83)*('Season 1 - MatchHistory'!$H:$H&lt;&gt;""),0))</f>
        <v/>
      </c>
      <c r="K83" s="12">
        <f t="array" ref="K83">INDEX('Season 1 - MatchHistory'!$J:$J,MATCH(1,('Season 1 - MatchHistory'!$B:$B=$A83)*('Season 1 - MatchHistory'!$J:$J&lt;&gt;""),0))</f>
        <v/>
      </c>
    </row>
    <row r="84" ht="22.5" customHeight="1" s="21">
      <c r="A84" s="14" t="inlineStr">
        <is>
          <t>Paradox</t>
        </is>
      </c>
      <c r="B84" s="14">
        <f>COUNTIFS('Season 1 - MatchHistory'!$B:$B, $A84, 'Season 1 - MatchHistory'!$C:$C, "Town")</f>
        <v/>
      </c>
      <c r="C84" s="14">
        <f>COUNTIFS('Season 1 - MatchHistory'!B:B, A84, 'Season 1 - MatchHistory'!C:C, "Town", 'Season 1 - MatchHistory'!D:D, "Win")</f>
        <v/>
      </c>
      <c r="D84" s="13">
        <f>IFERROR(__xludf.DUMMYFUNCTION("IF(EQ($B84, 0), TO_PERCENT(0), TO_PERCENT($C84/$B84))"),0.0)</f>
        <v/>
      </c>
      <c r="E84" s="14">
        <f>COUNTIFS('Season 1 - MatchHistory'!$B:$B, $A84, 'Season 1 - MatchHistory'!$C:$C, "Mafia")</f>
        <v/>
      </c>
      <c r="F84" s="14">
        <f>COUNTIFS('Season 1 - MatchHistory'!$B:$B, $A84, 'Season 1 - MatchHistory'!$C:$C, "Mafia", 'Season 1 - MatchHistory'!$D:$D, "Win")</f>
        <v/>
      </c>
      <c r="G84" s="13">
        <f>IFERROR(__xludf.DUMMYFUNCTION("TO_PERCENT(IFERROR($F84/$E84, 0))"),0.0)</f>
        <v/>
      </c>
      <c r="H84" s="13">
        <f>IFERROR(__xludf.DUMMYFUNCTION("TO_PERCENT(IFERROR(($F84+$C84)/($E84+$B84), 0))"),0.0)</f>
        <v/>
      </c>
      <c r="I84" s="11">
        <f t="array" ref="I84">INDEX('Season 1 - MatchHistory'!$G:$G,MATCH(1,('Season 1 - MatchHistory'!$B:$B=$A84)*('Season 1 - MatchHistory'!$G:$G&lt;&gt;""),0))</f>
        <v/>
      </c>
      <c r="J84" s="11">
        <f t="array" ref="J84">INDEX('Season 1 - MatchHistory'!$H:$H,MATCH(1,('Season 1 - MatchHistory'!$B:$B=$A84)*('Season 1 - MatchHistory'!$H:$H&lt;&gt;""),0))</f>
        <v/>
      </c>
      <c r="K84" s="12">
        <f t="array" ref="K84">INDEX('Season 1 - MatchHistory'!$J:$J,MATCH(1,('Season 1 - MatchHistory'!$B:$B=$A84)*('Season 1 - MatchHistory'!$J:$J&lt;&gt;""),0))</f>
        <v/>
      </c>
    </row>
    <row r="85" ht="22.5" customHeight="1" s="21">
      <c r="A85" s="14" t="inlineStr">
        <is>
          <t>Ghostie</t>
        </is>
      </c>
      <c r="B85" s="14">
        <f>COUNTIFS('Season 1 - MatchHistory'!$B:$B, $A85, 'Season 1 - MatchHistory'!$C:$C, "Town")</f>
        <v/>
      </c>
      <c r="C85" s="14">
        <f>COUNTIFS('Season 1 - MatchHistory'!B:B, A85, 'Season 1 - MatchHistory'!C:C, "Town", 'Season 1 - MatchHistory'!D:D, "Win")</f>
        <v/>
      </c>
      <c r="D85" s="13">
        <f>IFERROR(__xludf.DUMMYFUNCTION("IF(EQ($B85, 0), TO_PERCENT(0), TO_PERCENT($C85/$B85))"),0.0)</f>
        <v/>
      </c>
      <c r="E85" s="14">
        <f>COUNTIFS('Season 1 - MatchHistory'!$B:$B, $A85, 'Season 1 - MatchHistory'!$C:$C, "Mafia")</f>
        <v/>
      </c>
      <c r="F85" s="14">
        <f>COUNTIFS('Season 1 - MatchHistory'!$B:$B, $A85, 'Season 1 - MatchHistory'!$C:$C, "Mafia", 'Season 1 - MatchHistory'!$D:$D, "Win")</f>
        <v/>
      </c>
      <c r="G85" s="13">
        <f>IFERROR(__xludf.DUMMYFUNCTION("TO_PERCENT(IFERROR($F85/$E85, 0))"),0.0)</f>
        <v/>
      </c>
      <c r="H85" s="13">
        <f>IFERROR(__xludf.DUMMYFUNCTION("TO_PERCENT(IFERROR(($F85+$C85)/($E85+$B85), 0))"),0.0)</f>
        <v/>
      </c>
      <c r="I85" s="11">
        <f t="array" ref="I85">INDEX('Season 1 - MatchHistory'!$G:$G,MATCH(1,('Season 1 - MatchHistory'!$B:$B=$A85)*('Season 1 - MatchHistory'!$G:$G&lt;&gt;""),0))</f>
        <v/>
      </c>
      <c r="J85" s="11">
        <f t="array" ref="J85">INDEX('Season 1 - MatchHistory'!$H:$H,MATCH(1,('Season 1 - MatchHistory'!$B:$B=$A85)*('Season 1 - MatchHistory'!$H:$H&lt;&gt;""),0))</f>
        <v/>
      </c>
      <c r="K85" s="12">
        <f t="array" ref="K85">INDEX('Season 1 - MatchHistory'!$J:$J,MATCH(1,('Season 1 - MatchHistory'!$B:$B=$A85)*('Season 1 - MatchHistory'!$J:$J&lt;&gt;""),0))</f>
        <v/>
      </c>
    </row>
    <row r="86" ht="22.5" customHeight="1" s="21">
      <c r="A86" s="14" t="inlineStr">
        <is>
          <t>Ragsy</t>
        </is>
      </c>
      <c r="B86" s="14">
        <f>COUNTIFS('Season 1 - MatchHistory'!$B:$B, $A86, 'Season 1 - MatchHistory'!$C:$C, "Town")</f>
        <v/>
      </c>
      <c r="C86" s="14">
        <f>COUNTIFS('Season 1 - MatchHistory'!B:B, A86, 'Season 1 - MatchHistory'!C:C, "Town", 'Season 1 - MatchHistory'!D:D, "Win")</f>
        <v/>
      </c>
      <c r="D86" s="13">
        <f>IFERROR(__xludf.DUMMYFUNCTION("IF(EQ($B86, 0), TO_PERCENT(0), TO_PERCENT($C86/$B86))"),0.0)</f>
        <v/>
      </c>
      <c r="E86" s="14">
        <f>COUNTIFS('Season 1 - MatchHistory'!$B:$B, $A86, 'Season 1 - MatchHistory'!$C:$C, "Mafia")</f>
        <v/>
      </c>
      <c r="F86" s="14">
        <f>COUNTIFS('Season 1 - MatchHistory'!$B:$B, $A86, 'Season 1 - MatchHistory'!$C:$C, "Mafia", 'Season 1 - MatchHistory'!$D:$D, "Win")</f>
        <v/>
      </c>
      <c r="G86" s="13">
        <f>IFERROR(__xludf.DUMMYFUNCTION("TO_PERCENT(IFERROR($F86/$E86, 0))"),0.0)</f>
        <v/>
      </c>
      <c r="H86" s="13">
        <f>IFERROR(__xludf.DUMMYFUNCTION("TO_PERCENT(IFERROR(($F86+$C86)/($E86+$B86), 0))"),0.0)</f>
        <v/>
      </c>
      <c r="I86" s="11">
        <f t="array" ref="I86">INDEX('Season 1 - MatchHistory'!$G:$G,MATCH(1,('Season 1 - MatchHistory'!$B:$B=$A86)*('Season 1 - MatchHistory'!$G:$G&lt;&gt;""),0))</f>
        <v/>
      </c>
      <c r="J86" s="11">
        <f t="array" ref="J86">INDEX('Season 1 - MatchHistory'!$H:$H,MATCH(1,('Season 1 - MatchHistory'!$B:$B=$A86)*('Season 1 - MatchHistory'!$H:$H&lt;&gt;""),0))</f>
        <v/>
      </c>
      <c r="K86" s="12">
        <f t="array" ref="K86">INDEX('Season 1 - MatchHistory'!$J:$J,MATCH(1,('Season 1 - MatchHistory'!$B:$B=$A86)*('Season 1 - MatchHistory'!$J:$J&lt;&gt;""),0))</f>
        <v/>
      </c>
    </row>
    <row r="87" ht="22.5" customHeight="1" s="21">
      <c r="A87" s="14" t="inlineStr">
        <is>
          <t>Justice</t>
        </is>
      </c>
      <c r="B87" s="14">
        <f>COUNTIFS('Season 1 - MatchHistory'!$B:$B, $A87, 'Season 1 - MatchHistory'!$C:$C, "Town")</f>
        <v/>
      </c>
      <c r="C87" s="14">
        <f>COUNTIFS('Season 1 - MatchHistory'!B:B, A87, 'Season 1 - MatchHistory'!C:C, "Town", 'Season 1 - MatchHistory'!D:D, "Win")</f>
        <v/>
      </c>
      <c r="D87" s="13">
        <f>IFERROR(__xludf.DUMMYFUNCTION("IF(EQ($B87, 0), TO_PERCENT(0), TO_PERCENT($C87/$B87))"),0.25)</f>
        <v/>
      </c>
      <c r="E87" s="14">
        <f>COUNTIFS('Season 1 - MatchHistory'!$B:$B, $A87, 'Season 1 - MatchHistory'!$C:$C, "Mafia")</f>
        <v/>
      </c>
      <c r="F87" s="14">
        <f>COUNTIFS('Season 1 - MatchHistory'!$B:$B, $A87, 'Season 1 - MatchHistory'!$C:$C, "Mafia", 'Season 1 - MatchHistory'!$D:$D, "Win")</f>
        <v/>
      </c>
      <c r="G87" s="13">
        <f>IFERROR(__xludf.DUMMYFUNCTION("TO_PERCENT(IFERROR($F87/$E87, 0))"),0.6)</f>
        <v/>
      </c>
      <c r="H87" s="13">
        <f>IFERROR(__xludf.DUMMYFUNCTION("TO_PERCENT(IFERROR(($F87+$C87)/($E87+$B87), 0))"),0.3333333333333333)</f>
        <v/>
      </c>
      <c r="I87" s="11">
        <f t="array" ref="I87">INDEX('Season 1 - MatchHistory'!$G:$G,MATCH(1,('Season 1 - MatchHistory'!$B:$B=$A87)*('Season 1 - MatchHistory'!$G:$G&lt;&gt;""),0))</f>
        <v/>
      </c>
      <c r="J87" s="11">
        <f t="array" ref="J87">INDEX('Season 1 - MatchHistory'!$H:$H,MATCH(1,('Season 1 - MatchHistory'!$B:$B=$A87)*('Season 1 - MatchHistory'!$H:$H&lt;&gt;""),0))</f>
        <v/>
      </c>
      <c r="K87" s="12">
        <f t="array" ref="K87">INDEX('Season 1 - MatchHistory'!$J:$J,MATCH(1,('Season 1 - MatchHistory'!$B:$B=$A87)*('Season 1 - MatchHistory'!$J:$J&lt;&gt;""),0))</f>
        <v/>
      </c>
    </row>
    <row r="88" ht="22.5" customHeight="1" s="21">
      <c r="A88" s="14" t="inlineStr">
        <is>
          <t>Creatchee</t>
        </is>
      </c>
      <c r="B88" s="14">
        <f>COUNTIFS('Season 1 - MatchHistory'!$B:$B, $A88, 'Season 1 - MatchHistory'!$C:$C, "Town")</f>
        <v/>
      </c>
      <c r="C88" s="14">
        <f>COUNTIFS('Season 1 - MatchHistory'!B:B, A88, 'Season 1 - MatchHistory'!C:C, "Town", 'Season 1 - MatchHistory'!D:D, "Win")</f>
        <v/>
      </c>
      <c r="D88" s="13">
        <f>IFERROR(__xludf.DUMMYFUNCTION("IF(EQ($B88, 0), TO_PERCENT(0), TO_PERCENT($C88/$B88))"),0.16666666666666666)</f>
        <v/>
      </c>
      <c r="E88" s="14">
        <f>COUNTIFS('Season 1 - MatchHistory'!$B:$B, $A88, 'Season 1 - MatchHistory'!$C:$C, "Mafia")</f>
        <v/>
      </c>
      <c r="F88" s="14">
        <f>COUNTIFS('Season 1 - MatchHistory'!$B:$B, $A88, 'Season 1 - MatchHistory'!$C:$C, "Mafia", 'Season 1 - MatchHistory'!$D:$D, "Win")</f>
        <v/>
      </c>
      <c r="G88" s="13">
        <f>IFERROR(__xludf.DUMMYFUNCTION("TO_PERCENT(IFERROR($F88/$E88, 0))"),0.0)</f>
        <v/>
      </c>
      <c r="H88" s="13">
        <f>IFERROR(__xludf.DUMMYFUNCTION("TO_PERCENT(IFERROR(($F88+$C88)/($E88+$B88), 0))"),0.16666666666666666)</f>
        <v/>
      </c>
      <c r="I88" s="11">
        <f t="array" ref="I88">INDEX('Season 1 - MatchHistory'!$G:$G,MATCH(1,('Season 1 - MatchHistory'!$B:$B=$A88)*('Season 1 - MatchHistory'!$G:$G&lt;&gt;""),0))</f>
        <v/>
      </c>
      <c r="J88" s="11">
        <f t="array" ref="J88">INDEX('Season 1 - MatchHistory'!$H:$H,MATCH(1,('Season 1 - MatchHistory'!$B:$B=$A88)*('Season 1 - MatchHistory'!$H:$H&lt;&gt;""),0))</f>
        <v/>
      </c>
      <c r="K88" s="12">
        <f t="array" ref="K88">INDEX('Season 1 - MatchHistory'!$J:$J,MATCH(1,('Season 1 - MatchHistory'!$B:$B=$A88)*('Season 1 - MatchHistory'!$J:$J&lt;&gt;""),0))</f>
        <v/>
      </c>
    </row>
    <row r="89" ht="22.5" customHeight="1" s="21">
      <c r="A89" s="14" t="inlineStr">
        <is>
          <t>Chey</t>
        </is>
      </c>
      <c r="B89" s="14">
        <f>COUNTIFS('Season 1 - MatchHistory'!$B:$B, $A89, 'Season 1 - MatchHistory'!$C:$C, "Town")</f>
        <v/>
      </c>
      <c r="C89" s="14">
        <f>COUNTIFS('Season 1 - MatchHistory'!B:B, A89, 'Season 1 - MatchHistory'!C:C, "Town", 'Season 1 - MatchHistory'!D:D, "Win")</f>
        <v/>
      </c>
      <c r="D89" s="13">
        <f>IFERROR(__xludf.DUMMYFUNCTION("IF(EQ($B89, 0), TO_PERCENT(0), TO_PERCENT($C89/$B89))"),0.0)</f>
        <v/>
      </c>
      <c r="E89" s="14">
        <f>COUNTIFS('Season 1 - MatchHistory'!$B:$B, $A89, 'Season 1 - MatchHistory'!$C:$C, "Mafia")</f>
        <v/>
      </c>
      <c r="F89" s="14">
        <f>COUNTIFS('Season 1 - MatchHistory'!$B:$B, $A89, 'Season 1 - MatchHistory'!$C:$C, "Mafia", 'Season 1 - MatchHistory'!$D:$D, "Win")</f>
        <v/>
      </c>
      <c r="G89" s="13">
        <f>IFERROR(__xludf.DUMMYFUNCTION("TO_PERCENT(IFERROR($F89/$E89, 0))"),0.0)</f>
        <v/>
      </c>
      <c r="H89" s="13">
        <f>IFERROR(__xludf.DUMMYFUNCTION("TO_PERCENT(IFERROR(($F89+$C89)/($E89+$B89), 0))"),0.0)</f>
        <v/>
      </c>
      <c r="I89" s="11">
        <f t="array" ref="I89">INDEX('Season 1 - MatchHistory'!$G:$G,MATCH(1,('Season 1 - MatchHistory'!$B:$B=$A89)*('Season 1 - MatchHistory'!$G:$G&lt;&gt;""),0))</f>
        <v/>
      </c>
      <c r="J89" s="11">
        <f t="array" ref="J89">INDEX('Season 1 - MatchHistory'!$H:$H,MATCH(1,('Season 1 - MatchHistory'!$B:$B=$A89)*('Season 1 - MatchHistory'!$H:$H&lt;&gt;""),0))</f>
        <v/>
      </c>
      <c r="K89" s="12">
        <f t="array" ref="K89">INDEX('Season 1 - MatchHistory'!$J:$J,MATCH(1,('Season 1 - MatchHistory'!$B:$B=$A89)*('Season 1 - MatchHistory'!$J:$J&lt;&gt;""),0))</f>
        <v/>
      </c>
    </row>
    <row r="90" ht="22.5" customHeight="1" s="21">
      <c r="A90" s="14" t="inlineStr">
        <is>
          <t>Pope</t>
        </is>
      </c>
      <c r="B90" s="14">
        <f>COUNTIFS('Season 1 - MatchHistory'!$B:$B, $A90, 'Season 1 - MatchHistory'!$C:$C, "Town")</f>
        <v/>
      </c>
      <c r="C90" s="14">
        <f>COUNTIFS('Season 1 - MatchHistory'!B:B, A90, 'Season 1 - MatchHistory'!C:C, "Town", 'Season 1 - MatchHistory'!D:D, "Win")</f>
        <v/>
      </c>
      <c r="D90" s="13">
        <f>IFERROR(__xludf.DUMMYFUNCTION("IF(EQ($B90, 0), TO_PERCENT(0), TO_PERCENT($C90/$B90))"),0.0)</f>
        <v/>
      </c>
      <c r="E90" s="14">
        <f>COUNTIFS('Season 1 - MatchHistory'!$B:$B, $A90, 'Season 1 - MatchHistory'!$C:$C, "Mafia")</f>
        <v/>
      </c>
      <c r="F90" s="14">
        <f>COUNTIFS('Season 1 - MatchHistory'!$B:$B, $A90, 'Season 1 - MatchHistory'!$C:$C, "Mafia", 'Season 1 - MatchHistory'!$D:$D, "Win")</f>
        <v/>
      </c>
      <c r="G90" s="13">
        <f>IFERROR(__xludf.DUMMYFUNCTION("TO_PERCENT(IFERROR($F90/$E90, 0))"),0.0)</f>
        <v/>
      </c>
      <c r="H90" s="13">
        <f>IFERROR(__xludf.DUMMYFUNCTION("TO_PERCENT(IFERROR(($F90+$C90)/($E90+$B90), 0))"),0.0)</f>
        <v/>
      </c>
      <c r="I90" s="11">
        <f t="array" ref="I90">INDEX('Season 1 - MatchHistory'!$G:$G,MATCH(1,('Season 1 - MatchHistory'!$B:$B=$A90)*('Season 1 - MatchHistory'!$G:$G&lt;&gt;""),0))</f>
        <v/>
      </c>
      <c r="J90" s="11">
        <f t="array" ref="J90">INDEX('Season 1 - MatchHistory'!$H:$H,MATCH(1,('Season 1 - MatchHistory'!$B:$B=$A90)*('Season 1 - MatchHistory'!$H:$H&lt;&gt;""),0))</f>
        <v/>
      </c>
      <c r="K90" s="12">
        <f t="array" ref="K90">INDEX('Season 1 - MatchHistory'!$J:$J,MATCH(1,('Season 1 - MatchHistory'!$B:$B=$A90)*('Season 1 - MatchHistory'!$J:$J&lt;&gt;""),0))</f>
        <v/>
      </c>
    </row>
    <row r="91" ht="22.5" customHeight="1" s="21">
      <c r="A91" s="14" t="inlineStr">
        <is>
          <t>Sam</t>
        </is>
      </c>
      <c r="B91" s="14">
        <f>COUNTIFS('Season 1 - MatchHistory'!$B:$B, $A91, 'Season 1 - MatchHistory'!$C:$C, "Town")</f>
        <v/>
      </c>
      <c r="C91" s="14">
        <f>COUNTIFS('Season 1 - MatchHistory'!B:B, A91, 'Season 1 - MatchHistory'!C:C, "Town", 'Season 1 - MatchHistory'!D:D, "Win")</f>
        <v/>
      </c>
      <c r="D91" s="13">
        <f>IFERROR(__xludf.DUMMYFUNCTION("IF(EQ($B91, 0), TO_PERCENT(0), TO_PERCENT($C91/$B91))"),0.0)</f>
        <v/>
      </c>
      <c r="E91" s="14">
        <f>COUNTIFS('Season 1 - MatchHistory'!$B:$B, $A91, 'Season 1 - MatchHistory'!$C:$C, "Mafia")</f>
        <v/>
      </c>
      <c r="F91" s="14">
        <f>COUNTIFS('Season 1 - MatchHistory'!$B:$B, $A91, 'Season 1 - MatchHistory'!$C:$C, "Mafia", 'Season 1 - MatchHistory'!$D:$D, "Win")</f>
        <v/>
      </c>
      <c r="G91" s="13">
        <f>IFERROR(__xludf.DUMMYFUNCTION("TO_PERCENT(IFERROR($F91/$E91, 0))"),0.0)</f>
        <v/>
      </c>
      <c r="H91" s="13">
        <f>IFERROR(__xludf.DUMMYFUNCTION("TO_PERCENT(IFERROR(($F91+$C91)/($E91+$B91), 0))"),0.0)</f>
        <v/>
      </c>
      <c r="I91" s="11">
        <f t="array" ref="I91">INDEX('Season 1 - MatchHistory'!$G:$G,MATCH(1,('Season 1 - MatchHistory'!$B:$B=$A91)*('Season 1 - MatchHistory'!$G:$G&lt;&gt;""),0))</f>
        <v/>
      </c>
      <c r="J91" s="11">
        <f t="array" ref="J91">INDEX('Season 1 - MatchHistory'!$H:$H,MATCH(1,('Season 1 - MatchHistory'!$B:$B=$A91)*('Season 1 - MatchHistory'!$H:$H&lt;&gt;""),0))</f>
        <v/>
      </c>
      <c r="K91" s="12">
        <f t="array" ref="K91">INDEX('Season 1 - MatchHistory'!$J:$J,MATCH(1,('Season 1 - MatchHistory'!$B:$B=$A91)*('Season 1 - MatchHistory'!$J:$J&lt;&gt;""),0))</f>
        <v/>
      </c>
      <c r="L91" s="19">
        <f>'Season 1 - MafiaRatings'!H:H</f>
        <v/>
      </c>
      <c r="M91" s="19">
        <f>'Season 1 - MafiaRatings'!I:I</f>
        <v/>
      </c>
      <c r="N91" s="19">
        <f>'Season 1 - MafiaRatings'!J:J</f>
        <v/>
      </c>
      <c r="O91" s="19">
        <f>'Season 1 - MafiaRatings'!K:K</f>
        <v/>
      </c>
      <c r="P91" s="19">
        <f>'Season 1 - MafiaRatings'!L:L</f>
        <v/>
      </c>
      <c r="Q91" s="19">
        <f>'Season 1 - MafiaRatings'!M:M</f>
        <v/>
      </c>
      <c r="R91" s="19">
        <f>'Season 1 - MafiaRatings'!N:N</f>
        <v/>
      </c>
      <c r="S91" s="19">
        <f>'Season 1 - MafiaRatings'!O:O</f>
        <v/>
      </c>
      <c r="T91" s="19">
        <f>'Season 1 - MafiaRatings'!P:P</f>
        <v/>
      </c>
      <c r="U91" s="19">
        <f>'Season 1 - MafiaRatings'!Q:Q</f>
        <v/>
      </c>
      <c r="V91" s="19">
        <f>'Season 1 - MafiaRatings'!R:R</f>
        <v/>
      </c>
      <c r="W91" s="19">
        <f>'Season 1 - MafiaRatings'!S:S</f>
        <v/>
      </c>
      <c r="X91" s="19">
        <f>'Season 1 - MafiaRatings'!T:T</f>
        <v/>
      </c>
      <c r="Y91" s="19">
        <f>'Season 1 - MafiaRatings'!U:U</f>
        <v/>
      </c>
      <c r="Z91" s="19">
        <f>'Season 1 - MafiaRatings'!V:V</f>
        <v/>
      </c>
      <c r="AA91" s="19">
        <f>'Season 1 - MafiaRatings'!W:W</f>
        <v/>
      </c>
      <c r="AB91" s="19">
        <f>'Season 1 - MafiaRatings'!X:X</f>
        <v/>
      </c>
      <c r="AC91" s="19">
        <f>'Season 1 - MafiaRatings'!Y:Y</f>
        <v/>
      </c>
      <c r="AD91" s="19">
        <f>'Season 1 - MafiaRatings'!Z:Z</f>
        <v/>
      </c>
      <c r="AE91" s="19">
        <f>'Season 1 - MafiaRatings'!AA:AA</f>
        <v/>
      </c>
    </row>
    <row r="92" ht="22.5" customHeight="1" s="21">
      <c r="A92" s="14" t="inlineStr">
        <is>
          <t>Zesta</t>
        </is>
      </c>
      <c r="B92" s="14">
        <f>COUNTIFS('Season 1 - MatchHistory'!$B:$B, $A92, 'Season 1 - MatchHistory'!$C:$C, "Town")</f>
        <v/>
      </c>
      <c r="C92" s="14">
        <f>COUNTIFS('Season 1 - MatchHistory'!B:B, A92, 'Season 1 - MatchHistory'!C:C, "Town", 'Season 1 - MatchHistory'!D:D, "Win")</f>
        <v/>
      </c>
      <c r="D92" s="13">
        <f>IFERROR(__xludf.DUMMYFUNCTION("IF(EQ($B92, 0), TO_PERCENT(0), TO_PERCENT($C92/$B92))"),0.0)</f>
        <v/>
      </c>
      <c r="E92" s="14">
        <f>COUNTIFS('Season 1 - MatchHistory'!$B:$B, $A92, 'Season 1 - MatchHistory'!$C:$C, "Mafia")</f>
        <v/>
      </c>
      <c r="F92" s="14">
        <f>COUNTIFS('Season 1 - MatchHistory'!$B:$B, $A92, 'Season 1 - MatchHistory'!$C:$C, "Mafia", 'Season 1 - MatchHistory'!$D:$D, "Win")</f>
        <v/>
      </c>
      <c r="G92" s="13">
        <f>IFERROR(__xludf.DUMMYFUNCTION("TO_PERCENT(IFERROR($F92/$E92, 0))"),1.0)</f>
        <v/>
      </c>
      <c r="H92" s="13">
        <f>IFERROR(__xludf.DUMMYFUNCTION("TO_PERCENT(IFERROR(($F92+$C92)/($E92+$B92), 0))"),0.16666666666666666)</f>
        <v/>
      </c>
      <c r="I92" s="11">
        <f t="array" ref="I92">INDEX('Season 1 - MatchHistory'!$G:$G,MATCH(1,('Season 1 - MatchHistory'!$B:$B=$A92)*('Season 1 - MatchHistory'!$G:$G&lt;&gt;""),0))</f>
        <v/>
      </c>
      <c r="J92" s="11">
        <f t="array" ref="J92">INDEX('Season 1 - MatchHistory'!$H:$H,MATCH(1,('Season 1 - MatchHistory'!$B:$B=$A92)*('Season 1 - MatchHistory'!$H:$H&lt;&gt;""),0))</f>
        <v/>
      </c>
      <c r="K92" s="12">
        <f t="array" ref="K92">INDEX('Season 1 - MatchHistory'!$J:$J,MATCH(1,('Season 1 - MatchHistory'!$B:$B=$A92)*('Season 1 - MatchHistory'!$J:$J&lt;&gt;""),0))</f>
        <v/>
      </c>
    </row>
    <row r="93" ht="22.5" customHeight="1" s="21">
      <c r="A93" s="14" t="inlineStr">
        <is>
          <t>Rocker</t>
        </is>
      </c>
      <c r="B93" s="14">
        <f>COUNTIFS('Season 1 - MatchHistory'!$B:$B, $A93, 'Season 1 - MatchHistory'!$C:$C, "Town")</f>
        <v/>
      </c>
      <c r="C93" s="14">
        <f>COUNTIFS('Season 1 - MatchHistory'!B:B, A93, 'Season 1 - MatchHistory'!C:C, "Town", 'Season 1 - MatchHistory'!D:D, "Win")</f>
        <v/>
      </c>
      <c r="D93" s="13">
        <f>IFERROR(__xludf.DUMMYFUNCTION("IF(EQ($B93, 0), TO_PERCENT(0), TO_PERCENT($C93/$B93))"),0.2727272727272727)</f>
        <v/>
      </c>
      <c r="E93" s="14">
        <f>COUNTIFS('Season 1 - MatchHistory'!$B:$B, $A93, 'Season 1 - MatchHistory'!$C:$C, "Mafia")</f>
        <v/>
      </c>
      <c r="F93" s="14">
        <f>COUNTIFS('Season 1 - MatchHistory'!$B:$B, $A93, 'Season 1 - MatchHistory'!$C:$C, "Mafia", 'Season 1 - MatchHistory'!$D:$D, "Win")</f>
        <v/>
      </c>
      <c r="G93" s="13">
        <f>IFERROR(__xludf.DUMMYFUNCTION("TO_PERCENT(IFERROR($F93/$E93, 0))"),0.375)</f>
        <v/>
      </c>
      <c r="H93" s="13">
        <f>IFERROR(__xludf.DUMMYFUNCTION("TO_PERCENT(IFERROR(($F93+$C93)/($E93+$B93), 0))"),0.3157894736842105)</f>
        <v/>
      </c>
      <c r="I93" s="11">
        <f t="array" ref="I93">INDEX('Season 1 - MatchHistory'!$G:$G,MATCH(1,('Season 1 - MatchHistory'!$B:$B=$A93)*('Season 1 - MatchHistory'!$G:$G&lt;&gt;""),0))</f>
        <v/>
      </c>
      <c r="J93" s="11">
        <f t="array" ref="J93">INDEX('Season 1 - MatchHistory'!$H:$H,MATCH(1,('Season 1 - MatchHistory'!$B:$B=$A93)*('Season 1 - MatchHistory'!$H:$H&lt;&gt;""),0))</f>
        <v/>
      </c>
      <c r="K93" s="12">
        <f t="array" ref="K93">INDEX('Season 1 - MatchHistory'!$J:$J,MATCH(1,('Season 1 - MatchHistory'!$B:$B=$A93)*('Season 1 - MatchHistory'!$J:$J&lt;&gt;""),0))</f>
        <v/>
      </c>
    </row>
    <row r="94" ht="22.5" customHeight="1" s="21">
      <c r="A94" s="14" t="inlineStr">
        <is>
          <t>Lovekilling</t>
        </is>
      </c>
      <c r="B94" s="14">
        <f>COUNTIFS('Season 1 - MatchHistory'!$B:$B, $A94, 'Season 1 - MatchHistory'!$C:$C, "Town")</f>
        <v/>
      </c>
      <c r="C94" s="14">
        <f>COUNTIFS('Season 1 - MatchHistory'!B:B, A94, 'Season 1 - MatchHistory'!C:C, "Town", 'Season 1 - MatchHistory'!D:D, "Win")</f>
        <v/>
      </c>
      <c r="D94" s="13">
        <f>IFERROR(__xludf.DUMMYFUNCTION("IF(EQ($B94, 0), TO_PERCENT(0), TO_PERCENT($C94/$B94))"),0.0)</f>
        <v/>
      </c>
      <c r="E94" s="14">
        <f>COUNTIFS('Season 1 - MatchHistory'!$B:$B, $A94, 'Season 1 - MatchHistory'!$C:$C, "Mafia")</f>
        <v/>
      </c>
      <c r="F94" s="14">
        <f>COUNTIFS('Season 1 - MatchHistory'!$B:$B, $A94, 'Season 1 - MatchHistory'!$C:$C, "Mafia", 'Season 1 - MatchHistory'!$D:$D, "Win")</f>
        <v/>
      </c>
      <c r="G94" s="13">
        <f>IFERROR(__xludf.DUMMYFUNCTION("TO_PERCENT(IFERROR($F94/$E94, 0))"),0.0)</f>
        <v/>
      </c>
      <c r="H94" s="13">
        <f>IFERROR(__xludf.DUMMYFUNCTION("TO_PERCENT(IFERROR(($F94+$C94)/($E94+$B94), 0))"),0.0)</f>
        <v/>
      </c>
      <c r="I94" s="11">
        <f t="array" ref="I94">INDEX('Season 1 - MatchHistory'!$G:$G,MATCH(1,('Season 1 - MatchHistory'!$B:$B=$A94)*('Season 1 - MatchHistory'!$G:$G&lt;&gt;""),0))</f>
        <v/>
      </c>
      <c r="J94" s="11">
        <f t="array" ref="J94">INDEX('Season 1 - MatchHistory'!$H:$H,MATCH(1,('Season 1 - MatchHistory'!$B:$B=$A94)*('Season 1 - MatchHistory'!$H:$H&lt;&gt;""),0))</f>
        <v/>
      </c>
      <c r="K94" s="12">
        <f t="array" ref="K94">INDEX('Season 1 - MatchHistory'!$J:$J,MATCH(1,('Season 1 - MatchHistory'!$B:$B=$A94)*('Season 1 - MatchHistory'!$J:$J&lt;&gt;""),0))</f>
        <v/>
      </c>
    </row>
    <row r="95" ht="22.5" customHeight="1" s="21">
      <c r="A95" s="14" t="inlineStr">
        <is>
          <t>Siggywiggy</t>
        </is>
      </c>
      <c r="B95" s="14">
        <f>COUNTIFS('Season 1 - MatchHistory'!$B:$B, $A95, 'Season 1 - MatchHistory'!$C:$C, "Town")</f>
        <v/>
      </c>
      <c r="C95" s="14">
        <f>COUNTIFS('Season 1 - MatchHistory'!B:B, A95, 'Season 1 - MatchHistory'!C:C, "Town", 'Season 1 - MatchHistory'!D:D, "Win")</f>
        <v/>
      </c>
      <c r="D95" s="13">
        <f>IFERROR(__xludf.DUMMYFUNCTION("IF(EQ($B95, 0), TO_PERCENT(0), TO_PERCENT($C95/$B95))"),0.18181818181818182)</f>
        <v/>
      </c>
      <c r="E95" s="14">
        <f>COUNTIFS('Season 1 - MatchHistory'!$B:$B, $A95, 'Season 1 - MatchHistory'!$C:$C, "Mafia")</f>
        <v/>
      </c>
      <c r="F95" s="14">
        <f>COUNTIFS('Season 1 - MatchHistory'!$B:$B, $A95, 'Season 1 - MatchHistory'!$C:$C, "Mafia", 'Season 1 - MatchHistory'!$D:$D, "Win")</f>
        <v/>
      </c>
      <c r="G95" s="13">
        <f>IFERROR(__xludf.DUMMYFUNCTION("TO_PERCENT(IFERROR($F95/$E95, 0))"),0.6666666666666666)</f>
        <v/>
      </c>
      <c r="H95" s="13">
        <f>IFERROR(__xludf.DUMMYFUNCTION("TO_PERCENT(IFERROR(($F95+$C95)/($E95+$B95), 0))"),0.2857142857142857)</f>
        <v/>
      </c>
      <c r="I95" s="11">
        <f t="array" ref="I95">INDEX('Season 1 - MatchHistory'!$G:$G,MATCH(1,('Season 1 - MatchHistory'!$B:$B=$A95)*('Season 1 - MatchHistory'!$G:$G&lt;&gt;""),0))</f>
        <v/>
      </c>
      <c r="J95" s="11">
        <f t="array" ref="J95">INDEX('Season 1 - MatchHistory'!$H:$H,MATCH(1,('Season 1 - MatchHistory'!$B:$B=$A95)*('Season 1 - MatchHistory'!$H:$H&lt;&gt;""),0))</f>
        <v/>
      </c>
      <c r="K95" s="12">
        <f t="array" ref="K95">INDEX('Season 1 - MatchHistory'!$J:$J,MATCH(1,('Season 1 - MatchHistory'!$B:$B=$A95)*('Season 1 - MatchHistory'!$J:$J&lt;&gt;""),0))</f>
        <v/>
      </c>
    </row>
    <row r="96" ht="22.5" customHeight="1" s="21">
      <c r="A96" s="14" t="inlineStr">
        <is>
          <t>Heck</t>
        </is>
      </c>
      <c r="B96" s="14">
        <f>COUNTIFS('Season 1 - MatchHistory'!$B:$B, $A96, 'Season 1 - MatchHistory'!$C:$C, "Town")</f>
        <v/>
      </c>
      <c r="C96" s="14">
        <f>COUNTIFS('Season 1 - MatchHistory'!B:B, A96, 'Season 1 - MatchHistory'!C:C, "Town", 'Season 1 - MatchHistory'!D:D, "Win")</f>
        <v/>
      </c>
      <c r="D96" s="13">
        <f>IFERROR(__xludf.DUMMYFUNCTION("IF(EQ($B96, 0), TO_PERCENT(0), TO_PERCENT($C96/$B96))"),0.4)</f>
        <v/>
      </c>
      <c r="E96" s="14">
        <f>COUNTIFS('Season 1 - MatchHistory'!$B:$B, $A96, 'Season 1 - MatchHistory'!$C:$C, "Mafia")</f>
        <v/>
      </c>
      <c r="F96" s="14">
        <f>COUNTIFS('Season 1 - MatchHistory'!$B:$B, $A96, 'Season 1 - MatchHistory'!$C:$C, "Mafia", 'Season 1 - MatchHistory'!$D:$D, "Win")</f>
        <v/>
      </c>
      <c r="G96" s="13">
        <f>IFERROR(__xludf.DUMMYFUNCTION("TO_PERCENT(IFERROR($F96/$E96, 0))"),0.0)</f>
        <v/>
      </c>
      <c r="H96" s="13">
        <f>IFERROR(__xludf.DUMMYFUNCTION("TO_PERCENT(IFERROR(($F96+$C96)/($E96+$B96), 0))"),0.25)</f>
        <v/>
      </c>
      <c r="I96" s="11">
        <f t="array" ref="I96">INDEX('Season 1 - MatchHistory'!$G:$G,MATCH(1,('Season 1 - MatchHistory'!$B:$B=$A96)*('Season 1 - MatchHistory'!$G:$G&lt;&gt;""),0))</f>
        <v/>
      </c>
      <c r="J96" s="11">
        <f t="array" ref="J96">INDEX('Season 1 - MatchHistory'!$H:$H,MATCH(1,('Season 1 - MatchHistory'!$B:$B=$A96)*('Season 1 - MatchHistory'!$H:$H&lt;&gt;""),0))</f>
        <v/>
      </c>
      <c r="K96" s="12">
        <f t="array" ref="K96">INDEX('Season 1 - MatchHistory'!$J:$J,MATCH(1,('Season 1 - MatchHistory'!$B:$B=$A96)*('Season 1 - MatchHistory'!$J:$J&lt;&gt;""),0))</f>
        <v/>
      </c>
    </row>
    <row r="97" ht="22.5" customHeight="1" s="21">
      <c r="A97" s="14" t="inlineStr">
        <is>
          <t>Chester</t>
        </is>
      </c>
      <c r="B97" s="14">
        <f>COUNTIFS('Season 1 - MatchHistory'!$B:$B, $A97, 'Season 1 - MatchHistory'!$C:$C, "Town")</f>
        <v/>
      </c>
      <c r="C97" s="14">
        <f>COUNTIFS('Season 1 - MatchHistory'!B:B, A97, 'Season 1 - MatchHistory'!C:C, "Town", 'Season 1 - MatchHistory'!D:D, "Win")</f>
        <v/>
      </c>
      <c r="D97" s="13">
        <f>IFERROR(__xludf.DUMMYFUNCTION("IF(EQ($B97, 0), TO_PERCENT(0), TO_PERCENT($C97/$B97))"),0.25)</f>
        <v/>
      </c>
      <c r="E97" s="14">
        <f>COUNTIFS('Season 1 - MatchHistory'!$B:$B, $A97, 'Season 1 - MatchHistory'!$C:$C, "Mafia")</f>
        <v/>
      </c>
      <c r="F97" s="14">
        <f>COUNTIFS('Season 1 - MatchHistory'!$B:$B, $A97, 'Season 1 - MatchHistory'!$C:$C, "Mafia", 'Season 1 - MatchHistory'!$D:$D, "Win")</f>
        <v/>
      </c>
      <c r="G97" s="13">
        <f>IFERROR(__xludf.DUMMYFUNCTION("TO_PERCENT(IFERROR($F97/$E97, 0))"),0.0)</f>
        <v/>
      </c>
      <c r="H97" s="13">
        <f>IFERROR(__xludf.DUMMYFUNCTION("TO_PERCENT(IFERROR(($F97+$C97)/($E97+$B97), 0))"),0.21428571428571427)</f>
        <v/>
      </c>
      <c r="I97" s="11">
        <f t="array" ref="I97">INDEX('Season 1 - MatchHistory'!$G:$G,MATCH(1,('Season 1 - MatchHistory'!$B:$B=$A97)*('Season 1 - MatchHistory'!$G:$G&lt;&gt;""),0))</f>
        <v/>
      </c>
      <c r="J97" s="11">
        <f t="array" ref="J97">INDEX('Season 1 - MatchHistory'!$H:$H,MATCH(1,('Season 1 - MatchHistory'!$B:$B=$A97)*('Season 1 - MatchHistory'!$H:$H&lt;&gt;""),0))</f>
        <v/>
      </c>
      <c r="K97" s="12">
        <f t="array" ref="K97">INDEX('Season 1 - MatchHistory'!$J:$J,MATCH(1,('Season 1 - MatchHistory'!$B:$B=$A97)*('Season 1 - MatchHistory'!$J:$J&lt;&gt;""),0))</f>
        <v/>
      </c>
    </row>
    <row r="98" ht="22.5" customHeight="1" s="21">
      <c r="A98" s="14" t="inlineStr">
        <is>
          <t>Whyin</t>
        </is>
      </c>
      <c r="B98" s="14">
        <f>COUNTIFS('Season 1 - MatchHistory'!$B:$B, $A98, 'Season 1 - MatchHistory'!$C:$C, "Town")</f>
        <v/>
      </c>
      <c r="C98" s="14">
        <f>COUNTIFS('Season 1 - MatchHistory'!B:B, A98, 'Season 1 - MatchHistory'!C:C, "Town", 'Season 1 - MatchHistory'!D:D, "Win")</f>
        <v/>
      </c>
      <c r="D98" s="13">
        <f>IFERROR(__xludf.DUMMYFUNCTION("IF(EQ($B98, 0), TO_PERCENT(0), TO_PERCENT($C98/$B98))"),0.1875)</f>
        <v/>
      </c>
      <c r="E98" s="14">
        <f>COUNTIFS('Season 1 - MatchHistory'!$B:$B, $A98, 'Season 1 - MatchHistory'!$C:$C, "Mafia")</f>
        <v/>
      </c>
      <c r="F98" s="14">
        <f>COUNTIFS('Season 1 - MatchHistory'!$B:$B, $A98, 'Season 1 - MatchHistory'!$C:$C, "Mafia", 'Season 1 - MatchHistory'!$D:$D, "Win")</f>
        <v/>
      </c>
      <c r="G98" s="13">
        <f>IFERROR(__xludf.DUMMYFUNCTION("TO_PERCENT(IFERROR($F98/$E98, 0))"),0.25)</f>
        <v/>
      </c>
      <c r="H98" s="13">
        <f>IFERROR(__xludf.DUMMYFUNCTION("TO_PERCENT(IFERROR(($F98+$C98)/($E98+$B98), 0))"),0.2)</f>
        <v/>
      </c>
      <c r="I98" s="11">
        <f t="array" ref="I98">INDEX('Season 1 - MatchHistory'!$G:$G,MATCH(1,('Season 1 - MatchHistory'!$B:$B=$A98)*('Season 1 - MatchHistory'!$G:$G&lt;&gt;""),0))</f>
        <v/>
      </c>
      <c r="J98" s="11">
        <f t="array" ref="J98">INDEX('Season 1 - MatchHistory'!$H:$H,MATCH(1,('Season 1 - MatchHistory'!$B:$B=$A98)*('Season 1 - MatchHistory'!$H:$H&lt;&gt;""),0))</f>
        <v/>
      </c>
      <c r="K98" s="12">
        <f t="array" ref="K98">INDEX('Season 1 - MatchHistory'!$J:$J,MATCH(1,('Season 1 - MatchHistory'!$B:$B=$A98)*('Season 1 - MatchHistory'!$J:$J&lt;&gt;""),0))</f>
        <v/>
      </c>
    </row>
    <row r="99">
      <c r="B99" s="19" t="n"/>
      <c r="I99" s="17" t="n"/>
      <c r="J99" s="17" t="n"/>
      <c r="K99" s="18" t="n"/>
    </row>
    <row r="100">
      <c r="B100" s="19" t="n"/>
      <c r="I100" s="17" t="n"/>
      <c r="J100" s="17" t="n"/>
      <c r="K100" s="18" t="n"/>
    </row>
    <row r="101">
      <c r="B101" s="19" t="n"/>
      <c r="I101" s="17" t="n"/>
      <c r="J101" s="17" t="n"/>
      <c r="K101" s="18" t="n"/>
    </row>
    <row r="102">
      <c r="B102" s="19" t="n"/>
      <c r="I102" s="17" t="n"/>
      <c r="J102" s="17" t="n"/>
      <c r="K102" s="18" t="n"/>
    </row>
    <row r="103">
      <c r="B103" s="19" t="n"/>
      <c r="I103" s="17" t="n"/>
      <c r="J103" s="17" t="n"/>
      <c r="K103" s="18" t="n"/>
    </row>
    <row r="104">
      <c r="B104" s="19" t="n"/>
      <c r="I104" s="17" t="n"/>
      <c r="J104" s="17" t="n"/>
      <c r="K104" s="18" t="n"/>
    </row>
    <row r="105">
      <c r="A105" s="19">
        <f>'Season 1 - MafiaRatings'!A:A</f>
        <v/>
      </c>
      <c r="B105" s="19" t="n"/>
      <c r="I105" s="17" t="n"/>
      <c r="J105" s="17" t="n"/>
      <c r="K105" s="18" t="n"/>
    </row>
    <row r="106">
      <c r="A106" s="19">
        <f>'Season 1 - MafiaRatings'!A:A</f>
        <v/>
      </c>
      <c r="B106" s="19" t="n"/>
      <c r="I106" s="17" t="n"/>
      <c r="J106" s="17" t="n"/>
      <c r="K106" s="18" t="n"/>
    </row>
    <row r="107">
      <c r="A107" s="19">
        <f>'Season 1 - MafiaRatings'!A:A</f>
        <v/>
      </c>
      <c r="B107" s="19" t="n"/>
      <c r="I107" s="17" t="n"/>
      <c r="J107" s="17" t="n"/>
      <c r="K107" s="18" t="n"/>
    </row>
    <row r="108">
      <c r="A108" s="19">
        <f>'Season 1 - MafiaRatings'!A:A</f>
        <v/>
      </c>
      <c r="B108" s="19" t="n"/>
      <c r="I108" s="17" t="n"/>
      <c r="J108" s="17" t="n"/>
      <c r="K108" s="18" t="n"/>
    </row>
    <row r="109">
      <c r="A109" s="19">
        <f>'Season 1 - MafiaRatings'!A:A</f>
        <v/>
      </c>
      <c r="B109" s="19" t="n"/>
      <c r="I109" s="17" t="n"/>
      <c r="J109" s="17" t="n"/>
      <c r="K109" s="18" t="n"/>
    </row>
    <row r="110">
      <c r="A110" s="19">
        <f>'Season 1 - MafiaRatings'!A:A</f>
        <v/>
      </c>
      <c r="B110" s="19" t="n"/>
      <c r="I110" s="17" t="n"/>
      <c r="J110" s="17" t="n"/>
      <c r="K110" s="18" t="n"/>
    </row>
    <row r="111">
      <c r="A111" s="19">
        <f>'Season 1 - MafiaRatings'!A:A</f>
        <v/>
      </c>
      <c r="B111" s="19" t="n"/>
      <c r="I111" s="17" t="n"/>
      <c r="J111" s="17" t="n"/>
      <c r="K111" s="18" t="n"/>
    </row>
    <row r="112">
      <c r="A112" s="19">
        <f>'Season 1 - MafiaRatings'!A:A</f>
        <v/>
      </c>
      <c r="B112" s="19" t="n"/>
      <c r="I112" s="17" t="n"/>
      <c r="J112" s="17" t="n"/>
      <c r="K112" s="18" t="n"/>
    </row>
    <row r="113">
      <c r="A113" s="19">
        <f>'Season 1 - MafiaRatings'!A:A</f>
        <v/>
      </c>
      <c r="B113" s="19" t="n"/>
      <c r="I113" s="17" t="n"/>
      <c r="J113" s="17" t="n"/>
      <c r="K113" s="18" t="n"/>
    </row>
    <row r="114">
      <c r="A114" s="19">
        <f>'Season 1 - MafiaRatings'!A:A</f>
        <v/>
      </c>
      <c r="B114" s="19" t="n"/>
      <c r="I114" s="17" t="n"/>
      <c r="J114" s="17" t="n"/>
      <c r="K114" s="18" t="n"/>
    </row>
    <row r="115">
      <c r="A115" s="19">
        <f>'Season 1 - MafiaRatings'!A:A</f>
        <v/>
      </c>
      <c r="B115" s="19" t="n"/>
      <c r="I115" s="17" t="n"/>
      <c r="J115" s="17" t="n"/>
      <c r="K115" s="18" t="n"/>
    </row>
    <row r="116">
      <c r="A116" s="19">
        <f>'Season 1 - MafiaRatings'!A:A</f>
        <v/>
      </c>
      <c r="B116" s="19" t="n"/>
      <c r="I116" s="17" t="n"/>
      <c r="J116" s="17" t="n"/>
      <c r="K116" s="18" t="n"/>
    </row>
    <row r="117">
      <c r="A117" s="19">
        <f>'Season 1 - MafiaRatings'!A:A</f>
        <v/>
      </c>
      <c r="B117" s="19" t="n"/>
      <c r="I117" s="17" t="n"/>
      <c r="J117" s="17" t="n"/>
      <c r="K117" s="18" t="n"/>
    </row>
    <row r="118">
      <c r="A118" s="19">
        <f>'Season 1 - MafiaRatings'!A:A</f>
        <v/>
      </c>
      <c r="B118" s="19" t="n"/>
      <c r="I118" s="17" t="n"/>
      <c r="J118" s="17" t="n"/>
      <c r="K118" s="18" t="n"/>
    </row>
    <row r="119">
      <c r="A119" s="19">
        <f>'Season 1 - MafiaRatings'!A:A</f>
        <v/>
      </c>
      <c r="B119" s="19" t="n"/>
      <c r="I119" s="17" t="n"/>
      <c r="J119" s="17" t="n"/>
      <c r="K119" s="18" t="n"/>
    </row>
    <row r="120">
      <c r="A120" s="19">
        <f>'Season 1 - MafiaRatings'!A:A</f>
        <v/>
      </c>
      <c r="B120" s="19" t="n"/>
      <c r="I120" s="17" t="n"/>
      <c r="J120" s="17" t="n"/>
      <c r="K120" s="18" t="n"/>
    </row>
    <row r="121">
      <c r="A121" s="19">
        <f>'Season 1 - MafiaRatings'!A:A</f>
        <v/>
      </c>
      <c r="B121" s="19" t="n"/>
      <c r="I121" s="17" t="n"/>
      <c r="J121" s="17" t="n"/>
      <c r="K121" s="18" t="n"/>
    </row>
    <row r="122">
      <c r="A122" s="19">
        <f>'Season 1 - MafiaRatings'!A:A</f>
        <v/>
      </c>
      <c r="B122" s="19" t="n"/>
      <c r="I122" s="17" t="n"/>
      <c r="J122" s="17" t="n"/>
      <c r="K122" s="18" t="n"/>
    </row>
    <row r="123">
      <c r="A123" s="19">
        <f>'Season 1 - MafiaRatings'!A:A</f>
        <v/>
      </c>
      <c r="B123" s="19" t="n"/>
      <c r="I123" s="17" t="n"/>
      <c r="J123" s="17" t="n"/>
      <c r="K123" s="18" t="n"/>
    </row>
    <row r="124">
      <c r="A124" s="19">
        <f>'Season 1 - MafiaRatings'!A:A</f>
        <v/>
      </c>
      <c r="B124" s="19" t="n"/>
      <c r="I124" s="17" t="n"/>
      <c r="J124" s="17" t="n"/>
      <c r="K124" s="18" t="n"/>
    </row>
    <row r="125">
      <c r="A125" s="19">
        <f>'Season 1 - MafiaRatings'!A:A</f>
        <v/>
      </c>
      <c r="B125" s="19" t="n"/>
      <c r="I125" s="17" t="n"/>
      <c r="J125" s="17" t="n"/>
      <c r="K125" s="18" t="n"/>
    </row>
    <row r="126">
      <c r="A126" s="19">
        <f>'Season 1 - MafiaRatings'!A:A</f>
        <v/>
      </c>
      <c r="B126" s="19" t="n"/>
      <c r="I126" s="17" t="n"/>
      <c r="J126" s="17" t="n"/>
      <c r="K126" s="18" t="n"/>
    </row>
    <row r="127">
      <c r="A127" s="19">
        <f>'Season 1 - MafiaRatings'!A:A</f>
        <v/>
      </c>
      <c r="B127" s="19" t="n"/>
      <c r="I127" s="17" t="n"/>
      <c r="J127" s="17" t="n"/>
      <c r="K127" s="18" t="n"/>
    </row>
    <row r="128">
      <c r="A128" s="19">
        <f>'Season 1 - MafiaRatings'!A:A</f>
        <v/>
      </c>
      <c r="B128" s="19" t="n"/>
      <c r="I128" s="17" t="n"/>
      <c r="J128" s="17" t="n"/>
      <c r="K128" s="18" t="n"/>
    </row>
    <row r="129">
      <c r="A129" s="19">
        <f>'Season 1 - MafiaRatings'!A:A</f>
        <v/>
      </c>
      <c r="B129" s="19" t="n"/>
      <c r="I129" s="17" t="n"/>
      <c r="J129" s="17" t="n"/>
      <c r="K129" s="18" t="n"/>
    </row>
    <row r="130">
      <c r="A130" s="19">
        <f>'Season 1 - MafiaRatings'!A:A</f>
        <v/>
      </c>
      <c r="B130" s="19" t="n"/>
      <c r="I130" s="17" t="n"/>
      <c r="J130" s="17" t="n"/>
      <c r="K130" s="18" t="n"/>
    </row>
    <row r="131">
      <c r="A131" s="19">
        <f>'Season 1 - MafiaRatings'!A:A</f>
        <v/>
      </c>
      <c r="B131" s="19" t="n"/>
      <c r="I131" s="17" t="n"/>
      <c r="J131" s="17" t="n"/>
      <c r="K131" s="18" t="n"/>
    </row>
    <row r="132">
      <c r="A132" s="19">
        <f>'Season 1 - MafiaRatings'!A:A</f>
        <v/>
      </c>
      <c r="B132" s="19" t="n"/>
      <c r="I132" s="17" t="n"/>
      <c r="J132" s="17" t="n"/>
      <c r="K132" s="18" t="n"/>
    </row>
    <row r="133">
      <c r="A133" s="19">
        <f>'Season 1 - MafiaRatings'!A:A</f>
        <v/>
      </c>
      <c r="B133" s="19" t="n"/>
      <c r="I133" s="17" t="n"/>
      <c r="J133" s="17" t="n"/>
      <c r="K133" s="18" t="n"/>
    </row>
    <row r="134">
      <c r="A134" s="19">
        <f>'Season 1 - MafiaRatings'!A:A</f>
        <v/>
      </c>
      <c r="B134" s="19" t="n"/>
      <c r="I134" s="17" t="n"/>
      <c r="J134" s="17" t="n"/>
      <c r="K134" s="18" t="n"/>
    </row>
    <row r="135">
      <c r="A135" s="19">
        <f>'Season 1 - MafiaRatings'!A:A</f>
        <v/>
      </c>
      <c r="B135" s="19" t="n"/>
      <c r="I135" s="17" t="n"/>
      <c r="J135" s="17" t="n"/>
      <c r="K135" s="18" t="n"/>
    </row>
    <row r="136">
      <c r="A136" s="19">
        <f>'Season 1 - MafiaRatings'!A:A</f>
        <v/>
      </c>
      <c r="B136" s="19" t="n"/>
      <c r="I136" s="17" t="n"/>
      <c r="J136" s="17" t="n"/>
      <c r="K136" s="18" t="n"/>
    </row>
    <row r="137">
      <c r="A137" s="19">
        <f>'Season 1 - MafiaRatings'!A:A</f>
        <v/>
      </c>
      <c r="B137" s="19" t="n"/>
      <c r="I137" s="17" t="n"/>
      <c r="J137" s="17" t="n"/>
      <c r="K137" s="18" t="n"/>
    </row>
    <row r="138">
      <c r="A138" s="19">
        <f>'Season 1 - MafiaRatings'!A:A</f>
        <v/>
      </c>
      <c r="B138" s="19" t="n"/>
      <c r="I138" s="17" t="n"/>
      <c r="J138" s="17" t="n"/>
      <c r="K138" s="18" t="n"/>
    </row>
    <row r="139">
      <c r="A139" s="19">
        <f>'Season 1 - MafiaRatings'!A:A</f>
        <v/>
      </c>
      <c r="B139" s="19" t="n"/>
      <c r="I139" s="17" t="n"/>
      <c r="J139" s="17" t="n"/>
      <c r="K139" s="18" t="n"/>
    </row>
    <row r="140">
      <c r="A140" s="19">
        <f>'Season 1 - MafiaRatings'!A:A</f>
        <v/>
      </c>
      <c r="B140" s="19" t="n"/>
      <c r="I140" s="17" t="n"/>
      <c r="J140" s="17" t="n"/>
      <c r="K140" s="18" t="n"/>
    </row>
    <row r="141">
      <c r="A141" s="19">
        <f>'Season 1 - MafiaRatings'!A:A</f>
        <v/>
      </c>
      <c r="B141" s="19" t="n"/>
      <c r="I141" s="17" t="n"/>
      <c r="J141" s="17" t="n"/>
      <c r="K141" s="18" t="n"/>
    </row>
    <row r="142">
      <c r="A142" s="19">
        <f>'Season 1 - MafiaRatings'!A:A</f>
        <v/>
      </c>
      <c r="B142" s="19" t="n"/>
      <c r="I142" s="17" t="n"/>
      <c r="J142" s="17" t="n"/>
      <c r="K142" s="18" t="n"/>
    </row>
    <row r="143">
      <c r="A143" s="19">
        <f>'Season 1 - MafiaRatings'!A:A</f>
        <v/>
      </c>
      <c r="B143" s="19" t="n"/>
      <c r="I143" s="17" t="n"/>
      <c r="J143" s="17" t="n"/>
      <c r="K143" s="18" t="n"/>
    </row>
    <row r="144">
      <c r="A144" s="19">
        <f>'Season 1 - MafiaRatings'!A:A</f>
        <v/>
      </c>
      <c r="B144" s="19" t="n"/>
      <c r="I144" s="17" t="n"/>
      <c r="J144" s="17" t="n"/>
      <c r="K144" s="18" t="n"/>
    </row>
    <row r="145">
      <c r="A145" s="19">
        <f>'Season 1 - MafiaRatings'!A:A</f>
        <v/>
      </c>
      <c r="B145" s="19" t="n"/>
      <c r="I145" s="17" t="n"/>
      <c r="J145" s="17" t="n"/>
      <c r="K145" s="18" t="n"/>
    </row>
    <row r="146">
      <c r="A146" s="19">
        <f>'Season 1 - MafiaRatings'!A:A</f>
        <v/>
      </c>
      <c r="B146" s="19" t="n"/>
      <c r="I146" s="17" t="n"/>
      <c r="J146" s="17" t="n"/>
      <c r="K146" s="18" t="n"/>
    </row>
    <row r="147">
      <c r="A147" s="19">
        <f>'Season 1 - MafiaRatings'!A:A</f>
        <v/>
      </c>
      <c r="B147" s="19" t="n"/>
      <c r="I147" s="17" t="n"/>
      <c r="J147" s="17" t="n"/>
      <c r="K147" s="18" t="n"/>
    </row>
    <row r="148">
      <c r="A148" s="19">
        <f>'Season 1 - MafiaRatings'!A:A</f>
        <v/>
      </c>
      <c r="B148" s="19" t="n"/>
      <c r="I148" s="17" t="n"/>
      <c r="J148" s="17" t="n"/>
      <c r="K148" s="18" t="n"/>
    </row>
    <row r="149">
      <c r="A149" s="19">
        <f>'Season 1 - MafiaRatings'!A:A</f>
        <v/>
      </c>
      <c r="B149" s="19" t="n"/>
      <c r="I149" s="17" t="n"/>
      <c r="J149" s="17" t="n"/>
      <c r="K149" s="18" t="n"/>
    </row>
    <row r="150">
      <c r="A150" s="19">
        <f>'Season 1 - MafiaRatings'!A:A</f>
        <v/>
      </c>
      <c r="B150" s="19" t="n"/>
      <c r="I150" s="17" t="n"/>
      <c r="J150" s="17" t="n"/>
      <c r="K150" s="18" t="n"/>
    </row>
    <row r="151">
      <c r="A151" s="19">
        <f>'Season 1 - MafiaRatings'!A:A</f>
        <v/>
      </c>
      <c r="B151" s="19" t="n"/>
      <c r="I151" s="17" t="n"/>
      <c r="J151" s="17" t="n"/>
      <c r="K151" s="18" t="n"/>
    </row>
    <row r="152">
      <c r="A152" s="19">
        <f>'Season 1 - MafiaRatings'!A:A</f>
        <v/>
      </c>
      <c r="B152" s="19" t="n"/>
      <c r="I152" s="17" t="n"/>
      <c r="J152" s="17" t="n"/>
      <c r="K152" s="18" t="n"/>
    </row>
    <row r="153">
      <c r="A153" s="19">
        <f>'Season 1 - MafiaRatings'!A:A</f>
        <v/>
      </c>
      <c r="B153" s="19" t="n"/>
      <c r="I153" s="17" t="n"/>
      <c r="J153" s="17" t="n"/>
      <c r="K153" s="18" t="n"/>
    </row>
    <row r="154">
      <c r="A154" s="19">
        <f>'Season 1 - MafiaRatings'!A:A</f>
        <v/>
      </c>
      <c r="B154" s="19" t="n"/>
      <c r="I154" s="17" t="n"/>
      <c r="J154" s="17" t="n"/>
      <c r="K154" s="18" t="n"/>
    </row>
    <row r="155">
      <c r="A155" s="19">
        <f>'Season 1 - MafiaRatings'!A:A</f>
        <v/>
      </c>
      <c r="B155" s="19" t="n"/>
      <c r="I155" s="17" t="n"/>
      <c r="J155" s="17" t="n"/>
      <c r="K155" s="18" t="n"/>
    </row>
    <row r="156">
      <c r="A156" s="19">
        <f>'Season 1 - MafiaRatings'!A:A</f>
        <v/>
      </c>
      <c r="B156" s="19" t="n"/>
      <c r="I156" s="17" t="n"/>
      <c r="J156" s="17" t="n"/>
      <c r="K156" s="18" t="n"/>
    </row>
    <row r="157">
      <c r="A157" s="19">
        <f>'Season 1 - MafiaRatings'!A:A</f>
        <v/>
      </c>
      <c r="B157" s="19" t="n"/>
      <c r="I157" s="17" t="n"/>
      <c r="J157" s="17" t="n"/>
      <c r="K157" s="18" t="n"/>
    </row>
    <row r="158">
      <c r="A158" s="19">
        <f>'Season 1 - MafiaRatings'!A:A</f>
        <v/>
      </c>
      <c r="B158" s="19" t="n"/>
      <c r="I158" s="17" t="n"/>
      <c r="J158" s="17" t="n"/>
      <c r="K158" s="18" t="n"/>
    </row>
    <row r="159">
      <c r="A159" s="19">
        <f>'Season 1 - MafiaRatings'!A:A</f>
        <v/>
      </c>
      <c r="B159" s="19" t="n"/>
      <c r="I159" s="17" t="n"/>
      <c r="J159" s="17" t="n"/>
      <c r="K159" s="18" t="n"/>
    </row>
    <row r="160">
      <c r="A160" s="19">
        <f>'Season 1 - MafiaRatings'!A:A</f>
        <v/>
      </c>
      <c r="B160" s="19" t="n"/>
      <c r="I160" s="17" t="n"/>
      <c r="J160" s="17" t="n"/>
      <c r="K160" s="18" t="n"/>
    </row>
    <row r="161">
      <c r="A161" s="19">
        <f>'Season 1 - MafiaRatings'!A:A</f>
        <v/>
      </c>
      <c r="B161" s="19" t="n"/>
      <c r="I161" s="17" t="n"/>
      <c r="J161" s="17" t="n"/>
      <c r="K161" s="18" t="n"/>
    </row>
    <row r="162">
      <c r="A162" s="19">
        <f>'Season 1 - MafiaRatings'!A:A</f>
        <v/>
      </c>
      <c r="B162" s="19" t="n"/>
      <c r="I162" s="17" t="n"/>
      <c r="J162" s="17" t="n"/>
      <c r="K162" s="18" t="n"/>
    </row>
    <row r="163">
      <c r="A163" s="19">
        <f>'Season 1 - MafiaRatings'!A:A</f>
        <v/>
      </c>
      <c r="B163" s="19" t="n"/>
      <c r="I163" s="17" t="n"/>
      <c r="J163" s="17" t="n"/>
      <c r="K163" s="18" t="n"/>
    </row>
    <row r="164">
      <c r="A164" s="19">
        <f>'Season 1 - MafiaRatings'!A:A</f>
        <v/>
      </c>
      <c r="B164" s="19" t="n"/>
      <c r="I164" s="17" t="n"/>
      <c r="J164" s="17" t="n"/>
      <c r="K164" s="18" t="n"/>
    </row>
    <row r="165">
      <c r="A165" s="19">
        <f>'Season 1 - MafiaRatings'!A:A</f>
        <v/>
      </c>
      <c r="B165" s="19" t="n"/>
      <c r="I165" s="17" t="n"/>
      <c r="J165" s="17" t="n"/>
      <c r="K165" s="18" t="n"/>
    </row>
    <row r="166">
      <c r="A166" s="19">
        <f>'Season 1 - MafiaRatings'!A:A</f>
        <v/>
      </c>
      <c r="B166" s="19" t="n"/>
      <c r="I166" s="17" t="n"/>
      <c r="J166" s="17" t="n"/>
      <c r="K166" s="18" t="n"/>
    </row>
    <row r="167">
      <c r="A167" s="19">
        <f>'Season 1 - MafiaRatings'!A:A</f>
        <v/>
      </c>
      <c r="B167" s="19" t="n"/>
      <c r="I167" s="17" t="n"/>
      <c r="J167" s="17" t="n"/>
      <c r="K167" s="18" t="n"/>
    </row>
    <row r="168">
      <c r="A168" s="19">
        <f>'Season 1 - MafiaRatings'!A:A</f>
        <v/>
      </c>
      <c r="B168" s="19" t="n"/>
      <c r="I168" s="17" t="n"/>
      <c r="J168" s="17" t="n"/>
      <c r="K168" s="18" t="n"/>
    </row>
    <row r="169">
      <c r="A169" s="19">
        <f>'Season 1 - MafiaRatings'!A:A</f>
        <v/>
      </c>
      <c r="B169" s="19" t="n"/>
      <c r="I169" s="17" t="n"/>
      <c r="J169" s="17" t="n"/>
      <c r="K169" s="18" t="n"/>
    </row>
    <row r="170">
      <c r="A170" s="19">
        <f>'Season 1 - MafiaRatings'!A:A</f>
        <v/>
      </c>
      <c r="B170" s="19" t="n"/>
      <c r="I170" s="17" t="n"/>
      <c r="J170" s="17" t="n"/>
      <c r="K170" s="18" t="n"/>
    </row>
    <row r="171">
      <c r="A171" s="19">
        <f>'Season 1 - MafiaRatings'!A:A</f>
        <v/>
      </c>
      <c r="B171" s="19" t="n"/>
      <c r="I171" s="17" t="n"/>
      <c r="J171" s="17" t="n"/>
      <c r="K171" s="18" t="n"/>
    </row>
    <row r="172">
      <c r="A172" s="19">
        <f>'Season 1 - MafiaRatings'!A:A</f>
        <v/>
      </c>
      <c r="B172" s="19" t="n"/>
      <c r="I172" s="17" t="n"/>
      <c r="J172" s="17" t="n"/>
      <c r="K172" s="18" t="n"/>
    </row>
    <row r="173">
      <c r="A173" s="19">
        <f>'Season 1 - MafiaRatings'!A:A</f>
        <v/>
      </c>
      <c r="B173" s="19" t="n"/>
      <c r="I173" s="17" t="n"/>
      <c r="J173" s="17" t="n"/>
      <c r="K173" s="18" t="n"/>
    </row>
    <row r="174">
      <c r="A174" s="19">
        <f>'Season 1 - MafiaRatings'!A:A</f>
        <v/>
      </c>
      <c r="B174" s="19" t="n"/>
      <c r="I174" s="17" t="n"/>
      <c r="J174" s="17" t="n"/>
      <c r="K174" s="18" t="n"/>
    </row>
    <row r="175">
      <c r="A175" s="19">
        <f>'Season 1 - MafiaRatings'!A:A</f>
        <v/>
      </c>
      <c r="B175" s="19" t="n"/>
      <c r="I175" s="17" t="n"/>
      <c r="J175" s="17" t="n"/>
      <c r="K175" s="18" t="n"/>
    </row>
    <row r="176">
      <c r="A176" s="19">
        <f>'Season 1 - MafiaRatings'!A:A</f>
        <v/>
      </c>
      <c r="B176" s="19" t="n"/>
      <c r="I176" s="17" t="n"/>
      <c r="J176" s="17" t="n"/>
      <c r="K176" s="18" t="n"/>
    </row>
    <row r="177">
      <c r="A177" s="19">
        <f>'Season 1 - MafiaRatings'!A:A</f>
        <v/>
      </c>
      <c r="B177" s="19" t="n"/>
      <c r="I177" s="17" t="n"/>
      <c r="J177" s="17" t="n"/>
      <c r="K177" s="18" t="n"/>
    </row>
    <row r="178">
      <c r="A178" s="19">
        <f>'Season 1 - MafiaRatings'!A:A</f>
        <v/>
      </c>
      <c r="B178" s="19" t="n"/>
      <c r="I178" s="17" t="n"/>
      <c r="J178" s="17" t="n"/>
      <c r="K178" s="18" t="n"/>
    </row>
    <row r="179">
      <c r="A179" s="19">
        <f>'Season 1 - MafiaRatings'!A:A</f>
        <v/>
      </c>
      <c r="B179" s="19" t="n"/>
      <c r="I179" s="17" t="n"/>
      <c r="J179" s="17" t="n"/>
      <c r="K179" s="18" t="n"/>
    </row>
    <row r="180">
      <c r="A180" s="19">
        <f>'Season 1 - MafiaRatings'!A:A</f>
        <v/>
      </c>
      <c r="B180" s="19" t="n"/>
      <c r="I180" s="17" t="n"/>
      <c r="J180" s="17" t="n"/>
      <c r="K180" s="18" t="n"/>
    </row>
    <row r="181">
      <c r="A181" s="19">
        <f>'Season 1 - MafiaRatings'!A:A</f>
        <v/>
      </c>
      <c r="B181" s="19" t="n"/>
      <c r="I181" s="17" t="n"/>
      <c r="J181" s="17" t="n"/>
      <c r="K181" s="18" t="n"/>
    </row>
    <row r="182">
      <c r="A182" s="19">
        <f>'Season 1 - MafiaRatings'!A:A</f>
        <v/>
      </c>
      <c r="B182" s="19" t="n"/>
      <c r="I182" s="17" t="n"/>
      <c r="J182" s="17" t="n"/>
      <c r="K182" s="18" t="n"/>
    </row>
    <row r="183">
      <c r="A183" s="19">
        <f>'Season 1 - MafiaRatings'!A:A</f>
        <v/>
      </c>
      <c r="B183" s="19" t="n"/>
      <c r="I183" s="17" t="n"/>
      <c r="J183" s="17" t="n"/>
      <c r="K183" s="18" t="n"/>
    </row>
    <row r="184">
      <c r="A184" s="19">
        <f>'Season 1 - MafiaRatings'!A:A</f>
        <v/>
      </c>
      <c r="B184" s="19" t="n"/>
      <c r="I184" s="17" t="n"/>
      <c r="J184" s="17" t="n"/>
      <c r="K184" s="18" t="n"/>
    </row>
    <row r="185">
      <c r="A185" s="19">
        <f>'Season 1 - MafiaRatings'!A:A</f>
        <v/>
      </c>
      <c r="B185" s="19" t="n"/>
      <c r="I185" s="17" t="n"/>
      <c r="J185" s="17" t="n"/>
      <c r="K185" s="18" t="n"/>
    </row>
    <row r="186">
      <c r="A186" s="19">
        <f>'Season 1 - MafiaRatings'!A:A</f>
        <v/>
      </c>
      <c r="B186" s="19" t="n"/>
      <c r="I186" s="17" t="n"/>
      <c r="J186" s="17" t="n"/>
      <c r="K186" s="18" t="n"/>
    </row>
    <row r="187">
      <c r="A187" s="19">
        <f>'Season 1 - MafiaRatings'!A:A</f>
        <v/>
      </c>
      <c r="B187" s="19" t="n"/>
      <c r="I187" s="17" t="n"/>
      <c r="J187" s="17" t="n"/>
      <c r="K187" s="18" t="n"/>
    </row>
    <row r="188">
      <c r="A188" s="19">
        <f>'Season 1 - MafiaRatings'!A:A</f>
        <v/>
      </c>
      <c r="B188" s="19" t="n"/>
      <c r="I188" s="17" t="n"/>
      <c r="J188" s="17" t="n"/>
      <c r="K188" s="18" t="n"/>
    </row>
    <row r="189">
      <c r="A189" s="19">
        <f>'Season 1 - MafiaRatings'!A:A</f>
        <v/>
      </c>
      <c r="B189" s="19" t="n"/>
      <c r="I189" s="17" t="n"/>
      <c r="J189" s="17" t="n"/>
      <c r="K189" s="18" t="n"/>
    </row>
    <row r="190">
      <c r="A190" s="19">
        <f>'Season 1 - MafiaRatings'!A:A</f>
        <v/>
      </c>
      <c r="B190" s="19" t="n"/>
      <c r="I190" s="17" t="n"/>
      <c r="J190" s="17" t="n"/>
      <c r="K190" s="18" t="n"/>
    </row>
    <row r="191">
      <c r="A191" s="19">
        <f>'Season 1 - MafiaRatings'!A:A</f>
        <v/>
      </c>
      <c r="B191" s="19" t="n"/>
      <c r="I191" s="17" t="n"/>
      <c r="J191" s="17" t="n"/>
      <c r="K191" s="18" t="n"/>
    </row>
    <row r="192">
      <c r="A192" s="19">
        <f>'Season 1 - MafiaRatings'!A:A</f>
        <v/>
      </c>
      <c r="B192" s="19" t="n"/>
      <c r="I192" s="17" t="n"/>
      <c r="J192" s="17" t="n"/>
      <c r="K192" s="18" t="n"/>
    </row>
    <row r="193">
      <c r="A193" s="19">
        <f>'Season 1 - MafiaRatings'!A:A</f>
        <v/>
      </c>
      <c r="B193" s="19" t="n"/>
      <c r="I193" s="17" t="n"/>
      <c r="J193" s="17" t="n"/>
      <c r="K193" s="18" t="n"/>
    </row>
    <row r="194">
      <c r="A194" s="19">
        <f>'Season 1 - MafiaRatings'!A:A</f>
        <v/>
      </c>
      <c r="B194" s="19" t="n"/>
      <c r="I194" s="17" t="n"/>
      <c r="J194" s="17" t="n"/>
      <c r="K194" s="18" t="n"/>
    </row>
    <row r="195">
      <c r="A195" s="19">
        <f>'Season 1 - MafiaRatings'!A:A</f>
        <v/>
      </c>
      <c r="B195" s="19" t="n"/>
      <c r="I195" s="17" t="n"/>
      <c r="J195" s="17" t="n"/>
      <c r="K195" s="18" t="n"/>
    </row>
    <row r="196">
      <c r="A196" s="19">
        <f>'Season 1 - MafiaRatings'!A:A</f>
        <v/>
      </c>
      <c r="B196" s="19" t="n"/>
      <c r="I196" s="17" t="n"/>
      <c r="J196" s="17" t="n"/>
      <c r="K196" s="18" t="n"/>
    </row>
    <row r="197">
      <c r="A197" s="19">
        <f>'Season 1 - MafiaRatings'!A:A</f>
        <v/>
      </c>
      <c r="B197" s="19" t="n"/>
      <c r="I197" s="17" t="n"/>
      <c r="J197" s="17" t="n"/>
      <c r="K197" s="18" t="n"/>
    </row>
    <row r="198">
      <c r="A198" s="19">
        <f>'Season 1 - MafiaRatings'!A:A</f>
        <v/>
      </c>
      <c r="B198" s="19" t="n"/>
      <c r="I198" s="17" t="n"/>
      <c r="J198" s="17" t="n"/>
      <c r="K198" s="18" t="n"/>
    </row>
    <row r="199">
      <c r="A199" s="19">
        <f>'Season 1 - MafiaRatings'!A:A</f>
        <v/>
      </c>
      <c r="B199" s="19" t="n"/>
      <c r="I199" s="17" t="n"/>
      <c r="J199" s="17" t="n"/>
      <c r="K199" s="18" t="n"/>
    </row>
    <row r="200">
      <c r="A200" s="19">
        <f>'Season 1 - MafiaRatings'!A:A</f>
        <v/>
      </c>
      <c r="B200" s="19" t="n"/>
      <c r="I200" s="17" t="n"/>
      <c r="J200" s="17" t="n"/>
      <c r="K200" s="18" t="n"/>
    </row>
    <row r="201">
      <c r="A201" s="19">
        <f>'Season 1 - MafiaRatings'!A:A</f>
        <v/>
      </c>
      <c r="B201" s="19" t="n"/>
      <c r="I201" s="17" t="n"/>
      <c r="J201" s="17" t="n"/>
      <c r="K201" s="18" t="n"/>
    </row>
    <row r="202">
      <c r="A202" s="19">
        <f>'Season 1 - MafiaRatings'!A:A</f>
        <v/>
      </c>
      <c r="B202" s="19" t="n"/>
      <c r="I202" s="17" t="n"/>
      <c r="J202" s="17" t="n"/>
      <c r="K202" s="18" t="n"/>
    </row>
    <row r="203">
      <c r="A203" s="19">
        <f>'Season 1 - MafiaRatings'!A:A</f>
        <v/>
      </c>
      <c r="B203" s="19" t="n"/>
      <c r="I203" s="17" t="n"/>
      <c r="J203" s="17" t="n"/>
      <c r="K203" s="18" t="n"/>
    </row>
    <row r="204">
      <c r="A204" s="19">
        <f>'Season 1 - MafiaRatings'!A:A</f>
        <v/>
      </c>
      <c r="B204" s="19" t="n"/>
      <c r="I204" s="17" t="n"/>
      <c r="J204" s="17" t="n"/>
      <c r="K204" s="18" t="n"/>
    </row>
    <row r="205">
      <c r="A205" s="19">
        <f>'Season 1 - MafiaRatings'!A:A</f>
        <v/>
      </c>
      <c r="B205" s="19" t="n"/>
      <c r="I205" s="17" t="n"/>
      <c r="J205" s="17" t="n"/>
      <c r="K205" s="18" t="n"/>
    </row>
    <row r="206">
      <c r="A206" s="19">
        <f>'Season 1 - MafiaRatings'!A:A</f>
        <v/>
      </c>
      <c r="B206" s="19" t="n"/>
      <c r="I206" s="17" t="n"/>
      <c r="J206" s="17" t="n"/>
      <c r="K206" s="18" t="n"/>
    </row>
    <row r="207">
      <c r="A207" s="19">
        <f>'Season 1 - MafiaRatings'!A:A</f>
        <v/>
      </c>
      <c r="B207" s="19" t="n"/>
      <c r="I207" s="17" t="n"/>
      <c r="J207" s="17" t="n"/>
      <c r="K207" s="18" t="n"/>
    </row>
    <row r="208">
      <c r="A208" s="19">
        <f>'Season 1 - MafiaRatings'!A:A</f>
        <v/>
      </c>
      <c r="B208" s="19" t="n"/>
      <c r="I208" s="17" t="n"/>
      <c r="J208" s="17" t="n"/>
      <c r="K208" s="18" t="n"/>
    </row>
    <row r="209">
      <c r="A209" s="19">
        <f>'Season 1 - MafiaRatings'!A:A</f>
        <v/>
      </c>
      <c r="B209" s="19" t="n"/>
      <c r="I209" s="17" t="n"/>
      <c r="J209" s="17" t="n"/>
      <c r="K209" s="18" t="n"/>
    </row>
    <row r="210">
      <c r="A210" s="19">
        <f>'Season 1 - MafiaRatings'!A:A</f>
        <v/>
      </c>
      <c r="B210" s="19" t="n"/>
      <c r="I210" s="17" t="n"/>
      <c r="J210" s="17" t="n"/>
      <c r="K210" s="18" t="n"/>
    </row>
    <row r="211">
      <c r="A211" s="19">
        <f>'Season 1 - MafiaRatings'!A:A</f>
        <v/>
      </c>
      <c r="B211" s="19" t="n"/>
      <c r="I211" s="17" t="n"/>
      <c r="J211" s="17" t="n"/>
      <c r="K211" s="18" t="n"/>
    </row>
    <row r="212">
      <c r="A212" s="19">
        <f>'Season 1 - MafiaRatings'!A:A</f>
        <v/>
      </c>
      <c r="B212" s="19" t="n"/>
      <c r="I212" s="17" t="n"/>
      <c r="J212" s="17" t="n"/>
      <c r="K212" s="18" t="n"/>
    </row>
    <row r="213">
      <c r="A213" s="19">
        <f>'Season 1 - MafiaRatings'!A:A</f>
        <v/>
      </c>
      <c r="B213" s="19" t="n"/>
      <c r="I213" s="17" t="n"/>
      <c r="J213" s="17" t="n"/>
      <c r="K213" s="18" t="n"/>
    </row>
    <row r="214">
      <c r="A214" s="19">
        <f>'Season 1 - MafiaRatings'!A:A</f>
        <v/>
      </c>
      <c r="B214" s="19" t="n"/>
      <c r="I214" s="17" t="n"/>
      <c r="J214" s="17" t="n"/>
      <c r="K214" s="18" t="n"/>
    </row>
    <row r="215">
      <c r="A215" s="19">
        <f>'Season 1 - MafiaRatings'!A:A</f>
        <v/>
      </c>
      <c r="B215" s="19" t="n"/>
      <c r="I215" s="17" t="n"/>
      <c r="J215" s="17" t="n"/>
      <c r="K215" s="18" t="n"/>
    </row>
    <row r="216">
      <c r="A216" s="19">
        <f>'Season 1 - MafiaRatings'!A:A</f>
        <v/>
      </c>
      <c r="B216" s="19" t="n"/>
      <c r="I216" s="17" t="n"/>
      <c r="J216" s="17" t="n"/>
      <c r="K216" s="18" t="n"/>
    </row>
    <row r="217">
      <c r="A217" s="19">
        <f>'Season 1 - MafiaRatings'!A:A</f>
        <v/>
      </c>
      <c r="B217" s="19" t="n"/>
      <c r="I217" s="17" t="n"/>
      <c r="J217" s="17" t="n"/>
      <c r="K217" s="18" t="n"/>
    </row>
    <row r="218">
      <c r="A218" s="19">
        <f>'Season 1 - MafiaRatings'!A:A</f>
        <v/>
      </c>
      <c r="B218" s="19" t="n"/>
      <c r="I218" s="17" t="n"/>
      <c r="J218" s="17" t="n"/>
      <c r="K218" s="18" t="n"/>
    </row>
    <row r="219">
      <c r="A219" s="19">
        <f>'Season 1 - MafiaRatings'!A:A</f>
        <v/>
      </c>
      <c r="B219" s="19" t="n"/>
      <c r="I219" s="17" t="n"/>
      <c r="J219" s="17" t="n"/>
      <c r="K219" s="18" t="n"/>
    </row>
    <row r="220">
      <c r="A220" s="19">
        <f>'Season 1 - MafiaRatings'!A:A</f>
        <v/>
      </c>
      <c r="B220" s="19" t="n"/>
      <c r="I220" s="17" t="n"/>
      <c r="J220" s="17" t="n"/>
      <c r="K220" s="18" t="n"/>
    </row>
    <row r="221">
      <c r="A221" s="19">
        <f>'Season 1 - MafiaRatings'!A:A</f>
        <v/>
      </c>
      <c r="B221" s="19" t="n"/>
      <c r="I221" s="17" t="n"/>
      <c r="J221" s="17" t="n"/>
      <c r="K221" s="18" t="n"/>
    </row>
    <row r="222">
      <c r="A222" s="19">
        <f>'Season 1 - MafiaRatings'!A:A</f>
        <v/>
      </c>
      <c r="B222" s="19" t="n"/>
      <c r="I222" s="17" t="n"/>
      <c r="J222" s="17" t="n"/>
      <c r="K222" s="18" t="n"/>
    </row>
    <row r="223">
      <c r="A223" s="19">
        <f>'Season 1 - MafiaRatings'!A:A</f>
        <v/>
      </c>
      <c r="B223" s="19" t="n"/>
      <c r="I223" s="17" t="n"/>
      <c r="J223" s="17" t="n"/>
      <c r="K223" s="18" t="n"/>
    </row>
    <row r="224">
      <c r="A224" s="19">
        <f>'Season 1 - MafiaRatings'!A:A</f>
        <v/>
      </c>
      <c r="B224" s="19" t="n"/>
      <c r="I224" s="17" t="n"/>
      <c r="J224" s="17" t="n"/>
      <c r="K224" s="18" t="n"/>
    </row>
    <row r="225">
      <c r="A225" s="19">
        <f>'Season 1 - MafiaRatings'!A:A</f>
        <v/>
      </c>
      <c r="B225" s="19" t="n"/>
      <c r="I225" s="17" t="n"/>
      <c r="J225" s="17" t="n"/>
      <c r="K225" s="18" t="n"/>
    </row>
    <row r="226">
      <c r="A226" s="19">
        <f>'Season 1 - MafiaRatings'!A:A</f>
        <v/>
      </c>
      <c r="B226" s="19" t="n"/>
      <c r="I226" s="17" t="n"/>
      <c r="J226" s="17" t="n"/>
      <c r="K226" s="18" t="n"/>
    </row>
    <row r="227">
      <c r="A227" s="19">
        <f>'Season 1 - MafiaRatings'!A:A</f>
        <v/>
      </c>
      <c r="B227" s="19" t="n"/>
      <c r="I227" s="17" t="n"/>
      <c r="J227" s="17" t="n"/>
      <c r="K227" s="18" t="n"/>
    </row>
    <row r="228">
      <c r="A228" s="19">
        <f>'Season 1 - MafiaRatings'!A:A</f>
        <v/>
      </c>
      <c r="B228" s="19" t="n"/>
      <c r="I228" s="17" t="n"/>
      <c r="J228" s="17" t="n"/>
      <c r="K228" s="18" t="n"/>
    </row>
    <row r="229">
      <c r="A229" s="19">
        <f>'Season 1 - MafiaRatings'!A:A</f>
        <v/>
      </c>
      <c r="B229" s="19" t="n"/>
      <c r="I229" s="17" t="n"/>
      <c r="J229" s="17" t="n"/>
      <c r="K229" s="18" t="n"/>
    </row>
    <row r="230">
      <c r="A230" s="19">
        <f>'Season 1 - MafiaRatings'!A:A</f>
        <v/>
      </c>
      <c r="B230" s="19" t="n"/>
      <c r="I230" s="17" t="n"/>
      <c r="J230" s="17" t="n"/>
      <c r="K230" s="18" t="n"/>
    </row>
    <row r="231">
      <c r="A231" s="19">
        <f>'Season 1 - MafiaRatings'!A:A</f>
        <v/>
      </c>
      <c r="B231" s="19" t="n"/>
      <c r="I231" s="17" t="n"/>
      <c r="J231" s="17" t="n"/>
      <c r="K231" s="18" t="n"/>
    </row>
    <row r="232">
      <c r="A232" s="19">
        <f>'Season 1 - MafiaRatings'!A:A</f>
        <v/>
      </c>
      <c r="B232" s="19" t="n"/>
      <c r="I232" s="17" t="n"/>
      <c r="J232" s="17" t="n"/>
      <c r="K232" s="18" t="n"/>
    </row>
    <row r="233">
      <c r="A233" s="19">
        <f>'Season 1 - MafiaRatings'!A:A</f>
        <v/>
      </c>
      <c r="B233" s="19" t="n"/>
      <c r="I233" s="17" t="n"/>
      <c r="J233" s="17" t="n"/>
      <c r="K233" s="18" t="n"/>
    </row>
    <row r="234">
      <c r="A234" s="19">
        <f>'Season 1 - MafiaRatings'!A:A</f>
        <v/>
      </c>
      <c r="B234" s="19" t="n"/>
      <c r="I234" s="17" t="n"/>
      <c r="J234" s="17" t="n"/>
      <c r="K234" s="18" t="n"/>
    </row>
    <row r="235">
      <c r="A235" s="19">
        <f>'Season 1 - MafiaRatings'!A:A</f>
        <v/>
      </c>
      <c r="B235" s="19" t="n"/>
      <c r="I235" s="17" t="n"/>
      <c r="J235" s="17" t="n"/>
      <c r="K235" s="18" t="n"/>
    </row>
    <row r="236">
      <c r="A236" s="19">
        <f>'Season 1 - MafiaRatings'!A:A</f>
        <v/>
      </c>
      <c r="B236" s="19" t="n"/>
      <c r="I236" s="17" t="n"/>
      <c r="J236" s="17" t="n"/>
      <c r="K236" s="18" t="n"/>
    </row>
    <row r="237">
      <c r="A237" s="19">
        <f>'Season 1 - MafiaRatings'!A:A</f>
        <v/>
      </c>
      <c r="B237" s="19" t="n"/>
      <c r="I237" s="17" t="n"/>
      <c r="J237" s="17" t="n"/>
      <c r="K237" s="18" t="n"/>
    </row>
    <row r="238">
      <c r="A238" s="19">
        <f>'Season 1 - MafiaRatings'!A:A</f>
        <v/>
      </c>
      <c r="B238" s="19" t="n"/>
      <c r="I238" s="17" t="n"/>
      <c r="J238" s="17" t="n"/>
      <c r="K238" s="18" t="n"/>
    </row>
    <row r="239">
      <c r="A239" s="19">
        <f>'Season 1 - MafiaRatings'!A:A</f>
        <v/>
      </c>
      <c r="B239" s="19" t="n"/>
      <c r="I239" s="17" t="n"/>
      <c r="J239" s="17" t="n"/>
      <c r="K239" s="18" t="n"/>
    </row>
    <row r="240">
      <c r="A240" s="19">
        <f>'Season 1 - MafiaRatings'!A:A</f>
        <v/>
      </c>
      <c r="B240" s="19" t="n"/>
      <c r="I240" s="17" t="n"/>
      <c r="J240" s="17" t="n"/>
      <c r="K240" s="18" t="n"/>
    </row>
    <row r="241">
      <c r="A241" s="19">
        <f>'Season 1 - MafiaRatings'!A:A</f>
        <v/>
      </c>
      <c r="B241" s="19" t="n"/>
      <c r="I241" s="17" t="n"/>
      <c r="J241" s="17" t="n"/>
      <c r="K241" s="18" t="n"/>
    </row>
    <row r="242">
      <c r="A242" s="19">
        <f>'Season 1 - MafiaRatings'!A:A</f>
        <v/>
      </c>
      <c r="B242" s="19" t="n"/>
      <c r="I242" s="17" t="n"/>
      <c r="J242" s="17" t="n"/>
      <c r="K242" s="18" t="n"/>
    </row>
    <row r="243">
      <c r="A243" s="19">
        <f>'Season 1 - MafiaRatings'!A:A</f>
        <v/>
      </c>
      <c r="B243" s="19" t="n"/>
      <c r="I243" s="17" t="n"/>
      <c r="J243" s="17" t="n"/>
      <c r="K243" s="18" t="n"/>
    </row>
    <row r="244">
      <c r="A244" s="19">
        <f>'Season 1 - MafiaRatings'!A:A</f>
        <v/>
      </c>
      <c r="B244" s="19" t="n"/>
      <c r="I244" s="17" t="n"/>
      <c r="J244" s="17" t="n"/>
      <c r="K244" s="18" t="n"/>
    </row>
    <row r="245">
      <c r="A245" s="19">
        <f>'Season 1 - MafiaRatings'!A:A</f>
        <v/>
      </c>
      <c r="B245" s="19" t="n"/>
      <c r="I245" s="17" t="n"/>
      <c r="J245" s="17" t="n"/>
      <c r="K245" s="18" t="n"/>
    </row>
    <row r="246">
      <c r="A246" s="19">
        <f>'Season 1 - MafiaRatings'!A:A</f>
        <v/>
      </c>
      <c r="B246" s="19" t="n"/>
      <c r="I246" s="17" t="n"/>
      <c r="J246" s="17" t="n"/>
      <c r="K246" s="18" t="n"/>
    </row>
    <row r="247">
      <c r="A247" s="19">
        <f>'Season 1 - MafiaRatings'!A:A</f>
        <v/>
      </c>
      <c r="B247" s="19" t="n"/>
      <c r="I247" s="17" t="n"/>
      <c r="J247" s="17" t="n"/>
      <c r="K247" s="18" t="n"/>
    </row>
    <row r="248">
      <c r="A248" s="19">
        <f>'Season 1 - MafiaRatings'!A:A</f>
        <v/>
      </c>
      <c r="B248" s="19" t="n"/>
      <c r="I248" s="17" t="n"/>
      <c r="J248" s="17" t="n"/>
      <c r="K248" s="18" t="n"/>
    </row>
    <row r="249">
      <c r="A249" s="19">
        <f>'Season 1 - MafiaRatings'!A:A</f>
        <v/>
      </c>
      <c r="B249" s="19" t="n"/>
      <c r="I249" s="17" t="n"/>
      <c r="J249" s="17" t="n"/>
      <c r="K249" s="18" t="n"/>
    </row>
    <row r="250">
      <c r="A250" s="19">
        <f>'Season 1 - MafiaRatings'!A:A</f>
        <v/>
      </c>
      <c r="B250" s="19" t="n"/>
      <c r="I250" s="17" t="n"/>
      <c r="J250" s="17" t="n"/>
      <c r="K250" s="18" t="n"/>
    </row>
    <row r="251">
      <c r="A251" s="19">
        <f>'Season 1 - MafiaRatings'!A:A</f>
        <v/>
      </c>
      <c r="B251" s="19" t="n"/>
      <c r="I251" s="17" t="n"/>
      <c r="J251" s="17" t="n"/>
      <c r="K251" s="18" t="n"/>
    </row>
    <row r="252">
      <c r="A252" s="19">
        <f>'Season 1 - MafiaRatings'!A:A</f>
        <v/>
      </c>
      <c r="B252" s="19" t="n"/>
      <c r="I252" s="17" t="n"/>
      <c r="J252" s="17" t="n"/>
      <c r="K252" s="18" t="n"/>
    </row>
    <row r="253">
      <c r="A253" s="19">
        <f>'Season 1 - MafiaRatings'!A:A</f>
        <v/>
      </c>
      <c r="B253" s="19" t="n"/>
      <c r="I253" s="17" t="n"/>
      <c r="J253" s="17" t="n"/>
      <c r="K253" s="18" t="n"/>
    </row>
    <row r="254">
      <c r="A254" s="19">
        <f>'Season 1 - MafiaRatings'!A:A</f>
        <v/>
      </c>
      <c r="B254" s="19" t="n"/>
      <c r="I254" s="17" t="n"/>
      <c r="J254" s="17" t="n"/>
      <c r="K254" s="18" t="n"/>
    </row>
    <row r="255">
      <c r="A255" s="19">
        <f>'Season 1 - MafiaRatings'!A:A</f>
        <v/>
      </c>
      <c r="B255" s="19" t="n"/>
      <c r="I255" s="17" t="n"/>
      <c r="J255" s="17" t="n"/>
      <c r="K255" s="18" t="n"/>
    </row>
    <row r="256">
      <c r="A256" s="19">
        <f>'Season 1 - MafiaRatings'!A:A</f>
        <v/>
      </c>
      <c r="B256" s="19" t="n"/>
      <c r="I256" s="17" t="n"/>
      <c r="J256" s="17" t="n"/>
      <c r="K256" s="18" t="n"/>
    </row>
    <row r="257">
      <c r="A257" s="19">
        <f>'Season 1 - MafiaRatings'!A:A</f>
        <v/>
      </c>
      <c r="B257" s="19" t="n"/>
      <c r="I257" s="17" t="n"/>
      <c r="J257" s="17" t="n"/>
      <c r="K257" s="18" t="n"/>
    </row>
    <row r="258">
      <c r="A258" s="19">
        <f>'Season 1 - MafiaRatings'!A:A</f>
        <v/>
      </c>
      <c r="B258" s="19" t="n"/>
      <c r="I258" s="17" t="n"/>
      <c r="J258" s="17" t="n"/>
      <c r="K258" s="18" t="n"/>
    </row>
    <row r="259">
      <c r="A259" s="19">
        <f>'Season 1 - MafiaRatings'!A:A</f>
        <v/>
      </c>
      <c r="B259" s="19" t="n"/>
      <c r="I259" s="17" t="n"/>
      <c r="J259" s="17" t="n"/>
      <c r="K259" s="18" t="n"/>
    </row>
    <row r="260">
      <c r="A260" s="19">
        <f>'Season 1 - MafiaRatings'!A:A</f>
        <v/>
      </c>
      <c r="B260" s="19" t="n"/>
      <c r="I260" s="17" t="n"/>
      <c r="J260" s="17" t="n"/>
      <c r="K260" s="18" t="n"/>
    </row>
    <row r="261">
      <c r="A261" s="19">
        <f>'Season 1 - MafiaRatings'!A:A</f>
        <v/>
      </c>
      <c r="B261" s="19" t="n"/>
      <c r="I261" s="17" t="n"/>
      <c r="J261" s="17" t="n"/>
      <c r="K261" s="18" t="n"/>
    </row>
    <row r="262">
      <c r="A262" s="19">
        <f>'Season 1 - MafiaRatings'!A:A</f>
        <v/>
      </c>
      <c r="B262" s="19" t="n"/>
      <c r="I262" s="17" t="n"/>
      <c r="J262" s="17" t="n"/>
      <c r="K262" s="18" t="n"/>
    </row>
    <row r="263">
      <c r="A263" s="19">
        <f>'Season 1 - MafiaRatings'!A:A</f>
        <v/>
      </c>
      <c r="B263" s="19" t="n"/>
      <c r="I263" s="17" t="n"/>
      <c r="J263" s="17" t="n"/>
      <c r="K263" s="18" t="n"/>
    </row>
    <row r="264">
      <c r="A264" s="19">
        <f>'Season 1 - MafiaRatings'!A:A</f>
        <v/>
      </c>
      <c r="B264" s="19" t="n"/>
      <c r="I264" s="17" t="n"/>
      <c r="J264" s="17" t="n"/>
      <c r="K264" s="18" t="n"/>
    </row>
    <row r="265">
      <c r="A265" s="19">
        <f>'Season 1 - MafiaRatings'!A:A</f>
        <v/>
      </c>
      <c r="B265" s="19" t="n"/>
      <c r="I265" s="17" t="n"/>
      <c r="J265" s="17" t="n"/>
      <c r="K265" s="18" t="n"/>
    </row>
    <row r="266">
      <c r="A266" s="19">
        <f>'Season 1 - MafiaRatings'!A:A</f>
        <v/>
      </c>
      <c r="B266" s="19" t="n"/>
      <c r="I266" s="17" t="n"/>
      <c r="J266" s="17" t="n"/>
      <c r="K266" s="18" t="n"/>
    </row>
    <row r="267">
      <c r="A267" s="19">
        <f>'Season 1 - MafiaRatings'!A:A</f>
        <v/>
      </c>
      <c r="B267" s="19" t="n"/>
      <c r="I267" s="17" t="n"/>
      <c r="J267" s="17" t="n"/>
      <c r="K267" s="18" t="n"/>
    </row>
    <row r="268">
      <c r="A268" s="19">
        <f>'Season 1 - MafiaRatings'!A:A</f>
        <v/>
      </c>
      <c r="B268" s="19" t="n"/>
      <c r="I268" s="17" t="n"/>
      <c r="J268" s="17" t="n"/>
      <c r="K268" s="18" t="n"/>
    </row>
    <row r="269">
      <c r="A269" s="19">
        <f>'Season 1 - MafiaRatings'!A:A</f>
        <v/>
      </c>
      <c r="B269" s="19" t="n"/>
      <c r="I269" s="17" t="n"/>
      <c r="J269" s="17" t="n"/>
      <c r="K269" s="18" t="n"/>
    </row>
    <row r="270">
      <c r="A270" s="19">
        <f>'Season 1 - MafiaRatings'!A:A</f>
        <v/>
      </c>
      <c r="B270" s="19" t="n"/>
      <c r="I270" s="17" t="n"/>
      <c r="J270" s="17" t="n"/>
      <c r="K270" s="18" t="n"/>
    </row>
    <row r="271">
      <c r="A271" s="19">
        <f>'Season 1 - MafiaRatings'!A:A</f>
        <v/>
      </c>
      <c r="B271" s="19" t="n"/>
      <c r="I271" s="17" t="n"/>
      <c r="J271" s="17" t="n"/>
      <c r="K271" s="18" t="n"/>
    </row>
    <row r="272">
      <c r="A272" s="19">
        <f>'Season 1 - MafiaRatings'!A:A</f>
        <v/>
      </c>
      <c r="B272" s="19" t="n"/>
      <c r="I272" s="17" t="n"/>
      <c r="J272" s="17" t="n"/>
      <c r="K272" s="18" t="n"/>
    </row>
    <row r="273">
      <c r="A273" s="19">
        <f>'Season 1 - MafiaRatings'!A:A</f>
        <v/>
      </c>
      <c r="B273" s="19" t="n"/>
      <c r="I273" s="17" t="n"/>
      <c r="J273" s="17" t="n"/>
      <c r="K273" s="18" t="n"/>
    </row>
    <row r="274">
      <c r="A274" s="19">
        <f>'Season 1 - MafiaRatings'!A:A</f>
        <v/>
      </c>
      <c r="B274" s="19" t="n"/>
      <c r="I274" s="17" t="n"/>
      <c r="J274" s="17" t="n"/>
      <c r="K274" s="18" t="n"/>
    </row>
    <row r="275">
      <c r="A275" s="19">
        <f>'Season 1 - MafiaRatings'!A:A</f>
        <v/>
      </c>
      <c r="B275" s="19" t="n"/>
      <c r="I275" s="17" t="n"/>
      <c r="J275" s="17" t="n"/>
      <c r="K275" s="18" t="n"/>
    </row>
    <row r="276">
      <c r="A276" s="19">
        <f>'Season 1 - MafiaRatings'!A:A</f>
        <v/>
      </c>
      <c r="B276" s="19" t="n"/>
      <c r="I276" s="17" t="n"/>
      <c r="J276" s="17" t="n"/>
      <c r="K276" s="18" t="n"/>
    </row>
    <row r="277">
      <c r="A277" s="19">
        <f>'Season 1 - MafiaRatings'!A:A</f>
        <v/>
      </c>
      <c r="B277" s="19" t="n"/>
      <c r="I277" s="17" t="n"/>
      <c r="J277" s="17" t="n"/>
      <c r="K277" s="18" t="n"/>
    </row>
    <row r="278">
      <c r="A278" s="19">
        <f>'Season 1 - MafiaRatings'!A:A</f>
        <v/>
      </c>
      <c r="B278" s="19" t="n"/>
      <c r="I278" s="17" t="n"/>
      <c r="J278" s="17" t="n"/>
      <c r="K278" s="18" t="n"/>
    </row>
    <row r="279">
      <c r="A279" s="19">
        <f>'Season 1 - MafiaRatings'!A:A</f>
        <v/>
      </c>
      <c r="B279" s="19" t="n"/>
      <c r="I279" s="17" t="n"/>
      <c r="J279" s="17" t="n"/>
      <c r="K279" s="18" t="n"/>
    </row>
    <row r="280">
      <c r="A280" s="19">
        <f>'Season 1 - MafiaRatings'!A:A</f>
        <v/>
      </c>
      <c r="B280" s="19" t="n"/>
      <c r="I280" s="17" t="n"/>
      <c r="J280" s="17" t="n"/>
      <c r="K280" s="18" t="n"/>
    </row>
    <row r="281">
      <c r="A281" s="19">
        <f>'Season 1 - MafiaRatings'!A:A</f>
        <v/>
      </c>
      <c r="B281" s="19" t="n"/>
      <c r="I281" s="17" t="n"/>
      <c r="J281" s="17" t="n"/>
      <c r="K281" s="18" t="n"/>
    </row>
    <row r="282">
      <c r="A282" s="19">
        <f>'Season 1 - MafiaRatings'!A:A</f>
        <v/>
      </c>
      <c r="B282" s="19" t="n"/>
      <c r="I282" s="17" t="n"/>
      <c r="J282" s="17" t="n"/>
      <c r="K282" s="18" t="n"/>
    </row>
    <row r="283">
      <c r="A283" s="19">
        <f>'Season 1 - MafiaRatings'!A:A</f>
        <v/>
      </c>
      <c r="B283" s="19" t="n"/>
      <c r="I283" s="17" t="n"/>
      <c r="J283" s="17" t="n"/>
      <c r="K283" s="18" t="n"/>
    </row>
    <row r="284">
      <c r="A284" s="19">
        <f>'Season 1 - MafiaRatings'!A:A</f>
        <v/>
      </c>
      <c r="B284" s="19" t="n"/>
      <c r="I284" s="17" t="n"/>
      <c r="J284" s="17" t="n"/>
      <c r="K284" s="18" t="n"/>
    </row>
    <row r="285">
      <c r="A285" s="19">
        <f>'Season 1 - MafiaRatings'!A:A</f>
        <v/>
      </c>
      <c r="B285" s="19" t="n"/>
      <c r="I285" s="17" t="n"/>
      <c r="J285" s="17" t="n"/>
      <c r="K285" s="18" t="n"/>
    </row>
    <row r="286">
      <c r="A286" s="19">
        <f>'Season 1 - MafiaRatings'!A:A</f>
        <v/>
      </c>
      <c r="B286" s="19" t="n"/>
      <c r="I286" s="17" t="n"/>
      <c r="J286" s="17" t="n"/>
      <c r="K286" s="18" t="n"/>
    </row>
    <row r="287">
      <c r="A287" s="19">
        <f>'Season 1 - MafiaRatings'!A:A</f>
        <v/>
      </c>
      <c r="B287" s="19" t="n"/>
      <c r="I287" s="17" t="n"/>
      <c r="J287" s="17" t="n"/>
      <c r="K287" s="18" t="n"/>
    </row>
    <row r="288">
      <c r="A288" s="19">
        <f>'Season 1 - MafiaRatings'!A:A</f>
        <v/>
      </c>
      <c r="B288" s="19" t="n"/>
      <c r="I288" s="17" t="n"/>
      <c r="J288" s="17" t="n"/>
      <c r="K288" s="18" t="n"/>
    </row>
    <row r="289">
      <c r="A289" s="19">
        <f>'Season 1 - MafiaRatings'!A:A</f>
        <v/>
      </c>
      <c r="B289" s="19" t="n"/>
      <c r="I289" s="17" t="n"/>
      <c r="J289" s="17" t="n"/>
      <c r="K289" s="18" t="n"/>
    </row>
    <row r="290">
      <c r="A290" s="19">
        <f>'Season 1 - MafiaRatings'!A:A</f>
        <v/>
      </c>
      <c r="B290" s="19" t="n"/>
      <c r="I290" s="17" t="n"/>
      <c r="J290" s="17" t="n"/>
      <c r="K290" s="18" t="n"/>
    </row>
    <row r="291">
      <c r="A291" s="19">
        <f>'Season 1 - MafiaRatings'!A:A</f>
        <v/>
      </c>
      <c r="B291" s="19" t="n"/>
      <c r="I291" s="17" t="n"/>
      <c r="J291" s="17" t="n"/>
      <c r="K291" s="18" t="n"/>
    </row>
    <row r="292">
      <c r="A292" s="19">
        <f>'Season 1 - MafiaRatings'!A:A</f>
        <v/>
      </c>
      <c r="B292" s="19" t="n"/>
      <c r="I292" s="17" t="n"/>
      <c r="J292" s="17" t="n"/>
      <c r="K292" s="18" t="n"/>
    </row>
    <row r="293">
      <c r="A293" s="19">
        <f>'Season 1 - MafiaRatings'!A:A</f>
        <v/>
      </c>
      <c r="B293" s="19" t="n"/>
      <c r="I293" s="17" t="n"/>
      <c r="J293" s="17" t="n"/>
      <c r="K293" s="18" t="n"/>
    </row>
    <row r="294">
      <c r="A294" s="19">
        <f>'Season 1 - MafiaRatings'!A:A</f>
        <v/>
      </c>
      <c r="B294" s="19" t="n"/>
      <c r="I294" s="17" t="n"/>
      <c r="J294" s="17" t="n"/>
      <c r="K294" s="18" t="n"/>
    </row>
    <row r="295">
      <c r="A295" s="19">
        <f>'Season 1 - MafiaRatings'!A:A</f>
        <v/>
      </c>
      <c r="B295" s="19" t="n"/>
      <c r="I295" s="17" t="n"/>
      <c r="J295" s="17" t="n"/>
      <c r="K295" s="18" t="n"/>
    </row>
    <row r="296">
      <c r="A296" s="19">
        <f>'Season 1 - MafiaRatings'!A:A</f>
        <v/>
      </c>
      <c r="B296" s="19" t="n"/>
      <c r="I296" s="17" t="n"/>
      <c r="J296" s="17" t="n"/>
      <c r="K296" s="18" t="n"/>
    </row>
    <row r="297">
      <c r="A297" s="19">
        <f>'Season 1 - MafiaRatings'!A:A</f>
        <v/>
      </c>
      <c r="B297" s="19" t="n"/>
      <c r="I297" s="17" t="n"/>
      <c r="J297" s="17" t="n"/>
      <c r="K297" s="18" t="n"/>
    </row>
    <row r="298">
      <c r="A298" s="19">
        <f>'Season 1 - MafiaRatings'!A:A</f>
        <v/>
      </c>
      <c r="B298" s="19" t="n"/>
      <c r="I298" s="17" t="n"/>
      <c r="J298" s="17" t="n"/>
      <c r="K298" s="18" t="n"/>
    </row>
    <row r="299">
      <c r="A299" s="19">
        <f>'Season 1 - MafiaRatings'!A:A</f>
        <v/>
      </c>
      <c r="B299" s="19" t="n"/>
      <c r="I299" s="17" t="n"/>
      <c r="J299" s="17" t="n"/>
      <c r="K299" s="18" t="n"/>
    </row>
    <row r="300">
      <c r="A300" s="19">
        <f>'Season 1 - MafiaRatings'!A:A</f>
        <v/>
      </c>
      <c r="B300" s="19" t="n"/>
      <c r="I300" s="17" t="n"/>
      <c r="J300" s="17" t="n"/>
      <c r="K300" s="18" t="n"/>
    </row>
    <row r="301">
      <c r="A301" s="19">
        <f>'Season 1 - MafiaRatings'!A:A</f>
        <v/>
      </c>
      <c r="B301" s="19" t="n"/>
      <c r="I301" s="17" t="n"/>
      <c r="J301" s="17" t="n"/>
      <c r="K301" s="18" t="n"/>
    </row>
    <row r="302">
      <c r="A302" s="19">
        <f>'Season 1 - MafiaRatings'!A:A</f>
        <v/>
      </c>
      <c r="B302" s="19" t="n"/>
      <c r="I302" s="17" t="n"/>
      <c r="J302" s="17" t="n"/>
      <c r="K302" s="18" t="n"/>
    </row>
    <row r="303">
      <c r="A303" s="19">
        <f>'Season 1 - MafiaRatings'!A:A</f>
        <v/>
      </c>
      <c r="B303" s="19" t="n"/>
      <c r="I303" s="17" t="n"/>
      <c r="J303" s="17" t="n"/>
      <c r="K303" s="18" t="n"/>
    </row>
    <row r="304">
      <c r="A304" s="19">
        <f>'Season 1 - MafiaRatings'!A:A</f>
        <v/>
      </c>
      <c r="B304" s="19" t="n"/>
      <c r="I304" s="17" t="n"/>
      <c r="J304" s="17" t="n"/>
      <c r="K304" s="18" t="n"/>
    </row>
    <row r="305">
      <c r="A305" s="19">
        <f>'Season 1 - MafiaRatings'!A:A</f>
        <v/>
      </c>
      <c r="B305" s="19" t="n"/>
      <c r="I305" s="17" t="n"/>
      <c r="J305" s="17" t="n"/>
      <c r="K305" s="18" t="n"/>
    </row>
    <row r="306">
      <c r="A306" s="19">
        <f>'Season 1 - MafiaRatings'!A:A</f>
        <v/>
      </c>
      <c r="B306" s="19" t="n"/>
      <c r="I306" s="17" t="n"/>
      <c r="J306" s="17" t="n"/>
      <c r="K306" s="18" t="n"/>
    </row>
    <row r="307">
      <c r="A307" s="19">
        <f>'Season 1 - MafiaRatings'!A:A</f>
        <v/>
      </c>
      <c r="B307" s="19" t="n"/>
      <c r="I307" s="17" t="n"/>
      <c r="J307" s="17" t="n"/>
      <c r="K307" s="18" t="n"/>
    </row>
    <row r="308">
      <c r="A308" s="19">
        <f>'Season 1 - MafiaRatings'!A:A</f>
        <v/>
      </c>
      <c r="B308" s="19" t="n"/>
      <c r="I308" s="17" t="n"/>
      <c r="J308" s="17" t="n"/>
      <c r="K308" s="18" t="n"/>
    </row>
    <row r="309">
      <c r="A309" s="19">
        <f>'Season 1 - MafiaRatings'!A:A</f>
        <v/>
      </c>
      <c r="B309" s="19" t="n"/>
      <c r="I309" s="17" t="n"/>
      <c r="J309" s="17" t="n"/>
      <c r="K309" s="18" t="n"/>
    </row>
    <row r="310">
      <c r="A310" s="19">
        <f>'Season 1 - MafiaRatings'!A:A</f>
        <v/>
      </c>
      <c r="B310" s="19" t="n"/>
      <c r="I310" s="17" t="n"/>
      <c r="J310" s="17" t="n"/>
      <c r="K310" s="18" t="n"/>
    </row>
    <row r="311">
      <c r="A311" s="19">
        <f>'Season 1 - MafiaRatings'!A:A</f>
        <v/>
      </c>
      <c r="B311" s="19" t="n"/>
      <c r="I311" s="17" t="n"/>
      <c r="J311" s="17" t="n"/>
      <c r="K311" s="18" t="n"/>
    </row>
    <row r="312">
      <c r="A312" s="19">
        <f>'Season 1 - MafiaRatings'!A:A</f>
        <v/>
      </c>
      <c r="B312" s="19" t="n"/>
      <c r="I312" s="17" t="n"/>
      <c r="J312" s="17" t="n"/>
      <c r="K312" s="18" t="n"/>
    </row>
    <row r="313">
      <c r="A313" s="19">
        <f>'Season 1 - MafiaRatings'!A:A</f>
        <v/>
      </c>
      <c r="B313" s="19" t="n"/>
      <c r="I313" s="17" t="n"/>
      <c r="J313" s="17" t="n"/>
      <c r="K313" s="18" t="n"/>
    </row>
    <row r="314">
      <c r="A314" s="19">
        <f>'Season 1 - MafiaRatings'!A:A</f>
        <v/>
      </c>
      <c r="B314" s="19" t="n"/>
      <c r="I314" s="17" t="n"/>
      <c r="J314" s="17" t="n"/>
      <c r="K314" s="18" t="n"/>
    </row>
    <row r="315">
      <c r="A315" s="19">
        <f>'Season 1 - MafiaRatings'!A:A</f>
        <v/>
      </c>
      <c r="B315" s="19" t="n"/>
      <c r="I315" s="17" t="n"/>
      <c r="J315" s="17" t="n"/>
      <c r="K315" s="18" t="n"/>
    </row>
    <row r="316">
      <c r="A316" s="19">
        <f>'Season 1 - MafiaRatings'!A:A</f>
        <v/>
      </c>
      <c r="B316" s="19" t="n"/>
      <c r="I316" s="17" t="n"/>
      <c r="J316" s="17" t="n"/>
      <c r="K316" s="18" t="n"/>
    </row>
    <row r="317">
      <c r="A317" s="19">
        <f>'Season 1 - MafiaRatings'!A:A</f>
        <v/>
      </c>
      <c r="B317" s="19" t="n"/>
      <c r="I317" s="17" t="n"/>
      <c r="J317" s="17" t="n"/>
      <c r="K317" s="18" t="n"/>
    </row>
    <row r="318">
      <c r="A318" s="19">
        <f>'Season 1 - MafiaRatings'!A:A</f>
        <v/>
      </c>
      <c r="B318" s="19" t="n"/>
      <c r="I318" s="17" t="n"/>
      <c r="J318" s="17" t="n"/>
      <c r="K318" s="18" t="n"/>
    </row>
    <row r="319">
      <c r="A319" s="19">
        <f>'Season 1 - MafiaRatings'!A:A</f>
        <v/>
      </c>
      <c r="B319" s="19" t="n"/>
      <c r="I319" s="17" t="n"/>
      <c r="J319" s="17" t="n"/>
      <c r="K319" s="18" t="n"/>
    </row>
    <row r="320">
      <c r="A320" s="19">
        <f>'Season 1 - MafiaRatings'!A:A</f>
        <v/>
      </c>
      <c r="B320" s="19" t="n"/>
      <c r="I320" s="17" t="n"/>
      <c r="J320" s="17" t="n"/>
      <c r="K320" s="18" t="n"/>
    </row>
    <row r="321">
      <c r="A321" s="19">
        <f>'Season 1 - MafiaRatings'!A:A</f>
        <v/>
      </c>
      <c r="B321" s="19" t="n"/>
      <c r="I321" s="17" t="n"/>
      <c r="J321" s="17" t="n"/>
      <c r="K321" s="18" t="n"/>
    </row>
    <row r="322">
      <c r="A322" s="19">
        <f>'Season 1 - MafiaRatings'!A:A</f>
        <v/>
      </c>
      <c r="B322" s="19" t="n"/>
      <c r="I322" s="17" t="n"/>
      <c r="J322" s="17" t="n"/>
      <c r="K322" s="18" t="n"/>
    </row>
    <row r="323">
      <c r="A323" s="19">
        <f>'Season 1 - MafiaRatings'!A:A</f>
        <v/>
      </c>
      <c r="B323" s="19" t="n"/>
      <c r="I323" s="17" t="n"/>
      <c r="J323" s="17" t="n"/>
      <c r="K323" s="18" t="n"/>
    </row>
    <row r="324">
      <c r="A324" s="19">
        <f>'Season 1 - MafiaRatings'!A:A</f>
        <v/>
      </c>
      <c r="B324" s="19" t="n"/>
      <c r="I324" s="17" t="n"/>
      <c r="J324" s="17" t="n"/>
      <c r="K324" s="18" t="n"/>
    </row>
    <row r="325">
      <c r="A325" s="19">
        <f>'Season 1 - MafiaRatings'!A:A</f>
        <v/>
      </c>
      <c r="B325" s="19" t="n"/>
      <c r="I325" s="17" t="n"/>
      <c r="J325" s="17" t="n"/>
      <c r="K325" s="18" t="n"/>
    </row>
    <row r="326">
      <c r="A326" s="19">
        <f>'Season 1 - MafiaRatings'!A:A</f>
        <v/>
      </c>
      <c r="B326" s="19" t="n"/>
      <c r="I326" s="17" t="n"/>
      <c r="J326" s="17" t="n"/>
      <c r="K326" s="18" t="n"/>
    </row>
    <row r="327">
      <c r="A327" s="19">
        <f>'Season 1 - MafiaRatings'!A:A</f>
        <v/>
      </c>
      <c r="B327" s="19" t="n"/>
      <c r="I327" s="17" t="n"/>
      <c r="J327" s="17" t="n"/>
      <c r="K327" s="18" t="n"/>
    </row>
    <row r="328">
      <c r="A328" s="19">
        <f>'Season 1 - MafiaRatings'!A:A</f>
        <v/>
      </c>
      <c r="B328" s="19" t="n"/>
      <c r="I328" s="17" t="n"/>
      <c r="J328" s="17" t="n"/>
      <c r="K328" s="18" t="n"/>
    </row>
    <row r="329">
      <c r="A329" s="19">
        <f>'Season 1 - MafiaRatings'!A:A</f>
        <v/>
      </c>
      <c r="B329" s="19" t="n"/>
      <c r="I329" s="17" t="n"/>
      <c r="J329" s="17" t="n"/>
      <c r="K329" s="18" t="n"/>
    </row>
    <row r="330">
      <c r="A330" s="19">
        <f>'Season 1 - MafiaRatings'!A:A</f>
        <v/>
      </c>
      <c r="B330" s="19" t="n"/>
      <c r="I330" s="17" t="n"/>
      <c r="J330" s="17" t="n"/>
      <c r="K330" s="18" t="n"/>
    </row>
    <row r="331">
      <c r="A331" s="19">
        <f>'Season 1 - MafiaRatings'!A:A</f>
        <v/>
      </c>
      <c r="B331" s="19" t="n"/>
      <c r="I331" s="17" t="n"/>
      <c r="J331" s="17" t="n"/>
      <c r="K331" s="18" t="n"/>
    </row>
    <row r="332">
      <c r="A332" s="19">
        <f>'Season 1 - MafiaRatings'!A:A</f>
        <v/>
      </c>
      <c r="B332" s="19" t="n"/>
      <c r="I332" s="17" t="n"/>
      <c r="J332" s="17" t="n"/>
      <c r="K332" s="18" t="n"/>
    </row>
    <row r="333">
      <c r="A333" s="19">
        <f>'Season 1 - MafiaRatings'!A:A</f>
        <v/>
      </c>
      <c r="B333" s="19" t="n"/>
      <c r="I333" s="17" t="n"/>
      <c r="J333" s="17" t="n"/>
      <c r="K333" s="18" t="n"/>
    </row>
    <row r="334">
      <c r="A334" s="19">
        <f>'Season 1 - MafiaRatings'!A:A</f>
        <v/>
      </c>
      <c r="B334" s="19" t="n"/>
      <c r="I334" s="17" t="n"/>
      <c r="J334" s="17" t="n"/>
      <c r="K334" s="18" t="n"/>
    </row>
    <row r="335">
      <c r="A335" s="19">
        <f>'Season 1 - MafiaRatings'!A:A</f>
        <v/>
      </c>
      <c r="B335" s="19" t="n"/>
      <c r="I335" s="17" t="n"/>
      <c r="J335" s="17" t="n"/>
      <c r="K335" s="18" t="n"/>
    </row>
    <row r="336">
      <c r="A336" s="19">
        <f>'Season 1 - MafiaRatings'!A:A</f>
        <v/>
      </c>
      <c r="B336" s="19" t="n"/>
      <c r="I336" s="17" t="n"/>
      <c r="J336" s="17" t="n"/>
      <c r="K336" s="18" t="n"/>
    </row>
    <row r="337">
      <c r="A337" s="19">
        <f>'Season 1 - MafiaRatings'!A:A</f>
        <v/>
      </c>
      <c r="B337" s="19" t="n"/>
      <c r="I337" s="17" t="n"/>
      <c r="J337" s="17" t="n"/>
      <c r="K337" s="18" t="n"/>
    </row>
    <row r="338">
      <c r="A338" s="19">
        <f>'Season 1 - MafiaRatings'!A:A</f>
        <v/>
      </c>
      <c r="B338" s="19" t="n"/>
      <c r="I338" s="17" t="n"/>
      <c r="J338" s="17" t="n"/>
      <c r="K338" s="18" t="n"/>
    </row>
    <row r="339">
      <c r="A339" s="19">
        <f>'Season 1 - MafiaRatings'!A:A</f>
        <v/>
      </c>
      <c r="B339" s="19" t="n"/>
      <c r="I339" s="17" t="n"/>
      <c r="J339" s="17" t="n"/>
      <c r="K339" s="18" t="n"/>
    </row>
    <row r="340">
      <c r="A340" s="19">
        <f>'Season 1 - MafiaRatings'!A:A</f>
        <v/>
      </c>
      <c r="B340" s="19" t="n"/>
      <c r="I340" s="17" t="n"/>
      <c r="J340" s="17" t="n"/>
      <c r="K340" s="18" t="n"/>
    </row>
    <row r="341">
      <c r="A341" s="19">
        <f>'Season 1 - MafiaRatings'!A:A</f>
        <v/>
      </c>
      <c r="B341" s="19" t="n"/>
      <c r="I341" s="17" t="n"/>
      <c r="J341" s="17" t="n"/>
      <c r="K341" s="18" t="n"/>
    </row>
    <row r="342">
      <c r="A342" s="19">
        <f>'Season 1 - MafiaRatings'!A:A</f>
        <v/>
      </c>
      <c r="B342" s="19" t="n"/>
      <c r="I342" s="17" t="n"/>
      <c r="J342" s="17" t="n"/>
      <c r="K342" s="18" t="n"/>
    </row>
    <row r="343">
      <c r="A343" s="19">
        <f>'Season 1 - MafiaRatings'!A:A</f>
        <v/>
      </c>
      <c r="B343" s="19" t="n"/>
      <c r="I343" s="17" t="n"/>
      <c r="J343" s="17" t="n"/>
      <c r="K343" s="18" t="n"/>
    </row>
    <row r="344">
      <c r="A344" s="19">
        <f>'Season 1 - MafiaRatings'!A:A</f>
        <v/>
      </c>
      <c r="B344" s="19" t="n"/>
      <c r="I344" s="17" t="n"/>
      <c r="J344" s="17" t="n"/>
      <c r="K344" s="18" t="n"/>
    </row>
    <row r="345">
      <c r="A345" s="19">
        <f>'Season 1 - MafiaRatings'!A:A</f>
        <v/>
      </c>
      <c r="B345" s="19" t="n"/>
      <c r="I345" s="17" t="n"/>
      <c r="J345" s="17" t="n"/>
      <c r="K345" s="18" t="n"/>
    </row>
    <row r="346">
      <c r="A346" s="19">
        <f>'Season 1 - MafiaRatings'!A:A</f>
        <v/>
      </c>
      <c r="B346" s="19" t="n"/>
      <c r="I346" s="17" t="n"/>
      <c r="J346" s="17" t="n"/>
      <c r="K346" s="18" t="n"/>
    </row>
    <row r="347">
      <c r="A347" s="19">
        <f>'Season 1 - MafiaRatings'!A:A</f>
        <v/>
      </c>
      <c r="B347" s="19" t="n"/>
      <c r="I347" s="17" t="n"/>
      <c r="J347" s="17" t="n"/>
      <c r="K347" s="18" t="n"/>
    </row>
    <row r="348">
      <c r="A348" s="19">
        <f>'Season 1 - MafiaRatings'!A:A</f>
        <v/>
      </c>
      <c r="B348" s="19" t="n"/>
      <c r="I348" s="17" t="n"/>
      <c r="J348" s="17" t="n"/>
      <c r="K348" s="18" t="n"/>
    </row>
    <row r="349">
      <c r="A349" s="19">
        <f>'Season 1 - MafiaRatings'!A:A</f>
        <v/>
      </c>
      <c r="B349" s="19" t="n"/>
      <c r="I349" s="17" t="n"/>
      <c r="J349" s="17" t="n"/>
      <c r="K349" s="18" t="n"/>
    </row>
    <row r="350">
      <c r="A350" s="19">
        <f>'Season 1 - MafiaRatings'!A:A</f>
        <v/>
      </c>
      <c r="B350" s="19" t="n"/>
      <c r="I350" s="17" t="n"/>
      <c r="J350" s="17" t="n"/>
      <c r="K350" s="18" t="n"/>
    </row>
    <row r="351">
      <c r="A351" s="19">
        <f>'Season 1 - MafiaRatings'!A:A</f>
        <v/>
      </c>
      <c r="B351" s="19" t="n"/>
      <c r="I351" s="17" t="n"/>
      <c r="J351" s="17" t="n"/>
      <c r="K351" s="18" t="n"/>
    </row>
    <row r="352">
      <c r="A352" s="19">
        <f>'Season 1 - MafiaRatings'!A:A</f>
        <v/>
      </c>
      <c r="B352" s="19" t="n"/>
      <c r="I352" s="17" t="n"/>
      <c r="J352" s="17" t="n"/>
      <c r="K352" s="18" t="n"/>
    </row>
    <row r="353">
      <c r="A353" s="19">
        <f>'Season 1 - MafiaRatings'!A:A</f>
        <v/>
      </c>
      <c r="B353" s="19" t="n"/>
      <c r="I353" s="17" t="n"/>
      <c r="J353" s="17" t="n"/>
      <c r="K353" s="18" t="n"/>
    </row>
    <row r="354">
      <c r="A354" s="19">
        <f>'Season 1 - MafiaRatings'!A:A</f>
        <v/>
      </c>
      <c r="B354" s="19" t="n"/>
      <c r="I354" s="17" t="n"/>
      <c r="J354" s="17" t="n"/>
      <c r="K354" s="18" t="n"/>
    </row>
    <row r="355">
      <c r="A355" s="19">
        <f>'Season 1 - MafiaRatings'!A:A</f>
        <v/>
      </c>
      <c r="B355" s="19" t="n"/>
      <c r="I355" s="17" t="n"/>
      <c r="J355" s="17" t="n"/>
      <c r="K355" s="18" t="n"/>
    </row>
    <row r="356">
      <c r="A356" s="19">
        <f>'Season 1 - MafiaRatings'!A:A</f>
        <v/>
      </c>
      <c r="B356" s="19" t="n"/>
      <c r="I356" s="17" t="n"/>
      <c r="J356" s="17" t="n"/>
      <c r="K356" s="18" t="n"/>
    </row>
    <row r="357">
      <c r="A357" s="19">
        <f>'Season 1 - MafiaRatings'!A:A</f>
        <v/>
      </c>
      <c r="B357" s="19" t="n"/>
      <c r="I357" s="17" t="n"/>
      <c r="J357" s="17" t="n"/>
      <c r="K357" s="18" t="n"/>
    </row>
    <row r="358">
      <c r="A358" s="19">
        <f>'Season 1 - MafiaRatings'!A:A</f>
        <v/>
      </c>
      <c r="B358" s="19" t="n"/>
      <c r="I358" s="17" t="n"/>
      <c r="J358" s="17" t="n"/>
      <c r="K358" s="18" t="n"/>
    </row>
    <row r="359">
      <c r="A359" s="19">
        <f>'Season 1 - MafiaRatings'!A:A</f>
        <v/>
      </c>
      <c r="B359" s="19" t="n"/>
      <c r="I359" s="17" t="n"/>
      <c r="J359" s="17" t="n"/>
      <c r="K359" s="18" t="n"/>
    </row>
    <row r="360">
      <c r="A360" s="19">
        <f>'Season 1 - MafiaRatings'!A:A</f>
        <v/>
      </c>
      <c r="B360" s="19" t="n"/>
      <c r="I360" s="17" t="n"/>
      <c r="J360" s="17" t="n"/>
      <c r="K360" s="18" t="n"/>
    </row>
    <row r="361">
      <c r="A361" s="19">
        <f>'Season 1 - MafiaRatings'!A:A</f>
        <v/>
      </c>
      <c r="B361" s="19" t="n"/>
      <c r="I361" s="17" t="n"/>
      <c r="J361" s="17" t="n"/>
      <c r="K361" s="18" t="n"/>
    </row>
    <row r="362">
      <c r="A362" s="19">
        <f>'Season 1 - MafiaRatings'!A:A</f>
        <v/>
      </c>
      <c r="B362" s="19" t="n"/>
      <c r="I362" s="17" t="n"/>
      <c r="J362" s="17" t="n"/>
      <c r="K362" s="18" t="n"/>
    </row>
    <row r="363">
      <c r="A363" s="19">
        <f>'Season 1 - MafiaRatings'!A:A</f>
        <v/>
      </c>
      <c r="B363" s="19" t="n"/>
      <c r="I363" s="17" t="n"/>
      <c r="J363" s="17" t="n"/>
      <c r="K363" s="18" t="n"/>
    </row>
    <row r="364">
      <c r="A364" s="19">
        <f>'Season 1 - MafiaRatings'!A:A</f>
        <v/>
      </c>
      <c r="B364" s="19" t="n"/>
      <c r="I364" s="17" t="n"/>
      <c r="J364" s="17" t="n"/>
      <c r="K364" s="18" t="n"/>
    </row>
    <row r="365">
      <c r="A365" s="19">
        <f>'Season 1 - MafiaRatings'!A:A</f>
        <v/>
      </c>
      <c r="B365" s="19" t="n"/>
      <c r="I365" s="17" t="n"/>
      <c r="J365" s="17" t="n"/>
      <c r="K365" s="18" t="n"/>
    </row>
    <row r="366">
      <c r="A366" s="19">
        <f>'Season 1 - MafiaRatings'!A:A</f>
        <v/>
      </c>
      <c r="B366" s="19" t="n"/>
      <c r="I366" s="17" t="n"/>
      <c r="J366" s="17" t="n"/>
      <c r="K366" s="18" t="n"/>
    </row>
    <row r="367">
      <c r="A367" s="19">
        <f>'Season 1 - MafiaRatings'!A:A</f>
        <v/>
      </c>
      <c r="B367" s="19" t="n"/>
      <c r="I367" s="17" t="n"/>
      <c r="J367" s="17" t="n"/>
      <c r="K367" s="18" t="n"/>
    </row>
    <row r="368">
      <c r="A368" s="19">
        <f>'Season 1 - MafiaRatings'!A:A</f>
        <v/>
      </c>
      <c r="B368" s="19" t="n"/>
      <c r="I368" s="17" t="n"/>
      <c r="J368" s="17" t="n"/>
      <c r="K368" s="18" t="n"/>
    </row>
    <row r="369">
      <c r="A369" s="19">
        <f>'Season 1 - MafiaRatings'!A:A</f>
        <v/>
      </c>
      <c r="B369" s="19" t="n"/>
      <c r="I369" s="17" t="n"/>
      <c r="J369" s="17" t="n"/>
      <c r="K369" s="18" t="n"/>
    </row>
    <row r="370">
      <c r="A370" s="19">
        <f>'Season 1 - MafiaRatings'!A:A</f>
        <v/>
      </c>
      <c r="B370" s="19" t="n"/>
      <c r="I370" s="17" t="n"/>
      <c r="J370" s="17" t="n"/>
      <c r="K370" s="18" t="n"/>
    </row>
    <row r="371">
      <c r="A371" s="19">
        <f>'Season 1 - MafiaRatings'!A:A</f>
        <v/>
      </c>
      <c r="B371" s="19" t="n"/>
      <c r="I371" s="17" t="n"/>
      <c r="J371" s="17" t="n"/>
      <c r="K371" s="18" t="n"/>
    </row>
    <row r="372">
      <c r="A372" s="19">
        <f>'Season 1 - MafiaRatings'!A:A</f>
        <v/>
      </c>
      <c r="B372" s="19" t="n"/>
      <c r="I372" s="17" t="n"/>
      <c r="J372" s="17" t="n"/>
      <c r="K372" s="18" t="n"/>
    </row>
    <row r="373">
      <c r="A373" s="19">
        <f>'Season 1 - MafiaRatings'!A:A</f>
        <v/>
      </c>
      <c r="B373" s="19" t="n"/>
      <c r="I373" s="17" t="n"/>
      <c r="J373" s="17" t="n"/>
      <c r="K373" s="18" t="n"/>
    </row>
    <row r="374">
      <c r="A374" s="19">
        <f>'Season 1 - MafiaRatings'!A:A</f>
        <v/>
      </c>
      <c r="B374" s="19" t="n"/>
      <c r="I374" s="17" t="n"/>
      <c r="J374" s="17" t="n"/>
      <c r="K374" s="18" t="n"/>
    </row>
    <row r="375">
      <c r="A375" s="19">
        <f>'Season 1 - MafiaRatings'!A:A</f>
        <v/>
      </c>
      <c r="B375" s="19" t="n"/>
      <c r="I375" s="17" t="n"/>
      <c r="J375" s="17" t="n"/>
      <c r="K375" s="18" t="n"/>
    </row>
    <row r="376">
      <c r="A376" s="19">
        <f>'Season 1 - MafiaRatings'!A:A</f>
        <v/>
      </c>
      <c r="B376" s="19" t="n"/>
      <c r="I376" s="17" t="n"/>
      <c r="J376" s="17" t="n"/>
      <c r="K376" s="18" t="n"/>
    </row>
    <row r="377">
      <c r="A377" s="19">
        <f>'Season 1 - MafiaRatings'!A:A</f>
        <v/>
      </c>
      <c r="B377" s="19" t="n"/>
      <c r="I377" s="17" t="n"/>
      <c r="J377" s="17" t="n"/>
      <c r="K377" s="18" t="n"/>
    </row>
    <row r="378">
      <c r="A378" s="19">
        <f>'Season 1 - MafiaRatings'!A:A</f>
        <v/>
      </c>
      <c r="B378" s="19" t="n"/>
      <c r="I378" s="17" t="n"/>
      <c r="J378" s="17" t="n"/>
      <c r="K378" s="18" t="n"/>
    </row>
    <row r="379">
      <c r="A379" s="19">
        <f>'Season 1 - MafiaRatings'!A:A</f>
        <v/>
      </c>
      <c r="B379" s="19" t="n"/>
      <c r="I379" s="17" t="n"/>
      <c r="J379" s="17" t="n"/>
      <c r="K379" s="18" t="n"/>
    </row>
    <row r="380">
      <c r="A380" s="19">
        <f>'Season 1 - MafiaRatings'!A:A</f>
        <v/>
      </c>
      <c r="B380" s="19" t="n"/>
      <c r="I380" s="17" t="n"/>
      <c r="J380" s="17" t="n"/>
      <c r="K380" s="18" t="n"/>
    </row>
    <row r="381">
      <c r="A381" s="19">
        <f>'Season 1 - MafiaRatings'!A:A</f>
        <v/>
      </c>
      <c r="B381" s="19" t="n"/>
      <c r="I381" s="17" t="n"/>
      <c r="J381" s="17" t="n"/>
      <c r="K381" s="18" t="n"/>
    </row>
    <row r="382">
      <c r="A382" s="19">
        <f>'Season 1 - MafiaRatings'!A:A</f>
        <v/>
      </c>
      <c r="B382" s="19" t="n"/>
      <c r="I382" s="17" t="n"/>
      <c r="J382" s="17" t="n"/>
      <c r="K382" s="18" t="n"/>
    </row>
    <row r="383">
      <c r="A383" s="19">
        <f>'Season 1 - MafiaRatings'!A:A</f>
        <v/>
      </c>
      <c r="B383" s="19" t="n"/>
      <c r="I383" s="17" t="n"/>
      <c r="J383" s="17" t="n"/>
      <c r="K383" s="18" t="n"/>
    </row>
    <row r="384">
      <c r="A384" s="19">
        <f>'Season 1 - MafiaRatings'!A:A</f>
        <v/>
      </c>
      <c r="B384" s="19" t="n"/>
      <c r="I384" s="17" t="n"/>
      <c r="J384" s="17" t="n"/>
      <c r="K384" s="18" t="n"/>
    </row>
    <row r="385">
      <c r="A385" s="19">
        <f>'Season 1 - MafiaRatings'!A:A</f>
        <v/>
      </c>
      <c r="B385" s="19" t="n"/>
      <c r="I385" s="17" t="n"/>
      <c r="J385" s="17" t="n"/>
      <c r="K385" s="18" t="n"/>
    </row>
    <row r="386">
      <c r="A386" s="19">
        <f>'Season 1 - MafiaRatings'!A:A</f>
        <v/>
      </c>
      <c r="B386" s="19" t="n"/>
      <c r="I386" s="17" t="n"/>
      <c r="J386" s="17" t="n"/>
      <c r="K386" s="18" t="n"/>
    </row>
    <row r="387">
      <c r="A387" s="19">
        <f>'Season 1 - MafiaRatings'!A:A</f>
        <v/>
      </c>
      <c r="B387" s="19" t="n"/>
      <c r="I387" s="17" t="n"/>
      <c r="J387" s="17" t="n"/>
      <c r="K387" s="18" t="n"/>
    </row>
    <row r="388">
      <c r="A388" s="19">
        <f>'Season 1 - MafiaRatings'!A:A</f>
        <v/>
      </c>
      <c r="B388" s="19" t="n"/>
      <c r="I388" s="17" t="n"/>
      <c r="J388" s="17" t="n"/>
      <c r="K388" s="18" t="n"/>
    </row>
    <row r="389">
      <c r="A389" s="19">
        <f>'Season 1 - MafiaRatings'!A:A</f>
        <v/>
      </c>
      <c r="B389" s="19" t="n"/>
      <c r="I389" s="17" t="n"/>
      <c r="J389" s="17" t="n"/>
      <c r="K389" s="18" t="n"/>
    </row>
    <row r="390">
      <c r="A390" s="19">
        <f>'Season 1 - MafiaRatings'!A:A</f>
        <v/>
      </c>
      <c r="B390" s="19" t="n"/>
      <c r="I390" s="17" t="n"/>
      <c r="J390" s="17" t="n"/>
      <c r="K390" s="18" t="n"/>
    </row>
    <row r="391">
      <c r="A391" s="19">
        <f>'Season 1 - MafiaRatings'!A:A</f>
        <v/>
      </c>
      <c r="B391" s="19" t="n"/>
      <c r="I391" s="17" t="n"/>
      <c r="J391" s="17" t="n"/>
      <c r="K391" s="18" t="n"/>
    </row>
    <row r="392">
      <c r="A392" s="19">
        <f>'Season 1 - MafiaRatings'!A:A</f>
        <v/>
      </c>
      <c r="B392" s="19" t="n"/>
      <c r="I392" s="17" t="n"/>
      <c r="J392" s="17" t="n"/>
      <c r="K392" s="18" t="n"/>
    </row>
    <row r="393">
      <c r="A393" s="19">
        <f>'Season 1 - MafiaRatings'!A:A</f>
        <v/>
      </c>
      <c r="B393" s="19" t="n"/>
      <c r="I393" s="17" t="n"/>
      <c r="J393" s="17" t="n"/>
      <c r="K393" s="18" t="n"/>
    </row>
    <row r="394">
      <c r="A394" s="19">
        <f>'Season 1 - MafiaRatings'!A:A</f>
        <v/>
      </c>
      <c r="B394" s="19" t="n"/>
      <c r="I394" s="17" t="n"/>
      <c r="J394" s="17" t="n"/>
      <c r="K394" s="18" t="n"/>
    </row>
    <row r="395">
      <c r="A395" s="19">
        <f>'Season 1 - MafiaRatings'!A:A</f>
        <v/>
      </c>
      <c r="B395" s="19" t="n"/>
      <c r="I395" s="17" t="n"/>
      <c r="J395" s="17" t="n"/>
      <c r="K395" s="18" t="n"/>
    </row>
    <row r="396">
      <c r="A396" s="19">
        <f>'Season 1 - MafiaRatings'!A:A</f>
        <v/>
      </c>
      <c r="B396" s="19" t="n"/>
      <c r="I396" s="17" t="n"/>
      <c r="J396" s="17" t="n"/>
      <c r="K396" s="18" t="n"/>
    </row>
    <row r="397">
      <c r="A397" s="19">
        <f>'Season 1 - MafiaRatings'!A:A</f>
        <v/>
      </c>
      <c r="B397" s="19" t="n"/>
      <c r="I397" s="17" t="n"/>
      <c r="J397" s="17" t="n"/>
      <c r="K397" s="18" t="n"/>
    </row>
    <row r="398">
      <c r="A398" s="19">
        <f>'Season 1 - MafiaRatings'!A:A</f>
        <v/>
      </c>
      <c r="B398" s="19" t="n"/>
      <c r="I398" s="17" t="n"/>
      <c r="J398" s="17" t="n"/>
      <c r="K398" s="18" t="n"/>
    </row>
    <row r="399">
      <c r="A399" s="19">
        <f>'Season 1 - MafiaRatings'!A:A</f>
        <v/>
      </c>
      <c r="B399" s="19" t="n"/>
      <c r="I399" s="17" t="n"/>
      <c r="J399" s="17" t="n"/>
      <c r="K399" s="18" t="n"/>
    </row>
    <row r="400">
      <c r="A400" s="19">
        <f>'Season 1 - MafiaRatings'!A:A</f>
        <v/>
      </c>
      <c r="B400" s="19" t="n"/>
      <c r="I400" s="17" t="n"/>
      <c r="J400" s="17" t="n"/>
      <c r="K400" s="18" t="n"/>
    </row>
    <row r="401">
      <c r="A401" s="19">
        <f>'Season 1 - MafiaRatings'!A:A</f>
        <v/>
      </c>
      <c r="B401" s="19" t="n"/>
      <c r="I401" s="17" t="n"/>
      <c r="J401" s="17" t="n"/>
      <c r="K401" s="18" t="n"/>
    </row>
    <row r="402">
      <c r="A402" s="19">
        <f>'Season 1 - MafiaRatings'!A:A</f>
        <v/>
      </c>
      <c r="B402" s="19" t="n"/>
      <c r="I402" s="17" t="n"/>
      <c r="J402" s="17" t="n"/>
      <c r="K402" s="18" t="n"/>
    </row>
    <row r="403">
      <c r="A403" s="19">
        <f>'Season 1 - MafiaRatings'!A:A</f>
        <v/>
      </c>
      <c r="B403" s="19" t="n"/>
      <c r="I403" s="17" t="n"/>
      <c r="J403" s="17" t="n"/>
      <c r="K403" s="18" t="n"/>
    </row>
    <row r="404">
      <c r="A404" s="19">
        <f>'Season 1 - MafiaRatings'!A:A</f>
        <v/>
      </c>
      <c r="B404" s="19" t="n"/>
      <c r="I404" s="17" t="n"/>
      <c r="J404" s="17" t="n"/>
      <c r="K404" s="18" t="n"/>
    </row>
    <row r="405">
      <c r="A405" s="19">
        <f>'Season 1 - MafiaRatings'!A:A</f>
        <v/>
      </c>
      <c r="B405" s="19" t="n"/>
      <c r="I405" s="17" t="n"/>
      <c r="J405" s="17" t="n"/>
      <c r="K405" s="18" t="n"/>
    </row>
    <row r="406">
      <c r="A406" s="19">
        <f>'Season 1 - MafiaRatings'!A:A</f>
        <v/>
      </c>
      <c r="B406" s="19" t="n"/>
      <c r="I406" s="17" t="n"/>
      <c r="J406" s="17" t="n"/>
      <c r="K406" s="18" t="n"/>
    </row>
    <row r="407">
      <c r="A407" s="19">
        <f>'Season 1 - MafiaRatings'!A:A</f>
        <v/>
      </c>
      <c r="B407" s="19" t="n"/>
      <c r="I407" s="17" t="n"/>
      <c r="J407" s="17" t="n"/>
      <c r="K407" s="18" t="n"/>
    </row>
    <row r="408">
      <c r="A408" s="19">
        <f>'Season 1 - MafiaRatings'!A:A</f>
        <v/>
      </c>
      <c r="B408" s="19" t="n"/>
      <c r="I408" s="17" t="n"/>
      <c r="J408" s="17" t="n"/>
      <c r="K408" s="18" t="n"/>
    </row>
    <row r="409">
      <c r="A409" s="19">
        <f>'Season 1 - MafiaRatings'!A:A</f>
        <v/>
      </c>
      <c r="B409" s="19" t="n"/>
      <c r="I409" s="17" t="n"/>
      <c r="J409" s="17" t="n"/>
      <c r="K409" s="18" t="n"/>
    </row>
    <row r="410">
      <c r="A410" s="19">
        <f>'Season 1 - MafiaRatings'!A:A</f>
        <v/>
      </c>
      <c r="B410" s="19" t="n"/>
      <c r="I410" s="17" t="n"/>
      <c r="J410" s="17" t="n"/>
      <c r="K410" s="18" t="n"/>
    </row>
    <row r="411">
      <c r="A411" s="19">
        <f>'Season 1 - MafiaRatings'!A:A</f>
        <v/>
      </c>
      <c r="B411" s="19" t="n"/>
      <c r="I411" s="17" t="n"/>
      <c r="J411" s="17" t="n"/>
      <c r="K411" s="18" t="n"/>
    </row>
    <row r="412">
      <c r="A412" s="19">
        <f>'Season 1 - MafiaRatings'!A:A</f>
        <v/>
      </c>
      <c r="B412" s="19" t="n"/>
      <c r="I412" s="17" t="n"/>
      <c r="J412" s="17" t="n"/>
      <c r="K412" s="18" t="n"/>
    </row>
    <row r="413">
      <c r="A413" s="19">
        <f>'Season 1 - MafiaRatings'!A:A</f>
        <v/>
      </c>
      <c r="B413" s="19" t="n"/>
      <c r="I413" s="17" t="n"/>
      <c r="J413" s="17" t="n"/>
      <c r="K413" s="18" t="n"/>
    </row>
    <row r="414">
      <c r="A414" s="19">
        <f>'Season 1 - MafiaRatings'!A:A</f>
        <v/>
      </c>
      <c r="B414" s="19" t="n"/>
      <c r="I414" s="17" t="n"/>
      <c r="J414" s="17" t="n"/>
      <c r="K414" s="18" t="n"/>
    </row>
    <row r="415">
      <c r="A415" s="19">
        <f>'Season 1 - MafiaRatings'!A:A</f>
        <v/>
      </c>
      <c r="B415" s="19" t="n"/>
      <c r="I415" s="17" t="n"/>
      <c r="J415" s="17" t="n"/>
      <c r="K415" s="18" t="n"/>
    </row>
    <row r="416">
      <c r="A416" s="19">
        <f>'Season 1 - MafiaRatings'!A:A</f>
        <v/>
      </c>
      <c r="B416" s="19" t="n"/>
      <c r="I416" s="17" t="n"/>
      <c r="J416" s="17" t="n"/>
      <c r="K416" s="18" t="n"/>
    </row>
    <row r="417">
      <c r="A417" s="19">
        <f>'Season 1 - MafiaRatings'!A:A</f>
        <v/>
      </c>
      <c r="B417" s="19" t="n"/>
      <c r="I417" s="17" t="n"/>
      <c r="J417" s="17" t="n"/>
      <c r="K417" s="18" t="n"/>
    </row>
    <row r="418">
      <c r="A418" s="19">
        <f>'Season 1 - MafiaRatings'!A:A</f>
        <v/>
      </c>
      <c r="B418" s="19" t="n"/>
      <c r="I418" s="17" t="n"/>
      <c r="J418" s="17" t="n"/>
      <c r="K418" s="18" t="n"/>
    </row>
    <row r="419">
      <c r="A419" s="19">
        <f>'Season 1 - MafiaRatings'!A:A</f>
        <v/>
      </c>
      <c r="B419" s="19" t="n"/>
      <c r="I419" s="17" t="n"/>
      <c r="J419" s="17" t="n"/>
      <c r="K419" s="18" t="n"/>
    </row>
    <row r="420">
      <c r="A420" s="19">
        <f>'Season 1 - MafiaRatings'!A:A</f>
        <v/>
      </c>
      <c r="B420" s="19" t="n"/>
      <c r="I420" s="17" t="n"/>
      <c r="J420" s="17" t="n"/>
      <c r="K420" s="18" t="n"/>
    </row>
    <row r="421">
      <c r="A421" s="19">
        <f>'Season 1 - MafiaRatings'!A:A</f>
        <v/>
      </c>
      <c r="B421" s="19" t="n"/>
      <c r="I421" s="17" t="n"/>
      <c r="J421" s="17" t="n"/>
      <c r="K421" s="18" t="n"/>
    </row>
    <row r="422">
      <c r="A422" s="19">
        <f>'Season 1 - MafiaRatings'!A:A</f>
        <v/>
      </c>
      <c r="B422" s="19" t="n"/>
      <c r="I422" s="17" t="n"/>
      <c r="J422" s="17" t="n"/>
      <c r="K422" s="18" t="n"/>
    </row>
    <row r="423">
      <c r="A423" s="19">
        <f>'Season 1 - MafiaRatings'!A:A</f>
        <v/>
      </c>
      <c r="B423" s="19" t="n"/>
      <c r="I423" s="17" t="n"/>
      <c r="J423" s="17" t="n"/>
      <c r="K423" s="18" t="n"/>
    </row>
    <row r="424">
      <c r="A424" s="19">
        <f>'Season 1 - MafiaRatings'!A:A</f>
        <v/>
      </c>
      <c r="B424" s="19" t="n"/>
      <c r="I424" s="17" t="n"/>
      <c r="J424" s="17" t="n"/>
      <c r="K424" s="18" t="n"/>
    </row>
    <row r="425">
      <c r="A425" s="19">
        <f>'Season 1 - MafiaRatings'!A:A</f>
        <v/>
      </c>
      <c r="B425" s="19" t="n"/>
      <c r="I425" s="17" t="n"/>
      <c r="J425" s="17" t="n"/>
      <c r="K425" s="18" t="n"/>
    </row>
    <row r="426">
      <c r="A426" s="19">
        <f>'Season 1 - MafiaRatings'!A:A</f>
        <v/>
      </c>
      <c r="B426" s="19" t="n"/>
      <c r="I426" s="17" t="n"/>
      <c r="J426" s="17" t="n"/>
      <c r="K426" s="18" t="n"/>
    </row>
    <row r="427">
      <c r="A427" s="19">
        <f>'Season 1 - MafiaRatings'!A:A</f>
        <v/>
      </c>
      <c r="B427" s="19" t="n"/>
      <c r="I427" s="17" t="n"/>
      <c r="J427" s="17" t="n"/>
      <c r="K427" s="18" t="n"/>
    </row>
    <row r="428">
      <c r="A428" s="19">
        <f>'Season 1 - MafiaRatings'!A:A</f>
        <v/>
      </c>
      <c r="B428" s="19" t="n"/>
      <c r="I428" s="17" t="n"/>
      <c r="J428" s="17" t="n"/>
      <c r="K428" s="18" t="n"/>
    </row>
    <row r="429">
      <c r="A429" s="19">
        <f>'Season 1 - MafiaRatings'!A:A</f>
        <v/>
      </c>
      <c r="B429" s="19" t="n"/>
      <c r="I429" s="17" t="n"/>
      <c r="J429" s="17" t="n"/>
      <c r="K429" s="18" t="n"/>
    </row>
    <row r="430">
      <c r="A430" s="19">
        <f>'Season 1 - MafiaRatings'!A:A</f>
        <v/>
      </c>
      <c r="B430" s="19" t="n"/>
      <c r="I430" s="17" t="n"/>
      <c r="J430" s="17" t="n"/>
      <c r="K430" s="18" t="n"/>
    </row>
    <row r="431">
      <c r="A431" s="19">
        <f>'Season 1 - MafiaRatings'!A:A</f>
        <v/>
      </c>
      <c r="B431" s="19" t="n"/>
      <c r="I431" s="17" t="n"/>
      <c r="J431" s="17" t="n"/>
      <c r="K431" s="18" t="n"/>
    </row>
    <row r="432">
      <c r="A432" s="19">
        <f>'Season 1 - MafiaRatings'!A:A</f>
        <v/>
      </c>
      <c r="B432" s="19" t="n"/>
      <c r="I432" s="17" t="n"/>
      <c r="J432" s="17" t="n"/>
      <c r="K432" s="18" t="n"/>
    </row>
    <row r="433">
      <c r="A433" s="19">
        <f>'Season 1 - MafiaRatings'!A:A</f>
        <v/>
      </c>
      <c r="B433" s="19" t="n"/>
      <c r="I433" s="17" t="n"/>
      <c r="J433" s="17" t="n"/>
      <c r="K433" s="18" t="n"/>
    </row>
    <row r="434">
      <c r="A434" s="19">
        <f>'Season 1 - MafiaRatings'!A:A</f>
        <v/>
      </c>
      <c r="B434" s="19" t="n"/>
      <c r="I434" s="17" t="n"/>
      <c r="J434" s="17" t="n"/>
      <c r="K434" s="18" t="n"/>
    </row>
    <row r="435">
      <c r="A435" s="19">
        <f>'Season 1 - MafiaRatings'!A:A</f>
        <v/>
      </c>
      <c r="B435" s="19" t="n"/>
      <c r="I435" s="17" t="n"/>
      <c r="J435" s="17" t="n"/>
      <c r="K435" s="18" t="n"/>
    </row>
    <row r="436">
      <c r="A436" s="19">
        <f>'Season 1 - MafiaRatings'!A:A</f>
        <v/>
      </c>
      <c r="B436" s="19" t="n"/>
      <c r="I436" s="17" t="n"/>
      <c r="J436" s="17" t="n"/>
      <c r="K436" s="18" t="n"/>
    </row>
    <row r="437">
      <c r="A437" s="19">
        <f>'Season 1 - MafiaRatings'!A:A</f>
        <v/>
      </c>
      <c r="B437" s="19" t="n"/>
      <c r="I437" s="17" t="n"/>
      <c r="J437" s="17" t="n"/>
      <c r="K437" s="18" t="n"/>
    </row>
    <row r="438">
      <c r="A438" s="19">
        <f>'Season 1 - MafiaRatings'!A:A</f>
        <v/>
      </c>
      <c r="B438" s="19" t="n"/>
      <c r="I438" s="17" t="n"/>
      <c r="J438" s="17" t="n"/>
      <c r="K438" s="18" t="n"/>
    </row>
    <row r="439">
      <c r="A439" s="19">
        <f>'Season 1 - MafiaRatings'!A:A</f>
        <v/>
      </c>
      <c r="B439" s="19" t="n"/>
      <c r="I439" s="17" t="n"/>
      <c r="J439" s="17" t="n"/>
      <c r="K439" s="18" t="n"/>
    </row>
    <row r="440">
      <c r="A440" s="19">
        <f>'Season 1 - MafiaRatings'!A:A</f>
        <v/>
      </c>
      <c r="B440" s="19" t="n"/>
      <c r="I440" s="17" t="n"/>
      <c r="J440" s="17" t="n"/>
      <c r="K440" s="18" t="n"/>
    </row>
    <row r="441">
      <c r="A441" s="19">
        <f>'Season 1 - MafiaRatings'!A:A</f>
        <v/>
      </c>
      <c r="B441" s="19" t="n"/>
      <c r="I441" s="17" t="n"/>
      <c r="J441" s="17" t="n"/>
      <c r="K441" s="18" t="n"/>
    </row>
    <row r="442">
      <c r="A442" s="19">
        <f>'Season 1 - MafiaRatings'!A:A</f>
        <v/>
      </c>
      <c r="B442" s="19" t="n"/>
      <c r="I442" s="17" t="n"/>
      <c r="J442" s="17" t="n"/>
      <c r="K442" s="18" t="n"/>
    </row>
    <row r="443">
      <c r="A443" s="19">
        <f>'Season 1 - MafiaRatings'!A:A</f>
        <v/>
      </c>
      <c r="B443" s="19" t="n"/>
      <c r="I443" s="17" t="n"/>
      <c r="J443" s="17" t="n"/>
      <c r="K443" s="18" t="n"/>
    </row>
    <row r="444">
      <c r="A444" s="19">
        <f>'Season 1 - MafiaRatings'!A:A</f>
        <v/>
      </c>
      <c r="B444" s="19" t="n"/>
      <c r="I444" s="17" t="n"/>
      <c r="J444" s="17" t="n"/>
      <c r="K444" s="18" t="n"/>
    </row>
    <row r="445">
      <c r="A445" s="19">
        <f>'Season 1 - MafiaRatings'!A:A</f>
        <v/>
      </c>
      <c r="B445" s="19" t="n"/>
      <c r="I445" s="17" t="n"/>
      <c r="J445" s="17" t="n"/>
      <c r="K445" s="18" t="n"/>
    </row>
    <row r="446">
      <c r="A446" s="19">
        <f>'Season 1 - MafiaRatings'!A:A</f>
        <v/>
      </c>
      <c r="B446" s="19" t="n"/>
      <c r="I446" s="17" t="n"/>
      <c r="J446" s="17" t="n"/>
      <c r="K446" s="18" t="n"/>
    </row>
    <row r="447">
      <c r="A447" s="19">
        <f>'Season 1 - MafiaRatings'!A:A</f>
        <v/>
      </c>
      <c r="B447" s="19" t="n"/>
      <c r="I447" s="17" t="n"/>
      <c r="J447" s="17" t="n"/>
      <c r="K447" s="18" t="n"/>
    </row>
    <row r="448">
      <c r="A448" s="19">
        <f>'Season 1 - MafiaRatings'!A:A</f>
        <v/>
      </c>
      <c r="B448" s="19" t="n"/>
      <c r="I448" s="17" t="n"/>
      <c r="J448" s="17" t="n"/>
      <c r="K448" s="18" t="n"/>
    </row>
    <row r="449">
      <c r="A449" s="19">
        <f>'Season 1 - MafiaRatings'!A:A</f>
        <v/>
      </c>
      <c r="B449" s="19" t="n"/>
      <c r="I449" s="17" t="n"/>
      <c r="J449" s="17" t="n"/>
      <c r="K449" s="18" t="n"/>
    </row>
    <row r="450">
      <c r="A450" s="19">
        <f>'Season 1 - MafiaRatings'!A:A</f>
        <v/>
      </c>
      <c r="B450" s="19" t="n"/>
      <c r="I450" s="17" t="n"/>
      <c r="J450" s="17" t="n"/>
      <c r="K450" s="18" t="n"/>
    </row>
    <row r="451">
      <c r="A451" s="19">
        <f>'Season 1 - MafiaRatings'!A:A</f>
        <v/>
      </c>
      <c r="B451" s="19" t="n"/>
      <c r="I451" s="17" t="n"/>
      <c r="J451" s="17" t="n"/>
      <c r="K451" s="18" t="n"/>
    </row>
    <row r="452">
      <c r="A452" s="19">
        <f>'Season 1 - MafiaRatings'!A:A</f>
        <v/>
      </c>
      <c r="B452" s="19" t="n"/>
      <c r="I452" s="17" t="n"/>
      <c r="J452" s="17" t="n"/>
      <c r="K452" s="18" t="n"/>
    </row>
    <row r="453">
      <c r="A453" s="19">
        <f>'Season 1 - MafiaRatings'!A:A</f>
        <v/>
      </c>
      <c r="B453" s="19" t="n"/>
      <c r="I453" s="17" t="n"/>
      <c r="J453" s="17" t="n"/>
      <c r="K453" s="18" t="n"/>
    </row>
    <row r="454">
      <c r="A454" s="19">
        <f>'Season 1 - MafiaRatings'!A:A</f>
        <v/>
      </c>
      <c r="B454" s="19" t="n"/>
      <c r="I454" s="17" t="n"/>
      <c r="J454" s="17" t="n"/>
      <c r="K454" s="18" t="n"/>
    </row>
    <row r="455">
      <c r="A455" s="19">
        <f>'Season 1 - MafiaRatings'!A:A</f>
        <v/>
      </c>
      <c r="B455" s="19" t="n"/>
      <c r="I455" s="17" t="n"/>
      <c r="J455" s="17" t="n"/>
      <c r="K455" s="18" t="n"/>
    </row>
    <row r="456">
      <c r="A456" s="19">
        <f>'Season 1 - MafiaRatings'!A:A</f>
        <v/>
      </c>
      <c r="B456" s="19" t="n"/>
      <c r="I456" s="17" t="n"/>
      <c r="J456" s="17" t="n"/>
      <c r="K456" s="18" t="n"/>
    </row>
    <row r="457">
      <c r="A457" s="19">
        <f>'Season 1 - MafiaRatings'!A:A</f>
        <v/>
      </c>
      <c r="B457" s="19" t="n"/>
      <c r="I457" s="17" t="n"/>
      <c r="J457" s="17" t="n"/>
      <c r="K457" s="18" t="n"/>
    </row>
    <row r="458">
      <c r="A458" s="19">
        <f>'Season 1 - MafiaRatings'!A:A</f>
        <v/>
      </c>
      <c r="B458" s="19" t="n"/>
      <c r="I458" s="17" t="n"/>
      <c r="J458" s="17" t="n"/>
      <c r="K458" s="18" t="n"/>
    </row>
    <row r="459">
      <c r="A459" s="19">
        <f>'Season 1 - MafiaRatings'!A:A</f>
        <v/>
      </c>
      <c r="B459" s="19" t="n"/>
      <c r="I459" s="17" t="n"/>
      <c r="J459" s="17" t="n"/>
      <c r="K459" s="18" t="n"/>
    </row>
    <row r="460">
      <c r="A460" s="19">
        <f>'Season 1 - MafiaRatings'!A:A</f>
        <v/>
      </c>
      <c r="B460" s="19" t="n"/>
      <c r="I460" s="17" t="n"/>
      <c r="J460" s="17" t="n"/>
      <c r="K460" s="18" t="n"/>
    </row>
    <row r="461">
      <c r="A461" s="19">
        <f>'Season 1 - MafiaRatings'!A:A</f>
        <v/>
      </c>
      <c r="B461" s="19" t="n"/>
      <c r="I461" s="17" t="n"/>
      <c r="J461" s="17" t="n"/>
      <c r="K461" s="18" t="n"/>
    </row>
    <row r="462">
      <c r="A462" s="19">
        <f>'Season 1 - MafiaRatings'!A:A</f>
        <v/>
      </c>
      <c r="B462" s="19" t="n"/>
      <c r="I462" s="17" t="n"/>
      <c r="J462" s="17" t="n"/>
      <c r="K462" s="18" t="n"/>
    </row>
    <row r="463">
      <c r="A463" s="19">
        <f>'Season 1 - MafiaRatings'!A:A</f>
        <v/>
      </c>
      <c r="B463" s="19" t="n"/>
      <c r="I463" s="17" t="n"/>
      <c r="J463" s="17" t="n"/>
      <c r="K463" s="18" t="n"/>
    </row>
    <row r="464">
      <c r="A464" s="19">
        <f>'Season 1 - MafiaRatings'!A:A</f>
        <v/>
      </c>
      <c r="B464" s="19" t="n"/>
      <c r="I464" s="17" t="n"/>
      <c r="J464" s="17" t="n"/>
      <c r="K464" s="18" t="n"/>
    </row>
    <row r="465">
      <c r="A465" s="19">
        <f>'Season 1 - MafiaRatings'!A:A</f>
        <v/>
      </c>
      <c r="B465" s="19" t="n"/>
      <c r="I465" s="17" t="n"/>
      <c r="J465" s="17" t="n"/>
      <c r="K465" s="18" t="n"/>
    </row>
    <row r="466">
      <c r="A466" s="19">
        <f>'Season 1 - MafiaRatings'!A:A</f>
        <v/>
      </c>
      <c r="B466" s="19" t="n"/>
      <c r="I466" s="17" t="n"/>
      <c r="J466" s="17" t="n"/>
      <c r="K466" s="18" t="n"/>
    </row>
    <row r="467">
      <c r="A467" s="19">
        <f>'Season 1 - MafiaRatings'!A:A</f>
        <v/>
      </c>
      <c r="B467" s="19" t="n"/>
      <c r="I467" s="17" t="n"/>
      <c r="J467" s="17" t="n"/>
      <c r="K467" s="18" t="n"/>
    </row>
    <row r="468">
      <c r="A468" s="19">
        <f>'Season 1 - MafiaRatings'!A:A</f>
        <v/>
      </c>
      <c r="B468" s="19" t="n"/>
      <c r="I468" s="17" t="n"/>
      <c r="J468" s="17" t="n"/>
      <c r="K468" s="18" t="n"/>
    </row>
    <row r="469">
      <c r="A469" s="19">
        <f>'Season 1 - MafiaRatings'!A:A</f>
        <v/>
      </c>
      <c r="B469" s="19" t="n"/>
      <c r="I469" s="17" t="n"/>
      <c r="J469" s="17" t="n"/>
      <c r="K469" s="18" t="n"/>
    </row>
    <row r="470">
      <c r="A470" s="19">
        <f>'Season 1 - MafiaRatings'!A:A</f>
        <v/>
      </c>
      <c r="B470" s="19" t="n"/>
      <c r="I470" s="17" t="n"/>
      <c r="J470" s="17" t="n"/>
      <c r="K470" s="18" t="n"/>
    </row>
    <row r="471">
      <c r="A471" s="19">
        <f>'Season 1 - MafiaRatings'!A:A</f>
        <v/>
      </c>
      <c r="B471" s="19" t="n"/>
      <c r="I471" s="17" t="n"/>
      <c r="J471" s="17" t="n"/>
      <c r="K471" s="18" t="n"/>
    </row>
    <row r="472">
      <c r="A472" s="19">
        <f>'Season 1 - MafiaRatings'!A:A</f>
        <v/>
      </c>
      <c r="B472" s="19" t="n"/>
      <c r="I472" s="17" t="n"/>
      <c r="J472" s="17" t="n"/>
      <c r="K472" s="18" t="n"/>
    </row>
    <row r="473">
      <c r="A473" s="19">
        <f>'Season 1 - MafiaRatings'!A:A</f>
        <v/>
      </c>
      <c r="B473" s="19" t="n"/>
      <c r="I473" s="17" t="n"/>
      <c r="J473" s="17" t="n"/>
      <c r="K473" s="18" t="n"/>
    </row>
    <row r="474">
      <c r="A474" s="19">
        <f>'Season 1 - MafiaRatings'!A:A</f>
        <v/>
      </c>
      <c r="B474" s="19" t="n"/>
      <c r="I474" s="17" t="n"/>
      <c r="J474" s="17" t="n"/>
      <c r="K474" s="18" t="n"/>
    </row>
    <row r="475">
      <c r="A475" s="19">
        <f>'Season 1 - MafiaRatings'!A:A</f>
        <v/>
      </c>
      <c r="B475" s="19" t="n"/>
      <c r="I475" s="17" t="n"/>
      <c r="J475" s="17" t="n"/>
      <c r="K475" s="18" t="n"/>
    </row>
    <row r="476">
      <c r="A476" s="19">
        <f>'Season 1 - MafiaRatings'!A:A</f>
        <v/>
      </c>
      <c r="B476" s="19" t="n"/>
      <c r="I476" s="17" t="n"/>
      <c r="J476" s="17" t="n"/>
      <c r="K476" s="18" t="n"/>
    </row>
    <row r="477">
      <c r="A477" s="19">
        <f>'Season 1 - MafiaRatings'!A:A</f>
        <v/>
      </c>
      <c r="B477" s="19" t="n"/>
      <c r="I477" s="17" t="n"/>
      <c r="J477" s="17" t="n"/>
      <c r="K477" s="18" t="n"/>
    </row>
    <row r="478">
      <c r="A478" s="19">
        <f>'Season 1 - MafiaRatings'!A:A</f>
        <v/>
      </c>
      <c r="B478" s="19" t="n"/>
      <c r="I478" s="17" t="n"/>
      <c r="J478" s="17" t="n"/>
      <c r="K478" s="18" t="n"/>
    </row>
    <row r="479">
      <c r="A479" s="19">
        <f>'Season 1 - MafiaRatings'!A:A</f>
        <v/>
      </c>
      <c r="B479" s="19" t="n"/>
      <c r="I479" s="17" t="n"/>
      <c r="J479" s="17" t="n"/>
      <c r="K479" s="18" t="n"/>
    </row>
    <row r="480">
      <c r="A480" s="19">
        <f>'Season 1 - MafiaRatings'!A:A</f>
        <v/>
      </c>
      <c r="B480" s="19" t="n"/>
      <c r="I480" s="17" t="n"/>
      <c r="J480" s="17" t="n"/>
      <c r="K480" s="18" t="n"/>
    </row>
    <row r="481">
      <c r="A481" s="19">
        <f>'Season 1 - MafiaRatings'!A:A</f>
        <v/>
      </c>
      <c r="B481" s="19" t="n"/>
      <c r="I481" s="17" t="n"/>
      <c r="J481" s="17" t="n"/>
      <c r="K481" s="18" t="n"/>
    </row>
    <row r="482">
      <c r="A482" s="19">
        <f>'Season 1 - MafiaRatings'!A:A</f>
        <v/>
      </c>
      <c r="B482" s="19" t="n"/>
      <c r="I482" s="17" t="n"/>
      <c r="J482" s="17" t="n"/>
      <c r="K482" s="18" t="n"/>
    </row>
    <row r="483">
      <c r="A483" s="19">
        <f>'Season 1 - MafiaRatings'!A:A</f>
        <v/>
      </c>
      <c r="B483" s="19" t="n"/>
      <c r="I483" s="17" t="n"/>
      <c r="J483" s="17" t="n"/>
      <c r="K483" s="18" t="n"/>
    </row>
    <row r="484">
      <c r="A484" s="19">
        <f>'Season 1 - MafiaRatings'!A:A</f>
        <v/>
      </c>
      <c r="B484" s="19" t="n"/>
      <c r="I484" s="17" t="n"/>
      <c r="J484" s="17" t="n"/>
      <c r="K484" s="18" t="n"/>
    </row>
    <row r="485">
      <c r="A485" s="19">
        <f>'Season 1 - MafiaRatings'!A:A</f>
        <v/>
      </c>
      <c r="B485" s="19" t="n"/>
      <c r="I485" s="17" t="n"/>
      <c r="J485" s="17" t="n"/>
      <c r="K485" s="18" t="n"/>
    </row>
    <row r="486">
      <c r="A486" s="19">
        <f>'Season 1 - MafiaRatings'!A:A</f>
        <v/>
      </c>
      <c r="B486" s="19" t="n"/>
      <c r="I486" s="17" t="n"/>
      <c r="J486" s="17" t="n"/>
      <c r="K486" s="18" t="n"/>
    </row>
    <row r="487">
      <c r="A487" s="19">
        <f>'Season 1 - MafiaRatings'!A:A</f>
        <v/>
      </c>
      <c r="B487" s="19" t="n"/>
      <c r="I487" s="17" t="n"/>
      <c r="J487" s="17" t="n"/>
      <c r="K487" s="18" t="n"/>
    </row>
    <row r="488">
      <c r="A488" s="19">
        <f>'Season 1 - MafiaRatings'!A:A</f>
        <v/>
      </c>
      <c r="B488" s="19" t="n"/>
      <c r="I488" s="17" t="n"/>
      <c r="J488" s="17" t="n"/>
      <c r="K488" s="18" t="n"/>
    </row>
    <row r="489">
      <c r="A489" s="19">
        <f>'Season 1 - MafiaRatings'!A:A</f>
        <v/>
      </c>
      <c r="B489" s="19" t="n"/>
      <c r="I489" s="17" t="n"/>
      <c r="J489" s="17" t="n"/>
      <c r="K489" s="18" t="n"/>
    </row>
    <row r="490">
      <c r="A490" s="19">
        <f>'Season 1 - MafiaRatings'!A:A</f>
        <v/>
      </c>
      <c r="B490" s="19" t="n"/>
      <c r="I490" s="17" t="n"/>
      <c r="J490" s="17" t="n"/>
      <c r="K490" s="18" t="n"/>
    </row>
    <row r="491">
      <c r="A491" s="19">
        <f>'Season 1 - MafiaRatings'!A:A</f>
        <v/>
      </c>
      <c r="B491" s="19" t="n"/>
      <c r="I491" s="17" t="n"/>
      <c r="J491" s="17" t="n"/>
      <c r="K491" s="18" t="n"/>
    </row>
    <row r="492">
      <c r="A492" s="19">
        <f>'Season 1 - MafiaRatings'!A:A</f>
        <v/>
      </c>
      <c r="B492" s="19" t="n"/>
      <c r="I492" s="17" t="n"/>
      <c r="J492" s="17" t="n"/>
      <c r="K492" s="18" t="n"/>
    </row>
    <row r="493">
      <c r="A493" s="19">
        <f>'Season 1 - MafiaRatings'!A:A</f>
        <v/>
      </c>
      <c r="B493" s="19" t="n"/>
      <c r="I493" s="17" t="n"/>
      <c r="J493" s="17" t="n"/>
      <c r="K493" s="18" t="n"/>
    </row>
    <row r="494">
      <c r="A494" s="19">
        <f>'Season 1 - MafiaRatings'!A:A</f>
        <v/>
      </c>
      <c r="B494" s="19" t="n"/>
      <c r="I494" s="17" t="n"/>
      <c r="J494" s="17" t="n"/>
      <c r="K494" s="18" t="n"/>
    </row>
    <row r="495">
      <c r="A495" s="19">
        <f>'Season 1 - MafiaRatings'!A:A</f>
        <v/>
      </c>
      <c r="B495" s="19" t="n"/>
      <c r="I495" s="17" t="n"/>
      <c r="J495" s="17" t="n"/>
      <c r="K495" s="18" t="n"/>
    </row>
    <row r="496">
      <c r="A496" s="19">
        <f>'Season 1 - MafiaRatings'!A:A</f>
        <v/>
      </c>
      <c r="B496" s="19" t="n"/>
      <c r="I496" s="17" t="n"/>
      <c r="J496" s="17" t="n"/>
      <c r="K496" s="18" t="n"/>
    </row>
    <row r="497">
      <c r="A497" s="19">
        <f>'Season 1 - MafiaRatings'!A:A</f>
        <v/>
      </c>
      <c r="B497" s="19" t="n"/>
      <c r="I497" s="17" t="n"/>
      <c r="J497" s="17" t="n"/>
      <c r="K497" s="18" t="n"/>
    </row>
    <row r="498">
      <c r="A498" s="19">
        <f>'Season 1 - MafiaRatings'!A:A</f>
        <v/>
      </c>
      <c r="B498" s="19" t="n"/>
      <c r="I498" s="17" t="n"/>
      <c r="J498" s="17" t="n"/>
      <c r="K498" s="18" t="n"/>
    </row>
    <row r="499">
      <c r="A499" s="19">
        <f>'Season 1 - MafiaRatings'!A:A</f>
        <v/>
      </c>
      <c r="B499" s="19" t="n"/>
      <c r="I499" s="17" t="n"/>
      <c r="J499" s="17" t="n"/>
      <c r="K499" s="18" t="n"/>
    </row>
    <row r="500">
      <c r="A500" s="19">
        <f>'Season 1 - MafiaRatings'!A:A</f>
        <v/>
      </c>
      <c r="B500" s="19" t="n"/>
      <c r="I500" s="17" t="n"/>
      <c r="J500" s="17" t="n"/>
      <c r="K500" s="18" t="n"/>
    </row>
    <row r="501">
      <c r="A501" s="19">
        <f>'Season 1 - MafiaRatings'!A:A</f>
        <v/>
      </c>
      <c r="B501" s="19" t="n"/>
      <c r="I501" s="17" t="n"/>
      <c r="J501" s="17" t="n"/>
      <c r="K501" s="18" t="n"/>
    </row>
    <row r="502">
      <c r="A502" s="19">
        <f>'Season 1 - MafiaRatings'!A:A</f>
        <v/>
      </c>
      <c r="B502" s="19" t="n"/>
      <c r="I502" s="17" t="n"/>
      <c r="J502" s="17" t="n"/>
      <c r="K502" s="18" t="n"/>
    </row>
    <row r="503">
      <c r="A503" s="19">
        <f>'Season 1 - MafiaRatings'!A:A</f>
        <v/>
      </c>
      <c r="B503" s="19" t="n"/>
      <c r="I503" s="17" t="n"/>
      <c r="J503" s="17" t="n"/>
      <c r="K503" s="18" t="n"/>
    </row>
    <row r="504">
      <c r="A504" s="19">
        <f>'Season 1 - MafiaRatings'!A:A</f>
        <v/>
      </c>
      <c r="B504" s="19" t="n"/>
      <c r="I504" s="17" t="n"/>
      <c r="J504" s="17" t="n"/>
      <c r="K504" s="18" t="n"/>
    </row>
    <row r="505">
      <c r="A505" s="19">
        <f>'Season 1 - MafiaRatings'!A:A</f>
        <v/>
      </c>
      <c r="B505" s="19" t="n"/>
      <c r="I505" s="17" t="n"/>
      <c r="J505" s="17" t="n"/>
      <c r="K505" s="18" t="n"/>
    </row>
    <row r="506">
      <c r="A506" s="19">
        <f>'Season 1 - MafiaRatings'!A:A</f>
        <v/>
      </c>
      <c r="B506" s="19" t="n"/>
      <c r="I506" s="17" t="n"/>
      <c r="J506" s="17" t="n"/>
      <c r="K506" s="18" t="n"/>
    </row>
    <row r="507">
      <c r="A507" s="19">
        <f>'Season 1 - MafiaRatings'!A:A</f>
        <v/>
      </c>
      <c r="B507" s="19" t="n"/>
      <c r="I507" s="17" t="n"/>
      <c r="J507" s="17" t="n"/>
      <c r="K507" s="18" t="n"/>
    </row>
    <row r="508">
      <c r="A508" s="19">
        <f>'Season 1 - MafiaRatings'!A:A</f>
        <v/>
      </c>
      <c r="B508" s="19" t="n"/>
      <c r="I508" s="17" t="n"/>
      <c r="J508" s="17" t="n"/>
      <c r="K508" s="18" t="n"/>
    </row>
    <row r="509">
      <c r="A509" s="19">
        <f>'Season 1 - MafiaRatings'!A:A</f>
        <v/>
      </c>
      <c r="B509" s="19" t="n"/>
      <c r="I509" s="17" t="n"/>
      <c r="J509" s="17" t="n"/>
      <c r="K509" s="18" t="n"/>
    </row>
    <row r="510">
      <c r="A510" s="19">
        <f>'Season 1 - MafiaRatings'!A:A</f>
        <v/>
      </c>
      <c r="B510" s="19" t="n"/>
      <c r="I510" s="17" t="n"/>
      <c r="J510" s="17" t="n"/>
      <c r="K510" s="18" t="n"/>
    </row>
    <row r="511">
      <c r="A511" s="19">
        <f>'Season 1 - MafiaRatings'!A:A</f>
        <v/>
      </c>
      <c r="B511" s="19" t="n"/>
      <c r="I511" s="17" t="n"/>
      <c r="J511" s="17" t="n"/>
      <c r="K511" s="18" t="n"/>
    </row>
    <row r="512">
      <c r="A512" s="19">
        <f>'Season 1 - MafiaRatings'!A:A</f>
        <v/>
      </c>
      <c r="B512" s="19" t="n"/>
      <c r="I512" s="17" t="n"/>
      <c r="J512" s="17" t="n"/>
      <c r="K512" s="18" t="n"/>
    </row>
    <row r="513">
      <c r="A513" s="19">
        <f>'Season 1 - MafiaRatings'!A:A</f>
        <v/>
      </c>
      <c r="B513" s="19" t="n"/>
      <c r="I513" s="17" t="n"/>
      <c r="J513" s="17" t="n"/>
      <c r="K513" s="18" t="n"/>
    </row>
    <row r="514">
      <c r="A514" s="19">
        <f>'Season 1 - MafiaRatings'!A:A</f>
        <v/>
      </c>
      <c r="B514" s="19" t="n"/>
      <c r="I514" s="17" t="n"/>
      <c r="J514" s="17" t="n"/>
      <c r="K514" s="18" t="n"/>
    </row>
    <row r="515">
      <c r="A515" s="19">
        <f>'Season 1 - MafiaRatings'!A:A</f>
        <v/>
      </c>
      <c r="B515" s="19" t="n"/>
      <c r="I515" s="17" t="n"/>
      <c r="J515" s="17" t="n"/>
      <c r="K515" s="18" t="n"/>
    </row>
    <row r="516">
      <c r="A516" s="19">
        <f>'Season 1 - MafiaRatings'!A:A</f>
        <v/>
      </c>
      <c r="B516" s="19" t="n"/>
      <c r="I516" s="17" t="n"/>
      <c r="J516" s="17" t="n"/>
      <c r="K516" s="18" t="n"/>
    </row>
    <row r="517">
      <c r="A517" s="19">
        <f>'Season 1 - MafiaRatings'!A:A</f>
        <v/>
      </c>
      <c r="B517" s="19" t="n"/>
      <c r="I517" s="17" t="n"/>
      <c r="J517" s="17" t="n"/>
      <c r="K517" s="18" t="n"/>
    </row>
    <row r="518">
      <c r="A518" s="19">
        <f>'Season 1 - MafiaRatings'!A:A</f>
        <v/>
      </c>
      <c r="B518" s="19" t="n"/>
      <c r="I518" s="17" t="n"/>
      <c r="J518" s="17" t="n"/>
      <c r="K518" s="18" t="n"/>
    </row>
    <row r="519">
      <c r="A519" s="19">
        <f>'Season 1 - MafiaRatings'!A:A</f>
        <v/>
      </c>
      <c r="B519" s="19" t="n"/>
      <c r="I519" s="17" t="n"/>
      <c r="J519" s="17" t="n"/>
      <c r="K519" s="18" t="n"/>
    </row>
    <row r="520">
      <c r="A520" s="19">
        <f>'Season 1 - MafiaRatings'!A:A</f>
        <v/>
      </c>
      <c r="B520" s="19" t="n"/>
      <c r="I520" s="17" t="n"/>
      <c r="J520" s="17" t="n"/>
      <c r="K520" s="18" t="n"/>
    </row>
    <row r="521">
      <c r="A521" s="19">
        <f>'Season 1 - MafiaRatings'!A:A</f>
        <v/>
      </c>
      <c r="B521" s="19" t="n"/>
      <c r="I521" s="17" t="n"/>
      <c r="J521" s="17" t="n"/>
      <c r="K521" s="18" t="n"/>
    </row>
    <row r="522">
      <c r="A522" s="19">
        <f>'Season 1 - MafiaRatings'!A:A</f>
        <v/>
      </c>
      <c r="B522" s="19" t="n"/>
      <c r="I522" s="17" t="n"/>
      <c r="J522" s="17" t="n"/>
      <c r="K522" s="18" t="n"/>
    </row>
    <row r="523">
      <c r="A523" s="19">
        <f>'Season 1 - MafiaRatings'!A:A</f>
        <v/>
      </c>
      <c r="B523" s="19" t="n"/>
      <c r="I523" s="17" t="n"/>
      <c r="J523" s="17" t="n"/>
      <c r="K523" s="18" t="n"/>
    </row>
    <row r="524">
      <c r="A524" s="19">
        <f>'Season 1 - MafiaRatings'!A:A</f>
        <v/>
      </c>
      <c r="B524" s="19" t="n"/>
      <c r="I524" s="17" t="n"/>
      <c r="J524" s="17" t="n"/>
      <c r="K524" s="18" t="n"/>
    </row>
    <row r="525">
      <c r="A525" s="19">
        <f>'Season 1 - MafiaRatings'!A:A</f>
        <v/>
      </c>
      <c r="B525" s="19" t="n"/>
      <c r="I525" s="17" t="n"/>
      <c r="J525" s="17" t="n"/>
      <c r="K525" s="18" t="n"/>
    </row>
    <row r="526">
      <c r="A526" s="19">
        <f>'Season 1 - MafiaRatings'!A:A</f>
        <v/>
      </c>
      <c r="B526" s="19" t="n"/>
      <c r="I526" s="17" t="n"/>
      <c r="J526" s="17" t="n"/>
      <c r="K526" s="18" t="n"/>
    </row>
    <row r="527">
      <c r="A527" s="19">
        <f>'Season 1 - MafiaRatings'!A:A</f>
        <v/>
      </c>
      <c r="B527" s="19" t="n"/>
      <c r="I527" s="17" t="n"/>
      <c r="J527" s="17" t="n"/>
      <c r="K527" s="18" t="n"/>
    </row>
    <row r="528">
      <c r="A528" s="19">
        <f>'Season 1 - MafiaRatings'!A:A</f>
        <v/>
      </c>
      <c r="B528" s="19" t="n"/>
      <c r="I528" s="17" t="n"/>
      <c r="J528" s="17" t="n"/>
      <c r="K528" s="18" t="n"/>
    </row>
    <row r="529">
      <c r="A529" s="19">
        <f>'Season 1 - MafiaRatings'!A:A</f>
        <v/>
      </c>
      <c r="B529" s="19" t="n"/>
      <c r="I529" s="17" t="n"/>
      <c r="J529" s="17" t="n"/>
      <c r="K529" s="18" t="n"/>
    </row>
    <row r="530">
      <c r="A530" s="19">
        <f>'Season 1 - MafiaRatings'!A:A</f>
        <v/>
      </c>
      <c r="B530" s="19" t="n"/>
      <c r="I530" s="17" t="n"/>
      <c r="J530" s="17" t="n"/>
      <c r="K530" s="18" t="n"/>
    </row>
    <row r="531">
      <c r="A531" s="19">
        <f>'Season 1 - MafiaRatings'!A:A</f>
        <v/>
      </c>
      <c r="B531" s="19" t="n"/>
      <c r="I531" s="17" t="n"/>
      <c r="J531" s="17" t="n"/>
      <c r="K531" s="18" t="n"/>
    </row>
    <row r="532">
      <c r="A532" s="19">
        <f>'Season 1 - MafiaRatings'!A:A</f>
        <v/>
      </c>
      <c r="B532" s="19" t="n"/>
      <c r="I532" s="17" t="n"/>
      <c r="J532" s="17" t="n"/>
      <c r="K532" s="18" t="n"/>
    </row>
    <row r="533">
      <c r="A533" s="19">
        <f>'Season 1 - MafiaRatings'!A:A</f>
        <v/>
      </c>
      <c r="B533" s="19" t="n"/>
      <c r="I533" s="17" t="n"/>
      <c r="J533" s="17" t="n"/>
      <c r="K533" s="18" t="n"/>
    </row>
    <row r="534">
      <c r="A534" s="19">
        <f>'Season 1 - MafiaRatings'!A:A</f>
        <v/>
      </c>
      <c r="B534" s="19" t="n"/>
      <c r="I534" s="17" t="n"/>
      <c r="J534" s="17" t="n"/>
      <c r="K534" s="18" t="n"/>
    </row>
    <row r="535">
      <c r="A535" s="19">
        <f>'Season 1 - MafiaRatings'!A:A</f>
        <v/>
      </c>
      <c r="B535" s="19" t="n"/>
      <c r="I535" s="17" t="n"/>
      <c r="J535" s="17" t="n"/>
      <c r="K535" s="18" t="n"/>
    </row>
    <row r="536">
      <c r="A536" s="19">
        <f>'Season 1 - MafiaRatings'!A:A</f>
        <v/>
      </c>
      <c r="B536" s="19" t="n"/>
      <c r="I536" s="17" t="n"/>
      <c r="J536" s="17" t="n"/>
      <c r="K536" s="18" t="n"/>
    </row>
    <row r="537">
      <c r="A537" s="19">
        <f>'Season 1 - MafiaRatings'!A:A</f>
        <v/>
      </c>
      <c r="B537" s="19" t="n"/>
      <c r="I537" s="17" t="n"/>
      <c r="J537" s="17" t="n"/>
      <c r="K537" s="18" t="n"/>
    </row>
    <row r="538">
      <c r="A538" s="19">
        <f>'Season 1 - MafiaRatings'!A:A</f>
        <v/>
      </c>
      <c r="B538" s="19" t="n"/>
      <c r="I538" s="17" t="n"/>
      <c r="J538" s="17" t="n"/>
      <c r="K538" s="18" t="n"/>
    </row>
    <row r="539">
      <c r="A539" s="19">
        <f>'Season 1 - MafiaRatings'!A:A</f>
        <v/>
      </c>
      <c r="B539" s="19" t="n"/>
      <c r="I539" s="17" t="n"/>
      <c r="J539" s="17" t="n"/>
      <c r="K539" s="18" t="n"/>
    </row>
    <row r="540">
      <c r="A540" s="19">
        <f>'Season 1 - MafiaRatings'!A:A</f>
        <v/>
      </c>
      <c r="B540" s="19" t="n"/>
      <c r="I540" s="17" t="n"/>
      <c r="J540" s="17" t="n"/>
      <c r="K540" s="18" t="n"/>
    </row>
    <row r="541">
      <c r="A541" s="19">
        <f>'Season 1 - MafiaRatings'!A:A</f>
        <v/>
      </c>
      <c r="B541" s="19" t="n"/>
      <c r="I541" s="17" t="n"/>
      <c r="J541" s="17" t="n"/>
      <c r="K541" s="18" t="n"/>
    </row>
    <row r="542">
      <c r="A542" s="19">
        <f>'Season 1 - MafiaRatings'!A:A</f>
        <v/>
      </c>
      <c r="B542" s="19" t="n"/>
      <c r="I542" s="17" t="n"/>
      <c r="J542" s="17" t="n"/>
      <c r="K542" s="18" t="n"/>
    </row>
    <row r="543">
      <c r="A543" s="19">
        <f>'Season 1 - MafiaRatings'!A:A</f>
        <v/>
      </c>
      <c r="B543" s="19" t="n"/>
      <c r="I543" s="17" t="n"/>
      <c r="J543" s="17" t="n"/>
      <c r="K543" s="18" t="n"/>
    </row>
    <row r="544">
      <c r="A544" s="19">
        <f>'Season 1 - MafiaRatings'!A:A</f>
        <v/>
      </c>
      <c r="B544" s="19" t="n"/>
      <c r="I544" s="17" t="n"/>
      <c r="J544" s="17" t="n"/>
      <c r="K544" s="18" t="n"/>
    </row>
    <row r="545">
      <c r="A545" s="19">
        <f>'Season 1 - MafiaRatings'!A:A</f>
        <v/>
      </c>
      <c r="B545" s="19" t="n"/>
      <c r="I545" s="17" t="n"/>
      <c r="J545" s="17" t="n"/>
      <c r="K545" s="18" t="n"/>
    </row>
    <row r="546">
      <c r="A546" s="19">
        <f>'Season 1 - MafiaRatings'!A:A</f>
        <v/>
      </c>
      <c r="B546" s="19" t="n"/>
      <c r="I546" s="17" t="n"/>
      <c r="J546" s="17" t="n"/>
      <c r="K546" s="18" t="n"/>
    </row>
    <row r="547">
      <c r="A547" s="19">
        <f>'Season 1 - MafiaRatings'!A:A</f>
        <v/>
      </c>
      <c r="B547" s="19" t="n"/>
      <c r="I547" s="17" t="n"/>
      <c r="J547" s="17" t="n"/>
      <c r="K547" s="18" t="n"/>
    </row>
    <row r="548">
      <c r="A548" s="19">
        <f>'Season 1 - MafiaRatings'!A:A</f>
        <v/>
      </c>
      <c r="B548" s="19" t="n"/>
      <c r="I548" s="17" t="n"/>
      <c r="J548" s="17" t="n"/>
      <c r="K548" s="18" t="n"/>
    </row>
    <row r="549">
      <c r="A549" s="19">
        <f>'Season 1 - MafiaRatings'!A:A</f>
        <v/>
      </c>
      <c r="B549" s="19" t="n"/>
      <c r="I549" s="17" t="n"/>
      <c r="J549" s="17" t="n"/>
      <c r="K549" s="18" t="n"/>
    </row>
    <row r="550">
      <c r="A550" s="19">
        <f>'Season 1 - MafiaRatings'!A:A</f>
        <v/>
      </c>
      <c r="B550" s="19" t="n"/>
      <c r="I550" s="17" t="n"/>
      <c r="J550" s="17" t="n"/>
      <c r="K550" s="18" t="n"/>
    </row>
    <row r="551">
      <c r="A551" s="19">
        <f>'Season 1 - MafiaRatings'!A:A</f>
        <v/>
      </c>
      <c r="B551" s="19" t="n"/>
      <c r="I551" s="17" t="n"/>
      <c r="J551" s="17" t="n"/>
      <c r="K551" s="18" t="n"/>
    </row>
    <row r="552">
      <c r="A552" s="19">
        <f>'Season 1 - MafiaRatings'!A:A</f>
        <v/>
      </c>
      <c r="B552" s="19" t="n"/>
      <c r="I552" s="17" t="n"/>
      <c r="J552" s="17" t="n"/>
      <c r="K552" s="18" t="n"/>
    </row>
    <row r="553">
      <c r="A553" s="19">
        <f>'Season 1 - MafiaRatings'!A:A</f>
        <v/>
      </c>
      <c r="B553" s="19" t="n"/>
      <c r="I553" s="17" t="n"/>
      <c r="J553" s="17" t="n"/>
      <c r="K553" s="18" t="n"/>
    </row>
    <row r="554">
      <c r="A554" s="19">
        <f>'Season 1 - MafiaRatings'!A:A</f>
        <v/>
      </c>
      <c r="B554" s="19" t="n"/>
      <c r="I554" s="17" t="n"/>
      <c r="J554" s="17" t="n"/>
      <c r="K554" s="18" t="n"/>
    </row>
    <row r="555">
      <c r="A555" s="19">
        <f>'Season 1 - MafiaRatings'!A:A</f>
        <v/>
      </c>
      <c r="B555" s="19" t="n"/>
      <c r="I555" s="17" t="n"/>
      <c r="J555" s="17" t="n"/>
      <c r="K555" s="18" t="n"/>
    </row>
    <row r="556">
      <c r="A556" s="19">
        <f>'Season 1 - MafiaRatings'!A:A</f>
        <v/>
      </c>
      <c r="B556" s="19" t="n"/>
      <c r="I556" s="17" t="n"/>
      <c r="J556" s="17" t="n"/>
      <c r="K556" s="18" t="n"/>
    </row>
    <row r="557">
      <c r="A557" s="19">
        <f>'Season 1 - MafiaRatings'!A:A</f>
        <v/>
      </c>
      <c r="B557" s="19" t="n"/>
      <c r="I557" s="17" t="n"/>
      <c r="J557" s="17" t="n"/>
      <c r="K557" s="18" t="n"/>
    </row>
    <row r="558">
      <c r="A558" s="19">
        <f>'Season 1 - MafiaRatings'!A:A</f>
        <v/>
      </c>
      <c r="B558" s="19" t="n"/>
      <c r="I558" s="17" t="n"/>
      <c r="J558" s="17" t="n"/>
      <c r="K558" s="18" t="n"/>
    </row>
    <row r="559">
      <c r="A559" s="19">
        <f>'Season 1 - MafiaRatings'!A:A</f>
        <v/>
      </c>
      <c r="B559" s="19" t="n"/>
      <c r="I559" s="17" t="n"/>
      <c r="J559" s="17" t="n"/>
      <c r="K559" s="18" t="n"/>
    </row>
    <row r="560">
      <c r="A560" s="19">
        <f>'Season 1 - MafiaRatings'!A:A</f>
        <v/>
      </c>
      <c r="B560" s="19" t="n"/>
      <c r="I560" s="17" t="n"/>
      <c r="J560" s="17" t="n"/>
      <c r="K560" s="18" t="n"/>
    </row>
    <row r="561">
      <c r="A561" s="19">
        <f>'Season 1 - MafiaRatings'!A:A</f>
        <v/>
      </c>
      <c r="B561" s="19" t="n"/>
      <c r="I561" s="17" t="n"/>
      <c r="J561" s="17" t="n"/>
      <c r="K561" s="18" t="n"/>
    </row>
    <row r="562">
      <c r="A562" s="19">
        <f>'Season 1 - MafiaRatings'!A:A</f>
        <v/>
      </c>
      <c r="B562" s="19" t="n"/>
      <c r="I562" s="17" t="n"/>
      <c r="J562" s="17" t="n"/>
      <c r="K562" s="18" t="n"/>
    </row>
    <row r="563">
      <c r="A563" s="19">
        <f>'Season 1 - MafiaRatings'!A:A</f>
        <v/>
      </c>
      <c r="B563" s="19" t="n"/>
      <c r="I563" s="17" t="n"/>
      <c r="J563" s="17" t="n"/>
      <c r="K563" s="18" t="n"/>
    </row>
    <row r="564">
      <c r="A564" s="19">
        <f>'Season 1 - MafiaRatings'!A:A</f>
        <v/>
      </c>
      <c r="B564" s="19" t="n"/>
      <c r="I564" s="17" t="n"/>
      <c r="J564" s="17" t="n"/>
      <c r="K564" s="18" t="n"/>
    </row>
    <row r="565">
      <c r="A565" s="19">
        <f>'Season 1 - MafiaRatings'!A:A</f>
        <v/>
      </c>
      <c r="B565" s="19" t="n"/>
      <c r="I565" s="17" t="n"/>
      <c r="J565" s="17" t="n"/>
      <c r="K565" s="18" t="n"/>
    </row>
    <row r="566">
      <c r="A566" s="19">
        <f>'Season 1 - MafiaRatings'!A:A</f>
        <v/>
      </c>
      <c r="B566" s="19" t="n"/>
      <c r="I566" s="17" t="n"/>
      <c r="J566" s="17" t="n"/>
      <c r="K566" s="18" t="n"/>
    </row>
    <row r="567">
      <c r="A567" s="19">
        <f>'Season 1 - MafiaRatings'!A:A</f>
        <v/>
      </c>
      <c r="B567" s="19" t="n"/>
      <c r="I567" s="17" t="n"/>
      <c r="J567" s="17" t="n"/>
      <c r="K567" s="18" t="n"/>
    </row>
    <row r="568">
      <c r="A568" s="19">
        <f>'Season 1 - MafiaRatings'!A:A</f>
        <v/>
      </c>
      <c r="B568" s="19" t="n"/>
      <c r="I568" s="17" t="n"/>
      <c r="J568" s="17" t="n"/>
      <c r="K568" s="18" t="n"/>
    </row>
    <row r="569">
      <c r="A569" s="19">
        <f>'Season 1 - MafiaRatings'!A:A</f>
        <v/>
      </c>
      <c r="B569" s="19" t="n"/>
      <c r="I569" s="17" t="n"/>
      <c r="J569" s="17" t="n"/>
      <c r="K569" s="18" t="n"/>
    </row>
    <row r="570">
      <c r="A570" s="19">
        <f>'Season 1 - MafiaRatings'!A:A</f>
        <v/>
      </c>
      <c r="B570" s="19" t="n"/>
      <c r="I570" s="17" t="n"/>
      <c r="J570" s="17" t="n"/>
      <c r="K570" s="18" t="n"/>
    </row>
    <row r="571">
      <c r="A571" s="19">
        <f>'Season 1 - MafiaRatings'!A:A</f>
        <v/>
      </c>
      <c r="B571" s="19" t="n"/>
      <c r="I571" s="17" t="n"/>
      <c r="J571" s="17" t="n"/>
      <c r="K571" s="18" t="n"/>
    </row>
    <row r="572">
      <c r="A572" s="19">
        <f>'Season 1 - MafiaRatings'!A:A</f>
        <v/>
      </c>
      <c r="B572" s="19" t="n"/>
      <c r="I572" s="17" t="n"/>
      <c r="J572" s="17" t="n"/>
      <c r="K572" s="18" t="n"/>
    </row>
    <row r="573">
      <c r="A573" s="19">
        <f>'Season 1 - MafiaRatings'!A:A</f>
        <v/>
      </c>
      <c r="B573" s="19" t="n"/>
      <c r="I573" s="17" t="n"/>
      <c r="J573" s="17" t="n"/>
      <c r="K573" s="18" t="n"/>
    </row>
    <row r="574">
      <c r="A574" s="19">
        <f>'Season 1 - MafiaRatings'!A:A</f>
        <v/>
      </c>
      <c r="B574" s="19" t="n"/>
      <c r="I574" s="17" t="n"/>
      <c r="J574" s="17" t="n"/>
      <c r="K574" s="18" t="n"/>
    </row>
    <row r="575">
      <c r="A575" s="19">
        <f>'Season 1 - MafiaRatings'!A:A</f>
        <v/>
      </c>
      <c r="B575" s="19" t="n"/>
      <c r="I575" s="17" t="n"/>
      <c r="J575" s="17" t="n"/>
      <c r="K575" s="18" t="n"/>
    </row>
    <row r="576">
      <c r="A576" s="19">
        <f>'Season 1 - MafiaRatings'!A:A</f>
        <v/>
      </c>
      <c r="B576" s="19" t="n"/>
      <c r="I576" s="17" t="n"/>
      <c r="J576" s="17" t="n"/>
      <c r="K576" s="18" t="n"/>
    </row>
    <row r="577">
      <c r="A577" s="19">
        <f>'Season 1 - MafiaRatings'!A:A</f>
        <v/>
      </c>
      <c r="B577" s="19" t="n"/>
      <c r="I577" s="17" t="n"/>
      <c r="J577" s="17" t="n"/>
      <c r="K577" s="18" t="n"/>
    </row>
    <row r="578">
      <c r="A578" s="19">
        <f>'Season 1 - MafiaRatings'!A:A</f>
        <v/>
      </c>
      <c r="B578" s="19" t="n"/>
      <c r="I578" s="17" t="n"/>
      <c r="J578" s="17" t="n"/>
      <c r="K578" s="18" t="n"/>
    </row>
    <row r="579">
      <c r="A579" s="19">
        <f>'Season 1 - MafiaRatings'!A:A</f>
        <v/>
      </c>
      <c r="B579" s="19" t="n"/>
      <c r="I579" s="17" t="n"/>
      <c r="J579" s="17" t="n"/>
      <c r="K579" s="18" t="n"/>
    </row>
    <row r="580">
      <c r="A580" s="19">
        <f>'Season 1 - MafiaRatings'!A:A</f>
        <v/>
      </c>
      <c r="B580" s="19" t="n"/>
      <c r="I580" s="17" t="n"/>
      <c r="J580" s="17" t="n"/>
      <c r="K580" s="18" t="n"/>
    </row>
    <row r="581">
      <c r="A581" s="19">
        <f>'Season 1 - MafiaRatings'!A:A</f>
        <v/>
      </c>
      <c r="B581" s="19" t="n"/>
      <c r="I581" s="17" t="n"/>
      <c r="J581" s="17" t="n"/>
      <c r="K581" s="18" t="n"/>
    </row>
    <row r="582">
      <c r="A582" s="19">
        <f>'Season 1 - MafiaRatings'!A:A</f>
        <v/>
      </c>
      <c r="B582" s="19" t="n"/>
      <c r="I582" s="17" t="n"/>
      <c r="J582" s="17" t="n"/>
      <c r="K582" s="18" t="n"/>
    </row>
    <row r="583">
      <c r="A583" s="19">
        <f>'Season 1 - MafiaRatings'!A:A</f>
        <v/>
      </c>
      <c r="B583" s="19" t="n"/>
      <c r="I583" s="17" t="n"/>
      <c r="J583" s="17" t="n"/>
      <c r="K583" s="18" t="n"/>
    </row>
    <row r="584">
      <c r="A584" s="19">
        <f>'Season 1 - MafiaRatings'!A:A</f>
        <v/>
      </c>
      <c r="B584" s="19" t="n"/>
      <c r="I584" s="17" t="n"/>
      <c r="J584" s="17" t="n"/>
      <c r="K584" s="18" t="n"/>
    </row>
    <row r="585">
      <c r="A585" s="19">
        <f>'Season 1 - MafiaRatings'!A:A</f>
        <v/>
      </c>
      <c r="B585" s="19" t="n"/>
      <c r="I585" s="17" t="n"/>
      <c r="J585" s="17" t="n"/>
      <c r="K585" s="18" t="n"/>
    </row>
    <row r="586">
      <c r="A586" s="19">
        <f>'Season 1 - MafiaRatings'!A:A</f>
        <v/>
      </c>
      <c r="B586" s="19" t="n"/>
      <c r="I586" s="17" t="n"/>
      <c r="J586" s="17" t="n"/>
      <c r="K586" s="18" t="n"/>
    </row>
    <row r="587">
      <c r="A587" s="19">
        <f>'Season 1 - MafiaRatings'!A:A</f>
        <v/>
      </c>
      <c r="B587" s="19" t="n"/>
      <c r="I587" s="17" t="n"/>
      <c r="J587" s="17" t="n"/>
      <c r="K587" s="18" t="n"/>
    </row>
    <row r="588">
      <c r="A588" s="19">
        <f>'Season 1 - MafiaRatings'!A:A</f>
        <v/>
      </c>
      <c r="B588" s="19" t="n"/>
      <c r="I588" s="17" t="n"/>
      <c r="J588" s="17" t="n"/>
      <c r="K588" s="18" t="n"/>
    </row>
    <row r="589">
      <c r="A589" s="19">
        <f>'Season 1 - MafiaRatings'!A:A</f>
        <v/>
      </c>
      <c r="B589" s="19" t="n"/>
      <c r="I589" s="17" t="n"/>
      <c r="J589" s="17" t="n"/>
      <c r="K589" s="18" t="n"/>
    </row>
    <row r="590">
      <c r="A590" s="19">
        <f>'Season 1 - MafiaRatings'!A:A</f>
        <v/>
      </c>
      <c r="B590" s="19" t="n"/>
      <c r="I590" s="17" t="n"/>
      <c r="J590" s="17" t="n"/>
      <c r="K590" s="18" t="n"/>
    </row>
    <row r="591">
      <c r="A591" s="19">
        <f>'Season 1 - MafiaRatings'!A:A</f>
        <v/>
      </c>
      <c r="B591" s="19" t="n"/>
      <c r="I591" s="17" t="n"/>
      <c r="J591" s="17" t="n"/>
      <c r="K591" s="18" t="n"/>
    </row>
    <row r="592">
      <c r="A592" s="19">
        <f>'Season 1 - MafiaRatings'!A:A</f>
        <v/>
      </c>
      <c r="B592" s="19" t="n"/>
      <c r="I592" s="17" t="n"/>
      <c r="J592" s="17" t="n"/>
      <c r="K592" s="18" t="n"/>
    </row>
    <row r="593">
      <c r="A593" s="19">
        <f>'Season 1 - MafiaRatings'!A:A</f>
        <v/>
      </c>
      <c r="B593" s="19" t="n"/>
      <c r="I593" s="17" t="n"/>
      <c r="J593" s="17" t="n"/>
      <c r="K593" s="18" t="n"/>
    </row>
    <row r="594">
      <c r="A594" s="19">
        <f>'Season 1 - MafiaRatings'!A:A</f>
        <v/>
      </c>
      <c r="B594" s="19" t="n"/>
      <c r="I594" s="17" t="n"/>
      <c r="J594" s="17" t="n"/>
      <c r="K594" s="18" t="n"/>
    </row>
    <row r="595">
      <c r="A595" s="19">
        <f>'Season 1 - MafiaRatings'!A:A</f>
        <v/>
      </c>
      <c r="B595" s="19" t="n"/>
      <c r="I595" s="17" t="n"/>
      <c r="J595" s="17" t="n"/>
      <c r="K595" s="18" t="n"/>
    </row>
    <row r="596">
      <c r="A596" s="19">
        <f>'Season 1 - MafiaRatings'!A:A</f>
        <v/>
      </c>
      <c r="B596" s="19" t="n"/>
      <c r="I596" s="17" t="n"/>
      <c r="J596" s="17" t="n"/>
      <c r="K596" s="18" t="n"/>
    </row>
    <row r="597">
      <c r="A597" s="19">
        <f>'Season 1 - MafiaRatings'!A:A</f>
        <v/>
      </c>
      <c r="B597" s="19" t="n"/>
      <c r="I597" s="17" t="n"/>
      <c r="J597" s="17" t="n"/>
      <c r="K597" s="18" t="n"/>
    </row>
    <row r="598">
      <c r="A598" s="19">
        <f>'Season 1 - MafiaRatings'!A:A</f>
        <v/>
      </c>
      <c r="B598" s="19" t="n"/>
      <c r="I598" s="17" t="n"/>
      <c r="J598" s="17" t="n"/>
      <c r="K598" s="18" t="n"/>
    </row>
    <row r="599">
      <c r="A599" s="19">
        <f>'Season 1 - MafiaRatings'!A:A</f>
        <v/>
      </c>
      <c r="B599" s="19" t="n"/>
      <c r="I599" s="17" t="n"/>
      <c r="J599" s="17" t="n"/>
      <c r="K599" s="18" t="n"/>
    </row>
    <row r="600">
      <c r="A600" s="19">
        <f>'Season 1 - MafiaRatings'!A:A</f>
        <v/>
      </c>
      <c r="B600" s="19" t="n"/>
      <c r="I600" s="17" t="n"/>
      <c r="J600" s="17" t="n"/>
      <c r="K600" s="18" t="n"/>
    </row>
    <row r="601">
      <c r="A601" s="19">
        <f>'Season 1 - MafiaRatings'!A:A</f>
        <v/>
      </c>
      <c r="B601" s="19" t="n"/>
      <c r="I601" s="17" t="n"/>
      <c r="J601" s="17" t="n"/>
      <c r="K601" s="18" t="n"/>
    </row>
    <row r="602">
      <c r="A602" s="19">
        <f>'Season 1 - MafiaRatings'!A:A</f>
        <v/>
      </c>
      <c r="B602" s="19" t="n"/>
      <c r="I602" s="17" t="n"/>
      <c r="J602" s="17" t="n"/>
      <c r="K602" s="18" t="n"/>
    </row>
    <row r="603">
      <c r="A603" s="19">
        <f>'Season 1 - MafiaRatings'!A:A</f>
        <v/>
      </c>
      <c r="B603" s="19" t="n"/>
      <c r="I603" s="17" t="n"/>
      <c r="J603" s="17" t="n"/>
      <c r="K603" s="18" t="n"/>
    </row>
    <row r="604">
      <c r="A604" s="19">
        <f>'Season 1 - MafiaRatings'!A:A</f>
        <v/>
      </c>
      <c r="B604" s="19" t="n"/>
      <c r="I604" s="17" t="n"/>
      <c r="J604" s="17" t="n"/>
      <c r="K604" s="18" t="n"/>
    </row>
    <row r="605">
      <c r="A605" s="19">
        <f>'Season 1 - MafiaRatings'!A:A</f>
        <v/>
      </c>
      <c r="B605" s="19" t="n"/>
      <c r="I605" s="17" t="n"/>
      <c r="J605" s="17" t="n"/>
      <c r="K605" s="18" t="n"/>
    </row>
    <row r="606">
      <c r="A606" s="19">
        <f>'Season 1 - MafiaRatings'!A:A</f>
        <v/>
      </c>
      <c r="B606" s="19" t="n"/>
      <c r="I606" s="17" t="n"/>
      <c r="J606" s="17" t="n"/>
      <c r="K606" s="18" t="n"/>
    </row>
    <row r="607">
      <c r="A607" s="19">
        <f>'Season 1 - MafiaRatings'!A:A</f>
        <v/>
      </c>
      <c r="B607" s="19" t="n"/>
      <c r="I607" s="17" t="n"/>
      <c r="J607" s="17" t="n"/>
      <c r="K607" s="18" t="n"/>
    </row>
    <row r="608">
      <c r="A608" s="19">
        <f>'Season 1 - MafiaRatings'!A:A</f>
        <v/>
      </c>
      <c r="B608" s="19" t="n"/>
      <c r="I608" s="17" t="n"/>
      <c r="J608" s="17" t="n"/>
      <c r="K608" s="18" t="n"/>
    </row>
    <row r="609">
      <c r="A609" s="19">
        <f>'Season 1 - MafiaRatings'!A:A</f>
        <v/>
      </c>
      <c r="B609" s="19" t="n"/>
      <c r="I609" s="17" t="n"/>
      <c r="J609" s="17" t="n"/>
      <c r="K609" s="18" t="n"/>
    </row>
    <row r="610">
      <c r="A610" s="19">
        <f>'Season 1 - MafiaRatings'!A:A</f>
        <v/>
      </c>
      <c r="B610" s="19" t="n"/>
      <c r="I610" s="17" t="n"/>
      <c r="J610" s="17" t="n"/>
      <c r="K610" s="18" t="n"/>
    </row>
    <row r="611">
      <c r="A611" s="19">
        <f>'Season 1 - MafiaRatings'!A:A</f>
        <v/>
      </c>
      <c r="B611" s="19" t="n"/>
      <c r="I611" s="17" t="n"/>
      <c r="J611" s="17" t="n"/>
      <c r="K611" s="18" t="n"/>
    </row>
    <row r="612">
      <c r="A612" s="19">
        <f>'Season 1 - MafiaRatings'!A:A</f>
        <v/>
      </c>
      <c r="B612" s="19" t="n"/>
      <c r="I612" s="17" t="n"/>
      <c r="J612" s="17" t="n"/>
      <c r="K612" s="18" t="n"/>
    </row>
    <row r="613">
      <c r="A613" s="19">
        <f>'Season 1 - MafiaRatings'!A:A</f>
        <v/>
      </c>
      <c r="B613" s="19" t="n"/>
      <c r="I613" s="17" t="n"/>
      <c r="J613" s="17" t="n"/>
      <c r="K613" s="18" t="n"/>
    </row>
    <row r="614">
      <c r="A614" s="19">
        <f>'Season 1 - MafiaRatings'!A:A</f>
        <v/>
      </c>
      <c r="B614" s="19" t="n"/>
      <c r="I614" s="17" t="n"/>
      <c r="J614" s="17" t="n"/>
      <c r="K614" s="18" t="n"/>
    </row>
    <row r="615">
      <c r="A615" s="19">
        <f>'Season 1 - MafiaRatings'!A:A</f>
        <v/>
      </c>
      <c r="B615" s="19" t="n"/>
      <c r="I615" s="17" t="n"/>
      <c r="J615" s="17" t="n"/>
      <c r="K615" s="18" t="n"/>
    </row>
    <row r="616">
      <c r="A616" s="19">
        <f>'Season 1 - MafiaRatings'!A:A</f>
        <v/>
      </c>
      <c r="B616" s="19" t="n"/>
      <c r="I616" s="17" t="n"/>
      <c r="J616" s="17" t="n"/>
      <c r="K616" s="18" t="n"/>
    </row>
    <row r="617">
      <c r="A617" s="19">
        <f>'Season 1 - MafiaRatings'!A:A</f>
        <v/>
      </c>
      <c r="B617" s="19" t="n"/>
      <c r="I617" s="17" t="n"/>
      <c r="J617" s="17" t="n"/>
      <c r="K617" s="18" t="n"/>
    </row>
    <row r="618">
      <c r="A618" s="19">
        <f>'Season 1 - MafiaRatings'!A:A</f>
        <v/>
      </c>
      <c r="B618" s="19" t="n"/>
      <c r="I618" s="17" t="n"/>
      <c r="J618" s="17" t="n"/>
      <c r="K618" s="18" t="n"/>
    </row>
    <row r="619">
      <c r="A619" s="19">
        <f>'Season 1 - MafiaRatings'!A:A</f>
        <v/>
      </c>
      <c r="B619" s="19" t="n"/>
      <c r="I619" s="17" t="n"/>
      <c r="J619" s="17" t="n"/>
      <c r="K619" s="18" t="n"/>
    </row>
    <row r="620">
      <c r="A620" s="19">
        <f>'Season 1 - MafiaRatings'!A:A</f>
        <v/>
      </c>
      <c r="B620" s="19" t="n"/>
      <c r="I620" s="17" t="n"/>
      <c r="J620" s="17" t="n"/>
      <c r="K620" s="18" t="n"/>
    </row>
    <row r="621">
      <c r="A621" s="19">
        <f>'Season 1 - MafiaRatings'!A:A</f>
        <v/>
      </c>
      <c r="B621" s="19" t="n"/>
      <c r="I621" s="17" t="n"/>
      <c r="J621" s="17" t="n"/>
      <c r="K621" s="18" t="n"/>
    </row>
    <row r="622">
      <c r="A622" s="19">
        <f>'Season 1 - MafiaRatings'!A:A</f>
        <v/>
      </c>
      <c r="B622" s="19" t="n"/>
      <c r="I622" s="17" t="n"/>
      <c r="J622" s="17" t="n"/>
      <c r="K622" s="18" t="n"/>
    </row>
    <row r="623">
      <c r="A623" s="19">
        <f>'Season 1 - MafiaRatings'!A:A</f>
        <v/>
      </c>
      <c r="B623" s="19" t="n"/>
      <c r="I623" s="17" t="n"/>
      <c r="J623" s="17" t="n"/>
      <c r="K623" s="18" t="n"/>
    </row>
    <row r="624">
      <c r="A624" s="19">
        <f>'Season 1 - MafiaRatings'!A:A</f>
        <v/>
      </c>
      <c r="B624" s="19" t="n"/>
      <c r="I624" s="17" t="n"/>
      <c r="J624" s="17" t="n"/>
      <c r="K624" s="18" t="n"/>
    </row>
    <row r="625">
      <c r="A625" s="19">
        <f>'Season 1 - MafiaRatings'!A:A</f>
        <v/>
      </c>
      <c r="B625" s="19" t="n"/>
      <c r="I625" s="17" t="n"/>
      <c r="J625" s="17" t="n"/>
      <c r="K625" s="18" t="n"/>
    </row>
    <row r="626">
      <c r="A626" s="19">
        <f>'Season 1 - MafiaRatings'!A:A</f>
        <v/>
      </c>
      <c r="B626" s="19" t="n"/>
      <c r="I626" s="17" t="n"/>
      <c r="J626" s="17" t="n"/>
      <c r="K626" s="18" t="n"/>
    </row>
    <row r="627">
      <c r="A627" s="19">
        <f>'Season 1 - MafiaRatings'!A:A</f>
        <v/>
      </c>
      <c r="B627" s="19" t="n"/>
      <c r="I627" s="17" t="n"/>
      <c r="J627" s="17" t="n"/>
      <c r="K627" s="18" t="n"/>
    </row>
    <row r="628">
      <c r="A628" s="19">
        <f>'Season 1 - MafiaRatings'!A:A</f>
        <v/>
      </c>
      <c r="B628" s="19" t="n"/>
      <c r="I628" s="17" t="n"/>
      <c r="J628" s="17" t="n"/>
      <c r="K628" s="18" t="n"/>
    </row>
    <row r="629">
      <c r="A629" s="19">
        <f>'Season 1 - MafiaRatings'!A:A</f>
        <v/>
      </c>
      <c r="B629" s="19" t="n"/>
      <c r="I629" s="17" t="n"/>
      <c r="J629" s="17" t="n"/>
      <c r="K629" s="18" t="n"/>
    </row>
    <row r="630">
      <c r="A630" s="19">
        <f>'Season 1 - MafiaRatings'!A:A</f>
        <v/>
      </c>
      <c r="B630" s="19" t="n"/>
      <c r="I630" s="17" t="n"/>
      <c r="J630" s="17" t="n"/>
      <c r="K630" s="18" t="n"/>
    </row>
    <row r="631">
      <c r="A631" s="19">
        <f>'Season 1 - MafiaRatings'!A:A</f>
        <v/>
      </c>
      <c r="B631" s="19" t="n"/>
      <c r="I631" s="17" t="n"/>
      <c r="J631" s="17" t="n"/>
      <c r="K631" s="18" t="n"/>
    </row>
    <row r="632">
      <c r="A632" s="19">
        <f>'Season 1 - MafiaRatings'!A:A</f>
        <v/>
      </c>
      <c r="B632" s="19" t="n"/>
      <c r="I632" s="17" t="n"/>
      <c r="J632" s="17" t="n"/>
      <c r="K632" s="18" t="n"/>
    </row>
    <row r="633">
      <c r="A633" s="19">
        <f>'Season 1 - MafiaRatings'!A:A</f>
        <v/>
      </c>
      <c r="B633" s="19" t="n"/>
      <c r="I633" s="17" t="n"/>
      <c r="J633" s="17" t="n"/>
      <c r="K633" s="18" t="n"/>
    </row>
    <row r="634">
      <c r="A634" s="19">
        <f>'Season 1 - MafiaRatings'!A:A</f>
        <v/>
      </c>
      <c r="B634" s="19" t="n"/>
      <c r="I634" s="17" t="n"/>
      <c r="J634" s="17" t="n"/>
      <c r="K634" s="18" t="n"/>
    </row>
    <row r="635">
      <c r="A635" s="19">
        <f>'Season 1 - MafiaRatings'!A:A</f>
        <v/>
      </c>
      <c r="B635" s="19" t="n"/>
      <c r="I635" s="17" t="n"/>
      <c r="J635" s="17" t="n"/>
      <c r="K635" s="18" t="n"/>
    </row>
    <row r="636">
      <c r="A636" s="19">
        <f>'Season 1 - MafiaRatings'!A:A</f>
        <v/>
      </c>
      <c r="B636" s="19" t="n"/>
      <c r="I636" s="17" t="n"/>
      <c r="J636" s="17" t="n"/>
      <c r="K636" s="18" t="n"/>
    </row>
    <row r="637">
      <c r="A637" s="19">
        <f>'Season 1 - MafiaRatings'!A:A</f>
        <v/>
      </c>
      <c r="B637" s="19" t="n"/>
      <c r="I637" s="17" t="n"/>
      <c r="J637" s="17" t="n"/>
      <c r="K637" s="18" t="n"/>
    </row>
    <row r="638">
      <c r="A638" s="19">
        <f>'Season 1 - MafiaRatings'!A:A</f>
        <v/>
      </c>
      <c r="B638" s="19" t="n"/>
      <c r="I638" s="17" t="n"/>
      <c r="J638" s="17" t="n"/>
      <c r="K638" s="18" t="n"/>
    </row>
    <row r="639">
      <c r="A639" s="19">
        <f>'Season 1 - MafiaRatings'!A:A</f>
        <v/>
      </c>
      <c r="B639" s="19" t="n"/>
      <c r="I639" s="17" t="n"/>
      <c r="J639" s="17" t="n"/>
      <c r="K639" s="18" t="n"/>
    </row>
    <row r="640">
      <c r="A640" s="19">
        <f>'Season 1 - MafiaRatings'!A:A</f>
        <v/>
      </c>
      <c r="B640" s="19" t="n"/>
      <c r="I640" s="17" t="n"/>
      <c r="J640" s="17" t="n"/>
      <c r="K640" s="18" t="n"/>
    </row>
    <row r="641">
      <c r="A641" s="19">
        <f>'Season 1 - MafiaRatings'!A:A</f>
        <v/>
      </c>
      <c r="B641" s="19" t="n"/>
      <c r="I641" s="17" t="n"/>
      <c r="J641" s="17" t="n"/>
      <c r="K641" s="18" t="n"/>
    </row>
    <row r="642">
      <c r="A642" s="19">
        <f>'Season 1 - MafiaRatings'!A:A</f>
        <v/>
      </c>
      <c r="B642" s="19" t="n"/>
      <c r="I642" s="17" t="n"/>
      <c r="J642" s="17" t="n"/>
      <c r="K642" s="18" t="n"/>
    </row>
    <row r="643">
      <c r="A643" s="19">
        <f>'Season 1 - MafiaRatings'!A:A</f>
        <v/>
      </c>
      <c r="B643" s="19" t="n"/>
      <c r="I643" s="17" t="n"/>
      <c r="J643" s="17" t="n"/>
      <c r="K643" s="18" t="n"/>
    </row>
    <row r="644">
      <c r="A644" s="19">
        <f>'Season 1 - MafiaRatings'!A:A</f>
        <v/>
      </c>
      <c r="B644" s="19" t="n"/>
      <c r="I644" s="17" t="n"/>
      <c r="J644" s="17" t="n"/>
      <c r="K644" s="18" t="n"/>
    </row>
    <row r="645">
      <c r="A645" s="19">
        <f>'Season 1 - MafiaRatings'!A:A</f>
        <v/>
      </c>
      <c r="B645" s="19" t="n"/>
      <c r="I645" s="17" t="n"/>
      <c r="J645" s="17" t="n"/>
      <c r="K645" s="18" t="n"/>
    </row>
    <row r="646">
      <c r="A646" s="19">
        <f>'Season 1 - MafiaRatings'!A:A</f>
        <v/>
      </c>
      <c r="B646" s="19" t="n"/>
      <c r="I646" s="17" t="n"/>
      <c r="J646" s="17" t="n"/>
      <c r="K646" s="18" t="n"/>
    </row>
    <row r="647">
      <c r="A647" s="19">
        <f>'Season 1 - MafiaRatings'!A:A</f>
        <v/>
      </c>
      <c r="B647" s="19" t="n"/>
      <c r="I647" s="17" t="n"/>
      <c r="J647" s="17" t="n"/>
      <c r="K647" s="18" t="n"/>
    </row>
    <row r="648">
      <c r="A648" s="19">
        <f>'Season 1 - MafiaRatings'!A:A</f>
        <v/>
      </c>
      <c r="B648" s="19" t="n"/>
      <c r="I648" s="17" t="n"/>
      <c r="J648" s="17" t="n"/>
      <c r="K648" s="18" t="n"/>
    </row>
    <row r="649">
      <c r="A649" s="19">
        <f>'Season 1 - MafiaRatings'!A:A</f>
        <v/>
      </c>
      <c r="B649" s="19" t="n"/>
      <c r="I649" s="17" t="n"/>
      <c r="J649" s="17" t="n"/>
      <c r="K649" s="18" t="n"/>
    </row>
    <row r="650">
      <c r="A650" s="19">
        <f>'Season 1 - MafiaRatings'!A:A</f>
        <v/>
      </c>
      <c r="B650" s="19" t="n"/>
      <c r="I650" s="17" t="n"/>
      <c r="J650" s="17" t="n"/>
      <c r="K650" s="18" t="n"/>
    </row>
    <row r="651">
      <c r="A651" s="19">
        <f>'Season 1 - MafiaRatings'!A:A</f>
        <v/>
      </c>
      <c r="B651" s="19" t="n"/>
      <c r="I651" s="17" t="n"/>
      <c r="J651" s="17" t="n"/>
      <c r="K651" s="18" t="n"/>
    </row>
    <row r="652">
      <c r="A652" s="19">
        <f>'Season 1 - MafiaRatings'!A:A</f>
        <v/>
      </c>
      <c r="B652" s="19" t="n"/>
      <c r="I652" s="17" t="n"/>
      <c r="J652" s="17" t="n"/>
      <c r="K652" s="18" t="n"/>
    </row>
    <row r="653">
      <c r="A653" s="19">
        <f>'Season 1 - MafiaRatings'!A:A</f>
        <v/>
      </c>
      <c r="B653" s="19" t="n"/>
      <c r="I653" s="17" t="n"/>
      <c r="J653" s="17" t="n"/>
      <c r="K653" s="18" t="n"/>
    </row>
    <row r="654">
      <c r="A654" s="19">
        <f>'Season 1 - MafiaRatings'!A:A</f>
        <v/>
      </c>
      <c r="B654" s="19" t="n"/>
      <c r="I654" s="17" t="n"/>
      <c r="J654" s="17" t="n"/>
      <c r="K654" s="18" t="n"/>
    </row>
    <row r="655">
      <c r="A655" s="19">
        <f>'Season 1 - MafiaRatings'!A:A</f>
        <v/>
      </c>
      <c r="B655" s="19" t="n"/>
      <c r="I655" s="17" t="n"/>
      <c r="J655" s="17" t="n"/>
      <c r="K655" s="18" t="n"/>
    </row>
    <row r="656">
      <c r="A656" s="19">
        <f>'Season 1 - MafiaRatings'!A:A</f>
        <v/>
      </c>
      <c r="B656" s="19" t="n"/>
      <c r="I656" s="17" t="n"/>
      <c r="J656" s="17" t="n"/>
      <c r="K656" s="18" t="n"/>
    </row>
    <row r="657">
      <c r="A657" s="19">
        <f>'Season 1 - MafiaRatings'!A:A</f>
        <v/>
      </c>
      <c r="B657" s="19" t="n"/>
      <c r="I657" s="17" t="n"/>
      <c r="J657" s="17" t="n"/>
      <c r="K657" s="18" t="n"/>
    </row>
    <row r="658">
      <c r="A658" s="19">
        <f>'Season 1 - MafiaRatings'!A:A</f>
        <v/>
      </c>
      <c r="B658" s="19" t="n"/>
      <c r="I658" s="17" t="n"/>
      <c r="J658" s="17" t="n"/>
      <c r="K658" s="18" t="n"/>
    </row>
    <row r="659">
      <c r="A659" s="19">
        <f>'Season 1 - MafiaRatings'!A:A</f>
        <v/>
      </c>
      <c r="B659" s="19" t="n"/>
      <c r="I659" s="17" t="n"/>
      <c r="J659" s="17" t="n"/>
      <c r="K659" s="18" t="n"/>
    </row>
    <row r="660">
      <c r="A660" s="19">
        <f>'Season 1 - MafiaRatings'!A:A</f>
        <v/>
      </c>
      <c r="B660" s="19" t="n"/>
      <c r="I660" s="17" t="n"/>
      <c r="J660" s="17" t="n"/>
      <c r="K660" s="18" t="n"/>
    </row>
    <row r="661">
      <c r="A661" s="19">
        <f>'Season 1 - MafiaRatings'!A:A</f>
        <v/>
      </c>
      <c r="B661" s="19" t="n"/>
      <c r="I661" s="17" t="n"/>
      <c r="J661" s="17" t="n"/>
      <c r="K661" s="18" t="n"/>
    </row>
    <row r="662">
      <c r="A662" s="19">
        <f>'Season 1 - MafiaRatings'!A:A</f>
        <v/>
      </c>
      <c r="B662" s="19" t="n"/>
      <c r="I662" s="17" t="n"/>
      <c r="J662" s="17" t="n"/>
      <c r="K662" s="18" t="n"/>
    </row>
    <row r="663">
      <c r="A663" s="19">
        <f>'Season 1 - MafiaRatings'!A:A</f>
        <v/>
      </c>
      <c r="B663" s="19" t="n"/>
      <c r="I663" s="17" t="n"/>
      <c r="J663" s="17" t="n"/>
      <c r="K663" s="18" t="n"/>
    </row>
    <row r="664">
      <c r="A664" s="19">
        <f>'Season 1 - MafiaRatings'!A:A</f>
        <v/>
      </c>
      <c r="B664" s="19" t="n"/>
      <c r="I664" s="17" t="n"/>
      <c r="J664" s="17" t="n"/>
      <c r="K664" s="18" t="n"/>
    </row>
    <row r="665">
      <c r="A665" s="19">
        <f>'Season 1 - MafiaRatings'!A:A</f>
        <v/>
      </c>
      <c r="B665" s="19" t="n"/>
      <c r="I665" s="17" t="n"/>
      <c r="J665" s="17" t="n"/>
      <c r="K665" s="18" t="n"/>
    </row>
    <row r="666">
      <c r="A666" s="19">
        <f>'Season 1 - MafiaRatings'!A:A</f>
        <v/>
      </c>
      <c r="B666" s="19" t="n"/>
      <c r="I666" s="17" t="n"/>
      <c r="J666" s="17" t="n"/>
      <c r="K666" s="18" t="n"/>
    </row>
    <row r="667">
      <c r="A667" s="19">
        <f>'Season 1 - MafiaRatings'!A:A</f>
        <v/>
      </c>
      <c r="B667" s="19" t="n"/>
      <c r="I667" s="17" t="n"/>
      <c r="J667" s="17" t="n"/>
      <c r="K667" s="18" t="n"/>
    </row>
    <row r="668">
      <c r="A668" s="19">
        <f>'Season 1 - MafiaRatings'!A:A</f>
        <v/>
      </c>
      <c r="B668" s="19" t="n"/>
      <c r="I668" s="17" t="n"/>
      <c r="J668" s="17" t="n"/>
      <c r="K668" s="18" t="n"/>
    </row>
    <row r="669">
      <c r="A669" s="19">
        <f>'Season 1 - MafiaRatings'!A:A</f>
        <v/>
      </c>
      <c r="B669" s="19" t="n"/>
      <c r="I669" s="17" t="n"/>
      <c r="J669" s="17" t="n"/>
      <c r="K669" s="18" t="n"/>
    </row>
    <row r="670">
      <c r="A670" s="19">
        <f>'Season 1 - MafiaRatings'!A:A</f>
        <v/>
      </c>
      <c r="B670" s="19" t="n"/>
      <c r="I670" s="17" t="n"/>
      <c r="J670" s="17" t="n"/>
      <c r="K670" s="18" t="n"/>
    </row>
    <row r="671">
      <c r="A671" s="19">
        <f>'Season 1 - MafiaRatings'!A:A</f>
        <v/>
      </c>
      <c r="B671" s="19" t="n"/>
      <c r="I671" s="17" t="n"/>
      <c r="J671" s="17" t="n"/>
      <c r="K671" s="18" t="n"/>
    </row>
    <row r="672">
      <c r="A672" s="19">
        <f>'Season 1 - MafiaRatings'!A:A</f>
        <v/>
      </c>
      <c r="B672" s="19" t="n"/>
      <c r="I672" s="17" t="n"/>
      <c r="J672" s="17" t="n"/>
      <c r="K672" s="18" t="n"/>
    </row>
    <row r="673">
      <c r="A673" s="19">
        <f>'Season 1 - MafiaRatings'!A:A</f>
        <v/>
      </c>
      <c r="B673" s="19" t="n"/>
      <c r="I673" s="17" t="n"/>
      <c r="J673" s="17" t="n"/>
      <c r="K673" s="18" t="n"/>
    </row>
    <row r="674">
      <c r="A674" s="19">
        <f>'Season 1 - MafiaRatings'!A:A</f>
        <v/>
      </c>
      <c r="B674" s="19" t="n"/>
      <c r="I674" s="17" t="n"/>
      <c r="J674" s="17" t="n"/>
      <c r="K674" s="18" t="n"/>
    </row>
    <row r="675">
      <c r="A675" s="19">
        <f>'Season 1 - MafiaRatings'!A:A</f>
        <v/>
      </c>
      <c r="B675" s="19" t="n"/>
      <c r="I675" s="17" t="n"/>
      <c r="J675" s="17" t="n"/>
      <c r="K675" s="18" t="n"/>
    </row>
    <row r="676">
      <c r="A676" s="19">
        <f>'Season 1 - MafiaRatings'!A:A</f>
        <v/>
      </c>
      <c r="B676" s="19" t="n"/>
      <c r="I676" s="17" t="n"/>
      <c r="J676" s="17" t="n"/>
      <c r="K676" s="18" t="n"/>
    </row>
    <row r="677">
      <c r="A677" s="19">
        <f>'Season 1 - MafiaRatings'!A:A</f>
        <v/>
      </c>
      <c r="B677" s="19" t="n"/>
      <c r="I677" s="17" t="n"/>
      <c r="J677" s="17" t="n"/>
      <c r="K677" s="18" t="n"/>
    </row>
    <row r="678">
      <c r="A678" s="19">
        <f>'Season 1 - MafiaRatings'!A:A</f>
        <v/>
      </c>
      <c r="B678" s="19" t="n"/>
      <c r="I678" s="17" t="n"/>
      <c r="J678" s="17" t="n"/>
      <c r="K678" s="18" t="n"/>
    </row>
    <row r="679">
      <c r="A679" s="19">
        <f>'Season 1 - MafiaRatings'!A:A</f>
        <v/>
      </c>
      <c r="B679" s="19" t="n"/>
      <c r="I679" s="17" t="n"/>
      <c r="J679" s="17" t="n"/>
      <c r="K679" s="18" t="n"/>
    </row>
    <row r="680">
      <c r="A680" s="19">
        <f>'Season 1 - MafiaRatings'!A:A</f>
        <v/>
      </c>
      <c r="B680" s="19" t="n"/>
      <c r="I680" s="17" t="n"/>
      <c r="J680" s="17" t="n"/>
      <c r="K680" s="18" t="n"/>
    </row>
    <row r="681">
      <c r="A681" s="19">
        <f>'Season 1 - MafiaRatings'!A:A</f>
        <v/>
      </c>
      <c r="B681" s="19" t="n"/>
      <c r="I681" s="17" t="n"/>
      <c r="J681" s="17" t="n"/>
      <c r="K681" s="18" t="n"/>
    </row>
    <row r="682">
      <c r="A682" s="19">
        <f>'Season 1 - MafiaRatings'!A:A</f>
        <v/>
      </c>
      <c r="B682" s="19" t="n"/>
      <c r="I682" s="17" t="n"/>
      <c r="J682" s="17" t="n"/>
      <c r="K682" s="18" t="n"/>
    </row>
    <row r="683">
      <c r="A683" s="19">
        <f>'Season 1 - MafiaRatings'!A:A</f>
        <v/>
      </c>
      <c r="B683" s="19" t="n"/>
      <c r="I683" s="17" t="n"/>
      <c r="J683" s="17" t="n"/>
      <c r="K683" s="18" t="n"/>
    </row>
    <row r="684">
      <c r="A684" s="19">
        <f>'Season 1 - MafiaRatings'!A:A</f>
        <v/>
      </c>
      <c r="B684" s="19" t="n"/>
      <c r="I684" s="17" t="n"/>
      <c r="J684" s="17" t="n"/>
      <c r="K684" s="18" t="n"/>
    </row>
    <row r="685">
      <c r="A685" s="19">
        <f>'Season 1 - MafiaRatings'!A:A</f>
        <v/>
      </c>
      <c r="B685" s="19" t="n"/>
      <c r="I685" s="17" t="n"/>
      <c r="J685" s="17" t="n"/>
      <c r="K685" s="18" t="n"/>
    </row>
    <row r="686">
      <c r="A686" s="19">
        <f>'Season 1 - MafiaRatings'!A:A</f>
        <v/>
      </c>
      <c r="B686" s="19" t="n"/>
      <c r="I686" s="17" t="n"/>
      <c r="J686" s="17" t="n"/>
      <c r="K686" s="18" t="n"/>
    </row>
    <row r="687">
      <c r="A687" s="19">
        <f>'Season 1 - MafiaRatings'!A:A</f>
        <v/>
      </c>
      <c r="B687" s="19" t="n"/>
      <c r="I687" s="17" t="n"/>
      <c r="J687" s="17" t="n"/>
      <c r="K687" s="18" t="n"/>
    </row>
    <row r="688">
      <c r="A688" s="19">
        <f>'Season 1 - MafiaRatings'!A:A</f>
        <v/>
      </c>
      <c r="B688" s="19" t="n"/>
      <c r="I688" s="17" t="n"/>
      <c r="J688" s="17" t="n"/>
      <c r="K688" s="18" t="n"/>
    </row>
    <row r="689">
      <c r="A689" s="19">
        <f>'Season 1 - MafiaRatings'!A:A</f>
        <v/>
      </c>
      <c r="B689" s="19" t="n"/>
      <c r="I689" s="17" t="n"/>
      <c r="J689" s="17" t="n"/>
      <c r="K689" s="18" t="n"/>
    </row>
    <row r="690">
      <c r="A690" s="19">
        <f>'Season 1 - MafiaRatings'!A:A</f>
        <v/>
      </c>
      <c r="B690" s="19" t="n"/>
      <c r="I690" s="17" t="n"/>
      <c r="J690" s="17" t="n"/>
      <c r="K690" s="18" t="n"/>
    </row>
    <row r="691">
      <c r="A691" s="19">
        <f>'Season 1 - MafiaRatings'!A:A</f>
        <v/>
      </c>
      <c r="B691" s="19" t="n"/>
      <c r="I691" s="17" t="n"/>
      <c r="J691" s="17" t="n"/>
      <c r="K691" s="18" t="n"/>
    </row>
    <row r="692">
      <c r="A692" s="19">
        <f>'Season 1 - MafiaRatings'!A:A</f>
        <v/>
      </c>
      <c r="B692" s="19" t="n"/>
      <c r="I692" s="17" t="n"/>
      <c r="J692" s="17" t="n"/>
      <c r="K692" s="18" t="n"/>
    </row>
    <row r="693">
      <c r="A693" s="19">
        <f>'Season 1 - MafiaRatings'!A:A</f>
        <v/>
      </c>
      <c r="B693" s="19" t="n"/>
      <c r="I693" s="17" t="n"/>
      <c r="J693" s="17" t="n"/>
      <c r="K693" s="18" t="n"/>
    </row>
    <row r="694">
      <c r="A694" s="19">
        <f>'Season 1 - MafiaRatings'!A:A</f>
        <v/>
      </c>
      <c r="B694" s="19" t="n"/>
      <c r="I694" s="17" t="n"/>
      <c r="J694" s="17" t="n"/>
      <c r="K694" s="18" t="n"/>
    </row>
    <row r="695">
      <c r="A695" s="19">
        <f>'Season 1 - MafiaRatings'!A:A</f>
        <v/>
      </c>
      <c r="B695" s="19" t="n"/>
      <c r="I695" s="17" t="n"/>
      <c r="J695" s="17" t="n"/>
      <c r="K695" s="18" t="n"/>
    </row>
    <row r="696">
      <c r="A696" s="19">
        <f>'Season 1 - MafiaRatings'!A:A</f>
        <v/>
      </c>
      <c r="B696" s="19" t="n"/>
      <c r="I696" s="17" t="n"/>
      <c r="J696" s="17" t="n"/>
      <c r="K696" s="18" t="n"/>
    </row>
    <row r="697">
      <c r="A697" s="19">
        <f>'Season 1 - MafiaRatings'!A:A</f>
        <v/>
      </c>
      <c r="B697" s="19" t="n"/>
      <c r="I697" s="17" t="n"/>
      <c r="J697" s="17" t="n"/>
      <c r="K697" s="18" t="n"/>
    </row>
    <row r="698">
      <c r="A698" s="19">
        <f>'Season 1 - MafiaRatings'!A:A</f>
        <v/>
      </c>
      <c r="B698" s="19" t="n"/>
      <c r="I698" s="17" t="n"/>
      <c r="J698" s="17" t="n"/>
      <c r="K698" s="18" t="n"/>
    </row>
    <row r="699">
      <c r="A699" s="19">
        <f>'Season 1 - MafiaRatings'!A:A</f>
        <v/>
      </c>
      <c r="B699" s="19" t="n"/>
      <c r="I699" s="17" t="n"/>
      <c r="J699" s="17" t="n"/>
      <c r="K699" s="18" t="n"/>
    </row>
    <row r="700">
      <c r="A700" s="19">
        <f>'Season 1 - MafiaRatings'!A:A</f>
        <v/>
      </c>
      <c r="B700" s="19" t="n"/>
      <c r="I700" s="17" t="n"/>
      <c r="J700" s="17" t="n"/>
      <c r="K700" s="18" t="n"/>
    </row>
    <row r="701">
      <c r="A701" s="19">
        <f>'Season 1 - MafiaRatings'!A:A</f>
        <v/>
      </c>
      <c r="B701" s="19" t="n"/>
      <c r="I701" s="17" t="n"/>
      <c r="J701" s="17" t="n"/>
      <c r="K701" s="18" t="n"/>
    </row>
    <row r="702">
      <c r="A702" s="19">
        <f>'Season 1 - MafiaRatings'!A:A</f>
        <v/>
      </c>
      <c r="B702" s="19" t="n"/>
      <c r="I702" s="17" t="n"/>
      <c r="J702" s="17" t="n"/>
      <c r="K702" s="18" t="n"/>
    </row>
    <row r="703">
      <c r="A703" s="19">
        <f>'Season 1 - MafiaRatings'!A:A</f>
        <v/>
      </c>
      <c r="B703" s="19" t="n"/>
      <c r="I703" s="17" t="n"/>
      <c r="J703" s="17" t="n"/>
      <c r="K703" s="18" t="n"/>
    </row>
    <row r="704">
      <c r="A704" s="19">
        <f>'Season 1 - MafiaRatings'!A:A</f>
        <v/>
      </c>
      <c r="B704" s="19" t="n"/>
      <c r="I704" s="17" t="n"/>
      <c r="J704" s="17" t="n"/>
      <c r="K704" s="18" t="n"/>
    </row>
    <row r="705">
      <c r="A705" s="19">
        <f>'Season 1 - MafiaRatings'!A:A</f>
        <v/>
      </c>
      <c r="B705" s="19" t="n"/>
      <c r="I705" s="17" t="n"/>
      <c r="J705" s="17" t="n"/>
      <c r="K705" s="18" t="n"/>
    </row>
    <row r="706">
      <c r="A706" s="19">
        <f>'Season 1 - MafiaRatings'!A:A</f>
        <v/>
      </c>
      <c r="B706" s="19" t="n"/>
      <c r="I706" s="17" t="n"/>
      <c r="J706" s="17" t="n"/>
      <c r="K706" s="18" t="n"/>
    </row>
    <row r="707">
      <c r="A707" s="19">
        <f>'Season 1 - MafiaRatings'!A:A</f>
        <v/>
      </c>
      <c r="B707" s="19" t="n"/>
      <c r="I707" s="17" t="n"/>
      <c r="J707" s="17" t="n"/>
      <c r="K707" s="18" t="n"/>
    </row>
    <row r="708">
      <c r="A708" s="19">
        <f>'Season 1 - MafiaRatings'!A:A</f>
        <v/>
      </c>
      <c r="B708" s="19" t="n"/>
      <c r="I708" s="17" t="n"/>
      <c r="J708" s="17" t="n"/>
      <c r="K708" s="18" t="n"/>
    </row>
    <row r="709">
      <c r="A709" s="19">
        <f>'Season 1 - MafiaRatings'!A:A</f>
        <v/>
      </c>
      <c r="B709" s="19" t="n"/>
      <c r="I709" s="17" t="n"/>
      <c r="J709" s="17" t="n"/>
      <c r="K709" s="18" t="n"/>
    </row>
    <row r="710">
      <c r="A710" s="19">
        <f>'Season 1 - MafiaRatings'!A:A</f>
        <v/>
      </c>
      <c r="B710" s="19" t="n"/>
      <c r="I710" s="17" t="n"/>
      <c r="J710" s="17" t="n"/>
      <c r="K710" s="18" t="n"/>
    </row>
    <row r="711">
      <c r="A711" s="19">
        <f>'Season 1 - MafiaRatings'!A:A</f>
        <v/>
      </c>
      <c r="B711" s="19" t="n"/>
      <c r="I711" s="17" t="n"/>
      <c r="J711" s="17" t="n"/>
      <c r="K711" s="18" t="n"/>
    </row>
    <row r="712">
      <c r="A712" s="19">
        <f>'Season 1 - MafiaRatings'!A:A</f>
        <v/>
      </c>
      <c r="B712" s="19" t="n"/>
      <c r="I712" s="17" t="n"/>
      <c r="J712" s="17" t="n"/>
      <c r="K712" s="18" t="n"/>
    </row>
    <row r="713">
      <c r="A713" s="19">
        <f>'Season 1 - MafiaRatings'!A:A</f>
        <v/>
      </c>
      <c r="B713" s="19" t="n"/>
      <c r="I713" s="17" t="n"/>
      <c r="J713" s="17" t="n"/>
      <c r="K713" s="18" t="n"/>
    </row>
    <row r="714">
      <c r="A714" s="19">
        <f>'Season 1 - MafiaRatings'!A:A</f>
        <v/>
      </c>
      <c r="B714" s="19" t="n"/>
      <c r="I714" s="17" t="n"/>
      <c r="J714" s="17" t="n"/>
      <c r="K714" s="18" t="n"/>
    </row>
    <row r="715">
      <c r="A715" s="19">
        <f>'Season 1 - MafiaRatings'!A:A</f>
        <v/>
      </c>
      <c r="B715" s="19" t="n"/>
      <c r="I715" s="17" t="n"/>
      <c r="J715" s="17" t="n"/>
      <c r="K715" s="18" t="n"/>
    </row>
    <row r="716">
      <c r="A716" s="19">
        <f>'Season 1 - MafiaRatings'!A:A</f>
        <v/>
      </c>
      <c r="B716" s="19" t="n"/>
      <c r="I716" s="17" t="n"/>
      <c r="J716" s="17" t="n"/>
      <c r="K716" s="18" t="n"/>
    </row>
    <row r="717">
      <c r="A717" s="19">
        <f>'Season 1 - MafiaRatings'!A:A</f>
        <v/>
      </c>
      <c r="B717" s="19" t="n"/>
      <c r="I717" s="17" t="n"/>
      <c r="J717" s="17" t="n"/>
      <c r="K717" s="18" t="n"/>
    </row>
    <row r="718">
      <c r="A718" s="19">
        <f>'Season 1 - MafiaRatings'!A:A</f>
        <v/>
      </c>
      <c r="B718" s="19" t="n"/>
      <c r="I718" s="17" t="n"/>
      <c r="J718" s="17" t="n"/>
      <c r="K718" s="18" t="n"/>
    </row>
    <row r="719">
      <c r="A719" s="19">
        <f>'Season 1 - MafiaRatings'!A:A</f>
        <v/>
      </c>
      <c r="B719" s="19" t="n"/>
      <c r="I719" s="17" t="n"/>
      <c r="J719" s="17" t="n"/>
      <c r="K719" s="18" t="n"/>
    </row>
    <row r="720">
      <c r="A720" s="19">
        <f>'Season 1 - MafiaRatings'!A:A</f>
        <v/>
      </c>
      <c r="B720" s="19" t="n"/>
      <c r="I720" s="17" t="n"/>
      <c r="J720" s="17" t="n"/>
      <c r="K720" s="18" t="n"/>
    </row>
    <row r="721">
      <c r="A721" s="19">
        <f>'Season 1 - MafiaRatings'!A:A</f>
        <v/>
      </c>
      <c r="B721" s="19" t="n"/>
      <c r="I721" s="17" t="n"/>
      <c r="J721" s="17" t="n"/>
      <c r="K721" s="18" t="n"/>
    </row>
    <row r="722">
      <c r="A722" s="19">
        <f>'Season 1 - MafiaRatings'!A:A</f>
        <v/>
      </c>
      <c r="B722" s="19" t="n"/>
      <c r="I722" s="17" t="n"/>
      <c r="J722" s="17" t="n"/>
      <c r="K722" s="18" t="n"/>
    </row>
    <row r="723">
      <c r="A723" s="19">
        <f>'Season 1 - MafiaRatings'!A:A</f>
        <v/>
      </c>
      <c r="B723" s="19" t="n"/>
      <c r="I723" s="17" t="n"/>
      <c r="J723" s="17" t="n"/>
      <c r="K723" s="18" t="n"/>
    </row>
    <row r="724">
      <c r="A724" s="19">
        <f>'Season 1 - MafiaRatings'!A:A</f>
        <v/>
      </c>
      <c r="B724" s="19" t="n"/>
      <c r="I724" s="17" t="n"/>
      <c r="J724" s="17" t="n"/>
      <c r="K724" s="18" t="n"/>
    </row>
    <row r="725">
      <c r="A725" s="19">
        <f>'Season 1 - MafiaRatings'!A:A</f>
        <v/>
      </c>
      <c r="B725" s="19" t="n"/>
      <c r="I725" s="17" t="n"/>
      <c r="J725" s="17" t="n"/>
      <c r="K725" s="18" t="n"/>
    </row>
    <row r="726">
      <c r="A726" s="19">
        <f>'Season 1 - MafiaRatings'!A:A</f>
        <v/>
      </c>
      <c r="B726" s="19" t="n"/>
      <c r="I726" s="17" t="n"/>
      <c r="J726" s="17" t="n"/>
      <c r="K726" s="18" t="n"/>
    </row>
    <row r="727">
      <c r="A727" s="19">
        <f>'Season 1 - MafiaRatings'!A:A</f>
        <v/>
      </c>
      <c r="B727" s="19" t="n"/>
      <c r="I727" s="17" t="n"/>
      <c r="J727" s="17" t="n"/>
      <c r="K727" s="18" t="n"/>
    </row>
    <row r="728">
      <c r="A728" s="19">
        <f>'Season 1 - MafiaRatings'!A:A</f>
        <v/>
      </c>
      <c r="B728" s="19" t="n"/>
      <c r="I728" s="17" t="n"/>
      <c r="J728" s="17" t="n"/>
      <c r="K728" s="18" t="n"/>
    </row>
    <row r="729">
      <c r="A729" s="19">
        <f>'Season 1 - MafiaRatings'!A:A</f>
        <v/>
      </c>
      <c r="B729" s="19" t="n"/>
      <c r="I729" s="17" t="n"/>
      <c r="J729" s="17" t="n"/>
      <c r="K729" s="18" t="n"/>
    </row>
    <row r="730">
      <c r="A730" s="19">
        <f>'Season 1 - MafiaRatings'!A:A</f>
        <v/>
      </c>
      <c r="B730" s="19" t="n"/>
      <c r="I730" s="17" t="n"/>
      <c r="J730" s="17" t="n"/>
      <c r="K730" s="18" t="n"/>
    </row>
    <row r="731">
      <c r="A731" s="19">
        <f>'Season 1 - MafiaRatings'!A:A</f>
        <v/>
      </c>
      <c r="B731" s="19" t="n"/>
      <c r="I731" s="17" t="n"/>
      <c r="J731" s="17" t="n"/>
      <c r="K731" s="18" t="n"/>
    </row>
    <row r="732">
      <c r="A732" s="19">
        <f>'Season 1 - MafiaRatings'!A:A</f>
        <v/>
      </c>
      <c r="B732" s="19" t="n"/>
      <c r="I732" s="17" t="n"/>
      <c r="J732" s="17" t="n"/>
      <c r="K732" s="18" t="n"/>
    </row>
    <row r="733">
      <c r="A733" s="19">
        <f>'Season 1 - MafiaRatings'!A:A</f>
        <v/>
      </c>
      <c r="B733" s="19" t="n"/>
      <c r="I733" s="17" t="n"/>
      <c r="J733" s="17" t="n"/>
      <c r="K733" s="18" t="n"/>
    </row>
    <row r="734">
      <c r="A734" s="19">
        <f>'Season 1 - MafiaRatings'!A:A</f>
        <v/>
      </c>
      <c r="B734" s="19" t="n"/>
      <c r="I734" s="17" t="n"/>
      <c r="J734" s="17" t="n"/>
      <c r="K734" s="18" t="n"/>
    </row>
    <row r="735">
      <c r="A735" s="19">
        <f>'Season 1 - MafiaRatings'!A:A</f>
        <v/>
      </c>
      <c r="B735" s="19" t="n"/>
      <c r="I735" s="17" t="n"/>
      <c r="J735" s="17" t="n"/>
      <c r="K735" s="18" t="n"/>
    </row>
    <row r="736">
      <c r="A736" s="19">
        <f>'Season 1 - MafiaRatings'!A:A</f>
        <v/>
      </c>
      <c r="B736" s="19" t="n"/>
      <c r="I736" s="17" t="n"/>
      <c r="J736" s="17" t="n"/>
      <c r="K736" s="18" t="n"/>
    </row>
    <row r="737">
      <c r="A737" s="19">
        <f>'Season 1 - MafiaRatings'!A:A</f>
        <v/>
      </c>
      <c r="B737" s="19" t="n"/>
      <c r="I737" s="17" t="n"/>
      <c r="J737" s="17" t="n"/>
      <c r="K737" s="18" t="n"/>
    </row>
    <row r="738">
      <c r="A738" s="19">
        <f>'Season 1 - MafiaRatings'!A:A</f>
        <v/>
      </c>
      <c r="B738" s="19" t="n"/>
      <c r="I738" s="17" t="n"/>
      <c r="J738" s="17" t="n"/>
      <c r="K738" s="18" t="n"/>
    </row>
    <row r="739">
      <c r="A739" s="19">
        <f>'Season 1 - MafiaRatings'!A:A</f>
        <v/>
      </c>
      <c r="B739" s="19" t="n"/>
      <c r="I739" s="17" t="n"/>
      <c r="J739" s="17" t="n"/>
      <c r="K739" s="18" t="n"/>
    </row>
    <row r="740">
      <c r="A740" s="19">
        <f>'Season 1 - MafiaRatings'!A:A</f>
        <v/>
      </c>
      <c r="B740" s="19" t="n"/>
      <c r="I740" s="17" t="n"/>
      <c r="J740" s="17" t="n"/>
      <c r="K740" s="18" t="n"/>
    </row>
    <row r="741">
      <c r="A741" s="19">
        <f>'Season 1 - MafiaRatings'!A:A</f>
        <v/>
      </c>
      <c r="B741" s="19" t="n"/>
      <c r="I741" s="17" t="n"/>
      <c r="J741" s="17" t="n"/>
      <c r="K741" s="18" t="n"/>
    </row>
    <row r="742">
      <c r="A742" s="19">
        <f>'Season 1 - MafiaRatings'!A:A</f>
        <v/>
      </c>
      <c r="B742" s="19" t="n"/>
      <c r="I742" s="17" t="n"/>
      <c r="J742" s="17" t="n"/>
      <c r="K742" s="18" t="n"/>
    </row>
    <row r="743">
      <c r="A743" s="19">
        <f>'Season 1 - MafiaRatings'!A:A</f>
        <v/>
      </c>
      <c r="B743" s="19" t="n"/>
      <c r="I743" s="17" t="n"/>
      <c r="J743" s="17" t="n"/>
      <c r="K743" s="18" t="n"/>
    </row>
    <row r="744">
      <c r="A744" s="19">
        <f>'Season 1 - MafiaRatings'!A:A</f>
        <v/>
      </c>
      <c r="B744" s="19" t="n"/>
      <c r="I744" s="17" t="n"/>
      <c r="J744" s="17" t="n"/>
      <c r="K744" s="18" t="n"/>
    </row>
    <row r="745">
      <c r="A745" s="19">
        <f>'Season 1 - MafiaRatings'!A:A</f>
        <v/>
      </c>
      <c r="B745" s="19" t="n"/>
      <c r="I745" s="17" t="n"/>
      <c r="J745" s="17" t="n"/>
      <c r="K745" s="18" t="n"/>
    </row>
    <row r="746">
      <c r="A746" s="19">
        <f>'Season 1 - MafiaRatings'!A:A</f>
        <v/>
      </c>
      <c r="B746" s="19" t="n"/>
      <c r="I746" s="17" t="n"/>
      <c r="J746" s="17" t="n"/>
      <c r="K746" s="18" t="n"/>
    </row>
    <row r="747">
      <c r="A747" s="19">
        <f>'Season 1 - MafiaRatings'!A:A</f>
        <v/>
      </c>
      <c r="B747" s="19" t="n"/>
      <c r="I747" s="17" t="n"/>
      <c r="J747" s="17" t="n"/>
      <c r="K747" s="18" t="n"/>
    </row>
    <row r="748">
      <c r="A748" s="19">
        <f>'Season 1 - MafiaRatings'!A:A</f>
        <v/>
      </c>
      <c r="B748" s="19" t="n"/>
      <c r="I748" s="17" t="n"/>
      <c r="J748" s="17" t="n"/>
      <c r="K748" s="18" t="n"/>
    </row>
    <row r="749">
      <c r="A749" s="19">
        <f>'Season 1 - MafiaRatings'!A:A</f>
        <v/>
      </c>
      <c r="B749" s="19" t="n"/>
      <c r="I749" s="17" t="n"/>
      <c r="J749" s="17" t="n"/>
      <c r="K749" s="18" t="n"/>
    </row>
    <row r="750">
      <c r="A750" s="19">
        <f>'Season 1 - MafiaRatings'!A:A</f>
        <v/>
      </c>
      <c r="B750" s="19" t="n"/>
      <c r="I750" s="17" t="n"/>
      <c r="J750" s="17" t="n"/>
      <c r="K750" s="18" t="n"/>
    </row>
    <row r="751">
      <c r="A751" s="19">
        <f>'Season 1 - MafiaRatings'!A:A</f>
        <v/>
      </c>
      <c r="B751" s="19" t="n"/>
      <c r="I751" s="17" t="n"/>
      <c r="J751" s="17" t="n"/>
      <c r="K751" s="18" t="n"/>
    </row>
    <row r="752">
      <c r="A752" s="19">
        <f>'Season 1 - MafiaRatings'!A:A</f>
        <v/>
      </c>
      <c r="B752" s="19" t="n"/>
      <c r="I752" s="17" t="n"/>
      <c r="J752" s="17" t="n"/>
      <c r="K752" s="18" t="n"/>
    </row>
    <row r="753">
      <c r="A753" s="19">
        <f>'Season 1 - MafiaRatings'!A:A</f>
        <v/>
      </c>
      <c r="B753" s="19" t="n"/>
      <c r="I753" s="17" t="n"/>
      <c r="J753" s="17" t="n"/>
      <c r="K753" s="18" t="n"/>
    </row>
    <row r="754">
      <c r="A754" s="19">
        <f>'Season 1 - MafiaRatings'!A:A</f>
        <v/>
      </c>
      <c r="B754" s="19" t="n"/>
      <c r="I754" s="17" t="n"/>
      <c r="J754" s="17" t="n"/>
      <c r="K754" s="18" t="n"/>
    </row>
    <row r="755">
      <c r="A755" s="19">
        <f>'Season 1 - MafiaRatings'!A:A</f>
        <v/>
      </c>
      <c r="B755" s="19" t="n"/>
      <c r="I755" s="17" t="n"/>
      <c r="J755" s="17" t="n"/>
      <c r="K755" s="18" t="n"/>
    </row>
    <row r="756">
      <c r="A756" s="19">
        <f>'Season 1 - MafiaRatings'!A:A</f>
        <v/>
      </c>
      <c r="B756" s="19" t="n"/>
      <c r="I756" s="17" t="n"/>
      <c r="J756" s="17" t="n"/>
      <c r="K756" s="18" t="n"/>
    </row>
    <row r="757">
      <c r="A757" s="19">
        <f>'Season 1 - MafiaRatings'!A:A</f>
        <v/>
      </c>
      <c r="B757" s="19" t="n"/>
      <c r="I757" s="17" t="n"/>
      <c r="J757" s="17" t="n"/>
      <c r="K757" s="18" t="n"/>
    </row>
    <row r="758">
      <c r="A758" s="19">
        <f>'Season 1 - MafiaRatings'!A:A</f>
        <v/>
      </c>
      <c r="B758" s="19" t="n"/>
      <c r="I758" s="17" t="n"/>
      <c r="J758" s="17" t="n"/>
      <c r="K758" s="18" t="n"/>
    </row>
    <row r="759">
      <c r="A759" s="19">
        <f>'Season 1 - MafiaRatings'!A:A</f>
        <v/>
      </c>
      <c r="B759" s="19" t="n"/>
      <c r="I759" s="17" t="n"/>
      <c r="J759" s="17" t="n"/>
      <c r="K759" s="18" t="n"/>
    </row>
    <row r="760">
      <c r="A760" s="19">
        <f>'Season 1 - MafiaRatings'!A:A</f>
        <v/>
      </c>
      <c r="B760" s="19" t="n"/>
      <c r="I760" s="17" t="n"/>
      <c r="J760" s="17" t="n"/>
      <c r="K760" s="18" t="n"/>
    </row>
    <row r="761">
      <c r="A761" s="19">
        <f>'Season 1 - MafiaRatings'!A:A</f>
        <v/>
      </c>
      <c r="B761" s="19" t="n"/>
      <c r="I761" s="17" t="n"/>
      <c r="J761" s="17" t="n"/>
      <c r="K761" s="18" t="n"/>
    </row>
    <row r="762">
      <c r="A762" s="19">
        <f>'Season 1 - MafiaRatings'!A:A</f>
        <v/>
      </c>
      <c r="B762" s="19" t="n"/>
      <c r="I762" s="17" t="n"/>
      <c r="J762" s="17" t="n"/>
      <c r="K762" s="18" t="n"/>
    </row>
    <row r="763">
      <c r="A763" s="19">
        <f>'Season 1 - MafiaRatings'!A:A</f>
        <v/>
      </c>
      <c r="B763" s="19" t="n"/>
      <c r="I763" s="17" t="n"/>
      <c r="J763" s="17" t="n"/>
      <c r="K763" s="18" t="n"/>
    </row>
    <row r="764">
      <c r="A764" s="19">
        <f>'Season 1 - MafiaRatings'!A:A</f>
        <v/>
      </c>
      <c r="B764" s="19" t="n"/>
      <c r="I764" s="17" t="n"/>
      <c r="J764" s="17" t="n"/>
      <c r="K764" s="18" t="n"/>
    </row>
    <row r="765">
      <c r="A765" s="19">
        <f>'Season 1 - MafiaRatings'!A:A</f>
        <v/>
      </c>
      <c r="B765" s="19" t="n"/>
      <c r="I765" s="17" t="n"/>
      <c r="J765" s="17" t="n"/>
      <c r="K765" s="18" t="n"/>
    </row>
    <row r="766">
      <c r="A766" s="19">
        <f>'Season 1 - MafiaRatings'!A:A</f>
        <v/>
      </c>
      <c r="B766" s="19" t="n"/>
      <c r="I766" s="17" t="n"/>
      <c r="J766" s="17" t="n"/>
      <c r="K766" s="18" t="n"/>
    </row>
    <row r="767">
      <c r="A767" s="19">
        <f>'Season 1 - MafiaRatings'!A:A</f>
        <v/>
      </c>
      <c r="B767" s="19" t="n"/>
      <c r="I767" s="17" t="n"/>
      <c r="J767" s="17" t="n"/>
      <c r="K767" s="18" t="n"/>
    </row>
    <row r="768">
      <c r="A768" s="19">
        <f>'Season 1 - MafiaRatings'!A:A</f>
        <v/>
      </c>
      <c r="B768" s="19" t="n"/>
      <c r="I768" s="17" t="n"/>
      <c r="J768" s="17" t="n"/>
      <c r="K768" s="18" t="n"/>
    </row>
    <row r="769">
      <c r="A769" s="19">
        <f>'Season 1 - MafiaRatings'!A:A</f>
        <v/>
      </c>
      <c r="B769" s="19" t="n"/>
      <c r="I769" s="17" t="n"/>
      <c r="J769" s="17" t="n"/>
      <c r="K769" s="18" t="n"/>
    </row>
    <row r="770">
      <c r="A770" s="19">
        <f>'Season 1 - MafiaRatings'!A:A</f>
        <v/>
      </c>
      <c r="B770" s="19" t="n"/>
      <c r="I770" s="17" t="n"/>
      <c r="J770" s="17" t="n"/>
      <c r="K770" s="18" t="n"/>
    </row>
    <row r="771">
      <c r="A771" s="19">
        <f>'Season 1 - MafiaRatings'!A:A</f>
        <v/>
      </c>
      <c r="B771" s="19" t="n"/>
      <c r="I771" s="17" t="n"/>
      <c r="J771" s="17" t="n"/>
      <c r="K771" s="18" t="n"/>
    </row>
    <row r="772">
      <c r="A772" s="19">
        <f>'Season 1 - MafiaRatings'!A:A</f>
        <v/>
      </c>
      <c r="B772" s="19" t="n"/>
      <c r="I772" s="17" t="n"/>
      <c r="J772" s="17" t="n"/>
      <c r="K772" s="18" t="n"/>
    </row>
    <row r="773">
      <c r="A773" s="19">
        <f>'Season 1 - MafiaRatings'!A:A</f>
        <v/>
      </c>
      <c r="B773" s="19" t="n"/>
      <c r="I773" s="17" t="n"/>
      <c r="J773" s="17" t="n"/>
      <c r="K773" s="18" t="n"/>
    </row>
    <row r="774">
      <c r="A774" s="19">
        <f>'Season 1 - MafiaRatings'!A:A</f>
        <v/>
      </c>
      <c r="B774" s="19" t="n"/>
      <c r="I774" s="17" t="n"/>
      <c r="J774" s="17" t="n"/>
      <c r="K774" s="18" t="n"/>
    </row>
    <row r="775">
      <c r="A775" s="19">
        <f>'Season 1 - MafiaRatings'!A:A</f>
        <v/>
      </c>
      <c r="B775" s="19" t="n"/>
      <c r="I775" s="17" t="n"/>
      <c r="J775" s="17" t="n"/>
      <c r="K775" s="18" t="n"/>
    </row>
    <row r="776">
      <c r="A776" s="19">
        <f>'Season 1 - MafiaRatings'!A:A</f>
        <v/>
      </c>
      <c r="B776" s="19" t="n"/>
      <c r="I776" s="17" t="n"/>
      <c r="J776" s="17" t="n"/>
      <c r="K776" s="18" t="n"/>
    </row>
    <row r="777">
      <c r="A777" s="19">
        <f>'Season 1 - MafiaRatings'!A:A</f>
        <v/>
      </c>
      <c r="B777" s="19" t="n"/>
      <c r="I777" s="17" t="n"/>
      <c r="J777" s="17" t="n"/>
      <c r="K777" s="18" t="n"/>
    </row>
    <row r="778">
      <c r="A778" s="19">
        <f>'Season 1 - MafiaRatings'!A:A</f>
        <v/>
      </c>
      <c r="B778" s="19" t="n"/>
      <c r="I778" s="17" t="n"/>
      <c r="J778" s="17" t="n"/>
      <c r="K778" s="18" t="n"/>
    </row>
    <row r="779">
      <c r="A779" s="19">
        <f>'Season 1 - MafiaRatings'!A:A</f>
        <v/>
      </c>
      <c r="B779" s="19" t="n"/>
      <c r="I779" s="17" t="n"/>
      <c r="J779" s="17" t="n"/>
      <c r="K779" s="18" t="n"/>
    </row>
    <row r="780">
      <c r="A780" s="19">
        <f>'Season 1 - MafiaRatings'!A:A</f>
        <v/>
      </c>
      <c r="B780" s="19" t="n"/>
      <c r="I780" s="17" t="n"/>
      <c r="J780" s="17" t="n"/>
      <c r="K780" s="18" t="n"/>
    </row>
    <row r="781">
      <c r="A781" s="19">
        <f>'Season 1 - MafiaRatings'!A:A</f>
        <v/>
      </c>
      <c r="B781" s="19" t="n"/>
      <c r="I781" s="17" t="n"/>
      <c r="J781" s="17" t="n"/>
      <c r="K781" s="18" t="n"/>
    </row>
    <row r="782">
      <c r="A782" s="19">
        <f>'Season 1 - MafiaRatings'!A:A</f>
        <v/>
      </c>
      <c r="B782" s="19" t="n"/>
      <c r="I782" s="17" t="n"/>
      <c r="J782" s="17" t="n"/>
      <c r="K782" s="18" t="n"/>
    </row>
    <row r="783">
      <c r="A783" s="19">
        <f>'Season 1 - MafiaRatings'!A:A</f>
        <v/>
      </c>
      <c r="B783" s="19" t="n"/>
      <c r="I783" s="17" t="n"/>
      <c r="J783" s="17" t="n"/>
      <c r="K783" s="18" t="n"/>
    </row>
    <row r="784">
      <c r="A784" s="19">
        <f>'Season 1 - MafiaRatings'!A:A</f>
        <v/>
      </c>
      <c r="B784" s="19" t="n"/>
      <c r="I784" s="17" t="n"/>
      <c r="J784" s="17" t="n"/>
      <c r="K784" s="18" t="n"/>
    </row>
    <row r="785">
      <c r="A785" s="19">
        <f>'Season 1 - MafiaRatings'!A:A</f>
        <v/>
      </c>
      <c r="B785" s="19" t="n"/>
      <c r="I785" s="17" t="n"/>
      <c r="J785" s="17" t="n"/>
      <c r="K785" s="18" t="n"/>
    </row>
    <row r="786">
      <c r="A786" s="19">
        <f>'Season 1 - MafiaRatings'!A:A</f>
        <v/>
      </c>
      <c r="B786" s="19" t="n"/>
      <c r="I786" s="17" t="n"/>
      <c r="J786" s="17" t="n"/>
      <c r="K786" s="18" t="n"/>
    </row>
    <row r="787">
      <c r="A787" s="19">
        <f>'Season 1 - MafiaRatings'!A:A</f>
        <v/>
      </c>
      <c r="B787" s="19" t="n"/>
      <c r="I787" s="17" t="n"/>
      <c r="J787" s="17" t="n"/>
      <c r="K787" s="18" t="n"/>
    </row>
    <row r="788">
      <c r="A788" s="19">
        <f>'Season 1 - MafiaRatings'!A:A</f>
        <v/>
      </c>
      <c r="B788" s="19" t="n"/>
      <c r="I788" s="17" t="n"/>
      <c r="J788" s="17" t="n"/>
      <c r="K788" s="18" t="n"/>
    </row>
    <row r="789">
      <c r="A789" s="19">
        <f>'Season 1 - MafiaRatings'!A:A</f>
        <v/>
      </c>
      <c r="B789" s="19" t="n"/>
      <c r="I789" s="17" t="n"/>
      <c r="J789" s="17" t="n"/>
      <c r="K789" s="18" t="n"/>
    </row>
    <row r="790">
      <c r="A790" s="19">
        <f>'Season 1 - MafiaRatings'!A:A</f>
        <v/>
      </c>
      <c r="B790" s="19" t="n"/>
      <c r="I790" s="17" t="n"/>
      <c r="J790" s="17" t="n"/>
      <c r="K790" s="18" t="n"/>
    </row>
    <row r="791">
      <c r="A791" s="19">
        <f>'Season 1 - MafiaRatings'!A:A</f>
        <v/>
      </c>
      <c r="B791" s="19" t="n"/>
      <c r="I791" s="17" t="n"/>
      <c r="J791" s="17" t="n"/>
      <c r="K791" s="18" t="n"/>
    </row>
    <row r="792">
      <c r="A792" s="19">
        <f>'Season 1 - MafiaRatings'!A:A</f>
        <v/>
      </c>
      <c r="B792" s="19" t="n"/>
      <c r="I792" s="17" t="n"/>
      <c r="J792" s="17" t="n"/>
      <c r="K792" s="18" t="n"/>
    </row>
    <row r="793">
      <c r="A793" s="19">
        <f>'Season 1 - MafiaRatings'!A:A</f>
        <v/>
      </c>
      <c r="B793" s="19" t="n"/>
      <c r="I793" s="17" t="n"/>
      <c r="J793" s="17" t="n"/>
      <c r="K793" s="18" t="n"/>
    </row>
    <row r="794">
      <c r="A794" s="19">
        <f>'Season 1 - MafiaRatings'!A:A</f>
        <v/>
      </c>
      <c r="B794" s="19" t="n"/>
      <c r="I794" s="17" t="n"/>
      <c r="J794" s="17" t="n"/>
      <c r="K794" s="18" t="n"/>
    </row>
    <row r="795">
      <c r="A795" s="19">
        <f>'Season 1 - MafiaRatings'!A:A</f>
        <v/>
      </c>
      <c r="B795" s="19" t="n"/>
      <c r="I795" s="17" t="n"/>
      <c r="J795" s="17" t="n"/>
      <c r="K795" s="18" t="n"/>
    </row>
    <row r="796">
      <c r="A796" s="19">
        <f>'Season 1 - MafiaRatings'!A:A</f>
        <v/>
      </c>
      <c r="B796" s="19" t="n"/>
      <c r="I796" s="17" t="n"/>
      <c r="J796" s="17" t="n"/>
      <c r="K796" s="18" t="n"/>
    </row>
    <row r="797">
      <c r="A797" s="19">
        <f>'Season 1 - MafiaRatings'!A:A</f>
        <v/>
      </c>
      <c r="B797" s="19" t="n"/>
      <c r="I797" s="17" t="n"/>
      <c r="J797" s="17" t="n"/>
      <c r="K797" s="18" t="n"/>
    </row>
    <row r="798">
      <c r="A798" s="19">
        <f>'Season 1 - MafiaRatings'!A:A</f>
        <v/>
      </c>
      <c r="B798" s="19" t="n"/>
      <c r="I798" s="17" t="n"/>
      <c r="J798" s="17" t="n"/>
      <c r="K798" s="18" t="n"/>
    </row>
    <row r="799">
      <c r="A799" s="19">
        <f>'Season 1 - MafiaRatings'!A:A</f>
        <v/>
      </c>
      <c r="B799" s="19" t="n"/>
      <c r="I799" s="17" t="n"/>
      <c r="J799" s="17" t="n"/>
      <c r="K799" s="18" t="n"/>
    </row>
    <row r="800">
      <c r="A800" s="19">
        <f>'Season 1 - MafiaRatings'!A:A</f>
        <v/>
      </c>
      <c r="B800" s="19" t="n"/>
      <c r="I800" s="17" t="n"/>
      <c r="J800" s="17" t="n"/>
      <c r="K800" s="18" t="n"/>
    </row>
    <row r="801">
      <c r="A801" s="19">
        <f>'Season 1 - MafiaRatings'!A:A</f>
        <v/>
      </c>
      <c r="B801" s="19" t="n"/>
      <c r="I801" s="17" t="n"/>
      <c r="J801" s="17" t="n"/>
      <c r="K801" s="18" t="n"/>
    </row>
    <row r="802">
      <c r="A802" s="19">
        <f>'Season 1 - MafiaRatings'!A:A</f>
        <v/>
      </c>
      <c r="B802" s="19" t="n"/>
      <c r="I802" s="17" t="n"/>
      <c r="J802" s="17" t="n"/>
      <c r="K802" s="18" t="n"/>
    </row>
    <row r="803">
      <c r="A803" s="19">
        <f>'Season 1 - MafiaRatings'!A:A</f>
        <v/>
      </c>
      <c r="B803" s="19" t="n"/>
      <c r="I803" s="17" t="n"/>
      <c r="J803" s="17" t="n"/>
      <c r="K803" s="18" t="n"/>
    </row>
    <row r="804">
      <c r="A804" s="19">
        <f>'Season 1 - MafiaRatings'!A:A</f>
        <v/>
      </c>
      <c r="B804" s="19" t="n"/>
      <c r="I804" s="17" t="n"/>
      <c r="J804" s="17" t="n"/>
      <c r="K804" s="18" t="n"/>
    </row>
    <row r="805">
      <c r="A805" s="19">
        <f>'Season 1 - MafiaRatings'!A:A</f>
        <v/>
      </c>
      <c r="B805" s="19" t="n"/>
      <c r="I805" s="17" t="n"/>
      <c r="J805" s="17" t="n"/>
      <c r="K805" s="18" t="n"/>
    </row>
    <row r="806">
      <c r="A806" s="19">
        <f>'Season 1 - MafiaRatings'!A:A</f>
        <v/>
      </c>
      <c r="B806" s="19" t="n"/>
      <c r="I806" s="17" t="n"/>
      <c r="J806" s="17" t="n"/>
      <c r="K806" s="18" t="n"/>
    </row>
    <row r="807">
      <c r="A807" s="19">
        <f>'Season 1 - MafiaRatings'!A:A</f>
        <v/>
      </c>
      <c r="B807" s="19" t="n"/>
      <c r="I807" s="17" t="n"/>
      <c r="J807" s="17" t="n"/>
      <c r="K807" s="18" t="n"/>
    </row>
    <row r="808">
      <c r="A808" s="19">
        <f>'Season 1 - MafiaRatings'!A:A</f>
        <v/>
      </c>
      <c r="B808" s="19" t="n"/>
      <c r="I808" s="17" t="n"/>
      <c r="J808" s="17" t="n"/>
      <c r="K808" s="18" t="n"/>
    </row>
    <row r="809">
      <c r="A809" s="19">
        <f>'Season 1 - MafiaRatings'!A:A</f>
        <v/>
      </c>
      <c r="B809" s="19" t="n"/>
      <c r="I809" s="17" t="n"/>
      <c r="J809" s="17" t="n"/>
      <c r="K809" s="18" t="n"/>
    </row>
    <row r="810">
      <c r="A810" s="19">
        <f>'Season 1 - MafiaRatings'!A:A</f>
        <v/>
      </c>
      <c r="B810" s="19" t="n"/>
      <c r="I810" s="17" t="n"/>
      <c r="J810" s="17" t="n"/>
      <c r="K810" s="18" t="n"/>
    </row>
    <row r="811">
      <c r="A811" s="19">
        <f>'Season 1 - MafiaRatings'!A:A</f>
        <v/>
      </c>
      <c r="B811" s="19" t="n"/>
      <c r="I811" s="17" t="n"/>
      <c r="J811" s="17" t="n"/>
      <c r="K811" s="18" t="n"/>
    </row>
    <row r="812">
      <c r="A812" s="19">
        <f>'Season 1 - MafiaRatings'!A:A</f>
        <v/>
      </c>
      <c r="B812" s="19" t="n"/>
      <c r="I812" s="17" t="n"/>
      <c r="J812" s="17" t="n"/>
      <c r="K812" s="18" t="n"/>
    </row>
    <row r="813">
      <c r="A813" s="19">
        <f>'Season 1 - MafiaRatings'!A:A</f>
        <v/>
      </c>
      <c r="B813" s="19" t="n"/>
      <c r="I813" s="17" t="n"/>
      <c r="J813" s="17" t="n"/>
      <c r="K813" s="18" t="n"/>
    </row>
    <row r="814">
      <c r="A814" s="19">
        <f>'Season 1 - MafiaRatings'!A:A</f>
        <v/>
      </c>
      <c r="B814" s="19" t="n"/>
      <c r="I814" s="17" t="n"/>
      <c r="J814" s="17" t="n"/>
      <c r="K814" s="18" t="n"/>
    </row>
    <row r="815">
      <c r="A815" s="19">
        <f>'Season 1 - MafiaRatings'!A:A</f>
        <v/>
      </c>
      <c r="B815" s="19" t="n"/>
      <c r="I815" s="17" t="n"/>
      <c r="J815" s="17" t="n"/>
      <c r="K815" s="18" t="n"/>
    </row>
    <row r="816">
      <c r="A816" s="19">
        <f>'Season 1 - MafiaRatings'!A:A</f>
        <v/>
      </c>
      <c r="B816" s="19" t="n"/>
      <c r="I816" s="17" t="n"/>
      <c r="J816" s="17" t="n"/>
      <c r="K816" s="18" t="n"/>
    </row>
    <row r="817">
      <c r="A817" s="19">
        <f>'Season 1 - MafiaRatings'!A:A</f>
        <v/>
      </c>
      <c r="B817" s="19" t="n"/>
      <c r="I817" s="17" t="n"/>
      <c r="J817" s="17" t="n"/>
      <c r="K817" s="18" t="n"/>
    </row>
    <row r="818">
      <c r="A818" s="19">
        <f>'Season 1 - MafiaRatings'!A:A</f>
        <v/>
      </c>
      <c r="B818" s="19" t="n"/>
      <c r="I818" s="17" t="n"/>
      <c r="J818" s="17" t="n"/>
      <c r="K818" s="18" t="n"/>
    </row>
    <row r="819">
      <c r="A819" s="19">
        <f>'Season 1 - MafiaRatings'!A:A</f>
        <v/>
      </c>
      <c r="B819" s="19" t="n"/>
      <c r="I819" s="17" t="n"/>
      <c r="J819" s="17" t="n"/>
      <c r="K819" s="18" t="n"/>
    </row>
    <row r="820">
      <c r="A820" s="19">
        <f>'Season 1 - MafiaRatings'!A:A</f>
        <v/>
      </c>
      <c r="B820" s="19" t="n"/>
      <c r="I820" s="17" t="n"/>
      <c r="J820" s="17" t="n"/>
      <c r="K820" s="18" t="n"/>
    </row>
    <row r="821">
      <c r="A821" s="19">
        <f>'Season 1 - MafiaRatings'!A:A</f>
        <v/>
      </c>
      <c r="B821" s="19" t="n"/>
      <c r="I821" s="17" t="n"/>
      <c r="J821" s="17" t="n"/>
      <c r="K821" s="18" t="n"/>
    </row>
    <row r="822">
      <c r="A822" s="19">
        <f>'Season 1 - MafiaRatings'!A:A</f>
        <v/>
      </c>
      <c r="B822" s="19" t="n"/>
      <c r="I822" s="17" t="n"/>
      <c r="J822" s="17" t="n"/>
      <c r="K822" s="18" t="n"/>
    </row>
    <row r="823">
      <c r="A823" s="19">
        <f>'Season 1 - MafiaRatings'!A:A</f>
        <v/>
      </c>
      <c r="B823" s="19" t="n"/>
      <c r="I823" s="17" t="n"/>
      <c r="J823" s="17" t="n"/>
      <c r="K823" s="18" t="n"/>
    </row>
    <row r="824">
      <c r="A824" s="19">
        <f>'Season 1 - MafiaRatings'!A:A</f>
        <v/>
      </c>
      <c r="B824" s="19" t="n"/>
      <c r="I824" s="17" t="n"/>
      <c r="J824" s="17" t="n"/>
      <c r="K824" s="18" t="n"/>
    </row>
    <row r="825">
      <c r="A825" s="19">
        <f>'Season 1 - MafiaRatings'!A:A</f>
        <v/>
      </c>
      <c r="B825" s="19" t="n"/>
      <c r="I825" s="17" t="n"/>
      <c r="J825" s="17" t="n"/>
      <c r="K825" s="18" t="n"/>
    </row>
    <row r="826">
      <c r="A826" s="19">
        <f>'Season 1 - MafiaRatings'!A:A</f>
        <v/>
      </c>
      <c r="B826" s="19" t="n"/>
      <c r="I826" s="17" t="n"/>
      <c r="J826" s="17" t="n"/>
      <c r="K826" s="18" t="n"/>
    </row>
    <row r="827">
      <c r="A827" s="19">
        <f>'Season 1 - MafiaRatings'!A:A</f>
        <v/>
      </c>
      <c r="B827" s="19" t="n"/>
      <c r="I827" s="17" t="n"/>
      <c r="J827" s="17" t="n"/>
      <c r="K827" s="18" t="n"/>
    </row>
    <row r="828">
      <c r="A828" s="19">
        <f>'Season 1 - MafiaRatings'!A:A</f>
        <v/>
      </c>
      <c r="B828" s="19" t="n"/>
      <c r="I828" s="17" t="n"/>
      <c r="J828" s="17" t="n"/>
      <c r="K828" s="18" t="n"/>
    </row>
    <row r="829">
      <c r="A829" s="19">
        <f>'Season 1 - MafiaRatings'!A:A</f>
        <v/>
      </c>
      <c r="B829" s="19" t="n"/>
      <c r="I829" s="17" t="n"/>
      <c r="J829" s="17" t="n"/>
      <c r="K829" s="18" t="n"/>
    </row>
    <row r="830">
      <c r="A830" s="19">
        <f>'Season 1 - MafiaRatings'!A:A</f>
        <v/>
      </c>
      <c r="B830" s="19" t="n"/>
      <c r="I830" s="17" t="n"/>
      <c r="J830" s="17" t="n"/>
      <c r="K830" s="18" t="n"/>
    </row>
    <row r="831">
      <c r="A831" s="19">
        <f>'Season 1 - MafiaRatings'!A:A</f>
        <v/>
      </c>
      <c r="B831" s="19" t="n"/>
      <c r="I831" s="17" t="n"/>
      <c r="J831" s="17" t="n"/>
      <c r="K831" s="18" t="n"/>
    </row>
    <row r="832">
      <c r="A832" s="19">
        <f>'Season 1 - MafiaRatings'!A:A</f>
        <v/>
      </c>
      <c r="B832" s="19" t="n"/>
      <c r="I832" s="17" t="n"/>
      <c r="J832" s="17" t="n"/>
      <c r="K832" s="18" t="n"/>
    </row>
    <row r="833">
      <c r="A833" s="19">
        <f>'Season 1 - MafiaRatings'!A:A</f>
        <v/>
      </c>
      <c r="B833" s="19" t="n"/>
      <c r="I833" s="17" t="n"/>
      <c r="J833" s="17" t="n"/>
      <c r="K833" s="18" t="n"/>
    </row>
    <row r="834">
      <c r="A834" s="19">
        <f>'Season 1 - MafiaRatings'!A:A</f>
        <v/>
      </c>
      <c r="B834" s="19" t="n"/>
      <c r="I834" s="17" t="n"/>
      <c r="J834" s="17" t="n"/>
      <c r="K834" s="18" t="n"/>
    </row>
    <row r="835">
      <c r="A835" s="19">
        <f>'Season 1 - MafiaRatings'!A:A</f>
        <v/>
      </c>
      <c r="B835" s="19" t="n"/>
      <c r="I835" s="17" t="n"/>
      <c r="J835" s="17" t="n"/>
      <c r="K835" s="18" t="n"/>
    </row>
    <row r="836">
      <c r="A836" s="19">
        <f>'Season 1 - MafiaRatings'!A:A</f>
        <v/>
      </c>
      <c r="B836" s="19" t="n"/>
      <c r="I836" s="17" t="n"/>
      <c r="J836" s="17" t="n"/>
      <c r="K836" s="18" t="n"/>
    </row>
    <row r="837">
      <c r="A837" s="19">
        <f>'Season 1 - MafiaRatings'!A:A</f>
        <v/>
      </c>
      <c r="B837" s="19" t="n"/>
      <c r="I837" s="17" t="n"/>
      <c r="J837" s="17" t="n"/>
      <c r="K837" s="18" t="n"/>
    </row>
    <row r="838">
      <c r="A838" s="19">
        <f>'Season 1 - MafiaRatings'!A:A</f>
        <v/>
      </c>
      <c r="B838" s="19" t="n"/>
      <c r="I838" s="17" t="n"/>
      <c r="J838" s="17" t="n"/>
      <c r="K838" s="18" t="n"/>
    </row>
    <row r="839">
      <c r="A839" s="19">
        <f>'Season 1 - MafiaRatings'!A:A</f>
        <v/>
      </c>
      <c r="B839" s="19" t="n"/>
      <c r="I839" s="17" t="n"/>
      <c r="J839" s="17" t="n"/>
      <c r="K839" s="18" t="n"/>
    </row>
    <row r="840">
      <c r="A840" s="19">
        <f>'Season 1 - MafiaRatings'!A:A</f>
        <v/>
      </c>
      <c r="B840" s="19" t="n"/>
      <c r="I840" s="17" t="n"/>
      <c r="J840" s="17" t="n"/>
      <c r="K840" s="18" t="n"/>
    </row>
    <row r="841">
      <c r="A841" s="19">
        <f>'Season 1 - MafiaRatings'!A:A</f>
        <v/>
      </c>
      <c r="B841" s="19" t="n"/>
      <c r="I841" s="17" t="n"/>
      <c r="J841" s="17" t="n"/>
      <c r="K841" s="18" t="n"/>
    </row>
    <row r="842">
      <c r="A842" s="19">
        <f>'Season 1 - MafiaRatings'!A:A</f>
        <v/>
      </c>
      <c r="B842" s="19" t="n"/>
      <c r="I842" s="17" t="n"/>
      <c r="J842" s="17" t="n"/>
      <c r="K842" s="18" t="n"/>
    </row>
    <row r="843">
      <c r="A843" s="19">
        <f>'Season 1 - MafiaRatings'!A:A</f>
        <v/>
      </c>
      <c r="B843" s="19" t="n"/>
      <c r="I843" s="17" t="n"/>
      <c r="J843" s="17" t="n"/>
      <c r="K843" s="18" t="n"/>
    </row>
    <row r="844">
      <c r="A844" s="19">
        <f>'Season 1 - MafiaRatings'!A:A</f>
        <v/>
      </c>
      <c r="B844" s="19" t="n"/>
      <c r="I844" s="17" t="n"/>
      <c r="J844" s="17" t="n"/>
      <c r="K844" s="18" t="n"/>
    </row>
    <row r="845">
      <c r="A845" s="19">
        <f>'Season 1 - MafiaRatings'!A:A</f>
        <v/>
      </c>
      <c r="B845" s="19" t="n"/>
      <c r="I845" s="17" t="n"/>
      <c r="J845" s="17" t="n"/>
      <c r="K845" s="18" t="n"/>
    </row>
    <row r="846">
      <c r="A846" s="19">
        <f>'Season 1 - MafiaRatings'!A:A</f>
        <v/>
      </c>
      <c r="B846" s="19" t="n"/>
      <c r="I846" s="17" t="n"/>
      <c r="J846" s="17" t="n"/>
      <c r="K846" s="18" t="n"/>
    </row>
    <row r="847">
      <c r="A847" s="19">
        <f>'Season 1 - MafiaRatings'!A:A</f>
        <v/>
      </c>
      <c r="B847" s="19" t="n"/>
      <c r="I847" s="17" t="n"/>
      <c r="J847" s="17" t="n"/>
      <c r="K847" s="18" t="n"/>
    </row>
    <row r="848">
      <c r="A848" s="19">
        <f>'Season 1 - MafiaRatings'!A:A</f>
        <v/>
      </c>
      <c r="B848" s="19" t="n"/>
      <c r="I848" s="17" t="n"/>
      <c r="J848" s="17" t="n"/>
      <c r="K848" s="18" t="n"/>
    </row>
    <row r="849">
      <c r="A849" s="19">
        <f>'Season 1 - MafiaRatings'!A:A</f>
        <v/>
      </c>
      <c r="B849" s="19" t="n"/>
      <c r="I849" s="17" t="n"/>
      <c r="J849" s="17" t="n"/>
      <c r="K849" s="18" t="n"/>
    </row>
    <row r="850">
      <c r="A850" s="19">
        <f>'Season 1 - MafiaRatings'!A:A</f>
        <v/>
      </c>
      <c r="B850" s="19" t="n"/>
      <c r="I850" s="17" t="n"/>
      <c r="J850" s="17" t="n"/>
      <c r="K850" s="18" t="n"/>
    </row>
    <row r="851">
      <c r="A851" s="19">
        <f>'Season 1 - MafiaRatings'!A:A</f>
        <v/>
      </c>
      <c r="B851" s="19" t="n"/>
      <c r="I851" s="17" t="n"/>
      <c r="J851" s="17" t="n"/>
      <c r="K851" s="18" t="n"/>
    </row>
    <row r="852">
      <c r="A852" s="19">
        <f>'Season 1 - MafiaRatings'!A:A</f>
        <v/>
      </c>
      <c r="B852" s="19" t="n"/>
      <c r="I852" s="17" t="n"/>
      <c r="J852" s="17" t="n"/>
      <c r="K852" s="18" t="n"/>
    </row>
    <row r="853">
      <c r="A853" s="19">
        <f>'Season 1 - MafiaRatings'!A:A</f>
        <v/>
      </c>
      <c r="B853" s="19" t="n"/>
      <c r="I853" s="17" t="n"/>
      <c r="J853" s="17" t="n"/>
      <c r="K853" s="18" t="n"/>
    </row>
    <row r="854">
      <c r="A854" s="19">
        <f>'Season 1 - MafiaRatings'!A:A</f>
        <v/>
      </c>
      <c r="B854" s="19" t="n"/>
      <c r="I854" s="17" t="n"/>
      <c r="J854" s="17" t="n"/>
      <c r="K854" s="18" t="n"/>
    </row>
    <row r="855">
      <c r="A855" s="19">
        <f>'Season 1 - MafiaRatings'!A:A</f>
        <v/>
      </c>
      <c r="B855" s="19" t="n"/>
      <c r="I855" s="17" t="n"/>
      <c r="J855" s="17" t="n"/>
      <c r="K855" s="18" t="n"/>
    </row>
    <row r="856">
      <c r="A856" s="19">
        <f>'Season 1 - MafiaRatings'!A:A</f>
        <v/>
      </c>
      <c r="B856" s="19" t="n"/>
      <c r="I856" s="17" t="n"/>
      <c r="J856" s="17" t="n"/>
      <c r="K856" s="18" t="n"/>
    </row>
    <row r="857">
      <c r="A857" s="19">
        <f>'Season 1 - MafiaRatings'!A:A</f>
        <v/>
      </c>
      <c r="B857" s="19" t="n"/>
      <c r="I857" s="17" t="n"/>
      <c r="J857" s="17" t="n"/>
      <c r="K857" s="18" t="n"/>
    </row>
    <row r="858">
      <c r="A858" s="19">
        <f>'Season 1 - MafiaRatings'!A:A</f>
        <v/>
      </c>
      <c r="B858" s="19" t="n"/>
      <c r="I858" s="17" t="n"/>
      <c r="J858" s="17" t="n"/>
      <c r="K858" s="18" t="n"/>
    </row>
    <row r="859">
      <c r="A859" s="19">
        <f>'Season 1 - MafiaRatings'!A:A</f>
        <v/>
      </c>
      <c r="B859" s="19" t="n"/>
      <c r="I859" s="17" t="n"/>
      <c r="J859" s="17" t="n"/>
      <c r="K859" s="18" t="n"/>
    </row>
    <row r="860">
      <c r="A860" s="19">
        <f>'Season 1 - MafiaRatings'!A:A</f>
        <v/>
      </c>
      <c r="B860" s="19" t="n"/>
      <c r="I860" s="17" t="n"/>
      <c r="J860" s="17" t="n"/>
      <c r="K860" s="18" t="n"/>
    </row>
    <row r="861">
      <c r="A861" s="19">
        <f>'Season 1 - MafiaRatings'!A:A</f>
        <v/>
      </c>
      <c r="B861" s="19" t="n"/>
      <c r="I861" s="17" t="n"/>
      <c r="J861" s="17" t="n"/>
      <c r="K861" s="18" t="n"/>
    </row>
    <row r="862">
      <c r="A862" s="19">
        <f>'Season 1 - MafiaRatings'!A:A</f>
        <v/>
      </c>
      <c r="B862" s="19" t="n"/>
      <c r="I862" s="17" t="n"/>
      <c r="J862" s="17" t="n"/>
      <c r="K862" s="18" t="n"/>
    </row>
    <row r="863">
      <c r="A863" s="19">
        <f>'Season 1 - MafiaRatings'!A:A</f>
        <v/>
      </c>
      <c r="B863" s="19" t="n"/>
      <c r="I863" s="17" t="n"/>
      <c r="J863" s="17" t="n"/>
      <c r="K863" s="18" t="n"/>
    </row>
    <row r="864">
      <c r="A864" s="19">
        <f>'Season 1 - MafiaRatings'!A:A</f>
        <v/>
      </c>
      <c r="B864" s="19" t="n"/>
      <c r="I864" s="17" t="n"/>
      <c r="J864" s="17" t="n"/>
      <c r="K864" s="18" t="n"/>
    </row>
    <row r="865">
      <c r="A865" s="19">
        <f>'Season 1 - MafiaRatings'!A:A</f>
        <v/>
      </c>
      <c r="B865" s="19" t="n"/>
      <c r="I865" s="17" t="n"/>
      <c r="J865" s="17" t="n"/>
      <c r="K865" s="18" t="n"/>
    </row>
    <row r="866">
      <c r="A866" s="19">
        <f>'Season 1 - MafiaRatings'!A:A</f>
        <v/>
      </c>
      <c r="B866" s="19" t="n"/>
      <c r="I866" s="17" t="n"/>
      <c r="J866" s="17" t="n"/>
      <c r="K866" s="18" t="n"/>
    </row>
    <row r="867">
      <c r="A867" s="19">
        <f>'Season 1 - MafiaRatings'!A:A</f>
        <v/>
      </c>
      <c r="B867" s="19" t="n"/>
      <c r="I867" s="17" t="n"/>
      <c r="J867" s="17" t="n"/>
      <c r="K867" s="18" t="n"/>
    </row>
    <row r="868">
      <c r="A868" s="19">
        <f>'Season 1 - MafiaRatings'!A:A</f>
        <v/>
      </c>
      <c r="B868" s="19" t="n"/>
      <c r="I868" s="17" t="n"/>
      <c r="J868" s="17" t="n"/>
      <c r="K868" s="18" t="n"/>
    </row>
    <row r="869">
      <c r="A869" s="19">
        <f>'Season 1 - MafiaRatings'!A:A</f>
        <v/>
      </c>
      <c r="B869" s="19" t="n"/>
      <c r="I869" s="17" t="n"/>
      <c r="J869" s="17" t="n"/>
      <c r="K869" s="18" t="n"/>
    </row>
    <row r="870">
      <c r="A870" s="19">
        <f>'Season 1 - MafiaRatings'!A:A</f>
        <v/>
      </c>
      <c r="B870" s="19" t="n"/>
      <c r="I870" s="17" t="n"/>
      <c r="J870" s="17" t="n"/>
      <c r="K870" s="18" t="n"/>
    </row>
    <row r="871">
      <c r="A871" s="19">
        <f>'Season 1 - MafiaRatings'!A:A</f>
        <v/>
      </c>
      <c r="B871" s="19" t="n"/>
      <c r="I871" s="17" t="n"/>
      <c r="J871" s="17" t="n"/>
      <c r="K871" s="18" t="n"/>
    </row>
    <row r="872">
      <c r="A872" s="19">
        <f>'Season 1 - MafiaRatings'!A:A</f>
        <v/>
      </c>
      <c r="B872" s="19" t="n"/>
      <c r="I872" s="17" t="n"/>
      <c r="J872" s="17" t="n"/>
      <c r="K872" s="18" t="n"/>
    </row>
    <row r="873">
      <c r="A873" s="19">
        <f>'Season 1 - MafiaRatings'!A:A</f>
        <v/>
      </c>
      <c r="B873" s="19" t="n"/>
      <c r="I873" s="17" t="n"/>
      <c r="J873" s="17" t="n"/>
      <c r="K873" s="18" t="n"/>
    </row>
    <row r="874">
      <c r="A874" s="19">
        <f>'Season 1 - MafiaRatings'!A:A</f>
        <v/>
      </c>
      <c r="B874" s="19" t="n"/>
      <c r="I874" s="17" t="n"/>
      <c r="J874" s="17" t="n"/>
      <c r="K874" s="18" t="n"/>
    </row>
    <row r="875">
      <c r="A875" s="19">
        <f>'Season 1 - MafiaRatings'!A:A</f>
        <v/>
      </c>
      <c r="B875" s="19" t="n"/>
      <c r="I875" s="17" t="n"/>
      <c r="J875" s="17" t="n"/>
      <c r="K875" s="18" t="n"/>
    </row>
    <row r="876">
      <c r="A876" s="19">
        <f>'Season 1 - MafiaRatings'!A:A</f>
        <v/>
      </c>
      <c r="B876" s="19" t="n"/>
      <c r="I876" s="17" t="n"/>
      <c r="J876" s="17" t="n"/>
      <c r="K876" s="18" t="n"/>
    </row>
    <row r="877">
      <c r="A877" s="19">
        <f>'Season 1 - MafiaRatings'!A:A</f>
        <v/>
      </c>
      <c r="B877" s="19" t="n"/>
      <c r="I877" s="17" t="n"/>
      <c r="J877" s="17" t="n"/>
      <c r="K877" s="18" t="n"/>
    </row>
    <row r="878">
      <c r="A878" s="19">
        <f>'Season 1 - MafiaRatings'!A:A</f>
        <v/>
      </c>
      <c r="B878" s="19" t="n"/>
      <c r="I878" s="17" t="n"/>
      <c r="J878" s="17" t="n"/>
      <c r="K878" s="18" t="n"/>
    </row>
    <row r="879">
      <c r="A879" s="19">
        <f>'Season 1 - MafiaRatings'!A:A</f>
        <v/>
      </c>
      <c r="B879" s="19" t="n"/>
      <c r="I879" s="17" t="n"/>
      <c r="J879" s="17" t="n"/>
      <c r="K879" s="18" t="n"/>
    </row>
    <row r="880">
      <c r="A880" s="19">
        <f>'Season 1 - MafiaRatings'!A:A</f>
        <v/>
      </c>
      <c r="B880" s="19" t="n"/>
      <c r="I880" s="17" t="n"/>
      <c r="J880" s="17" t="n"/>
      <c r="K880" s="18" t="n"/>
    </row>
    <row r="881">
      <c r="A881" s="19">
        <f>'Season 1 - MafiaRatings'!A:A</f>
        <v/>
      </c>
      <c r="B881" s="19" t="n"/>
      <c r="I881" s="17" t="n"/>
      <c r="J881" s="17" t="n"/>
      <c r="K881" s="18" t="n"/>
    </row>
    <row r="882">
      <c r="A882" s="19">
        <f>'Season 1 - MafiaRatings'!A:A</f>
        <v/>
      </c>
      <c r="B882" s="19" t="n"/>
      <c r="I882" s="17" t="n"/>
      <c r="J882" s="17" t="n"/>
      <c r="K882" s="18" t="n"/>
    </row>
    <row r="883">
      <c r="A883" s="19">
        <f>'Season 1 - MafiaRatings'!A:A</f>
        <v/>
      </c>
      <c r="B883" s="19" t="n"/>
      <c r="I883" s="17" t="n"/>
      <c r="J883" s="17" t="n"/>
      <c r="K883" s="18" t="n"/>
    </row>
    <row r="884">
      <c r="A884" s="19">
        <f>'Season 1 - MafiaRatings'!A:A</f>
        <v/>
      </c>
      <c r="B884" s="19" t="n"/>
      <c r="I884" s="17" t="n"/>
      <c r="J884" s="17" t="n"/>
      <c r="K884" s="18" t="n"/>
    </row>
    <row r="885">
      <c r="A885" s="19">
        <f>'Season 1 - MafiaRatings'!A:A</f>
        <v/>
      </c>
      <c r="B885" s="19" t="n"/>
      <c r="I885" s="17" t="n"/>
      <c r="J885" s="17" t="n"/>
      <c r="K885" s="18" t="n"/>
    </row>
    <row r="886">
      <c r="A886" s="19">
        <f>'Season 1 - MafiaRatings'!A:A</f>
        <v/>
      </c>
      <c r="B886" s="19" t="n"/>
      <c r="I886" s="17" t="n"/>
      <c r="J886" s="17" t="n"/>
      <c r="K886" s="18" t="n"/>
    </row>
    <row r="887">
      <c r="A887" s="19">
        <f>'Season 1 - MafiaRatings'!A:A</f>
        <v/>
      </c>
      <c r="B887" s="19" t="n"/>
      <c r="I887" s="17" t="n"/>
      <c r="J887" s="17" t="n"/>
      <c r="K887" s="18" t="n"/>
    </row>
    <row r="888">
      <c r="A888" s="19">
        <f>'Season 1 - MafiaRatings'!A:A</f>
        <v/>
      </c>
      <c r="B888" s="19" t="n"/>
      <c r="I888" s="17" t="n"/>
      <c r="J888" s="17" t="n"/>
      <c r="K888" s="18" t="n"/>
    </row>
    <row r="889">
      <c r="A889" s="19">
        <f>'Season 1 - MafiaRatings'!A:A</f>
        <v/>
      </c>
      <c r="B889" s="19" t="n"/>
      <c r="I889" s="17" t="n"/>
      <c r="J889" s="17" t="n"/>
      <c r="K889" s="18" t="n"/>
    </row>
    <row r="890">
      <c r="A890" s="19">
        <f>'Season 1 - MafiaRatings'!A:A</f>
        <v/>
      </c>
      <c r="B890" s="19" t="n"/>
      <c r="I890" s="17" t="n"/>
      <c r="J890" s="17" t="n"/>
      <c r="K890" s="18" t="n"/>
    </row>
    <row r="891">
      <c r="A891" s="19">
        <f>'Season 1 - MafiaRatings'!A:A</f>
        <v/>
      </c>
      <c r="B891" s="19" t="n"/>
      <c r="I891" s="17" t="n"/>
      <c r="J891" s="17" t="n"/>
      <c r="K891" s="18" t="n"/>
    </row>
    <row r="892">
      <c r="A892" s="19">
        <f>'Season 1 - MafiaRatings'!A:A</f>
        <v/>
      </c>
      <c r="B892" s="19" t="n"/>
      <c r="I892" s="17" t="n"/>
      <c r="J892" s="17" t="n"/>
      <c r="K892" s="18" t="n"/>
    </row>
    <row r="893">
      <c r="A893" s="19">
        <f>'Season 1 - MafiaRatings'!A:A</f>
        <v/>
      </c>
      <c r="B893" s="19" t="n"/>
      <c r="I893" s="17" t="n"/>
      <c r="J893" s="17" t="n"/>
      <c r="K893" s="18" t="n"/>
    </row>
    <row r="894">
      <c r="A894" s="19">
        <f>'Season 1 - MafiaRatings'!A:A</f>
        <v/>
      </c>
      <c r="B894" s="19" t="n"/>
      <c r="I894" s="17" t="n"/>
      <c r="J894" s="17" t="n"/>
      <c r="K894" s="18" t="n"/>
    </row>
    <row r="895">
      <c r="A895" s="19">
        <f>'Season 1 - MafiaRatings'!A:A</f>
        <v/>
      </c>
      <c r="B895" s="19" t="n"/>
      <c r="I895" s="17" t="n"/>
      <c r="J895" s="17" t="n"/>
      <c r="K895" s="18" t="n"/>
    </row>
    <row r="896">
      <c r="A896" s="19">
        <f>'Season 1 - MafiaRatings'!A:A</f>
        <v/>
      </c>
      <c r="B896" s="19" t="n"/>
      <c r="I896" s="17" t="n"/>
      <c r="J896" s="17" t="n"/>
      <c r="K896" s="18" t="n"/>
    </row>
    <row r="897">
      <c r="A897" s="19">
        <f>'Season 1 - MafiaRatings'!A:A</f>
        <v/>
      </c>
      <c r="B897" s="19" t="n"/>
      <c r="I897" s="17" t="n"/>
      <c r="J897" s="17" t="n"/>
      <c r="K897" s="18" t="n"/>
    </row>
    <row r="898">
      <c r="A898" s="19">
        <f>'Season 1 - MafiaRatings'!A:A</f>
        <v/>
      </c>
      <c r="B898" s="19" t="n"/>
      <c r="I898" s="17" t="n"/>
      <c r="J898" s="17" t="n"/>
      <c r="K898" s="18" t="n"/>
    </row>
    <row r="899">
      <c r="A899" s="19">
        <f>'Season 1 - MafiaRatings'!A:A</f>
        <v/>
      </c>
      <c r="B899" s="19" t="n"/>
      <c r="I899" s="17" t="n"/>
      <c r="J899" s="17" t="n"/>
      <c r="K899" s="18" t="n"/>
    </row>
    <row r="900">
      <c r="A900" s="19">
        <f>'Season 1 - MafiaRatings'!A:A</f>
        <v/>
      </c>
      <c r="B900" s="19" t="n"/>
      <c r="I900" s="17" t="n"/>
      <c r="J900" s="17" t="n"/>
      <c r="K900" s="18" t="n"/>
    </row>
    <row r="901">
      <c r="A901" s="19">
        <f>'Season 1 - MafiaRatings'!A:A</f>
        <v/>
      </c>
      <c r="B901" s="19" t="n"/>
      <c r="I901" s="17" t="n"/>
      <c r="J901" s="17" t="n"/>
      <c r="K901" s="18" t="n"/>
    </row>
    <row r="902">
      <c r="A902" s="19">
        <f>'Season 1 - MafiaRatings'!A:A</f>
        <v/>
      </c>
      <c r="B902" s="19" t="n"/>
      <c r="I902" s="17" t="n"/>
      <c r="J902" s="17" t="n"/>
      <c r="K902" s="18" t="n"/>
    </row>
    <row r="903">
      <c r="A903" s="19">
        <f>'Season 1 - MafiaRatings'!A:A</f>
        <v/>
      </c>
      <c r="B903" s="19" t="n"/>
      <c r="I903" s="17" t="n"/>
      <c r="J903" s="17" t="n"/>
      <c r="K903" s="18" t="n"/>
    </row>
    <row r="904">
      <c r="A904" s="19">
        <f>'Season 1 - MafiaRatings'!A:A</f>
        <v/>
      </c>
      <c r="B904" s="19" t="n"/>
      <c r="I904" s="17" t="n"/>
      <c r="J904" s="17" t="n"/>
      <c r="K904" s="18" t="n"/>
    </row>
    <row r="905">
      <c r="A905" s="19">
        <f>'Season 1 - MafiaRatings'!A:A</f>
        <v/>
      </c>
      <c r="B905" s="19" t="n"/>
      <c r="I905" s="17" t="n"/>
      <c r="J905" s="17" t="n"/>
      <c r="K905" s="18" t="n"/>
    </row>
    <row r="906">
      <c r="A906" s="19">
        <f>'Season 1 - MafiaRatings'!A:A</f>
        <v/>
      </c>
      <c r="B906" s="19" t="n"/>
      <c r="I906" s="17" t="n"/>
      <c r="J906" s="17" t="n"/>
      <c r="K906" s="18" t="n"/>
    </row>
    <row r="907">
      <c r="A907" s="19">
        <f>'Season 1 - MafiaRatings'!A:A</f>
        <v/>
      </c>
      <c r="B907" s="19" t="n"/>
      <c r="I907" s="17" t="n"/>
      <c r="J907" s="17" t="n"/>
      <c r="K907" s="18" t="n"/>
    </row>
    <row r="908">
      <c r="A908" s="19">
        <f>'Season 1 - MafiaRatings'!A:A</f>
        <v/>
      </c>
      <c r="B908" s="19" t="n"/>
      <c r="I908" s="17" t="n"/>
      <c r="J908" s="17" t="n"/>
      <c r="K908" s="18" t="n"/>
    </row>
    <row r="909">
      <c r="A909" s="19">
        <f>'Season 1 - MafiaRatings'!A:A</f>
        <v/>
      </c>
      <c r="B909" s="19" t="n"/>
      <c r="I909" s="17" t="n"/>
      <c r="J909" s="17" t="n"/>
      <c r="K909" s="18" t="n"/>
    </row>
    <row r="910">
      <c r="A910" s="19">
        <f>'Season 1 - MafiaRatings'!A:A</f>
        <v/>
      </c>
      <c r="B910" s="19" t="n"/>
      <c r="I910" s="17" t="n"/>
      <c r="J910" s="17" t="n"/>
      <c r="K910" s="18" t="n"/>
    </row>
    <row r="911">
      <c r="A911" s="19">
        <f>'Season 1 - MafiaRatings'!A:A</f>
        <v/>
      </c>
      <c r="B911" s="19" t="n"/>
      <c r="I911" s="17" t="n"/>
      <c r="J911" s="17" t="n"/>
      <c r="K911" s="18" t="n"/>
    </row>
    <row r="912">
      <c r="A912" s="19">
        <f>'Season 1 - MafiaRatings'!A:A</f>
        <v/>
      </c>
      <c r="B912" s="19" t="n"/>
      <c r="I912" s="17" t="n"/>
      <c r="J912" s="17" t="n"/>
      <c r="K912" s="18" t="n"/>
    </row>
    <row r="913">
      <c r="A913" s="19">
        <f>'Season 1 - MafiaRatings'!A:A</f>
        <v/>
      </c>
      <c r="B913" s="19" t="n"/>
      <c r="I913" s="17" t="n"/>
      <c r="J913" s="17" t="n"/>
      <c r="K913" s="18" t="n"/>
    </row>
    <row r="914">
      <c r="A914" s="19">
        <f>'Season 1 - MafiaRatings'!A:A</f>
        <v/>
      </c>
      <c r="B914" s="19" t="n"/>
      <c r="I914" s="17" t="n"/>
      <c r="J914" s="17" t="n"/>
      <c r="K914" s="18" t="n"/>
    </row>
    <row r="915">
      <c r="A915" s="19">
        <f>'Season 1 - MafiaRatings'!A:A</f>
        <v/>
      </c>
      <c r="B915" s="19" t="n"/>
      <c r="I915" s="17" t="n"/>
      <c r="J915" s="17" t="n"/>
      <c r="K915" s="18" t="n"/>
    </row>
    <row r="916">
      <c r="A916" s="19">
        <f>'Season 1 - MafiaRatings'!A:A</f>
        <v/>
      </c>
      <c r="B916" s="19" t="n"/>
      <c r="I916" s="17" t="n"/>
      <c r="J916" s="17" t="n"/>
      <c r="K916" s="18" t="n"/>
    </row>
    <row r="917">
      <c r="A917" s="19">
        <f>'Season 1 - MafiaRatings'!A:A</f>
        <v/>
      </c>
      <c r="B917" s="19" t="n"/>
      <c r="I917" s="17" t="n"/>
      <c r="J917" s="17" t="n"/>
      <c r="K917" s="18" t="n"/>
    </row>
    <row r="918">
      <c r="A918" s="19">
        <f>'Season 1 - MafiaRatings'!A:A</f>
        <v/>
      </c>
      <c r="B918" s="19" t="n"/>
      <c r="I918" s="17" t="n"/>
      <c r="J918" s="17" t="n"/>
      <c r="K918" s="18" t="n"/>
    </row>
    <row r="919">
      <c r="A919" s="19">
        <f>'Season 1 - MafiaRatings'!A:A</f>
        <v/>
      </c>
      <c r="B919" s="19" t="n"/>
      <c r="I919" s="17" t="n"/>
      <c r="J919" s="17" t="n"/>
      <c r="K919" s="18" t="n"/>
    </row>
    <row r="920">
      <c r="A920" s="19">
        <f>'Season 1 - MafiaRatings'!A:A</f>
        <v/>
      </c>
      <c r="B920" s="19" t="n"/>
      <c r="I920" s="17" t="n"/>
      <c r="J920" s="17" t="n"/>
      <c r="K920" s="18" t="n"/>
    </row>
    <row r="921">
      <c r="A921" s="19">
        <f>'Season 1 - MafiaRatings'!A:A</f>
        <v/>
      </c>
      <c r="B921" s="19" t="n"/>
      <c r="I921" s="17" t="n"/>
      <c r="J921" s="17" t="n"/>
      <c r="K921" s="18" t="n"/>
    </row>
    <row r="922">
      <c r="A922" s="19">
        <f>'Season 1 - MafiaRatings'!A:A</f>
        <v/>
      </c>
      <c r="B922" s="19" t="n"/>
      <c r="I922" s="17" t="n"/>
      <c r="J922" s="17" t="n"/>
      <c r="K922" s="18" t="n"/>
    </row>
    <row r="923">
      <c r="A923" s="19">
        <f>'Season 1 - MafiaRatings'!A:A</f>
        <v/>
      </c>
      <c r="B923" s="19" t="n"/>
      <c r="I923" s="17" t="n"/>
      <c r="J923" s="17" t="n"/>
      <c r="K923" s="18" t="n"/>
    </row>
    <row r="924">
      <c r="A924" s="19">
        <f>'Season 1 - MafiaRatings'!A:A</f>
        <v/>
      </c>
      <c r="B924" s="19" t="n"/>
      <c r="I924" s="17" t="n"/>
      <c r="J924" s="17" t="n"/>
      <c r="K924" s="18" t="n"/>
    </row>
    <row r="925">
      <c r="A925" s="19">
        <f>'Season 1 - MafiaRatings'!A:A</f>
        <v/>
      </c>
      <c r="B925" s="19" t="n"/>
      <c r="I925" s="17" t="n"/>
      <c r="J925" s="17" t="n"/>
      <c r="K925" s="18" t="n"/>
    </row>
    <row r="926">
      <c r="A926" s="19">
        <f>'Season 1 - MafiaRatings'!A:A</f>
        <v/>
      </c>
      <c r="B926" s="19" t="n"/>
      <c r="I926" s="17" t="n"/>
      <c r="J926" s="17" t="n"/>
      <c r="K926" s="18" t="n"/>
    </row>
    <row r="927">
      <c r="A927" s="19">
        <f>'Season 1 - MafiaRatings'!A:A</f>
        <v/>
      </c>
      <c r="B927" s="19" t="n"/>
      <c r="I927" s="17" t="n"/>
      <c r="J927" s="17" t="n"/>
      <c r="K927" s="18" t="n"/>
    </row>
    <row r="928">
      <c r="A928" s="19">
        <f>'Season 1 - MafiaRatings'!A:A</f>
        <v/>
      </c>
      <c r="B928" s="19" t="n"/>
      <c r="I928" s="17" t="n"/>
      <c r="J928" s="17" t="n"/>
      <c r="K928" s="18" t="n"/>
    </row>
    <row r="929">
      <c r="A929" s="19">
        <f>'Season 1 - MafiaRatings'!A:A</f>
        <v/>
      </c>
      <c r="B929" s="19" t="n"/>
      <c r="I929" s="17" t="n"/>
      <c r="J929" s="17" t="n"/>
      <c r="K929" s="18" t="n"/>
    </row>
    <row r="930">
      <c r="A930" s="19">
        <f>'Season 1 - MafiaRatings'!A:A</f>
        <v/>
      </c>
      <c r="B930" s="19" t="n"/>
      <c r="I930" s="17" t="n"/>
      <c r="J930" s="17" t="n"/>
      <c r="K930" s="18" t="n"/>
    </row>
    <row r="931">
      <c r="A931" s="19">
        <f>'Season 1 - MafiaRatings'!A:A</f>
        <v/>
      </c>
      <c r="B931" s="19" t="n"/>
      <c r="I931" s="17" t="n"/>
      <c r="J931" s="17" t="n"/>
      <c r="K931" s="18" t="n"/>
    </row>
    <row r="932">
      <c r="A932" s="19">
        <f>'Season 1 - MafiaRatings'!A:A</f>
        <v/>
      </c>
      <c r="B932" s="19" t="n"/>
      <c r="I932" s="17" t="n"/>
      <c r="J932" s="17" t="n"/>
      <c r="K932" s="18" t="n"/>
    </row>
    <row r="933">
      <c r="A933" s="19">
        <f>'Season 1 - MafiaRatings'!A:A</f>
        <v/>
      </c>
      <c r="B933" s="19" t="n"/>
      <c r="I933" s="17" t="n"/>
      <c r="J933" s="17" t="n"/>
      <c r="K933" s="18" t="n"/>
    </row>
    <row r="934">
      <c r="A934" s="19">
        <f>'Season 1 - MafiaRatings'!A:A</f>
        <v/>
      </c>
      <c r="B934" s="19" t="n"/>
      <c r="I934" s="17" t="n"/>
      <c r="J934" s="17" t="n"/>
      <c r="K934" s="18" t="n"/>
    </row>
    <row r="935">
      <c r="A935" s="19">
        <f>'Season 1 - MafiaRatings'!A:A</f>
        <v/>
      </c>
      <c r="B935" s="19" t="n"/>
      <c r="I935" s="17" t="n"/>
      <c r="J935" s="17" t="n"/>
      <c r="K935" s="18" t="n"/>
    </row>
    <row r="936">
      <c r="A936" s="19">
        <f>'Season 1 - MafiaRatings'!A:A</f>
        <v/>
      </c>
      <c r="B936" s="19" t="n"/>
      <c r="I936" s="17" t="n"/>
      <c r="J936" s="17" t="n"/>
      <c r="K936" s="18" t="n"/>
    </row>
    <row r="937">
      <c r="A937" s="19">
        <f>'Season 1 - MafiaRatings'!A:A</f>
        <v/>
      </c>
      <c r="B937" s="19" t="n"/>
      <c r="I937" s="17" t="n"/>
      <c r="J937" s="17" t="n"/>
      <c r="K937" s="18" t="n"/>
    </row>
    <row r="938">
      <c r="A938" s="19">
        <f>'Season 1 - MafiaRatings'!A:A</f>
        <v/>
      </c>
      <c r="B938" s="19" t="n"/>
      <c r="I938" s="17" t="n"/>
      <c r="J938" s="17" t="n"/>
      <c r="K938" s="18" t="n"/>
    </row>
    <row r="939">
      <c r="A939" s="19">
        <f>'Season 1 - MafiaRatings'!A:A</f>
        <v/>
      </c>
      <c r="B939" s="19" t="n"/>
      <c r="I939" s="17" t="n"/>
      <c r="J939" s="17" t="n"/>
      <c r="K939" s="18" t="n"/>
    </row>
    <row r="940">
      <c r="A940" s="19">
        <f>'Season 1 - MafiaRatings'!A:A</f>
        <v/>
      </c>
      <c r="B940" s="19" t="n"/>
      <c r="I940" s="17" t="n"/>
      <c r="J940" s="17" t="n"/>
      <c r="K940" s="18" t="n"/>
    </row>
    <row r="941">
      <c r="A941" s="19">
        <f>'Season 1 - MafiaRatings'!A:A</f>
        <v/>
      </c>
      <c r="B941" s="19" t="n"/>
      <c r="I941" s="17" t="n"/>
      <c r="J941" s="17" t="n"/>
      <c r="K941" s="18" t="n"/>
    </row>
    <row r="942">
      <c r="A942" s="19">
        <f>'Season 1 - MafiaRatings'!A:A</f>
        <v/>
      </c>
      <c r="B942" s="19" t="n"/>
      <c r="I942" s="17" t="n"/>
      <c r="J942" s="17" t="n"/>
      <c r="K942" s="18" t="n"/>
    </row>
    <row r="943">
      <c r="A943" s="19">
        <f>'Season 1 - MafiaRatings'!A:A</f>
        <v/>
      </c>
      <c r="B943" s="19" t="n"/>
      <c r="I943" s="17" t="n"/>
      <c r="J943" s="17" t="n"/>
      <c r="K943" s="18" t="n"/>
    </row>
    <row r="944">
      <c r="A944" s="19">
        <f>'Season 1 - MafiaRatings'!A:A</f>
        <v/>
      </c>
      <c r="B944" s="19" t="n"/>
      <c r="I944" s="17" t="n"/>
      <c r="J944" s="17" t="n"/>
      <c r="K944" s="18" t="n"/>
    </row>
    <row r="945">
      <c r="A945" s="19">
        <f>'Season 1 - MafiaRatings'!A:A</f>
        <v/>
      </c>
      <c r="B945" s="19" t="n"/>
      <c r="I945" s="17" t="n"/>
      <c r="J945" s="17" t="n"/>
      <c r="K945" s="18" t="n"/>
    </row>
    <row r="946">
      <c r="A946" s="19">
        <f>'Season 1 - MafiaRatings'!A:A</f>
        <v/>
      </c>
      <c r="B946" s="19" t="n"/>
      <c r="I946" s="17" t="n"/>
      <c r="J946" s="17" t="n"/>
      <c r="K946" s="18" t="n"/>
    </row>
    <row r="947">
      <c r="A947" s="19">
        <f>'Season 1 - MafiaRatings'!A:A</f>
        <v/>
      </c>
      <c r="B947" s="19" t="n"/>
      <c r="I947" s="17" t="n"/>
      <c r="J947" s="17" t="n"/>
      <c r="K947" s="18" t="n"/>
    </row>
    <row r="948">
      <c r="A948" s="19">
        <f>'Season 1 - MafiaRatings'!A:A</f>
        <v/>
      </c>
      <c r="B948" s="19" t="n"/>
      <c r="I948" s="17" t="n"/>
      <c r="J948" s="17" t="n"/>
      <c r="K948" s="18" t="n"/>
    </row>
    <row r="949">
      <c r="A949" s="19">
        <f>'Season 1 - MafiaRatings'!A:A</f>
        <v/>
      </c>
      <c r="B949" s="19" t="n"/>
      <c r="I949" s="17" t="n"/>
      <c r="J949" s="17" t="n"/>
      <c r="K949" s="18" t="n"/>
    </row>
    <row r="950">
      <c r="A950" s="19">
        <f>'Season 1 - MafiaRatings'!A:A</f>
        <v/>
      </c>
      <c r="B950" s="19" t="n"/>
      <c r="I950" s="17" t="n"/>
      <c r="J950" s="17" t="n"/>
      <c r="K950" s="18" t="n"/>
    </row>
    <row r="951">
      <c r="A951" s="19">
        <f>'Season 1 - MafiaRatings'!A:A</f>
        <v/>
      </c>
      <c r="B951" s="19" t="n"/>
      <c r="I951" s="17" t="n"/>
      <c r="J951" s="17" t="n"/>
      <c r="K951" s="18" t="n"/>
    </row>
    <row r="952">
      <c r="A952" s="19">
        <f>'Season 1 - MafiaRatings'!A:A</f>
        <v/>
      </c>
      <c r="B952" s="19" t="n"/>
      <c r="I952" s="17" t="n"/>
      <c r="J952" s="17" t="n"/>
      <c r="K952" s="18" t="n"/>
    </row>
    <row r="953">
      <c r="A953" s="19">
        <f>'Season 1 - MafiaRatings'!A:A</f>
        <v/>
      </c>
      <c r="B953" s="19" t="n"/>
      <c r="I953" s="17" t="n"/>
      <c r="J953" s="17" t="n"/>
      <c r="K953" s="18" t="n"/>
    </row>
    <row r="954">
      <c r="A954" s="19">
        <f>'Season 1 - MafiaRatings'!A:A</f>
        <v/>
      </c>
      <c r="B954" s="19" t="n"/>
      <c r="I954" s="17" t="n"/>
      <c r="J954" s="17" t="n"/>
      <c r="K954" s="18" t="n"/>
    </row>
    <row r="955">
      <c r="A955" s="19">
        <f>'Season 1 - MafiaRatings'!A:A</f>
        <v/>
      </c>
      <c r="B955" s="19" t="n"/>
      <c r="I955" s="17" t="n"/>
      <c r="J955" s="17" t="n"/>
      <c r="K955" s="18" t="n"/>
    </row>
    <row r="956">
      <c r="A956" s="19">
        <f>'Season 1 - MafiaRatings'!A:A</f>
        <v/>
      </c>
      <c r="B956" s="19" t="n"/>
      <c r="I956" s="17" t="n"/>
      <c r="J956" s="17" t="n"/>
      <c r="K956" s="18" t="n"/>
    </row>
    <row r="957">
      <c r="A957" s="19">
        <f>'Season 1 - MafiaRatings'!A:A</f>
        <v/>
      </c>
      <c r="B957" s="19" t="n"/>
      <c r="I957" s="17" t="n"/>
      <c r="J957" s="17" t="n"/>
      <c r="K957" s="18" t="n"/>
    </row>
    <row r="958">
      <c r="A958" s="19">
        <f>'Season 1 - MafiaRatings'!A:A</f>
        <v/>
      </c>
      <c r="B958" s="19" t="n"/>
      <c r="I958" s="17" t="n"/>
      <c r="J958" s="17" t="n"/>
      <c r="K958" s="18" t="n"/>
    </row>
    <row r="959">
      <c r="A959" s="19">
        <f>'Season 1 - MafiaRatings'!A:A</f>
        <v/>
      </c>
      <c r="B959" s="19" t="n"/>
      <c r="I959" s="17" t="n"/>
      <c r="J959" s="17" t="n"/>
      <c r="K959" s="18" t="n"/>
    </row>
    <row r="960">
      <c r="A960" s="19">
        <f>'Season 1 - MafiaRatings'!A:A</f>
        <v/>
      </c>
      <c r="B960" s="19" t="n"/>
      <c r="I960" s="17" t="n"/>
      <c r="J960" s="17" t="n"/>
      <c r="K960" s="18" t="n"/>
    </row>
    <row r="961">
      <c r="A961" s="19">
        <f>'Season 1 - MafiaRatings'!A:A</f>
        <v/>
      </c>
      <c r="B961" s="19" t="n"/>
      <c r="I961" s="17" t="n"/>
      <c r="J961" s="17" t="n"/>
      <c r="K961" s="18" t="n"/>
    </row>
    <row r="962">
      <c r="A962" s="19">
        <f>'Season 1 - MafiaRatings'!A:A</f>
        <v/>
      </c>
      <c r="B962" s="19" t="n"/>
      <c r="I962" s="17" t="n"/>
      <c r="J962" s="17" t="n"/>
      <c r="K962" s="18" t="n"/>
    </row>
    <row r="963">
      <c r="A963" s="19">
        <f>'Season 1 - MafiaRatings'!A:A</f>
        <v/>
      </c>
      <c r="B963" s="19" t="n"/>
      <c r="I963" s="17" t="n"/>
      <c r="J963" s="17" t="n"/>
      <c r="K963" s="18" t="n"/>
    </row>
    <row r="964">
      <c r="A964" s="19">
        <f>'Season 1 - MafiaRatings'!A:A</f>
        <v/>
      </c>
      <c r="B964" s="19" t="n"/>
      <c r="I964" s="17" t="n"/>
      <c r="J964" s="17" t="n"/>
      <c r="K964" s="18" t="n"/>
    </row>
    <row r="965">
      <c r="A965" s="19">
        <f>'Season 1 - MafiaRatings'!A:A</f>
        <v/>
      </c>
      <c r="B965" s="19" t="n"/>
      <c r="I965" s="17" t="n"/>
      <c r="J965" s="17" t="n"/>
      <c r="K965" s="18" t="n"/>
    </row>
    <row r="966">
      <c r="A966" s="19">
        <f>'Season 1 - MafiaRatings'!A:A</f>
        <v/>
      </c>
      <c r="B966" s="19" t="n"/>
      <c r="I966" s="17" t="n"/>
      <c r="J966" s="17" t="n"/>
      <c r="K966" s="18" t="n"/>
    </row>
    <row r="967">
      <c r="A967" s="19">
        <f>'Season 1 - MafiaRatings'!A:A</f>
        <v/>
      </c>
      <c r="B967" s="19" t="n"/>
      <c r="I967" s="17" t="n"/>
      <c r="J967" s="17" t="n"/>
      <c r="K967" s="18" t="n"/>
    </row>
    <row r="968">
      <c r="A968" s="19">
        <f>'Season 1 - MafiaRatings'!A:A</f>
        <v/>
      </c>
      <c r="B968" s="19" t="n"/>
      <c r="I968" s="17" t="n"/>
      <c r="J968" s="17" t="n"/>
      <c r="K968" s="18" t="n"/>
    </row>
    <row r="969">
      <c r="A969" s="19">
        <f>'Season 1 - MafiaRatings'!A:A</f>
        <v/>
      </c>
      <c r="B969" s="19" t="n"/>
      <c r="I969" s="17" t="n"/>
      <c r="J969" s="17" t="n"/>
      <c r="K969" s="18" t="n"/>
    </row>
    <row r="970">
      <c r="A970" s="19">
        <f>'Season 1 - MafiaRatings'!A:A</f>
        <v/>
      </c>
      <c r="B970" s="19" t="n"/>
      <c r="I970" s="17" t="n"/>
      <c r="J970" s="17" t="n"/>
      <c r="K970" s="18" t="n"/>
    </row>
    <row r="971">
      <c r="A971" s="19">
        <f>'Season 1 - MafiaRatings'!A:A</f>
        <v/>
      </c>
      <c r="B971" s="19" t="n"/>
      <c r="I971" s="17" t="n"/>
      <c r="J971" s="17" t="n"/>
      <c r="K971" s="18" t="n"/>
    </row>
    <row r="972">
      <c r="A972" s="19">
        <f>'Season 1 - MafiaRatings'!A:A</f>
        <v/>
      </c>
      <c r="B972" s="19" t="n"/>
      <c r="I972" s="17" t="n"/>
      <c r="J972" s="17" t="n"/>
      <c r="K972" s="18" t="n"/>
    </row>
    <row r="973">
      <c r="A973" s="19">
        <f>'Season 1 - MafiaRatings'!A:A</f>
        <v/>
      </c>
      <c r="B973" s="19" t="n"/>
      <c r="I973" s="17" t="n"/>
      <c r="J973" s="17" t="n"/>
      <c r="K973" s="18" t="n"/>
    </row>
    <row r="974">
      <c r="A974" s="19">
        <f>'Season 1 - MafiaRatings'!A:A</f>
        <v/>
      </c>
      <c r="B974" s="19" t="n"/>
      <c r="I974" s="17" t="n"/>
      <c r="J974" s="17" t="n"/>
      <c r="K974" s="18" t="n"/>
    </row>
    <row r="975">
      <c r="A975" s="19">
        <f>'Season 1 - MafiaRatings'!A:A</f>
        <v/>
      </c>
      <c r="B975" s="19" t="n"/>
      <c r="I975" s="17" t="n"/>
      <c r="J975" s="17" t="n"/>
      <c r="K975" s="18" t="n"/>
    </row>
    <row r="976">
      <c r="A976" s="19">
        <f>'Season 1 - MafiaRatings'!A:A</f>
        <v/>
      </c>
      <c r="B976" s="19" t="n"/>
      <c r="I976" s="17" t="n"/>
      <c r="J976" s="17" t="n"/>
      <c r="K976" s="18" t="n"/>
    </row>
    <row r="977">
      <c r="A977" s="19">
        <f>'Season 1 - MafiaRatings'!A:A</f>
        <v/>
      </c>
      <c r="B977" s="19" t="n"/>
      <c r="I977" s="17" t="n"/>
      <c r="J977" s="17" t="n"/>
      <c r="K977" s="18" t="n"/>
    </row>
    <row r="978">
      <c r="A978" s="19">
        <f>'Season 1 - MafiaRatings'!A:A</f>
        <v/>
      </c>
      <c r="B978" s="19" t="n"/>
      <c r="I978" s="17" t="n"/>
      <c r="J978" s="17" t="n"/>
      <c r="K978" s="18" t="n"/>
    </row>
    <row r="979">
      <c r="A979" s="19">
        <f>'Season 1 - MafiaRatings'!A:A</f>
        <v/>
      </c>
      <c r="B979" s="19" t="n"/>
      <c r="I979" s="17" t="n"/>
      <c r="J979" s="17" t="n"/>
      <c r="K979" s="18" t="n"/>
    </row>
    <row r="980">
      <c r="A980" s="19">
        <f>'Season 1 - MafiaRatings'!A:A</f>
        <v/>
      </c>
      <c r="B980" s="19" t="n"/>
      <c r="I980" s="17" t="n"/>
      <c r="J980" s="17" t="n"/>
      <c r="K980" s="18" t="n"/>
    </row>
    <row r="981">
      <c r="A981" s="19">
        <f>'Season 1 - MafiaRatings'!A:A</f>
        <v/>
      </c>
      <c r="B981" s="19" t="n"/>
      <c r="I981" s="17" t="n"/>
      <c r="J981" s="17" t="n"/>
      <c r="K981" s="18" t="n"/>
    </row>
    <row r="982">
      <c r="A982" s="19">
        <f>'Season 1 - MafiaRatings'!A:A</f>
        <v/>
      </c>
      <c r="B982" s="19" t="n"/>
      <c r="I982" s="17" t="n"/>
      <c r="J982" s="17" t="n"/>
      <c r="K982" s="18" t="n"/>
    </row>
    <row r="983">
      <c r="A983" s="19">
        <f>'Season 1 - MafiaRatings'!A:A</f>
        <v/>
      </c>
      <c r="B983" s="19" t="n"/>
      <c r="I983" s="17" t="n"/>
      <c r="J983" s="17" t="n"/>
      <c r="K983" s="18" t="n"/>
    </row>
    <row r="984">
      <c r="A984" s="19">
        <f>'Season 1 - MafiaRatings'!A:A</f>
        <v/>
      </c>
      <c r="B984" s="19" t="n"/>
      <c r="I984" s="17" t="n"/>
      <c r="J984" s="17" t="n"/>
      <c r="K984" s="18" t="n"/>
    </row>
    <row r="985">
      <c r="A985" s="19">
        <f>'Season 1 - MafiaRatings'!A:A</f>
        <v/>
      </c>
      <c r="B985" s="19" t="n"/>
      <c r="I985" s="17" t="n"/>
      <c r="J985" s="17" t="n"/>
      <c r="K985" s="18" t="n"/>
    </row>
    <row r="986">
      <c r="A986" s="19">
        <f>'Season 1 - MafiaRatings'!A:A</f>
        <v/>
      </c>
      <c r="B986" s="19" t="n"/>
      <c r="I986" s="17" t="n"/>
      <c r="J986" s="17" t="n"/>
      <c r="K986" s="18" t="n"/>
    </row>
    <row r="987">
      <c r="A987" s="19">
        <f>'Season 1 - MafiaRatings'!A:A</f>
        <v/>
      </c>
      <c r="B987" s="19" t="n"/>
      <c r="I987" s="17" t="n"/>
      <c r="J987" s="17" t="n"/>
      <c r="K987" s="18" t="n"/>
    </row>
    <row r="988">
      <c r="A988" s="19">
        <f>'Season 1 - MafiaRatings'!A:A</f>
        <v/>
      </c>
      <c r="B988" s="19" t="n"/>
      <c r="I988" s="17" t="n"/>
      <c r="J988" s="17" t="n"/>
      <c r="K988" s="18" t="n"/>
    </row>
    <row r="989">
      <c r="A989" s="19">
        <f>'Season 1 - MafiaRatings'!A:A</f>
        <v/>
      </c>
      <c r="B989" s="19" t="n"/>
      <c r="I989" s="17" t="n"/>
      <c r="J989" s="17" t="n"/>
      <c r="K989" s="18" t="n"/>
    </row>
    <row r="990">
      <c r="A990" s="19">
        <f>'Season 1 - MafiaRatings'!A:A</f>
        <v/>
      </c>
      <c r="B990" s="19" t="n"/>
      <c r="I990" s="17" t="n"/>
      <c r="J990" s="17" t="n"/>
      <c r="K990" s="18" t="n"/>
    </row>
  </sheetData>
  <autoFilter ref="$A$1:$K$98">
    <sortState ref="A1:K98">
      <sortCondition descending="1" ref="G1:G98"/>
    </sortState>
  </autoFilter>
  <dataValidations count="1">
    <dataValidation sqref="I2:J98" showDropDown="1" showInputMessage="0" showErrorMessage="0" allowBlank="1" type="custom">
      <formula1>AND(ISNUMBER(I2),(NOT(OR(NOT(ISERROR(DATEVALUE(I2))), AND(ISNUMBER(I2), LEFT(CELL("format", I2))="D")))))</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C105"/>
  <sheetViews>
    <sheetView workbookViewId="0">
      <pane ySplit="1" topLeftCell="A2" activePane="bottomLeft" state="frozen"/>
      <selection pane="bottomLeft" activeCell="B3" sqref="B3"/>
    </sheetView>
  </sheetViews>
  <sheetFormatPr baseColWidth="8" defaultColWidth="12.63" defaultRowHeight="15.75" customHeight="1"/>
  <sheetData>
    <row r="1">
      <c r="A1" s="19" t="inlineStr">
        <is>
          <t>Player</t>
        </is>
      </c>
      <c r="B1" s="19" t="inlineStr">
        <is>
          <t>mu</t>
        </is>
      </c>
      <c r="C1" s="19" t="inlineStr">
        <is>
          <t>sigma</t>
        </is>
      </c>
    </row>
    <row r="2">
      <c r="A2" s="19" t="inlineStr">
        <is>
          <t>Machop</t>
        </is>
      </c>
      <c r="B2" s="19" t="n">
        <v>33.2591480651721</v>
      </c>
      <c r="C2" s="19" t="n">
        <v>6.75127719987352</v>
      </c>
    </row>
    <row r="3">
      <c r="A3" s="19" t="inlineStr">
        <is>
          <t>Noah</t>
        </is>
      </c>
      <c r="B3" s="19" t="n">
        <v>29.5451228350956</v>
      </c>
      <c r="C3" s="19" t="n">
        <v>6.80755922779894</v>
      </c>
    </row>
    <row r="4">
      <c r="A4" s="19" t="inlineStr">
        <is>
          <t>Carson</t>
        </is>
      </c>
      <c r="B4" s="19" t="n">
        <v>25.045919683418</v>
      </c>
      <c r="C4" s="19" t="n">
        <v>7.14134143105037</v>
      </c>
    </row>
    <row r="5">
      <c r="A5" s="19" t="inlineStr">
        <is>
          <t>Streety</t>
        </is>
      </c>
      <c r="B5" s="19" t="n">
        <v>24.6765999958666</v>
      </c>
      <c r="C5" s="19" t="n">
        <v>7.29799101301596</v>
      </c>
    </row>
    <row r="6">
      <c r="A6" s="19" t="inlineStr">
        <is>
          <t>Maz</t>
        </is>
      </c>
      <c r="B6" s="19" t="n">
        <v>31.7994802971253</v>
      </c>
      <c r="C6" s="19" t="n">
        <v>7.3351158215612</v>
      </c>
    </row>
    <row r="7">
      <c r="A7" s="19" t="inlineStr">
        <is>
          <t>Justice</t>
        </is>
      </c>
      <c r="B7" s="19" t="n">
        <v>21.873399027042</v>
      </c>
      <c r="C7" s="19" t="n">
        <v>7.35229391663014</v>
      </c>
    </row>
    <row r="8">
      <c r="A8" s="19" t="inlineStr">
        <is>
          <t>Kny</t>
        </is>
      </c>
      <c r="B8" s="19" t="n">
        <v>26.1131497474363</v>
      </c>
      <c r="C8" s="19" t="n">
        <v>7.35691587586964</v>
      </c>
    </row>
    <row r="9">
      <c r="A9" s="19" t="inlineStr">
        <is>
          <t>Rocker</t>
        </is>
      </c>
      <c r="B9" s="19" t="n">
        <v>21.1953494828166</v>
      </c>
      <c r="C9" s="19" t="n">
        <v>7.43478782528736</v>
      </c>
    </row>
    <row r="10">
      <c r="A10" s="19" t="inlineStr">
        <is>
          <t>Whyin</t>
        </is>
      </c>
      <c r="B10" s="19" t="n">
        <v>17.8905255560402</v>
      </c>
      <c r="C10" s="19" t="n">
        <v>7.43591036839882</v>
      </c>
    </row>
    <row r="11">
      <c r="A11" s="19" t="inlineStr">
        <is>
          <t>Kwix</t>
        </is>
      </c>
      <c r="B11" s="19" t="n">
        <v>25.378319467913</v>
      </c>
      <c r="C11" s="19" t="n">
        <v>7.53219210413708</v>
      </c>
    </row>
    <row r="12">
      <c r="A12" s="19" t="inlineStr">
        <is>
          <t>Keegan</t>
        </is>
      </c>
      <c r="B12" s="19" t="n">
        <v>28.3311624184475</v>
      </c>
      <c r="C12" s="19" t="n">
        <v>7.53521680863249</v>
      </c>
    </row>
    <row r="13">
      <c r="A13" s="19" t="inlineStr">
        <is>
          <t>Siggywiggy</t>
        </is>
      </c>
      <c r="B13" s="19" t="n">
        <v>21.1693892568051</v>
      </c>
      <c r="C13" s="19" t="n">
        <v>7.65595109272594</v>
      </c>
    </row>
    <row r="14">
      <c r="A14" s="19" t="inlineStr">
        <is>
          <t>Chester</t>
        </is>
      </c>
      <c r="B14" s="19" t="n">
        <v>20.6393499387985</v>
      </c>
      <c r="C14" s="19" t="n">
        <v>7.67677027594225</v>
      </c>
    </row>
    <row r="15">
      <c r="A15" s="19" t="inlineStr">
        <is>
          <t>Torharo</t>
        </is>
      </c>
      <c r="B15" s="19" t="n">
        <v>25.5225114840145</v>
      </c>
      <c r="C15" s="19" t="n">
        <v>7.68996982397346</v>
      </c>
    </row>
    <row r="16">
      <c r="A16" s="19" t="inlineStr">
        <is>
          <t>Boobles</t>
        </is>
      </c>
      <c r="B16" s="19" t="n">
        <v>31.7342900186505</v>
      </c>
      <c r="C16" s="19" t="n">
        <v>7.71298711575653</v>
      </c>
    </row>
    <row r="17">
      <c r="A17" s="19" t="inlineStr">
        <is>
          <t>Happymeal</t>
        </is>
      </c>
      <c r="B17" s="19" t="n">
        <v>24.0362105211305</v>
      </c>
      <c r="C17" s="19" t="n">
        <v>7.72567777197567</v>
      </c>
    </row>
    <row r="18">
      <c r="A18" s="19" t="inlineStr">
        <is>
          <t>Josh</t>
        </is>
      </c>
      <c r="B18" s="19" t="n">
        <v>24.4470934394547</v>
      </c>
      <c r="C18" s="19" t="n">
        <v>7.79106656331631</v>
      </c>
    </row>
    <row r="19">
      <c r="A19" s="19" t="inlineStr">
        <is>
          <t>Heck</t>
        </is>
      </c>
      <c r="B19" s="19" t="n">
        <v>21.0994030767743</v>
      </c>
      <c r="C19" s="19" t="n">
        <v>7.87192435073585</v>
      </c>
    </row>
    <row r="20">
      <c r="A20" s="19" t="inlineStr">
        <is>
          <t>Xcync</t>
        </is>
      </c>
      <c r="B20" s="19" t="n">
        <v>27.8711240448787</v>
      </c>
      <c r="C20" s="19" t="n">
        <v>7.93180110435482</v>
      </c>
    </row>
    <row r="21">
      <c r="A21" s="19" t="inlineStr">
        <is>
          <t>5up</t>
        </is>
      </c>
      <c r="B21" s="19" t="n">
        <v>24.8028212171345</v>
      </c>
      <c r="C21" s="19" t="n">
        <v>7.93837677621357</v>
      </c>
    </row>
    <row r="22">
      <c r="A22" s="19" t="inlineStr">
        <is>
          <t>Hydro</t>
        </is>
      </c>
      <c r="B22" s="19" t="n">
        <v>27.0500586559952</v>
      </c>
      <c r="C22" s="19" t="n">
        <v>7.93908577057087</v>
      </c>
    </row>
    <row r="23">
      <c r="A23" s="19" t="inlineStr">
        <is>
          <t>Chipper</t>
        </is>
      </c>
      <c r="B23" s="19" t="n">
        <v>27.2395386133759</v>
      </c>
      <c r="C23" s="19" t="n">
        <v>7.95739746323219</v>
      </c>
    </row>
    <row r="24">
      <c r="A24" s="19" t="inlineStr">
        <is>
          <t>Plen</t>
        </is>
      </c>
      <c r="B24" s="19" t="n">
        <v>25.2976813554043</v>
      </c>
      <c r="C24" s="19" t="n">
        <v>7.95899155233292</v>
      </c>
    </row>
    <row r="25">
      <c r="A25" s="19" t="inlineStr">
        <is>
          <t>Trump</t>
        </is>
      </c>
      <c r="B25" s="19" t="n">
        <v>23.0323077285868</v>
      </c>
      <c r="C25" s="19" t="n">
        <v>7.95902509748532</v>
      </c>
    </row>
    <row r="26">
      <c r="A26" s="19" t="inlineStr">
        <is>
          <t>Svaan</t>
        </is>
      </c>
      <c r="B26" s="19" t="n">
        <v>23.2707512079236</v>
      </c>
      <c r="C26" s="19" t="n">
        <v>7.97744307134669</v>
      </c>
    </row>
    <row r="27">
      <c r="A27" s="19" t="inlineStr">
        <is>
          <t>QE</t>
        </is>
      </c>
      <c r="B27" s="19" t="n">
        <v>23.4683836967978</v>
      </c>
      <c r="C27" s="19" t="n">
        <v>7.98817823988571</v>
      </c>
    </row>
    <row r="28">
      <c r="A28" s="19" t="inlineStr">
        <is>
          <t>Rick</t>
        </is>
      </c>
      <c r="B28" s="19" t="n">
        <v>29.7628492587963</v>
      </c>
      <c r="C28" s="19" t="n">
        <v>7.99217472213321</v>
      </c>
    </row>
    <row r="29">
      <c r="A29" s="19" t="inlineStr">
        <is>
          <t>Lombax</t>
        </is>
      </c>
      <c r="B29" s="19" t="n">
        <v>25.898828859453</v>
      </c>
      <c r="C29" s="19" t="n">
        <v>7.99666816377496</v>
      </c>
    </row>
    <row r="30">
      <c r="A30" s="19" t="inlineStr">
        <is>
          <t>Pinkee</t>
        </is>
      </c>
      <c r="B30" s="19" t="n">
        <v>26.0847533256407</v>
      </c>
      <c r="C30" s="19" t="n">
        <v>8.00103173891463</v>
      </c>
    </row>
    <row r="31">
      <c r="A31" s="19" t="inlineStr">
        <is>
          <t>Motr</t>
        </is>
      </c>
      <c r="B31" s="19" t="n">
        <v>27.43453807727</v>
      </c>
      <c r="C31" s="19" t="n">
        <v>8.00565335228851</v>
      </c>
    </row>
    <row r="32">
      <c r="A32" s="19" t="inlineStr">
        <is>
          <t>Lou</t>
        </is>
      </c>
      <c r="B32" s="19" t="n">
        <v>26.6345009490693</v>
      </c>
      <c r="C32" s="19" t="n">
        <v>8.018216222764581</v>
      </c>
    </row>
    <row r="33">
      <c r="A33" s="19" t="inlineStr">
        <is>
          <t>Brownkow</t>
        </is>
      </c>
      <c r="B33" s="19" t="n">
        <v>24.6265836185249</v>
      </c>
      <c r="C33" s="19" t="n">
        <v>8.02090037116575</v>
      </c>
    </row>
    <row r="34">
      <c r="A34" s="19" t="inlineStr">
        <is>
          <t>Nick</t>
        </is>
      </c>
      <c r="B34" s="19" t="n">
        <v>27.2184339079529</v>
      </c>
      <c r="C34" s="19" t="n">
        <v>8.02897441566366</v>
      </c>
    </row>
    <row r="35">
      <c r="A35" s="19" t="inlineStr">
        <is>
          <t>Creatchee</t>
        </is>
      </c>
      <c r="B35" s="19" t="n">
        <v>22.811316743402</v>
      </c>
      <c r="C35" s="19" t="n">
        <v>8.040088950347601</v>
      </c>
    </row>
    <row r="36">
      <c r="A36" s="19" t="inlineStr">
        <is>
          <t>Zesta</t>
        </is>
      </c>
      <c r="B36" s="19" t="n">
        <v>22.2364585380318</v>
      </c>
      <c r="C36" s="19" t="n">
        <v>8.048504562927119</v>
      </c>
    </row>
    <row r="37">
      <c r="A37" s="19" t="inlineStr">
        <is>
          <t>CJ</t>
        </is>
      </c>
      <c r="B37" s="19" t="n">
        <v>25.5227987577801</v>
      </c>
      <c r="C37" s="19" t="n">
        <v>8.05215446233769</v>
      </c>
    </row>
    <row r="38">
      <c r="A38" s="19" t="inlineStr">
        <is>
          <t>Badpants</t>
        </is>
      </c>
      <c r="B38" s="19" t="n">
        <v>28.2213839164266</v>
      </c>
      <c r="C38" s="19" t="n">
        <v>8.056949273225319</v>
      </c>
    </row>
    <row r="39">
      <c r="A39" s="19" t="inlineStr">
        <is>
          <t>Mintt</t>
        </is>
      </c>
      <c r="B39" s="19" t="n">
        <v>28.6166904462834</v>
      </c>
      <c r="C39" s="19" t="n">
        <v>8.0578384599425</v>
      </c>
    </row>
    <row r="40">
      <c r="A40" s="19" t="inlineStr">
        <is>
          <t>Dani</t>
        </is>
      </c>
      <c r="B40" s="19" t="n">
        <v>24.9342272487845</v>
      </c>
      <c r="C40" s="19" t="n">
        <v>8.06382831415451</v>
      </c>
    </row>
    <row r="41">
      <c r="A41" s="19" t="inlineStr">
        <is>
          <t>Elmo</t>
        </is>
      </c>
      <c r="B41" s="19" t="n">
        <v>23.1520543217306</v>
      </c>
      <c r="C41" s="19" t="n">
        <v>8.09305120563743</v>
      </c>
    </row>
    <row r="42">
      <c r="A42" s="19" t="inlineStr">
        <is>
          <t>Steep</t>
        </is>
      </c>
      <c r="B42" s="19" t="n">
        <v>25.1132196253933</v>
      </c>
      <c r="C42" s="19" t="n">
        <v>8.09523865736746</v>
      </c>
    </row>
    <row r="43">
      <c r="A43" s="19" t="inlineStr">
        <is>
          <t>AsianSam</t>
        </is>
      </c>
      <c r="B43" s="19" t="n">
        <v>25.0586980276999</v>
      </c>
      <c r="C43" s="19" t="n">
        <v>8.11241241710975</v>
      </c>
    </row>
    <row r="44">
      <c r="A44" s="19" t="inlineStr">
        <is>
          <t>SamStockton</t>
        </is>
      </c>
      <c r="B44" s="19" t="n">
        <v>25.7098367861021</v>
      </c>
      <c r="C44" s="19" t="n">
        <v>8.1158403711053</v>
      </c>
    </row>
    <row r="45">
      <c r="A45" s="19" t="inlineStr">
        <is>
          <t>Vandy</t>
        </is>
      </c>
      <c r="B45" s="19" t="n">
        <v>24.6174654745324</v>
      </c>
      <c r="C45" s="19" t="n">
        <v>8.1215918362939</v>
      </c>
    </row>
    <row r="46">
      <c r="A46" s="19" t="inlineStr">
        <is>
          <t>Lovekilling</t>
        </is>
      </c>
      <c r="B46" s="19" t="n">
        <v>22.0264852429471</v>
      </c>
      <c r="C46" s="19" t="n">
        <v>8.129082681654561</v>
      </c>
    </row>
    <row r="47">
      <c r="A47" s="19" t="inlineStr">
        <is>
          <t>Coffee</t>
        </is>
      </c>
      <c r="B47" s="19" t="n">
        <v>23.9937129720053</v>
      </c>
      <c r="C47" s="19" t="n">
        <v>8.131502214498839</v>
      </c>
    </row>
    <row r="48">
      <c r="A48" s="19" t="inlineStr">
        <is>
          <t>Antfrost</t>
        </is>
      </c>
      <c r="B48" s="19" t="n">
        <v>26.4982435046272</v>
      </c>
      <c r="C48" s="19" t="n">
        <v>8.143995670503131</v>
      </c>
    </row>
    <row r="49">
      <c r="A49" s="19" t="inlineStr">
        <is>
          <t>Demon</t>
        </is>
      </c>
      <c r="B49" s="19" t="n">
        <v>23.7919543264064</v>
      </c>
      <c r="C49" s="19" t="n">
        <v>8.14653226540292</v>
      </c>
    </row>
    <row r="50">
      <c r="A50" s="19" t="inlineStr">
        <is>
          <t>Laura</t>
        </is>
      </c>
      <c r="B50" s="19" t="n">
        <v>24.2265963570902</v>
      </c>
      <c r="C50" s="19" t="n">
        <v>8.150599856865149</v>
      </c>
    </row>
    <row r="51">
      <c r="A51" s="19" t="inlineStr">
        <is>
          <t>23flash</t>
        </is>
      </c>
      <c r="B51" s="19" t="n">
        <v>24.8355267511968</v>
      </c>
      <c r="C51" s="19" t="n">
        <v>8.159002599211661</v>
      </c>
    </row>
    <row r="52">
      <c r="A52" s="19" t="inlineStr">
        <is>
          <t>Rollo</t>
        </is>
      </c>
      <c r="B52" s="19" t="n">
        <v>24.443990363208</v>
      </c>
      <c r="C52" s="19" t="n">
        <v>8.15946469740503</v>
      </c>
    </row>
    <row r="53">
      <c r="A53" s="19" t="inlineStr">
        <is>
          <t>Aipha</t>
        </is>
      </c>
      <c r="B53" s="19" t="n">
        <v>28.2064373795293</v>
      </c>
      <c r="C53" s="19" t="n">
        <v>8.1639172975453</v>
      </c>
    </row>
    <row r="54">
      <c r="A54" s="19" t="inlineStr">
        <is>
          <t>Jojo</t>
        </is>
      </c>
      <c r="B54" s="19" t="n">
        <v>24.5473224721747</v>
      </c>
      <c r="C54" s="19" t="n">
        <v>8.184060158926879</v>
      </c>
    </row>
    <row r="55">
      <c r="A55" s="19" t="inlineStr">
        <is>
          <t>Hunter</t>
        </is>
      </c>
      <c r="B55" s="19" t="n">
        <v>25.386163640866</v>
      </c>
      <c r="C55" s="19" t="n">
        <v>8.20049424369652</v>
      </c>
    </row>
    <row r="56">
      <c r="A56" s="19" t="inlineStr">
        <is>
          <t>Kowa</t>
        </is>
      </c>
      <c r="B56" s="19" t="n">
        <v>24.9410270604049</v>
      </c>
      <c r="C56" s="19" t="n">
        <v>8.20067840434621</v>
      </c>
    </row>
    <row r="57">
      <c r="A57" s="19" t="inlineStr">
        <is>
          <t>Zangetsu</t>
        </is>
      </c>
      <c r="B57" s="19" t="n">
        <v>25.7684729111102</v>
      </c>
      <c r="C57" s="19" t="n">
        <v>8.20484878416965</v>
      </c>
    </row>
    <row r="58">
      <c r="A58" s="19" t="inlineStr">
        <is>
          <t>Morty</t>
        </is>
      </c>
      <c r="B58" s="19" t="n">
        <v>25.3965849169019</v>
      </c>
      <c r="C58" s="19" t="n">
        <v>8.20602047639726</v>
      </c>
    </row>
    <row r="59">
      <c r="A59" s="19" t="inlineStr">
        <is>
          <t>Levi</t>
        </is>
      </c>
      <c r="B59" s="19" t="n">
        <v>25.3700648959569</v>
      </c>
      <c r="C59" s="19" t="n">
        <v>8.20798748480845</v>
      </c>
    </row>
    <row r="60">
      <c r="A60" s="19" t="inlineStr">
        <is>
          <t>Striker</t>
        </is>
      </c>
      <c r="B60" s="19" t="n">
        <v>25.9532870138891</v>
      </c>
      <c r="C60" s="19" t="n">
        <v>8.20813980679956</v>
      </c>
    </row>
    <row r="61">
      <c r="A61" s="19" t="inlineStr">
        <is>
          <t>Ragsy</t>
        </is>
      </c>
      <c r="B61" s="19" t="n">
        <v>23.20200997749</v>
      </c>
      <c r="C61" s="19" t="n">
        <v>8.208462965103459</v>
      </c>
    </row>
    <row r="62">
      <c r="A62" s="19" t="inlineStr">
        <is>
          <t>Putinwalk</t>
        </is>
      </c>
      <c r="B62" s="19" t="n">
        <v>24.6243123545318</v>
      </c>
      <c r="C62" s="19" t="n">
        <v>8.20850475291509</v>
      </c>
    </row>
    <row r="63">
      <c r="A63" s="19" t="inlineStr">
        <is>
          <t>Pope</t>
        </is>
      </c>
      <c r="B63" s="19" t="n">
        <v>23.0014484005936</v>
      </c>
      <c r="C63" s="19" t="n">
        <v>8.212333695661901</v>
      </c>
    </row>
    <row r="64">
      <c r="A64" s="19" t="inlineStr">
        <is>
          <t>Sam</t>
        </is>
      </c>
      <c r="B64" s="19" t="n">
        <v>22.8838431370623</v>
      </c>
      <c r="C64" s="19" t="n">
        <v>8.21234819586736</v>
      </c>
    </row>
    <row r="65">
      <c r="A65" s="19" t="inlineStr">
        <is>
          <t>Shane</t>
        </is>
      </c>
      <c r="B65" s="19" t="n">
        <v>25.5085921430037</v>
      </c>
      <c r="C65" s="19" t="n">
        <v>8.21378946285855</v>
      </c>
    </row>
    <row r="66">
      <c r="A66" s="19" t="inlineStr">
        <is>
          <t>Iln</t>
        </is>
      </c>
      <c r="B66" s="19" t="n">
        <v>24.4668043690512</v>
      </c>
      <c r="C66" s="19" t="n">
        <v>8.214889071592779</v>
      </c>
    </row>
    <row r="67">
      <c r="A67" s="19" t="inlineStr">
        <is>
          <t>Chey</t>
        </is>
      </c>
      <c r="B67" s="19" t="n">
        <v>23.0790416665462</v>
      </c>
      <c r="C67" s="19" t="n">
        <v>8.21753949017795</v>
      </c>
    </row>
    <row r="68">
      <c r="A68" s="19" t="inlineStr">
        <is>
          <t>Ghostie</t>
        </is>
      </c>
      <c r="B68" s="19" t="n">
        <v>23.2638908947307</v>
      </c>
      <c r="C68" s="19" t="n">
        <v>8.222912273176229</v>
      </c>
    </row>
    <row r="69">
      <c r="A69" s="19" t="inlineStr">
        <is>
          <t>Aro</t>
        </is>
      </c>
      <c r="B69" s="19" t="n">
        <v>24.8683777203849</v>
      </c>
      <c r="C69" s="19" t="n">
        <v>8.227913514623591</v>
      </c>
    </row>
    <row r="70">
      <c r="A70" s="19" t="inlineStr">
        <is>
          <t>Jared</t>
        </is>
      </c>
      <c r="B70" s="19" t="n">
        <v>24.6410478378712</v>
      </c>
      <c r="C70" s="19" t="n">
        <v>8.22881272441027</v>
      </c>
    </row>
    <row r="71">
      <c r="A71" s="19" t="inlineStr">
        <is>
          <t>Raf</t>
        </is>
      </c>
      <c r="B71" s="19" t="n">
        <v>23.5284450506069</v>
      </c>
      <c r="C71" s="19" t="n">
        <v>8.23205503181612</v>
      </c>
    </row>
    <row r="72">
      <c r="A72" s="19" t="inlineStr">
        <is>
          <t>Guy</t>
        </is>
      </c>
      <c r="B72" s="19" t="n">
        <v>23.5284450506069</v>
      </c>
      <c r="C72" s="19" t="n">
        <v>8.23205503181612</v>
      </c>
    </row>
    <row r="73">
      <c r="A73" s="19" t="inlineStr">
        <is>
          <t>Augi</t>
        </is>
      </c>
      <c r="B73" s="19" t="n">
        <v>23.5972000519387</v>
      </c>
      <c r="C73" s="19" t="n">
        <v>8.24154499475442</v>
      </c>
    </row>
    <row r="74">
      <c r="A74" s="19" t="inlineStr">
        <is>
          <t>Crispy</t>
        </is>
      </c>
      <c r="B74" s="19" t="n">
        <v>26.6345285373171</v>
      </c>
      <c r="C74" s="19" t="n">
        <v>8.25684055699613</v>
      </c>
    </row>
    <row r="75">
      <c r="A75" s="19" t="inlineStr">
        <is>
          <t>Jonas</t>
        </is>
      </c>
      <c r="B75" s="19" t="n">
        <v>26.6345285373171</v>
      </c>
      <c r="C75" s="19" t="n">
        <v>8.25684055699613</v>
      </c>
    </row>
    <row r="76">
      <c r="A76" s="19" t="inlineStr">
        <is>
          <t>Paradox</t>
        </is>
      </c>
      <c r="B76" s="19" t="n">
        <v>23.3654714626828</v>
      </c>
      <c r="C76" s="19" t="n">
        <v>8.25684055699613</v>
      </c>
    </row>
    <row r="77">
      <c r="A77" s="19" t="inlineStr">
        <is>
          <t>Kdak</t>
        </is>
      </c>
      <c r="B77" s="19" t="n">
        <v>26.6707648020824</v>
      </c>
      <c r="C77" s="19" t="n">
        <v>8.25908212423937</v>
      </c>
    </row>
    <row r="78">
      <c r="A78" s="19" t="inlineStr">
        <is>
          <t>Wiggles</t>
        </is>
      </c>
      <c r="B78" s="19" t="n">
        <v>23.5349566559027</v>
      </c>
      <c r="C78" s="19" t="n">
        <v>8.26044951369215</v>
      </c>
    </row>
    <row r="79">
      <c r="A79" s="19" t="inlineStr">
        <is>
          <t>Schmittball</t>
        </is>
      </c>
      <c r="B79" s="19" t="n">
        <v>26.6698332150654</v>
      </c>
      <c r="C79" s="19" t="n">
        <v>8.2640777685933</v>
      </c>
    </row>
    <row r="80">
      <c r="A80" s="19" t="inlineStr">
        <is>
          <t>Danny</t>
        </is>
      </c>
      <c r="B80" s="19" t="n">
        <v>23.6908797854337</v>
      </c>
      <c r="C80" s="19" t="n">
        <v>8.26686631865523</v>
      </c>
    </row>
    <row r="81">
      <c r="A81" s="19" t="inlineStr">
        <is>
          <t>DoubleA</t>
        </is>
      </c>
      <c r="B81" s="19" t="n">
        <v>23.8287444932087</v>
      </c>
      <c r="C81" s="19" t="n">
        <v>8.268175229683351</v>
      </c>
    </row>
    <row r="82">
      <c r="A82" s="19" t="inlineStr">
        <is>
          <t>Ramza</t>
        </is>
      </c>
      <c r="B82" s="19" t="n">
        <v>23.8859151247291</v>
      </c>
      <c r="C82" s="19" t="n">
        <v>8.26957431294632</v>
      </c>
    </row>
    <row r="83">
      <c r="A83" s="19" t="inlineStr">
        <is>
          <t>Jan</t>
        </is>
      </c>
      <c r="B83" s="19" t="n">
        <v>26.1140848752708</v>
      </c>
      <c r="C83" s="19" t="n">
        <v>8.26957431294632</v>
      </c>
    </row>
    <row r="84">
      <c r="A84" s="19" t="inlineStr">
        <is>
          <t>Jerm</t>
        </is>
      </c>
      <c r="B84" s="19" t="n">
        <v>23.7656835270147</v>
      </c>
      <c r="C84" s="19" t="n">
        <v>8.27220733811831</v>
      </c>
    </row>
    <row r="85">
      <c r="A85" s="19" t="inlineStr">
        <is>
          <t>Lovely</t>
        </is>
      </c>
      <c r="B85" s="19" t="n">
        <v>24.1018600875478</v>
      </c>
      <c r="C85" s="19" t="n">
        <v>8.27458824589004</v>
      </c>
    </row>
    <row r="86">
      <c r="A86" s="19" t="inlineStr">
        <is>
          <t>Robin</t>
        </is>
      </c>
      <c r="B86" s="19" t="n">
        <v>24.1200046084135</v>
      </c>
      <c r="C86" s="19" t="n">
        <v>8.27746950025621</v>
      </c>
    </row>
    <row r="87">
      <c r="A87" s="19" t="inlineStr">
        <is>
          <t>Kaelten</t>
        </is>
      </c>
      <c r="B87" s="19" t="n">
        <v>25.8489267745966</v>
      </c>
      <c r="C87" s="19" t="n">
        <v>8.279109643888139</v>
      </c>
    </row>
    <row r="88">
      <c r="A88" s="19" t="inlineStr">
        <is>
          <t>Tulsa</t>
        </is>
      </c>
      <c r="B88" s="19" t="n">
        <v>25.7741092017007</v>
      </c>
      <c r="C88" s="19" t="n">
        <v>8.281690204646891</v>
      </c>
    </row>
    <row r="89">
      <c r="A89" s="19" t="inlineStr">
        <is>
          <t>Sam A</t>
        </is>
      </c>
      <c r="B89" s="19" t="n">
        <v>24.2766790923824</v>
      </c>
      <c r="C89" s="19" t="n">
        <v>8.2823111313004</v>
      </c>
    </row>
    <row r="90">
      <c r="A90" s="19" t="inlineStr">
        <is>
          <t>Emo</t>
        </is>
      </c>
      <c r="B90" s="19" t="n">
        <v>24.3928200493331</v>
      </c>
      <c r="C90" s="19" t="n">
        <v>8.28651393063344</v>
      </c>
    </row>
    <row r="91">
      <c r="A91" s="19" t="inlineStr">
        <is>
          <t>Tambo</t>
        </is>
      </c>
      <c r="B91" s="19" t="n">
        <v>24.2894039611772</v>
      </c>
      <c r="C91" s="19" t="n">
        <v>8.287159797257109</v>
      </c>
    </row>
    <row r="92">
      <c r="A92" s="19" t="inlineStr">
        <is>
          <t>Daniel</t>
        </is>
      </c>
      <c r="B92" s="19" t="n">
        <v>24.4079560326138</v>
      </c>
      <c r="C92" s="19" t="n">
        <v>8.28716972953263</v>
      </c>
    </row>
    <row r="93">
      <c r="A93" s="19" t="inlineStr">
        <is>
          <t>Yuzu</t>
        </is>
      </c>
      <c r="B93" s="19" t="n">
        <v>24.4079560326138</v>
      </c>
      <c r="C93" s="19" t="n">
        <v>8.28716972953263</v>
      </c>
    </row>
    <row r="94">
      <c r="A94" s="19" t="inlineStr">
        <is>
          <t>Drim</t>
        </is>
      </c>
      <c r="B94" s="19" t="n">
        <v>24.4079560326138</v>
      </c>
      <c r="C94" s="19" t="n">
        <v>8.28716972953263</v>
      </c>
    </row>
    <row r="95">
      <c r="A95" s="19" t="inlineStr">
        <is>
          <t>Younguns</t>
        </is>
      </c>
      <c r="B95" s="19" t="n">
        <v>24.4176315532745</v>
      </c>
      <c r="C95" s="19" t="n">
        <v>8.288468014224151</v>
      </c>
    </row>
    <row r="96">
      <c r="A96" s="19" t="inlineStr">
        <is>
          <t>Brady</t>
        </is>
      </c>
      <c r="B96" s="19" t="n">
        <v>24.4364104780276</v>
      </c>
      <c r="C96" s="19" t="n">
        <v>8.29143274407048</v>
      </c>
    </row>
    <row r="97">
      <c r="A97" s="19" t="inlineStr">
        <is>
          <t>Duke</t>
        </is>
      </c>
      <c r="B97" s="19" t="n">
        <v>24.4905426605551</v>
      </c>
      <c r="C97" s="19" t="n">
        <v>8.291470770287919</v>
      </c>
    </row>
    <row r="98">
      <c r="A98" s="19" t="inlineStr">
        <is>
          <t>Wyz</t>
        </is>
      </c>
      <c r="B98" s="19" t="n">
        <v>24.5575448364605</v>
      </c>
      <c r="C98" s="19" t="n">
        <v>8.29494047264077</v>
      </c>
    </row>
    <row r="99">
      <c r="A99" s="19" t="n"/>
      <c r="B99" s="19" t="n"/>
      <c r="C99" s="19" t="n"/>
    </row>
    <row r="100">
      <c r="A100" s="19" t="n"/>
      <c r="B100" s="19" t="n"/>
      <c r="C100" s="19" t="n"/>
    </row>
    <row r="101">
      <c r="A101" s="19" t="n"/>
      <c r="B101" s="19" t="n"/>
      <c r="C101" s="19" t="n"/>
    </row>
    <row r="102">
      <c r="A102" s="19" t="n"/>
      <c r="B102" s="19" t="n"/>
      <c r="C102" s="19" t="n"/>
    </row>
    <row r="103">
      <c r="A103" s="19" t="n"/>
      <c r="B103" s="19" t="n"/>
      <c r="C103" s="19" t="n"/>
    </row>
    <row r="104">
      <c r="A104" s="19" t="n"/>
      <c r="B104" s="19" t="n"/>
      <c r="C104" s="19" t="n"/>
    </row>
    <row r="105">
      <c r="A105" s="19" t="n"/>
      <c r="B105" s="19" t="n"/>
      <c r="C105" s="19"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K1622"/>
  <sheetViews>
    <sheetView workbookViewId="0">
      <pane ySplit="1" topLeftCell="A2" activePane="bottomLeft" state="frozen"/>
      <selection pane="bottomLeft" activeCell="B3" sqref="B3"/>
    </sheetView>
  </sheetViews>
  <sheetFormatPr baseColWidth="8" defaultColWidth="12.63" defaultRowHeight="15.75" customHeight="1"/>
  <sheetData>
    <row r="1">
      <c r="A1" s="19" t="inlineStr">
        <is>
          <t>GameID</t>
        </is>
      </c>
      <c r="B1" s="19" t="inlineStr">
        <is>
          <t>Player</t>
        </is>
      </c>
      <c r="C1" s="19" t="inlineStr">
        <is>
          <t>Alignment</t>
        </is>
      </c>
      <c r="D1" s="19" t="inlineStr">
        <is>
          <t>Result</t>
        </is>
      </c>
      <c r="E1" s="19" t="inlineStr">
        <is>
          <t>RateChange</t>
        </is>
      </c>
      <c r="F1" s="19" t="inlineStr">
        <is>
          <t>old_mu</t>
        </is>
      </c>
      <c r="G1" s="19" t="inlineStr">
        <is>
          <t>new_mu</t>
        </is>
      </c>
      <c r="H1" s="19" t="inlineStr">
        <is>
          <t>new_sigma</t>
        </is>
      </c>
      <c r="I1" s="19" t="inlineStr">
        <is>
          <t>old_rating</t>
        </is>
      </c>
      <c r="J1" s="19" t="inlineStr">
        <is>
          <t>new_rating</t>
        </is>
      </c>
      <c r="K1" s="19" t="inlineStr">
        <is>
          <t>old_sigma</t>
        </is>
      </c>
    </row>
    <row r="2">
      <c r="A2" s="19" t="n">
        <v>45</v>
      </c>
      <c r="B2" s="19" t="inlineStr">
        <is>
          <t>Chester</t>
        </is>
      </c>
      <c r="C2" s="19" t="inlineStr">
        <is>
          <t>Mafia</t>
        </is>
      </c>
      <c r="D2" s="19" t="inlineStr">
        <is>
          <t>Loss</t>
        </is>
      </c>
      <c r="E2" s="19" t="n">
        <v>-71</v>
      </c>
      <c r="F2" s="19" t="n">
        <v>21.7515661136132</v>
      </c>
      <c r="G2" s="19" t="n">
        <v>20.6393499387985</v>
      </c>
      <c r="H2" s="19" t="n">
        <v>7.67677027594225</v>
      </c>
      <c r="I2" s="19" t="n">
        <v>691</v>
      </c>
      <c r="J2" s="19" t="n">
        <v>620</v>
      </c>
      <c r="K2" s="19" t="n">
        <v>7.73027378070993</v>
      </c>
    </row>
    <row r="3">
      <c r="A3" s="19" t="n">
        <v>45</v>
      </c>
      <c r="B3" s="19" t="inlineStr">
        <is>
          <t>Kowa</t>
        </is>
      </c>
      <c r="C3" s="19" t="inlineStr">
        <is>
          <t>Mafia</t>
        </is>
      </c>
      <c r="D3" s="19" t="inlineStr">
        <is>
          <t>Loss</t>
        </is>
      </c>
      <c r="E3" s="19" t="n">
        <v>-79</v>
      </c>
      <c r="F3" s="19" t="n">
        <v>26.2130677518111</v>
      </c>
      <c r="G3" s="19" t="n">
        <v>24.9410270604049</v>
      </c>
      <c r="H3" s="19" t="n">
        <v>8.20067840434621</v>
      </c>
      <c r="I3" s="19" t="n">
        <v>939</v>
      </c>
      <c r="J3" s="19" t="n">
        <v>860</v>
      </c>
      <c r="K3" s="19" t="n">
        <v>8.26783615591169</v>
      </c>
    </row>
    <row r="4">
      <c r="A4" s="19" t="n">
        <v>45</v>
      </c>
      <c r="B4" s="19" t="inlineStr">
        <is>
          <t>Putinwalk</t>
        </is>
      </c>
      <c r="C4" s="19" t="inlineStr">
        <is>
          <t>Mafia</t>
        </is>
      </c>
      <c r="D4" s="19" t="inlineStr">
        <is>
          <t>Loss</t>
        </is>
      </c>
      <c r="E4" s="19" t="n">
        <v>-80</v>
      </c>
      <c r="F4" s="19" t="n">
        <v>25.8988262265798</v>
      </c>
      <c r="G4" s="19" t="n">
        <v>24.6243123545318</v>
      </c>
      <c r="H4" s="19" t="n">
        <v>8.20850475291509</v>
      </c>
      <c r="I4" s="19" t="n">
        <v>917</v>
      </c>
      <c r="J4" s="19" t="n">
        <v>837</v>
      </c>
      <c r="K4" s="19" t="n">
        <v>8.275880245585389</v>
      </c>
    </row>
    <row r="5">
      <c r="A5" s="19" t="n">
        <v>45</v>
      </c>
      <c r="B5" s="19" t="inlineStr">
        <is>
          <t>Brownkow</t>
        </is>
      </c>
      <c r="C5" s="19" t="inlineStr">
        <is>
          <t>Town</t>
        </is>
      </c>
      <c r="D5" s="19" t="inlineStr">
        <is>
          <t>Win</t>
        </is>
      </c>
      <c r="E5" s="19" t="n">
        <v>89</v>
      </c>
      <c r="F5" s="19" t="n">
        <v>23.4106577249412</v>
      </c>
      <c r="G5" s="19" t="n">
        <v>24.6265836185249</v>
      </c>
      <c r="H5" s="19" t="n">
        <v>8.02090037116575</v>
      </c>
      <c r="I5" s="19" t="n">
        <v>767</v>
      </c>
      <c r="J5" s="19" t="n">
        <v>856</v>
      </c>
      <c r="K5" s="19" t="n">
        <v>8.083170106148931</v>
      </c>
    </row>
    <row r="6">
      <c r="A6" s="19" t="n">
        <v>45</v>
      </c>
      <c r="B6" s="19" t="inlineStr">
        <is>
          <t>Chipper</t>
        </is>
      </c>
      <c r="C6" s="19" t="inlineStr">
        <is>
          <t>Town</t>
        </is>
      </c>
      <c r="D6" s="19" t="inlineStr">
        <is>
          <t>Win</t>
        </is>
      </c>
      <c r="E6" s="19" t="n">
        <v>88</v>
      </c>
      <c r="F6" s="19" t="n">
        <v>26.0431158789108</v>
      </c>
      <c r="G6" s="19" t="n">
        <v>27.2395386133759</v>
      </c>
      <c r="H6" s="19" t="n">
        <v>7.95739746323219</v>
      </c>
      <c r="I6" s="19" t="n">
        <v>953</v>
      </c>
      <c r="J6" s="19" t="n">
        <v>1041</v>
      </c>
      <c r="K6" s="19" t="n">
        <v>8.017991978025639</v>
      </c>
    </row>
    <row r="7">
      <c r="A7" s="19" t="n">
        <v>45</v>
      </c>
      <c r="B7" s="19" t="inlineStr">
        <is>
          <t>Creatchee</t>
        </is>
      </c>
      <c r="C7" s="19" t="inlineStr">
        <is>
          <t>Town</t>
        </is>
      </c>
      <c r="D7" s="19" t="inlineStr">
        <is>
          <t>Win</t>
        </is>
      </c>
      <c r="E7" s="19" t="n">
        <v>89</v>
      </c>
      <c r="F7" s="19" t="n">
        <v>21.5894649694713</v>
      </c>
      <c r="G7" s="19" t="n">
        <v>22.811316743402</v>
      </c>
      <c r="H7" s="19" t="n">
        <v>8.040088950347601</v>
      </c>
      <c r="I7" s="19" t="n">
        <v>642</v>
      </c>
      <c r="J7" s="19" t="n">
        <v>731</v>
      </c>
      <c r="K7" s="19" t="n">
        <v>8.102870114235129</v>
      </c>
    </row>
    <row r="8">
      <c r="A8" s="19" t="n">
        <v>45</v>
      </c>
      <c r="B8" s="19" t="inlineStr">
        <is>
          <t>Kwix</t>
        </is>
      </c>
      <c r="C8" s="19" t="inlineStr">
        <is>
          <t>Town</t>
        </is>
      </c>
      <c r="D8" s="19" t="inlineStr">
        <is>
          <t>Win</t>
        </is>
      </c>
      <c r="E8" s="19" t="n">
        <v>77</v>
      </c>
      <c r="F8" s="19" t="n">
        <v>24.3082308313111</v>
      </c>
      <c r="G8" s="19" t="n">
        <v>25.378319467913</v>
      </c>
      <c r="H8" s="19" t="n">
        <v>7.53219210413708</v>
      </c>
      <c r="I8" s="19" t="n">
        <v>880</v>
      </c>
      <c r="J8" s="19" t="n">
        <v>957</v>
      </c>
      <c r="K8" s="19" t="n">
        <v>7.58223556017743</v>
      </c>
    </row>
    <row r="9">
      <c r="A9" s="19" t="n">
        <v>45</v>
      </c>
      <c r="B9" s="19" t="inlineStr">
        <is>
          <t>Machop</t>
        </is>
      </c>
      <c r="C9" s="19" t="inlineStr">
        <is>
          <t>Town</t>
        </is>
      </c>
      <c r="D9" s="19" t="inlineStr">
        <is>
          <t>Win</t>
        </is>
      </c>
      <c r="E9" s="19" t="n">
        <v>62</v>
      </c>
      <c r="F9" s="19" t="n">
        <v>32.4019887245516</v>
      </c>
      <c r="G9" s="19" t="n">
        <v>33.2591480651721</v>
      </c>
      <c r="H9" s="19" t="n">
        <v>6.75127719987352</v>
      </c>
      <c r="I9" s="19" t="n">
        <v>1511</v>
      </c>
      <c r="J9" s="19" t="n">
        <v>1573</v>
      </c>
      <c r="K9" s="19" t="n">
        <v>6.78474790753551</v>
      </c>
    </row>
    <row r="10">
      <c r="A10" s="19" t="n">
        <v>45</v>
      </c>
      <c r="B10" s="19" t="inlineStr">
        <is>
          <t>Noah</t>
        </is>
      </c>
      <c r="C10" s="19" t="inlineStr">
        <is>
          <t>Town</t>
        </is>
      </c>
      <c r="D10" s="19" t="inlineStr">
        <is>
          <t>Win</t>
        </is>
      </c>
      <c r="E10" s="19" t="n">
        <v>63</v>
      </c>
      <c r="F10" s="19" t="n">
        <v>28.6734364896442</v>
      </c>
      <c r="G10" s="19" t="n">
        <v>29.5451228350956</v>
      </c>
      <c r="H10" s="19" t="n">
        <v>6.80755922779894</v>
      </c>
      <c r="I10" s="19" t="n">
        <v>1252</v>
      </c>
      <c r="J10" s="19" t="n">
        <v>1315</v>
      </c>
      <c r="K10" s="19" t="n">
        <v>6.8421112508222</v>
      </c>
    </row>
    <row r="11">
      <c r="A11" s="19" t="n">
        <v>45</v>
      </c>
      <c r="B11" s="19" t="inlineStr">
        <is>
          <t>Plen</t>
        </is>
      </c>
      <c r="C11" s="19" t="inlineStr">
        <is>
          <t>Town</t>
        </is>
      </c>
      <c r="D11" s="19" t="inlineStr">
        <is>
          <t>Win</t>
        </is>
      </c>
      <c r="E11" s="19" t="n">
        <v>87</v>
      </c>
      <c r="F11" s="19" t="n">
        <v>24.1007710692508</v>
      </c>
      <c r="G11" s="19" t="n">
        <v>25.2976813554043</v>
      </c>
      <c r="H11" s="19" t="n">
        <v>7.95899155233292</v>
      </c>
      <c r="I11" s="19" t="n">
        <v>821</v>
      </c>
      <c r="J11" s="19" t="n">
        <v>908</v>
      </c>
      <c r="K11" s="19" t="n">
        <v>8.0196277956894</v>
      </c>
    </row>
    <row r="12">
      <c r="A12" s="19" t="n">
        <v>45</v>
      </c>
      <c r="B12" s="19" t="inlineStr">
        <is>
          <t>Rocker</t>
        </is>
      </c>
      <c r="C12" s="19" t="inlineStr">
        <is>
          <t>Town</t>
        </is>
      </c>
      <c r="D12" s="19" t="inlineStr">
        <is>
          <t>Win</t>
        </is>
      </c>
      <c r="E12" s="19" t="n">
        <v>76</v>
      </c>
      <c r="F12" s="19" t="n">
        <v>20.1531634998542</v>
      </c>
      <c r="G12" s="19" t="n">
        <v>21.1953494828166</v>
      </c>
      <c r="H12" s="19" t="n">
        <v>7.43478782528736</v>
      </c>
      <c r="I12" s="19" t="n">
        <v>607</v>
      </c>
      <c r="J12" s="19" t="n">
        <v>683</v>
      </c>
      <c r="K12" s="19" t="n">
        <v>7.4825720775261</v>
      </c>
    </row>
    <row r="13">
      <c r="A13" s="19" t="n">
        <v>45</v>
      </c>
      <c r="B13" s="19" t="inlineStr">
        <is>
          <t>Streety</t>
        </is>
      </c>
      <c r="C13" s="19" t="inlineStr">
        <is>
          <t>Town</t>
        </is>
      </c>
      <c r="D13" s="19" t="inlineStr">
        <is>
          <t>Win</t>
        </is>
      </c>
      <c r="E13" s="19" t="n">
        <v>73</v>
      </c>
      <c r="F13" s="19" t="n">
        <v>23.6729517254993</v>
      </c>
      <c r="G13" s="19" t="n">
        <v>24.6765999958666</v>
      </c>
      <c r="H13" s="19" t="n">
        <v>7.29799101301596</v>
      </c>
      <c r="I13" s="19" t="n">
        <v>861</v>
      </c>
      <c r="J13" s="19" t="n">
        <v>934</v>
      </c>
      <c r="K13" s="19" t="n">
        <v>7.34269792655218</v>
      </c>
    </row>
    <row r="14">
      <c r="A14" s="19" t="n">
        <v>45</v>
      </c>
      <c r="B14" s="19" t="inlineStr">
        <is>
          <t>Xcync</t>
        </is>
      </c>
      <c r="C14" s="19" t="inlineStr">
        <is>
          <t>Town</t>
        </is>
      </c>
      <c r="D14" s="19" t="inlineStr">
        <is>
          <t>Win</t>
        </is>
      </c>
      <c r="E14" s="19" t="n">
        <v>87</v>
      </c>
      <c r="F14" s="19" t="n">
        <v>26.6825156540195</v>
      </c>
      <c r="G14" s="19" t="n">
        <v>27.8711240448787</v>
      </c>
      <c r="H14" s="19" t="n">
        <v>7.93180110435482</v>
      </c>
      <c r="I14" s="19" t="n">
        <v>999</v>
      </c>
      <c r="J14" s="19" t="n">
        <v>1086</v>
      </c>
      <c r="K14" s="19" t="n">
        <v>7.99172785443551</v>
      </c>
    </row>
    <row r="15">
      <c r="A15" s="19" t="n">
        <v>44</v>
      </c>
      <c r="B15" s="19" t="inlineStr">
        <is>
          <t>Chey</t>
        </is>
      </c>
      <c r="C15" s="19" t="inlineStr">
        <is>
          <t>Mafia</t>
        </is>
      </c>
      <c r="D15" s="19" t="inlineStr">
        <is>
          <t>Loss</t>
        </is>
      </c>
      <c r="E15" s="19" t="n">
        <v>-82</v>
      </c>
      <c r="F15" s="19" t="n">
        <v>24.3928200493331</v>
      </c>
      <c r="G15" s="19" t="n">
        <v>23.0790416665462</v>
      </c>
      <c r="H15" s="19" t="n">
        <v>8.21753949017795</v>
      </c>
      <c r="I15" s="19" t="n">
        <v>813</v>
      </c>
      <c r="J15" s="19" t="n">
        <v>731</v>
      </c>
      <c r="K15" s="19" t="n">
        <v>8.28651393063344</v>
      </c>
    </row>
    <row r="16">
      <c r="A16" s="19" t="n">
        <v>44</v>
      </c>
      <c r="B16" s="19" t="inlineStr">
        <is>
          <t>Vandy</t>
        </is>
      </c>
      <c r="C16" s="19" t="inlineStr">
        <is>
          <t>Mafia</t>
        </is>
      </c>
      <c r="D16" s="19" t="inlineStr">
        <is>
          <t>Loss</t>
        </is>
      </c>
      <c r="E16" s="19" t="n">
        <v>-80</v>
      </c>
      <c r="F16" s="19" t="n">
        <v>25.9001922270057</v>
      </c>
      <c r="G16" s="19" t="n">
        <v>24.6174654745324</v>
      </c>
      <c r="H16" s="19" t="n">
        <v>8.1215918362939</v>
      </c>
      <c r="I16" s="19" t="n">
        <v>926</v>
      </c>
      <c r="J16" s="19" t="n">
        <v>846</v>
      </c>
      <c r="K16" s="19" t="n">
        <v>8.187871068448089</v>
      </c>
    </row>
    <row r="17">
      <c r="A17" s="19" t="n">
        <v>44</v>
      </c>
      <c r="B17" s="19" t="inlineStr">
        <is>
          <t>Justice</t>
        </is>
      </c>
      <c r="C17" s="19" t="inlineStr">
        <is>
          <t>Mafia</t>
        </is>
      </c>
      <c r="D17" s="19" t="inlineStr">
        <is>
          <t>Loss</t>
        </is>
      </c>
      <c r="E17" s="19" t="n">
        <v>-67</v>
      </c>
      <c r="F17" s="19" t="n">
        <v>22.9212220453809</v>
      </c>
      <c r="G17" s="19" t="n">
        <v>21.873399027042</v>
      </c>
      <c r="H17" s="19" t="n">
        <v>7.35229391663014</v>
      </c>
      <c r="I17" s="19" t="n">
        <v>804</v>
      </c>
      <c r="J17" s="19" t="n">
        <v>737</v>
      </c>
      <c r="K17" s="19" t="n">
        <v>7.3991618113601</v>
      </c>
    </row>
    <row r="18">
      <c r="A18" s="19" t="n">
        <v>44</v>
      </c>
      <c r="B18" s="19" t="inlineStr">
        <is>
          <t>Whyin</t>
        </is>
      </c>
      <c r="C18" s="19" t="inlineStr">
        <is>
          <t>Town</t>
        </is>
      </c>
      <c r="D18" s="19" t="inlineStr">
        <is>
          <t>Win</t>
        </is>
      </c>
      <c r="E18" s="19" t="n">
        <v>78</v>
      </c>
      <c r="F18" s="19" t="n">
        <v>16.8183737345679</v>
      </c>
      <c r="G18" s="19" t="n">
        <v>17.8905255560402</v>
      </c>
      <c r="H18" s="19" t="n">
        <v>7.43591036839882</v>
      </c>
      <c r="I18" s="19" t="n">
        <v>380</v>
      </c>
      <c r="J18" s="19" t="n">
        <v>458</v>
      </c>
      <c r="K18" s="19" t="n">
        <v>7.48470695916721</v>
      </c>
    </row>
    <row r="19">
      <c r="A19" s="19" t="n">
        <v>44</v>
      </c>
      <c r="B19" s="19" t="inlineStr">
        <is>
          <t>Streety</t>
        </is>
      </c>
      <c r="C19" s="19" t="inlineStr">
        <is>
          <t>Town</t>
        </is>
      </c>
      <c r="D19" s="19" t="inlineStr">
        <is>
          <t>Win</t>
        </is>
      </c>
      <c r="E19" s="19" t="n">
        <v>76</v>
      </c>
      <c r="F19" s="19" t="n">
        <v>22.6279020779019</v>
      </c>
      <c r="G19" s="19" t="n">
        <v>23.6729517254993</v>
      </c>
      <c r="H19" s="19" t="n">
        <v>7.34269792655218</v>
      </c>
      <c r="I19" s="19" t="n">
        <v>785</v>
      </c>
      <c r="J19" s="19" t="n">
        <v>861</v>
      </c>
      <c r="K19" s="19" t="n">
        <v>7.38934717961802</v>
      </c>
    </row>
    <row r="20">
      <c r="A20" s="19" t="n">
        <v>44</v>
      </c>
      <c r="B20" s="19" t="inlineStr">
        <is>
          <t>Lou</t>
        </is>
      </c>
      <c r="C20" s="19" t="inlineStr">
        <is>
          <t>Town</t>
        </is>
      </c>
      <c r="D20" s="19" t="inlineStr">
        <is>
          <t>Win</t>
        </is>
      </c>
      <c r="E20" s="19" t="n">
        <v>91</v>
      </c>
      <c r="F20" s="19" t="n">
        <v>25.3847917965442</v>
      </c>
      <c r="G20" s="19" t="n">
        <v>26.6345009490693</v>
      </c>
      <c r="H20" s="19" t="n">
        <v>8.018216222764581</v>
      </c>
      <c r="I20" s="19" t="n">
        <v>902</v>
      </c>
      <c r="J20" s="19" t="n">
        <v>993</v>
      </c>
      <c r="K20" s="19" t="n">
        <v>8.08166217683325</v>
      </c>
    </row>
    <row r="21">
      <c r="A21" s="19" t="n">
        <v>44</v>
      </c>
      <c r="B21" s="19" t="inlineStr">
        <is>
          <t>Xcync</t>
        </is>
      </c>
      <c r="C21" s="19" t="inlineStr">
        <is>
          <t>Town</t>
        </is>
      </c>
      <c r="D21" s="19" t="inlineStr">
        <is>
          <t>Win</t>
        </is>
      </c>
      <c r="E21" s="19" t="n">
        <v>91</v>
      </c>
      <c r="F21" s="19" t="n">
        <v>25.4411937765042</v>
      </c>
      <c r="G21" s="19" t="n">
        <v>26.6825156540195</v>
      </c>
      <c r="H21" s="19" t="n">
        <v>7.99172785443551</v>
      </c>
      <c r="I21" s="19" t="n">
        <v>908</v>
      </c>
      <c r="J21" s="19" t="n">
        <v>999</v>
      </c>
      <c r="K21" s="19" t="n">
        <v>8.054459465479161</v>
      </c>
    </row>
    <row r="22">
      <c r="A22" s="19" t="n">
        <v>44</v>
      </c>
      <c r="B22" s="19" t="inlineStr">
        <is>
          <t>Nick</t>
        </is>
      </c>
      <c r="C22" s="19" t="inlineStr">
        <is>
          <t>Town</t>
        </is>
      </c>
      <c r="D22" s="19" t="inlineStr">
        <is>
          <t>Win</t>
        </is>
      </c>
      <c r="E22" s="19" t="n">
        <v>92</v>
      </c>
      <c r="F22" s="19" t="n">
        <v>25.9653097896841</v>
      </c>
      <c r="G22" s="19" t="n">
        <v>27.2184339079529</v>
      </c>
      <c r="H22" s="19" t="n">
        <v>8.02897441566366</v>
      </c>
      <c r="I22" s="19" t="n">
        <v>940</v>
      </c>
      <c r="J22" s="19" t="n">
        <v>1032</v>
      </c>
      <c r="K22" s="19" t="n">
        <v>8.09271184762142</v>
      </c>
    </row>
    <row r="23">
      <c r="A23" s="19" t="n">
        <v>44</v>
      </c>
      <c r="B23" s="19" t="inlineStr">
        <is>
          <t>Keegan</t>
        </is>
      </c>
      <c r="C23" s="19" t="inlineStr">
        <is>
          <t>Town</t>
        </is>
      </c>
      <c r="D23" s="19" t="inlineStr">
        <is>
          <t>Win</t>
        </is>
      </c>
      <c r="E23" s="19" t="n">
        <v>80</v>
      </c>
      <c r="F23" s="19" t="n">
        <v>27.2297373051868</v>
      </c>
      <c r="G23" s="19" t="n">
        <v>28.3311624184475</v>
      </c>
      <c r="H23" s="19" t="n">
        <v>7.53521680863249</v>
      </c>
      <c r="I23" s="19" t="n">
        <v>1078</v>
      </c>
      <c r="J23" s="19" t="n">
        <v>1158</v>
      </c>
      <c r="K23" s="19" t="n">
        <v>7.58635945523144</v>
      </c>
    </row>
    <row r="24">
      <c r="A24" s="19" t="n">
        <v>44</v>
      </c>
      <c r="B24" s="19" t="inlineStr">
        <is>
          <t>Siggywiggy</t>
        </is>
      </c>
      <c r="C24" s="19" t="inlineStr">
        <is>
          <t>Town</t>
        </is>
      </c>
      <c r="D24" s="19" t="inlineStr">
        <is>
          <t>Win</t>
        </is>
      </c>
      <c r="E24" s="19" t="n">
        <v>83</v>
      </c>
      <c r="F24" s="19" t="n">
        <v>20.0318181870176</v>
      </c>
      <c r="G24" s="19" t="n">
        <v>21.1693892568051</v>
      </c>
      <c r="H24" s="19" t="n">
        <v>7.65595109272594</v>
      </c>
      <c r="I24" s="19" t="n">
        <v>576</v>
      </c>
      <c r="J24" s="19" t="n">
        <v>659</v>
      </c>
      <c r="K24" s="19" t="n">
        <v>7.71002858330189</v>
      </c>
    </row>
    <row r="25">
      <c r="A25" s="19" t="n">
        <v>44</v>
      </c>
      <c r="B25" s="19" t="inlineStr">
        <is>
          <t>Noah</t>
        </is>
      </c>
      <c r="C25" s="19" t="inlineStr">
        <is>
          <t>Town</t>
        </is>
      </c>
      <c r="D25" s="19" t="inlineStr">
        <is>
          <t>Win</t>
        </is>
      </c>
      <c r="E25" s="19" t="n">
        <v>65</v>
      </c>
      <c r="F25" s="19" t="n">
        <v>27.7677629528633</v>
      </c>
      <c r="G25" s="19" t="n">
        <v>28.6734364896442</v>
      </c>
      <c r="H25" s="19" t="n">
        <v>6.8421112508222</v>
      </c>
      <c r="I25" s="19" t="n">
        <v>1187</v>
      </c>
      <c r="J25" s="19" t="n">
        <v>1252</v>
      </c>
      <c r="K25" s="19" t="n">
        <v>6.87809803151705</v>
      </c>
    </row>
    <row r="26">
      <c r="A26" s="19" t="n">
        <v>44</v>
      </c>
      <c r="B26" s="19" t="inlineStr">
        <is>
          <t>Pinkee</t>
        </is>
      </c>
      <c r="C26" s="19" t="inlineStr">
        <is>
          <t>Town</t>
        </is>
      </c>
      <c r="D26" s="19" t="inlineStr">
        <is>
          <t>Win</t>
        </is>
      </c>
      <c r="E26" s="19" t="n">
        <v>91</v>
      </c>
      <c r="F26" s="19" t="n">
        <v>24.8404888544389</v>
      </c>
      <c r="G26" s="19" t="n">
        <v>26.0847533256407</v>
      </c>
      <c r="H26" s="19" t="n">
        <v>8.00103173891463</v>
      </c>
      <c r="I26" s="19" t="n">
        <v>867</v>
      </c>
      <c r="J26" s="19" t="n">
        <v>958</v>
      </c>
      <c r="K26" s="19" t="n">
        <v>8.064013721327109</v>
      </c>
    </row>
    <row r="27">
      <c r="A27" s="19" t="n">
        <v>44</v>
      </c>
      <c r="B27" s="19" t="inlineStr">
        <is>
          <t>Machop</t>
        </is>
      </c>
      <c r="C27" s="19" t="inlineStr">
        <is>
          <t>Town</t>
        </is>
      </c>
      <c r="D27" s="19" t="inlineStr">
        <is>
          <t>Win</t>
        </is>
      </c>
      <c r="E27" s="19" t="n">
        <v>64</v>
      </c>
      <c r="F27" s="19" t="n">
        <v>31.5116252995851</v>
      </c>
      <c r="G27" s="19" t="n">
        <v>32.4019887245516</v>
      </c>
      <c r="H27" s="19" t="n">
        <v>6.78474790753551</v>
      </c>
      <c r="I27" s="19" t="n">
        <v>1447</v>
      </c>
      <c r="J27" s="19" t="n">
        <v>1511</v>
      </c>
      <c r="K27" s="19" t="n">
        <v>6.81960270656037</v>
      </c>
    </row>
    <row r="28">
      <c r="A28" s="19" t="n">
        <v>43</v>
      </c>
      <c r="B28" s="19" t="inlineStr">
        <is>
          <t>Iln</t>
        </is>
      </c>
      <c r="C28" s="19" t="inlineStr">
        <is>
          <t>Mafia</t>
        </is>
      </c>
      <c r="D28" s="19" t="inlineStr">
        <is>
          <t>Loss</t>
        </is>
      </c>
      <c r="E28" s="19" t="n">
        <v>-78</v>
      </c>
      <c r="F28" s="19" t="n">
        <v>25.7176048962079</v>
      </c>
      <c r="G28" s="19" t="n">
        <v>24.4668043690512</v>
      </c>
      <c r="H28" s="19" t="n">
        <v>8.214889071592779</v>
      </c>
      <c r="I28" s="19" t="n">
        <v>904</v>
      </c>
      <c r="J28" s="19" t="n">
        <v>826</v>
      </c>
      <c r="K28" s="19" t="n">
        <v>8.28140272302984</v>
      </c>
    </row>
    <row r="29">
      <c r="A29" s="19" t="n">
        <v>43</v>
      </c>
      <c r="B29" s="19" t="inlineStr">
        <is>
          <t>Lou</t>
        </is>
      </c>
      <c r="C29" s="19" t="inlineStr">
        <is>
          <t>Mafia</t>
        </is>
      </c>
      <c r="D29" s="19" t="inlineStr">
        <is>
          <t>Loss</t>
        </is>
      </c>
      <c r="E29" s="19" t="n">
        <v>-76</v>
      </c>
      <c r="F29" s="19" t="n">
        <v>26.5946543650004</v>
      </c>
      <c r="G29" s="19" t="n">
        <v>25.3847917965442</v>
      </c>
      <c r="H29" s="19" t="n">
        <v>8.08166217683325</v>
      </c>
      <c r="I29" s="19" t="n">
        <v>978</v>
      </c>
      <c r="J29" s="19" t="n">
        <v>902</v>
      </c>
      <c r="K29" s="19" t="n">
        <v>8.14457177168611</v>
      </c>
    </row>
    <row r="30">
      <c r="A30" s="19" t="n">
        <v>43</v>
      </c>
      <c r="B30" s="19" t="inlineStr">
        <is>
          <t>Rocker</t>
        </is>
      </c>
      <c r="C30" s="19" t="inlineStr">
        <is>
          <t>Mafia</t>
        </is>
      </c>
      <c r="D30" s="19" t="inlineStr">
        <is>
          <t>Loss</t>
        </is>
      </c>
      <c r="E30" s="19" t="n">
        <v>-66</v>
      </c>
      <c r="F30" s="19" t="n">
        <v>21.1877522789603</v>
      </c>
      <c r="G30" s="19" t="n">
        <v>20.1531634998542</v>
      </c>
      <c r="H30" s="19" t="n">
        <v>7.4825720775261</v>
      </c>
      <c r="I30" s="19" t="n">
        <v>673</v>
      </c>
      <c r="J30" s="19" t="n">
        <v>607</v>
      </c>
      <c r="K30" s="19" t="n">
        <v>7.53068007986308</v>
      </c>
    </row>
    <row r="31">
      <c r="A31" s="19" t="n">
        <v>43</v>
      </c>
      <c r="B31" s="19" t="inlineStr">
        <is>
          <t>Badpants</t>
        </is>
      </c>
      <c r="C31" s="19" t="inlineStr">
        <is>
          <t>Town</t>
        </is>
      </c>
      <c r="D31" s="19" t="inlineStr">
        <is>
          <t>Win</t>
        </is>
      </c>
      <c r="E31" s="19" t="n">
        <v>88</v>
      </c>
      <c r="F31" s="19" t="n">
        <v>27.0190363226769</v>
      </c>
      <c r="G31" s="19" t="n">
        <v>28.2213839164266</v>
      </c>
      <c r="H31" s="19" t="n">
        <v>8.056949273225319</v>
      </c>
      <c r="I31" s="19" t="n">
        <v>1009</v>
      </c>
      <c r="J31" s="19" t="n">
        <v>1097</v>
      </c>
      <c r="K31" s="19" t="n">
        <v>8.119203231735501</v>
      </c>
    </row>
    <row r="32">
      <c r="A32" s="19" t="n">
        <v>43</v>
      </c>
      <c r="B32" s="19" t="inlineStr">
        <is>
          <t>Boobles</t>
        </is>
      </c>
      <c r="C32" s="19" t="inlineStr">
        <is>
          <t>Town</t>
        </is>
      </c>
      <c r="D32" s="19" t="inlineStr">
        <is>
          <t>Win</t>
        </is>
      </c>
      <c r="E32" s="19" t="n">
        <v>80</v>
      </c>
      <c r="F32" s="19" t="n">
        <v>30.6339889830567</v>
      </c>
      <c r="G32" s="19" t="n">
        <v>31.7342900186505</v>
      </c>
      <c r="H32" s="19" t="n">
        <v>7.71298711575653</v>
      </c>
      <c r="I32" s="19" t="n">
        <v>1291</v>
      </c>
      <c r="J32" s="19" t="n">
        <v>1371</v>
      </c>
      <c r="K32" s="19" t="n">
        <v>7.76652343424665</v>
      </c>
    </row>
    <row r="33">
      <c r="A33" s="19" t="n">
        <v>43</v>
      </c>
      <c r="B33" s="19" t="inlineStr">
        <is>
          <t>Brownkow</t>
        </is>
      </c>
      <c r="C33" s="19" t="inlineStr">
        <is>
          <t>Town</t>
        </is>
      </c>
      <c r="D33" s="19" t="inlineStr">
        <is>
          <t>Win</t>
        </is>
      </c>
      <c r="E33" s="19" t="n">
        <v>88</v>
      </c>
      <c r="F33" s="19" t="n">
        <v>22.2003358111695</v>
      </c>
      <c r="G33" s="19" t="n">
        <v>23.4106577249412</v>
      </c>
      <c r="H33" s="19" t="n">
        <v>8.083170106148931</v>
      </c>
      <c r="I33" s="19" t="n">
        <v>679</v>
      </c>
      <c r="J33" s="19" t="n">
        <v>767</v>
      </c>
      <c r="K33" s="19" t="n">
        <v>8.146119836274879</v>
      </c>
    </row>
    <row r="34">
      <c r="A34" s="19" t="n">
        <v>43</v>
      </c>
      <c r="B34" s="19" t="inlineStr">
        <is>
          <t>Chester</t>
        </is>
      </c>
      <c r="C34" s="19" t="inlineStr">
        <is>
          <t>Town</t>
        </is>
      </c>
      <c r="D34" s="19" t="inlineStr">
        <is>
          <t>Win</t>
        </is>
      </c>
      <c r="E34" s="19" t="n">
        <v>81</v>
      </c>
      <c r="F34" s="19" t="n">
        <v>20.6462496639973</v>
      </c>
      <c r="G34" s="19" t="n">
        <v>21.7515661136132</v>
      </c>
      <c r="H34" s="19" t="n">
        <v>7.73027378070993</v>
      </c>
      <c r="I34" s="19" t="n">
        <v>610</v>
      </c>
      <c r="J34" s="19" t="n">
        <v>691</v>
      </c>
      <c r="K34" s="19" t="n">
        <v>7.78423042048396</v>
      </c>
    </row>
    <row r="35">
      <c r="A35" s="19" t="n">
        <v>43</v>
      </c>
      <c r="B35" s="19" t="inlineStr">
        <is>
          <t>Hydro</t>
        </is>
      </c>
      <c r="C35" s="19" t="inlineStr">
        <is>
          <t>Town</t>
        </is>
      </c>
      <c r="D35" s="19" t="inlineStr">
        <is>
          <t>Win</t>
        </is>
      </c>
      <c r="E35" s="19" t="n">
        <v>86</v>
      </c>
      <c r="F35" s="19" t="n">
        <v>25.8832138308131</v>
      </c>
      <c r="G35" s="19" t="n">
        <v>27.0500586559952</v>
      </c>
      <c r="H35" s="19" t="n">
        <v>7.93908577057087</v>
      </c>
      <c r="I35" s="19" t="n">
        <v>944</v>
      </c>
      <c r="J35" s="19" t="n">
        <v>1030</v>
      </c>
      <c r="K35" s="19" t="n">
        <v>7.99826749955685</v>
      </c>
    </row>
    <row r="36">
      <c r="A36" s="19" t="n">
        <v>43</v>
      </c>
      <c r="B36" s="19" t="inlineStr">
        <is>
          <t>Kwix</t>
        </is>
      </c>
      <c r="C36" s="19" t="inlineStr">
        <is>
          <t>Town</t>
        </is>
      </c>
      <c r="D36" s="19" t="inlineStr">
        <is>
          <t>Win</t>
        </is>
      </c>
      <c r="E36" s="19" t="n">
        <v>78</v>
      </c>
      <c r="F36" s="19" t="n">
        <v>23.2454785710621</v>
      </c>
      <c r="G36" s="19" t="n">
        <v>24.3082308313111</v>
      </c>
      <c r="H36" s="19" t="n">
        <v>7.58223556017743</v>
      </c>
      <c r="I36" s="19" t="n">
        <v>802</v>
      </c>
      <c r="J36" s="19" t="n">
        <v>880</v>
      </c>
      <c r="K36" s="19" t="n">
        <v>7.63265209292169</v>
      </c>
    </row>
    <row r="37">
      <c r="A37" s="19" t="n">
        <v>43</v>
      </c>
      <c r="B37" s="19" t="inlineStr">
        <is>
          <t>Levi</t>
        </is>
      </c>
      <c r="C37" s="19" t="inlineStr">
        <is>
          <t>Town</t>
        </is>
      </c>
      <c r="D37" s="19" t="inlineStr">
        <is>
          <t>Win</t>
        </is>
      </c>
      <c r="E37" s="19" t="n">
        <v>92</v>
      </c>
      <c r="F37" s="19" t="n">
        <v>24.1214027145434</v>
      </c>
      <c r="G37" s="19" t="n">
        <v>25.3700648959569</v>
      </c>
      <c r="H37" s="19" t="n">
        <v>8.20798748480845</v>
      </c>
      <c r="I37" s="19" t="n">
        <v>796</v>
      </c>
      <c r="J37" s="19" t="n">
        <v>888</v>
      </c>
      <c r="K37" s="19" t="n">
        <v>8.27431152993395</v>
      </c>
    </row>
    <row r="38">
      <c r="A38" s="19" t="n">
        <v>43</v>
      </c>
      <c r="B38" s="19" t="inlineStr">
        <is>
          <t>Machop</t>
        </is>
      </c>
      <c r="C38" s="19" t="inlineStr">
        <is>
          <t>Town</t>
        </is>
      </c>
      <c r="D38" s="19" t="inlineStr">
        <is>
          <t>Win</t>
        </is>
      </c>
      <c r="E38" s="19" t="n">
        <v>62</v>
      </c>
      <c r="F38" s="19" t="n">
        <v>30.6543793545784</v>
      </c>
      <c r="G38" s="19" t="n">
        <v>31.5116252995851</v>
      </c>
      <c r="H38" s="19" t="n">
        <v>6.81960270656037</v>
      </c>
      <c r="I38" s="19" t="n">
        <v>1385</v>
      </c>
      <c r="J38" s="19" t="n">
        <v>1447</v>
      </c>
      <c r="K38" s="19" t="n">
        <v>6.85380482599989</v>
      </c>
    </row>
    <row r="39">
      <c r="A39" s="19" t="n">
        <v>43</v>
      </c>
      <c r="B39" s="19" t="inlineStr">
        <is>
          <t>Svaan</t>
        </is>
      </c>
      <c r="C39" s="19" t="inlineStr">
        <is>
          <t>Town</t>
        </is>
      </c>
      <c r="D39" s="19" t="inlineStr">
        <is>
          <t>Win</t>
        </is>
      </c>
      <c r="E39" s="19" t="n">
        <v>87</v>
      </c>
      <c r="F39" s="19" t="n">
        <v>22.092413791833</v>
      </c>
      <c r="G39" s="19" t="n">
        <v>23.2707512079236</v>
      </c>
      <c r="H39" s="19" t="n">
        <v>7.97744307134669</v>
      </c>
      <c r="I39" s="19" t="n">
        <v>682</v>
      </c>
      <c r="J39" s="19" t="n">
        <v>769</v>
      </c>
      <c r="K39" s="19" t="n">
        <v>8.037614750606579</v>
      </c>
    </row>
    <row r="40">
      <c r="A40" s="19" t="n">
        <v>43</v>
      </c>
      <c r="B40" s="19" t="inlineStr">
        <is>
          <t>Xcync</t>
        </is>
      </c>
      <c r="C40" s="19" t="inlineStr">
        <is>
          <t>Town</t>
        </is>
      </c>
      <c r="D40" s="19" t="inlineStr">
        <is>
          <t>Win</t>
        </is>
      </c>
      <c r="E40" s="19" t="n">
        <v>88</v>
      </c>
      <c r="F40" s="19" t="n">
        <v>24.2396019456301</v>
      </c>
      <c r="G40" s="19" t="n">
        <v>25.4411937765042</v>
      </c>
      <c r="H40" s="19" t="n">
        <v>8.054459465479161</v>
      </c>
      <c r="I40" s="19" t="n">
        <v>820</v>
      </c>
      <c r="J40" s="19" t="n">
        <v>908</v>
      </c>
      <c r="K40" s="19" t="n">
        <v>8.116647590955139</v>
      </c>
    </row>
    <row r="41">
      <c r="A41" s="19" t="n">
        <v>42</v>
      </c>
      <c r="B41" s="19" t="inlineStr">
        <is>
          <t>Rocker</t>
        </is>
      </c>
      <c r="C41" s="19" t="inlineStr">
        <is>
          <t>Mafia</t>
        </is>
      </c>
      <c r="D41" s="19" t="inlineStr">
        <is>
          <t>Loss</t>
        </is>
      </c>
      <c r="E41" s="19" t="n">
        <v>-36</v>
      </c>
      <c r="F41" s="19" t="n">
        <v>21.7797101608629</v>
      </c>
      <c r="G41" s="19" t="n">
        <v>21.1877522789603</v>
      </c>
      <c r="H41" s="19" t="n">
        <v>7.53068007986308</v>
      </c>
      <c r="I41" s="19" t="n">
        <v>709</v>
      </c>
      <c r="J41" s="19" t="n">
        <v>673</v>
      </c>
      <c r="K41" s="19" t="n">
        <v>7.56766186767356</v>
      </c>
    </row>
    <row r="42">
      <c r="A42" s="19" t="n">
        <v>42</v>
      </c>
      <c r="B42" s="19" t="inlineStr">
        <is>
          <t>Xcync</t>
        </is>
      </c>
      <c r="C42" s="19" t="inlineStr">
        <is>
          <t>Mafia</t>
        </is>
      </c>
      <c r="D42" s="19" t="inlineStr">
        <is>
          <t>Loss</t>
        </is>
      </c>
      <c r="E42" s="19" t="n">
        <v>-42</v>
      </c>
      <c r="F42" s="19" t="n">
        <v>24.9285557921584</v>
      </c>
      <c r="G42" s="19" t="n">
        <v>24.2396019456301</v>
      </c>
      <c r="H42" s="19" t="n">
        <v>8.116647590955139</v>
      </c>
      <c r="I42" s="19" t="n">
        <v>862</v>
      </c>
      <c r="J42" s="19" t="n">
        <v>820</v>
      </c>
      <c r="K42" s="19" t="n">
        <v>8.16506071144255</v>
      </c>
    </row>
    <row r="43">
      <c r="A43" s="19" t="n">
        <v>42</v>
      </c>
      <c r="B43" s="19" t="inlineStr">
        <is>
          <t>Whyin</t>
        </is>
      </c>
      <c r="C43" s="19" t="inlineStr">
        <is>
          <t>Mafia</t>
        </is>
      </c>
      <c r="D43" s="19" t="inlineStr">
        <is>
          <t>Loss</t>
        </is>
      </c>
      <c r="E43" s="19" t="n">
        <v>-36</v>
      </c>
      <c r="F43" s="19" t="n">
        <v>17.4030438428561</v>
      </c>
      <c r="G43" s="19" t="n">
        <v>16.8183737345679</v>
      </c>
      <c r="H43" s="19" t="n">
        <v>7.48470695916721</v>
      </c>
      <c r="I43" s="19" t="n">
        <v>416</v>
      </c>
      <c r="J43" s="19" t="n">
        <v>380</v>
      </c>
      <c r="K43" s="19" t="n">
        <v>7.5208600445063</v>
      </c>
    </row>
    <row r="44">
      <c r="A44" s="19" t="n">
        <v>42</v>
      </c>
      <c r="B44" s="19" t="inlineStr">
        <is>
          <t>Vandy</t>
        </is>
      </c>
      <c r="C44" s="19" t="inlineStr">
        <is>
          <t>Town</t>
        </is>
      </c>
      <c r="D44" s="19" t="inlineStr">
        <is>
          <t>Win</t>
        </is>
      </c>
      <c r="E44" s="19" t="n">
        <v>53</v>
      </c>
      <c r="F44" s="19" t="n">
        <v>25.1989271544239</v>
      </c>
      <c r="G44" s="19" t="n">
        <v>25.9001922270057</v>
      </c>
      <c r="H44" s="19" t="n">
        <v>8.187871068448089</v>
      </c>
      <c r="I44" s="19" t="n">
        <v>873</v>
      </c>
      <c r="J44" s="19" t="n">
        <v>926</v>
      </c>
      <c r="K44" s="19" t="n">
        <v>8.23778787095447</v>
      </c>
    </row>
    <row r="45">
      <c r="A45" s="19" t="n">
        <v>42</v>
      </c>
      <c r="B45" s="19" t="inlineStr">
        <is>
          <t>Kwix</t>
        </is>
      </c>
      <c r="C45" s="19" t="inlineStr">
        <is>
          <t>Town</t>
        </is>
      </c>
      <c r="D45" s="19" t="inlineStr">
        <is>
          <t>Win</t>
        </is>
      </c>
      <c r="E45" s="19" t="n">
        <v>45</v>
      </c>
      <c r="F45" s="19" t="n">
        <v>22.6371890257367</v>
      </c>
      <c r="G45" s="19" t="n">
        <v>23.2454785710621</v>
      </c>
      <c r="H45" s="19" t="n">
        <v>7.63265209292169</v>
      </c>
      <c r="I45" s="19" t="n">
        <v>757</v>
      </c>
      <c r="J45" s="19" t="n">
        <v>802</v>
      </c>
      <c r="K45" s="19" t="n">
        <v>7.67150642794818</v>
      </c>
    </row>
    <row r="46">
      <c r="A46" s="19" t="n">
        <v>42</v>
      </c>
      <c r="B46" s="19" t="inlineStr">
        <is>
          <t>Lou</t>
        </is>
      </c>
      <c r="C46" s="19" t="inlineStr">
        <is>
          <t>Town</t>
        </is>
      </c>
      <c r="D46" s="19" t="inlineStr">
        <is>
          <t>Win</t>
        </is>
      </c>
      <c r="E46" s="19" t="n">
        <v>52</v>
      </c>
      <c r="F46" s="19" t="n">
        <v>25.9008872528723</v>
      </c>
      <c r="G46" s="19" t="n">
        <v>26.5946543650004</v>
      </c>
      <c r="H46" s="19" t="n">
        <v>8.14457177168611</v>
      </c>
      <c r="I46" s="19" t="n">
        <v>926</v>
      </c>
      <c r="J46" s="19" t="n">
        <v>978</v>
      </c>
      <c r="K46" s="19" t="n">
        <v>8.19357138238799</v>
      </c>
    </row>
    <row r="47">
      <c r="A47" s="19" t="n">
        <v>42</v>
      </c>
      <c r="B47" s="19" t="inlineStr">
        <is>
          <t>Carson</t>
        </is>
      </c>
      <c r="C47" s="19" t="inlineStr">
        <is>
          <t>Town</t>
        </is>
      </c>
      <c r="D47" s="19" t="inlineStr">
        <is>
          <t>Win</t>
        </is>
      </c>
      <c r="E47" s="19" t="n">
        <v>40</v>
      </c>
      <c r="F47" s="19" t="n">
        <v>24.5142070494991</v>
      </c>
      <c r="G47" s="19" t="n">
        <v>25.045919683418</v>
      </c>
      <c r="H47" s="19" t="n">
        <v>7.14134143105037</v>
      </c>
      <c r="I47" s="19" t="n">
        <v>935</v>
      </c>
      <c r="J47" s="19" t="n">
        <v>975</v>
      </c>
      <c r="K47" s="19" t="n">
        <v>7.17160128736284</v>
      </c>
    </row>
    <row r="48">
      <c r="A48" s="19" t="n">
        <v>42</v>
      </c>
      <c r="B48" s="19" t="inlineStr">
        <is>
          <t>Iln</t>
        </is>
      </c>
      <c r="C48" s="19" t="inlineStr">
        <is>
          <t>Town</t>
        </is>
      </c>
      <c r="D48" s="19" t="inlineStr">
        <is>
          <t>Win</t>
        </is>
      </c>
      <c r="E48" s="19" t="n">
        <v>54</v>
      </c>
      <c r="F48" s="19" t="n">
        <v>25</v>
      </c>
      <c r="G48" s="19" t="n">
        <v>25.7176048962079</v>
      </c>
      <c r="H48" s="19" t="n">
        <v>8.28140272302984</v>
      </c>
      <c r="I48" s="19" t="n">
        <v>850</v>
      </c>
      <c r="J48" s="19" t="n">
        <v>904</v>
      </c>
      <c r="K48" s="19" t="n">
        <v>8.33333333333333</v>
      </c>
    </row>
    <row r="49">
      <c r="A49" s="19" t="n">
        <v>42</v>
      </c>
      <c r="B49" s="19" t="inlineStr">
        <is>
          <t>Chipper</t>
        </is>
      </c>
      <c r="C49" s="19" t="inlineStr">
        <is>
          <t>Town</t>
        </is>
      </c>
      <c r="D49" s="19" t="inlineStr">
        <is>
          <t>Win</t>
        </is>
      </c>
      <c r="E49" s="19" t="n">
        <v>50</v>
      </c>
      <c r="F49" s="19" t="n">
        <v>25.371027668588</v>
      </c>
      <c r="G49" s="19" t="n">
        <v>26.0431158789108</v>
      </c>
      <c r="H49" s="19" t="n">
        <v>8.017991978025639</v>
      </c>
      <c r="I49" s="19" t="n">
        <v>903</v>
      </c>
      <c r="J49" s="19" t="n">
        <v>953</v>
      </c>
      <c r="K49" s="19" t="n">
        <v>8.06436425405737</v>
      </c>
    </row>
    <row r="50">
      <c r="A50" s="19" t="n">
        <v>42</v>
      </c>
      <c r="B50" s="19" t="inlineStr">
        <is>
          <t>Machop</t>
        </is>
      </c>
      <c r="C50" s="19" t="inlineStr">
        <is>
          <t>Town</t>
        </is>
      </c>
      <c r="D50" s="19" t="inlineStr">
        <is>
          <t>Win</t>
        </is>
      </c>
      <c r="E50" s="19" t="n">
        <v>35</v>
      </c>
      <c r="F50" s="19" t="n">
        <v>30.1650219719026</v>
      </c>
      <c r="G50" s="19" t="n">
        <v>30.6543793545784</v>
      </c>
      <c r="H50" s="19" t="n">
        <v>6.85380482599989</v>
      </c>
      <c r="I50" s="19" t="n">
        <v>1350</v>
      </c>
      <c r="J50" s="19" t="n">
        <v>1385</v>
      </c>
      <c r="K50" s="19" t="n">
        <v>6.87951509506823</v>
      </c>
    </row>
    <row r="51">
      <c r="A51" s="19" t="n">
        <v>42</v>
      </c>
      <c r="B51" s="19" t="inlineStr">
        <is>
          <t>Boobles</t>
        </is>
      </c>
      <c r="C51" s="19" t="inlineStr">
        <is>
          <t>Town</t>
        </is>
      </c>
      <c r="D51" s="19" t="inlineStr">
        <is>
          <t>Win</t>
        </is>
      </c>
      <c r="E51" s="19" t="n">
        <v>47</v>
      </c>
      <c r="F51" s="19" t="n">
        <v>30.0039091210699</v>
      </c>
      <c r="G51" s="19" t="n">
        <v>30.6339889830567</v>
      </c>
      <c r="H51" s="19" t="n">
        <v>7.76652343424665</v>
      </c>
      <c r="I51" s="19" t="n">
        <v>1244</v>
      </c>
      <c r="J51" s="19" t="n">
        <v>1291</v>
      </c>
      <c r="K51" s="19" t="n">
        <v>7.80790931822061</v>
      </c>
    </row>
    <row r="52">
      <c r="A52" s="19" t="n">
        <v>42</v>
      </c>
      <c r="B52" s="19" t="inlineStr">
        <is>
          <t>Chester</t>
        </is>
      </c>
      <c r="C52" s="19" t="inlineStr">
        <is>
          <t>Town</t>
        </is>
      </c>
      <c r="D52" s="19" t="inlineStr">
        <is>
          <t>Win</t>
        </is>
      </c>
      <c r="E52" s="19" t="n">
        <v>47</v>
      </c>
      <c r="F52" s="19" t="n">
        <v>20.0132578486142</v>
      </c>
      <c r="G52" s="19" t="n">
        <v>20.6462496639973</v>
      </c>
      <c r="H52" s="19" t="n">
        <v>7.78423042048396</v>
      </c>
      <c r="I52" s="19" t="n">
        <v>563</v>
      </c>
      <c r="J52" s="19" t="n">
        <v>610</v>
      </c>
      <c r="K52" s="19" t="n">
        <v>7.82595746478214</v>
      </c>
    </row>
    <row r="53">
      <c r="A53" s="19" t="n">
        <v>42</v>
      </c>
      <c r="B53" s="19" t="inlineStr">
        <is>
          <t>Lombax</t>
        </is>
      </c>
      <c r="C53" s="19" t="inlineStr">
        <is>
          <t>Town</t>
        </is>
      </c>
      <c r="D53" s="19" t="inlineStr">
        <is>
          <t>Win</t>
        </is>
      </c>
      <c r="E53" s="19" t="n">
        <v>50</v>
      </c>
      <c r="F53" s="19" t="n">
        <v>25.230357494333</v>
      </c>
      <c r="G53" s="19" t="n">
        <v>25.898828859453</v>
      </c>
      <c r="H53" s="19" t="n">
        <v>7.99666816377496</v>
      </c>
      <c r="I53" s="19" t="n">
        <v>895</v>
      </c>
      <c r="J53" s="19" t="n">
        <v>945</v>
      </c>
      <c r="K53" s="19" t="n">
        <v>8.042605668002979</v>
      </c>
    </row>
    <row r="54">
      <c r="A54" s="19" t="n">
        <v>41</v>
      </c>
      <c r="B54" s="19" t="inlineStr">
        <is>
          <t>Noah</t>
        </is>
      </c>
      <c r="C54" s="19" t="inlineStr">
        <is>
          <t>Mafia</t>
        </is>
      </c>
      <c r="D54" s="19" t="inlineStr">
        <is>
          <t>Win</t>
        </is>
      </c>
      <c r="E54" s="19" t="n">
        <v>29</v>
      </c>
      <c r="F54" s="19" t="n">
        <v>27.3813235706427</v>
      </c>
      <c r="G54" s="19" t="n">
        <v>27.7677629528633</v>
      </c>
      <c r="H54" s="19" t="n">
        <v>6.87809803151705</v>
      </c>
      <c r="I54" s="19" t="n">
        <v>1158</v>
      </c>
      <c r="J54" s="19" t="n">
        <v>1187</v>
      </c>
      <c r="K54" s="19" t="n">
        <v>6.89840902421667</v>
      </c>
    </row>
    <row r="55">
      <c r="A55" s="19" t="n">
        <v>41</v>
      </c>
      <c r="B55" s="19" t="inlineStr">
        <is>
          <t>Kwix</t>
        </is>
      </c>
      <c r="C55" s="19" t="inlineStr">
        <is>
          <t>Mafia</t>
        </is>
      </c>
      <c r="D55" s="19" t="inlineStr">
        <is>
          <t>Win</t>
        </is>
      </c>
      <c r="E55" s="19" t="n">
        <v>36</v>
      </c>
      <c r="F55" s="19" t="n">
        <v>22.1555259820326</v>
      </c>
      <c r="G55" s="19" t="n">
        <v>22.6371890257367</v>
      </c>
      <c r="H55" s="19" t="n">
        <v>7.67150642794818</v>
      </c>
      <c r="I55" s="19" t="n">
        <v>721</v>
      </c>
      <c r="J55" s="19" t="n">
        <v>757</v>
      </c>
      <c r="K55" s="19" t="n">
        <v>7.70302112603607</v>
      </c>
    </row>
    <row r="56">
      <c r="A56" s="19" t="n">
        <v>41</v>
      </c>
      <c r="B56" s="19" t="inlineStr">
        <is>
          <t>Aipha</t>
        </is>
      </c>
      <c r="C56" s="19" t="inlineStr">
        <is>
          <t>Mafia</t>
        </is>
      </c>
      <c r="D56" s="19" t="inlineStr">
        <is>
          <t>Win</t>
        </is>
      </c>
      <c r="E56" s="19" t="n">
        <v>41</v>
      </c>
      <c r="F56" s="19" t="n">
        <v>27.6602425292726</v>
      </c>
      <c r="G56" s="19" t="n">
        <v>28.2064373795293</v>
      </c>
      <c r="H56" s="19" t="n">
        <v>8.1639172975453</v>
      </c>
      <c r="I56" s="19" t="n">
        <v>1044</v>
      </c>
      <c r="J56" s="19" t="n">
        <v>1085</v>
      </c>
      <c r="K56" s="19" t="n">
        <v>8.20355580434155</v>
      </c>
    </row>
    <row r="57">
      <c r="A57" s="19" t="n">
        <v>41</v>
      </c>
      <c r="B57" s="19" t="inlineStr">
        <is>
          <t>Streety</t>
        </is>
      </c>
      <c r="C57" s="19" t="inlineStr">
        <is>
          <t>Town</t>
        </is>
      </c>
      <c r="D57" s="19" t="inlineStr">
        <is>
          <t>Loss</t>
        </is>
      </c>
      <c r="E57" s="19" t="n">
        <v>-28</v>
      </c>
      <c r="F57" s="19" t="n">
        <v>23.0744677560292</v>
      </c>
      <c r="G57" s="19" t="n">
        <v>22.6279020779019</v>
      </c>
      <c r="H57" s="19" t="n">
        <v>7.38934717961802</v>
      </c>
      <c r="I57" s="19" t="n">
        <v>813</v>
      </c>
      <c r="J57" s="19" t="n">
        <v>785</v>
      </c>
      <c r="K57" s="19" t="n">
        <v>7.41662309609461</v>
      </c>
    </row>
    <row r="58">
      <c r="A58" s="19" t="n">
        <v>41</v>
      </c>
      <c r="B58" s="19" t="inlineStr">
        <is>
          <t>Rocker</t>
        </is>
      </c>
      <c r="C58" s="19" t="inlineStr">
        <is>
          <t>Town</t>
        </is>
      </c>
      <c r="D58" s="19" t="inlineStr">
        <is>
          <t>Loss</t>
        </is>
      </c>
      <c r="E58" s="19" t="n">
        <v>-29</v>
      </c>
      <c r="F58" s="19" t="n">
        <v>22.2482973130254</v>
      </c>
      <c r="G58" s="19" t="n">
        <v>21.7797101608629</v>
      </c>
      <c r="H58" s="19" t="n">
        <v>7.56766186767356</v>
      </c>
      <c r="I58" s="19" t="n">
        <v>738</v>
      </c>
      <c r="J58" s="19" t="n">
        <v>709</v>
      </c>
      <c r="K58" s="19" t="n">
        <v>7.59758247899334</v>
      </c>
    </row>
    <row r="59">
      <c r="A59" s="19" t="n">
        <v>41</v>
      </c>
      <c r="B59" s="19" t="inlineStr">
        <is>
          <t>Xcync</t>
        </is>
      </c>
      <c r="C59" s="19" t="inlineStr">
        <is>
          <t>Town</t>
        </is>
      </c>
      <c r="D59" s="19" t="inlineStr">
        <is>
          <t>Loss</t>
        </is>
      </c>
      <c r="E59" s="19" t="n">
        <v>-33</v>
      </c>
      <c r="F59" s="19" t="n">
        <v>25.4749053654974</v>
      </c>
      <c r="G59" s="19" t="n">
        <v>24.9285557921584</v>
      </c>
      <c r="H59" s="19" t="n">
        <v>8.16506071144255</v>
      </c>
      <c r="I59" s="19" t="n">
        <v>895</v>
      </c>
      <c r="J59" s="19" t="n">
        <v>862</v>
      </c>
      <c r="K59" s="19" t="n">
        <v>8.204719204881441</v>
      </c>
    </row>
    <row r="60">
      <c r="A60" s="19" t="n">
        <v>41</v>
      </c>
      <c r="B60" s="19" t="inlineStr">
        <is>
          <t>Whyin</t>
        </is>
      </c>
      <c r="C60" s="19" t="inlineStr">
        <is>
          <t>Town</t>
        </is>
      </c>
      <c r="D60" s="19" t="inlineStr">
        <is>
          <t>Loss</t>
        </is>
      </c>
      <c r="E60" s="19" t="n">
        <v>-29</v>
      </c>
      <c r="F60" s="19" t="n">
        <v>17.8657983202182</v>
      </c>
      <c r="G60" s="19" t="n">
        <v>17.4030438428561</v>
      </c>
      <c r="H60" s="19" t="n">
        <v>7.5208600445063</v>
      </c>
      <c r="I60" s="19" t="n">
        <v>445</v>
      </c>
      <c r="J60" s="19" t="n">
        <v>416</v>
      </c>
      <c r="K60" s="19" t="n">
        <v>7.55007528742197</v>
      </c>
    </row>
    <row r="61">
      <c r="A61" s="19" t="n">
        <v>41</v>
      </c>
      <c r="B61" s="19" t="inlineStr">
        <is>
          <t>Brady</t>
        </is>
      </c>
      <c r="C61" s="19" t="inlineStr">
        <is>
          <t>Town</t>
        </is>
      </c>
      <c r="D61" s="19" t="inlineStr">
        <is>
          <t>Loss</t>
        </is>
      </c>
      <c r="E61" s="19" t="n">
        <v>-34</v>
      </c>
      <c r="F61" s="19" t="n">
        <v>25</v>
      </c>
      <c r="G61" s="19" t="n">
        <v>24.4364104780276</v>
      </c>
      <c r="H61" s="19" t="n">
        <v>8.29143274407048</v>
      </c>
      <c r="I61" s="19" t="n">
        <v>850</v>
      </c>
      <c r="J61" s="19" t="n">
        <v>816</v>
      </c>
      <c r="K61" s="19" t="n">
        <v>8.33333333333333</v>
      </c>
    </row>
    <row r="62">
      <c r="A62" s="19" t="n">
        <v>41</v>
      </c>
      <c r="B62" s="19" t="inlineStr">
        <is>
          <t>Lou</t>
        </is>
      </c>
      <c r="C62" s="19" t="inlineStr">
        <is>
          <t>Town</t>
        </is>
      </c>
      <c r="D62" s="19" t="inlineStr">
        <is>
          <t>Loss</t>
        </is>
      </c>
      <c r="E62" s="19" t="n">
        <v>-33</v>
      </c>
      <c r="F62" s="19" t="n">
        <v>26.4511021233987</v>
      </c>
      <c r="G62" s="19" t="n">
        <v>25.9008872528723</v>
      </c>
      <c r="H62" s="19" t="n">
        <v>8.19357138238799</v>
      </c>
      <c r="I62" s="19" t="n">
        <v>959</v>
      </c>
      <c r="J62" s="19" t="n">
        <v>926</v>
      </c>
      <c r="K62" s="19" t="n">
        <v>8.233729966231779</v>
      </c>
    </row>
    <row r="63">
      <c r="A63" s="19" t="n">
        <v>41</v>
      </c>
      <c r="B63" s="19" t="inlineStr">
        <is>
          <t>Machop</t>
        </is>
      </c>
      <c r="C63" s="19" t="inlineStr">
        <is>
          <t>Town</t>
        </is>
      </c>
      <c r="D63" s="19" t="inlineStr">
        <is>
          <t>Loss</t>
        </is>
      </c>
      <c r="E63" s="19" t="n">
        <v>-24</v>
      </c>
      <c r="F63" s="19" t="n">
        <v>30.5516218584603</v>
      </c>
      <c r="G63" s="19" t="n">
        <v>30.1650219719026</v>
      </c>
      <c r="H63" s="19" t="n">
        <v>6.87951509506823</v>
      </c>
      <c r="I63" s="19" t="n">
        <v>1374</v>
      </c>
      <c r="J63" s="19" t="n">
        <v>1350</v>
      </c>
      <c r="K63" s="19" t="n">
        <v>6.89984418229837</v>
      </c>
    </row>
    <row r="64">
      <c r="A64" s="19" t="n">
        <v>41</v>
      </c>
      <c r="B64" s="19" t="inlineStr">
        <is>
          <t>Brownkow</t>
        </is>
      </c>
      <c r="C64" s="19" t="inlineStr">
        <is>
          <t>Town</t>
        </is>
      </c>
      <c r="D64" s="19" t="inlineStr">
        <is>
          <t>Loss</t>
        </is>
      </c>
      <c r="E64" s="19" t="n">
        <v>-33</v>
      </c>
      <c r="F64" s="19" t="n">
        <v>22.744125286231</v>
      </c>
      <c r="G64" s="19" t="n">
        <v>22.2003358111695</v>
      </c>
      <c r="H64" s="19" t="n">
        <v>8.146119836274879</v>
      </c>
      <c r="I64" s="19" t="n">
        <v>712</v>
      </c>
      <c r="J64" s="19" t="n">
        <v>679</v>
      </c>
      <c r="K64" s="19" t="n">
        <v>8.18544793497972</v>
      </c>
    </row>
    <row r="65">
      <c r="A65" s="19" t="n">
        <v>41</v>
      </c>
      <c r="B65" s="19" t="inlineStr">
        <is>
          <t>Chester</t>
        </is>
      </c>
      <c r="C65" s="19" t="inlineStr">
        <is>
          <t>Town</t>
        </is>
      </c>
      <c r="D65" s="19" t="inlineStr">
        <is>
          <t>Loss</t>
        </is>
      </c>
      <c r="E65" s="19" t="n">
        <v>-30</v>
      </c>
      <c r="F65" s="19" t="n">
        <v>20.5147119919659</v>
      </c>
      <c r="G65" s="19" t="n">
        <v>20.0132578486142</v>
      </c>
      <c r="H65" s="19" t="n">
        <v>7.82595746478214</v>
      </c>
      <c r="I65" s="19" t="n">
        <v>593</v>
      </c>
      <c r="J65" s="19" t="n">
        <v>563</v>
      </c>
      <c r="K65" s="19" t="n">
        <v>7.859918391595</v>
      </c>
    </row>
    <row r="66">
      <c r="A66" s="19" t="n">
        <v>41</v>
      </c>
      <c r="B66" s="19" t="inlineStr">
        <is>
          <t>Keegan</t>
        </is>
      </c>
      <c r="C66" s="19" t="inlineStr">
        <is>
          <t>Town</t>
        </is>
      </c>
      <c r="D66" s="19" t="inlineStr">
        <is>
          <t>Loss</t>
        </is>
      </c>
      <c r="E66" s="19" t="n">
        <v>-29</v>
      </c>
      <c r="F66" s="19" t="n">
        <v>27.7006651499067</v>
      </c>
      <c r="G66" s="19" t="n">
        <v>27.2297373051868</v>
      </c>
      <c r="H66" s="19" t="n">
        <v>7.58635945523144</v>
      </c>
      <c r="I66" s="19" t="n">
        <v>1107</v>
      </c>
      <c r="J66" s="19" t="n">
        <v>1078</v>
      </c>
      <c r="K66" s="19" t="n">
        <v>7.61656412440716</v>
      </c>
    </row>
    <row r="67">
      <c r="A67" s="19" t="n">
        <v>41</v>
      </c>
      <c r="B67" s="19" t="inlineStr">
        <is>
          <t>Chipper</t>
        </is>
      </c>
      <c r="C67" s="19" t="inlineStr">
        <is>
          <t>Town</t>
        </is>
      </c>
      <c r="D67" s="19" t="inlineStr">
        <is>
          <t>Loss</t>
        </is>
      </c>
      <c r="E67" s="19" t="n">
        <v>-32</v>
      </c>
      <c r="F67" s="19" t="n">
        <v>25.9038381140423</v>
      </c>
      <c r="G67" s="19" t="n">
        <v>25.371027668588</v>
      </c>
      <c r="H67" s="19" t="n">
        <v>8.06436425405737</v>
      </c>
      <c r="I67" s="19" t="n">
        <v>935</v>
      </c>
      <c r="J67" s="19" t="n">
        <v>903</v>
      </c>
      <c r="K67" s="19" t="n">
        <v>8.10228296219764</v>
      </c>
    </row>
    <row r="68">
      <c r="A68" s="19" t="n">
        <v>40</v>
      </c>
      <c r="B68" s="19" t="inlineStr">
        <is>
          <t>Heck</t>
        </is>
      </c>
      <c r="C68" s="19" t="inlineStr">
        <is>
          <t>Mafia</t>
        </is>
      </c>
      <c r="D68" s="19" t="inlineStr">
        <is>
          <t>Loss</t>
        </is>
      </c>
      <c r="E68" s="19" t="n">
        <v>-97</v>
      </c>
      <c r="F68" s="19" t="n">
        <v>22.6119340322016</v>
      </c>
      <c r="G68" s="19" t="n">
        <v>21.0994030767743</v>
      </c>
      <c r="H68" s="19" t="n">
        <v>7.87192435073585</v>
      </c>
      <c r="I68" s="19" t="n">
        <v>729</v>
      </c>
      <c r="J68" s="19" t="n">
        <v>632</v>
      </c>
      <c r="K68" s="19" t="n">
        <v>7.93058222505662</v>
      </c>
    </row>
    <row r="69">
      <c r="A69" s="19" t="n">
        <v>40</v>
      </c>
      <c r="B69" s="19" t="inlineStr">
        <is>
          <t>Dani</t>
        </is>
      </c>
      <c r="C69" s="19" t="inlineStr">
        <is>
          <t>Mafia</t>
        </is>
      </c>
      <c r="D69" s="19" t="inlineStr">
        <is>
          <t>Loss</t>
        </is>
      </c>
      <c r="E69" s="19" t="n">
        <v>-102</v>
      </c>
      <c r="F69" s="19" t="n">
        <v>26.5227119715331</v>
      </c>
      <c r="G69" s="19" t="n">
        <v>24.9342272487845</v>
      </c>
      <c r="H69" s="19" t="n">
        <v>8.06382831415451</v>
      </c>
      <c r="I69" s="19" t="n">
        <v>975</v>
      </c>
      <c r="J69" s="19" t="n">
        <v>873</v>
      </c>
      <c r="K69" s="19" t="n">
        <v>8.127543729766931</v>
      </c>
    </row>
    <row r="70">
      <c r="A70" s="19" t="n">
        <v>40</v>
      </c>
      <c r="B70" s="19" t="inlineStr">
        <is>
          <t>Chipper</t>
        </is>
      </c>
      <c r="C70" s="19" t="inlineStr">
        <is>
          <t>Mafia</t>
        </is>
      </c>
      <c r="D70" s="19" t="inlineStr">
        <is>
          <t>Loss</t>
        </is>
      </c>
      <c r="E70" s="19" t="n">
        <v>-102</v>
      </c>
      <c r="F70" s="19" t="n">
        <v>27.5077784309198</v>
      </c>
      <c r="G70" s="19" t="n">
        <v>25.9038381140423</v>
      </c>
      <c r="H70" s="19" t="n">
        <v>8.10228296219764</v>
      </c>
      <c r="I70" s="19" t="n">
        <v>1037</v>
      </c>
      <c r="J70" s="19" t="n">
        <v>935</v>
      </c>
      <c r="K70" s="19" t="n">
        <v>8.167041201402879</v>
      </c>
    </row>
    <row r="71">
      <c r="A71" s="19" t="n">
        <v>40</v>
      </c>
      <c r="B71" s="19" t="inlineStr">
        <is>
          <t>Keegan</t>
        </is>
      </c>
      <c r="C71" s="19" t="inlineStr">
        <is>
          <t>Town</t>
        </is>
      </c>
      <c r="D71" s="19" t="inlineStr">
        <is>
          <t>Win</t>
        </is>
      </c>
      <c r="E71" s="19" t="n">
        <v>102</v>
      </c>
      <c r="F71" s="19" t="n">
        <v>26.2861783280797</v>
      </c>
      <c r="G71" s="19" t="n">
        <v>27.7006651499067</v>
      </c>
      <c r="H71" s="19" t="n">
        <v>7.61656412440716</v>
      </c>
      <c r="I71" s="19" t="n">
        <v>1005</v>
      </c>
      <c r="J71" s="19" t="n">
        <v>1107</v>
      </c>
      <c r="K71" s="19" t="n">
        <v>7.66886071529896</v>
      </c>
    </row>
    <row r="72">
      <c r="A72" s="19" t="n">
        <v>40</v>
      </c>
      <c r="B72" s="19" t="inlineStr">
        <is>
          <t>Aipha</t>
        </is>
      </c>
      <c r="C72" s="19" t="inlineStr">
        <is>
          <t>Town</t>
        </is>
      </c>
      <c r="D72" s="19" t="inlineStr">
        <is>
          <t>Win</t>
        </is>
      </c>
      <c r="E72" s="19" t="n">
        <v>119</v>
      </c>
      <c r="F72" s="19" t="n">
        <v>26.0152214138178</v>
      </c>
      <c r="G72" s="19" t="n">
        <v>27.6602425292726</v>
      </c>
      <c r="H72" s="19" t="n">
        <v>8.20355580434155</v>
      </c>
      <c r="I72" s="19" t="n">
        <v>925</v>
      </c>
      <c r="J72" s="19" t="n">
        <v>1044</v>
      </c>
      <c r="K72" s="19" t="n">
        <v>8.271108156779709</v>
      </c>
    </row>
    <row r="73">
      <c r="A73" s="19" t="n">
        <v>40</v>
      </c>
      <c r="B73" s="19" t="inlineStr">
        <is>
          <t>Rocker</t>
        </is>
      </c>
      <c r="C73" s="19" t="inlineStr">
        <is>
          <t>Town</t>
        </is>
      </c>
      <c r="D73" s="19" t="inlineStr">
        <is>
          <t>Win</t>
        </is>
      </c>
      <c r="E73" s="19" t="n">
        <v>101</v>
      </c>
      <c r="F73" s="19" t="n">
        <v>20.8409610116457</v>
      </c>
      <c r="G73" s="19" t="n">
        <v>22.2482973130254</v>
      </c>
      <c r="H73" s="19" t="n">
        <v>7.59758247899334</v>
      </c>
      <c r="I73" s="19" t="n">
        <v>637</v>
      </c>
      <c r="J73" s="19" t="n">
        <v>738</v>
      </c>
      <c r="K73" s="19" t="n">
        <v>7.64942258677673</v>
      </c>
    </row>
    <row r="74">
      <c r="A74" s="19" t="n">
        <v>40</v>
      </c>
      <c r="B74" s="19" t="inlineStr">
        <is>
          <t>Carson</t>
        </is>
      </c>
      <c r="C74" s="19" t="inlineStr">
        <is>
          <t>Town</t>
        </is>
      </c>
      <c r="D74" s="19" t="inlineStr">
        <is>
          <t>Win</t>
        </is>
      </c>
      <c r="E74" s="19" t="n">
        <v>89</v>
      </c>
      <c r="F74" s="19" t="n">
        <v>23.2623693006061</v>
      </c>
      <c r="G74" s="19" t="n">
        <v>24.5142070494991</v>
      </c>
      <c r="H74" s="19" t="n">
        <v>7.17160128736284</v>
      </c>
      <c r="I74" s="19" t="n">
        <v>846</v>
      </c>
      <c r="J74" s="19" t="n">
        <v>935</v>
      </c>
      <c r="K74" s="19" t="n">
        <v>7.21376912978122</v>
      </c>
    </row>
    <row r="75">
      <c r="A75" s="19" t="n">
        <v>40</v>
      </c>
      <c r="B75" s="19" t="inlineStr">
        <is>
          <t>Whyin</t>
        </is>
      </c>
      <c r="C75" s="19" t="inlineStr">
        <is>
          <t>Town</t>
        </is>
      </c>
      <c r="D75" s="19" t="inlineStr">
        <is>
          <t>Win</t>
        </is>
      </c>
      <c r="E75" s="19" t="n">
        <v>100</v>
      </c>
      <c r="F75" s="19" t="n">
        <v>16.4762752101244</v>
      </c>
      <c r="G75" s="19" t="n">
        <v>17.8657983202182</v>
      </c>
      <c r="H75" s="19" t="n">
        <v>7.55007528742197</v>
      </c>
      <c r="I75" s="19" t="n">
        <v>345</v>
      </c>
      <c r="J75" s="19" t="n">
        <v>445</v>
      </c>
      <c r="K75" s="19" t="n">
        <v>7.60078265729734</v>
      </c>
    </row>
    <row r="76">
      <c r="A76" s="19" t="n">
        <v>40</v>
      </c>
      <c r="B76" s="19" t="inlineStr">
        <is>
          <t>Plen</t>
        </is>
      </c>
      <c r="C76" s="19" t="inlineStr">
        <is>
          <t>Town</t>
        </is>
      </c>
      <c r="D76" s="19" t="inlineStr">
        <is>
          <t>Win</t>
        </is>
      </c>
      <c r="E76" s="19" t="n">
        <v>113</v>
      </c>
      <c r="F76" s="19" t="n">
        <v>22.5299540089448</v>
      </c>
      <c r="G76" s="19" t="n">
        <v>24.1007710692508</v>
      </c>
      <c r="H76" s="19" t="n">
        <v>8.0196277956894</v>
      </c>
      <c r="I76" s="19" t="n">
        <v>708</v>
      </c>
      <c r="J76" s="19" t="n">
        <v>821</v>
      </c>
      <c r="K76" s="19" t="n">
        <v>8.08215678011476</v>
      </c>
    </row>
    <row r="77">
      <c r="A77" s="19" t="n">
        <v>40</v>
      </c>
      <c r="B77" s="19" t="inlineStr">
        <is>
          <t>Machop</t>
        </is>
      </c>
      <c r="C77" s="19" t="inlineStr">
        <is>
          <t>Town</t>
        </is>
      </c>
      <c r="D77" s="19" t="inlineStr">
        <is>
          <t>Win</t>
        </is>
      </c>
      <c r="E77" s="19" t="n">
        <v>83</v>
      </c>
      <c r="F77" s="19" t="n">
        <v>29.394040106293</v>
      </c>
      <c r="G77" s="19" t="n">
        <v>30.5516218584603</v>
      </c>
      <c r="H77" s="19" t="n">
        <v>6.89984418229837</v>
      </c>
      <c r="I77" s="19" t="n">
        <v>1291</v>
      </c>
      <c r="J77" s="19" t="n">
        <v>1374</v>
      </c>
      <c r="K77" s="19" t="n">
        <v>6.93638949264485</v>
      </c>
    </row>
    <row r="78">
      <c r="A78" s="19" t="n">
        <v>40</v>
      </c>
      <c r="B78" s="19" t="inlineStr">
        <is>
          <t>Xcync</t>
        </is>
      </c>
      <c r="C78" s="19" t="inlineStr">
        <is>
          <t>Town</t>
        </is>
      </c>
      <c r="D78" s="19" t="inlineStr">
        <is>
          <t>Win</t>
        </is>
      </c>
      <c r="E78" s="19" t="n">
        <v>118</v>
      </c>
      <c r="F78" s="19" t="n">
        <v>23.8294091396349</v>
      </c>
      <c r="G78" s="19" t="n">
        <v>25.4749053654974</v>
      </c>
      <c r="H78" s="19" t="n">
        <v>8.204719204881441</v>
      </c>
      <c r="I78" s="19" t="n">
        <v>777</v>
      </c>
      <c r="J78" s="19" t="n">
        <v>895</v>
      </c>
      <c r="K78" s="19" t="n">
        <v>8.27230406085674</v>
      </c>
    </row>
    <row r="79">
      <c r="A79" s="19" t="n">
        <v>40</v>
      </c>
      <c r="B79" s="19" t="inlineStr">
        <is>
          <t>Badpants</t>
        </is>
      </c>
      <c r="C79" s="19" t="inlineStr">
        <is>
          <t>Town</t>
        </is>
      </c>
      <c r="D79" s="19" t="inlineStr">
        <is>
          <t>Win</t>
        </is>
      </c>
      <c r="E79" s="19" t="n">
        <v>116</v>
      </c>
      <c r="F79" s="19" t="n">
        <v>25.4082704790786</v>
      </c>
      <c r="G79" s="19" t="n">
        <v>27.0190363226769</v>
      </c>
      <c r="H79" s="19" t="n">
        <v>8.119203231735501</v>
      </c>
      <c r="I79" s="19" t="n">
        <v>893</v>
      </c>
      <c r="J79" s="19" t="n">
        <v>1009</v>
      </c>
      <c r="K79" s="19" t="n">
        <v>8.184423467920009</v>
      </c>
    </row>
    <row r="80">
      <c r="A80" s="19" t="n">
        <v>40</v>
      </c>
      <c r="B80" s="19" t="inlineStr">
        <is>
          <t>Streety</t>
        </is>
      </c>
      <c r="C80" s="19" t="inlineStr">
        <is>
          <t>Town</t>
        </is>
      </c>
      <c r="D80" s="19" t="inlineStr">
        <is>
          <t>Win</t>
        </is>
      </c>
      <c r="E80" s="19" t="n">
        <v>96</v>
      </c>
      <c r="F80" s="19" t="n">
        <v>21.7343492600552</v>
      </c>
      <c r="G80" s="19" t="n">
        <v>23.0744677560292</v>
      </c>
      <c r="H80" s="19" t="n">
        <v>7.41662309609461</v>
      </c>
      <c r="I80" s="19" t="n">
        <v>717</v>
      </c>
      <c r="J80" s="19" t="n">
        <v>813</v>
      </c>
      <c r="K80" s="19" t="n">
        <v>7.46422214708322</v>
      </c>
    </row>
    <row r="81">
      <c r="A81" s="19" t="n">
        <v>40</v>
      </c>
      <c r="B81" s="19" t="inlineStr">
        <is>
          <t>Schmittball</t>
        </is>
      </c>
      <c r="C81" s="19" t="inlineStr">
        <is>
          <t>Town</t>
        </is>
      </c>
      <c r="D81" s="19" t="inlineStr">
        <is>
          <t>Win</t>
        </is>
      </c>
      <c r="E81" s="19" t="n">
        <v>121</v>
      </c>
      <c r="F81" s="19" t="n">
        <v>25</v>
      </c>
      <c r="G81" s="19" t="n">
        <v>26.6698332150654</v>
      </c>
      <c r="H81" s="19" t="n">
        <v>8.2640777685933</v>
      </c>
      <c r="I81" s="19" t="n">
        <v>850</v>
      </c>
      <c r="J81" s="19" t="n">
        <v>971</v>
      </c>
      <c r="K81" s="19" t="n">
        <v>8.33333333333333</v>
      </c>
    </row>
    <row r="82">
      <c r="A82" s="19" t="n">
        <v>39</v>
      </c>
      <c r="B82" s="19" t="inlineStr">
        <is>
          <t>Noah</t>
        </is>
      </c>
      <c r="C82" s="19" t="inlineStr">
        <is>
          <t>Mafia</t>
        </is>
      </c>
      <c r="D82" s="19" t="inlineStr">
        <is>
          <t>Win</t>
        </is>
      </c>
      <c r="E82" s="19" t="n">
        <v>22</v>
      </c>
      <c r="F82" s="19" t="n">
        <v>27.076313105321</v>
      </c>
      <c r="G82" s="19" t="n">
        <v>27.3813235706427</v>
      </c>
      <c r="H82" s="19" t="n">
        <v>6.89840902421667</v>
      </c>
      <c r="I82" s="19" t="n">
        <v>1136</v>
      </c>
      <c r="J82" s="19" t="n">
        <v>1158</v>
      </c>
      <c r="K82" s="19" t="n">
        <v>6.9169500243878</v>
      </c>
    </row>
    <row r="83">
      <c r="A83" s="19" t="n">
        <v>39</v>
      </c>
      <c r="B83" s="19" t="inlineStr">
        <is>
          <t>Steep</t>
        </is>
      </c>
      <c r="C83" s="19" t="inlineStr">
        <is>
          <t>Mafia</t>
        </is>
      </c>
      <c r="D83" s="19" t="inlineStr">
        <is>
          <t>Win</t>
        </is>
      </c>
      <c r="E83" s="19" t="n">
        <v>32</v>
      </c>
      <c r="F83" s="19" t="n">
        <v>24.6920266180919</v>
      </c>
      <c r="G83" s="19" t="n">
        <v>25.1132196253933</v>
      </c>
      <c r="H83" s="19" t="n">
        <v>8.09523865736746</v>
      </c>
      <c r="I83" s="19" t="n">
        <v>850</v>
      </c>
      <c r="J83" s="19" t="n">
        <v>882</v>
      </c>
      <c r="K83" s="19" t="n">
        <v>8.130373355769979</v>
      </c>
    </row>
    <row r="84">
      <c r="A84" s="19" t="n">
        <v>39</v>
      </c>
      <c r="B84" s="19" t="inlineStr">
        <is>
          <t>Lou</t>
        </is>
      </c>
      <c r="C84" s="19" t="inlineStr">
        <is>
          <t>Mafia</t>
        </is>
      </c>
      <c r="D84" s="19" t="inlineStr">
        <is>
          <t>Win</t>
        </is>
      </c>
      <c r="E84" s="19" t="n">
        <v>34</v>
      </c>
      <c r="F84" s="19" t="n">
        <v>26.0152214138178</v>
      </c>
      <c r="G84" s="19" t="n">
        <v>26.4511021233987</v>
      </c>
      <c r="H84" s="19" t="n">
        <v>8.233729966231779</v>
      </c>
      <c r="I84" s="19" t="n">
        <v>925</v>
      </c>
      <c r="J84" s="19" t="n">
        <v>959</v>
      </c>
      <c r="K84" s="19" t="n">
        <v>8.271108156779709</v>
      </c>
    </row>
    <row r="85">
      <c r="A85" s="19" t="n">
        <v>39</v>
      </c>
      <c r="B85" s="19" t="inlineStr">
        <is>
          <t>Kwix</t>
        </is>
      </c>
      <c r="C85" s="19" t="inlineStr">
        <is>
          <t>Town</t>
        </is>
      </c>
      <c r="D85" s="19" t="inlineStr">
        <is>
          <t>Loss</t>
        </is>
      </c>
      <c r="E85" s="19" t="n">
        <v>-23</v>
      </c>
      <c r="F85" s="19" t="n">
        <v>22.5365275785094</v>
      </c>
      <c r="G85" s="19" t="n">
        <v>22.1555259820326</v>
      </c>
      <c r="H85" s="19" t="n">
        <v>7.70302112603607</v>
      </c>
      <c r="I85" s="19" t="n">
        <v>744</v>
      </c>
      <c r="J85" s="19" t="n">
        <v>721</v>
      </c>
      <c r="K85" s="19" t="n">
        <v>7.73218294589696</v>
      </c>
    </row>
    <row r="86">
      <c r="A86" s="19" t="n">
        <v>39</v>
      </c>
      <c r="B86" s="19" t="inlineStr">
        <is>
          <t>Happymeal</t>
        </is>
      </c>
      <c r="C86" s="19" t="inlineStr">
        <is>
          <t>Town</t>
        </is>
      </c>
      <c r="D86" s="19" t="inlineStr">
        <is>
          <t>Loss</t>
        </is>
      </c>
      <c r="E86" s="19" t="n">
        <v>-23</v>
      </c>
      <c r="F86" s="19" t="n">
        <v>24.419477411662</v>
      </c>
      <c r="G86" s="19" t="n">
        <v>24.0362105211305</v>
      </c>
      <c r="H86" s="19" t="n">
        <v>7.72567777197567</v>
      </c>
      <c r="I86" s="19" t="n">
        <v>869</v>
      </c>
      <c r="J86" s="19" t="n">
        <v>846</v>
      </c>
      <c r="K86" s="19" t="n">
        <v>7.75516972479567</v>
      </c>
    </row>
    <row r="87">
      <c r="A87" s="19" t="n">
        <v>39</v>
      </c>
      <c r="B87" s="19" t="inlineStr">
        <is>
          <t>Machop</t>
        </is>
      </c>
      <c r="C87" s="19" t="inlineStr">
        <is>
          <t>Town</t>
        </is>
      </c>
      <c r="D87" s="19" t="inlineStr">
        <is>
          <t>Loss</t>
        </is>
      </c>
      <c r="E87" s="19" t="n">
        <v>-19</v>
      </c>
      <c r="F87" s="19" t="n">
        <v>29.7024433537348</v>
      </c>
      <c r="G87" s="19" t="n">
        <v>29.394040106293</v>
      </c>
      <c r="H87" s="19" t="n">
        <v>6.93638949264485</v>
      </c>
      <c r="I87" s="19" t="n">
        <v>1310</v>
      </c>
      <c r="J87" s="19" t="n">
        <v>1291</v>
      </c>
      <c r="K87" s="19" t="n">
        <v>6.95538592788846</v>
      </c>
    </row>
    <row r="88">
      <c r="A88" s="19" t="n">
        <v>39</v>
      </c>
      <c r="B88" s="19" t="inlineStr">
        <is>
          <t>Streety</t>
        </is>
      </c>
      <c r="C88" s="19" t="inlineStr">
        <is>
          <t>Town</t>
        </is>
      </c>
      <c r="D88" s="19" t="inlineStr">
        <is>
          <t>Loss</t>
        </is>
      </c>
      <c r="E88" s="19" t="n">
        <v>-21</v>
      </c>
      <c r="F88" s="19" t="n">
        <v>22.0918940163209</v>
      </c>
      <c r="G88" s="19" t="n">
        <v>21.7343492600552</v>
      </c>
      <c r="H88" s="19" t="n">
        <v>7.46422214708322</v>
      </c>
      <c r="I88" s="19" t="n">
        <v>738</v>
      </c>
      <c r="J88" s="19" t="n">
        <v>717</v>
      </c>
      <c r="K88" s="19" t="n">
        <v>7.49001148255136</v>
      </c>
    </row>
    <row r="89">
      <c r="A89" s="19" t="n">
        <v>39</v>
      </c>
      <c r="B89" s="19" t="inlineStr">
        <is>
          <t>Whyin</t>
        </is>
      </c>
      <c r="C89" s="19" t="inlineStr">
        <is>
          <t>Town</t>
        </is>
      </c>
      <c r="D89" s="19" t="inlineStr">
        <is>
          <t>Loss</t>
        </is>
      </c>
      <c r="E89" s="19" t="n">
        <v>-23</v>
      </c>
      <c r="F89" s="19" t="n">
        <v>16.8471404112579</v>
      </c>
      <c r="G89" s="19" t="n">
        <v>16.4762752101244</v>
      </c>
      <c r="H89" s="19" t="n">
        <v>7.60078265729734</v>
      </c>
      <c r="I89" s="19" t="n">
        <v>368</v>
      </c>
      <c r="J89" s="19" t="n">
        <v>345</v>
      </c>
      <c r="K89" s="19" t="n">
        <v>7.62847682444862</v>
      </c>
    </row>
    <row r="90">
      <c r="A90" s="19" t="n">
        <v>39</v>
      </c>
      <c r="B90" s="19" t="inlineStr">
        <is>
          <t>Rocker</t>
        </is>
      </c>
      <c r="C90" s="19" t="inlineStr">
        <is>
          <t>Town</t>
        </is>
      </c>
      <c r="D90" s="19" t="inlineStr">
        <is>
          <t>Loss</t>
        </is>
      </c>
      <c r="E90" s="19" t="n">
        <v>-23</v>
      </c>
      <c r="F90" s="19" t="n">
        <v>21.2166310937202</v>
      </c>
      <c r="G90" s="19" t="n">
        <v>20.8409610116457</v>
      </c>
      <c r="H90" s="19" t="n">
        <v>7.64942258677673</v>
      </c>
      <c r="I90" s="19" t="n">
        <v>660</v>
      </c>
      <c r="J90" s="19" t="n">
        <v>637</v>
      </c>
      <c r="K90" s="19" t="n">
        <v>7.67781050197373</v>
      </c>
    </row>
    <row r="91">
      <c r="A91" s="19" t="n">
        <v>39</v>
      </c>
      <c r="B91" s="19" t="inlineStr">
        <is>
          <t>Chester</t>
        </is>
      </c>
      <c r="C91" s="19" t="inlineStr">
        <is>
          <t>Town</t>
        </is>
      </c>
      <c r="D91" s="19" t="inlineStr">
        <is>
          <t>Loss</t>
        </is>
      </c>
      <c r="E91" s="19" t="n">
        <v>-24</v>
      </c>
      <c r="F91" s="19" t="n">
        <v>20.9115424151785</v>
      </c>
      <c r="G91" s="19" t="n">
        <v>20.5147119919659</v>
      </c>
      <c r="H91" s="19" t="n">
        <v>7.859918391595</v>
      </c>
      <c r="I91" s="19" t="n">
        <v>617</v>
      </c>
      <c r="J91" s="19" t="n">
        <v>593</v>
      </c>
      <c r="K91" s="19" t="n">
        <v>7.89140334792395</v>
      </c>
    </row>
    <row r="92">
      <c r="A92" s="19" t="n">
        <v>39</v>
      </c>
      <c r="B92" s="19" t="inlineStr">
        <is>
          <t>Wyz</t>
        </is>
      </c>
      <c r="C92" s="19" t="inlineStr">
        <is>
          <t>Town</t>
        </is>
      </c>
      <c r="D92" s="19" t="inlineStr">
        <is>
          <t>Loss</t>
        </is>
      </c>
      <c r="E92" s="19" t="n">
        <v>-26</v>
      </c>
      <c r="F92" s="19" t="n">
        <v>25</v>
      </c>
      <c r="G92" s="19" t="n">
        <v>24.5575448364605</v>
      </c>
      <c r="H92" s="19" t="n">
        <v>8.29494047264077</v>
      </c>
      <c r="I92" s="19" t="n">
        <v>850</v>
      </c>
      <c r="J92" s="19" t="n">
        <v>824</v>
      </c>
      <c r="K92" s="19" t="n">
        <v>8.33333333333333</v>
      </c>
    </row>
    <row r="93">
      <c r="A93" s="19" t="n">
        <v>39</v>
      </c>
      <c r="B93" s="19" t="inlineStr">
        <is>
          <t>Hunter</t>
        </is>
      </c>
      <c r="C93" s="19" t="inlineStr">
        <is>
          <t>Town</t>
        </is>
      </c>
      <c r="D93" s="19" t="inlineStr">
        <is>
          <t>Loss</t>
        </is>
      </c>
      <c r="E93" s="19" t="n">
        <v>-25</v>
      </c>
      <c r="F93" s="19" t="n">
        <v>25.818495858342</v>
      </c>
      <c r="G93" s="19" t="n">
        <v>25.386163640866</v>
      </c>
      <c r="H93" s="19" t="n">
        <v>8.20049424369652</v>
      </c>
      <c r="I93" s="19" t="n">
        <v>915</v>
      </c>
      <c r="J93" s="19" t="n">
        <v>890</v>
      </c>
      <c r="K93" s="19" t="n">
        <v>8.237327456802619</v>
      </c>
    </row>
    <row r="94">
      <c r="A94" s="19" t="n">
        <v>39</v>
      </c>
      <c r="B94" s="19" t="inlineStr">
        <is>
          <t>Plen</t>
        </is>
      </c>
      <c r="C94" s="19" t="inlineStr">
        <is>
          <t>Town</t>
        </is>
      </c>
      <c r="D94" s="19" t="inlineStr">
        <is>
          <t>Loss</t>
        </is>
      </c>
      <c r="E94" s="19" t="n">
        <v>-25</v>
      </c>
      <c r="F94" s="19" t="n">
        <v>22.9497730289441</v>
      </c>
      <c r="G94" s="19" t="n">
        <v>22.5299540089448</v>
      </c>
      <c r="H94" s="19" t="n">
        <v>8.08215678011476</v>
      </c>
      <c r="I94" s="19" t="n">
        <v>733</v>
      </c>
      <c r="J94" s="19" t="n">
        <v>708</v>
      </c>
      <c r="K94" s="19" t="n">
        <v>8.117083261714869</v>
      </c>
    </row>
    <row r="95">
      <c r="A95" s="19" t="n">
        <v>38</v>
      </c>
      <c r="B95" s="19" t="inlineStr">
        <is>
          <t>Machop</t>
        </is>
      </c>
      <c r="C95" s="19" t="inlineStr">
        <is>
          <t>Mafia</t>
        </is>
      </c>
      <c r="D95" s="19" t="inlineStr">
        <is>
          <t>Win</t>
        </is>
      </c>
      <c r="E95" s="19" t="n">
        <v>45</v>
      </c>
      <c r="F95" s="19" t="n">
        <v>29.0844848245459</v>
      </c>
      <c r="G95" s="19" t="n">
        <v>29.7024433537348</v>
      </c>
      <c r="H95" s="19" t="n">
        <v>6.95538592788846</v>
      </c>
      <c r="I95" s="19" t="n">
        <v>1265</v>
      </c>
      <c r="J95" s="19" t="n">
        <v>1310</v>
      </c>
      <c r="K95" s="19" t="n">
        <v>6.98690376627516</v>
      </c>
    </row>
    <row r="96">
      <c r="A96" s="19" t="n">
        <v>38</v>
      </c>
      <c r="B96" s="19" t="inlineStr">
        <is>
          <t>Kwix</t>
        </is>
      </c>
      <c r="C96" s="19" t="inlineStr">
        <is>
          <t>Mafia</t>
        </is>
      </c>
      <c r="D96" s="19" t="inlineStr">
        <is>
          <t>Win</t>
        </is>
      </c>
      <c r="E96" s="19" t="n">
        <v>57</v>
      </c>
      <c r="F96" s="19" t="n">
        <v>21.7708271258397</v>
      </c>
      <c r="G96" s="19" t="n">
        <v>22.5365275785094</v>
      </c>
      <c r="H96" s="19" t="n">
        <v>7.73218294589696</v>
      </c>
      <c r="I96" s="19" t="n">
        <v>687</v>
      </c>
      <c r="J96" s="19" t="n">
        <v>744</v>
      </c>
      <c r="K96" s="19" t="n">
        <v>7.77878520737982</v>
      </c>
    </row>
    <row r="97">
      <c r="A97" s="19" t="n">
        <v>38</v>
      </c>
      <c r="B97" s="19" t="inlineStr">
        <is>
          <t>Streety</t>
        </is>
      </c>
      <c r="C97" s="19" t="inlineStr">
        <is>
          <t>Mafia</t>
        </is>
      </c>
      <c r="D97" s="19" t="inlineStr">
        <is>
          <t>Win</t>
        </is>
      </c>
      <c r="E97" s="19" t="n">
        <v>53</v>
      </c>
      <c r="F97" s="19" t="n">
        <v>21.3740154033011</v>
      </c>
      <c r="G97" s="19" t="n">
        <v>22.0918940163209</v>
      </c>
      <c r="H97" s="19" t="n">
        <v>7.49001148255136</v>
      </c>
      <c r="I97" s="19" t="n">
        <v>685</v>
      </c>
      <c r="J97" s="19" t="n">
        <v>738</v>
      </c>
      <c r="K97" s="19" t="n">
        <v>7.53158390769606</v>
      </c>
    </row>
    <row r="98">
      <c r="A98" s="19" t="n">
        <v>38</v>
      </c>
      <c r="B98" s="19" t="inlineStr">
        <is>
          <t>Heck</t>
        </is>
      </c>
      <c r="C98" s="19" t="inlineStr">
        <is>
          <t>Town</t>
        </is>
      </c>
      <c r="D98" s="19" t="inlineStr">
        <is>
          <t>Loss</t>
        </is>
      </c>
      <c r="E98" s="19" t="n">
        <v>-49</v>
      </c>
      <c r="F98" s="19" t="n">
        <v>23.4180105531786</v>
      </c>
      <c r="G98" s="19" t="n">
        <v>22.6119340322016</v>
      </c>
      <c r="H98" s="19" t="n">
        <v>7.93058222505662</v>
      </c>
      <c r="I98" s="19" t="n">
        <v>778</v>
      </c>
      <c r="J98" s="19" t="n">
        <v>729</v>
      </c>
      <c r="K98" s="19" t="n">
        <v>7.98153901135703</v>
      </c>
    </row>
    <row r="99">
      <c r="A99" s="19" t="n">
        <v>38</v>
      </c>
      <c r="B99" s="19" t="inlineStr">
        <is>
          <t>Maz</t>
        </is>
      </c>
      <c r="C99" s="19" t="inlineStr">
        <is>
          <t>Town</t>
        </is>
      </c>
      <c r="D99" s="19" t="inlineStr">
        <is>
          <t>Loss</t>
        </is>
      </c>
      <c r="E99" s="19" t="n">
        <v>-43</v>
      </c>
      <c r="F99" s="19" t="n">
        <v>32.4876108765234</v>
      </c>
      <c r="G99" s="19" t="n">
        <v>31.7994802971253</v>
      </c>
      <c r="H99" s="19" t="n">
        <v>7.3351158215612</v>
      </c>
      <c r="I99" s="19" t="n">
        <v>1457</v>
      </c>
      <c r="J99" s="19" t="n">
        <v>1414</v>
      </c>
      <c r="K99" s="19" t="n">
        <v>7.37363007056538</v>
      </c>
    </row>
    <row r="100">
      <c r="A100" s="19" t="n">
        <v>38</v>
      </c>
      <c r="B100" s="19" t="inlineStr">
        <is>
          <t>Levi</t>
        </is>
      </c>
      <c r="C100" s="19" t="inlineStr">
        <is>
          <t>Town</t>
        </is>
      </c>
      <c r="D100" s="19" t="inlineStr">
        <is>
          <t>Loss</t>
        </is>
      </c>
      <c r="E100" s="19" t="n">
        <v>-54</v>
      </c>
      <c r="F100" s="19" t="n">
        <v>25</v>
      </c>
      <c r="G100" s="19" t="n">
        <v>24.1214027145434</v>
      </c>
      <c r="H100" s="19" t="n">
        <v>8.27431152993395</v>
      </c>
      <c r="I100" s="19" t="n">
        <v>850</v>
      </c>
      <c r="J100" s="19" t="n">
        <v>796</v>
      </c>
      <c r="K100" s="19" t="n">
        <v>8.33333333333333</v>
      </c>
    </row>
    <row r="101">
      <c r="A101" s="19" t="n">
        <v>38</v>
      </c>
      <c r="B101" s="19" t="inlineStr">
        <is>
          <t>Noah</t>
        </is>
      </c>
      <c r="C101" s="19" t="inlineStr">
        <is>
          <t>Town</t>
        </is>
      </c>
      <c r="D101" s="19" t="inlineStr">
        <is>
          <t>Loss</t>
        </is>
      </c>
      <c r="E101" s="19" t="n">
        <v>-38</v>
      </c>
      <c r="F101" s="19" t="n">
        <v>27.68738623675</v>
      </c>
      <c r="G101" s="19" t="n">
        <v>27.076313105321</v>
      </c>
      <c r="H101" s="19" t="n">
        <v>6.9169500243878</v>
      </c>
      <c r="I101" s="19" t="n">
        <v>1174</v>
      </c>
      <c r="J101" s="19" t="n">
        <v>1136</v>
      </c>
      <c r="K101" s="19" t="n">
        <v>6.94779793793209</v>
      </c>
    </row>
    <row r="102">
      <c r="A102" s="19" t="n">
        <v>38</v>
      </c>
      <c r="B102" s="19" t="inlineStr">
        <is>
          <t>Whyin</t>
        </is>
      </c>
      <c r="C102" s="19" t="inlineStr">
        <is>
          <t>Town</t>
        </is>
      </c>
      <c r="D102" s="19" t="inlineStr">
        <is>
          <t>Loss</t>
        </is>
      </c>
      <c r="E102" s="19" t="n">
        <v>-46</v>
      </c>
      <c r="F102" s="19" t="n">
        <v>17.5921655362841</v>
      </c>
      <c r="G102" s="19" t="n">
        <v>16.8471404112579</v>
      </c>
      <c r="H102" s="19" t="n">
        <v>7.62847682444862</v>
      </c>
      <c r="I102" s="19" t="n">
        <v>414</v>
      </c>
      <c r="J102" s="19" t="n">
        <v>368</v>
      </c>
      <c r="K102" s="19" t="n">
        <v>7.67288738359248</v>
      </c>
    </row>
    <row r="103">
      <c r="A103" s="19" t="n">
        <v>38</v>
      </c>
      <c r="B103" s="19" t="inlineStr">
        <is>
          <t>Chester</t>
        </is>
      </c>
      <c r="C103" s="19" t="inlineStr">
        <is>
          <t>Town</t>
        </is>
      </c>
      <c r="D103" s="19" t="inlineStr">
        <is>
          <t>Loss</t>
        </is>
      </c>
      <c r="E103" s="19" t="n">
        <v>-49</v>
      </c>
      <c r="F103" s="19" t="n">
        <v>21.7095599322</v>
      </c>
      <c r="G103" s="19" t="n">
        <v>20.9115424151785</v>
      </c>
      <c r="H103" s="19" t="n">
        <v>7.89140334792395</v>
      </c>
      <c r="I103" s="19" t="n">
        <v>666</v>
      </c>
      <c r="J103" s="19" t="n">
        <v>617</v>
      </c>
      <c r="K103" s="19" t="n">
        <v>7.94148315682277</v>
      </c>
    </row>
    <row r="104">
      <c r="A104" s="19" t="n">
        <v>38</v>
      </c>
      <c r="B104" s="19" t="inlineStr">
        <is>
          <t>Justice</t>
        </is>
      </c>
      <c r="C104" s="19" t="inlineStr">
        <is>
          <t>Town</t>
        </is>
      </c>
      <c r="D104" s="19" t="inlineStr">
        <is>
          <t>Loss</t>
        </is>
      </c>
      <c r="E104" s="19" t="n">
        <v>-43</v>
      </c>
      <c r="F104" s="19" t="n">
        <v>23.6215735667143</v>
      </c>
      <c r="G104" s="19" t="n">
        <v>22.9212220453809</v>
      </c>
      <c r="H104" s="19" t="n">
        <v>7.3991618113601</v>
      </c>
      <c r="I104" s="19" t="n">
        <v>847</v>
      </c>
      <c r="J104" s="19" t="n">
        <v>804</v>
      </c>
      <c r="K104" s="19" t="n">
        <v>7.43892580499811</v>
      </c>
    </row>
    <row r="105">
      <c r="A105" s="19" t="n">
        <v>38</v>
      </c>
      <c r="B105" s="19" t="inlineStr">
        <is>
          <t>Keegan</t>
        </is>
      </c>
      <c r="C105" s="19" t="inlineStr">
        <is>
          <t>Town</t>
        </is>
      </c>
      <c r="D105" s="19" t="inlineStr">
        <is>
          <t>Loss</t>
        </is>
      </c>
      <c r="E105" s="19" t="n">
        <v>-47</v>
      </c>
      <c r="F105" s="19" t="n">
        <v>27.0392195550299</v>
      </c>
      <c r="G105" s="19" t="n">
        <v>26.2861783280797</v>
      </c>
      <c r="H105" s="19" t="n">
        <v>7.66886071529896</v>
      </c>
      <c r="I105" s="19" t="n">
        <v>1052</v>
      </c>
      <c r="J105" s="19" t="n">
        <v>1005</v>
      </c>
      <c r="K105" s="19" t="n">
        <v>7.7141179459558</v>
      </c>
    </row>
    <row r="106">
      <c r="A106" s="19" t="n">
        <v>38</v>
      </c>
      <c r="B106" s="19" t="inlineStr">
        <is>
          <t>Creatchee</t>
        </is>
      </c>
      <c r="C106" s="19" t="inlineStr">
        <is>
          <t>Town</t>
        </is>
      </c>
      <c r="D106" s="19" t="inlineStr">
        <is>
          <t>Loss</t>
        </is>
      </c>
      <c r="E106" s="19" t="n">
        <v>-51</v>
      </c>
      <c r="F106" s="19" t="n">
        <v>22.4314828714937</v>
      </c>
      <c r="G106" s="19" t="n">
        <v>21.5894649694713</v>
      </c>
      <c r="H106" s="19" t="n">
        <v>8.102870114235129</v>
      </c>
      <c r="I106" s="19" t="n">
        <v>693</v>
      </c>
      <c r="J106" s="19" t="n">
        <v>642</v>
      </c>
      <c r="K106" s="19" t="n">
        <v>8.157785124883191</v>
      </c>
    </row>
    <row r="107">
      <c r="A107" s="19" t="n">
        <v>38</v>
      </c>
      <c r="B107" s="19" t="inlineStr">
        <is>
          <t>Plen</t>
        </is>
      </c>
      <c r="C107" s="19" t="inlineStr">
        <is>
          <t>Town</t>
        </is>
      </c>
      <c r="D107" s="19" t="inlineStr">
        <is>
          <t>Loss</t>
        </is>
      </c>
      <c r="E107" s="19" t="n">
        <v>-51</v>
      </c>
      <c r="F107" s="19" t="n">
        <v>23.7947925669238</v>
      </c>
      <c r="G107" s="19" t="n">
        <v>22.9497730289441</v>
      </c>
      <c r="H107" s="19" t="n">
        <v>8.117083261714869</v>
      </c>
      <c r="I107" s="19" t="n">
        <v>784</v>
      </c>
      <c r="J107" s="19" t="n">
        <v>733</v>
      </c>
      <c r="K107" s="19" t="n">
        <v>8.17233230591647</v>
      </c>
    </row>
    <row r="108">
      <c r="A108" s="19" t="n">
        <v>37</v>
      </c>
      <c r="B108" s="19" t="inlineStr">
        <is>
          <t>Noah</t>
        </is>
      </c>
      <c r="C108" s="19" t="inlineStr">
        <is>
          <t>Mafia</t>
        </is>
      </c>
      <c r="D108" s="19" t="inlineStr">
        <is>
          <t>Win</t>
        </is>
      </c>
      <c r="E108" s="19" t="n">
        <v>42</v>
      </c>
      <c r="F108" s="19" t="n">
        <v>27.1200251648003</v>
      </c>
      <c r="G108" s="19" t="n">
        <v>27.68738623675</v>
      </c>
      <c r="H108" s="19" t="n">
        <v>6.94779793793209</v>
      </c>
      <c r="I108" s="19" t="n">
        <v>1132</v>
      </c>
      <c r="J108" s="19" t="n">
        <v>1174</v>
      </c>
      <c r="K108" s="19" t="n">
        <v>6.97712381265073</v>
      </c>
    </row>
    <row r="109">
      <c r="A109" s="19" t="n">
        <v>37</v>
      </c>
      <c r="B109" s="19" t="inlineStr">
        <is>
          <t>Pinkee</t>
        </is>
      </c>
      <c r="C109" s="19" t="inlineStr">
        <is>
          <t>Mafia</t>
        </is>
      </c>
      <c r="D109" s="19" t="inlineStr">
        <is>
          <t>Win</t>
        </is>
      </c>
      <c r="E109" s="19" t="n">
        <v>58</v>
      </c>
      <c r="F109" s="19" t="n">
        <v>24.0733941282151</v>
      </c>
      <c r="G109" s="19" t="n">
        <v>24.8404888544389</v>
      </c>
      <c r="H109" s="19" t="n">
        <v>8.064013721327109</v>
      </c>
      <c r="I109" s="19" t="n">
        <v>809</v>
      </c>
      <c r="J109" s="19" t="n">
        <v>867</v>
      </c>
      <c r="K109" s="19" t="n">
        <v>8.114759765121599</v>
      </c>
    </row>
    <row r="110">
      <c r="A110" s="19" t="n">
        <v>37</v>
      </c>
      <c r="B110" s="19" t="inlineStr">
        <is>
          <t>Torharo</t>
        </is>
      </c>
      <c r="C110" s="19" t="inlineStr">
        <is>
          <t>Mafia</t>
        </is>
      </c>
      <c r="D110" s="19" t="inlineStr">
        <is>
          <t>Win</t>
        </is>
      </c>
      <c r="E110" s="19" t="n">
        <v>52</v>
      </c>
      <c r="F110" s="19" t="n">
        <v>24.8258245407723</v>
      </c>
      <c r="G110" s="19" t="n">
        <v>25.5225114840145</v>
      </c>
      <c r="H110" s="19" t="n">
        <v>7.68996982397346</v>
      </c>
      <c r="I110" s="19" t="n">
        <v>899</v>
      </c>
      <c r="J110" s="19" t="n">
        <v>951</v>
      </c>
      <c r="K110" s="19" t="n">
        <v>7.73285752876976</v>
      </c>
    </row>
    <row r="111">
      <c r="A111" s="19" t="n">
        <v>37</v>
      </c>
      <c r="B111" s="19" t="inlineStr">
        <is>
          <t>Lombax</t>
        </is>
      </c>
      <c r="C111" s="19" t="inlineStr">
        <is>
          <t>Town</t>
        </is>
      </c>
      <c r="D111" s="19" t="inlineStr">
        <is>
          <t>Loss</t>
        </is>
      </c>
      <c r="E111" s="19" t="n">
        <v>-47</v>
      </c>
      <c r="F111" s="19" t="n">
        <v>25.9933272380955</v>
      </c>
      <c r="G111" s="19" t="n">
        <v>25.230357494333</v>
      </c>
      <c r="H111" s="19" t="n">
        <v>8.042605668002979</v>
      </c>
      <c r="I111" s="19" t="n">
        <v>942</v>
      </c>
      <c r="J111" s="19" t="n">
        <v>895</v>
      </c>
      <c r="K111" s="19" t="n">
        <v>8.09288226084611</v>
      </c>
    </row>
    <row r="112">
      <c r="A112" s="19" t="n">
        <v>37</v>
      </c>
      <c r="B112" s="19" t="inlineStr">
        <is>
          <t>Kwix</t>
        </is>
      </c>
      <c r="C112" s="19" t="inlineStr">
        <is>
          <t>Town</t>
        </is>
      </c>
      <c r="D112" s="19" t="inlineStr">
        <is>
          <t>Loss</t>
        </is>
      </c>
      <c r="E112" s="19" t="n">
        <v>-44</v>
      </c>
      <c r="F112" s="19" t="n">
        <v>22.4839130775645</v>
      </c>
      <c r="G112" s="19" t="n">
        <v>21.7708271258397</v>
      </c>
      <c r="H112" s="19" t="n">
        <v>7.77878520737982</v>
      </c>
      <c r="I112" s="19" t="n">
        <v>731</v>
      </c>
      <c r="J112" s="19" t="n">
        <v>687</v>
      </c>
      <c r="K112" s="19" t="n">
        <v>7.82347374308437</v>
      </c>
    </row>
    <row r="113">
      <c r="A113" s="19" t="n">
        <v>37</v>
      </c>
      <c r="B113" s="19" t="inlineStr">
        <is>
          <t>Carson</t>
        </is>
      </c>
      <c r="C113" s="19" t="inlineStr">
        <is>
          <t>Town</t>
        </is>
      </c>
      <c r="D113" s="19" t="inlineStr">
        <is>
          <t>Loss</t>
        </is>
      </c>
      <c r="E113" s="19" t="n">
        <v>-38</v>
      </c>
      <c r="F113" s="19" t="n">
        <v>23.8744991973872</v>
      </c>
      <c r="G113" s="19" t="n">
        <v>23.2623693006061</v>
      </c>
      <c r="H113" s="19" t="n">
        <v>7.21376912978122</v>
      </c>
      <c r="I113" s="19" t="n">
        <v>884</v>
      </c>
      <c r="J113" s="19" t="n">
        <v>846</v>
      </c>
      <c r="K113" s="19" t="n">
        <v>7.24766009869252</v>
      </c>
    </row>
    <row r="114">
      <c r="A114" s="19" t="n">
        <v>37</v>
      </c>
      <c r="B114" s="19" t="inlineStr">
        <is>
          <t>Plen</t>
        </is>
      </c>
      <c r="C114" s="19" t="inlineStr">
        <is>
          <t>Town</t>
        </is>
      </c>
      <c r="D114" s="19" t="inlineStr">
        <is>
          <t>Loss</t>
        </is>
      </c>
      <c r="E114" s="19" t="n">
        <v>-49</v>
      </c>
      <c r="F114" s="19" t="n">
        <v>24.5829364325564</v>
      </c>
      <c r="G114" s="19" t="n">
        <v>23.7947925669238</v>
      </c>
      <c r="H114" s="19" t="n">
        <v>8.17233230591647</v>
      </c>
      <c r="I114" s="19" t="n">
        <v>833</v>
      </c>
      <c r="J114" s="19" t="n">
        <v>784</v>
      </c>
      <c r="K114" s="19" t="n">
        <v>8.22549125100319</v>
      </c>
    </row>
    <row r="115">
      <c r="A115" s="19" t="n">
        <v>37</v>
      </c>
      <c r="B115" s="19" t="inlineStr">
        <is>
          <t>5up</t>
        </is>
      </c>
      <c r="C115" s="19" t="inlineStr">
        <is>
          <t>Town</t>
        </is>
      </c>
      <c r="D115" s="19" t="inlineStr">
        <is>
          <t>Loss</t>
        </is>
      </c>
      <c r="E115" s="19" t="n">
        <v>-46</v>
      </c>
      <c r="F115" s="19" t="n">
        <v>25.5458732795092</v>
      </c>
      <c r="G115" s="19" t="n">
        <v>24.8028212171345</v>
      </c>
      <c r="H115" s="19" t="n">
        <v>7.93837677621357</v>
      </c>
      <c r="I115" s="19" t="n">
        <v>923</v>
      </c>
      <c r="J115" s="19" t="n">
        <v>877</v>
      </c>
      <c r="K115" s="19" t="n">
        <v>7.98640237799187</v>
      </c>
    </row>
    <row r="116">
      <c r="A116" s="19" t="n">
        <v>37</v>
      </c>
      <c r="B116" s="19" t="inlineStr">
        <is>
          <t>Rick</t>
        </is>
      </c>
      <c r="C116" s="19" t="inlineStr">
        <is>
          <t>Town</t>
        </is>
      </c>
      <c r="D116" s="19" t="inlineStr">
        <is>
          <t>Loss</t>
        </is>
      </c>
      <c r="E116" s="19" t="n">
        <v>-46</v>
      </c>
      <c r="F116" s="19" t="n">
        <v>30.5161475945743</v>
      </c>
      <c r="G116" s="19" t="n">
        <v>29.7628492587963</v>
      </c>
      <c r="H116" s="19" t="n">
        <v>7.99217472213321</v>
      </c>
      <c r="I116" s="19" t="n">
        <v>1255</v>
      </c>
      <c r="J116" s="19" t="n">
        <v>1209</v>
      </c>
      <c r="K116" s="19" t="n">
        <v>8.04135503382742</v>
      </c>
    </row>
    <row r="117">
      <c r="A117" s="19" t="n">
        <v>37</v>
      </c>
      <c r="B117" s="19" t="inlineStr">
        <is>
          <t>Rollo</t>
        </is>
      </c>
      <c r="C117" s="19" t="inlineStr">
        <is>
          <t>Town</t>
        </is>
      </c>
      <c r="D117" s="19" t="inlineStr">
        <is>
          <t>Loss</t>
        </is>
      </c>
      <c r="E117" s="19" t="n">
        <v>-48</v>
      </c>
      <c r="F117" s="19" t="n">
        <v>25.2296181511353</v>
      </c>
      <c r="G117" s="19" t="n">
        <v>24.443990363208</v>
      </c>
      <c r="H117" s="19" t="n">
        <v>8.15946469740503</v>
      </c>
      <c r="I117" s="19" t="n">
        <v>878</v>
      </c>
      <c r="J117" s="19" t="n">
        <v>830</v>
      </c>
      <c r="K117" s="19" t="n">
        <v>8.212333695661901</v>
      </c>
    </row>
    <row r="118">
      <c r="A118" s="19" t="n">
        <v>37</v>
      </c>
      <c r="B118" s="19" t="inlineStr">
        <is>
          <t>Brownkow</t>
        </is>
      </c>
      <c r="C118" s="19" t="inlineStr">
        <is>
          <t>Town</t>
        </is>
      </c>
      <c r="D118" s="19" t="inlineStr">
        <is>
          <t>Loss</t>
        </is>
      </c>
      <c r="E118" s="19" t="n">
        <v>-48</v>
      </c>
      <c r="F118" s="19" t="n">
        <v>23.5348380487257</v>
      </c>
      <c r="G118" s="19" t="n">
        <v>22.744125286231</v>
      </c>
      <c r="H118" s="19" t="n">
        <v>8.18544793497972</v>
      </c>
      <c r="I118" s="19" t="n">
        <v>760</v>
      </c>
      <c r="J118" s="19" t="n">
        <v>712</v>
      </c>
      <c r="K118" s="19" t="n">
        <v>8.23890333946647</v>
      </c>
    </row>
    <row r="119">
      <c r="A119" s="19" t="n">
        <v>37</v>
      </c>
      <c r="B119" s="19" t="inlineStr">
        <is>
          <t>Josh</t>
        </is>
      </c>
      <c r="C119" s="19" t="inlineStr">
        <is>
          <t>Town</t>
        </is>
      </c>
      <c r="D119" s="19" t="inlineStr">
        <is>
          <t>Loss</t>
        </is>
      </c>
      <c r="E119" s="19" t="n">
        <v>-44</v>
      </c>
      <c r="F119" s="19" t="n">
        <v>25.1624626481598</v>
      </c>
      <c r="G119" s="19" t="n">
        <v>24.4470934394547</v>
      </c>
      <c r="H119" s="19" t="n">
        <v>7.79106656331631</v>
      </c>
      <c r="I119" s="19" t="n">
        <v>912</v>
      </c>
      <c r="J119" s="19" t="n">
        <v>868</v>
      </c>
      <c r="K119" s="19" t="n">
        <v>7.83600725957448</v>
      </c>
    </row>
    <row r="120">
      <c r="A120" s="19" t="n">
        <v>37</v>
      </c>
      <c r="B120" s="19" t="inlineStr">
        <is>
          <t>Keegan</t>
        </is>
      </c>
      <c r="C120" s="19" t="inlineStr">
        <is>
          <t>Town</t>
        </is>
      </c>
      <c r="D120" s="19" t="inlineStr">
        <is>
          <t>Loss</t>
        </is>
      </c>
      <c r="E120" s="19" t="n">
        <v>-43</v>
      </c>
      <c r="F120" s="19" t="n">
        <v>27.7403456235685</v>
      </c>
      <c r="G120" s="19" t="n">
        <v>27.0392195550299</v>
      </c>
      <c r="H120" s="19" t="n">
        <v>7.7141179459558</v>
      </c>
      <c r="I120" s="19" t="n">
        <v>1095</v>
      </c>
      <c r="J120" s="19" t="n">
        <v>1052</v>
      </c>
      <c r="K120" s="19" t="n">
        <v>7.75749134579686</v>
      </c>
    </row>
    <row r="121">
      <c r="A121" s="19" t="n">
        <v>36</v>
      </c>
      <c r="B121" s="19" t="inlineStr">
        <is>
          <t>Plen</t>
        </is>
      </c>
      <c r="C121" s="19" t="inlineStr">
        <is>
          <t>Mafia</t>
        </is>
      </c>
      <c r="D121" s="19" t="inlineStr">
        <is>
          <t>Win</t>
        </is>
      </c>
      <c r="E121" s="19" t="n">
        <v>46</v>
      </c>
      <c r="F121" s="19" t="n">
        <v>23.9847785861821</v>
      </c>
      <c r="G121" s="19" t="n">
        <v>24.5829364325564</v>
      </c>
      <c r="H121" s="19" t="n">
        <v>8.22549125100319</v>
      </c>
      <c r="I121" s="19" t="n">
        <v>787</v>
      </c>
      <c r="J121" s="19" t="n">
        <v>833</v>
      </c>
      <c r="K121" s="19" t="n">
        <v>8.271108156779709</v>
      </c>
    </row>
    <row r="122">
      <c r="A122" s="19" t="n">
        <v>36</v>
      </c>
      <c r="B122" s="19" t="inlineStr">
        <is>
          <t>Maz</t>
        </is>
      </c>
      <c r="C122" s="19" t="inlineStr">
        <is>
          <t>Mafia</t>
        </is>
      </c>
      <c r="D122" s="19" t="inlineStr">
        <is>
          <t>Win</t>
        </is>
      </c>
      <c r="E122" s="19" t="n">
        <v>36</v>
      </c>
      <c r="F122" s="19" t="n">
        <v>32.0081167810003</v>
      </c>
      <c r="G122" s="19" t="n">
        <v>32.4876108765234</v>
      </c>
      <c r="H122" s="19" t="n">
        <v>7.37363007056538</v>
      </c>
      <c r="I122" s="19" t="n">
        <v>1421</v>
      </c>
      <c r="J122" s="19" t="n">
        <v>1457</v>
      </c>
      <c r="K122" s="19" t="n">
        <v>7.40417578073385</v>
      </c>
    </row>
    <row r="123">
      <c r="A123" s="19" t="n">
        <v>36</v>
      </c>
      <c r="B123" s="19" t="inlineStr">
        <is>
          <t>Happymeal</t>
        </is>
      </c>
      <c r="C123" s="19" t="inlineStr">
        <is>
          <t>Mafia</t>
        </is>
      </c>
      <c r="D123" s="19" t="inlineStr">
        <is>
          <t>Win</t>
        </is>
      </c>
      <c r="E123" s="19" t="n">
        <v>39</v>
      </c>
      <c r="F123" s="19" t="n">
        <v>23.888510244185</v>
      </c>
      <c r="G123" s="19" t="n">
        <v>24.419477411662</v>
      </c>
      <c r="H123" s="19" t="n">
        <v>7.75516972479567</v>
      </c>
      <c r="I123" s="19" t="n">
        <v>830</v>
      </c>
      <c r="J123" s="19" t="n">
        <v>869</v>
      </c>
      <c r="K123" s="19" t="n">
        <v>7.79208135543701</v>
      </c>
    </row>
    <row r="124">
      <c r="A124" s="19" t="n">
        <v>36</v>
      </c>
      <c r="B124" s="19" t="inlineStr">
        <is>
          <t>Justice</t>
        </is>
      </c>
      <c r="C124" s="19" t="inlineStr">
        <is>
          <t>Town</t>
        </is>
      </c>
      <c r="D124" s="19" t="inlineStr">
        <is>
          <t>Loss</t>
        </is>
      </c>
      <c r="E124" s="19" t="n">
        <v>-30</v>
      </c>
      <c r="F124" s="19" t="n">
        <v>24.1096847416226</v>
      </c>
      <c r="G124" s="19" t="n">
        <v>23.6215735667143</v>
      </c>
      <c r="H124" s="19" t="n">
        <v>7.43892580499811</v>
      </c>
      <c r="I124" s="19" t="n">
        <v>877</v>
      </c>
      <c r="J124" s="19" t="n">
        <v>847</v>
      </c>
      <c r="K124" s="19" t="n">
        <v>7.47051870433644</v>
      </c>
    </row>
    <row r="125">
      <c r="A125" s="19" t="n">
        <v>36</v>
      </c>
      <c r="B125" s="19" t="inlineStr">
        <is>
          <t>Keegan</t>
        </is>
      </c>
      <c r="C125" s="19" t="inlineStr">
        <is>
          <t>Town</t>
        </is>
      </c>
      <c r="D125" s="19" t="inlineStr">
        <is>
          <t>Loss</t>
        </is>
      </c>
      <c r="E125" s="19" t="n">
        <v>-32</v>
      </c>
      <c r="F125" s="19" t="n">
        <v>28.2716342948789</v>
      </c>
      <c r="G125" s="19" t="n">
        <v>27.7403456235685</v>
      </c>
      <c r="H125" s="19" t="n">
        <v>7.75749134579686</v>
      </c>
      <c r="I125" s="19" t="n">
        <v>1127</v>
      </c>
      <c r="J125" s="19" t="n">
        <v>1095</v>
      </c>
      <c r="K125" s="19" t="n">
        <v>7.79444357044154</v>
      </c>
    </row>
    <row r="126">
      <c r="A126" s="19" t="n">
        <v>36</v>
      </c>
      <c r="B126" s="19" t="inlineStr">
        <is>
          <t>Creatchee</t>
        </is>
      </c>
      <c r="C126" s="19" t="inlineStr">
        <is>
          <t>Town</t>
        </is>
      </c>
      <c r="D126" s="19" t="inlineStr">
        <is>
          <t>Loss</t>
        </is>
      </c>
      <c r="E126" s="19" t="n">
        <v>-36</v>
      </c>
      <c r="F126" s="19" t="n">
        <v>23.0197124843633</v>
      </c>
      <c r="G126" s="19" t="n">
        <v>22.4314828714937</v>
      </c>
      <c r="H126" s="19" t="n">
        <v>8.157785124883191</v>
      </c>
      <c r="I126" s="19" t="n">
        <v>729</v>
      </c>
      <c r="J126" s="19" t="n">
        <v>693</v>
      </c>
      <c r="K126" s="19" t="n">
        <v>8.202087882194251</v>
      </c>
    </row>
    <row r="127">
      <c r="A127" s="19" t="n">
        <v>36</v>
      </c>
      <c r="B127" s="19" t="inlineStr">
        <is>
          <t>Rocker</t>
        </is>
      </c>
      <c r="C127" s="19" t="inlineStr">
        <is>
          <t>Town</t>
        </is>
      </c>
      <c r="D127" s="19" t="inlineStr">
        <is>
          <t>Loss</t>
        </is>
      </c>
      <c r="E127" s="19" t="n">
        <v>-31</v>
      </c>
      <c r="F127" s="19" t="n">
        <v>21.7369428497448</v>
      </c>
      <c r="G127" s="19" t="n">
        <v>21.2166310937202</v>
      </c>
      <c r="H127" s="19" t="n">
        <v>7.67781050197373</v>
      </c>
      <c r="I127" s="19" t="n">
        <v>691</v>
      </c>
      <c r="J127" s="19" t="n">
        <v>660</v>
      </c>
      <c r="K127" s="19" t="n">
        <v>7.71338257069795</v>
      </c>
    </row>
    <row r="128">
      <c r="A128" s="19" t="n">
        <v>36</v>
      </c>
      <c r="B128" s="19" t="inlineStr">
        <is>
          <t>Motr</t>
        </is>
      </c>
      <c r="C128" s="19" t="inlineStr">
        <is>
          <t>Town</t>
        </is>
      </c>
      <c r="D128" s="19" t="inlineStr">
        <is>
          <t>Loss</t>
        </is>
      </c>
      <c r="E128" s="19" t="n">
        <v>-34</v>
      </c>
      <c r="F128" s="19" t="n">
        <v>28.0007736586063</v>
      </c>
      <c r="G128" s="19" t="n">
        <v>27.43453807727</v>
      </c>
      <c r="H128" s="19" t="n">
        <v>8.00565335228851</v>
      </c>
      <c r="I128" s="19" t="n">
        <v>1083</v>
      </c>
      <c r="J128" s="19" t="n">
        <v>1049</v>
      </c>
      <c r="K128" s="19" t="n">
        <v>8.047079098554891</v>
      </c>
    </row>
    <row r="129">
      <c r="A129" s="19" t="n">
        <v>36</v>
      </c>
      <c r="B129" s="19" t="inlineStr">
        <is>
          <t>Machop</t>
        </is>
      </c>
      <c r="C129" s="19" t="inlineStr">
        <is>
          <t>Town</t>
        </is>
      </c>
      <c r="D129" s="19" t="inlineStr">
        <is>
          <t>Loss</t>
        </is>
      </c>
      <c r="E129" s="19" t="n">
        <v>-27</v>
      </c>
      <c r="F129" s="19" t="n">
        <v>29.5145602425269</v>
      </c>
      <c r="G129" s="19" t="n">
        <v>29.0844848245459</v>
      </c>
      <c r="H129" s="19" t="n">
        <v>6.98690376627516</v>
      </c>
      <c r="I129" s="19" t="n">
        <v>1292</v>
      </c>
      <c r="J129" s="19" t="n">
        <v>1265</v>
      </c>
      <c r="K129" s="19" t="n">
        <v>7.01158869637446</v>
      </c>
    </row>
    <row r="130">
      <c r="A130" s="19" t="n">
        <v>36</v>
      </c>
      <c r="B130" s="19" t="inlineStr">
        <is>
          <t>Pinkee</t>
        </is>
      </c>
      <c r="C130" s="19" t="inlineStr">
        <is>
          <t>Town</t>
        </is>
      </c>
      <c r="D130" s="19" t="inlineStr">
        <is>
          <t>Loss</t>
        </is>
      </c>
      <c r="E130" s="19" t="n">
        <v>-35</v>
      </c>
      <c r="F130" s="19" t="n">
        <v>24.6553594048844</v>
      </c>
      <c r="G130" s="19" t="n">
        <v>24.0733941282151</v>
      </c>
      <c r="H130" s="19" t="n">
        <v>8.114759765121599</v>
      </c>
      <c r="I130" s="19" t="n">
        <v>844</v>
      </c>
      <c r="J130" s="19" t="n">
        <v>809</v>
      </c>
      <c r="K130" s="19" t="n">
        <v>8.15823827908552</v>
      </c>
    </row>
    <row r="131">
      <c r="A131" s="19" t="n">
        <v>36</v>
      </c>
      <c r="B131" s="19" t="inlineStr">
        <is>
          <t>Emo</t>
        </is>
      </c>
      <c r="C131" s="19" t="inlineStr">
        <is>
          <t>Town</t>
        </is>
      </c>
      <c r="D131" s="19" t="inlineStr">
        <is>
          <t>Loss</t>
        </is>
      </c>
      <c r="E131" s="19" t="n">
        <v>-37</v>
      </c>
      <c r="F131" s="19" t="n">
        <v>25</v>
      </c>
      <c r="G131" s="19" t="n">
        <v>24.3928200493331</v>
      </c>
      <c r="H131" s="19" t="n">
        <v>8.28651393063344</v>
      </c>
      <c r="I131" s="19" t="n">
        <v>850</v>
      </c>
      <c r="J131" s="19" t="n">
        <v>813</v>
      </c>
      <c r="K131" s="19" t="n">
        <v>8.33333333333333</v>
      </c>
    </row>
    <row r="132">
      <c r="A132" s="19" t="n">
        <v>36</v>
      </c>
      <c r="B132" s="19" t="inlineStr">
        <is>
          <t>Chey</t>
        </is>
      </c>
      <c r="C132" s="19" t="inlineStr">
        <is>
          <t>Town</t>
        </is>
      </c>
      <c r="D132" s="19" t="inlineStr">
        <is>
          <t>Loss</t>
        </is>
      </c>
      <c r="E132" s="19" t="n">
        <v>-37</v>
      </c>
      <c r="F132" s="19" t="n">
        <v>25</v>
      </c>
      <c r="G132" s="19" t="n">
        <v>24.3928200493331</v>
      </c>
      <c r="H132" s="19" t="n">
        <v>8.28651393063344</v>
      </c>
      <c r="I132" s="19" t="n">
        <v>850</v>
      </c>
      <c r="J132" s="19" t="n">
        <v>813</v>
      </c>
      <c r="K132" s="19" t="n">
        <v>8.33333333333333</v>
      </c>
    </row>
    <row r="133">
      <c r="A133" s="19" t="n">
        <v>36</v>
      </c>
      <c r="B133" s="19" t="inlineStr">
        <is>
          <t>Streety</t>
        </is>
      </c>
      <c r="C133" s="19" t="inlineStr">
        <is>
          <t>Town</t>
        </is>
      </c>
      <c r="D133" s="19" t="inlineStr">
        <is>
          <t>Loss</t>
        </is>
      </c>
      <c r="E133" s="19" t="n">
        <v>-31</v>
      </c>
      <c r="F133" s="19" t="n">
        <v>21.8744905065143</v>
      </c>
      <c r="G133" s="19" t="n">
        <v>21.3740154033011</v>
      </c>
      <c r="H133" s="19" t="n">
        <v>7.53158390769606</v>
      </c>
      <c r="I133" s="19" t="n">
        <v>716</v>
      </c>
      <c r="J133" s="19" t="n">
        <v>685</v>
      </c>
      <c r="K133" s="19" t="n">
        <v>7.56469237857687</v>
      </c>
    </row>
    <row r="134">
      <c r="A134" s="19" t="n">
        <v>35</v>
      </c>
      <c r="B134" s="19" t="inlineStr">
        <is>
          <t>Noah</t>
        </is>
      </c>
      <c r="C134" s="19" t="inlineStr">
        <is>
          <t>Mafia</t>
        </is>
      </c>
      <c r="D134" s="19" t="inlineStr">
        <is>
          <t>Loss</t>
        </is>
      </c>
      <c r="E134" s="19" t="n">
        <v>-46</v>
      </c>
      <c r="F134" s="19" t="n">
        <v>27.8389946327278</v>
      </c>
      <c r="G134" s="19" t="n">
        <v>27.1200251648003</v>
      </c>
      <c r="H134" s="19" t="n">
        <v>6.97712381265073</v>
      </c>
      <c r="I134" s="19" t="n">
        <v>1178</v>
      </c>
      <c r="J134" s="19" t="n">
        <v>1132</v>
      </c>
      <c r="K134" s="19" t="n">
        <v>7.01096181216328</v>
      </c>
    </row>
    <row r="135">
      <c r="A135" s="19" t="n">
        <v>35</v>
      </c>
      <c r="B135" s="19" t="inlineStr">
        <is>
          <t>Whyin</t>
        </is>
      </c>
      <c r="C135" s="19" t="inlineStr">
        <is>
          <t>Mafia</t>
        </is>
      </c>
      <c r="D135" s="19" t="inlineStr">
        <is>
          <t>Loss</t>
        </is>
      </c>
      <c r="E135" s="19" t="n">
        <v>-54</v>
      </c>
      <c r="F135" s="19" t="n">
        <v>18.4638189286234</v>
      </c>
      <c r="G135" s="19" t="n">
        <v>17.5921655362841</v>
      </c>
      <c r="H135" s="19" t="n">
        <v>7.67288738359248</v>
      </c>
      <c r="I135" s="19" t="n">
        <v>468</v>
      </c>
      <c r="J135" s="19" t="n">
        <v>414</v>
      </c>
      <c r="K135" s="19" t="n">
        <v>7.72082882520306</v>
      </c>
    </row>
    <row r="136">
      <c r="A136" s="19" t="n">
        <v>35</v>
      </c>
      <c r="B136" s="19" t="inlineStr">
        <is>
          <t>Plen</t>
        </is>
      </c>
      <c r="C136" s="19" t="inlineStr">
        <is>
          <t>Mafia</t>
        </is>
      </c>
      <c r="D136" s="19" t="inlineStr">
        <is>
          <t>Loss</t>
        </is>
      </c>
      <c r="E136" s="19" t="n">
        <v>-63</v>
      </c>
      <c r="F136" s="19" t="n">
        <v>25</v>
      </c>
      <c r="G136" s="19" t="n">
        <v>23.9847785861821</v>
      </c>
      <c r="H136" s="19" t="n">
        <v>8.271108156779709</v>
      </c>
      <c r="I136" s="19" t="n">
        <v>850</v>
      </c>
      <c r="J136" s="19" t="n">
        <v>787</v>
      </c>
      <c r="K136" s="19" t="n">
        <v>8.33333333333333</v>
      </c>
    </row>
    <row r="137">
      <c r="A137" s="19" t="n">
        <v>35</v>
      </c>
      <c r="B137" s="19" t="inlineStr">
        <is>
          <t>Streety</t>
        </is>
      </c>
      <c r="C137" s="19" t="inlineStr">
        <is>
          <t>Town</t>
        </is>
      </c>
      <c r="D137" s="19" t="inlineStr">
        <is>
          <t>Win</t>
        </is>
      </c>
      <c r="E137" s="19" t="n">
        <v>62</v>
      </c>
      <c r="F137" s="19" t="n">
        <v>21.0275842440949</v>
      </c>
      <c r="G137" s="19" t="n">
        <v>21.8744905065143</v>
      </c>
      <c r="H137" s="19" t="n">
        <v>7.56469237857687</v>
      </c>
      <c r="I137" s="19" t="n">
        <v>654</v>
      </c>
      <c r="J137" s="19" t="n">
        <v>716</v>
      </c>
      <c r="K137" s="19" t="n">
        <v>7.61027067709165</v>
      </c>
    </row>
    <row r="138">
      <c r="A138" s="19" t="n">
        <v>35</v>
      </c>
      <c r="B138" s="19" t="inlineStr">
        <is>
          <t>Mintt</t>
        </is>
      </c>
      <c r="C138" s="19" t="inlineStr">
        <is>
          <t>Town</t>
        </is>
      </c>
      <c r="D138" s="19" t="inlineStr">
        <is>
          <t>Win</t>
        </is>
      </c>
      <c r="E138" s="19" t="n">
        <v>71</v>
      </c>
      <c r="F138" s="19" t="n">
        <v>27.6539661740349</v>
      </c>
      <c r="G138" s="19" t="n">
        <v>28.6166904462834</v>
      </c>
      <c r="H138" s="19" t="n">
        <v>8.0578384599425</v>
      </c>
      <c r="I138" s="19" t="n">
        <v>1053</v>
      </c>
      <c r="J138" s="19" t="n">
        <v>1124</v>
      </c>
      <c r="K138" s="19" t="n">
        <v>8.11472830276505</v>
      </c>
    </row>
    <row r="139">
      <c r="A139" s="19" t="n">
        <v>35</v>
      </c>
      <c r="B139" s="19" t="inlineStr">
        <is>
          <t>Kwix</t>
        </is>
      </c>
      <c r="C139" s="19" t="inlineStr">
        <is>
          <t>Town</t>
        </is>
      </c>
      <c r="D139" s="19" t="inlineStr">
        <is>
          <t>Win</t>
        </is>
      </c>
      <c r="E139" s="19" t="n">
        <v>67</v>
      </c>
      <c r="F139" s="19" t="n">
        <v>21.5771972467583</v>
      </c>
      <c r="G139" s="19" t="n">
        <v>22.4839130775645</v>
      </c>
      <c r="H139" s="19" t="n">
        <v>7.82347374308437</v>
      </c>
      <c r="I139" s="19" t="n">
        <v>664</v>
      </c>
      <c r="J139" s="19" t="n">
        <v>731</v>
      </c>
      <c r="K139" s="19" t="n">
        <v>7.87481369989782</v>
      </c>
    </row>
    <row r="140">
      <c r="A140" s="19" t="n">
        <v>35</v>
      </c>
      <c r="B140" s="19" t="inlineStr">
        <is>
          <t>Machop</t>
        </is>
      </c>
      <c r="C140" s="19" t="inlineStr">
        <is>
          <t>Town</t>
        </is>
      </c>
      <c r="D140" s="19" t="inlineStr">
        <is>
          <t>Win</t>
        </is>
      </c>
      <c r="E140" s="19" t="n">
        <v>53</v>
      </c>
      <c r="F140" s="19" t="n">
        <v>28.7883860385685</v>
      </c>
      <c r="G140" s="19" t="n">
        <v>29.5145602425269</v>
      </c>
      <c r="H140" s="19" t="n">
        <v>7.01158869637446</v>
      </c>
      <c r="I140" s="19" t="n">
        <v>1239</v>
      </c>
      <c r="J140" s="19" t="n">
        <v>1292</v>
      </c>
      <c r="K140" s="19" t="n">
        <v>7.04606639180217</v>
      </c>
    </row>
    <row r="141">
      <c r="A141" s="19" t="n">
        <v>35</v>
      </c>
      <c r="B141" s="19" t="inlineStr">
        <is>
          <t>Josh</t>
        </is>
      </c>
      <c r="C141" s="19" t="inlineStr">
        <is>
          <t>Town</t>
        </is>
      </c>
      <c r="D141" s="19" t="inlineStr">
        <is>
          <t>Win</t>
        </is>
      </c>
      <c r="E141" s="19" t="n">
        <v>67</v>
      </c>
      <c r="F141" s="19" t="n">
        <v>24.2527959651038</v>
      </c>
      <c r="G141" s="19" t="n">
        <v>25.1624626481598</v>
      </c>
      <c r="H141" s="19" t="n">
        <v>7.83600725957448</v>
      </c>
      <c r="I141" s="19" t="n">
        <v>845</v>
      </c>
      <c r="J141" s="19" t="n">
        <v>912</v>
      </c>
      <c r="K141" s="19" t="n">
        <v>7.88763591248366</v>
      </c>
    </row>
    <row r="142">
      <c r="A142" s="19" t="n">
        <v>35</v>
      </c>
      <c r="B142" s="19" t="inlineStr">
        <is>
          <t>Keegan</t>
        </is>
      </c>
      <c r="C142" s="19" t="inlineStr">
        <is>
          <t>Town</t>
        </is>
      </c>
      <c r="D142" s="19" t="inlineStr">
        <is>
          <t>Win</t>
        </is>
      </c>
      <c r="E142" s="19" t="n">
        <v>66</v>
      </c>
      <c r="F142" s="19" t="n">
        <v>27.3717340062791</v>
      </c>
      <c r="G142" s="19" t="n">
        <v>28.2716342948789</v>
      </c>
      <c r="H142" s="19" t="n">
        <v>7.79444357044154</v>
      </c>
      <c r="I142" s="19" t="n">
        <v>1061</v>
      </c>
      <c r="J142" s="19" t="n">
        <v>1127</v>
      </c>
      <c r="K142" s="19" t="n">
        <v>7.84511831439597</v>
      </c>
    </row>
    <row r="143">
      <c r="A143" s="19" t="n">
        <v>35</v>
      </c>
      <c r="B143" s="19" t="inlineStr">
        <is>
          <t>Motr</t>
        </is>
      </c>
      <c r="C143" s="19" t="inlineStr">
        <is>
          <t>Town</t>
        </is>
      </c>
      <c r="D143" s="19" t="inlineStr">
        <is>
          <t>Win</t>
        </is>
      </c>
      <c r="E143" s="19" t="n">
        <v>71</v>
      </c>
      <c r="F143" s="19" t="n">
        <v>27.0406591450071</v>
      </c>
      <c r="G143" s="19" t="n">
        <v>28.0007736586063</v>
      </c>
      <c r="H143" s="19" t="n">
        <v>8.047079098554891</v>
      </c>
      <c r="I143" s="19" t="n">
        <v>1012</v>
      </c>
      <c r="J143" s="19" t="n">
        <v>1083</v>
      </c>
      <c r="K143" s="19" t="n">
        <v>8.10370705893156</v>
      </c>
    </row>
    <row r="144">
      <c r="A144" s="19" t="n">
        <v>35</v>
      </c>
      <c r="B144" s="19" t="inlineStr">
        <is>
          <t>Lou</t>
        </is>
      </c>
      <c r="C144" s="19" t="inlineStr">
        <is>
          <t>Town</t>
        </is>
      </c>
      <c r="D144" s="19" t="inlineStr">
        <is>
          <t>Win</t>
        </is>
      </c>
      <c r="E144" s="19" t="n">
        <v>75</v>
      </c>
      <c r="F144" s="19" t="n">
        <v>25</v>
      </c>
      <c r="G144" s="19" t="n">
        <v>26.0152214138178</v>
      </c>
      <c r="H144" s="19" t="n">
        <v>8.271108156779709</v>
      </c>
      <c r="I144" s="19" t="n">
        <v>850</v>
      </c>
      <c r="J144" s="19" t="n">
        <v>925</v>
      </c>
      <c r="K144" s="19" t="n">
        <v>8.33333333333333</v>
      </c>
    </row>
    <row r="145">
      <c r="A145" s="19" t="n">
        <v>35</v>
      </c>
      <c r="B145" s="19" t="inlineStr">
        <is>
          <t>Aipha</t>
        </is>
      </c>
      <c r="C145" s="19" t="inlineStr">
        <is>
          <t>Town</t>
        </is>
      </c>
      <c r="D145" s="19" t="inlineStr">
        <is>
          <t>Win</t>
        </is>
      </c>
      <c r="E145" s="19" t="n">
        <v>75</v>
      </c>
      <c r="F145" s="19" t="n">
        <v>25</v>
      </c>
      <c r="G145" s="19" t="n">
        <v>26.0152214138178</v>
      </c>
      <c r="H145" s="19" t="n">
        <v>8.271108156779709</v>
      </c>
      <c r="I145" s="19" t="n">
        <v>850</v>
      </c>
      <c r="J145" s="19" t="n">
        <v>925</v>
      </c>
      <c r="K145" s="19" t="n">
        <v>8.33333333333333</v>
      </c>
    </row>
    <row r="146">
      <c r="A146" s="19" t="n">
        <v>35</v>
      </c>
      <c r="B146" s="19" t="inlineStr">
        <is>
          <t>Rick</t>
        </is>
      </c>
      <c r="C146" s="19" t="inlineStr">
        <is>
          <t>Town</t>
        </is>
      </c>
      <c r="D146" s="19" t="inlineStr">
        <is>
          <t>Win</t>
        </is>
      </c>
      <c r="E146" s="19" t="n">
        <v>71</v>
      </c>
      <c r="F146" s="19" t="n">
        <v>29.5574199810431</v>
      </c>
      <c r="G146" s="19" t="n">
        <v>30.5161475945743</v>
      </c>
      <c r="H146" s="19" t="n">
        <v>8.04135503382742</v>
      </c>
      <c r="I146" s="19" t="n">
        <v>1184</v>
      </c>
      <c r="J146" s="19" t="n">
        <v>1255</v>
      </c>
      <c r="K146" s="19" t="n">
        <v>8.097843952249811</v>
      </c>
    </row>
    <row r="147">
      <c r="A147" s="19" t="n">
        <v>34</v>
      </c>
      <c r="B147" s="19" t="inlineStr">
        <is>
          <t>Kwix</t>
        </is>
      </c>
      <c r="C147" s="19" t="inlineStr">
        <is>
          <t>Mafia</t>
        </is>
      </c>
      <c r="D147" s="19" t="inlineStr">
        <is>
          <t>Win</t>
        </is>
      </c>
      <c r="E147" s="19" t="n">
        <v>77</v>
      </c>
      <c r="F147" s="19" t="n">
        <v>20.5180247487888</v>
      </c>
      <c r="G147" s="19" t="n">
        <v>21.5771972467583</v>
      </c>
      <c r="H147" s="19" t="n">
        <v>7.87481369989782</v>
      </c>
      <c r="I147" s="19" t="n">
        <v>587</v>
      </c>
      <c r="J147" s="19" t="n">
        <v>664</v>
      </c>
      <c r="K147" s="19" t="n">
        <v>7.92628951506879</v>
      </c>
    </row>
    <row r="148">
      <c r="A148" s="19" t="n">
        <v>34</v>
      </c>
      <c r="B148" s="19" t="inlineStr">
        <is>
          <t>Keegan</t>
        </is>
      </c>
      <c r="C148" s="19" t="inlineStr">
        <is>
          <t>Mafia</t>
        </is>
      </c>
      <c r="D148" s="19" t="inlineStr">
        <is>
          <t>Win</t>
        </is>
      </c>
      <c r="E148" s="19" t="n">
        <v>77</v>
      </c>
      <c r="F148" s="19" t="n">
        <v>26.3206515333948</v>
      </c>
      <c r="G148" s="19" t="n">
        <v>27.3717340062791</v>
      </c>
      <c r="H148" s="19" t="n">
        <v>7.84511831439597</v>
      </c>
      <c r="I148" s="19" t="n">
        <v>984</v>
      </c>
      <c r="J148" s="19" t="n">
        <v>1061</v>
      </c>
      <c r="K148" s="19" t="n">
        <v>7.89591721556682</v>
      </c>
    </row>
    <row r="149">
      <c r="A149" s="19" t="n">
        <v>34</v>
      </c>
      <c r="B149" s="19" t="inlineStr">
        <is>
          <t>Rocker</t>
        </is>
      </c>
      <c r="C149" s="19" t="inlineStr">
        <is>
          <t>Mafia</t>
        </is>
      </c>
      <c r="D149" s="19" t="inlineStr">
        <is>
          <t>Win</t>
        </is>
      </c>
      <c r="E149" s="19" t="n">
        <v>74</v>
      </c>
      <c r="F149" s="19" t="n">
        <v>20.7213594904954</v>
      </c>
      <c r="G149" s="19" t="n">
        <v>21.7369428497448</v>
      </c>
      <c r="H149" s="19" t="n">
        <v>7.71338257069795</v>
      </c>
      <c r="I149" s="19" t="n">
        <v>617</v>
      </c>
      <c r="J149" s="19" t="n">
        <v>691</v>
      </c>
      <c r="K149" s="19" t="n">
        <v>7.76123833328412</v>
      </c>
    </row>
    <row r="150">
      <c r="A150" s="19" t="n">
        <v>34</v>
      </c>
      <c r="B150" s="19" t="inlineStr">
        <is>
          <t>Antfrost</t>
        </is>
      </c>
      <c r="C150" s="19" t="inlineStr">
        <is>
          <t>Town</t>
        </is>
      </c>
      <c r="D150" s="19" t="inlineStr">
        <is>
          <t>Loss</t>
        </is>
      </c>
      <c r="E150" s="19" t="n">
        <v>-71</v>
      </c>
      <c r="F150" s="19" t="n">
        <v>27.6322310920737</v>
      </c>
      <c r="G150" s="19" t="n">
        <v>26.4982435046272</v>
      </c>
      <c r="H150" s="19" t="n">
        <v>8.143995670503131</v>
      </c>
      <c r="I150" s="19" t="n">
        <v>1042</v>
      </c>
      <c r="J150" s="19" t="n">
        <v>971</v>
      </c>
      <c r="K150" s="19" t="n">
        <v>8.201839300002691</v>
      </c>
    </row>
    <row r="151">
      <c r="A151" s="19" t="n">
        <v>34</v>
      </c>
      <c r="B151" s="19" t="inlineStr">
        <is>
          <t>Noah</t>
        </is>
      </c>
      <c r="C151" s="19" t="inlineStr">
        <is>
          <t>Town</t>
        </is>
      </c>
      <c r="D151" s="19" t="inlineStr">
        <is>
          <t>Loss</t>
        </is>
      </c>
      <c r="E151" s="19" t="n">
        <v>-53</v>
      </c>
      <c r="F151" s="19" t="n">
        <v>28.6759767225081</v>
      </c>
      <c r="G151" s="19" t="n">
        <v>27.8389946327278</v>
      </c>
      <c r="H151" s="19" t="n">
        <v>7.01096181216328</v>
      </c>
      <c r="I151" s="19" t="n">
        <v>1231</v>
      </c>
      <c r="J151" s="19" t="n">
        <v>1178</v>
      </c>
      <c r="K151" s="19" t="n">
        <v>7.04469300191581</v>
      </c>
    </row>
    <row r="152">
      <c r="A152" s="19" t="n">
        <v>34</v>
      </c>
      <c r="B152" s="19" t="inlineStr">
        <is>
          <t>Creatchee</t>
        </is>
      </c>
      <c r="C152" s="19" t="inlineStr">
        <is>
          <t>Town</t>
        </is>
      </c>
      <c r="D152" s="19" t="inlineStr">
        <is>
          <t>Loss</t>
        </is>
      </c>
      <c r="E152" s="19" t="n">
        <v>-72</v>
      </c>
      <c r="F152" s="19" t="n">
        <v>24.1701968464161</v>
      </c>
      <c r="G152" s="19" t="n">
        <v>23.0197124843633</v>
      </c>
      <c r="H152" s="19" t="n">
        <v>8.202087882194251</v>
      </c>
      <c r="I152" s="19" t="n">
        <v>801</v>
      </c>
      <c r="J152" s="19" t="n">
        <v>729</v>
      </c>
      <c r="K152" s="19" t="n">
        <v>8.261361588885389</v>
      </c>
    </row>
    <row r="153">
      <c r="A153" s="19" t="n">
        <v>34</v>
      </c>
      <c r="B153" s="19" t="inlineStr">
        <is>
          <t>Svaan</t>
        </is>
      </c>
      <c r="C153" s="19" t="inlineStr">
        <is>
          <t>Town</t>
        </is>
      </c>
      <c r="D153" s="19" t="inlineStr">
        <is>
          <t>Loss</t>
        </is>
      </c>
      <c r="E153" s="19" t="n">
        <v>-70</v>
      </c>
      <c r="F153" s="19" t="n">
        <v>23.196515145713</v>
      </c>
      <c r="G153" s="19" t="n">
        <v>22.092413791833</v>
      </c>
      <c r="H153" s="19" t="n">
        <v>8.037614750606579</v>
      </c>
      <c r="I153" s="19" t="n">
        <v>752</v>
      </c>
      <c r="J153" s="19" t="n">
        <v>682</v>
      </c>
      <c r="K153" s="19" t="n">
        <v>8.09289140112819</v>
      </c>
    </row>
    <row r="154">
      <c r="A154" s="19" t="n">
        <v>34</v>
      </c>
      <c r="B154" s="19" t="inlineStr">
        <is>
          <t>Whyin</t>
        </is>
      </c>
      <c r="C154" s="19" t="inlineStr">
        <is>
          <t>Town</t>
        </is>
      </c>
      <c r="D154" s="19" t="inlineStr">
        <is>
          <t>Loss</t>
        </is>
      </c>
      <c r="E154" s="19" t="n">
        <v>-64</v>
      </c>
      <c r="F154" s="19" t="n">
        <v>19.4813918867629</v>
      </c>
      <c r="G154" s="19" t="n">
        <v>18.4638189286234</v>
      </c>
      <c r="H154" s="19" t="n">
        <v>7.72082882520306</v>
      </c>
      <c r="I154" s="19" t="n">
        <v>532</v>
      </c>
      <c r="J154" s="19" t="n">
        <v>468</v>
      </c>
      <c r="K154" s="19" t="n">
        <v>7.76884836575666</v>
      </c>
    </row>
    <row r="155">
      <c r="A155" s="19" t="n">
        <v>34</v>
      </c>
      <c r="B155" s="19" t="inlineStr">
        <is>
          <t>5up</t>
        </is>
      </c>
      <c r="C155" s="19" t="inlineStr">
        <is>
          <t>Town</t>
        </is>
      </c>
      <c r="D155" s="19" t="inlineStr">
        <is>
          <t>Loss</t>
        </is>
      </c>
      <c r="E155" s="19" t="n">
        <v>-68</v>
      </c>
      <c r="F155" s="19" t="n">
        <v>26.6357361355099</v>
      </c>
      <c r="G155" s="19" t="n">
        <v>25.5458732795092</v>
      </c>
      <c r="H155" s="19" t="n">
        <v>7.98640237799187</v>
      </c>
      <c r="I155" s="19" t="n">
        <v>991</v>
      </c>
      <c r="J155" s="19" t="n">
        <v>923</v>
      </c>
      <c r="K155" s="19" t="n">
        <v>8.04046690609762</v>
      </c>
    </row>
    <row r="156">
      <c r="A156" s="19" t="n">
        <v>34</v>
      </c>
      <c r="B156" s="19" t="inlineStr">
        <is>
          <t>Streety</t>
        </is>
      </c>
      <c r="C156" s="19" t="inlineStr">
        <is>
          <t>Town</t>
        </is>
      </c>
      <c r="D156" s="19" t="inlineStr">
        <is>
          <t>Loss</t>
        </is>
      </c>
      <c r="E156" s="19" t="n">
        <v>-62</v>
      </c>
      <c r="F156" s="19" t="n">
        <v>22.0158251965303</v>
      </c>
      <c r="G156" s="19" t="n">
        <v>21.0275842440949</v>
      </c>
      <c r="H156" s="19" t="n">
        <v>7.61027067709165</v>
      </c>
      <c r="I156" s="19" t="n">
        <v>716</v>
      </c>
      <c r="J156" s="19" t="n">
        <v>654</v>
      </c>
      <c r="K156" s="19" t="n">
        <v>7.6558898914786</v>
      </c>
    </row>
    <row r="157">
      <c r="A157" s="19" t="n">
        <v>34</v>
      </c>
      <c r="B157" s="19" t="inlineStr">
        <is>
          <t>Carson</t>
        </is>
      </c>
      <c r="C157" s="19" t="inlineStr">
        <is>
          <t>Town</t>
        </is>
      </c>
      <c r="D157" s="19" t="inlineStr">
        <is>
          <t>Loss</t>
        </is>
      </c>
      <c r="E157" s="19" t="n">
        <v>-57</v>
      </c>
      <c r="F157" s="19" t="n">
        <v>24.7696644464516</v>
      </c>
      <c r="G157" s="19" t="n">
        <v>23.8744991973872</v>
      </c>
      <c r="H157" s="19" t="n">
        <v>7.24766009869252</v>
      </c>
      <c r="I157" s="19" t="n">
        <v>941</v>
      </c>
      <c r="J157" s="19" t="n">
        <v>884</v>
      </c>
      <c r="K157" s="19" t="n">
        <v>7.28586618879121</v>
      </c>
    </row>
    <row r="158">
      <c r="A158" s="19" t="n">
        <v>34</v>
      </c>
      <c r="B158" s="19" t="inlineStr">
        <is>
          <t>Xcync</t>
        </is>
      </c>
      <c r="C158" s="19" t="inlineStr">
        <is>
          <t>Town</t>
        </is>
      </c>
      <c r="D158" s="19" t="inlineStr">
        <is>
          <t>Loss</t>
        </is>
      </c>
      <c r="E158" s="19" t="n">
        <v>-73</v>
      </c>
      <c r="F158" s="19" t="n">
        <v>25</v>
      </c>
      <c r="G158" s="19" t="n">
        <v>23.8294091396349</v>
      </c>
      <c r="H158" s="19" t="n">
        <v>8.27230406085674</v>
      </c>
      <c r="I158" s="19" t="n">
        <v>850</v>
      </c>
      <c r="J158" s="19" t="n">
        <v>777</v>
      </c>
      <c r="K158" s="19" t="n">
        <v>8.33333333333333</v>
      </c>
    </row>
    <row r="159">
      <c r="A159" s="19" t="n">
        <v>34</v>
      </c>
      <c r="B159" s="19" t="inlineStr">
        <is>
          <t>Josh</t>
        </is>
      </c>
      <c r="C159" s="19" t="inlineStr">
        <is>
          <t>Town</t>
        </is>
      </c>
      <c r="D159" s="19" t="inlineStr">
        <is>
          <t>Loss</t>
        </is>
      </c>
      <c r="E159" s="19" t="n">
        <v>-67</v>
      </c>
      <c r="F159" s="19" t="n">
        <v>25.3154716812965</v>
      </c>
      <c r="G159" s="19" t="n">
        <v>24.2527959651038</v>
      </c>
      <c r="H159" s="19" t="n">
        <v>7.88763591248366</v>
      </c>
      <c r="I159" s="19" t="n">
        <v>912</v>
      </c>
      <c r="J159" s="19" t="n">
        <v>845</v>
      </c>
      <c r="K159" s="19" t="n">
        <v>7.93940556158455</v>
      </c>
    </row>
    <row r="160">
      <c r="A160" s="19" t="n">
        <v>34</v>
      </c>
      <c r="B160" s="19" t="inlineStr">
        <is>
          <t>Machop</t>
        </is>
      </c>
      <c r="C160" s="19" t="inlineStr">
        <is>
          <t>Town</t>
        </is>
      </c>
      <c r="D160" s="19" t="inlineStr">
        <is>
          <t>Loss</t>
        </is>
      </c>
      <c r="E160" s="19" t="n">
        <v>-54</v>
      </c>
      <c r="F160" s="19" t="n">
        <v>29.6338693726632</v>
      </c>
      <c r="G160" s="19" t="n">
        <v>28.7883860385685</v>
      </c>
      <c r="H160" s="19" t="n">
        <v>7.04606639180217</v>
      </c>
      <c r="I160" s="19" t="n">
        <v>1293</v>
      </c>
      <c r="J160" s="19" t="n">
        <v>1239</v>
      </c>
      <c r="K160" s="19" t="n">
        <v>7.08044371408796</v>
      </c>
    </row>
    <row r="161">
      <c r="A161" s="19" t="n">
        <v>33</v>
      </c>
      <c r="B161" s="19" t="inlineStr">
        <is>
          <t>Noah</t>
        </is>
      </c>
      <c r="C161" s="19" t="inlineStr">
        <is>
          <t>Mafia</t>
        </is>
      </c>
      <c r="D161" s="19" t="inlineStr">
        <is>
          <t>Win</t>
        </is>
      </c>
      <c r="E161" s="19" t="n">
        <v>27</v>
      </c>
      <c r="F161" s="19" t="n">
        <v>28.3093883455334</v>
      </c>
      <c r="G161" s="19" t="n">
        <v>28.6759767225081</v>
      </c>
      <c r="H161" s="19" t="n">
        <v>7.04469300191581</v>
      </c>
      <c r="I161" s="19" t="n">
        <v>1204</v>
      </c>
      <c r="J161" s="19" t="n">
        <v>1231</v>
      </c>
      <c r="K161" s="19" t="n">
        <v>7.06715281759616</v>
      </c>
    </row>
    <row r="162">
      <c r="A162" s="19" t="n">
        <v>33</v>
      </c>
      <c r="B162" s="19" t="inlineStr">
        <is>
          <t>Dani</t>
        </is>
      </c>
      <c r="C162" s="19" t="inlineStr">
        <is>
          <t>Mafia</t>
        </is>
      </c>
      <c r="D162" s="19" t="inlineStr">
        <is>
          <t>Win</t>
        </is>
      </c>
      <c r="E162" s="19" t="n">
        <v>38</v>
      </c>
      <c r="F162" s="19" t="n">
        <v>26.0334214417635</v>
      </c>
      <c r="G162" s="19" t="n">
        <v>26.5227119715331</v>
      </c>
      <c r="H162" s="19" t="n">
        <v>8.127543729766931</v>
      </c>
      <c r="I162" s="19" t="n">
        <v>937</v>
      </c>
      <c r="J162" s="19" t="n">
        <v>975</v>
      </c>
      <c r="K162" s="19" t="n">
        <v>8.16651281321608</v>
      </c>
    </row>
    <row r="163">
      <c r="A163" s="19" t="n">
        <v>33</v>
      </c>
      <c r="B163" s="19" t="inlineStr">
        <is>
          <t>Motr</t>
        </is>
      </c>
      <c r="C163" s="19" t="inlineStr">
        <is>
          <t>Mafia</t>
        </is>
      </c>
      <c r="D163" s="19" t="inlineStr">
        <is>
          <t>Win</t>
        </is>
      </c>
      <c r="E163" s="19" t="n">
        <v>37</v>
      </c>
      <c r="F163" s="19" t="n">
        <v>26.5542660248047</v>
      </c>
      <c r="G163" s="19" t="n">
        <v>27.0406591450071</v>
      </c>
      <c r="H163" s="19" t="n">
        <v>8.10370705893156</v>
      </c>
      <c r="I163" s="19" t="n">
        <v>975</v>
      </c>
      <c r="J163" s="19" t="n">
        <v>1012</v>
      </c>
      <c r="K163" s="19" t="n">
        <v>8.142264549217501</v>
      </c>
    </row>
    <row r="164">
      <c r="A164" s="19" t="n">
        <v>33</v>
      </c>
      <c r="B164" s="19" t="inlineStr">
        <is>
          <t>Duke</t>
        </is>
      </c>
      <c r="C164" s="19" t="inlineStr">
        <is>
          <t>Town</t>
        </is>
      </c>
      <c r="D164" s="19" t="inlineStr">
        <is>
          <t>Loss</t>
        </is>
      </c>
      <c r="E164" s="19" t="n">
        <v>-30</v>
      </c>
      <c r="F164" s="19" t="n">
        <v>25</v>
      </c>
      <c r="G164" s="19" t="n">
        <v>24.4905426605551</v>
      </c>
      <c r="H164" s="19" t="n">
        <v>8.291470770287919</v>
      </c>
      <c r="I164" s="19" t="n">
        <v>850</v>
      </c>
      <c r="J164" s="19" t="n">
        <v>820</v>
      </c>
      <c r="K164" s="19" t="n">
        <v>8.33333333333333</v>
      </c>
    </row>
    <row r="165">
      <c r="A165" s="19" t="n">
        <v>33</v>
      </c>
      <c r="B165" s="19" t="inlineStr">
        <is>
          <t>Machop</t>
        </is>
      </c>
      <c r="C165" s="19" t="inlineStr">
        <is>
          <t>Town</t>
        </is>
      </c>
      <c r="D165" s="19" t="inlineStr">
        <is>
          <t>Loss</t>
        </is>
      </c>
      <c r="E165" s="19" t="n">
        <v>-23</v>
      </c>
      <c r="F165" s="19" t="n">
        <v>30.004219107587</v>
      </c>
      <c r="G165" s="19" t="n">
        <v>29.6338693726632</v>
      </c>
      <c r="H165" s="19" t="n">
        <v>7.08044371408796</v>
      </c>
      <c r="I165" s="19" t="n">
        <v>1316</v>
      </c>
      <c r="J165" s="19" t="n">
        <v>1293</v>
      </c>
      <c r="K165" s="19" t="n">
        <v>7.10338133900923</v>
      </c>
    </row>
    <row r="166">
      <c r="A166" s="19" t="n">
        <v>33</v>
      </c>
      <c r="B166" s="19" t="inlineStr">
        <is>
          <t>Keegan</t>
        </is>
      </c>
      <c r="C166" s="19" t="inlineStr">
        <is>
          <t>Town</t>
        </is>
      </c>
      <c r="D166" s="19" t="inlineStr">
        <is>
          <t>Loss</t>
        </is>
      </c>
      <c r="E166" s="19" t="n">
        <v>-28</v>
      </c>
      <c r="F166" s="19" t="n">
        <v>26.7821633629853</v>
      </c>
      <c r="G166" s="19" t="n">
        <v>26.3206515333948</v>
      </c>
      <c r="H166" s="19" t="n">
        <v>7.89591721556682</v>
      </c>
      <c r="I166" s="19" t="n">
        <v>1012</v>
      </c>
      <c r="J166" s="19" t="n">
        <v>984</v>
      </c>
      <c r="K166" s="19" t="n">
        <v>7.93098306725758</v>
      </c>
    </row>
    <row r="167">
      <c r="A167" s="19" t="n">
        <v>33</v>
      </c>
      <c r="B167" s="19" t="inlineStr">
        <is>
          <t>23flash</t>
        </is>
      </c>
      <c r="C167" s="19" t="inlineStr">
        <is>
          <t>Town</t>
        </is>
      </c>
      <c r="D167" s="19" t="inlineStr">
        <is>
          <t>Loss</t>
        </is>
      </c>
      <c r="E167" s="19" t="n">
        <v>-29</v>
      </c>
      <c r="F167" s="19" t="n">
        <v>25.3286548018163</v>
      </c>
      <c r="G167" s="19" t="n">
        <v>24.8355267511968</v>
      </c>
      <c r="H167" s="19" t="n">
        <v>8.159002599211661</v>
      </c>
      <c r="I167" s="19" t="n">
        <v>886</v>
      </c>
      <c r="J167" s="19" t="n">
        <v>857</v>
      </c>
      <c r="K167" s="19" t="n">
        <v>8.19851842075105</v>
      </c>
    </row>
    <row r="168">
      <c r="A168" s="19" t="n">
        <v>33</v>
      </c>
      <c r="B168" s="19" t="inlineStr">
        <is>
          <t>Streety</t>
        </is>
      </c>
      <c r="C168" s="19" t="inlineStr">
        <is>
          <t>Town</t>
        </is>
      </c>
      <c r="D168" s="19" t="inlineStr">
        <is>
          <t>Loss</t>
        </is>
      </c>
      <c r="E168" s="19" t="n">
        <v>-26</v>
      </c>
      <c r="F168" s="19" t="n">
        <v>22.449433369289</v>
      </c>
      <c r="G168" s="19" t="n">
        <v>22.0158251965303</v>
      </c>
      <c r="H168" s="19" t="n">
        <v>7.6558898914786</v>
      </c>
      <c r="I168" s="19" t="n">
        <v>742</v>
      </c>
      <c r="J168" s="19" t="n">
        <v>716</v>
      </c>
      <c r="K168" s="19" t="n">
        <v>7.68713199475046</v>
      </c>
    </row>
    <row r="169">
      <c r="A169" s="19" t="n">
        <v>33</v>
      </c>
      <c r="B169" s="19" t="inlineStr">
        <is>
          <t>Creatchee</t>
        </is>
      </c>
      <c r="C169" s="19" t="inlineStr">
        <is>
          <t>Town</t>
        </is>
      </c>
      <c r="D169" s="19" t="inlineStr">
        <is>
          <t>Loss</t>
        </is>
      </c>
      <c r="E169" s="19" t="n">
        <v>-30</v>
      </c>
      <c r="F169" s="19" t="n">
        <v>24.6759184796022</v>
      </c>
      <c r="G169" s="19" t="n">
        <v>24.1701968464161</v>
      </c>
      <c r="H169" s="19" t="n">
        <v>8.261361588885389</v>
      </c>
      <c r="I169" s="19" t="n">
        <v>831</v>
      </c>
      <c r="J169" s="19" t="n">
        <v>801</v>
      </c>
      <c r="K169" s="19" t="n">
        <v>8.30268438962116</v>
      </c>
    </row>
    <row r="170">
      <c r="A170" s="19" t="n">
        <v>33</v>
      </c>
      <c r="B170" s="19" t="inlineStr">
        <is>
          <t>Steep</t>
        </is>
      </c>
      <c r="C170" s="19" t="inlineStr">
        <is>
          <t>Town</t>
        </is>
      </c>
      <c r="D170" s="19" t="inlineStr">
        <is>
          <t>Loss</t>
        </is>
      </c>
      <c r="E170" s="19" t="n">
        <v>-29</v>
      </c>
      <c r="F170" s="19" t="n">
        <v>25.1816616866917</v>
      </c>
      <c r="G170" s="19" t="n">
        <v>24.6920266180919</v>
      </c>
      <c r="H170" s="19" t="n">
        <v>8.130373355769979</v>
      </c>
      <c r="I170" s="19" t="n">
        <v>879</v>
      </c>
      <c r="J170" s="19" t="n">
        <v>850</v>
      </c>
      <c r="K170" s="19" t="n">
        <v>8.169391451925611</v>
      </c>
    </row>
    <row r="171">
      <c r="A171" s="19" t="n">
        <v>33</v>
      </c>
      <c r="B171" s="19" t="inlineStr">
        <is>
          <t>Torharo</t>
        </is>
      </c>
      <c r="C171" s="19" t="inlineStr">
        <is>
          <t>Town</t>
        </is>
      </c>
      <c r="D171" s="19" t="inlineStr">
        <is>
          <t>Loss</t>
        </is>
      </c>
      <c r="E171" s="19" t="n">
        <v>-27</v>
      </c>
      <c r="F171" s="19" t="n">
        <v>25.2682827229498</v>
      </c>
      <c r="G171" s="19" t="n">
        <v>24.8258245407723</v>
      </c>
      <c r="H171" s="19" t="n">
        <v>7.73285752876976</v>
      </c>
      <c r="I171" s="19" t="n">
        <v>926</v>
      </c>
      <c r="J171" s="19" t="n">
        <v>899</v>
      </c>
      <c r="K171" s="19" t="n">
        <v>7.76530179593232</v>
      </c>
    </row>
    <row r="172">
      <c r="A172" s="19" t="n">
        <v>33</v>
      </c>
      <c r="B172" s="19" t="inlineStr">
        <is>
          <t>Chester</t>
        </is>
      </c>
      <c r="C172" s="19" t="inlineStr">
        <is>
          <t>Town</t>
        </is>
      </c>
      <c r="D172" s="19" t="inlineStr">
        <is>
          <t>Loss</t>
        </is>
      </c>
      <c r="E172" s="19" t="n">
        <v>-28</v>
      </c>
      <c r="F172" s="19" t="n">
        <v>22.1764702396958</v>
      </c>
      <c r="G172" s="19" t="n">
        <v>21.7095599322</v>
      </c>
      <c r="H172" s="19" t="n">
        <v>7.94148315682277</v>
      </c>
      <c r="I172" s="19" t="n">
        <v>694</v>
      </c>
      <c r="J172" s="19" t="n">
        <v>666</v>
      </c>
      <c r="K172" s="19" t="n">
        <v>7.97730004176814</v>
      </c>
    </row>
    <row r="173">
      <c r="A173" s="19" t="n">
        <v>33</v>
      </c>
      <c r="B173" s="19" t="inlineStr">
        <is>
          <t>Rocker</t>
        </is>
      </c>
      <c r="C173" s="19" t="inlineStr">
        <is>
          <t>Town</t>
        </is>
      </c>
      <c r="D173" s="19" t="inlineStr">
        <is>
          <t>Loss</t>
        </is>
      </c>
      <c r="E173" s="19" t="n">
        <v>-27</v>
      </c>
      <c r="F173" s="19" t="n">
        <v>21.1671042399281</v>
      </c>
      <c r="G173" s="19" t="n">
        <v>20.7213594904954</v>
      </c>
      <c r="H173" s="19" t="n">
        <v>7.76123833328412</v>
      </c>
      <c r="I173" s="19" t="n">
        <v>644</v>
      </c>
      <c r="J173" s="19" t="n">
        <v>617</v>
      </c>
      <c r="K173" s="19" t="n">
        <v>7.79413154838944</v>
      </c>
    </row>
    <row r="174">
      <c r="A174" s="19" t="n">
        <v>32</v>
      </c>
      <c r="B174" s="19" t="inlineStr">
        <is>
          <t>Noah</t>
        </is>
      </c>
      <c r="C174" s="19" t="inlineStr">
        <is>
          <t>Mafia</t>
        </is>
      </c>
      <c r="D174" s="19" t="inlineStr">
        <is>
          <t>Loss</t>
        </is>
      </c>
      <c r="E174" s="19" t="n">
        <v>-68</v>
      </c>
      <c r="F174" s="19" t="n">
        <v>29.3762050953852</v>
      </c>
      <c r="G174" s="19" t="n">
        <v>28.3093883455334</v>
      </c>
      <c r="H174" s="19" t="n">
        <v>7.06715281759616</v>
      </c>
      <c r="I174" s="19" t="n">
        <v>1272</v>
      </c>
      <c r="J174" s="19" t="n">
        <v>1204</v>
      </c>
      <c r="K174" s="19" t="n">
        <v>7.1094066108275</v>
      </c>
    </row>
    <row r="175">
      <c r="A175" s="19" t="n">
        <v>32</v>
      </c>
      <c r="B175" s="19" t="inlineStr">
        <is>
          <t>Rocker</t>
        </is>
      </c>
      <c r="C175" s="19" t="inlineStr">
        <is>
          <t>Mafia</t>
        </is>
      </c>
      <c r="D175" s="19" t="inlineStr">
        <is>
          <t>Loss</t>
        </is>
      </c>
      <c r="E175" s="19" t="n">
        <v>-83</v>
      </c>
      <c r="F175" s="19" t="n">
        <v>22.4686412925324</v>
      </c>
      <c r="G175" s="19" t="n">
        <v>21.1671042399281</v>
      </c>
      <c r="H175" s="19" t="n">
        <v>7.79413154838944</v>
      </c>
      <c r="I175" s="19" t="n">
        <v>727</v>
      </c>
      <c r="J175" s="19" t="n">
        <v>644</v>
      </c>
      <c r="K175" s="19" t="n">
        <v>7.85391919018884</v>
      </c>
    </row>
    <row r="176">
      <c r="A176" s="19" t="n">
        <v>32</v>
      </c>
      <c r="B176" s="19" t="inlineStr">
        <is>
          <t>Wiggles</t>
        </is>
      </c>
      <c r="C176" s="19" t="inlineStr">
        <is>
          <t>Mafia</t>
        </is>
      </c>
      <c r="D176" s="19" t="inlineStr">
        <is>
          <t>Loss</t>
        </is>
      </c>
      <c r="E176" s="19" t="n">
        <v>-92</v>
      </c>
      <c r="F176" s="19" t="n">
        <v>25</v>
      </c>
      <c r="G176" s="19" t="n">
        <v>23.5349566559027</v>
      </c>
      <c r="H176" s="19" t="n">
        <v>8.26044951369215</v>
      </c>
      <c r="I176" s="19" t="n">
        <v>850</v>
      </c>
      <c r="J176" s="19" t="n">
        <v>758</v>
      </c>
      <c r="K176" s="19" t="n">
        <v>8.33333333333333</v>
      </c>
    </row>
    <row r="177">
      <c r="A177" s="19" t="n">
        <v>32</v>
      </c>
      <c r="B177" s="19" t="inlineStr">
        <is>
          <t>Rick</t>
        </is>
      </c>
      <c r="C177" s="19" t="inlineStr">
        <is>
          <t>Town</t>
        </is>
      </c>
      <c r="D177" s="19" t="inlineStr">
        <is>
          <t>Win</t>
        </is>
      </c>
      <c r="E177" s="19" t="n">
        <v>103</v>
      </c>
      <c r="F177" s="19" t="n">
        <v>28.150551048988</v>
      </c>
      <c r="G177" s="19" t="n">
        <v>29.5574199810431</v>
      </c>
      <c r="H177" s="19" t="n">
        <v>8.097843952249811</v>
      </c>
      <c r="I177" s="19" t="n">
        <v>1081</v>
      </c>
      <c r="J177" s="19" t="n">
        <v>1184</v>
      </c>
      <c r="K177" s="19" t="n">
        <v>8.165987287080551</v>
      </c>
    </row>
    <row r="178">
      <c r="A178" s="19" t="n">
        <v>32</v>
      </c>
      <c r="B178" s="19" t="inlineStr">
        <is>
          <t>Machop</t>
        </is>
      </c>
      <c r="C178" s="19" t="inlineStr">
        <is>
          <t>Town</t>
        </is>
      </c>
      <c r="D178" s="19" t="inlineStr">
        <is>
          <t>Win</t>
        </is>
      </c>
      <c r="E178" s="19" t="n">
        <v>78</v>
      </c>
      <c r="F178" s="19" t="n">
        <v>28.9262816081141</v>
      </c>
      <c r="G178" s="19" t="n">
        <v>30.004219107587</v>
      </c>
      <c r="H178" s="19" t="n">
        <v>7.10338133900923</v>
      </c>
      <c r="I178" s="19" t="n">
        <v>1238</v>
      </c>
      <c r="J178" s="19" t="n">
        <v>1316</v>
      </c>
      <c r="K178" s="19" t="n">
        <v>7.14643124968742</v>
      </c>
    </row>
    <row r="179">
      <c r="A179" s="19" t="n">
        <v>32</v>
      </c>
      <c r="B179" s="19" t="inlineStr">
        <is>
          <t>Lombax</t>
        </is>
      </c>
      <c r="C179" s="19" t="inlineStr">
        <is>
          <t>Town</t>
        </is>
      </c>
      <c r="D179" s="19" t="inlineStr">
        <is>
          <t>Win</t>
        </is>
      </c>
      <c r="E179" s="19" t="n">
        <v>102</v>
      </c>
      <c r="F179" s="19" t="n">
        <v>24.5882138439481</v>
      </c>
      <c r="G179" s="19" t="n">
        <v>25.9933272380955</v>
      </c>
      <c r="H179" s="19" t="n">
        <v>8.09288226084611</v>
      </c>
      <c r="I179" s="19" t="n">
        <v>840</v>
      </c>
      <c r="J179" s="19" t="n">
        <v>942</v>
      </c>
      <c r="K179" s="19" t="n">
        <v>8.160883920559151</v>
      </c>
    </row>
    <row r="180">
      <c r="A180" s="19" t="n">
        <v>32</v>
      </c>
      <c r="B180" s="19" t="inlineStr">
        <is>
          <t>Boobles</t>
        </is>
      </c>
      <c r="C180" s="19" t="inlineStr">
        <is>
          <t>Town</t>
        </is>
      </c>
      <c r="D180" s="19" t="inlineStr">
        <is>
          <t>Win</t>
        </is>
      </c>
      <c r="E180" s="19" t="n">
        <v>95</v>
      </c>
      <c r="F180" s="19" t="n">
        <v>28.6976871435299</v>
      </c>
      <c r="G180" s="19" t="n">
        <v>30.0039091210699</v>
      </c>
      <c r="H180" s="19" t="n">
        <v>7.80790931822061</v>
      </c>
      <c r="I180" s="19" t="n">
        <v>1149</v>
      </c>
      <c r="J180" s="19" t="n">
        <v>1244</v>
      </c>
      <c r="K180" s="19" t="n">
        <v>7.86806229864011</v>
      </c>
    </row>
    <row r="181">
      <c r="A181" s="19" t="n">
        <v>32</v>
      </c>
      <c r="B181" s="19" t="inlineStr">
        <is>
          <t>Justice</t>
        </is>
      </c>
      <c r="C181" s="19" t="inlineStr">
        <is>
          <t>Town</t>
        </is>
      </c>
      <c r="D181" s="19" t="inlineStr">
        <is>
          <t>Win</t>
        </is>
      </c>
      <c r="E181" s="19" t="n">
        <v>86</v>
      </c>
      <c r="F181" s="19" t="n">
        <v>22.9156486951798</v>
      </c>
      <c r="G181" s="19" t="n">
        <v>24.1096847416226</v>
      </c>
      <c r="H181" s="19" t="n">
        <v>7.47051870433644</v>
      </c>
      <c r="I181" s="19" t="n">
        <v>791</v>
      </c>
      <c r="J181" s="19" t="n">
        <v>877</v>
      </c>
      <c r="K181" s="19" t="n">
        <v>7.52208701108108</v>
      </c>
    </row>
    <row r="182">
      <c r="A182" s="19" t="n">
        <v>32</v>
      </c>
      <c r="B182" s="19" t="inlineStr">
        <is>
          <t>Kwix</t>
        </is>
      </c>
      <c r="C182" s="19" t="inlineStr">
        <is>
          <t>Town</t>
        </is>
      </c>
      <c r="D182" s="19" t="inlineStr">
        <is>
          <t>Win</t>
        </is>
      </c>
      <c r="E182" s="19" t="n">
        <v>98</v>
      </c>
      <c r="F182" s="19" t="n">
        <v>19.1711841038207</v>
      </c>
      <c r="G182" s="19" t="n">
        <v>20.5180247487888</v>
      </c>
      <c r="H182" s="19" t="n">
        <v>7.92628951506879</v>
      </c>
      <c r="I182" s="19" t="n">
        <v>489</v>
      </c>
      <c r="J182" s="19" t="n">
        <v>587</v>
      </c>
      <c r="K182" s="19" t="n">
        <v>7.98963472122203</v>
      </c>
    </row>
    <row r="183">
      <c r="A183" s="19" t="n">
        <v>32</v>
      </c>
      <c r="B183" s="19" t="inlineStr">
        <is>
          <t>Kny</t>
        </is>
      </c>
      <c r="C183" s="19" t="inlineStr">
        <is>
          <t>Town</t>
        </is>
      </c>
      <c r="D183" s="19" t="inlineStr">
        <is>
          <t>Win</t>
        </is>
      </c>
      <c r="E183" s="19" t="n">
        <v>83</v>
      </c>
      <c r="F183" s="19" t="n">
        <v>24.9557010901048</v>
      </c>
      <c r="G183" s="19" t="n">
        <v>26.1131497474363</v>
      </c>
      <c r="H183" s="19" t="n">
        <v>7.35691587586964</v>
      </c>
      <c r="I183" s="19" t="n">
        <v>942</v>
      </c>
      <c r="J183" s="19" t="n">
        <v>1025</v>
      </c>
      <c r="K183" s="19" t="n">
        <v>7.40575913892834</v>
      </c>
    </row>
    <row r="184">
      <c r="A184" s="19" t="n">
        <v>32</v>
      </c>
      <c r="B184" s="19" t="inlineStr">
        <is>
          <t>23flash</t>
        </is>
      </c>
      <c r="C184" s="19" t="inlineStr">
        <is>
          <t>Town</t>
        </is>
      </c>
      <c r="D184" s="19" t="inlineStr">
        <is>
          <t>Win</t>
        </is>
      </c>
      <c r="E184" s="19" t="n">
        <v>105</v>
      </c>
      <c r="F184" s="19" t="n">
        <v>23.8859151247291</v>
      </c>
      <c r="G184" s="19" t="n">
        <v>25.3286548018163</v>
      </c>
      <c r="H184" s="19" t="n">
        <v>8.19851842075105</v>
      </c>
      <c r="I184" s="19" t="n">
        <v>781</v>
      </c>
      <c r="J184" s="19" t="n">
        <v>886</v>
      </c>
      <c r="K184" s="19" t="n">
        <v>8.26957431294632</v>
      </c>
    </row>
    <row r="185">
      <c r="A185" s="19" t="n">
        <v>32</v>
      </c>
      <c r="B185" s="19" t="inlineStr">
        <is>
          <t>Keegan</t>
        </is>
      </c>
      <c r="C185" s="19" t="inlineStr">
        <is>
          <t>Town</t>
        </is>
      </c>
      <c r="D185" s="19" t="inlineStr">
        <is>
          <t>Win</t>
        </is>
      </c>
      <c r="E185" s="19" t="n">
        <v>98</v>
      </c>
      <c r="F185" s="19" t="n">
        <v>25.4336987615007</v>
      </c>
      <c r="G185" s="19" t="n">
        <v>26.7821633629853</v>
      </c>
      <c r="H185" s="19" t="n">
        <v>7.93098306725758</v>
      </c>
      <c r="I185" s="19" t="n">
        <v>914</v>
      </c>
      <c r="J185" s="19" t="n">
        <v>1012</v>
      </c>
      <c r="K185" s="19" t="n">
        <v>7.994456818348</v>
      </c>
    </row>
    <row r="186">
      <c r="A186" s="19" t="n">
        <v>32</v>
      </c>
      <c r="B186" s="19" t="inlineStr">
        <is>
          <t>Nick</t>
        </is>
      </c>
      <c r="C186" s="19" t="inlineStr">
        <is>
          <t>Town</t>
        </is>
      </c>
      <c r="D186" s="19" t="inlineStr">
        <is>
          <t>Win</t>
        </is>
      </c>
      <c r="E186" s="19" t="n">
        <v>102</v>
      </c>
      <c r="F186" s="19" t="n">
        <v>24.5602566703176</v>
      </c>
      <c r="G186" s="19" t="n">
        <v>25.9653097896841</v>
      </c>
      <c r="H186" s="19" t="n">
        <v>8.09271184762142</v>
      </c>
      <c r="I186" s="19" t="n">
        <v>838</v>
      </c>
      <c r="J186" s="19" t="n">
        <v>940</v>
      </c>
      <c r="K186" s="19" t="n">
        <v>8.1607086444907</v>
      </c>
    </row>
    <row r="187">
      <c r="A187" s="19" t="n">
        <v>31</v>
      </c>
      <c r="B187" s="19" t="inlineStr">
        <is>
          <t>Noah</t>
        </is>
      </c>
      <c r="C187" s="19" t="inlineStr">
        <is>
          <t>Mafia</t>
        </is>
      </c>
      <c r="D187" s="19" t="inlineStr">
        <is>
          <t>Win</t>
        </is>
      </c>
      <c r="E187" s="19" t="n">
        <v>48</v>
      </c>
      <c r="F187" s="19" t="n">
        <v>28.7159199302073</v>
      </c>
      <c r="G187" s="19" t="n">
        <v>29.3762050953852</v>
      </c>
      <c r="H187" s="19" t="n">
        <v>7.1094066108275</v>
      </c>
      <c r="I187" s="19" t="n">
        <v>1224</v>
      </c>
      <c r="J187" s="19" t="n">
        <v>1272</v>
      </c>
      <c r="K187" s="19" t="n">
        <v>7.14350124905682</v>
      </c>
    </row>
    <row r="188">
      <c r="A188" s="19" t="n">
        <v>31</v>
      </c>
      <c r="B188" s="19" t="inlineStr">
        <is>
          <t>Siggywiggy</t>
        </is>
      </c>
      <c r="C188" s="19" t="inlineStr">
        <is>
          <t>Mafia</t>
        </is>
      </c>
      <c r="D188" s="19" t="inlineStr">
        <is>
          <t>Win</t>
        </is>
      </c>
      <c r="E188" s="19" t="n">
        <v>58</v>
      </c>
      <c r="F188" s="19" t="n">
        <v>19.253672221651</v>
      </c>
      <c r="G188" s="19" t="n">
        <v>20.0318181870176</v>
      </c>
      <c r="H188" s="19" t="n">
        <v>7.71002858330189</v>
      </c>
      <c r="I188" s="19" t="n">
        <v>518</v>
      </c>
      <c r="J188" s="19" t="n">
        <v>576</v>
      </c>
      <c r="K188" s="19" t="n">
        <v>7.75593015802837</v>
      </c>
    </row>
    <row r="189">
      <c r="A189" s="19" t="n">
        <v>31</v>
      </c>
      <c r="B189" s="19" t="inlineStr">
        <is>
          <t>5up</t>
        </is>
      </c>
      <c r="C189" s="19" t="inlineStr">
        <is>
          <t>Mafia</t>
        </is>
      </c>
      <c r="D189" s="19" t="inlineStr">
        <is>
          <t>Win</t>
        </is>
      </c>
      <c r="E189" s="19" t="n">
        <v>63</v>
      </c>
      <c r="F189" s="19" t="n">
        <v>25.7884478203815</v>
      </c>
      <c r="G189" s="19" t="n">
        <v>26.6357361355099</v>
      </c>
      <c r="H189" s="19" t="n">
        <v>8.04046690609762</v>
      </c>
      <c r="I189" s="19" t="n">
        <v>928</v>
      </c>
      <c r="J189" s="19" t="n">
        <v>991</v>
      </c>
      <c r="K189" s="19" t="n">
        <v>8.093669635216919</v>
      </c>
    </row>
    <row r="190">
      <c r="A190" s="19" t="n">
        <v>31</v>
      </c>
      <c r="B190" s="19" t="inlineStr">
        <is>
          <t>Josh</t>
        </is>
      </c>
      <c r="C190" s="19" t="inlineStr">
        <is>
          <t>Town</t>
        </is>
      </c>
      <c r="D190" s="19" t="inlineStr">
        <is>
          <t>Loss</t>
        </is>
      </c>
      <c r="E190" s="19" t="n">
        <v>-51</v>
      </c>
      <c r="F190" s="19" t="n">
        <v>26.141287557632</v>
      </c>
      <c r="G190" s="19" t="n">
        <v>25.3154716812965</v>
      </c>
      <c r="H190" s="19" t="n">
        <v>7.93940556158455</v>
      </c>
      <c r="I190" s="19" t="n">
        <v>963</v>
      </c>
      <c r="J190" s="19" t="n">
        <v>912</v>
      </c>
      <c r="K190" s="19" t="n">
        <v>7.99031170457806</v>
      </c>
    </row>
    <row r="191">
      <c r="A191" s="19" t="n">
        <v>31</v>
      </c>
      <c r="B191" s="19" t="inlineStr">
        <is>
          <t>Whyin</t>
        </is>
      </c>
      <c r="C191" s="19" t="inlineStr">
        <is>
          <t>Town</t>
        </is>
      </c>
      <c r="D191" s="19" t="inlineStr">
        <is>
          <t>Loss</t>
        </is>
      </c>
      <c r="E191" s="19" t="n">
        <v>-49</v>
      </c>
      <c r="F191" s="19" t="n">
        <v>20.2716212113254</v>
      </c>
      <c r="G191" s="19" t="n">
        <v>19.4813918867629</v>
      </c>
      <c r="H191" s="19" t="n">
        <v>7.76884836575666</v>
      </c>
      <c r="I191" s="19" t="n">
        <v>581</v>
      </c>
      <c r="J191" s="19" t="n">
        <v>532</v>
      </c>
      <c r="K191" s="19" t="n">
        <v>7.81600616503979</v>
      </c>
    </row>
    <row r="192">
      <c r="A192" s="19" t="n">
        <v>31</v>
      </c>
      <c r="B192" s="19" t="inlineStr">
        <is>
          <t>Kny</t>
        </is>
      </c>
      <c r="C192" s="19" t="inlineStr">
        <is>
          <t>Town</t>
        </is>
      </c>
      <c r="D192" s="19" t="inlineStr">
        <is>
          <t>Loss</t>
        </is>
      </c>
      <c r="E192" s="19" t="n">
        <v>-44</v>
      </c>
      <c r="F192" s="19" t="n">
        <v>25.6728852082019</v>
      </c>
      <c r="G192" s="19" t="n">
        <v>24.9557010901048</v>
      </c>
      <c r="H192" s="19" t="n">
        <v>7.40575913892834</v>
      </c>
      <c r="I192" s="19" t="n">
        <v>986</v>
      </c>
      <c r="J192" s="19" t="n">
        <v>942</v>
      </c>
      <c r="K192" s="19" t="n">
        <v>7.4454520139571</v>
      </c>
    </row>
    <row r="193">
      <c r="A193" s="19" t="n">
        <v>31</v>
      </c>
      <c r="B193" s="19" t="inlineStr">
        <is>
          <t>Pope</t>
        </is>
      </c>
      <c r="C193" s="19" t="inlineStr">
        <is>
          <t>Town</t>
        </is>
      </c>
      <c r="D193" s="19" t="inlineStr">
        <is>
          <t>Loss</t>
        </is>
      </c>
      <c r="E193" s="19" t="n">
        <v>-55</v>
      </c>
      <c r="F193" s="19" t="n">
        <v>23.8859151247291</v>
      </c>
      <c r="G193" s="19" t="n">
        <v>23.0014484005936</v>
      </c>
      <c r="H193" s="19" t="n">
        <v>8.212333695661901</v>
      </c>
      <c r="I193" s="19" t="n">
        <v>781</v>
      </c>
      <c r="J193" s="19" t="n">
        <v>726</v>
      </c>
      <c r="K193" s="19" t="n">
        <v>8.26957431294632</v>
      </c>
    </row>
    <row r="194">
      <c r="A194" s="19" t="n">
        <v>31</v>
      </c>
      <c r="B194" s="19" t="inlineStr">
        <is>
          <t>Rollo</t>
        </is>
      </c>
      <c r="C194" s="19" t="inlineStr">
        <is>
          <t>Town</t>
        </is>
      </c>
      <c r="D194" s="19" t="inlineStr">
        <is>
          <t>Loss</t>
        </is>
      </c>
      <c r="E194" s="19" t="n">
        <v>-54</v>
      </c>
      <c r="F194" s="19" t="n">
        <v>26.1140848752708</v>
      </c>
      <c r="G194" s="19" t="n">
        <v>25.2296181511353</v>
      </c>
      <c r="H194" s="19" t="n">
        <v>8.212333695661901</v>
      </c>
      <c r="I194" s="19" t="n">
        <v>932</v>
      </c>
      <c r="J194" s="19" t="n">
        <v>878</v>
      </c>
      <c r="K194" s="19" t="n">
        <v>8.26957431294632</v>
      </c>
    </row>
    <row r="195">
      <c r="A195" s="19" t="n">
        <v>31</v>
      </c>
      <c r="B195" s="19" t="inlineStr">
        <is>
          <t>Machop</t>
        </is>
      </c>
      <c r="C195" s="19" t="inlineStr">
        <is>
          <t>Town</t>
        </is>
      </c>
      <c r="D195" s="19" t="inlineStr">
        <is>
          <t>Loss</t>
        </is>
      </c>
      <c r="E195" s="19" t="n">
        <v>-42</v>
      </c>
      <c r="F195" s="19" t="n">
        <v>29.5935423243044</v>
      </c>
      <c r="G195" s="19" t="n">
        <v>28.9262816081141</v>
      </c>
      <c r="H195" s="19" t="n">
        <v>7.14643124968742</v>
      </c>
      <c r="I195" s="19" t="n">
        <v>1280</v>
      </c>
      <c r="J195" s="19" t="n">
        <v>1238</v>
      </c>
      <c r="K195" s="19" t="n">
        <v>7.1812019027782</v>
      </c>
    </row>
    <row r="196">
      <c r="A196" s="19" t="n">
        <v>31</v>
      </c>
      <c r="B196" s="19" t="inlineStr">
        <is>
          <t>Lovely</t>
        </is>
      </c>
      <c r="C196" s="19" t="inlineStr">
        <is>
          <t>Town</t>
        </is>
      </c>
      <c r="D196" s="19" t="inlineStr">
        <is>
          <t>Loss</t>
        </is>
      </c>
      <c r="E196" s="19" t="n">
        <v>-55</v>
      </c>
      <c r="F196" s="19" t="n">
        <v>25</v>
      </c>
      <c r="G196" s="19" t="n">
        <v>24.1018600875478</v>
      </c>
      <c r="H196" s="19" t="n">
        <v>8.27458824589004</v>
      </c>
      <c r="I196" s="19" t="n">
        <v>850</v>
      </c>
      <c r="J196" s="19" t="n">
        <v>795</v>
      </c>
      <c r="K196" s="19" t="n">
        <v>8.33333333333333</v>
      </c>
    </row>
    <row r="197">
      <c r="A197" s="19" t="n">
        <v>31</v>
      </c>
      <c r="B197" s="19" t="inlineStr">
        <is>
          <t>Pinkee</t>
        </is>
      </c>
      <c r="C197" s="19" t="inlineStr">
        <is>
          <t>Town</t>
        </is>
      </c>
      <c r="D197" s="19" t="inlineStr">
        <is>
          <t>Loss</t>
        </is>
      </c>
      <c r="E197" s="19" t="n">
        <v>-54</v>
      </c>
      <c r="F197" s="19" t="n">
        <v>25.528034091567</v>
      </c>
      <c r="G197" s="19" t="n">
        <v>24.6553594048844</v>
      </c>
      <c r="H197" s="19" t="n">
        <v>8.15823827908552</v>
      </c>
      <c r="I197" s="19" t="n">
        <v>898</v>
      </c>
      <c r="J197" s="19" t="n">
        <v>844</v>
      </c>
      <c r="K197" s="19" t="n">
        <v>8.214189785834449</v>
      </c>
    </row>
    <row r="198">
      <c r="A198" s="19" t="n">
        <v>31</v>
      </c>
      <c r="B198" s="19" t="inlineStr">
        <is>
          <t>Rocker</t>
        </is>
      </c>
      <c r="C198" s="19" t="inlineStr">
        <is>
          <t>Town</t>
        </is>
      </c>
      <c r="D198" s="19" t="inlineStr">
        <is>
          <t>Loss</t>
        </is>
      </c>
      <c r="E198" s="19" t="n">
        <v>-50</v>
      </c>
      <c r="F198" s="19" t="n">
        <v>23.2765183888036</v>
      </c>
      <c r="G198" s="19" t="n">
        <v>22.4686412925324</v>
      </c>
      <c r="H198" s="19" t="n">
        <v>7.85391919018884</v>
      </c>
      <c r="I198" s="19" t="n">
        <v>777</v>
      </c>
      <c r="J198" s="19" t="n">
        <v>727</v>
      </c>
      <c r="K198" s="19" t="n">
        <v>7.90292678362818</v>
      </c>
    </row>
    <row r="199">
      <c r="A199" s="19" t="n">
        <v>31</v>
      </c>
      <c r="B199" s="19" t="inlineStr">
        <is>
          <t>Carson</t>
        </is>
      </c>
      <c r="C199" s="19" t="inlineStr">
        <is>
          <t>Town</t>
        </is>
      </c>
      <c r="D199" s="19" t="inlineStr">
        <is>
          <t>Loss</t>
        </is>
      </c>
      <c r="E199" s="19" t="n">
        <v>-44</v>
      </c>
      <c r="F199" s="19" t="n">
        <v>25.4635358907578</v>
      </c>
      <c r="G199" s="19" t="n">
        <v>24.7696644464516</v>
      </c>
      <c r="H199" s="19" t="n">
        <v>7.28586618879121</v>
      </c>
      <c r="I199" s="19" t="n">
        <v>985</v>
      </c>
      <c r="J199" s="19" t="n">
        <v>941</v>
      </c>
      <c r="K199" s="19" t="n">
        <v>7.323242228951</v>
      </c>
    </row>
    <row r="200">
      <c r="A200" s="19" t="n">
        <v>30</v>
      </c>
      <c r="B200" s="19" t="inlineStr">
        <is>
          <t>Jan</t>
        </is>
      </c>
      <c r="C200" s="19" t="inlineStr">
        <is>
          <t>Mafia</t>
        </is>
      </c>
      <c r="D200" s="19" t="inlineStr">
        <is>
          <t>Win</t>
        </is>
      </c>
      <c r="E200" s="19" t="n">
        <v>82</v>
      </c>
      <c r="F200" s="19" t="n">
        <v>25</v>
      </c>
      <c r="G200" s="19" t="n">
        <v>26.1140848752708</v>
      </c>
      <c r="H200" s="19" t="n">
        <v>8.26957431294632</v>
      </c>
      <c r="I200" s="19" t="n">
        <v>850</v>
      </c>
      <c r="J200" s="19" t="n">
        <v>932</v>
      </c>
      <c r="K200" s="19" t="n">
        <v>8.33333333333333</v>
      </c>
    </row>
    <row r="201">
      <c r="A201" s="19" t="n">
        <v>30</v>
      </c>
      <c r="B201" s="19" t="inlineStr">
        <is>
          <t>Justice</t>
        </is>
      </c>
      <c r="C201" s="19" t="inlineStr">
        <is>
          <t>Mafia</t>
        </is>
      </c>
      <c r="D201" s="19" t="inlineStr">
        <is>
          <t>Win</t>
        </is>
      </c>
      <c r="E201" s="19" t="n">
        <v>67</v>
      </c>
      <c r="F201" s="19" t="n">
        <v>21.9965676748818</v>
      </c>
      <c r="G201" s="19" t="n">
        <v>22.9156486951798</v>
      </c>
      <c r="H201" s="19" t="n">
        <v>7.52208701108108</v>
      </c>
      <c r="I201" s="19" t="n">
        <v>724</v>
      </c>
      <c r="J201" s="19" t="n">
        <v>791</v>
      </c>
      <c r="K201" s="19" t="n">
        <v>7.56792457745221</v>
      </c>
    </row>
    <row r="202">
      <c r="A202" s="19" t="n">
        <v>30</v>
      </c>
      <c r="B202" s="19" t="inlineStr">
        <is>
          <t>Rollo</t>
        </is>
      </c>
      <c r="C202" s="19" t="inlineStr">
        <is>
          <t>Mafia</t>
        </is>
      </c>
      <c r="D202" s="19" t="inlineStr">
        <is>
          <t>Win</t>
        </is>
      </c>
      <c r="E202" s="19" t="n">
        <v>82</v>
      </c>
      <c r="F202" s="19" t="n">
        <v>25</v>
      </c>
      <c r="G202" s="19" t="n">
        <v>26.1140848752708</v>
      </c>
      <c r="H202" s="19" t="n">
        <v>8.26957431294632</v>
      </c>
      <c r="I202" s="19" t="n">
        <v>850</v>
      </c>
      <c r="J202" s="19" t="n">
        <v>932</v>
      </c>
      <c r="K202" s="19" t="n">
        <v>8.33333333333333</v>
      </c>
    </row>
    <row r="203">
      <c r="A203" s="19" t="n">
        <v>30</v>
      </c>
      <c r="B203" s="19" t="inlineStr">
        <is>
          <t>Pope</t>
        </is>
      </c>
      <c r="C203" s="19" t="inlineStr">
        <is>
          <t>Town</t>
        </is>
      </c>
      <c r="D203" s="19" t="inlineStr">
        <is>
          <t>Loss</t>
        </is>
      </c>
      <c r="E203" s="19" t="n">
        <v>-69</v>
      </c>
      <c r="F203" s="19" t="n">
        <v>25</v>
      </c>
      <c r="G203" s="19" t="n">
        <v>23.8859151247291</v>
      </c>
      <c r="H203" s="19" t="n">
        <v>8.26957431294632</v>
      </c>
      <c r="I203" s="19" t="n">
        <v>850</v>
      </c>
      <c r="J203" s="19" t="n">
        <v>781</v>
      </c>
      <c r="K203" s="19" t="n">
        <v>8.33333333333333</v>
      </c>
    </row>
    <row r="204">
      <c r="A204" s="19" t="n">
        <v>30</v>
      </c>
      <c r="B204" s="19" t="inlineStr">
        <is>
          <t>Machop</t>
        </is>
      </c>
      <c r="C204" s="19" t="inlineStr">
        <is>
          <t>Town</t>
        </is>
      </c>
      <c r="D204" s="19" t="inlineStr">
        <is>
          <t>Loss</t>
        </is>
      </c>
      <c r="E204" s="19" t="n">
        <v>-53</v>
      </c>
      <c r="F204" s="19" t="n">
        <v>30.4301723563451</v>
      </c>
      <c r="G204" s="19" t="n">
        <v>29.5935423243044</v>
      </c>
      <c r="H204" s="19" t="n">
        <v>7.1812019027782</v>
      </c>
      <c r="I204" s="19" t="n">
        <v>1333</v>
      </c>
      <c r="J204" s="19" t="n">
        <v>1280</v>
      </c>
      <c r="K204" s="19" t="n">
        <v>7.2199300586912</v>
      </c>
    </row>
    <row r="205">
      <c r="A205" s="19" t="n">
        <v>30</v>
      </c>
      <c r="B205" s="19" t="inlineStr">
        <is>
          <t>Nick</t>
        </is>
      </c>
      <c r="C205" s="19" t="inlineStr">
        <is>
          <t>Town</t>
        </is>
      </c>
      <c r="D205" s="19" t="inlineStr">
        <is>
          <t>Loss</t>
        </is>
      </c>
      <c r="E205" s="19" t="n">
        <v>-67</v>
      </c>
      <c r="F205" s="19" t="n">
        <v>25.644717324623</v>
      </c>
      <c r="G205" s="19" t="n">
        <v>24.5602566703176</v>
      </c>
      <c r="H205" s="19" t="n">
        <v>8.1607086444907</v>
      </c>
      <c r="I205" s="19" t="n">
        <v>905</v>
      </c>
      <c r="J205" s="19" t="n">
        <v>838</v>
      </c>
      <c r="K205" s="19" t="n">
        <v>8.22164701376801</v>
      </c>
    </row>
    <row r="206">
      <c r="A206" s="19" t="n">
        <v>30</v>
      </c>
      <c r="B206" s="19" t="inlineStr">
        <is>
          <t>Noah</t>
        </is>
      </c>
      <c r="C206" s="19" t="inlineStr">
        <is>
          <t>Town</t>
        </is>
      </c>
      <c r="D206" s="19" t="inlineStr">
        <is>
          <t>Loss</t>
        </is>
      </c>
      <c r="E206" s="19" t="n">
        <v>-52</v>
      </c>
      <c r="F206" s="19" t="n">
        <v>29.5436783098279</v>
      </c>
      <c r="G206" s="19" t="n">
        <v>28.7159199302073</v>
      </c>
      <c r="H206" s="19" t="n">
        <v>7.14350124905682</v>
      </c>
      <c r="I206" s="19" t="n">
        <v>1276</v>
      </c>
      <c r="J206" s="19" t="n">
        <v>1224</v>
      </c>
      <c r="K206" s="19" t="n">
        <v>7.18148140205959</v>
      </c>
    </row>
    <row r="207">
      <c r="A207" s="19" t="n">
        <v>30</v>
      </c>
      <c r="B207" s="19" t="inlineStr">
        <is>
          <t>Josh</t>
        </is>
      </c>
      <c r="C207" s="19" t="inlineStr">
        <is>
          <t>Town</t>
        </is>
      </c>
      <c r="D207" s="19" t="inlineStr">
        <is>
          <t>Loss</t>
        </is>
      </c>
      <c r="E207" s="19" t="n">
        <v>-64</v>
      </c>
      <c r="F207" s="19" t="n">
        <v>27.1802208195602</v>
      </c>
      <c r="G207" s="19" t="n">
        <v>26.141287557632</v>
      </c>
      <c r="H207" s="19" t="n">
        <v>7.99031170457806</v>
      </c>
      <c r="I207" s="19" t="n">
        <v>1027</v>
      </c>
      <c r="J207" s="19" t="n">
        <v>963</v>
      </c>
      <c r="K207" s="19" t="n">
        <v>8.046982972019119</v>
      </c>
    </row>
    <row r="208">
      <c r="A208" s="19" t="n">
        <v>30</v>
      </c>
      <c r="B208" s="19" t="inlineStr">
        <is>
          <t>Siggywiggy</t>
        </is>
      </c>
      <c r="C208" s="19" t="inlineStr">
        <is>
          <t>Town</t>
        </is>
      </c>
      <c r="D208" s="19" t="inlineStr">
        <is>
          <t>Loss</t>
        </is>
      </c>
      <c r="E208" s="19" t="n">
        <v>-61</v>
      </c>
      <c r="F208" s="19" t="n">
        <v>20.2316512337962</v>
      </c>
      <c r="G208" s="19" t="n">
        <v>19.253672221651</v>
      </c>
      <c r="H208" s="19" t="n">
        <v>7.75593015802837</v>
      </c>
      <c r="I208" s="19" t="n">
        <v>579</v>
      </c>
      <c r="J208" s="19" t="n">
        <v>518</v>
      </c>
      <c r="K208" s="19" t="n">
        <v>7.80701857848244</v>
      </c>
    </row>
    <row r="209">
      <c r="A209" s="19" t="n">
        <v>30</v>
      </c>
      <c r="B209" s="19" t="inlineStr">
        <is>
          <t>Kny</t>
        </is>
      </c>
      <c r="C209" s="19" t="inlineStr">
        <is>
          <t>Town</t>
        </is>
      </c>
      <c r="D209" s="19" t="inlineStr">
        <is>
          <t>Loss</t>
        </is>
      </c>
      <c r="E209" s="19" t="n">
        <v>-57</v>
      </c>
      <c r="F209" s="19" t="n">
        <v>26.5730788654274</v>
      </c>
      <c r="G209" s="19" t="n">
        <v>25.6728852082019</v>
      </c>
      <c r="H209" s="19" t="n">
        <v>7.4454520139571</v>
      </c>
      <c r="I209" s="19" t="n">
        <v>1043</v>
      </c>
      <c r="J209" s="19" t="n">
        <v>986</v>
      </c>
      <c r="K209" s="19" t="n">
        <v>7.48963599657829</v>
      </c>
    </row>
    <row r="210">
      <c r="A210" s="19" t="n">
        <v>30</v>
      </c>
      <c r="B210" s="19" t="inlineStr">
        <is>
          <t>5up</t>
        </is>
      </c>
      <c r="C210" s="19" t="inlineStr">
        <is>
          <t>Town</t>
        </is>
      </c>
      <c r="D210" s="19" t="inlineStr">
        <is>
          <t>Loss</t>
        </is>
      </c>
      <c r="E210" s="19" t="n">
        <v>-67</v>
      </c>
      <c r="F210" s="19" t="n">
        <v>26.8548744857583</v>
      </c>
      <c r="G210" s="19" t="n">
        <v>25.7884478203815</v>
      </c>
      <c r="H210" s="19" t="n">
        <v>8.093669635216919</v>
      </c>
      <c r="I210" s="19" t="n">
        <v>995</v>
      </c>
      <c r="J210" s="19" t="n">
        <v>928</v>
      </c>
      <c r="K210" s="19" t="n">
        <v>8.15290788777569</v>
      </c>
    </row>
    <row r="211">
      <c r="A211" s="19" t="n">
        <v>30</v>
      </c>
      <c r="B211" s="19" t="inlineStr">
        <is>
          <t>Ramza</t>
        </is>
      </c>
      <c r="C211" s="19" t="inlineStr">
        <is>
          <t>Town</t>
        </is>
      </c>
      <c r="D211" s="19" t="inlineStr">
        <is>
          <t>Loss</t>
        </is>
      </c>
      <c r="E211" s="19" t="n">
        <v>-69</v>
      </c>
      <c r="F211" s="19" t="n">
        <v>25</v>
      </c>
      <c r="G211" s="19" t="n">
        <v>23.8859151247291</v>
      </c>
      <c r="H211" s="19" t="n">
        <v>8.26957431294632</v>
      </c>
      <c r="I211" s="19" t="n">
        <v>850</v>
      </c>
      <c r="J211" s="19" t="n">
        <v>781</v>
      </c>
      <c r="K211" s="19" t="n">
        <v>8.33333333333333</v>
      </c>
    </row>
    <row r="212">
      <c r="A212" s="19" t="n">
        <v>30</v>
      </c>
      <c r="B212" s="19" t="inlineStr">
        <is>
          <t>23flash</t>
        </is>
      </c>
      <c r="C212" s="19" t="inlineStr">
        <is>
          <t>Town</t>
        </is>
      </c>
      <c r="D212" s="19" t="inlineStr">
        <is>
          <t>Loss</t>
        </is>
      </c>
      <c r="E212" s="19" t="n">
        <v>-69</v>
      </c>
      <c r="F212" s="19" t="n">
        <v>25</v>
      </c>
      <c r="G212" s="19" t="n">
        <v>23.8859151247291</v>
      </c>
      <c r="H212" s="19" t="n">
        <v>8.26957431294632</v>
      </c>
      <c r="I212" s="19" t="n">
        <v>850</v>
      </c>
      <c r="J212" s="19" t="n">
        <v>781</v>
      </c>
      <c r="K212" s="19" t="n">
        <v>8.33333333333333</v>
      </c>
    </row>
    <row r="213">
      <c r="A213" s="19" t="n">
        <v>29</v>
      </c>
      <c r="B213" s="19" t="inlineStr">
        <is>
          <t>Noah</t>
        </is>
      </c>
      <c r="C213" s="19" t="inlineStr">
        <is>
          <t>Mafia</t>
        </is>
      </c>
      <c r="D213" s="19" t="inlineStr">
        <is>
          <t>Win</t>
        </is>
      </c>
      <c r="E213" s="19" t="n">
        <v>18</v>
      </c>
      <c r="F213" s="19" t="n">
        <v>29.3017490902692</v>
      </c>
      <c r="G213" s="19" t="n">
        <v>29.5436783098279</v>
      </c>
      <c r="H213" s="19" t="n">
        <v>7.18148140205959</v>
      </c>
      <c r="I213" s="19" t="n">
        <v>1258</v>
      </c>
      <c r="J213" s="19" t="n">
        <v>1276</v>
      </c>
      <c r="K213" s="19" t="n">
        <v>7.19846998458042</v>
      </c>
    </row>
    <row r="214">
      <c r="A214" s="19" t="n">
        <v>29</v>
      </c>
      <c r="B214" s="19" t="inlineStr">
        <is>
          <t>Machop</t>
        </is>
      </c>
      <c r="C214" s="19" t="inlineStr">
        <is>
          <t>Mafia</t>
        </is>
      </c>
      <c r="D214" s="19" t="inlineStr">
        <is>
          <t>Win</t>
        </is>
      </c>
      <c r="E214" s="19" t="n">
        <v>19</v>
      </c>
      <c r="F214" s="19" t="n">
        <v>30.1856285605553</v>
      </c>
      <c r="G214" s="19" t="n">
        <v>30.4301723563451</v>
      </c>
      <c r="H214" s="19" t="n">
        <v>7.2199300586912</v>
      </c>
      <c r="I214" s="19" t="n">
        <v>1314</v>
      </c>
      <c r="J214" s="19" t="n">
        <v>1333</v>
      </c>
      <c r="K214" s="19" t="n">
        <v>7.2373302860624</v>
      </c>
    </row>
    <row r="215">
      <c r="A215" s="19" t="n">
        <v>29</v>
      </c>
      <c r="B215" s="19" t="inlineStr">
        <is>
          <t>Badpants</t>
        </is>
      </c>
      <c r="C215" s="19" t="inlineStr">
        <is>
          <t>Mafia</t>
        </is>
      </c>
      <c r="D215" s="19" t="inlineStr">
        <is>
          <t>Win</t>
        </is>
      </c>
      <c r="E215" s="19" t="n">
        <v>24</v>
      </c>
      <c r="F215" s="19" t="n">
        <v>25.0934335991875</v>
      </c>
      <c r="G215" s="19" t="n">
        <v>25.4082704790786</v>
      </c>
      <c r="H215" s="19" t="n">
        <v>8.184423467920009</v>
      </c>
      <c r="I215" s="19" t="n">
        <v>869</v>
      </c>
      <c r="J215" s="19" t="n">
        <v>893</v>
      </c>
      <c r="K215" s="19" t="n">
        <v>8.21346018783384</v>
      </c>
    </row>
    <row r="216">
      <c r="A216" s="19" t="n">
        <v>29</v>
      </c>
      <c r="B216" s="19" t="inlineStr">
        <is>
          <t>Streety</t>
        </is>
      </c>
      <c r="C216" s="19" t="inlineStr">
        <is>
          <t>Town</t>
        </is>
      </c>
      <c r="D216" s="19" t="inlineStr">
        <is>
          <t>Loss</t>
        </is>
      </c>
      <c r="E216" s="19" t="n">
        <v>-17</v>
      </c>
      <c r="F216" s="19" t="n">
        <v>22.7268947637194</v>
      </c>
      <c r="G216" s="19" t="n">
        <v>22.449433369289</v>
      </c>
      <c r="H216" s="19" t="n">
        <v>7.68713199475046</v>
      </c>
      <c r="I216" s="19" t="n">
        <v>759</v>
      </c>
      <c r="J216" s="19" t="n">
        <v>742</v>
      </c>
      <c r="K216" s="19" t="n">
        <v>7.70984437013946</v>
      </c>
    </row>
    <row r="217">
      <c r="A217" s="19" t="n">
        <v>29</v>
      </c>
      <c r="B217" s="19" t="inlineStr">
        <is>
          <t>Whyin</t>
        </is>
      </c>
      <c r="C217" s="19" t="inlineStr">
        <is>
          <t>Town</t>
        </is>
      </c>
      <c r="D217" s="19" t="inlineStr">
        <is>
          <t>Loss</t>
        </is>
      </c>
      <c r="E217" s="19" t="n">
        <v>-17</v>
      </c>
      <c r="F217" s="19" t="n">
        <v>20.5585365708151</v>
      </c>
      <c r="G217" s="19" t="n">
        <v>20.2716212113254</v>
      </c>
      <c r="H217" s="19" t="n">
        <v>7.81600616503979</v>
      </c>
      <c r="I217" s="19" t="n">
        <v>598</v>
      </c>
      <c r="J217" s="19" t="n">
        <v>581</v>
      </c>
      <c r="K217" s="19" t="n">
        <v>7.84028881871416</v>
      </c>
    </row>
    <row r="218">
      <c r="A218" s="19" t="n">
        <v>29</v>
      </c>
      <c r="B218" s="19" t="inlineStr">
        <is>
          <t>Boobles</t>
        </is>
      </c>
      <c r="C218" s="19" t="inlineStr">
        <is>
          <t>Town</t>
        </is>
      </c>
      <c r="D218" s="19" t="inlineStr">
        <is>
          <t>Loss</t>
        </is>
      </c>
      <c r="E218" s="19" t="n">
        <v>-17</v>
      </c>
      <c r="F218" s="19" t="n">
        <v>28.9884672003173</v>
      </c>
      <c r="G218" s="19" t="n">
        <v>28.6976871435299</v>
      </c>
      <c r="H218" s="19" t="n">
        <v>7.86806229864011</v>
      </c>
      <c r="I218" s="19" t="n">
        <v>1166</v>
      </c>
      <c r="J218" s="19" t="n">
        <v>1149</v>
      </c>
      <c r="K218" s="19" t="n">
        <v>7.89299261437906</v>
      </c>
    </row>
    <row r="219">
      <c r="A219" s="19" t="n">
        <v>29</v>
      </c>
      <c r="B219" s="19" t="inlineStr">
        <is>
          <t>Brownkow</t>
        </is>
      </c>
      <c r="C219" s="19" t="inlineStr">
        <is>
          <t>Town</t>
        </is>
      </c>
      <c r="D219" s="19" t="inlineStr">
        <is>
          <t>Loss</t>
        </is>
      </c>
      <c r="E219" s="19" t="n">
        <v>-19</v>
      </c>
      <c r="F219" s="19" t="n">
        <v>23.8539166551315</v>
      </c>
      <c r="G219" s="19" t="n">
        <v>23.5348380487257</v>
      </c>
      <c r="H219" s="19" t="n">
        <v>8.23890333946647</v>
      </c>
      <c r="I219" s="19" t="n">
        <v>779</v>
      </c>
      <c r="J219" s="19" t="n">
        <v>760</v>
      </c>
      <c r="K219" s="19" t="n">
        <v>8.26867744743098</v>
      </c>
    </row>
    <row r="220">
      <c r="A220" s="19" t="n">
        <v>29</v>
      </c>
      <c r="B220" s="19" t="inlineStr">
        <is>
          <t>Kwix</t>
        </is>
      </c>
      <c r="C220" s="19" t="inlineStr">
        <is>
          <t>Town</t>
        </is>
      </c>
      <c r="D220" s="19" t="inlineStr">
        <is>
          <t>Loss</t>
        </is>
      </c>
      <c r="E220" s="19" t="n">
        <v>-17</v>
      </c>
      <c r="F220" s="19" t="n">
        <v>19.4710929381072</v>
      </c>
      <c r="G220" s="19" t="n">
        <v>19.1711841038207</v>
      </c>
      <c r="H220" s="19" t="n">
        <v>7.98963472122203</v>
      </c>
      <c r="I220" s="19" t="n">
        <v>506</v>
      </c>
      <c r="J220" s="19" t="n">
        <v>489</v>
      </c>
      <c r="K220" s="19" t="n">
        <v>8.016108108365961</v>
      </c>
    </row>
    <row r="221">
      <c r="A221" s="19" t="n">
        <v>29</v>
      </c>
      <c r="B221" s="19" t="inlineStr">
        <is>
          <t>Creatchee</t>
        </is>
      </c>
      <c r="C221" s="19" t="inlineStr">
        <is>
          <t>Town</t>
        </is>
      </c>
      <c r="D221" s="19" t="inlineStr">
        <is>
          <t>Loss</t>
        </is>
      </c>
      <c r="E221" s="19" t="n">
        <v>-19</v>
      </c>
      <c r="F221" s="19" t="n">
        <v>25</v>
      </c>
      <c r="G221" s="19" t="n">
        <v>24.6759184796022</v>
      </c>
      <c r="H221" s="19" t="n">
        <v>8.30268438962116</v>
      </c>
      <c r="I221" s="19" t="n">
        <v>850</v>
      </c>
      <c r="J221" s="19" t="n">
        <v>831</v>
      </c>
      <c r="K221" s="19" t="n">
        <v>8.33333333333333</v>
      </c>
    </row>
    <row r="222">
      <c r="A222" s="19" t="n">
        <v>29</v>
      </c>
      <c r="B222" s="19" t="inlineStr">
        <is>
          <t>Chester</t>
        </is>
      </c>
      <c r="C222" s="19" t="inlineStr">
        <is>
          <t>Town</t>
        </is>
      </c>
      <c r="D222" s="19" t="inlineStr">
        <is>
          <t>Loss</t>
        </is>
      </c>
      <c r="E222" s="19" t="n">
        <v>-18</v>
      </c>
      <c r="F222" s="19" t="n">
        <v>22.4754462855942</v>
      </c>
      <c r="G222" s="19" t="n">
        <v>22.1764702396958</v>
      </c>
      <c r="H222" s="19" t="n">
        <v>7.97730004176814</v>
      </c>
      <c r="I222" s="19" t="n">
        <v>712</v>
      </c>
      <c r="J222" s="19" t="n">
        <v>694</v>
      </c>
      <c r="K222" s="19" t="n">
        <v>8.0036149038375</v>
      </c>
    </row>
    <row r="223">
      <c r="A223" s="19" t="n">
        <v>29</v>
      </c>
      <c r="B223" s="19" t="inlineStr">
        <is>
          <t>Kny</t>
        </is>
      </c>
      <c r="C223" s="19" t="inlineStr">
        <is>
          <t>Town</t>
        </is>
      </c>
      <c r="D223" s="19" t="inlineStr">
        <is>
          <t>Loss</t>
        </is>
      </c>
      <c r="E223" s="19" t="n">
        <v>-16</v>
      </c>
      <c r="F223" s="19" t="n">
        <v>26.8363663766094</v>
      </c>
      <c r="G223" s="19" t="n">
        <v>26.5730788654274</v>
      </c>
      <c r="H223" s="19" t="n">
        <v>7.48963599657829</v>
      </c>
      <c r="I223" s="19" t="n">
        <v>1059</v>
      </c>
      <c r="J223" s="19" t="n">
        <v>1043</v>
      </c>
      <c r="K223" s="19" t="n">
        <v>7.51003149810415</v>
      </c>
    </row>
    <row r="224">
      <c r="A224" s="19" t="n">
        <v>29</v>
      </c>
      <c r="B224" s="19" t="inlineStr">
        <is>
          <t>Chipper</t>
        </is>
      </c>
      <c r="C224" s="19" t="inlineStr">
        <is>
          <t>Town</t>
        </is>
      </c>
      <c r="D224" s="19" t="inlineStr">
        <is>
          <t>Loss</t>
        </is>
      </c>
      <c r="E224" s="19" t="n">
        <v>-19</v>
      </c>
      <c r="F224" s="19" t="n">
        <v>27.8212680775341</v>
      </c>
      <c r="G224" s="19" t="n">
        <v>27.5077784309198</v>
      </c>
      <c r="H224" s="19" t="n">
        <v>8.167041201402879</v>
      </c>
      <c r="I224" s="19" t="n">
        <v>1056</v>
      </c>
      <c r="J224" s="19" t="n">
        <v>1037</v>
      </c>
      <c r="K224" s="19" t="n">
        <v>8.19584455123357</v>
      </c>
    </row>
    <row r="225">
      <c r="A225" s="19" t="n">
        <v>29</v>
      </c>
      <c r="B225" s="19" t="inlineStr">
        <is>
          <t>Ragsy</t>
        </is>
      </c>
      <c r="C225" s="19" t="inlineStr">
        <is>
          <t>Town</t>
        </is>
      </c>
      <c r="D225" s="19" t="inlineStr">
        <is>
          <t>Loss</t>
        </is>
      </c>
      <c r="E225" s="19" t="n">
        <v>-19</v>
      </c>
      <c r="F225" s="19" t="n">
        <v>23.5187149497757</v>
      </c>
      <c r="G225" s="19" t="n">
        <v>23.20200997749</v>
      </c>
      <c r="H225" s="19" t="n">
        <v>8.208462965103459</v>
      </c>
      <c r="I225" s="19" t="n">
        <v>759</v>
      </c>
      <c r="J225" s="19" t="n">
        <v>740</v>
      </c>
      <c r="K225" s="19" t="n">
        <v>8.237823945472339</v>
      </c>
    </row>
    <row r="226">
      <c r="A226" s="19" t="n">
        <v>28</v>
      </c>
      <c r="B226" s="19" t="inlineStr">
        <is>
          <t>Badpants</t>
        </is>
      </c>
      <c r="C226" s="19" t="inlineStr">
        <is>
          <t>Mafia</t>
        </is>
      </c>
      <c r="D226" s="19" t="inlineStr">
        <is>
          <t>Win</t>
        </is>
      </c>
      <c r="E226" s="19" t="n">
        <v>84</v>
      </c>
      <c r="F226" s="19" t="n">
        <v>23.962866418696</v>
      </c>
      <c r="G226" s="19" t="n">
        <v>25.0934335991875</v>
      </c>
      <c r="H226" s="19" t="n">
        <v>8.21346018783384</v>
      </c>
      <c r="I226" s="19" t="n">
        <v>785</v>
      </c>
      <c r="J226" s="19" t="n">
        <v>869</v>
      </c>
      <c r="K226" s="19" t="n">
        <v>8.27665738838115</v>
      </c>
    </row>
    <row r="227">
      <c r="A227" s="19" t="n">
        <v>28</v>
      </c>
      <c r="B227" s="19" t="inlineStr">
        <is>
          <t>Rocker</t>
        </is>
      </c>
      <c r="C227" s="19" t="inlineStr">
        <is>
          <t>Mafia</t>
        </is>
      </c>
      <c r="D227" s="19" t="inlineStr">
        <is>
          <t>Win</t>
        </is>
      </c>
      <c r="E227" s="19" t="n">
        <v>77</v>
      </c>
      <c r="F227" s="19" t="n">
        <v>22.231145798751</v>
      </c>
      <c r="G227" s="19" t="n">
        <v>23.2765183888036</v>
      </c>
      <c r="H227" s="19" t="n">
        <v>7.90292678362818</v>
      </c>
      <c r="I227" s="19" t="n">
        <v>700</v>
      </c>
      <c r="J227" s="19" t="n">
        <v>777</v>
      </c>
      <c r="K227" s="19" t="n">
        <v>7.95827777671579</v>
      </c>
    </row>
    <row r="228">
      <c r="A228" s="19" t="n">
        <v>28</v>
      </c>
      <c r="B228" s="19" t="inlineStr">
        <is>
          <t>Svaan</t>
        </is>
      </c>
      <c r="C228" s="19" t="inlineStr">
        <is>
          <t>Mafia</t>
        </is>
      </c>
      <c r="D228" s="19" t="inlineStr">
        <is>
          <t>Win</t>
        </is>
      </c>
      <c r="E228" s="19" t="n">
        <v>81</v>
      </c>
      <c r="F228" s="19" t="n">
        <v>22.0994419162209</v>
      </c>
      <c r="G228" s="19" t="n">
        <v>23.196515145713</v>
      </c>
      <c r="H228" s="19" t="n">
        <v>8.09289140112819</v>
      </c>
      <c r="I228" s="19" t="n">
        <v>671</v>
      </c>
      <c r="J228" s="19" t="n">
        <v>752</v>
      </c>
      <c r="K228" s="19" t="n">
        <v>8.15297085090862</v>
      </c>
    </row>
    <row r="229">
      <c r="A229" s="19" t="n">
        <v>28</v>
      </c>
      <c r="B229" s="19" t="inlineStr">
        <is>
          <t>Machop</t>
        </is>
      </c>
      <c r="C229" s="19" t="inlineStr">
        <is>
          <t>Town</t>
        </is>
      </c>
      <c r="D229" s="19" t="inlineStr">
        <is>
          <t>Loss</t>
        </is>
      </c>
      <c r="E229" s="19" t="n">
        <v>-56</v>
      </c>
      <c r="F229" s="19" t="n">
        <v>31.0601150889138</v>
      </c>
      <c r="G229" s="19" t="n">
        <v>30.1856285605553</v>
      </c>
      <c r="H229" s="19" t="n">
        <v>7.2373302860624</v>
      </c>
      <c r="I229" s="19" t="n">
        <v>1370</v>
      </c>
      <c r="J229" s="19" t="n">
        <v>1314</v>
      </c>
      <c r="K229" s="19" t="n">
        <v>7.27779458530731</v>
      </c>
    </row>
    <row r="230">
      <c r="A230" s="19" t="n">
        <v>28</v>
      </c>
      <c r="B230" s="19" t="inlineStr">
        <is>
          <t>QE</t>
        </is>
      </c>
      <c r="C230" s="19" t="inlineStr">
        <is>
          <t>Town</t>
        </is>
      </c>
      <c r="D230" s="19" t="inlineStr">
        <is>
          <t>Loss</t>
        </is>
      </c>
      <c r="E230" s="19" t="n">
        <v>-67</v>
      </c>
      <c r="F230" s="19" t="n">
        <v>24.5367964262276</v>
      </c>
      <c r="G230" s="19" t="n">
        <v>23.4683836967978</v>
      </c>
      <c r="H230" s="19" t="n">
        <v>7.98817823988571</v>
      </c>
      <c r="I230" s="19" t="n">
        <v>848</v>
      </c>
      <c r="J230" s="19" t="n">
        <v>781</v>
      </c>
      <c r="K230" s="19" t="n">
        <v>8.045623776170601</v>
      </c>
    </row>
    <row r="231">
      <c r="A231" s="19" t="n">
        <v>28</v>
      </c>
      <c r="B231" s="19" t="inlineStr">
        <is>
          <t>Chester</t>
        </is>
      </c>
      <c r="C231" s="19" t="inlineStr">
        <is>
          <t>Town</t>
        </is>
      </c>
      <c r="D231" s="19" t="inlineStr">
        <is>
          <t>Loss</t>
        </is>
      </c>
      <c r="E231" s="19" t="n">
        <v>-67</v>
      </c>
      <c r="F231" s="19" t="n">
        <v>23.5480590997938</v>
      </c>
      <c r="G231" s="19" t="n">
        <v>22.4754462855942</v>
      </c>
      <c r="H231" s="19" t="n">
        <v>8.0036149038375</v>
      </c>
      <c r="I231" s="19" t="n">
        <v>779</v>
      </c>
      <c r="J231" s="19" t="n">
        <v>712</v>
      </c>
      <c r="K231" s="19" t="n">
        <v>8.061444463409419</v>
      </c>
    </row>
    <row r="232">
      <c r="A232" s="19" t="n">
        <v>28</v>
      </c>
      <c r="B232" s="19" t="inlineStr">
        <is>
          <t>Noah</t>
        </is>
      </c>
      <c r="C232" s="19" t="inlineStr">
        <is>
          <t>Town</t>
        </is>
      </c>
      <c r="D232" s="19" t="inlineStr">
        <is>
          <t>Loss</t>
        </is>
      </c>
      <c r="E232" s="19" t="n">
        <v>-55</v>
      </c>
      <c r="F232" s="19" t="n">
        <v>30.1667484984131</v>
      </c>
      <c r="G232" s="19" t="n">
        <v>29.3017490902692</v>
      </c>
      <c r="H232" s="19" t="n">
        <v>7.19846998458042</v>
      </c>
      <c r="I232" s="19" t="n">
        <v>1313</v>
      </c>
      <c r="J232" s="19" t="n">
        <v>1258</v>
      </c>
      <c r="K232" s="19" t="n">
        <v>7.23814185157728</v>
      </c>
    </row>
    <row r="233">
      <c r="A233" s="19" t="n">
        <v>28</v>
      </c>
      <c r="B233" s="19" t="inlineStr">
        <is>
          <t>Kwix</t>
        </is>
      </c>
      <c r="C233" s="19" t="inlineStr">
        <is>
          <t>Town</t>
        </is>
      </c>
      <c r="D233" s="19" t="inlineStr">
        <is>
          <t>Loss</t>
        </is>
      </c>
      <c r="E233" s="19" t="n">
        <v>-68</v>
      </c>
      <c r="F233" s="19" t="n">
        <v>20.5471112930075</v>
      </c>
      <c r="G233" s="19" t="n">
        <v>19.4710929381072</v>
      </c>
      <c r="H233" s="19" t="n">
        <v>8.016108108365961</v>
      </c>
      <c r="I233" s="19" t="n">
        <v>574</v>
      </c>
      <c r="J233" s="19" t="n">
        <v>506</v>
      </c>
      <c r="K233" s="19" t="n">
        <v>8.074249540974741</v>
      </c>
    </row>
    <row r="234">
      <c r="A234" s="19" t="n">
        <v>28</v>
      </c>
      <c r="B234" s="19" t="inlineStr">
        <is>
          <t>Whyin</t>
        </is>
      </c>
      <c r="C234" s="19" t="inlineStr">
        <is>
          <t>Town</t>
        </is>
      </c>
      <c r="D234" s="19" t="inlineStr">
        <is>
          <t>Loss</t>
        </is>
      </c>
      <c r="E234" s="19" t="n">
        <v>-65</v>
      </c>
      <c r="F234" s="19" t="n">
        <v>21.5871481589686</v>
      </c>
      <c r="G234" s="19" t="n">
        <v>20.5585365708151</v>
      </c>
      <c r="H234" s="19" t="n">
        <v>7.84028881871416</v>
      </c>
      <c r="I234" s="19" t="n">
        <v>663</v>
      </c>
      <c r="J234" s="19" t="n">
        <v>598</v>
      </c>
      <c r="K234" s="19" t="n">
        <v>7.8941289738694</v>
      </c>
    </row>
    <row r="235">
      <c r="A235" s="19" t="n">
        <v>28</v>
      </c>
      <c r="B235" s="19" t="inlineStr">
        <is>
          <t>Brownkow</t>
        </is>
      </c>
      <c r="C235" s="19" t="inlineStr">
        <is>
          <t>Town</t>
        </is>
      </c>
      <c r="D235" s="19" t="inlineStr">
        <is>
          <t>Loss</t>
        </is>
      </c>
      <c r="E235" s="19" t="n">
        <v>-71</v>
      </c>
      <c r="F235" s="19" t="n">
        <v>25</v>
      </c>
      <c r="G235" s="19" t="n">
        <v>23.8539166551315</v>
      </c>
      <c r="H235" s="19" t="n">
        <v>8.26867744743098</v>
      </c>
      <c r="I235" s="19" t="n">
        <v>850</v>
      </c>
      <c r="J235" s="19" t="n">
        <v>779</v>
      </c>
      <c r="K235" s="19" t="n">
        <v>8.33333333333333</v>
      </c>
    </row>
    <row r="236">
      <c r="A236" s="19" t="n">
        <v>28</v>
      </c>
      <c r="B236" s="19" t="inlineStr">
        <is>
          <t>Streety</t>
        </is>
      </c>
      <c r="C236" s="19" t="inlineStr">
        <is>
          <t>Town</t>
        </is>
      </c>
      <c r="D236" s="19" t="inlineStr">
        <is>
          <t>Loss</t>
        </is>
      </c>
      <c r="E236" s="19" t="n">
        <v>-62</v>
      </c>
      <c r="F236" s="19" t="n">
        <v>23.7210559805356</v>
      </c>
      <c r="G236" s="19" t="n">
        <v>22.7268947637194</v>
      </c>
      <c r="H236" s="19" t="n">
        <v>7.70984437013946</v>
      </c>
      <c r="I236" s="19" t="n">
        <v>821</v>
      </c>
      <c r="J236" s="19" t="n">
        <v>759</v>
      </c>
      <c r="K236" s="19" t="n">
        <v>7.76061344848859</v>
      </c>
    </row>
    <row r="237">
      <c r="A237" s="19" t="n">
        <v>28</v>
      </c>
      <c r="B237" s="19" t="inlineStr">
        <is>
          <t>Carson</t>
        </is>
      </c>
      <c r="C237" s="19" t="inlineStr">
        <is>
          <t>Town</t>
        </is>
      </c>
      <c r="D237" s="19" t="inlineStr">
        <is>
          <t>Loss</t>
        </is>
      </c>
      <c r="E237" s="19" t="n">
        <v>-56</v>
      </c>
      <c r="F237" s="19" t="n">
        <v>26.3591874456086</v>
      </c>
      <c r="G237" s="19" t="n">
        <v>25.4635358907578</v>
      </c>
      <c r="H237" s="19" t="n">
        <v>7.323242228951</v>
      </c>
      <c r="I237" s="19" t="n">
        <v>1041</v>
      </c>
      <c r="J237" s="19" t="n">
        <v>985</v>
      </c>
      <c r="K237" s="19" t="n">
        <v>7.36548743385293</v>
      </c>
    </row>
    <row r="238">
      <c r="A238" s="19" t="n">
        <v>28</v>
      </c>
      <c r="B238" s="19" t="inlineStr">
        <is>
          <t>Ragsy</t>
        </is>
      </c>
      <c r="C238" s="19" t="inlineStr">
        <is>
          <t>Town</t>
        </is>
      </c>
      <c r="D238" s="19" t="inlineStr">
        <is>
          <t>Loss</t>
        </is>
      </c>
      <c r="E238" s="19" t="n">
        <v>-71</v>
      </c>
      <c r="F238" s="19" t="n">
        <v>24.656114684936</v>
      </c>
      <c r="G238" s="19" t="n">
        <v>23.5187149497757</v>
      </c>
      <c r="H238" s="19" t="n">
        <v>8.237823945472339</v>
      </c>
      <c r="I238" s="19" t="n">
        <v>830</v>
      </c>
      <c r="J238" s="19" t="n">
        <v>759</v>
      </c>
      <c r="K238" s="19" t="n">
        <v>8.30166236146372</v>
      </c>
    </row>
    <row r="239">
      <c r="A239" s="19" t="n">
        <v>27</v>
      </c>
      <c r="B239" s="19" t="inlineStr">
        <is>
          <t>DoubleA</t>
        </is>
      </c>
      <c r="C239" s="19" t="inlineStr">
        <is>
          <t>Mafia</t>
        </is>
      </c>
      <c r="D239" s="19" t="inlineStr">
        <is>
          <t>Loss</t>
        </is>
      </c>
      <c r="E239" s="19" t="n">
        <v>-73</v>
      </c>
      <c r="F239" s="19" t="n">
        <v>25</v>
      </c>
      <c r="G239" s="19" t="n">
        <v>23.8287444932087</v>
      </c>
      <c r="H239" s="19" t="n">
        <v>8.268175229683351</v>
      </c>
      <c r="I239" s="19" t="n">
        <v>850</v>
      </c>
      <c r="J239" s="19" t="n">
        <v>777</v>
      </c>
      <c r="K239" s="19" t="n">
        <v>8.33333333333333</v>
      </c>
    </row>
    <row r="240">
      <c r="A240" s="19" t="n">
        <v>27</v>
      </c>
      <c r="B240" s="19" t="inlineStr">
        <is>
          <t>Chester</t>
        </is>
      </c>
      <c r="C240" s="19" t="inlineStr">
        <is>
          <t>Mafia</t>
        </is>
      </c>
      <c r="D240" s="19" t="inlineStr">
        <is>
          <t>Loss</t>
        </is>
      </c>
      <c r="E240" s="19" t="n">
        <v>-70</v>
      </c>
      <c r="F240" s="19" t="n">
        <v>24.6605194270564</v>
      </c>
      <c r="G240" s="19" t="n">
        <v>23.5480590997938</v>
      </c>
      <c r="H240" s="19" t="n">
        <v>8.061444463409419</v>
      </c>
      <c r="I240" s="19" t="n">
        <v>849</v>
      </c>
      <c r="J240" s="19" t="n">
        <v>779</v>
      </c>
      <c r="K240" s="19" t="n">
        <v>8.121202188087389</v>
      </c>
    </row>
    <row r="241">
      <c r="A241" s="19" t="n">
        <v>27</v>
      </c>
      <c r="B241" s="19" t="inlineStr">
        <is>
          <t>Motr</t>
        </is>
      </c>
      <c r="C241" s="19" t="inlineStr">
        <is>
          <t>Mafia</t>
        </is>
      </c>
      <c r="D241" s="19" t="inlineStr">
        <is>
          <t>Loss</t>
        </is>
      </c>
      <c r="E241" s="19" t="n">
        <v>-71</v>
      </c>
      <c r="F241" s="19" t="n">
        <v>27.6895225158798</v>
      </c>
      <c r="G241" s="19" t="n">
        <v>26.5542660248047</v>
      </c>
      <c r="H241" s="19" t="n">
        <v>8.142264549217501</v>
      </c>
      <c r="I241" s="19" t="n">
        <v>1046</v>
      </c>
      <c r="J241" s="19" t="n">
        <v>975</v>
      </c>
      <c r="K241" s="19" t="n">
        <v>8.20410110455305</v>
      </c>
    </row>
    <row r="242">
      <c r="A242" s="19" t="n">
        <v>27</v>
      </c>
      <c r="B242" s="19" t="inlineStr">
        <is>
          <t>Noah</t>
        </is>
      </c>
      <c r="C242" s="19" t="inlineStr">
        <is>
          <t>Town</t>
        </is>
      </c>
      <c r="D242" s="19" t="inlineStr">
        <is>
          <t>Win</t>
        </is>
      </c>
      <c r="E242" s="19" t="n">
        <v>65</v>
      </c>
      <c r="F242" s="19" t="n">
        <v>29.2727683600926</v>
      </c>
      <c r="G242" s="19" t="n">
        <v>30.1667484984131</v>
      </c>
      <c r="H242" s="19" t="n">
        <v>7.23814185157728</v>
      </c>
      <c r="I242" s="19" t="n">
        <v>1248</v>
      </c>
      <c r="J242" s="19" t="n">
        <v>1313</v>
      </c>
      <c r="K242" s="19" t="n">
        <v>7.27896385714153</v>
      </c>
    </row>
    <row r="243">
      <c r="A243" s="19" t="n">
        <v>27</v>
      </c>
      <c r="B243" s="19" t="inlineStr">
        <is>
          <t>Chipper</t>
        </is>
      </c>
      <c r="C243" s="19" t="inlineStr">
        <is>
          <t>Town</t>
        </is>
      </c>
      <c r="D243" s="19" t="inlineStr">
        <is>
          <t>Win</t>
        </is>
      </c>
      <c r="E243" s="19" t="n">
        <v>85</v>
      </c>
      <c r="F243" s="19" t="n">
        <v>26.6707648020824</v>
      </c>
      <c r="G243" s="19" t="n">
        <v>27.8212680775341</v>
      </c>
      <c r="H243" s="19" t="n">
        <v>8.19584455123357</v>
      </c>
      <c r="I243" s="19" t="n">
        <v>971</v>
      </c>
      <c r="J243" s="19" t="n">
        <v>1056</v>
      </c>
      <c r="K243" s="19" t="n">
        <v>8.25908212423937</v>
      </c>
    </row>
    <row r="244">
      <c r="A244" s="19" t="n">
        <v>27</v>
      </c>
      <c r="B244" s="19" t="inlineStr">
        <is>
          <t>Mintt</t>
        </is>
      </c>
      <c r="C244" s="19" t="inlineStr">
        <is>
          <t>Town</t>
        </is>
      </c>
      <c r="D244" s="19" t="inlineStr">
        <is>
          <t>Win</t>
        </is>
      </c>
      <c r="E244" s="19" t="n">
        <v>83</v>
      </c>
      <c r="F244" s="19" t="n">
        <v>26.5265038527186</v>
      </c>
      <c r="G244" s="19" t="n">
        <v>27.6539661740349</v>
      </c>
      <c r="H244" s="19" t="n">
        <v>8.11472830276505</v>
      </c>
      <c r="I244" s="19" t="n">
        <v>970</v>
      </c>
      <c r="J244" s="19" t="n">
        <v>1053</v>
      </c>
      <c r="K244" s="19" t="n">
        <v>8.17585194371013</v>
      </c>
    </row>
    <row r="245">
      <c r="A245" s="19" t="n">
        <v>27</v>
      </c>
      <c r="B245" s="19" t="inlineStr">
        <is>
          <t>Rick</t>
        </is>
      </c>
      <c r="C245" s="19" t="inlineStr">
        <is>
          <t>Town</t>
        </is>
      </c>
      <c r="D245" s="19" t="inlineStr">
        <is>
          <t>Win</t>
        </is>
      </c>
      <c r="E245" s="19" t="n">
        <v>84</v>
      </c>
      <c r="F245" s="19" t="n">
        <v>27.0085571787815</v>
      </c>
      <c r="G245" s="19" t="n">
        <v>28.150551048988</v>
      </c>
      <c r="H245" s="19" t="n">
        <v>8.165987287080551</v>
      </c>
      <c r="I245" s="19" t="n">
        <v>997</v>
      </c>
      <c r="J245" s="19" t="n">
        <v>1081</v>
      </c>
      <c r="K245" s="19" t="n">
        <v>8.228441888033659</v>
      </c>
    </row>
    <row r="246">
      <c r="A246" s="19" t="n">
        <v>27</v>
      </c>
      <c r="B246" s="19" t="inlineStr">
        <is>
          <t>Hunter</t>
        </is>
      </c>
      <c r="C246" s="19" t="inlineStr">
        <is>
          <t>Town</t>
        </is>
      </c>
      <c r="D246" s="19" t="inlineStr">
        <is>
          <t>Win</t>
        </is>
      </c>
      <c r="E246" s="19" t="n">
        <v>85</v>
      </c>
      <c r="F246" s="19" t="n">
        <v>24.656114684936</v>
      </c>
      <c r="G246" s="19" t="n">
        <v>25.818495858342</v>
      </c>
      <c r="H246" s="19" t="n">
        <v>8.237327456802619</v>
      </c>
      <c r="I246" s="19" t="n">
        <v>830</v>
      </c>
      <c r="J246" s="19" t="n">
        <v>915</v>
      </c>
      <c r="K246" s="19" t="n">
        <v>8.30166236146372</v>
      </c>
    </row>
    <row r="247">
      <c r="A247" s="19" t="n">
        <v>27</v>
      </c>
      <c r="B247" s="19" t="inlineStr">
        <is>
          <t>Kny</t>
        </is>
      </c>
      <c r="C247" s="19" t="inlineStr">
        <is>
          <t>Town</t>
        </is>
      </c>
      <c r="D247" s="19" t="inlineStr">
        <is>
          <t>Win</t>
        </is>
      </c>
      <c r="E247" s="19" t="n">
        <v>70</v>
      </c>
      <c r="F247" s="19" t="n">
        <v>25.8729884464737</v>
      </c>
      <c r="G247" s="19" t="n">
        <v>26.8363663766094</v>
      </c>
      <c r="H247" s="19" t="n">
        <v>7.51003149810415</v>
      </c>
      <c r="I247" s="19" t="n">
        <v>989</v>
      </c>
      <c r="J247" s="19" t="n">
        <v>1059</v>
      </c>
      <c r="K247" s="19" t="n">
        <v>7.55667150787643</v>
      </c>
    </row>
    <row r="248">
      <c r="A248" s="19" t="n">
        <v>27</v>
      </c>
      <c r="B248" s="19" t="inlineStr">
        <is>
          <t>Streety</t>
        </is>
      </c>
      <c r="C248" s="19" t="inlineStr">
        <is>
          <t>Town</t>
        </is>
      </c>
      <c r="D248" s="19" t="inlineStr">
        <is>
          <t>Win</t>
        </is>
      </c>
      <c r="E248" s="19" t="n">
        <v>75</v>
      </c>
      <c r="F248" s="19" t="n">
        <v>22.6913198938311</v>
      </c>
      <c r="G248" s="19" t="n">
        <v>23.7210559805356</v>
      </c>
      <c r="H248" s="19" t="n">
        <v>7.76061344848859</v>
      </c>
      <c r="I248" s="19" t="n">
        <v>746</v>
      </c>
      <c r="J248" s="19" t="n">
        <v>821</v>
      </c>
      <c r="K248" s="19" t="n">
        <v>7.81298907911309</v>
      </c>
    </row>
    <row r="249">
      <c r="A249" s="19" t="n">
        <v>27</v>
      </c>
      <c r="B249" s="19" t="inlineStr">
        <is>
          <t>Carson</t>
        </is>
      </c>
      <c r="C249" s="19" t="inlineStr">
        <is>
          <t>Town</t>
        </is>
      </c>
      <c r="D249" s="19" t="inlineStr">
        <is>
          <t>Win</t>
        </is>
      </c>
      <c r="E249" s="19" t="n">
        <v>67</v>
      </c>
      <c r="F249" s="19" t="n">
        <v>25.4330395718685</v>
      </c>
      <c r="G249" s="19" t="n">
        <v>26.3591874456086</v>
      </c>
      <c r="H249" s="19" t="n">
        <v>7.36548743385293</v>
      </c>
      <c r="I249" s="19" t="n">
        <v>974</v>
      </c>
      <c r="J249" s="19" t="n">
        <v>1041</v>
      </c>
      <c r="K249" s="19" t="n">
        <v>7.40898313063031</v>
      </c>
    </row>
    <row r="250">
      <c r="A250" s="19" t="n">
        <v>27</v>
      </c>
      <c r="B250" s="19" t="inlineStr">
        <is>
          <t>Machop</t>
        </is>
      </c>
      <c r="C250" s="19" t="inlineStr">
        <is>
          <t>Town</t>
        </is>
      </c>
      <c r="D250" s="19" t="inlineStr">
        <is>
          <t>Win</t>
        </is>
      </c>
      <c r="E250" s="19" t="n">
        <v>66</v>
      </c>
      <c r="F250" s="19" t="n">
        <v>30.1561820083514</v>
      </c>
      <c r="G250" s="19" t="n">
        <v>31.0601150889138</v>
      </c>
      <c r="H250" s="19" t="n">
        <v>7.27779458530731</v>
      </c>
      <c r="I250" s="19" t="n">
        <v>1304</v>
      </c>
      <c r="J250" s="19" t="n">
        <v>1370</v>
      </c>
      <c r="K250" s="19" t="n">
        <v>7.31943956625115</v>
      </c>
    </row>
    <row r="251">
      <c r="A251" s="19" t="n">
        <v>27</v>
      </c>
      <c r="B251" s="19" t="inlineStr">
        <is>
          <t>Maz</t>
        </is>
      </c>
      <c r="C251" s="19" t="inlineStr">
        <is>
          <t>Town</t>
        </is>
      </c>
      <c r="D251" s="19" t="inlineStr">
        <is>
          <t>Win</t>
        </is>
      </c>
      <c r="E251" s="19" t="n">
        <v>68</v>
      </c>
      <c r="F251" s="19" t="n">
        <v>31.0720789023474</v>
      </c>
      <c r="G251" s="19" t="n">
        <v>32.0081167810003</v>
      </c>
      <c r="H251" s="19" t="n">
        <v>7.40417578073385</v>
      </c>
      <c r="I251" s="19" t="n">
        <v>1353</v>
      </c>
      <c r="J251" s="19" t="n">
        <v>1421</v>
      </c>
      <c r="K251" s="19" t="n">
        <v>7.4485015494462</v>
      </c>
    </row>
    <row r="252">
      <c r="A252" s="19" t="n">
        <v>26</v>
      </c>
      <c r="B252" s="19" t="inlineStr">
        <is>
          <t>Torharo</t>
        </is>
      </c>
      <c r="C252" s="19" t="inlineStr">
        <is>
          <t>Mafia</t>
        </is>
      </c>
      <c r="D252" s="19" t="inlineStr">
        <is>
          <t>Win</t>
        </is>
      </c>
      <c r="E252" s="19" t="n">
        <v>23</v>
      </c>
      <c r="F252" s="19" t="n">
        <v>24.967736995613</v>
      </c>
      <c r="G252" s="19" t="n">
        <v>25.2682827229498</v>
      </c>
      <c r="H252" s="19" t="n">
        <v>7.76530179593232</v>
      </c>
      <c r="I252" s="19" t="n">
        <v>903</v>
      </c>
      <c r="J252" s="19" t="n">
        <v>926</v>
      </c>
      <c r="K252" s="19" t="n">
        <v>7.78980582111171</v>
      </c>
    </row>
    <row r="253">
      <c r="A253" s="19" t="n">
        <v>26</v>
      </c>
      <c r="B253" s="19" t="inlineStr">
        <is>
          <t>Maz</t>
        </is>
      </c>
      <c r="C253" s="19" t="inlineStr">
        <is>
          <t>Mafia</t>
        </is>
      </c>
      <c r="D253" s="19" t="inlineStr">
        <is>
          <t>Win</t>
        </is>
      </c>
      <c r="E253" s="19" t="n">
        <v>21</v>
      </c>
      <c r="F253" s="19" t="n">
        <v>30.79572945949</v>
      </c>
      <c r="G253" s="19" t="n">
        <v>31.0720789023474</v>
      </c>
      <c r="H253" s="19" t="n">
        <v>7.4485015494462</v>
      </c>
      <c r="I253" s="19" t="n">
        <v>1332</v>
      </c>
      <c r="J253" s="19" t="n">
        <v>1353</v>
      </c>
      <c r="K253" s="19" t="n">
        <v>7.46917179785087</v>
      </c>
    </row>
    <row r="254">
      <c r="A254" s="19" t="n">
        <v>26</v>
      </c>
      <c r="B254" s="19" t="inlineStr">
        <is>
          <t>Rick</t>
        </is>
      </c>
      <c r="C254" s="19" t="inlineStr">
        <is>
          <t>Mafia</t>
        </is>
      </c>
      <c r="D254" s="19" t="inlineStr">
        <is>
          <t>Win</t>
        </is>
      </c>
      <c r="E254" s="19" t="n">
        <v>26</v>
      </c>
      <c r="F254" s="19" t="n">
        <v>26.6707648020824</v>
      </c>
      <c r="G254" s="19" t="n">
        <v>27.0085571787815</v>
      </c>
      <c r="H254" s="19" t="n">
        <v>8.228441888033659</v>
      </c>
      <c r="I254" s="19" t="n">
        <v>971</v>
      </c>
      <c r="J254" s="19" t="n">
        <v>997</v>
      </c>
      <c r="K254" s="19" t="n">
        <v>8.25908212423937</v>
      </c>
    </row>
    <row r="255">
      <c r="A255" s="19" t="n">
        <v>26</v>
      </c>
      <c r="B255" s="19" t="inlineStr">
        <is>
          <t>Siggywiggy</t>
        </is>
      </c>
      <c r="C255" s="19" t="inlineStr">
        <is>
          <t>Town</t>
        </is>
      </c>
      <c r="D255" s="19" t="inlineStr">
        <is>
          <t>Loss</t>
        </is>
      </c>
      <c r="E255" s="19" t="n">
        <v>-19</v>
      </c>
      <c r="F255" s="19" t="n">
        <v>20.5354605986087</v>
      </c>
      <c r="G255" s="19" t="n">
        <v>20.2316512337962</v>
      </c>
      <c r="H255" s="19" t="n">
        <v>7.80701857848244</v>
      </c>
      <c r="I255" s="19" t="n">
        <v>598</v>
      </c>
      <c r="J255" s="19" t="n">
        <v>579</v>
      </c>
      <c r="K255" s="19" t="n">
        <v>7.83204891077541</v>
      </c>
    </row>
    <row r="256">
      <c r="A256" s="19" t="n">
        <v>26</v>
      </c>
      <c r="B256" s="19" t="inlineStr">
        <is>
          <t>Kny</t>
        </is>
      </c>
      <c r="C256" s="19" t="inlineStr">
        <is>
          <t>Town</t>
        </is>
      </c>
      <c r="D256" s="19" t="inlineStr">
        <is>
          <t>Loss</t>
        </is>
      </c>
      <c r="E256" s="19" t="n">
        <v>-17</v>
      </c>
      <c r="F256" s="19" t="n">
        <v>26.1574828789998</v>
      </c>
      <c r="G256" s="19" t="n">
        <v>25.8729884464737</v>
      </c>
      <c r="H256" s="19" t="n">
        <v>7.55667150787643</v>
      </c>
      <c r="I256" s="19" t="n">
        <v>1006</v>
      </c>
      <c r="J256" s="19" t="n">
        <v>989</v>
      </c>
      <c r="K256" s="19" t="n">
        <v>7.57861887180388</v>
      </c>
    </row>
    <row r="257">
      <c r="A257" s="19" t="n">
        <v>26</v>
      </c>
      <c r="B257" s="19" t="inlineStr">
        <is>
          <t>QE</t>
        </is>
      </c>
      <c r="C257" s="19" t="inlineStr">
        <is>
          <t>Town</t>
        </is>
      </c>
      <c r="D257" s="19" t="inlineStr">
        <is>
          <t>Loss</t>
        </is>
      </c>
      <c r="E257" s="19" t="n">
        <v>-19</v>
      </c>
      <c r="F257" s="19" t="n">
        <v>24.8596197673319</v>
      </c>
      <c r="G257" s="19" t="n">
        <v>24.5367964262276</v>
      </c>
      <c r="H257" s="19" t="n">
        <v>8.045623776170601</v>
      </c>
      <c r="I257" s="19" t="n">
        <v>867</v>
      </c>
      <c r="J257" s="19" t="n">
        <v>848</v>
      </c>
      <c r="K257" s="19" t="n">
        <v>8.073763821524199</v>
      </c>
    </row>
    <row r="258">
      <c r="A258" s="19" t="n">
        <v>26</v>
      </c>
      <c r="B258" s="19" t="inlineStr">
        <is>
          <t>Svaan</t>
        </is>
      </c>
      <c r="C258" s="19" t="inlineStr">
        <is>
          <t>Town</t>
        </is>
      </c>
      <c r="D258" s="19" t="inlineStr">
        <is>
          <t>Loss</t>
        </is>
      </c>
      <c r="E258" s="19" t="n">
        <v>-20</v>
      </c>
      <c r="F258" s="19" t="n">
        <v>22.4310125807119</v>
      </c>
      <c r="G258" s="19" t="n">
        <v>22.0994419162209</v>
      </c>
      <c r="H258" s="19" t="n">
        <v>8.15297085090862</v>
      </c>
      <c r="I258" s="19" t="n">
        <v>691</v>
      </c>
      <c r="J258" s="19" t="n">
        <v>671</v>
      </c>
      <c r="K258" s="19" t="n">
        <v>8.182566360386829</v>
      </c>
    </row>
    <row r="259">
      <c r="A259" s="19" t="n">
        <v>26</v>
      </c>
      <c r="B259" s="19" t="inlineStr">
        <is>
          <t>Kwix</t>
        </is>
      </c>
      <c r="C259" s="19" t="inlineStr">
        <is>
          <t>Town</t>
        </is>
      </c>
      <c r="D259" s="19" t="inlineStr">
        <is>
          <t>Loss</t>
        </is>
      </c>
      <c r="E259" s="19" t="n">
        <v>-19</v>
      </c>
      <c r="F259" s="19" t="n">
        <v>20.8722555164659</v>
      </c>
      <c r="G259" s="19" t="n">
        <v>20.5471112930075</v>
      </c>
      <c r="H259" s="19" t="n">
        <v>8.074249540974741</v>
      </c>
      <c r="I259" s="19" t="n">
        <v>593</v>
      </c>
      <c r="J259" s="19" t="n">
        <v>574</v>
      </c>
      <c r="K259" s="19" t="n">
        <v>8.10277423384427</v>
      </c>
    </row>
    <row r="260">
      <c r="A260" s="19" t="n">
        <v>26</v>
      </c>
      <c r="B260" s="19" t="inlineStr">
        <is>
          <t>Carson</t>
        </is>
      </c>
      <c r="C260" s="19" t="inlineStr">
        <is>
          <t>Town</t>
        </is>
      </c>
      <c r="D260" s="19" t="inlineStr">
        <is>
          <t>Loss</t>
        </is>
      </c>
      <c r="E260" s="19" t="n">
        <v>-16</v>
      </c>
      <c r="F260" s="19" t="n">
        <v>25.7064434968652</v>
      </c>
      <c r="G260" s="19" t="n">
        <v>25.4330395718685</v>
      </c>
      <c r="H260" s="19" t="n">
        <v>7.40898313063031</v>
      </c>
      <c r="I260" s="19" t="n">
        <v>990</v>
      </c>
      <c r="J260" s="19" t="n">
        <v>974</v>
      </c>
      <c r="K260" s="19" t="n">
        <v>7.42919487515634</v>
      </c>
    </row>
    <row r="261">
      <c r="A261" s="19" t="n">
        <v>26</v>
      </c>
      <c r="B261" s="19" t="inlineStr">
        <is>
          <t>Rocker</t>
        </is>
      </c>
      <c r="C261" s="19" t="inlineStr">
        <is>
          <t>Town</t>
        </is>
      </c>
      <c r="D261" s="19" t="inlineStr">
        <is>
          <t>Loss</t>
        </is>
      </c>
      <c r="E261" s="19" t="n">
        <v>-19</v>
      </c>
      <c r="F261" s="19" t="n">
        <v>22.5469400875512</v>
      </c>
      <c r="G261" s="19" t="n">
        <v>22.231145798751</v>
      </c>
      <c r="H261" s="19" t="n">
        <v>7.95827777671579</v>
      </c>
      <c r="I261" s="19" t="n">
        <v>719</v>
      </c>
      <c r="J261" s="19" t="n">
        <v>700</v>
      </c>
      <c r="K261" s="19" t="n">
        <v>7.98525959679135</v>
      </c>
    </row>
    <row r="262">
      <c r="A262" s="19" t="n">
        <v>26</v>
      </c>
      <c r="B262" s="19" t="inlineStr">
        <is>
          <t>Streety</t>
        </is>
      </c>
      <c r="C262" s="19" t="inlineStr">
        <is>
          <t>Town</t>
        </is>
      </c>
      <c r="D262" s="19" t="inlineStr">
        <is>
          <t>Loss</t>
        </is>
      </c>
      <c r="E262" s="19" t="n">
        <v>-18</v>
      </c>
      <c r="F262" s="19" t="n">
        <v>22.9955978262317</v>
      </c>
      <c r="G262" s="19" t="n">
        <v>22.6913198938311</v>
      </c>
      <c r="H262" s="19" t="n">
        <v>7.81298907911309</v>
      </c>
      <c r="I262" s="19" t="n">
        <v>764</v>
      </c>
      <c r="J262" s="19" t="n">
        <v>746</v>
      </c>
      <c r="K262" s="19" t="n">
        <v>7.83809515399835</v>
      </c>
    </row>
    <row r="263">
      <c r="A263" s="19" t="n">
        <v>26</v>
      </c>
      <c r="B263" s="19" t="inlineStr">
        <is>
          <t>Hunter</t>
        </is>
      </c>
      <c r="C263" s="19" t="inlineStr">
        <is>
          <t>Town</t>
        </is>
      </c>
      <c r="D263" s="19" t="inlineStr">
        <is>
          <t>Loss</t>
        </is>
      </c>
      <c r="E263" s="19" t="n">
        <v>-20</v>
      </c>
      <c r="F263" s="19" t="n">
        <v>25</v>
      </c>
      <c r="G263" s="19" t="n">
        <v>24.656114684936</v>
      </c>
      <c r="H263" s="19" t="n">
        <v>8.30166236146372</v>
      </c>
      <c r="I263" s="19" t="n">
        <v>850</v>
      </c>
      <c r="J263" s="19" t="n">
        <v>830</v>
      </c>
      <c r="K263" s="19" t="n">
        <v>8.33333333333333</v>
      </c>
    </row>
    <row r="264">
      <c r="A264" s="19" t="n">
        <v>26</v>
      </c>
      <c r="B264" s="19" t="inlineStr">
        <is>
          <t>Ragsy</t>
        </is>
      </c>
      <c r="C264" s="19" t="inlineStr">
        <is>
          <t>Town</t>
        </is>
      </c>
      <c r="D264" s="19" t="inlineStr">
        <is>
          <t>Loss</t>
        </is>
      </c>
      <c r="E264" s="19" t="n">
        <v>-20</v>
      </c>
      <c r="F264" s="19" t="n">
        <v>25</v>
      </c>
      <c r="G264" s="19" t="n">
        <v>24.656114684936</v>
      </c>
      <c r="H264" s="19" t="n">
        <v>8.30166236146372</v>
      </c>
      <c r="I264" s="19" t="n">
        <v>850</v>
      </c>
      <c r="J264" s="19" t="n">
        <v>830</v>
      </c>
      <c r="K264" s="19" t="n">
        <v>8.33333333333333</v>
      </c>
    </row>
    <row r="265">
      <c r="A265" s="19" t="n">
        <v>25</v>
      </c>
      <c r="B265" s="19" t="inlineStr">
        <is>
          <t>Coffee</t>
        </is>
      </c>
      <c r="C265" s="19" t="inlineStr">
        <is>
          <t>Mafia</t>
        </is>
      </c>
      <c r="D265" s="19" t="inlineStr">
        <is>
          <t>Loss</t>
        </is>
      </c>
      <c r="E265" s="19" t="n">
        <v>-63</v>
      </c>
      <c r="F265" s="19" t="n">
        <v>24.9942557899576</v>
      </c>
      <c r="G265" s="19" t="n">
        <v>23.9937129720053</v>
      </c>
      <c r="H265" s="19" t="n">
        <v>8.131502214498839</v>
      </c>
      <c r="I265" s="19" t="n">
        <v>865</v>
      </c>
      <c r="J265" s="19" t="n">
        <v>802</v>
      </c>
      <c r="K265" s="19" t="n">
        <v>8.18481661022809</v>
      </c>
    </row>
    <row r="266">
      <c r="A266" s="19" t="n">
        <v>25</v>
      </c>
      <c r="B266" s="19" t="inlineStr">
        <is>
          <t>Badpants</t>
        </is>
      </c>
      <c r="C266" s="19" t="inlineStr">
        <is>
          <t>Mafia</t>
        </is>
      </c>
      <c r="D266" s="19" t="inlineStr">
        <is>
          <t>Loss</t>
        </is>
      </c>
      <c r="E266" s="19" t="n">
        <v>-65</v>
      </c>
      <c r="F266" s="19" t="n">
        <v>25</v>
      </c>
      <c r="G266" s="19" t="n">
        <v>23.962866418696</v>
      </c>
      <c r="H266" s="19" t="n">
        <v>8.27665738838115</v>
      </c>
      <c r="I266" s="19" t="n">
        <v>850</v>
      </c>
      <c r="J266" s="19" t="n">
        <v>785</v>
      </c>
      <c r="K266" s="19" t="n">
        <v>8.33333333333333</v>
      </c>
    </row>
    <row r="267">
      <c r="A267" s="19" t="n">
        <v>25</v>
      </c>
      <c r="B267" s="19" t="inlineStr">
        <is>
          <t>Kwix</t>
        </is>
      </c>
      <c r="C267" s="19" t="inlineStr">
        <is>
          <t>Mafia</t>
        </is>
      </c>
      <c r="D267" s="19" t="inlineStr">
        <is>
          <t>Loss</t>
        </is>
      </c>
      <c r="E267" s="19" t="n">
        <v>-62</v>
      </c>
      <c r="F267" s="19" t="n">
        <v>21.8656379341011</v>
      </c>
      <c r="G267" s="19" t="n">
        <v>20.8722555164659</v>
      </c>
      <c r="H267" s="19" t="n">
        <v>8.10277423384427</v>
      </c>
      <c r="I267" s="19" t="n">
        <v>655</v>
      </c>
      <c r="J267" s="19" t="n">
        <v>593</v>
      </c>
      <c r="K267" s="19" t="n">
        <v>8.15543715091129</v>
      </c>
    </row>
    <row r="268">
      <c r="A268" s="19" t="n">
        <v>25</v>
      </c>
      <c r="B268" s="19" t="inlineStr">
        <is>
          <t>Motr</t>
        </is>
      </c>
      <c r="C268" s="19" t="inlineStr">
        <is>
          <t>Town</t>
        </is>
      </c>
      <c r="D268" s="19" t="inlineStr">
        <is>
          <t>Win</t>
        </is>
      </c>
      <c r="E268" s="19" t="n">
        <v>75</v>
      </c>
      <c r="F268" s="19" t="n">
        <v>26.6707648020824</v>
      </c>
      <c r="G268" s="19" t="n">
        <v>27.6895225158798</v>
      </c>
      <c r="H268" s="19" t="n">
        <v>8.20410110455305</v>
      </c>
      <c r="I268" s="19" t="n">
        <v>971</v>
      </c>
      <c r="J268" s="19" t="n">
        <v>1046</v>
      </c>
      <c r="K268" s="19" t="n">
        <v>8.25908212423937</v>
      </c>
    </row>
    <row r="269">
      <c r="A269" s="19" t="n">
        <v>25</v>
      </c>
      <c r="B269" s="19" t="inlineStr">
        <is>
          <t>Maz</t>
        </is>
      </c>
      <c r="C269" s="19" t="inlineStr">
        <is>
          <t>Town</t>
        </is>
      </c>
      <c r="D269" s="19" t="inlineStr">
        <is>
          <t>Win</t>
        </is>
      </c>
      <c r="E269" s="19" t="n">
        <v>61</v>
      </c>
      <c r="F269" s="19" t="n">
        <v>29.953476162169</v>
      </c>
      <c r="G269" s="19" t="n">
        <v>30.79572945949</v>
      </c>
      <c r="H269" s="19" t="n">
        <v>7.46917179785087</v>
      </c>
      <c r="I269" s="19" t="n">
        <v>1271</v>
      </c>
      <c r="J269" s="19" t="n">
        <v>1332</v>
      </c>
      <c r="K269" s="19" t="n">
        <v>7.50857702712628</v>
      </c>
    </row>
    <row r="270">
      <c r="A270" s="19" t="n">
        <v>25</v>
      </c>
      <c r="B270" s="19" t="inlineStr">
        <is>
          <t>Noah</t>
        </is>
      </c>
      <c r="C270" s="19" t="inlineStr">
        <is>
          <t>Town</t>
        </is>
      </c>
      <c r="D270" s="19" t="inlineStr">
        <is>
          <t>Win</t>
        </is>
      </c>
      <c r="E270" s="19" t="n">
        <v>58</v>
      </c>
      <c r="F270" s="19" t="n">
        <v>28.4733618890736</v>
      </c>
      <c r="G270" s="19" t="n">
        <v>29.2727683600926</v>
      </c>
      <c r="H270" s="19" t="n">
        <v>7.27896385714153</v>
      </c>
      <c r="I270" s="19" t="n">
        <v>1190</v>
      </c>
      <c r="J270" s="19" t="n">
        <v>1248</v>
      </c>
      <c r="K270" s="19" t="n">
        <v>7.31478439840495</v>
      </c>
    </row>
    <row r="271">
      <c r="A271" s="19" t="n">
        <v>25</v>
      </c>
      <c r="B271" s="19" t="inlineStr">
        <is>
          <t>QE</t>
        </is>
      </c>
      <c r="C271" s="19" t="inlineStr">
        <is>
          <t>Town</t>
        </is>
      </c>
      <c r="D271" s="19" t="inlineStr">
        <is>
          <t>Win</t>
        </is>
      </c>
      <c r="E271" s="19" t="n">
        <v>72</v>
      </c>
      <c r="F271" s="19" t="n">
        <v>23.8734409055163</v>
      </c>
      <c r="G271" s="19" t="n">
        <v>24.8596197673319</v>
      </c>
      <c r="H271" s="19" t="n">
        <v>8.073763821524199</v>
      </c>
      <c r="I271" s="19" t="n">
        <v>795</v>
      </c>
      <c r="J271" s="19" t="n">
        <v>867</v>
      </c>
      <c r="K271" s="19" t="n">
        <v>8.125773436943931</v>
      </c>
    </row>
    <row r="272">
      <c r="A272" s="19" t="n">
        <v>25</v>
      </c>
      <c r="B272" s="19" t="inlineStr">
        <is>
          <t>Elmo</t>
        </is>
      </c>
      <c r="C272" s="19" t="inlineStr">
        <is>
          <t>Town</t>
        </is>
      </c>
      <c r="D272" s="19" t="inlineStr">
        <is>
          <t>Win</t>
        </is>
      </c>
      <c r="E272" s="19" t="n">
        <v>73</v>
      </c>
      <c r="F272" s="19" t="n">
        <v>22.1610892715368</v>
      </c>
      <c r="G272" s="19" t="n">
        <v>23.1520543217306</v>
      </c>
      <c r="H272" s="19" t="n">
        <v>8.09305120563743</v>
      </c>
      <c r="I272" s="19" t="n">
        <v>676</v>
      </c>
      <c r="J272" s="19" t="n">
        <v>749</v>
      </c>
      <c r="K272" s="19" t="n">
        <v>8.14549465249203</v>
      </c>
    </row>
    <row r="273">
      <c r="A273" s="19" t="n">
        <v>25</v>
      </c>
      <c r="B273" s="19" t="inlineStr">
        <is>
          <t>Kny</t>
        </is>
      </c>
      <c r="C273" s="19" t="inlineStr">
        <is>
          <t>Town</t>
        </is>
      </c>
      <c r="D273" s="19" t="inlineStr">
        <is>
          <t>Win</t>
        </is>
      </c>
      <c r="E273" s="19" t="n">
        <v>64</v>
      </c>
      <c r="F273" s="19" t="n">
        <v>25.290049177953</v>
      </c>
      <c r="G273" s="19" t="n">
        <v>26.1574828789998</v>
      </c>
      <c r="H273" s="19" t="n">
        <v>7.57861887180388</v>
      </c>
      <c r="I273" s="19" t="n">
        <v>942</v>
      </c>
      <c r="J273" s="19" t="n">
        <v>1006</v>
      </c>
      <c r="K273" s="19" t="n">
        <v>7.62016698337579</v>
      </c>
    </row>
    <row r="274">
      <c r="A274" s="19" t="n">
        <v>25</v>
      </c>
      <c r="B274" s="19" t="inlineStr">
        <is>
          <t>Carson</t>
        </is>
      </c>
      <c r="C274" s="19" t="inlineStr">
        <is>
          <t>Town</t>
        </is>
      </c>
      <c r="D274" s="19" t="inlineStr">
        <is>
          <t>Win</t>
        </is>
      </c>
      <c r="E274" s="19" t="n">
        <v>60</v>
      </c>
      <c r="F274" s="19" t="n">
        <v>24.8732917545823</v>
      </c>
      <c r="G274" s="19" t="n">
        <v>25.7064434968652</v>
      </c>
      <c r="H274" s="19" t="n">
        <v>7.42919487515634</v>
      </c>
      <c r="I274" s="19" t="n">
        <v>930</v>
      </c>
      <c r="J274" s="19" t="n">
        <v>990</v>
      </c>
      <c r="K274" s="19" t="n">
        <v>7.46783213280769</v>
      </c>
    </row>
    <row r="275">
      <c r="A275" s="19" t="n">
        <v>25</v>
      </c>
      <c r="B275" s="19" t="inlineStr">
        <is>
          <t>Machop</t>
        </is>
      </c>
      <c r="C275" s="19" t="inlineStr">
        <is>
          <t>Town</t>
        </is>
      </c>
      <c r="D275" s="19" t="inlineStr">
        <is>
          <t>Win</t>
        </is>
      </c>
      <c r="E275" s="19" t="n">
        <v>59</v>
      </c>
      <c r="F275" s="19" t="n">
        <v>29.3477548917166</v>
      </c>
      <c r="G275" s="19" t="n">
        <v>30.1561820083514</v>
      </c>
      <c r="H275" s="19" t="n">
        <v>7.31943956625115</v>
      </c>
      <c r="I275" s="19" t="n">
        <v>1245</v>
      </c>
      <c r="J275" s="19" t="n">
        <v>1304</v>
      </c>
      <c r="K275" s="19" t="n">
        <v>7.3560083228069</v>
      </c>
    </row>
    <row r="276">
      <c r="A276" s="19" t="n">
        <v>25</v>
      </c>
      <c r="B276" s="19" t="inlineStr">
        <is>
          <t>Hydro</t>
        </is>
      </c>
      <c r="C276" s="19" t="inlineStr">
        <is>
          <t>Town</t>
        </is>
      </c>
      <c r="D276" s="19" t="inlineStr">
        <is>
          <t>Win</t>
        </is>
      </c>
      <c r="E276" s="19" t="n">
        <v>71</v>
      </c>
      <c r="F276" s="19" t="n">
        <v>24.9156532242683</v>
      </c>
      <c r="G276" s="19" t="n">
        <v>25.8832138308131</v>
      </c>
      <c r="H276" s="19" t="n">
        <v>7.99826749955685</v>
      </c>
      <c r="I276" s="19" t="n">
        <v>873</v>
      </c>
      <c r="J276" s="19" t="n">
        <v>944</v>
      </c>
      <c r="K276" s="19" t="n">
        <v>8.048598399263691</v>
      </c>
    </row>
    <row r="277">
      <c r="A277" s="19" t="n">
        <v>25</v>
      </c>
      <c r="B277" s="19" t="inlineStr">
        <is>
          <t>Rocker</t>
        </is>
      </c>
      <c r="C277" s="19" t="inlineStr">
        <is>
          <t>Town</t>
        </is>
      </c>
      <c r="D277" s="19" t="inlineStr">
        <is>
          <t>Win</t>
        </is>
      </c>
      <c r="E277" s="19" t="n">
        <v>71</v>
      </c>
      <c r="F277" s="19" t="n">
        <v>21.5825686901419</v>
      </c>
      <c r="G277" s="19" t="n">
        <v>22.5469400875512</v>
      </c>
      <c r="H277" s="19" t="n">
        <v>7.98525959679135</v>
      </c>
      <c r="I277" s="19" t="n">
        <v>648</v>
      </c>
      <c r="J277" s="19" t="n">
        <v>719</v>
      </c>
      <c r="K277" s="19" t="n">
        <v>8.035304363178909</v>
      </c>
    </row>
    <row r="278">
      <c r="A278" s="19" t="n">
        <v>25</v>
      </c>
      <c r="B278" s="19" t="inlineStr">
        <is>
          <t>Keegan</t>
        </is>
      </c>
      <c r="C278" s="19" t="inlineStr">
        <is>
          <t>Town</t>
        </is>
      </c>
      <c r="D278" s="19" t="inlineStr">
        <is>
          <t>Win</t>
        </is>
      </c>
      <c r="E278" s="19" t="n">
        <v>71</v>
      </c>
      <c r="F278" s="19" t="n">
        <v>24.4670730063188</v>
      </c>
      <c r="G278" s="19" t="n">
        <v>25.4336987615007</v>
      </c>
      <c r="H278" s="19" t="n">
        <v>7.994456818348</v>
      </c>
      <c r="I278" s="19" t="n">
        <v>843</v>
      </c>
      <c r="J278" s="19" t="n">
        <v>914</v>
      </c>
      <c r="K278" s="19" t="n">
        <v>8.044703800769041</v>
      </c>
    </row>
    <row r="279">
      <c r="A279" s="19" t="n">
        <v>24</v>
      </c>
      <c r="B279" s="19" t="inlineStr">
        <is>
          <t>Kny</t>
        </is>
      </c>
      <c r="C279" s="19" t="inlineStr">
        <is>
          <t>Mafia</t>
        </is>
      </c>
      <c r="D279" s="19" t="inlineStr">
        <is>
          <t>Loss</t>
        </is>
      </c>
      <c r="E279" s="19" t="n">
        <v>-91</v>
      </c>
      <c r="F279" s="19" t="n">
        <v>26.7081586725794</v>
      </c>
      <c r="G279" s="19" t="n">
        <v>25.290049177953</v>
      </c>
      <c r="H279" s="19" t="n">
        <v>7.62016698337579</v>
      </c>
      <c r="I279" s="19" t="n">
        <v>1033</v>
      </c>
      <c r="J279" s="19" t="n">
        <v>942</v>
      </c>
      <c r="K279" s="19" t="n">
        <v>7.676545573648</v>
      </c>
    </row>
    <row r="280">
      <c r="A280" s="19" t="n">
        <v>24</v>
      </c>
      <c r="B280" s="19" t="inlineStr">
        <is>
          <t>Coffee</t>
        </is>
      </c>
      <c r="C280" s="19" t="inlineStr">
        <is>
          <t>Mafia</t>
        </is>
      </c>
      <c r="D280" s="19" t="inlineStr">
        <is>
          <t>Loss</t>
        </is>
      </c>
      <c r="E280" s="19" t="n">
        <v>-104</v>
      </c>
      <c r="F280" s="19" t="n">
        <v>26.6345285373171</v>
      </c>
      <c r="G280" s="19" t="n">
        <v>24.9942557899576</v>
      </c>
      <c r="H280" s="19" t="n">
        <v>8.18481661022809</v>
      </c>
      <c r="I280" s="19" t="n">
        <v>969</v>
      </c>
      <c r="J280" s="19" t="n">
        <v>865</v>
      </c>
      <c r="K280" s="19" t="n">
        <v>8.25684055699613</v>
      </c>
    </row>
    <row r="281">
      <c r="A281" s="19" t="n">
        <v>24</v>
      </c>
      <c r="B281" s="19" t="inlineStr">
        <is>
          <t>CJ</t>
        </is>
      </c>
      <c r="C281" s="19" t="inlineStr">
        <is>
          <t>Mafia</t>
        </is>
      </c>
      <c r="D281" s="19" t="inlineStr">
        <is>
          <t>Loss</t>
        </is>
      </c>
      <c r="E281" s="19" t="n">
        <v>-101</v>
      </c>
      <c r="F281" s="19" t="n">
        <v>27.1093418018682</v>
      </c>
      <c r="G281" s="19" t="n">
        <v>25.5227987577801</v>
      </c>
      <c r="H281" s="19" t="n">
        <v>8.05215446233769</v>
      </c>
      <c r="I281" s="19" t="n">
        <v>1015</v>
      </c>
      <c r="J281" s="19" t="n">
        <v>914</v>
      </c>
      <c r="K281" s="19" t="n">
        <v>8.12030020058673</v>
      </c>
    </row>
    <row r="282">
      <c r="A282" s="19" t="n">
        <v>24</v>
      </c>
      <c r="B282" s="19" t="inlineStr">
        <is>
          <t>Chipper</t>
        </is>
      </c>
      <c r="C282" s="19" t="inlineStr">
        <is>
          <t>Town</t>
        </is>
      </c>
      <c r="D282" s="19" t="inlineStr">
        <is>
          <t>Win</t>
        </is>
      </c>
      <c r="E282" s="19" t="n">
        <v>121</v>
      </c>
      <c r="F282" s="19" t="n">
        <v>25</v>
      </c>
      <c r="G282" s="19" t="n">
        <v>26.6707648020824</v>
      </c>
      <c r="H282" s="19" t="n">
        <v>8.25908212423937</v>
      </c>
      <c r="I282" s="19" t="n">
        <v>850</v>
      </c>
      <c r="J282" s="19" t="n">
        <v>971</v>
      </c>
      <c r="K282" s="19" t="n">
        <v>8.33333333333333</v>
      </c>
    </row>
    <row r="283">
      <c r="A283" s="19" t="n">
        <v>24</v>
      </c>
      <c r="B283" s="19" t="inlineStr">
        <is>
          <t>Kdak</t>
        </is>
      </c>
      <c r="C283" s="19" t="inlineStr">
        <is>
          <t>Town</t>
        </is>
      </c>
      <c r="D283" s="19" t="inlineStr">
        <is>
          <t>Win</t>
        </is>
      </c>
      <c r="E283" s="19" t="n">
        <v>121</v>
      </c>
      <c r="F283" s="19" t="n">
        <v>25</v>
      </c>
      <c r="G283" s="19" t="n">
        <v>26.6707648020824</v>
      </c>
      <c r="H283" s="19" t="n">
        <v>8.25908212423937</v>
      </c>
      <c r="I283" s="19" t="n">
        <v>850</v>
      </c>
      <c r="J283" s="19" t="n">
        <v>971</v>
      </c>
      <c r="K283" s="19" t="n">
        <v>8.33333333333333</v>
      </c>
    </row>
    <row r="284">
      <c r="A284" s="19" t="n">
        <v>24</v>
      </c>
      <c r="B284" s="19" t="inlineStr">
        <is>
          <t>Zangetsu</t>
        </is>
      </c>
      <c r="C284" s="19" t="inlineStr">
        <is>
          <t>Town</t>
        </is>
      </c>
      <c r="D284" s="19" t="inlineStr">
        <is>
          <t>Win</t>
        </is>
      </c>
      <c r="E284" s="19" t="n">
        <v>119</v>
      </c>
      <c r="F284" s="19" t="n">
        <v>24.1200046084135</v>
      </c>
      <c r="G284" s="19" t="n">
        <v>25.7684729111102</v>
      </c>
      <c r="H284" s="19" t="n">
        <v>8.20484878416965</v>
      </c>
      <c r="I284" s="19" t="n">
        <v>796</v>
      </c>
      <c r="J284" s="19" t="n">
        <v>915</v>
      </c>
      <c r="K284" s="19" t="n">
        <v>8.27746950025621</v>
      </c>
    </row>
    <row r="285">
      <c r="A285" s="19" t="n">
        <v>24</v>
      </c>
      <c r="B285" s="19" t="inlineStr">
        <is>
          <t>Maz</t>
        </is>
      </c>
      <c r="C285" s="19" t="inlineStr">
        <is>
          <t>Town</t>
        </is>
      </c>
      <c r="D285" s="19" t="inlineStr">
        <is>
          <t>Win</t>
        </is>
      </c>
      <c r="E285" s="19" t="n">
        <v>99</v>
      </c>
      <c r="F285" s="19" t="n">
        <v>28.5772631126813</v>
      </c>
      <c r="G285" s="19" t="n">
        <v>29.953476162169</v>
      </c>
      <c r="H285" s="19" t="n">
        <v>7.50857702712628</v>
      </c>
      <c r="I285" s="19" t="n">
        <v>1172</v>
      </c>
      <c r="J285" s="19" t="n">
        <v>1271</v>
      </c>
      <c r="K285" s="19" t="n">
        <v>7.5621221740618</v>
      </c>
    </row>
    <row r="286">
      <c r="A286" s="19" t="n">
        <v>24</v>
      </c>
      <c r="B286" s="19" t="inlineStr">
        <is>
          <t>Chester</t>
        </is>
      </c>
      <c r="C286" s="19" t="inlineStr">
        <is>
          <t>Town</t>
        </is>
      </c>
      <c r="D286" s="19" t="inlineStr">
        <is>
          <t>Win</t>
        </is>
      </c>
      <c r="E286" s="19" t="n">
        <v>117</v>
      </c>
      <c r="F286" s="19" t="n">
        <v>23.0461293342107</v>
      </c>
      <c r="G286" s="19" t="n">
        <v>24.6605194270564</v>
      </c>
      <c r="H286" s="19" t="n">
        <v>8.121202188087389</v>
      </c>
      <c r="I286" s="19" t="n">
        <v>732</v>
      </c>
      <c r="J286" s="19" t="n">
        <v>849</v>
      </c>
      <c r="K286" s="19" t="n">
        <v>8.19135050353054</v>
      </c>
    </row>
    <row r="287">
      <c r="A287" s="19" t="n">
        <v>24</v>
      </c>
      <c r="B287" s="19" t="inlineStr">
        <is>
          <t>Steep</t>
        </is>
      </c>
      <c r="C287" s="19" t="inlineStr">
        <is>
          <t>Town</t>
        </is>
      </c>
      <c r="D287" s="19" t="inlineStr">
        <is>
          <t>Win</t>
        </is>
      </c>
      <c r="E287" s="19" t="n">
        <v>118</v>
      </c>
      <c r="F287" s="19" t="n">
        <v>23.5476849429699</v>
      </c>
      <c r="G287" s="19" t="n">
        <v>25.1816616866917</v>
      </c>
      <c r="H287" s="19" t="n">
        <v>8.169391451925611</v>
      </c>
      <c r="I287" s="19" t="n">
        <v>761</v>
      </c>
      <c r="J287" s="19" t="n">
        <v>879</v>
      </c>
      <c r="K287" s="19" t="n">
        <v>8.240957882016589</v>
      </c>
    </row>
    <row r="288">
      <c r="A288" s="19" t="n">
        <v>24</v>
      </c>
      <c r="B288" s="19" t="inlineStr">
        <is>
          <t>Motr</t>
        </is>
      </c>
      <c r="C288" s="19" t="inlineStr">
        <is>
          <t>Town</t>
        </is>
      </c>
      <c r="D288" s="19" t="inlineStr">
        <is>
          <t>Win</t>
        </is>
      </c>
      <c r="E288" s="19" t="n">
        <v>121</v>
      </c>
      <c r="F288" s="19" t="n">
        <v>25</v>
      </c>
      <c r="G288" s="19" t="n">
        <v>26.6707648020824</v>
      </c>
      <c r="H288" s="19" t="n">
        <v>8.25908212423937</v>
      </c>
      <c r="I288" s="19" t="n">
        <v>850</v>
      </c>
      <c r="J288" s="19" t="n">
        <v>971</v>
      </c>
      <c r="K288" s="19" t="n">
        <v>8.33333333333333</v>
      </c>
    </row>
    <row r="289">
      <c r="A289" s="19" t="n">
        <v>24</v>
      </c>
      <c r="B289" s="19" t="inlineStr">
        <is>
          <t>Boobles</t>
        </is>
      </c>
      <c r="C289" s="19" t="inlineStr">
        <is>
          <t>Town</t>
        </is>
      </c>
      <c r="D289" s="19" t="inlineStr">
        <is>
          <t>Win</t>
        </is>
      </c>
      <c r="E289" s="19" t="n">
        <v>110</v>
      </c>
      <c r="F289" s="19" t="n">
        <v>27.4651406403653</v>
      </c>
      <c r="G289" s="19" t="n">
        <v>28.9884672003173</v>
      </c>
      <c r="H289" s="19" t="n">
        <v>7.89299261437906</v>
      </c>
      <c r="I289" s="19" t="n">
        <v>1056</v>
      </c>
      <c r="J289" s="19" t="n">
        <v>1166</v>
      </c>
      <c r="K289" s="19" t="n">
        <v>7.95665197899064</v>
      </c>
    </row>
    <row r="290">
      <c r="A290" s="19" t="n">
        <v>24</v>
      </c>
      <c r="B290" s="19" t="inlineStr">
        <is>
          <t>Mintt</t>
        </is>
      </c>
      <c r="C290" s="19" t="inlineStr">
        <is>
          <t>Town</t>
        </is>
      </c>
      <c r="D290" s="19" t="inlineStr">
        <is>
          <t>Win</t>
        </is>
      </c>
      <c r="E290" s="19" t="n">
        <v>119</v>
      </c>
      <c r="F290" s="19" t="n">
        <v>24.8898917244078</v>
      </c>
      <c r="G290" s="19" t="n">
        <v>26.5265038527186</v>
      </c>
      <c r="H290" s="19" t="n">
        <v>8.17585194371013</v>
      </c>
      <c r="I290" s="19" t="n">
        <v>851</v>
      </c>
      <c r="J290" s="19" t="n">
        <v>970</v>
      </c>
      <c r="K290" s="19" t="n">
        <v>8.24760978249345</v>
      </c>
    </row>
    <row r="291">
      <c r="A291" s="19" t="n">
        <v>24</v>
      </c>
      <c r="B291" s="19" t="inlineStr">
        <is>
          <t>Rick</t>
        </is>
      </c>
      <c r="C291" s="19" t="inlineStr">
        <is>
          <t>Town</t>
        </is>
      </c>
      <c r="D291" s="19" t="inlineStr">
        <is>
          <t>Win</t>
        </is>
      </c>
      <c r="E291" s="19" t="n">
        <v>121</v>
      </c>
      <c r="F291" s="19" t="n">
        <v>25</v>
      </c>
      <c r="G291" s="19" t="n">
        <v>26.6707648020824</v>
      </c>
      <c r="H291" s="19" t="n">
        <v>8.25908212423937</v>
      </c>
      <c r="I291" s="19" t="n">
        <v>850</v>
      </c>
      <c r="J291" s="19" t="n">
        <v>971</v>
      </c>
      <c r="K291" s="19" t="n">
        <v>8.33333333333333</v>
      </c>
    </row>
    <row r="292">
      <c r="A292" s="19" t="n">
        <v>23</v>
      </c>
      <c r="B292" s="19" t="inlineStr">
        <is>
          <t>Kwix</t>
        </is>
      </c>
      <c r="C292" s="19" t="inlineStr">
        <is>
          <t>Mafia</t>
        </is>
      </c>
      <c r="D292" s="19" t="inlineStr">
        <is>
          <t>Loss</t>
        </is>
      </c>
      <c r="E292" s="19" t="n">
        <v>-101</v>
      </c>
      <c r="F292" s="19" t="n">
        <v>23.4594742817894</v>
      </c>
      <c r="G292" s="19" t="n">
        <v>21.8656379341011</v>
      </c>
      <c r="H292" s="19" t="n">
        <v>8.15543715091129</v>
      </c>
      <c r="I292" s="19" t="n">
        <v>756</v>
      </c>
      <c r="J292" s="19" t="n">
        <v>655</v>
      </c>
      <c r="K292" s="19" t="n">
        <v>8.22881272441027</v>
      </c>
    </row>
    <row r="293">
      <c r="A293" s="19" t="n">
        <v>23</v>
      </c>
      <c r="B293" s="19" t="inlineStr">
        <is>
          <t>Rocker</t>
        </is>
      </c>
      <c r="C293" s="19" t="inlineStr">
        <is>
          <t>Mafia</t>
        </is>
      </c>
      <c r="D293" s="19" t="inlineStr">
        <is>
          <t>Loss</t>
        </is>
      </c>
      <c r="E293" s="19" t="n">
        <v>-98</v>
      </c>
      <c r="F293" s="19" t="n">
        <v>23.1288997653615</v>
      </c>
      <c r="G293" s="19" t="n">
        <v>21.5825686901419</v>
      </c>
      <c r="H293" s="19" t="n">
        <v>8.035304363178909</v>
      </c>
      <c r="I293" s="19" t="n">
        <v>746</v>
      </c>
      <c r="J293" s="19" t="n">
        <v>648</v>
      </c>
      <c r="K293" s="19" t="n">
        <v>8.105087170862269</v>
      </c>
    </row>
    <row r="294">
      <c r="A294" s="19" t="n">
        <v>23</v>
      </c>
      <c r="B294" s="19" t="inlineStr">
        <is>
          <t>Paradox</t>
        </is>
      </c>
      <c r="C294" s="19" t="inlineStr">
        <is>
          <t>Mafia</t>
        </is>
      </c>
      <c r="D294" s="19" t="inlineStr">
        <is>
          <t>Loss</t>
        </is>
      </c>
      <c r="E294" s="19" t="n">
        <v>-103</v>
      </c>
      <c r="F294" s="19" t="n">
        <v>25</v>
      </c>
      <c r="G294" s="19" t="n">
        <v>23.3654714626828</v>
      </c>
      <c r="H294" s="19" t="n">
        <v>8.25684055699613</v>
      </c>
      <c r="I294" s="19" t="n">
        <v>850</v>
      </c>
      <c r="J294" s="19" t="n">
        <v>747</v>
      </c>
      <c r="K294" s="19" t="n">
        <v>8.33333333333333</v>
      </c>
    </row>
    <row r="295">
      <c r="A295" s="19" t="n">
        <v>23</v>
      </c>
      <c r="B295" s="19" t="inlineStr">
        <is>
          <t>Carson</t>
        </is>
      </c>
      <c r="C295" s="19" t="inlineStr">
        <is>
          <t>Town</t>
        </is>
      </c>
      <c r="D295" s="19" t="inlineStr">
        <is>
          <t>Win</t>
        </is>
      </c>
      <c r="E295" s="19" t="n">
        <v>96</v>
      </c>
      <c r="F295" s="19" t="n">
        <v>23.5411353305319</v>
      </c>
      <c r="G295" s="19" t="n">
        <v>24.8732917545823</v>
      </c>
      <c r="H295" s="19" t="n">
        <v>7.46783213280769</v>
      </c>
      <c r="I295" s="19" t="n">
        <v>834</v>
      </c>
      <c r="J295" s="19" t="n">
        <v>930</v>
      </c>
      <c r="K295" s="19" t="n">
        <v>7.52205016435187</v>
      </c>
    </row>
    <row r="296">
      <c r="A296" s="19" t="n">
        <v>23</v>
      </c>
      <c r="B296" s="19" t="inlineStr">
        <is>
          <t>Crispy</t>
        </is>
      </c>
      <c r="C296" s="19" t="inlineStr">
        <is>
          <t>Town</t>
        </is>
      </c>
      <c r="D296" s="19" t="inlineStr">
        <is>
          <t>Win</t>
        </is>
      </c>
      <c r="E296" s="19" t="n">
        <v>119</v>
      </c>
      <c r="F296" s="19" t="n">
        <v>25</v>
      </c>
      <c r="G296" s="19" t="n">
        <v>26.6345285373171</v>
      </c>
      <c r="H296" s="19" t="n">
        <v>8.25684055699613</v>
      </c>
      <c r="I296" s="19" t="n">
        <v>850</v>
      </c>
      <c r="J296" s="19" t="n">
        <v>969</v>
      </c>
      <c r="K296" s="19" t="n">
        <v>8.33333333333333</v>
      </c>
    </row>
    <row r="297">
      <c r="A297" s="19" t="n">
        <v>23</v>
      </c>
      <c r="B297" s="19" t="inlineStr">
        <is>
          <t>Keegan</t>
        </is>
      </c>
      <c r="C297" s="19" t="inlineStr">
        <is>
          <t>Town</t>
        </is>
      </c>
      <c r="D297" s="19" t="inlineStr">
        <is>
          <t>Win</t>
        </is>
      </c>
      <c r="E297" s="19" t="n">
        <v>112</v>
      </c>
      <c r="F297" s="19" t="n">
        <v>22.9170524498854</v>
      </c>
      <c r="G297" s="19" t="n">
        <v>24.4670730063188</v>
      </c>
      <c r="H297" s="19" t="n">
        <v>8.044703800769041</v>
      </c>
      <c r="I297" s="19" t="n">
        <v>731</v>
      </c>
      <c r="J297" s="19" t="n">
        <v>843</v>
      </c>
      <c r="K297" s="19" t="n">
        <v>8.114763840723469</v>
      </c>
    </row>
    <row r="298">
      <c r="A298" s="19" t="n">
        <v>23</v>
      </c>
      <c r="B298" s="19" t="inlineStr">
        <is>
          <t>Noah</t>
        </is>
      </c>
      <c r="C298" s="19" t="inlineStr">
        <is>
          <t>Town</t>
        </is>
      </c>
      <c r="D298" s="19" t="inlineStr">
        <is>
          <t>Win</t>
        </is>
      </c>
      <c r="E298" s="19" t="n">
        <v>92</v>
      </c>
      <c r="F298" s="19" t="n">
        <v>27.1961010489732</v>
      </c>
      <c r="G298" s="19" t="n">
        <v>28.4733618890736</v>
      </c>
      <c r="H298" s="19" t="n">
        <v>7.31478439840495</v>
      </c>
      <c r="I298" s="19" t="n">
        <v>1098</v>
      </c>
      <c r="J298" s="19" t="n">
        <v>1190</v>
      </c>
      <c r="K298" s="19" t="n">
        <v>7.36518341809402</v>
      </c>
    </row>
    <row r="299">
      <c r="A299" s="19" t="n">
        <v>23</v>
      </c>
      <c r="B299" s="19" t="inlineStr">
        <is>
          <t>Maz</t>
        </is>
      </c>
      <c r="C299" s="19" t="inlineStr">
        <is>
          <t>Town</t>
        </is>
      </c>
      <c r="D299" s="19" t="inlineStr">
        <is>
          <t>Win</t>
        </is>
      </c>
      <c r="E299" s="19" t="n">
        <v>99</v>
      </c>
      <c r="F299" s="19" t="n">
        <v>27.2106826579002</v>
      </c>
      <c r="G299" s="19" t="n">
        <v>28.5772631126813</v>
      </c>
      <c r="H299" s="19" t="n">
        <v>7.5621221740618</v>
      </c>
      <c r="I299" s="19" t="n">
        <v>1073</v>
      </c>
      <c r="J299" s="19" t="n">
        <v>1172</v>
      </c>
      <c r="K299" s="19" t="n">
        <v>7.61877094083999</v>
      </c>
    </row>
    <row r="300">
      <c r="A300" s="19" t="n">
        <v>23</v>
      </c>
      <c r="B300" s="19" t="inlineStr">
        <is>
          <t>Happymeal</t>
        </is>
      </c>
      <c r="C300" s="19" t="inlineStr">
        <is>
          <t>Town</t>
        </is>
      </c>
      <c r="D300" s="19" t="inlineStr">
        <is>
          <t>Win</t>
        </is>
      </c>
      <c r="E300" s="19" t="n">
        <v>106</v>
      </c>
      <c r="F300" s="19" t="n">
        <v>22.436035871799</v>
      </c>
      <c r="G300" s="19" t="n">
        <v>23.888510244185</v>
      </c>
      <c r="H300" s="19" t="n">
        <v>7.79208135543701</v>
      </c>
      <c r="I300" s="19" t="n">
        <v>724</v>
      </c>
      <c r="J300" s="19" t="n">
        <v>830</v>
      </c>
      <c r="K300" s="19" t="n">
        <v>7.85491451308638</v>
      </c>
    </row>
    <row r="301">
      <c r="A301" s="19" t="n">
        <v>23</v>
      </c>
      <c r="B301" s="19" t="inlineStr">
        <is>
          <t>Jonas</t>
        </is>
      </c>
      <c r="C301" s="19" t="inlineStr">
        <is>
          <t>Town</t>
        </is>
      </c>
      <c r="D301" s="19" t="inlineStr">
        <is>
          <t>Win</t>
        </is>
      </c>
      <c r="E301" s="19" t="n">
        <v>119</v>
      </c>
      <c r="F301" s="19" t="n">
        <v>25</v>
      </c>
      <c r="G301" s="19" t="n">
        <v>26.6345285373171</v>
      </c>
      <c r="H301" s="19" t="n">
        <v>8.25684055699613</v>
      </c>
      <c r="I301" s="19" t="n">
        <v>850</v>
      </c>
      <c r="J301" s="19" t="n">
        <v>969</v>
      </c>
      <c r="K301" s="19" t="n">
        <v>8.33333333333333</v>
      </c>
    </row>
    <row r="302">
      <c r="A302" s="19" t="n">
        <v>23</v>
      </c>
      <c r="B302" s="19" t="inlineStr">
        <is>
          <t>Machop</t>
        </is>
      </c>
      <c r="C302" s="19" t="inlineStr">
        <is>
          <t>Town</t>
        </is>
      </c>
      <c r="D302" s="19" t="inlineStr">
        <is>
          <t>Win</t>
        </is>
      </c>
      <c r="E302" s="19" t="n">
        <v>93</v>
      </c>
      <c r="F302" s="19" t="n">
        <v>28.0558268748739</v>
      </c>
      <c r="G302" s="19" t="n">
        <v>29.3477548917166</v>
      </c>
      <c r="H302" s="19" t="n">
        <v>7.3560083228069</v>
      </c>
      <c r="I302" s="19" t="n">
        <v>1152</v>
      </c>
      <c r="J302" s="19" t="n">
        <v>1245</v>
      </c>
      <c r="K302" s="19" t="n">
        <v>7.40742079554794</v>
      </c>
    </row>
    <row r="303">
      <c r="A303" s="19" t="n">
        <v>23</v>
      </c>
      <c r="B303" s="19" t="inlineStr">
        <is>
          <t>Coffee</t>
        </is>
      </c>
      <c r="C303" s="19" t="inlineStr">
        <is>
          <t>Town</t>
        </is>
      </c>
      <c r="D303" s="19" t="inlineStr">
        <is>
          <t>Win</t>
        </is>
      </c>
      <c r="E303" s="19" t="n">
        <v>119</v>
      </c>
      <c r="F303" s="19" t="n">
        <v>25</v>
      </c>
      <c r="G303" s="19" t="n">
        <v>26.6345285373171</v>
      </c>
      <c r="H303" s="19" t="n">
        <v>8.25684055699613</v>
      </c>
      <c r="I303" s="19" t="n">
        <v>850</v>
      </c>
      <c r="J303" s="19" t="n">
        <v>969</v>
      </c>
      <c r="K303" s="19" t="n">
        <v>8.33333333333333</v>
      </c>
    </row>
    <row r="304">
      <c r="A304" s="19" t="n">
        <v>23</v>
      </c>
      <c r="B304" s="19" t="inlineStr">
        <is>
          <t>Keegan</t>
        </is>
      </c>
      <c r="C304" s="19" t="inlineStr">
        <is>
          <t>Town</t>
        </is>
      </c>
      <c r="D304" s="19" t="inlineStr">
        <is>
          <t>Win</t>
        </is>
      </c>
      <c r="E304" s="19" t="n">
        <v>112</v>
      </c>
      <c r="F304" s="19" t="n">
        <v>22.9170524498854</v>
      </c>
      <c r="G304" s="19" t="n">
        <v>24.4670730063188</v>
      </c>
      <c r="H304" s="19" t="n">
        <v>8.044703800769041</v>
      </c>
      <c r="I304" s="19" t="n">
        <v>731</v>
      </c>
      <c r="J304" s="19" t="n">
        <v>843</v>
      </c>
      <c r="K304" s="19" t="n">
        <v>8.114763840723469</v>
      </c>
    </row>
    <row r="305">
      <c r="A305" s="19" t="n">
        <v>22</v>
      </c>
      <c r="B305" s="19" t="inlineStr">
        <is>
          <t>CJ</t>
        </is>
      </c>
      <c r="C305" s="19" t="inlineStr">
        <is>
          <t>Mafia</t>
        </is>
      </c>
      <c r="D305" s="19" t="inlineStr">
        <is>
          <t>Win</t>
        </is>
      </c>
      <c r="E305" s="19" t="n">
        <v>43</v>
      </c>
      <c r="F305" s="19" t="n">
        <v>26.5342200080906</v>
      </c>
      <c r="G305" s="19" t="n">
        <v>27.1093418018682</v>
      </c>
      <c r="H305" s="19" t="n">
        <v>8.12030020058673</v>
      </c>
      <c r="I305" s="19" t="n">
        <v>972</v>
      </c>
      <c r="J305" s="19" t="n">
        <v>1015</v>
      </c>
      <c r="K305" s="19" t="n">
        <v>8.16295029682713</v>
      </c>
    </row>
    <row r="306">
      <c r="A306" s="19" t="n">
        <v>22</v>
      </c>
      <c r="B306" s="19" t="inlineStr">
        <is>
          <t>Maz</t>
        </is>
      </c>
      <c r="C306" s="19" t="inlineStr">
        <is>
          <t>Mafia</t>
        </is>
      </c>
      <c r="D306" s="19" t="inlineStr">
        <is>
          <t>Win</t>
        </is>
      </c>
      <c r="E306" s="19" t="n">
        <v>38</v>
      </c>
      <c r="F306" s="19" t="n">
        <v>26.7051364232631</v>
      </c>
      <c r="G306" s="19" t="n">
        <v>27.2106826579002</v>
      </c>
      <c r="H306" s="19" t="n">
        <v>7.61877094083999</v>
      </c>
      <c r="I306" s="19" t="n">
        <v>1035</v>
      </c>
      <c r="J306" s="19" t="n">
        <v>1073</v>
      </c>
      <c r="K306" s="19" t="n">
        <v>7.65257001011153</v>
      </c>
    </row>
    <row r="307">
      <c r="A307" s="19" t="n">
        <v>22</v>
      </c>
      <c r="B307" s="19" t="inlineStr">
        <is>
          <t>Jared</t>
        </is>
      </c>
      <c r="C307" s="19" t="inlineStr">
        <is>
          <t>Mafia</t>
        </is>
      </c>
      <c r="D307" s="19" t="inlineStr">
        <is>
          <t>Win</t>
        </is>
      </c>
      <c r="E307" s="19" t="n">
        <v>44</v>
      </c>
      <c r="F307" s="19" t="n">
        <v>24.0502610598303</v>
      </c>
      <c r="G307" s="19" t="n">
        <v>24.6410478378712</v>
      </c>
      <c r="H307" s="19" t="n">
        <v>8.22881272441027</v>
      </c>
      <c r="I307" s="19" t="n">
        <v>792</v>
      </c>
      <c r="J307" s="19" t="n">
        <v>836</v>
      </c>
      <c r="K307" s="19" t="n">
        <v>8.273521499788799</v>
      </c>
    </row>
    <row r="308">
      <c r="A308" s="19" t="n">
        <v>22</v>
      </c>
      <c r="B308" s="19" t="inlineStr">
        <is>
          <t>Svaan</t>
        </is>
      </c>
      <c r="C308" s="19" t="inlineStr">
        <is>
          <t>Town</t>
        </is>
      </c>
      <c r="D308" s="19" t="inlineStr">
        <is>
          <t>Loss</t>
        </is>
      </c>
      <c r="E308" s="19" t="n">
        <v>-35</v>
      </c>
      <c r="F308" s="19" t="n">
        <v>23.0150964995971</v>
      </c>
      <c r="G308" s="19" t="n">
        <v>22.4310125807119</v>
      </c>
      <c r="H308" s="19" t="n">
        <v>8.182566360386829</v>
      </c>
      <c r="I308" s="19" t="n">
        <v>726</v>
      </c>
      <c r="J308" s="19" t="n">
        <v>691</v>
      </c>
      <c r="K308" s="19" t="n">
        <v>8.22639131801024</v>
      </c>
    </row>
    <row r="309">
      <c r="A309" s="19" t="n">
        <v>22</v>
      </c>
      <c r="B309" s="19" t="inlineStr">
        <is>
          <t>Chester</t>
        </is>
      </c>
      <c r="C309" s="19" t="inlineStr">
        <is>
          <t>Town</t>
        </is>
      </c>
      <c r="D309" s="19" t="inlineStr">
        <is>
          <t>Loss</t>
        </is>
      </c>
      <c r="E309" s="19" t="n">
        <v>-35</v>
      </c>
      <c r="F309" s="19" t="n">
        <v>23.6314833591642</v>
      </c>
      <c r="G309" s="19" t="n">
        <v>23.0461293342107</v>
      </c>
      <c r="H309" s="19" t="n">
        <v>8.19135050353054</v>
      </c>
      <c r="I309" s="19" t="n">
        <v>767</v>
      </c>
      <c r="J309" s="19" t="n">
        <v>732</v>
      </c>
      <c r="K309" s="19" t="n">
        <v>8.235342596807619</v>
      </c>
    </row>
    <row r="310">
      <c r="A310" s="19" t="n">
        <v>22</v>
      </c>
      <c r="B310" s="19" t="inlineStr">
        <is>
          <t>Kwix</t>
        </is>
      </c>
      <c r="C310" s="19" t="inlineStr">
        <is>
          <t>Town</t>
        </is>
      </c>
      <c r="D310" s="19" t="inlineStr">
        <is>
          <t>Loss</t>
        </is>
      </c>
      <c r="E310" s="19" t="n">
        <v>-36</v>
      </c>
      <c r="F310" s="19" t="n">
        <v>24.0502610598303</v>
      </c>
      <c r="G310" s="19" t="n">
        <v>23.4594742817894</v>
      </c>
      <c r="H310" s="19" t="n">
        <v>8.22881272441027</v>
      </c>
      <c r="I310" s="19" t="n">
        <v>792</v>
      </c>
      <c r="J310" s="19" t="n">
        <v>756</v>
      </c>
      <c r="K310" s="19" t="n">
        <v>8.273521499788799</v>
      </c>
    </row>
    <row r="311">
      <c r="A311" s="19" t="n">
        <v>22</v>
      </c>
      <c r="B311" s="19" t="inlineStr">
        <is>
          <t>Noah</t>
        </is>
      </c>
      <c r="C311" s="19" t="inlineStr">
        <is>
          <t>Town</t>
        </is>
      </c>
      <c r="D311" s="19" t="inlineStr">
        <is>
          <t>Loss</t>
        </is>
      </c>
      <c r="E311" s="19" t="n">
        <v>-29</v>
      </c>
      <c r="F311" s="19" t="n">
        <v>27.6682276576151</v>
      </c>
      <c r="G311" s="19" t="n">
        <v>27.1961010489732</v>
      </c>
      <c r="H311" s="19" t="n">
        <v>7.36518341809402</v>
      </c>
      <c r="I311" s="19" t="n">
        <v>1127</v>
      </c>
      <c r="J311" s="19" t="n">
        <v>1098</v>
      </c>
      <c r="K311" s="19" t="n">
        <v>7.3949030816805</v>
      </c>
    </row>
    <row r="312">
      <c r="A312" s="19" t="n">
        <v>22</v>
      </c>
      <c r="B312" s="19" t="inlineStr">
        <is>
          <t>Justice</t>
        </is>
      </c>
      <c r="C312" s="19" t="inlineStr">
        <is>
          <t>Town</t>
        </is>
      </c>
      <c r="D312" s="19" t="inlineStr">
        <is>
          <t>Loss</t>
        </is>
      </c>
      <c r="E312" s="19" t="n">
        <v>-30</v>
      </c>
      <c r="F312" s="19" t="n">
        <v>22.4953185614036</v>
      </c>
      <c r="G312" s="19" t="n">
        <v>21.9965676748818</v>
      </c>
      <c r="H312" s="19" t="n">
        <v>7.56792457745221</v>
      </c>
      <c r="I312" s="19" t="n">
        <v>754</v>
      </c>
      <c r="J312" s="19" t="n">
        <v>724</v>
      </c>
      <c r="K312" s="19" t="n">
        <v>7.60088505381723</v>
      </c>
    </row>
    <row r="313">
      <c r="A313" s="19" t="n">
        <v>22</v>
      </c>
      <c r="B313" s="19" t="inlineStr">
        <is>
          <t>Streety</t>
        </is>
      </c>
      <c r="C313" s="19" t="inlineStr">
        <is>
          <t>Town</t>
        </is>
      </c>
      <c r="D313" s="19" t="inlineStr">
        <is>
          <t>Loss</t>
        </is>
      </c>
      <c r="E313" s="19" t="n">
        <v>-33</v>
      </c>
      <c r="F313" s="19" t="n">
        <v>23.5309998735675</v>
      </c>
      <c r="G313" s="19" t="n">
        <v>22.9955978262317</v>
      </c>
      <c r="H313" s="19" t="n">
        <v>7.83809515399835</v>
      </c>
      <c r="I313" s="19" t="n">
        <v>797</v>
      </c>
      <c r="J313" s="19" t="n">
        <v>764</v>
      </c>
      <c r="K313" s="19" t="n">
        <v>7.87563342971768</v>
      </c>
    </row>
    <row r="314">
      <c r="A314" s="19" t="n">
        <v>22</v>
      </c>
      <c r="B314" s="19" t="inlineStr">
        <is>
          <t>Lovekilling</t>
        </is>
      </c>
      <c r="C314" s="19" t="inlineStr">
        <is>
          <t>Town</t>
        </is>
      </c>
      <c r="D314" s="19" t="inlineStr">
        <is>
          <t>Loss</t>
        </is>
      </c>
      <c r="E314" s="19" t="n">
        <v>-34</v>
      </c>
      <c r="F314" s="19" t="n">
        <v>22.6028667711649</v>
      </c>
      <c r="G314" s="19" t="n">
        <v>22.0264852429471</v>
      </c>
      <c r="H314" s="19" t="n">
        <v>8.129082681654561</v>
      </c>
      <c r="I314" s="19" t="n">
        <v>703</v>
      </c>
      <c r="J314" s="19" t="n">
        <v>669</v>
      </c>
      <c r="K314" s="19" t="n">
        <v>8.171897444028721</v>
      </c>
    </row>
    <row r="315">
      <c r="A315" s="19" t="n">
        <v>22</v>
      </c>
      <c r="B315" s="19" t="inlineStr">
        <is>
          <t>Machop</t>
        </is>
      </c>
      <c r="C315" s="19" t="inlineStr">
        <is>
          <t>Town</t>
        </is>
      </c>
      <c r="D315" s="19" t="inlineStr">
        <is>
          <t>Loss</t>
        </is>
      </c>
      <c r="E315" s="19" t="n">
        <v>-30</v>
      </c>
      <c r="F315" s="19" t="n">
        <v>28.5334381253493</v>
      </c>
      <c r="G315" s="19" t="n">
        <v>28.0558268748739</v>
      </c>
      <c r="H315" s="19" t="n">
        <v>7.40742079554794</v>
      </c>
      <c r="I315" s="19" t="n">
        <v>1182</v>
      </c>
      <c r="J315" s="19" t="n">
        <v>1152</v>
      </c>
      <c r="K315" s="19" t="n">
        <v>7.4378022205119</v>
      </c>
    </row>
    <row r="316">
      <c r="A316" s="19" t="n">
        <v>22</v>
      </c>
      <c r="B316" s="19" t="inlineStr">
        <is>
          <t>Jojo</t>
        </is>
      </c>
      <c r="C316" s="19" t="inlineStr">
        <is>
          <t>Town</t>
        </is>
      </c>
      <c r="D316" s="19" t="inlineStr">
        <is>
          <t>Loss</t>
        </is>
      </c>
      <c r="E316" s="19" t="n">
        <v>-36</v>
      </c>
      <c r="F316" s="19" t="n">
        <v>25.131622279615</v>
      </c>
      <c r="G316" s="19" t="n">
        <v>24.5473224721747</v>
      </c>
      <c r="H316" s="19" t="n">
        <v>8.184060158926879</v>
      </c>
      <c r="I316" s="19" t="n">
        <v>870</v>
      </c>
      <c r="J316" s="19" t="n">
        <v>834</v>
      </c>
      <c r="K316" s="19" t="n">
        <v>8.227913514623591</v>
      </c>
    </row>
    <row r="317">
      <c r="A317" s="19" t="n">
        <v>22</v>
      </c>
      <c r="B317" s="19" t="inlineStr">
        <is>
          <t>Happymeal</t>
        </is>
      </c>
      <c r="C317" s="19" t="inlineStr">
        <is>
          <t>Town</t>
        </is>
      </c>
      <c r="D317" s="19" t="inlineStr">
        <is>
          <t>Loss</t>
        </is>
      </c>
      <c r="E317" s="19" t="n">
        <v>-33</v>
      </c>
      <c r="F317" s="19" t="n">
        <v>22.9737640202382</v>
      </c>
      <c r="G317" s="19" t="n">
        <v>22.436035871799</v>
      </c>
      <c r="H317" s="19" t="n">
        <v>7.85491451308638</v>
      </c>
      <c r="I317" s="19" t="n">
        <v>757</v>
      </c>
      <c r="J317" s="19" t="n">
        <v>724</v>
      </c>
      <c r="K317" s="19" t="n">
        <v>7.89274784812178</v>
      </c>
    </row>
    <row r="318">
      <c r="A318" s="19" t="n">
        <v>21</v>
      </c>
      <c r="B318" s="19" t="inlineStr">
        <is>
          <t>Kny</t>
        </is>
      </c>
      <c r="C318" s="19" t="inlineStr">
        <is>
          <t>Mafia</t>
        </is>
      </c>
      <c r="D318" s="19" t="inlineStr">
        <is>
          <t>Win</t>
        </is>
      </c>
      <c r="E318" s="19" t="n">
        <v>60</v>
      </c>
      <c r="F318" s="19" t="n">
        <v>25.8923525617304</v>
      </c>
      <c r="G318" s="19" t="n">
        <v>26.7081586725794</v>
      </c>
      <c r="H318" s="19" t="n">
        <v>7.676545573648</v>
      </c>
      <c r="I318" s="19" t="n">
        <v>973</v>
      </c>
      <c r="J318" s="19" t="n">
        <v>1033</v>
      </c>
      <c r="K318" s="19" t="n">
        <v>7.72260642144314</v>
      </c>
    </row>
    <row r="319">
      <c r="A319" s="19" t="n">
        <v>21</v>
      </c>
      <c r="B319" s="19" t="inlineStr">
        <is>
          <t>CJ</t>
        </is>
      </c>
      <c r="C319" s="19" t="inlineStr">
        <is>
          <t>Mafia</t>
        </is>
      </c>
      <c r="D319" s="19" t="inlineStr">
        <is>
          <t>Win</t>
        </is>
      </c>
      <c r="E319" s="19" t="n">
        <v>69</v>
      </c>
      <c r="F319" s="19" t="n">
        <v>25.6100913155594</v>
      </c>
      <c r="G319" s="19" t="n">
        <v>26.5342200080906</v>
      </c>
      <c r="H319" s="19" t="n">
        <v>8.16295029682713</v>
      </c>
      <c r="I319" s="19" t="n">
        <v>903</v>
      </c>
      <c r="J319" s="19" t="n">
        <v>972</v>
      </c>
      <c r="K319" s="19" t="n">
        <v>8.220061363845311</v>
      </c>
    </row>
    <row r="320">
      <c r="A320" s="19" t="n">
        <v>21</v>
      </c>
      <c r="B320" s="19" t="inlineStr">
        <is>
          <t>Carson</t>
        </is>
      </c>
      <c r="C320" s="19" t="inlineStr">
        <is>
          <t>Mafia</t>
        </is>
      </c>
      <c r="D320" s="19" t="inlineStr">
        <is>
          <t>Win</t>
        </is>
      </c>
      <c r="E320" s="19" t="n">
        <v>58</v>
      </c>
      <c r="F320" s="19" t="n">
        <v>22.7582647190865</v>
      </c>
      <c r="G320" s="19" t="n">
        <v>23.5411353305319</v>
      </c>
      <c r="H320" s="19" t="n">
        <v>7.52205016435187</v>
      </c>
      <c r="I320" s="19" t="n">
        <v>776</v>
      </c>
      <c r="J320" s="19" t="n">
        <v>834</v>
      </c>
      <c r="K320" s="19" t="n">
        <v>7.56487285757432</v>
      </c>
    </row>
    <row r="321">
      <c r="A321" s="19" t="n">
        <v>21</v>
      </c>
      <c r="B321" s="19" t="inlineStr">
        <is>
          <t>Kwix</t>
        </is>
      </c>
      <c r="C321" s="19" t="inlineStr">
        <is>
          <t>Town</t>
        </is>
      </c>
      <c r="D321" s="19" t="inlineStr">
        <is>
          <t>Loss</t>
        </is>
      </c>
      <c r="E321" s="19" t="n">
        <v>-58</v>
      </c>
      <c r="F321" s="19" t="n">
        <v>25</v>
      </c>
      <c r="G321" s="19" t="n">
        <v>24.0502610598303</v>
      </c>
      <c r="H321" s="19" t="n">
        <v>8.273521499788799</v>
      </c>
      <c r="I321" s="19" t="n">
        <v>850</v>
      </c>
      <c r="J321" s="19" t="n">
        <v>792</v>
      </c>
      <c r="K321" s="19" t="n">
        <v>8.33333333333333</v>
      </c>
    </row>
    <row r="322">
      <c r="A322" s="19" t="n">
        <v>21</v>
      </c>
      <c r="B322" s="19" t="inlineStr">
        <is>
          <t>Noah</t>
        </is>
      </c>
      <c r="C322" s="19" t="inlineStr">
        <is>
          <t>Town</t>
        </is>
      </c>
      <c r="D322" s="19" t="inlineStr">
        <is>
          <t>Loss</t>
        </is>
      </c>
      <c r="E322" s="19" t="n">
        <v>-47</v>
      </c>
      <c r="F322" s="19" t="n">
        <v>28.4245218430338</v>
      </c>
      <c r="G322" s="19" t="n">
        <v>27.6682276576151</v>
      </c>
      <c r="H322" s="19" t="n">
        <v>7.3949030816805</v>
      </c>
      <c r="I322" s="19" t="n">
        <v>1174</v>
      </c>
      <c r="J322" s="19" t="n">
        <v>1127</v>
      </c>
      <c r="K322" s="19" t="n">
        <v>7.43515485282921</v>
      </c>
    </row>
    <row r="323">
      <c r="A323" s="19" t="n">
        <v>21</v>
      </c>
      <c r="B323" s="19" t="inlineStr">
        <is>
          <t>Maz</t>
        </is>
      </c>
      <c r="C323" s="19" t="inlineStr">
        <is>
          <t>Town</t>
        </is>
      </c>
      <c r="D323" s="19" t="inlineStr">
        <is>
          <t>Loss</t>
        </is>
      </c>
      <c r="E323" s="19" t="n">
        <v>-51</v>
      </c>
      <c r="F323" s="19" t="n">
        <v>27.5157850915437</v>
      </c>
      <c r="G323" s="19" t="n">
        <v>26.7051364232631</v>
      </c>
      <c r="H323" s="19" t="n">
        <v>7.65257001011153</v>
      </c>
      <c r="I323" s="19" t="n">
        <v>1086</v>
      </c>
      <c r="J323" s="19" t="n">
        <v>1035</v>
      </c>
      <c r="K323" s="19" t="n">
        <v>7.69812000042935</v>
      </c>
    </row>
    <row r="324">
      <c r="A324" s="19" t="n">
        <v>21</v>
      </c>
      <c r="B324" s="19" t="inlineStr">
        <is>
          <t>Happymeal</t>
        </is>
      </c>
      <c r="C324" s="19" t="inlineStr">
        <is>
          <t>Town</t>
        </is>
      </c>
      <c r="D324" s="19" t="inlineStr">
        <is>
          <t>Loss</t>
        </is>
      </c>
      <c r="E324" s="19" t="n">
        <v>-54</v>
      </c>
      <c r="F324" s="19" t="n">
        <v>23.8368484036906</v>
      </c>
      <c r="G324" s="19" t="n">
        <v>22.9737640202382</v>
      </c>
      <c r="H324" s="19" t="n">
        <v>7.89274784812178</v>
      </c>
      <c r="I324" s="19" t="n">
        <v>811</v>
      </c>
      <c r="J324" s="19" t="n">
        <v>757</v>
      </c>
      <c r="K324" s="19" t="n">
        <v>7.94355677377715</v>
      </c>
    </row>
    <row r="325">
      <c r="A325" s="19" t="n">
        <v>21</v>
      </c>
      <c r="B325" s="19" t="inlineStr">
        <is>
          <t>Machop</t>
        </is>
      </c>
      <c r="C325" s="19" t="inlineStr">
        <is>
          <t>Town</t>
        </is>
      </c>
      <c r="D325" s="19" t="inlineStr">
        <is>
          <t>Loss</t>
        </is>
      </c>
      <c r="E325" s="19" t="n">
        <v>-47</v>
      </c>
      <c r="F325" s="19" t="n">
        <v>29.2986458446678</v>
      </c>
      <c r="G325" s="19" t="n">
        <v>28.5334381253493</v>
      </c>
      <c r="H325" s="19" t="n">
        <v>7.4378022205119</v>
      </c>
      <c r="I325" s="19" t="n">
        <v>1229</v>
      </c>
      <c r="J325" s="19" t="n">
        <v>1182</v>
      </c>
      <c r="K325" s="19" t="n">
        <v>7.47891205823889</v>
      </c>
    </row>
    <row r="326">
      <c r="A326" s="19" t="n">
        <v>21</v>
      </c>
      <c r="B326" s="19" t="inlineStr">
        <is>
          <t>Keegan</t>
        </is>
      </c>
      <c r="C326" s="19" t="inlineStr">
        <is>
          <t>Town</t>
        </is>
      </c>
      <c r="D326" s="19" t="inlineStr">
        <is>
          <t>Loss</t>
        </is>
      </c>
      <c r="E326" s="19" t="n">
        <v>-56</v>
      </c>
      <c r="F326" s="19" t="n">
        <v>23.8301349600018</v>
      </c>
      <c r="G326" s="19" t="n">
        <v>22.9170524498854</v>
      </c>
      <c r="H326" s="19" t="n">
        <v>8.114763840723469</v>
      </c>
      <c r="I326" s="19" t="n">
        <v>787</v>
      </c>
      <c r="J326" s="19" t="n">
        <v>731</v>
      </c>
      <c r="K326" s="19" t="n">
        <v>8.170720324981749</v>
      </c>
    </row>
    <row r="327">
      <c r="A327" s="19" t="n">
        <v>21</v>
      </c>
      <c r="B327" s="19" t="inlineStr">
        <is>
          <t>Justice</t>
        </is>
      </c>
      <c r="C327" s="19" t="inlineStr">
        <is>
          <t>Town</t>
        </is>
      </c>
      <c r="D327" s="19" t="inlineStr">
        <is>
          <t>Loss</t>
        </is>
      </c>
      <c r="E327" s="19" t="n">
        <v>-50</v>
      </c>
      <c r="F327" s="19" t="n">
        <v>23.2949070502391</v>
      </c>
      <c r="G327" s="19" t="n">
        <v>22.4953185614036</v>
      </c>
      <c r="H327" s="19" t="n">
        <v>7.60088505381723</v>
      </c>
      <c r="I327" s="19" t="n">
        <v>804</v>
      </c>
      <c r="J327" s="19" t="n">
        <v>754</v>
      </c>
      <c r="K327" s="19" t="n">
        <v>7.6453442409299</v>
      </c>
    </row>
    <row r="328">
      <c r="A328" s="19" t="n">
        <v>21</v>
      </c>
      <c r="B328" s="19" t="inlineStr">
        <is>
          <t>Torharo</t>
        </is>
      </c>
      <c r="C328" s="19" t="inlineStr">
        <is>
          <t>Town</t>
        </is>
      </c>
      <c r="D328" s="19" t="inlineStr">
        <is>
          <t>Loss</t>
        </is>
      </c>
      <c r="E328" s="19" t="n">
        <v>-52</v>
      </c>
      <c r="F328" s="19" t="n">
        <v>25.8081372481929</v>
      </c>
      <c r="G328" s="19" t="n">
        <v>24.967736995613</v>
      </c>
      <c r="H328" s="19" t="n">
        <v>7.78980582111171</v>
      </c>
      <c r="I328" s="19" t="n">
        <v>955</v>
      </c>
      <c r="J328" s="19" t="n">
        <v>903</v>
      </c>
      <c r="K328" s="19" t="n">
        <v>7.83832202106871</v>
      </c>
    </row>
    <row r="329">
      <c r="A329" s="19" t="n">
        <v>21</v>
      </c>
      <c r="B329" s="19" t="inlineStr">
        <is>
          <t>Morty</t>
        </is>
      </c>
      <c r="C329" s="19" t="inlineStr">
        <is>
          <t>Town</t>
        </is>
      </c>
      <c r="D329" s="19" t="inlineStr">
        <is>
          <t>Loss</t>
        </is>
      </c>
      <c r="E329" s="19" t="n">
        <v>-58</v>
      </c>
      <c r="F329" s="19" t="n">
        <v>26.3306458214885</v>
      </c>
      <c r="G329" s="19" t="n">
        <v>25.3965849169019</v>
      </c>
      <c r="H329" s="19" t="n">
        <v>8.20602047639726</v>
      </c>
      <c r="I329" s="19" t="n">
        <v>948</v>
      </c>
      <c r="J329" s="19" t="n">
        <v>890</v>
      </c>
      <c r="K329" s="19" t="n">
        <v>8.26417500380823</v>
      </c>
    </row>
    <row r="330">
      <c r="A330" s="19" t="n">
        <v>21</v>
      </c>
      <c r="B330" s="19" t="inlineStr">
        <is>
          <t>Jared</t>
        </is>
      </c>
      <c r="C330" s="19" t="inlineStr">
        <is>
          <t>Town</t>
        </is>
      </c>
      <c r="D330" s="19" t="inlineStr">
        <is>
          <t>Loss</t>
        </is>
      </c>
      <c r="E330" s="19" t="n">
        <v>-58</v>
      </c>
      <c r="F330" s="19" t="n">
        <v>25</v>
      </c>
      <c r="G330" s="19" t="n">
        <v>24.0502610598303</v>
      </c>
      <c r="H330" s="19" t="n">
        <v>8.273521499788799</v>
      </c>
      <c r="I330" s="19" t="n">
        <v>850</v>
      </c>
      <c r="J330" s="19" t="n">
        <v>792</v>
      </c>
      <c r="K330" s="19" t="n">
        <v>8.33333333333333</v>
      </c>
    </row>
    <row r="331">
      <c r="A331" s="19" t="n">
        <v>20</v>
      </c>
      <c r="B331" s="19" t="inlineStr">
        <is>
          <t>Machop</t>
        </is>
      </c>
      <c r="C331" s="19" t="inlineStr">
        <is>
          <t>Mafia</t>
        </is>
      </c>
      <c r="D331" s="19" t="inlineStr">
        <is>
          <t>Win</t>
        </is>
      </c>
      <c r="E331" s="19" t="n">
        <v>35</v>
      </c>
      <c r="F331" s="19" t="n">
        <v>28.8175813055044</v>
      </c>
      <c r="G331" s="19" t="n">
        <v>29.2986458446678</v>
      </c>
      <c r="H331" s="19" t="n">
        <v>7.47891205823889</v>
      </c>
      <c r="I331" s="19" t="n">
        <v>1194</v>
      </c>
      <c r="J331" s="19" t="n">
        <v>1229</v>
      </c>
      <c r="K331" s="19" t="n">
        <v>7.51066711125846</v>
      </c>
    </row>
    <row r="332">
      <c r="A332" s="19" t="n">
        <v>20</v>
      </c>
      <c r="B332" s="19" t="inlineStr">
        <is>
          <t>Carson</t>
        </is>
      </c>
      <c r="C332" s="19" t="inlineStr">
        <is>
          <t>Mafia</t>
        </is>
      </c>
      <c r="D332" s="19" t="inlineStr">
        <is>
          <t>Win</t>
        </is>
      </c>
      <c r="E332" s="19" t="n">
        <v>37</v>
      </c>
      <c r="F332" s="19" t="n">
        <v>22.2659617725379</v>
      </c>
      <c r="G332" s="19" t="n">
        <v>22.7582647190865</v>
      </c>
      <c r="H332" s="19" t="n">
        <v>7.56487285757432</v>
      </c>
      <c r="I332" s="19" t="n">
        <v>739</v>
      </c>
      <c r="J332" s="19" t="n">
        <v>776</v>
      </c>
      <c r="K332" s="19" t="n">
        <v>7.59802935979271</v>
      </c>
    </row>
    <row r="333">
      <c r="A333" s="19" t="n">
        <v>20</v>
      </c>
      <c r="B333" s="19" t="inlineStr">
        <is>
          <t>Maz</t>
        </is>
      </c>
      <c r="C333" s="19" t="inlineStr">
        <is>
          <t>Mafia</t>
        </is>
      </c>
      <c r="D333" s="19" t="inlineStr">
        <is>
          <t>Win</t>
        </is>
      </c>
      <c r="E333" s="19" t="n">
        <v>38</v>
      </c>
      <c r="F333" s="19" t="n">
        <v>27.0057968671923</v>
      </c>
      <c r="G333" s="19" t="n">
        <v>27.5157850915437</v>
      </c>
      <c r="H333" s="19" t="n">
        <v>7.69812000042935</v>
      </c>
      <c r="I333" s="19" t="n">
        <v>1048</v>
      </c>
      <c r="J333" s="19" t="n">
        <v>1086</v>
      </c>
      <c r="K333" s="19" t="n">
        <v>7.7335084268562</v>
      </c>
    </row>
    <row r="334">
      <c r="A334" s="19" t="n">
        <v>20</v>
      </c>
      <c r="B334" s="19" t="inlineStr">
        <is>
          <t>Noah</t>
        </is>
      </c>
      <c r="C334" s="19" t="inlineStr">
        <is>
          <t>Town</t>
        </is>
      </c>
      <c r="D334" s="19" t="inlineStr">
        <is>
          <t>Loss</t>
        </is>
      </c>
      <c r="E334" s="19" t="n">
        <v>-30</v>
      </c>
      <c r="F334" s="19" t="n">
        <v>28.8999169856992</v>
      </c>
      <c r="G334" s="19" t="n">
        <v>28.4245218430338</v>
      </c>
      <c r="H334" s="19" t="n">
        <v>7.43515485282921</v>
      </c>
      <c r="I334" s="19" t="n">
        <v>1204</v>
      </c>
      <c r="J334" s="19" t="n">
        <v>1174</v>
      </c>
      <c r="K334" s="19" t="n">
        <v>7.46620791017695</v>
      </c>
    </row>
    <row r="335">
      <c r="A335" s="19" t="n">
        <v>20</v>
      </c>
      <c r="B335" s="19" t="inlineStr">
        <is>
          <t>Whyin</t>
        </is>
      </c>
      <c r="C335" s="19" t="inlineStr">
        <is>
          <t>Town</t>
        </is>
      </c>
      <c r="D335" s="19" t="inlineStr">
        <is>
          <t>Loss</t>
        </is>
      </c>
      <c r="E335" s="19" t="n">
        <v>-32</v>
      </c>
      <c r="F335" s="19" t="n">
        <v>22.1237380128346</v>
      </c>
      <c r="G335" s="19" t="n">
        <v>21.5871481589686</v>
      </c>
      <c r="H335" s="19" t="n">
        <v>7.8941289738694</v>
      </c>
      <c r="I335" s="19" t="n">
        <v>695</v>
      </c>
      <c r="J335" s="19" t="n">
        <v>663</v>
      </c>
      <c r="K335" s="19" t="n">
        <v>7.93293537553495</v>
      </c>
    </row>
    <row r="336">
      <c r="A336" s="19" t="n">
        <v>20</v>
      </c>
      <c r="B336" s="19" t="inlineStr">
        <is>
          <t>Hydro</t>
        </is>
      </c>
      <c r="C336" s="19" t="inlineStr">
        <is>
          <t>Town</t>
        </is>
      </c>
      <c r="D336" s="19" t="inlineStr">
        <is>
          <t>Loss</t>
        </is>
      </c>
      <c r="E336" s="19" t="n">
        <v>-34</v>
      </c>
      <c r="F336" s="19" t="n">
        <v>25.4737002862996</v>
      </c>
      <c r="G336" s="19" t="n">
        <v>24.9156532242683</v>
      </c>
      <c r="H336" s="19" t="n">
        <v>8.048598399263691</v>
      </c>
      <c r="I336" s="19" t="n">
        <v>907</v>
      </c>
      <c r="J336" s="19" t="n">
        <v>873</v>
      </c>
      <c r="K336" s="19" t="n">
        <v>8.090214595233521</v>
      </c>
    </row>
    <row r="337">
      <c r="A337" s="19" t="n">
        <v>20</v>
      </c>
      <c r="B337" s="19" t="inlineStr">
        <is>
          <t>Siggywiggy</t>
        </is>
      </c>
      <c r="C337" s="19" t="inlineStr">
        <is>
          <t>Town</t>
        </is>
      </c>
      <c r="D337" s="19" t="inlineStr">
        <is>
          <t>Loss</t>
        </is>
      </c>
      <c r="E337" s="19" t="n">
        <v>-32</v>
      </c>
      <c r="F337" s="19" t="n">
        <v>21.0635495264894</v>
      </c>
      <c r="G337" s="19" t="n">
        <v>20.5354605986087</v>
      </c>
      <c r="H337" s="19" t="n">
        <v>7.83204891077541</v>
      </c>
      <c r="I337" s="19" t="n">
        <v>630</v>
      </c>
      <c r="J337" s="19" t="n">
        <v>598</v>
      </c>
      <c r="K337" s="19" t="n">
        <v>7.86975514169674</v>
      </c>
    </row>
    <row r="338">
      <c r="A338" s="19" t="n">
        <v>20</v>
      </c>
      <c r="B338" s="19" t="inlineStr">
        <is>
          <t>Daniel</t>
        </is>
      </c>
      <c r="C338" s="19" t="inlineStr">
        <is>
          <t>Town</t>
        </is>
      </c>
      <c r="D338" s="19" t="inlineStr">
        <is>
          <t>Loss</t>
        </is>
      </c>
      <c r="E338" s="19" t="n">
        <v>-36</v>
      </c>
      <c r="F338" s="19" t="n">
        <v>25</v>
      </c>
      <c r="G338" s="19" t="n">
        <v>24.4079560326138</v>
      </c>
      <c r="H338" s="19" t="n">
        <v>8.28716972953263</v>
      </c>
      <c r="I338" s="19" t="n">
        <v>850</v>
      </c>
      <c r="J338" s="19" t="n">
        <v>814</v>
      </c>
      <c r="K338" s="19" t="n">
        <v>8.33333333333333</v>
      </c>
    </row>
    <row r="339">
      <c r="A339" s="19" t="n">
        <v>20</v>
      </c>
      <c r="B339" s="19" t="inlineStr">
        <is>
          <t>Streety</t>
        </is>
      </c>
      <c r="C339" s="19" t="inlineStr">
        <is>
          <t>Town</t>
        </is>
      </c>
      <c r="D339" s="19" t="inlineStr">
        <is>
          <t>Loss</t>
        </is>
      </c>
      <c r="E339" s="19" t="n">
        <v>-32</v>
      </c>
      <c r="F339" s="19" t="n">
        <v>24.0650497006347</v>
      </c>
      <c r="G339" s="19" t="n">
        <v>23.5309998735675</v>
      </c>
      <c r="H339" s="19" t="n">
        <v>7.87563342971768</v>
      </c>
      <c r="I339" s="19" t="n">
        <v>829</v>
      </c>
      <c r="J339" s="19" t="n">
        <v>797</v>
      </c>
      <c r="K339" s="19" t="n">
        <v>7.91411033079235</v>
      </c>
    </row>
    <row r="340">
      <c r="A340" s="19" t="n">
        <v>20</v>
      </c>
      <c r="B340" s="19" t="inlineStr">
        <is>
          <t>Rocker</t>
        </is>
      </c>
      <c r="C340" s="19" t="inlineStr">
        <is>
          <t>Town</t>
        </is>
      </c>
      <c r="D340" s="19" t="inlineStr">
        <is>
          <t>Loss</t>
        </is>
      </c>
      <c r="E340" s="19" t="n">
        <v>-34</v>
      </c>
      <c r="F340" s="19" t="n">
        <v>23.6949024488307</v>
      </c>
      <c r="G340" s="19" t="n">
        <v>23.1288997653615</v>
      </c>
      <c r="H340" s="19" t="n">
        <v>8.105087170862269</v>
      </c>
      <c r="I340" s="19" t="n">
        <v>780</v>
      </c>
      <c r="J340" s="19" t="n">
        <v>746</v>
      </c>
      <c r="K340" s="19" t="n">
        <v>8.147757046644569</v>
      </c>
    </row>
    <row r="341">
      <c r="A341" s="19" t="n">
        <v>20</v>
      </c>
      <c r="B341" s="19" t="inlineStr">
        <is>
          <t>Yuzu</t>
        </is>
      </c>
      <c r="C341" s="19" t="inlineStr">
        <is>
          <t>Town</t>
        </is>
      </c>
      <c r="D341" s="19" t="inlineStr">
        <is>
          <t>Loss</t>
        </is>
      </c>
      <c r="E341" s="19" t="n">
        <v>-36</v>
      </c>
      <c r="F341" s="19" t="n">
        <v>25</v>
      </c>
      <c r="G341" s="19" t="n">
        <v>24.4079560326138</v>
      </c>
      <c r="H341" s="19" t="n">
        <v>8.28716972953263</v>
      </c>
      <c r="I341" s="19" t="n">
        <v>850</v>
      </c>
      <c r="J341" s="19" t="n">
        <v>814</v>
      </c>
      <c r="K341" s="19" t="n">
        <v>8.33333333333333</v>
      </c>
    </row>
    <row r="342">
      <c r="A342" s="19" t="n">
        <v>20</v>
      </c>
      <c r="B342" s="19" t="inlineStr">
        <is>
          <t>Drim</t>
        </is>
      </c>
      <c r="C342" s="19" t="inlineStr">
        <is>
          <t>Town</t>
        </is>
      </c>
      <c r="D342" s="19" t="inlineStr">
        <is>
          <t>Loss</t>
        </is>
      </c>
      <c r="E342" s="19" t="n">
        <v>-36</v>
      </c>
      <c r="F342" s="19" t="n">
        <v>25</v>
      </c>
      <c r="G342" s="19" t="n">
        <v>24.4079560326138</v>
      </c>
      <c r="H342" s="19" t="n">
        <v>8.28716972953263</v>
      </c>
      <c r="I342" s="19" t="n">
        <v>850</v>
      </c>
      <c r="J342" s="19" t="n">
        <v>814</v>
      </c>
      <c r="K342" s="19" t="n">
        <v>8.33333333333333</v>
      </c>
    </row>
    <row r="343">
      <c r="A343" s="19" t="n">
        <v>20</v>
      </c>
      <c r="B343" s="19" t="inlineStr">
        <is>
          <t>Happymeal</t>
        </is>
      </c>
      <c r="C343" s="19" t="inlineStr">
        <is>
          <t>Town</t>
        </is>
      </c>
      <c r="D343" s="19" t="inlineStr">
        <is>
          <t>Loss</t>
        </is>
      </c>
      <c r="E343" s="19" t="n">
        <v>-33</v>
      </c>
      <c r="F343" s="19" t="n">
        <v>24.3802568637997</v>
      </c>
      <c r="G343" s="19" t="n">
        <v>23.8368484036906</v>
      </c>
      <c r="H343" s="19" t="n">
        <v>7.94355677377715</v>
      </c>
      <c r="I343" s="19" t="n">
        <v>844</v>
      </c>
      <c r="J343" s="19" t="n">
        <v>811</v>
      </c>
      <c r="K343" s="19" t="n">
        <v>7.98325097200555</v>
      </c>
    </row>
    <row r="344">
      <c r="A344" s="19" t="n">
        <v>19</v>
      </c>
      <c r="B344" s="19" t="inlineStr">
        <is>
          <t>Maz</t>
        </is>
      </c>
      <c r="C344" s="19" t="inlineStr">
        <is>
          <t>Mafia</t>
        </is>
      </c>
      <c r="D344" s="19" t="inlineStr">
        <is>
          <t>Win</t>
        </is>
      </c>
      <c r="E344" s="19" t="n">
        <v>58</v>
      </c>
      <c r="F344" s="19" t="n">
        <v>26.2224564654911</v>
      </c>
      <c r="G344" s="19" t="n">
        <v>27.0057968671923</v>
      </c>
      <c r="H344" s="19" t="n">
        <v>7.7335084268562</v>
      </c>
      <c r="I344" s="19" t="n">
        <v>990</v>
      </c>
      <c r="J344" s="19" t="n">
        <v>1048</v>
      </c>
      <c r="K344" s="19" t="n">
        <v>7.77883672147543</v>
      </c>
    </row>
    <row r="345">
      <c r="A345" s="19" t="n">
        <v>19</v>
      </c>
      <c r="B345" s="19" t="inlineStr">
        <is>
          <t>Torharo</t>
        </is>
      </c>
      <c r="C345" s="19" t="inlineStr">
        <is>
          <t>Mafia</t>
        </is>
      </c>
      <c r="D345" s="19" t="inlineStr">
        <is>
          <t>Win</t>
        </is>
      </c>
      <c r="E345" s="19" t="n">
        <v>59</v>
      </c>
      <c r="F345" s="19" t="n">
        <v>25.0031240854725</v>
      </c>
      <c r="G345" s="19" t="n">
        <v>25.8081372481929</v>
      </c>
      <c r="H345" s="19" t="n">
        <v>7.83832202106871</v>
      </c>
      <c r="I345" s="19" t="n">
        <v>896</v>
      </c>
      <c r="J345" s="19" t="n">
        <v>955</v>
      </c>
      <c r="K345" s="19" t="n">
        <v>7.885869363188</v>
      </c>
    </row>
    <row r="346">
      <c r="A346" s="19" t="n">
        <v>19</v>
      </c>
      <c r="B346" s="19" t="inlineStr">
        <is>
          <t>Putinwalk</t>
        </is>
      </c>
      <c r="C346" s="19" t="inlineStr">
        <is>
          <t>Mafia</t>
        </is>
      </c>
      <c r="D346" s="19" t="inlineStr">
        <is>
          <t>Win</t>
        </is>
      </c>
      <c r="E346" s="19" t="n">
        <v>67</v>
      </c>
      <c r="F346" s="19" t="n">
        <v>25</v>
      </c>
      <c r="G346" s="19" t="n">
        <v>25.8988262265798</v>
      </c>
      <c r="H346" s="19" t="n">
        <v>8.275880245585389</v>
      </c>
      <c r="I346" s="19" t="n">
        <v>850</v>
      </c>
      <c r="J346" s="19" t="n">
        <v>917</v>
      </c>
      <c r="K346" s="19" t="n">
        <v>8.33333333333333</v>
      </c>
    </row>
    <row r="347">
      <c r="A347" s="19" t="n">
        <v>19</v>
      </c>
      <c r="B347" s="19" t="inlineStr">
        <is>
          <t>Raf</t>
        </is>
      </c>
      <c r="C347" s="19" t="inlineStr">
        <is>
          <t>Town</t>
        </is>
      </c>
      <c r="D347" s="19" t="inlineStr">
        <is>
          <t>Loss</t>
        </is>
      </c>
      <c r="E347" s="19" t="n">
        <v>-55</v>
      </c>
      <c r="F347" s="19" t="n">
        <v>24.4176315532745</v>
      </c>
      <c r="G347" s="19" t="n">
        <v>23.5284450506069</v>
      </c>
      <c r="H347" s="19" t="n">
        <v>8.23205503181612</v>
      </c>
      <c r="I347" s="19" t="n">
        <v>815</v>
      </c>
      <c r="J347" s="19" t="n">
        <v>760</v>
      </c>
      <c r="K347" s="19" t="n">
        <v>8.288468014224151</v>
      </c>
    </row>
    <row r="348">
      <c r="A348" s="19" t="n">
        <v>19</v>
      </c>
      <c r="B348" s="19" t="inlineStr">
        <is>
          <t>Noah</t>
        </is>
      </c>
      <c r="C348" s="19" t="inlineStr">
        <is>
          <t>Town</t>
        </is>
      </c>
      <c r="D348" s="19" t="inlineStr">
        <is>
          <t>Loss</t>
        </is>
      </c>
      <c r="E348" s="19" t="n">
        <v>-45</v>
      </c>
      <c r="F348" s="19" t="n">
        <v>29.6293771588242</v>
      </c>
      <c r="G348" s="19" t="n">
        <v>28.8999169856992</v>
      </c>
      <c r="H348" s="19" t="n">
        <v>7.46620791017695</v>
      </c>
      <c r="I348" s="19" t="n">
        <v>1249</v>
      </c>
      <c r="J348" s="19" t="n">
        <v>1204</v>
      </c>
      <c r="K348" s="19" t="n">
        <v>7.50613425618311</v>
      </c>
    </row>
    <row r="349">
      <c r="A349" s="19" t="n">
        <v>19</v>
      </c>
      <c r="B349" s="19" t="inlineStr">
        <is>
          <t>Streety</t>
        </is>
      </c>
      <c r="C349" s="19" t="inlineStr">
        <is>
          <t>Town</t>
        </is>
      </c>
      <c r="D349" s="19" t="inlineStr">
        <is>
          <t>Loss</t>
        </is>
      </c>
      <c r="E349" s="19" t="n">
        <v>-51</v>
      </c>
      <c r="F349" s="19" t="n">
        <v>24.8859259133118</v>
      </c>
      <c r="G349" s="19" t="n">
        <v>24.0650497006347</v>
      </c>
      <c r="H349" s="19" t="n">
        <v>7.91411033079235</v>
      </c>
      <c r="I349" s="19" t="n">
        <v>880</v>
      </c>
      <c r="J349" s="19" t="n">
        <v>829</v>
      </c>
      <c r="K349" s="19" t="n">
        <v>7.96329851101732</v>
      </c>
    </row>
    <row r="350">
      <c r="A350" s="19" t="n">
        <v>19</v>
      </c>
      <c r="B350" s="19" t="inlineStr">
        <is>
          <t>Hydro</t>
        </is>
      </c>
      <c r="C350" s="19" t="inlineStr">
        <is>
          <t>Town</t>
        </is>
      </c>
      <c r="D350" s="19" t="inlineStr">
        <is>
          <t>Loss</t>
        </is>
      </c>
      <c r="E350" s="19" t="n">
        <v>-53</v>
      </c>
      <c r="F350" s="19" t="n">
        <v>26.3320601745305</v>
      </c>
      <c r="G350" s="19" t="n">
        <v>25.4737002862996</v>
      </c>
      <c r="H350" s="19" t="n">
        <v>8.090214595233521</v>
      </c>
      <c r="I350" s="19" t="n">
        <v>960</v>
      </c>
      <c r="J350" s="19" t="n">
        <v>907</v>
      </c>
      <c r="K350" s="19" t="n">
        <v>8.14333545564412</v>
      </c>
    </row>
    <row r="351">
      <c r="A351" s="19" t="n">
        <v>19</v>
      </c>
      <c r="B351" s="19" t="inlineStr">
        <is>
          <t>Guy</t>
        </is>
      </c>
      <c r="C351" s="19" t="inlineStr">
        <is>
          <t>Town</t>
        </is>
      </c>
      <c r="D351" s="19" t="inlineStr">
        <is>
          <t>Loss</t>
        </is>
      </c>
      <c r="E351" s="19" t="n">
        <v>-55</v>
      </c>
      <c r="F351" s="19" t="n">
        <v>24.4176315532745</v>
      </c>
      <c r="G351" s="19" t="n">
        <v>23.5284450506069</v>
      </c>
      <c r="H351" s="19" t="n">
        <v>8.23205503181612</v>
      </c>
      <c r="I351" s="19" t="n">
        <v>815</v>
      </c>
      <c r="J351" s="19" t="n">
        <v>760</v>
      </c>
      <c r="K351" s="19" t="n">
        <v>8.288468014224151</v>
      </c>
    </row>
    <row r="352">
      <c r="A352" s="19" t="n">
        <v>19</v>
      </c>
      <c r="B352" s="19" t="inlineStr">
        <is>
          <t>Machop</t>
        </is>
      </c>
      <c r="C352" s="19" t="inlineStr">
        <is>
          <t>Town</t>
        </is>
      </c>
      <c r="D352" s="19" t="inlineStr">
        <is>
          <t>Loss</t>
        </is>
      </c>
      <c r="E352" s="19" t="n">
        <v>-46</v>
      </c>
      <c r="F352" s="19" t="n">
        <v>29.5558649954088</v>
      </c>
      <c r="G352" s="19" t="n">
        <v>28.8175813055044</v>
      </c>
      <c r="H352" s="19" t="n">
        <v>7.51066711125846</v>
      </c>
      <c r="I352" s="19" t="n">
        <v>1240</v>
      </c>
      <c r="J352" s="19" t="n">
        <v>1194</v>
      </c>
      <c r="K352" s="19" t="n">
        <v>7.55146680962023</v>
      </c>
    </row>
    <row r="353">
      <c r="A353" s="19" t="n">
        <v>19</v>
      </c>
      <c r="B353" s="19" t="inlineStr">
        <is>
          <t>Dani</t>
        </is>
      </c>
      <c r="C353" s="19" t="inlineStr">
        <is>
          <t>Town</t>
        </is>
      </c>
      <c r="D353" s="19" t="inlineStr">
        <is>
          <t>Loss</t>
        </is>
      </c>
      <c r="E353" s="19" t="n">
        <v>-54</v>
      </c>
      <c r="F353" s="19" t="n">
        <v>26.9082928006207</v>
      </c>
      <c r="G353" s="19" t="n">
        <v>26.0334214417635</v>
      </c>
      <c r="H353" s="19" t="n">
        <v>8.16651281321608</v>
      </c>
      <c r="I353" s="19" t="n">
        <v>991</v>
      </c>
      <c r="J353" s="19" t="n">
        <v>937</v>
      </c>
      <c r="K353" s="19" t="n">
        <v>8.221390553212631</v>
      </c>
    </row>
    <row r="354">
      <c r="A354" s="19" t="n">
        <v>19</v>
      </c>
      <c r="B354" s="19" t="inlineStr">
        <is>
          <t>Kny</t>
        </is>
      </c>
      <c r="C354" s="19" t="inlineStr">
        <is>
          <t>Town</t>
        </is>
      </c>
      <c r="D354" s="19" t="inlineStr">
        <is>
          <t>Loss</t>
        </is>
      </c>
      <c r="E354" s="19" t="n">
        <v>-48</v>
      </c>
      <c r="F354" s="19" t="n">
        <v>26.6734563779281</v>
      </c>
      <c r="G354" s="19" t="n">
        <v>25.8923525617304</v>
      </c>
      <c r="H354" s="19" t="n">
        <v>7.72260642144314</v>
      </c>
      <c r="I354" s="19" t="n">
        <v>1021</v>
      </c>
      <c r="J354" s="19" t="n">
        <v>973</v>
      </c>
      <c r="K354" s="19" t="n">
        <v>7.76770721516233</v>
      </c>
    </row>
    <row r="355">
      <c r="A355" s="19" t="n">
        <v>19</v>
      </c>
      <c r="B355" s="19" t="inlineStr">
        <is>
          <t>Happymeal</t>
        </is>
      </c>
      <c r="C355" s="19" t="inlineStr">
        <is>
          <t>Town</t>
        </is>
      </c>
      <c r="D355" s="19" t="inlineStr">
        <is>
          <t>Loss</t>
        </is>
      </c>
      <c r="E355" s="19" t="n">
        <v>-51</v>
      </c>
      <c r="F355" s="19" t="n">
        <v>25.2157455140199</v>
      </c>
      <c r="G355" s="19" t="n">
        <v>24.3802568637997</v>
      </c>
      <c r="H355" s="19" t="n">
        <v>7.98325097200555</v>
      </c>
      <c r="I355" s="19" t="n">
        <v>895</v>
      </c>
      <c r="J355" s="19" t="n">
        <v>844</v>
      </c>
      <c r="K355" s="19" t="n">
        <v>8.033963008735659</v>
      </c>
    </row>
    <row r="356">
      <c r="A356" s="19" t="n">
        <v>19</v>
      </c>
      <c r="B356" s="19" t="inlineStr">
        <is>
          <t>Ghostie</t>
        </is>
      </c>
      <c r="C356" s="19" t="inlineStr">
        <is>
          <t>Town</t>
        </is>
      </c>
      <c r="D356" s="19" t="inlineStr">
        <is>
          <t>Loss</t>
        </is>
      </c>
      <c r="E356" s="19" t="n">
        <v>-55</v>
      </c>
      <c r="F356" s="19" t="n">
        <v>24.1510732254033</v>
      </c>
      <c r="G356" s="19" t="n">
        <v>23.2638908947307</v>
      </c>
      <c r="H356" s="19" t="n">
        <v>8.222912273176229</v>
      </c>
      <c r="I356" s="19" t="n">
        <v>798</v>
      </c>
      <c r="J356" s="19" t="n">
        <v>743</v>
      </c>
      <c r="K356" s="19" t="n">
        <v>8.279109643888139</v>
      </c>
    </row>
    <row r="357">
      <c r="A357" s="19" t="n">
        <v>18</v>
      </c>
      <c r="B357" s="19" t="inlineStr">
        <is>
          <t>Mintt</t>
        </is>
      </c>
      <c r="C357" s="19" t="inlineStr">
        <is>
          <t>Mafia</t>
        </is>
      </c>
      <c r="D357" s="19" t="inlineStr">
        <is>
          <t>Win</t>
        </is>
      </c>
      <c r="E357" s="19" t="n">
        <v>43</v>
      </c>
      <c r="F357" s="19" t="n">
        <v>24.3133205523394</v>
      </c>
      <c r="G357" s="19" t="n">
        <v>24.8898917244078</v>
      </c>
      <c r="H357" s="19" t="n">
        <v>8.24760978249345</v>
      </c>
      <c r="I357" s="19" t="n">
        <v>808</v>
      </c>
      <c r="J357" s="19" t="n">
        <v>851</v>
      </c>
      <c r="K357" s="19" t="n">
        <v>8.291697854815711</v>
      </c>
    </row>
    <row r="358">
      <c r="A358" s="19" t="n">
        <v>18</v>
      </c>
      <c r="B358" s="19" t="inlineStr">
        <is>
          <t>Dani</t>
        </is>
      </c>
      <c r="C358" s="19" t="inlineStr">
        <is>
          <t>Mafia</t>
        </is>
      </c>
      <c r="D358" s="19" t="inlineStr">
        <is>
          <t>Win</t>
        </is>
      </c>
      <c r="E358" s="19" t="n">
        <v>43</v>
      </c>
      <c r="F358" s="19" t="n">
        <v>26.3354259760463</v>
      </c>
      <c r="G358" s="19" t="n">
        <v>26.9082928006207</v>
      </c>
      <c r="H358" s="19" t="n">
        <v>8.221390553212631</v>
      </c>
      <c r="I358" s="19" t="n">
        <v>948</v>
      </c>
      <c r="J358" s="19" t="n">
        <v>991</v>
      </c>
      <c r="K358" s="19" t="n">
        <v>8.264983753096059</v>
      </c>
    </row>
    <row r="359">
      <c r="A359" s="19" t="n">
        <v>18</v>
      </c>
      <c r="B359" s="19" t="inlineStr">
        <is>
          <t>Noah</t>
        </is>
      </c>
      <c r="C359" s="19" t="inlineStr">
        <is>
          <t>Mafia</t>
        </is>
      </c>
      <c r="D359" s="19" t="inlineStr">
        <is>
          <t>Win</t>
        </is>
      </c>
      <c r="E359" s="19" t="n">
        <v>35</v>
      </c>
      <c r="F359" s="19" t="n">
        <v>29.1528110380013</v>
      </c>
      <c r="G359" s="19" t="n">
        <v>29.6293771588242</v>
      </c>
      <c r="H359" s="19" t="n">
        <v>7.50613425618311</v>
      </c>
      <c r="I359" s="19" t="n">
        <v>1214</v>
      </c>
      <c r="J359" s="19" t="n">
        <v>1249</v>
      </c>
      <c r="K359" s="19" t="n">
        <v>7.53735430851436</v>
      </c>
    </row>
    <row r="360">
      <c r="A360" s="19" t="n">
        <v>18</v>
      </c>
      <c r="B360" s="19" t="inlineStr">
        <is>
          <t>Vandy</t>
        </is>
      </c>
      <c r="C360" s="19" t="inlineStr">
        <is>
          <t>Town</t>
        </is>
      </c>
      <c r="D360" s="19" t="inlineStr">
        <is>
          <t>Loss</t>
        </is>
      </c>
      <c r="E360" s="19" t="n">
        <v>-35</v>
      </c>
      <c r="F360" s="19" t="n">
        <v>25.7741092017007</v>
      </c>
      <c r="G360" s="19" t="n">
        <v>25.1989271544239</v>
      </c>
      <c r="H360" s="19" t="n">
        <v>8.23778787095447</v>
      </c>
      <c r="I360" s="19" t="n">
        <v>908</v>
      </c>
      <c r="J360" s="19" t="n">
        <v>873</v>
      </c>
      <c r="K360" s="19" t="n">
        <v>8.281690204646891</v>
      </c>
    </row>
    <row r="361">
      <c r="A361" s="19" t="n">
        <v>18</v>
      </c>
      <c r="B361" s="19" t="inlineStr">
        <is>
          <t>Machop</t>
        </is>
      </c>
      <c r="C361" s="19" t="inlineStr">
        <is>
          <t>Town</t>
        </is>
      </c>
      <c r="D361" s="19" t="inlineStr">
        <is>
          <t>Loss</t>
        </is>
      </c>
      <c r="E361" s="19" t="n">
        <v>-29</v>
      </c>
      <c r="F361" s="19" t="n">
        <v>30.0382634896457</v>
      </c>
      <c r="G361" s="19" t="n">
        <v>29.5558649954088</v>
      </c>
      <c r="H361" s="19" t="n">
        <v>7.55146680962023</v>
      </c>
      <c r="I361" s="19" t="n">
        <v>1269</v>
      </c>
      <c r="J361" s="19" t="n">
        <v>1240</v>
      </c>
      <c r="K361" s="19" t="n">
        <v>7.58340898749225</v>
      </c>
    </row>
    <row r="362">
      <c r="A362" s="19" t="n">
        <v>18</v>
      </c>
      <c r="B362" s="19" t="inlineStr">
        <is>
          <t>Justice</t>
        </is>
      </c>
      <c r="C362" s="19" t="inlineStr">
        <is>
          <t>Town</t>
        </is>
      </c>
      <c r="D362" s="19" t="inlineStr">
        <is>
          <t>Loss</t>
        </is>
      </c>
      <c r="E362" s="19" t="n">
        <v>-30</v>
      </c>
      <c r="F362" s="19" t="n">
        <v>23.7894998727814</v>
      </c>
      <c r="G362" s="19" t="n">
        <v>23.2949070502391</v>
      </c>
      <c r="H362" s="19" t="n">
        <v>7.6453442409299</v>
      </c>
      <c r="I362" s="19" t="n">
        <v>834</v>
      </c>
      <c r="J362" s="19" t="n">
        <v>804</v>
      </c>
      <c r="K362" s="19" t="n">
        <v>7.67880767973915</v>
      </c>
    </row>
    <row r="363">
      <c r="A363" s="19" t="n">
        <v>18</v>
      </c>
      <c r="B363" s="19" t="inlineStr">
        <is>
          <t>Siggywiggy</t>
        </is>
      </c>
      <c r="C363" s="19" t="inlineStr">
        <is>
          <t>Town</t>
        </is>
      </c>
      <c r="D363" s="19" t="inlineStr">
        <is>
          <t>Loss</t>
        </is>
      </c>
      <c r="E363" s="19" t="n">
        <v>-31</v>
      </c>
      <c r="F363" s="19" t="n">
        <v>21.5879293602682</v>
      </c>
      <c r="G363" s="19" t="n">
        <v>21.0635495264894</v>
      </c>
      <c r="H363" s="19" t="n">
        <v>7.86975514169674</v>
      </c>
      <c r="I363" s="19" t="n">
        <v>661</v>
      </c>
      <c r="J363" s="19" t="n">
        <v>630</v>
      </c>
      <c r="K363" s="19" t="n">
        <v>7.90699934992405</v>
      </c>
    </row>
    <row r="364">
      <c r="A364" s="19" t="n">
        <v>18</v>
      </c>
      <c r="B364" s="19" t="inlineStr">
        <is>
          <t>Kny</t>
        </is>
      </c>
      <c r="C364" s="19" t="inlineStr">
        <is>
          <t>Town</t>
        </is>
      </c>
      <c r="D364" s="19" t="inlineStr">
        <is>
          <t>Loss</t>
        </is>
      </c>
      <c r="E364" s="19" t="n">
        <v>-32</v>
      </c>
      <c r="F364" s="19" t="n">
        <v>27.1841794859267</v>
      </c>
      <c r="G364" s="19" t="n">
        <v>26.6734563779281</v>
      </c>
      <c r="H364" s="19" t="n">
        <v>7.76770721516233</v>
      </c>
      <c r="I364" s="19" t="n">
        <v>1053</v>
      </c>
      <c r="J364" s="19" t="n">
        <v>1021</v>
      </c>
      <c r="K364" s="19" t="n">
        <v>7.80320663730515</v>
      </c>
    </row>
    <row r="365">
      <c r="A365" s="19" t="n">
        <v>18</v>
      </c>
      <c r="B365" s="19" t="inlineStr">
        <is>
          <t>Chester</t>
        </is>
      </c>
      <c r="C365" s="19" t="inlineStr">
        <is>
          <t>Town</t>
        </is>
      </c>
      <c r="D365" s="19" t="inlineStr">
        <is>
          <t>Loss</t>
        </is>
      </c>
      <c r="E365" s="19" t="n">
        <v>-35</v>
      </c>
      <c r="F365" s="19" t="n">
        <v>24.2063198383895</v>
      </c>
      <c r="G365" s="19" t="n">
        <v>23.6314833591642</v>
      </c>
      <c r="H365" s="19" t="n">
        <v>8.235342596807619</v>
      </c>
      <c r="I365" s="19" t="n">
        <v>802</v>
      </c>
      <c r="J365" s="19" t="n">
        <v>767</v>
      </c>
      <c r="K365" s="19" t="n">
        <v>8.27919875513054</v>
      </c>
    </row>
    <row r="366">
      <c r="A366" s="19" t="n">
        <v>18</v>
      </c>
      <c r="B366" s="19" t="inlineStr">
        <is>
          <t>Carson</t>
        </is>
      </c>
      <c r="C366" s="19" t="inlineStr">
        <is>
          <t>Town</t>
        </is>
      </c>
      <c r="D366" s="19" t="inlineStr">
        <is>
          <t>Loss</t>
        </is>
      </c>
      <c r="E366" s="19" t="n">
        <v>-30</v>
      </c>
      <c r="F366" s="19" t="n">
        <v>22.7543889542737</v>
      </c>
      <c r="G366" s="19" t="n">
        <v>22.2659617725379</v>
      </c>
      <c r="H366" s="19" t="n">
        <v>7.59802935979271</v>
      </c>
      <c r="I366" s="19" t="n">
        <v>769</v>
      </c>
      <c r="J366" s="19" t="n">
        <v>739</v>
      </c>
      <c r="K366" s="19" t="n">
        <v>7.63072169296293</v>
      </c>
    </row>
    <row r="367">
      <c r="A367" s="19" t="n">
        <v>18</v>
      </c>
      <c r="B367" s="19" t="inlineStr">
        <is>
          <t>Raf</t>
        </is>
      </c>
      <c r="C367" s="19" t="inlineStr">
        <is>
          <t>Town</t>
        </is>
      </c>
      <c r="D367" s="19" t="inlineStr">
        <is>
          <t>Loss</t>
        </is>
      </c>
      <c r="E367" s="19" t="n">
        <v>-35</v>
      </c>
      <c r="F367" s="19" t="n">
        <v>25</v>
      </c>
      <c r="G367" s="19" t="n">
        <v>24.4176315532745</v>
      </c>
      <c r="H367" s="19" t="n">
        <v>8.288468014224151</v>
      </c>
      <c r="I367" s="19" t="n">
        <v>850</v>
      </c>
      <c r="J367" s="19" t="n">
        <v>815</v>
      </c>
      <c r="K367" s="19" t="n">
        <v>8.33333333333333</v>
      </c>
    </row>
    <row r="368">
      <c r="A368" s="19" t="n">
        <v>18</v>
      </c>
      <c r="B368" s="19" t="inlineStr">
        <is>
          <t>Guy</t>
        </is>
      </c>
      <c r="C368" s="19" t="inlineStr">
        <is>
          <t>Town</t>
        </is>
      </c>
      <c r="D368" s="19" t="inlineStr">
        <is>
          <t>Loss</t>
        </is>
      </c>
      <c r="E368" s="19" t="n">
        <v>-35</v>
      </c>
      <c r="F368" s="19" t="n">
        <v>25</v>
      </c>
      <c r="G368" s="19" t="n">
        <v>24.4176315532745</v>
      </c>
      <c r="H368" s="19" t="n">
        <v>8.288468014224151</v>
      </c>
      <c r="I368" s="19" t="n">
        <v>850</v>
      </c>
      <c r="J368" s="19" t="n">
        <v>815</v>
      </c>
      <c r="K368" s="19" t="n">
        <v>8.33333333333333</v>
      </c>
    </row>
    <row r="369">
      <c r="A369" s="19" t="n">
        <v>18</v>
      </c>
      <c r="B369" s="19" t="inlineStr">
        <is>
          <t>Younguns</t>
        </is>
      </c>
      <c r="C369" s="19" t="inlineStr">
        <is>
          <t>Town</t>
        </is>
      </c>
      <c r="D369" s="19" t="inlineStr">
        <is>
          <t>Loss</t>
        </is>
      </c>
      <c r="E369" s="19" t="n">
        <v>-35</v>
      </c>
      <c r="F369" s="19" t="n">
        <v>25</v>
      </c>
      <c r="G369" s="19" t="n">
        <v>24.4176315532745</v>
      </c>
      <c r="H369" s="19" t="n">
        <v>8.288468014224151</v>
      </c>
      <c r="I369" s="19" t="n">
        <v>850</v>
      </c>
      <c r="J369" s="19" t="n">
        <v>815</v>
      </c>
      <c r="K369" s="19" t="n">
        <v>8.33333333333333</v>
      </c>
    </row>
    <row r="370">
      <c r="A370" s="19" t="n">
        <v>17</v>
      </c>
      <c r="B370" s="19" t="inlineStr">
        <is>
          <t>Noah</t>
        </is>
      </c>
      <c r="C370" s="19" t="inlineStr">
        <is>
          <t>Mafia</t>
        </is>
      </c>
      <c r="D370" s="19" t="inlineStr">
        <is>
          <t>Win</t>
        </is>
      </c>
      <c r="E370" s="19" t="n">
        <v>49</v>
      </c>
      <c r="F370" s="19" t="n">
        <v>28.496632241835</v>
      </c>
      <c r="G370" s="19" t="n">
        <v>29.1528110380013</v>
      </c>
      <c r="H370" s="19" t="n">
        <v>7.53735430851436</v>
      </c>
      <c r="I370" s="19" t="n">
        <v>1165</v>
      </c>
      <c r="J370" s="19" t="n">
        <v>1214</v>
      </c>
      <c r="K370" s="19" t="n">
        <v>7.57614203127592</v>
      </c>
    </row>
    <row r="371">
      <c r="A371" s="19" t="n">
        <v>17</v>
      </c>
      <c r="B371" s="19" t="inlineStr">
        <is>
          <t>Justice</t>
        </is>
      </c>
      <c r="C371" s="19" t="inlineStr">
        <is>
          <t>Mafia</t>
        </is>
      </c>
      <c r="D371" s="19" t="inlineStr">
        <is>
          <t>Win</t>
        </is>
      </c>
      <c r="E371" s="19" t="n">
        <v>50</v>
      </c>
      <c r="F371" s="19" t="n">
        <v>23.1081498826078</v>
      </c>
      <c r="G371" s="19" t="n">
        <v>23.7894998727814</v>
      </c>
      <c r="H371" s="19" t="n">
        <v>7.67880767973915</v>
      </c>
      <c r="I371" s="19" t="n">
        <v>784</v>
      </c>
      <c r="J371" s="19" t="n">
        <v>834</v>
      </c>
      <c r="K371" s="19" t="n">
        <v>7.7203096029084</v>
      </c>
    </row>
    <row r="372">
      <c r="A372" s="19" t="n">
        <v>17</v>
      </c>
      <c r="B372" s="19" t="inlineStr">
        <is>
          <t>Keegan</t>
        </is>
      </c>
      <c r="C372" s="19" t="inlineStr">
        <is>
          <t>Mafia</t>
        </is>
      </c>
      <c r="D372" s="19" t="inlineStr">
        <is>
          <t>Win</t>
        </is>
      </c>
      <c r="E372" s="19" t="n">
        <v>58</v>
      </c>
      <c r="F372" s="19" t="n">
        <v>23.0574114559316</v>
      </c>
      <c r="G372" s="19" t="n">
        <v>23.8301349600018</v>
      </c>
      <c r="H372" s="19" t="n">
        <v>8.170720324981749</v>
      </c>
      <c r="I372" s="19" t="n">
        <v>729</v>
      </c>
      <c r="J372" s="19" t="n">
        <v>787</v>
      </c>
      <c r="K372" s="19" t="n">
        <v>8.22243445482931</v>
      </c>
    </row>
    <row r="373">
      <c r="A373" s="19" t="n">
        <v>17</v>
      </c>
      <c r="B373" s="19" t="inlineStr">
        <is>
          <t>Happymeal</t>
        </is>
      </c>
      <c r="C373" s="19" t="inlineStr">
        <is>
          <t>Town</t>
        </is>
      </c>
      <c r="D373" s="19" t="inlineStr">
        <is>
          <t>Loss</t>
        </is>
      </c>
      <c r="E373" s="19" t="n">
        <v>-46</v>
      </c>
      <c r="F373" s="19" t="n">
        <v>25.9624656273455</v>
      </c>
      <c r="G373" s="19" t="n">
        <v>25.2157455140199</v>
      </c>
      <c r="H373" s="19" t="n">
        <v>8.033963008735659</v>
      </c>
      <c r="I373" s="19" t="n">
        <v>941</v>
      </c>
      <c r="J373" s="19" t="n">
        <v>895</v>
      </c>
      <c r="K373" s="19" t="n">
        <v>8.08271409797038</v>
      </c>
    </row>
    <row r="374">
      <c r="A374" s="19" t="n">
        <v>17</v>
      </c>
      <c r="B374" s="19" t="inlineStr">
        <is>
          <t>Sam</t>
        </is>
      </c>
      <c r="C374" s="19" t="inlineStr">
        <is>
          <t>Town</t>
        </is>
      </c>
      <c r="D374" s="19" t="inlineStr">
        <is>
          <t>Loss</t>
        </is>
      </c>
      <c r="E374" s="19" t="n">
        <v>-48</v>
      </c>
      <c r="F374" s="19" t="n">
        <v>23.6645740239536</v>
      </c>
      <c r="G374" s="19" t="n">
        <v>22.8838431370623</v>
      </c>
      <c r="H374" s="19" t="n">
        <v>8.21234819586736</v>
      </c>
      <c r="I374" s="19" t="n">
        <v>766</v>
      </c>
      <c r="J374" s="19" t="n">
        <v>718</v>
      </c>
      <c r="K374" s="19" t="n">
        <v>8.264983753096059</v>
      </c>
    </row>
    <row r="375">
      <c r="A375" s="19" t="n">
        <v>17</v>
      </c>
      <c r="B375" s="19" t="inlineStr">
        <is>
          <t>Rocker</t>
        </is>
      </c>
      <c r="C375" s="19" t="inlineStr">
        <is>
          <t>Town</t>
        </is>
      </c>
      <c r="D375" s="19" t="inlineStr">
        <is>
          <t>Loss</t>
        </is>
      </c>
      <c r="E375" s="19" t="n">
        <v>-47</v>
      </c>
      <c r="F375" s="19" t="n">
        <v>24.4632272429151</v>
      </c>
      <c r="G375" s="19" t="n">
        <v>23.6949024488307</v>
      </c>
      <c r="H375" s="19" t="n">
        <v>8.147757046644569</v>
      </c>
      <c r="I375" s="19" t="n">
        <v>827</v>
      </c>
      <c r="J375" s="19" t="n">
        <v>780</v>
      </c>
      <c r="K375" s="19" t="n">
        <v>8.198966806046119</v>
      </c>
    </row>
    <row r="376">
      <c r="A376" s="19" t="n">
        <v>17</v>
      </c>
      <c r="B376" s="19" t="inlineStr">
        <is>
          <t>Carson</t>
        </is>
      </c>
      <c r="C376" s="19" t="inlineStr">
        <is>
          <t>Town</t>
        </is>
      </c>
      <c r="D376" s="19" t="inlineStr">
        <is>
          <t>Loss</t>
        </is>
      </c>
      <c r="E376" s="19" t="n">
        <v>-42</v>
      </c>
      <c r="F376" s="19" t="n">
        <v>23.4271270664226</v>
      </c>
      <c r="G376" s="19" t="n">
        <v>22.7543889542737</v>
      </c>
      <c r="H376" s="19" t="n">
        <v>7.63072169296293</v>
      </c>
      <c r="I376" s="19" t="n">
        <v>811</v>
      </c>
      <c r="J376" s="19" t="n">
        <v>769</v>
      </c>
      <c r="K376" s="19" t="n">
        <v>7.67129013722159</v>
      </c>
    </row>
    <row r="377">
      <c r="A377" s="19" t="n">
        <v>17</v>
      </c>
      <c r="B377" s="19" t="inlineStr">
        <is>
          <t>Siggywiggy</t>
        </is>
      </c>
      <c r="C377" s="19" t="inlineStr">
        <is>
          <t>Town</t>
        </is>
      </c>
      <c r="D377" s="19" t="inlineStr">
        <is>
          <t>Loss</t>
        </is>
      </c>
      <c r="E377" s="19" t="n">
        <v>-45</v>
      </c>
      <c r="F377" s="19" t="n">
        <v>22.3109229007738</v>
      </c>
      <c r="G377" s="19" t="n">
        <v>21.5879293602682</v>
      </c>
      <c r="H377" s="19" t="n">
        <v>7.90699934992405</v>
      </c>
      <c r="I377" s="19" t="n">
        <v>706</v>
      </c>
      <c r="J377" s="19" t="n">
        <v>661</v>
      </c>
      <c r="K377" s="19" t="n">
        <v>7.9530860924205</v>
      </c>
    </row>
    <row r="378">
      <c r="A378" s="19" t="n">
        <v>17</v>
      </c>
      <c r="B378" s="19" t="inlineStr">
        <is>
          <t>Pinkee</t>
        </is>
      </c>
      <c r="C378" s="19" t="inlineStr">
        <is>
          <t>Town</t>
        </is>
      </c>
      <c r="D378" s="19" t="inlineStr">
        <is>
          <t>Loss</t>
        </is>
      </c>
      <c r="E378" s="19" t="n">
        <v>-48</v>
      </c>
      <c r="F378" s="19" t="n">
        <v>26.3091202145662</v>
      </c>
      <c r="G378" s="19" t="n">
        <v>25.528034091567</v>
      </c>
      <c r="H378" s="19" t="n">
        <v>8.214189785834449</v>
      </c>
      <c r="I378" s="19" t="n">
        <v>946</v>
      </c>
      <c r="J378" s="19" t="n">
        <v>898</v>
      </c>
      <c r="K378" s="19" t="n">
        <v>8.26686631865523</v>
      </c>
    </row>
    <row r="379">
      <c r="A379" s="19" t="n">
        <v>17</v>
      </c>
      <c r="B379" s="19" t="inlineStr">
        <is>
          <t>Whyin</t>
        </is>
      </c>
      <c r="C379" s="19" t="inlineStr">
        <is>
          <t>Town</t>
        </is>
      </c>
      <c r="D379" s="19" t="inlineStr">
        <is>
          <t>Loss</t>
        </is>
      </c>
      <c r="E379" s="19" t="n">
        <v>-45</v>
      </c>
      <c r="F379" s="19" t="n">
        <v>22.8515460031792</v>
      </c>
      <c r="G379" s="19" t="n">
        <v>22.1237380128346</v>
      </c>
      <c r="H379" s="19" t="n">
        <v>7.93293537553495</v>
      </c>
      <c r="I379" s="19" t="n">
        <v>740</v>
      </c>
      <c r="J379" s="19" t="n">
        <v>695</v>
      </c>
      <c r="K379" s="19" t="n">
        <v>7.97955970621447</v>
      </c>
    </row>
    <row r="380">
      <c r="A380" s="19" t="n">
        <v>17</v>
      </c>
      <c r="B380" s="19" t="inlineStr">
        <is>
          <t>Kny</t>
        </is>
      </c>
      <c r="C380" s="19" t="inlineStr">
        <is>
          <t>Town</t>
        </is>
      </c>
      <c r="D380" s="19" t="inlineStr">
        <is>
          <t>Loss</t>
        </is>
      </c>
      <c r="E380" s="19" t="n">
        <v>-43</v>
      </c>
      <c r="F380" s="19" t="n">
        <v>27.8880724057528</v>
      </c>
      <c r="G380" s="19" t="n">
        <v>27.1841794859267</v>
      </c>
      <c r="H380" s="19" t="n">
        <v>7.80320663730515</v>
      </c>
      <c r="I380" s="19" t="n">
        <v>1096</v>
      </c>
      <c r="J380" s="19" t="n">
        <v>1053</v>
      </c>
      <c r="K380" s="19" t="n">
        <v>7.84717592486592</v>
      </c>
    </row>
    <row r="381">
      <c r="A381" s="19" t="n">
        <v>17</v>
      </c>
      <c r="B381" s="19" t="inlineStr">
        <is>
          <t>Maz</t>
        </is>
      </c>
      <c r="C381" s="19" t="inlineStr">
        <is>
          <t>Town</t>
        </is>
      </c>
      <c r="D381" s="19" t="inlineStr">
        <is>
          <t>Loss</t>
        </is>
      </c>
      <c r="E381" s="19" t="n">
        <v>-43</v>
      </c>
      <c r="F381" s="19" t="n">
        <v>26.9219031843711</v>
      </c>
      <c r="G381" s="19" t="n">
        <v>26.2224564654911</v>
      </c>
      <c r="H381" s="19" t="n">
        <v>7.77883672147543</v>
      </c>
      <c r="I381" s="19" t="n">
        <v>1033</v>
      </c>
      <c r="J381" s="19" t="n">
        <v>990</v>
      </c>
      <c r="K381" s="19" t="n">
        <v>7.8223166407357</v>
      </c>
    </row>
    <row r="382">
      <c r="A382" s="19" t="n">
        <v>17</v>
      </c>
      <c r="B382" s="19" t="inlineStr">
        <is>
          <t>Chester</t>
        </is>
      </c>
      <c r="C382" s="19" t="inlineStr">
        <is>
          <t>Town</t>
        </is>
      </c>
      <c r="D382" s="19" t="inlineStr">
        <is>
          <t>Loss</t>
        </is>
      </c>
      <c r="E382" s="19" t="n">
        <v>-48</v>
      </c>
      <c r="F382" s="19" t="n">
        <v>25</v>
      </c>
      <c r="G382" s="19" t="n">
        <v>24.2063198383895</v>
      </c>
      <c r="H382" s="19" t="n">
        <v>8.27919875513054</v>
      </c>
      <c r="I382" s="19" t="n">
        <v>850</v>
      </c>
      <c r="J382" s="19" t="n">
        <v>802</v>
      </c>
      <c r="K382" s="19" t="n">
        <v>8.33333333333333</v>
      </c>
    </row>
    <row r="383">
      <c r="A383" s="19" t="n">
        <v>16</v>
      </c>
      <c r="B383" s="19" t="inlineStr">
        <is>
          <t>Carson</t>
        </is>
      </c>
      <c r="C383" s="19" t="inlineStr">
        <is>
          <t>Mafia</t>
        </is>
      </c>
      <c r="D383" s="19" t="inlineStr">
        <is>
          <t>Loss</t>
        </is>
      </c>
      <c r="E383" s="19" t="n">
        <v>-72</v>
      </c>
      <c r="F383" s="19" t="n">
        <v>24.5707834209116</v>
      </c>
      <c r="G383" s="19" t="n">
        <v>23.4271270664226</v>
      </c>
      <c r="H383" s="19" t="n">
        <v>7.67129013722159</v>
      </c>
      <c r="I383" s="19" t="n">
        <v>883</v>
      </c>
      <c r="J383" s="19" t="n">
        <v>811</v>
      </c>
      <c r="K383" s="19" t="n">
        <v>7.7248360790175</v>
      </c>
    </row>
    <row r="384">
      <c r="A384" s="19" t="n">
        <v>16</v>
      </c>
      <c r="B384" s="19" t="inlineStr">
        <is>
          <t>AsianSam</t>
        </is>
      </c>
      <c r="C384" s="19" t="inlineStr">
        <is>
          <t>Mafia</t>
        </is>
      </c>
      <c r="D384" s="19" t="inlineStr">
        <is>
          <t>Loss</t>
        </is>
      </c>
      <c r="E384" s="19" t="n">
        <v>-80</v>
      </c>
      <c r="F384" s="19" t="n">
        <v>26.3400607005702</v>
      </c>
      <c r="G384" s="19" t="n">
        <v>25.0586980276999</v>
      </c>
      <c r="H384" s="19" t="n">
        <v>8.11241241710975</v>
      </c>
      <c r="I384" s="19" t="n">
        <v>957</v>
      </c>
      <c r="J384" s="19" t="n">
        <v>877</v>
      </c>
      <c r="K384" s="19" t="n">
        <v>8.17735264101773</v>
      </c>
    </row>
    <row r="385">
      <c r="A385" s="19" t="n">
        <v>16</v>
      </c>
      <c r="B385" s="19" t="inlineStr">
        <is>
          <t>Siggywiggy</t>
        </is>
      </c>
      <c r="C385" s="19" t="inlineStr">
        <is>
          <t>Mafia</t>
        </is>
      </c>
      <c r="D385" s="19" t="inlineStr">
        <is>
          <t>Loss</t>
        </is>
      </c>
      <c r="E385" s="19" t="n">
        <v>-77</v>
      </c>
      <c r="F385" s="19" t="n">
        <v>23.5415992720876</v>
      </c>
      <c r="G385" s="19" t="n">
        <v>22.3109229007738</v>
      </c>
      <c r="H385" s="19" t="n">
        <v>7.9530860924205</v>
      </c>
      <c r="I385" s="19" t="n">
        <v>783</v>
      </c>
      <c r="J385" s="19" t="n">
        <v>706</v>
      </c>
      <c r="K385" s="19" t="n">
        <v>8.01376469573108</v>
      </c>
    </row>
    <row r="386">
      <c r="A386" s="19" t="n">
        <v>16</v>
      </c>
      <c r="B386" s="19" t="inlineStr">
        <is>
          <t>Torharo</t>
        </is>
      </c>
      <c r="C386" s="19" t="inlineStr">
        <is>
          <t>Town</t>
        </is>
      </c>
      <c r="D386" s="19" t="inlineStr">
        <is>
          <t>Win</t>
        </is>
      </c>
      <c r="E386" s="19" t="n">
        <v>88</v>
      </c>
      <c r="F386" s="19" t="n">
        <v>23.7935088418629</v>
      </c>
      <c r="G386" s="19" t="n">
        <v>25.0031240854725</v>
      </c>
      <c r="H386" s="19" t="n">
        <v>7.885869363188</v>
      </c>
      <c r="I386" s="19" t="n">
        <v>808</v>
      </c>
      <c r="J386" s="19" t="n">
        <v>896</v>
      </c>
      <c r="K386" s="19" t="n">
        <v>7.94480024192959</v>
      </c>
    </row>
    <row r="387">
      <c r="A387" s="19" t="n">
        <v>16</v>
      </c>
      <c r="B387" s="19" t="inlineStr">
        <is>
          <t>Boobles</t>
        </is>
      </c>
      <c r="C387" s="19" t="inlineStr">
        <is>
          <t>Town</t>
        </is>
      </c>
      <c r="D387" s="19" t="inlineStr">
        <is>
          <t>Win</t>
        </is>
      </c>
      <c r="E387" s="19" t="n">
        <v>90</v>
      </c>
      <c r="F387" s="19" t="n">
        <v>26.2333416264333</v>
      </c>
      <c r="G387" s="19" t="n">
        <v>27.4651406403653</v>
      </c>
      <c r="H387" s="19" t="n">
        <v>7.95665197899064</v>
      </c>
      <c r="I387" s="19" t="n">
        <v>966</v>
      </c>
      <c r="J387" s="19" t="n">
        <v>1056</v>
      </c>
      <c r="K387" s="19" t="n">
        <v>8.017424124603499</v>
      </c>
    </row>
    <row r="388">
      <c r="A388" s="19" t="n">
        <v>16</v>
      </c>
      <c r="B388" s="19" t="inlineStr">
        <is>
          <t>Heck</t>
        </is>
      </c>
      <c r="C388" s="19" t="inlineStr">
        <is>
          <t>Town</t>
        </is>
      </c>
      <c r="D388" s="19" t="inlineStr">
        <is>
          <t>Win</t>
        </is>
      </c>
      <c r="E388" s="19" t="n">
        <v>90</v>
      </c>
      <c r="F388" s="19" t="n">
        <v>22.1783614060891</v>
      </c>
      <c r="G388" s="19" t="n">
        <v>23.4180105531786</v>
      </c>
      <c r="H388" s="19" t="n">
        <v>7.98153901135703</v>
      </c>
      <c r="I388" s="19" t="n">
        <v>688</v>
      </c>
      <c r="J388" s="19" t="n">
        <v>778</v>
      </c>
      <c r="K388" s="19" t="n">
        <v>8.0429663326838</v>
      </c>
    </row>
    <row r="389">
      <c r="A389" s="19" t="n">
        <v>16</v>
      </c>
      <c r="B389" s="19" t="inlineStr">
        <is>
          <t>Laura</t>
        </is>
      </c>
      <c r="C389" s="19" t="inlineStr">
        <is>
          <t>Town</t>
        </is>
      </c>
      <c r="D389" s="19" t="inlineStr">
        <is>
          <t>Win</t>
        </is>
      </c>
      <c r="E389" s="19" t="n">
        <v>95</v>
      </c>
      <c r="F389" s="19" t="n">
        <v>22.9329250660733</v>
      </c>
      <c r="G389" s="19" t="n">
        <v>24.2265963570902</v>
      </c>
      <c r="H389" s="19" t="n">
        <v>8.150599856865149</v>
      </c>
      <c r="I389" s="19" t="n">
        <v>721</v>
      </c>
      <c r="J389" s="19" t="n">
        <v>816</v>
      </c>
      <c r="K389" s="19" t="n">
        <v>8.216586722424481</v>
      </c>
    </row>
    <row r="390">
      <c r="A390" s="19" t="n">
        <v>16</v>
      </c>
      <c r="B390" s="19" t="inlineStr">
        <is>
          <t>Noah</t>
        </is>
      </c>
      <c r="C390" s="19" t="inlineStr">
        <is>
          <t>Town</t>
        </is>
      </c>
      <c r="D390" s="19" t="inlineStr">
        <is>
          <t>Win</t>
        </is>
      </c>
      <c r="E390" s="19" t="n">
        <v>81</v>
      </c>
      <c r="F390" s="19" t="n">
        <v>27.3816035011322</v>
      </c>
      <c r="G390" s="19" t="n">
        <v>28.496632241835</v>
      </c>
      <c r="H390" s="19" t="n">
        <v>7.57614203127592</v>
      </c>
      <c r="I390" s="19" t="n">
        <v>1084</v>
      </c>
      <c r="J390" s="19" t="n">
        <v>1165</v>
      </c>
      <c r="K390" s="19" t="n">
        <v>7.62739294950137</v>
      </c>
    </row>
    <row r="391">
      <c r="A391" s="19" t="n">
        <v>16</v>
      </c>
      <c r="B391" s="19" t="inlineStr">
        <is>
          <t>Kny</t>
        </is>
      </c>
      <c r="C391" s="19" t="inlineStr">
        <is>
          <t>Town</t>
        </is>
      </c>
      <c r="D391" s="19" t="inlineStr">
        <is>
          <t>Win</t>
        </is>
      </c>
      <c r="E391" s="19" t="n">
        <v>87</v>
      </c>
      <c r="F391" s="19" t="n">
        <v>26.6904944617561</v>
      </c>
      <c r="G391" s="19" t="n">
        <v>27.8880724057528</v>
      </c>
      <c r="H391" s="19" t="n">
        <v>7.84717592486592</v>
      </c>
      <c r="I391" s="19" t="n">
        <v>1009</v>
      </c>
      <c r="J391" s="19" t="n">
        <v>1096</v>
      </c>
      <c r="K391" s="19" t="n">
        <v>7.90511402814812</v>
      </c>
    </row>
    <row r="392">
      <c r="A392" s="19" t="n">
        <v>16</v>
      </c>
      <c r="B392" s="19" t="inlineStr">
        <is>
          <t>Maz</t>
        </is>
      </c>
      <c r="C392" s="19" t="inlineStr">
        <is>
          <t>Town</t>
        </is>
      </c>
      <c r="D392" s="19" t="inlineStr">
        <is>
          <t>Win</t>
        </is>
      </c>
      <c r="E392" s="19" t="n">
        <v>87</v>
      </c>
      <c r="F392" s="19" t="n">
        <v>25.7320254762032</v>
      </c>
      <c r="G392" s="19" t="n">
        <v>26.9219031843711</v>
      </c>
      <c r="H392" s="19" t="n">
        <v>7.8223166407357</v>
      </c>
      <c r="I392" s="19" t="n">
        <v>946</v>
      </c>
      <c r="J392" s="19" t="n">
        <v>1033</v>
      </c>
      <c r="K392" s="19" t="n">
        <v>7.8796220101156</v>
      </c>
    </row>
    <row r="393">
      <c r="A393" s="19" t="n">
        <v>16</v>
      </c>
      <c r="B393" s="19" t="inlineStr">
        <is>
          <t>Justice</t>
        </is>
      </c>
      <c r="C393" s="19" t="inlineStr">
        <is>
          <t>Town</t>
        </is>
      </c>
      <c r="D393" s="19" t="inlineStr">
        <is>
          <t>Win</t>
        </is>
      </c>
      <c r="E393" s="19" t="n">
        <v>84</v>
      </c>
      <c r="F393" s="19" t="n">
        <v>21.9495964370715</v>
      </c>
      <c r="G393" s="19" t="n">
        <v>23.1081498826078</v>
      </c>
      <c r="H393" s="19" t="n">
        <v>7.7203096029084</v>
      </c>
      <c r="I393" s="19" t="n">
        <v>700</v>
      </c>
      <c r="J393" s="19" t="n">
        <v>784</v>
      </c>
      <c r="K393" s="19" t="n">
        <v>7.77505995218702</v>
      </c>
    </row>
    <row r="394">
      <c r="A394" s="19" t="n">
        <v>16</v>
      </c>
      <c r="B394" s="19" t="inlineStr">
        <is>
          <t>Machop</t>
        </is>
      </c>
      <c r="C394" s="19" t="inlineStr">
        <is>
          <t>Town</t>
        </is>
      </c>
      <c r="D394" s="19" t="inlineStr">
        <is>
          <t>Win</t>
        </is>
      </c>
      <c r="E394" s="19" t="n">
        <v>81</v>
      </c>
      <c r="F394" s="19" t="n">
        <v>28.9210617040051</v>
      </c>
      <c r="G394" s="19" t="n">
        <v>30.0382634896457</v>
      </c>
      <c r="H394" s="19" t="n">
        <v>7.58340898749225</v>
      </c>
      <c r="I394" s="19" t="n">
        <v>1188</v>
      </c>
      <c r="J394" s="19" t="n">
        <v>1269</v>
      </c>
      <c r="K394" s="19" t="n">
        <v>7.63483321335595</v>
      </c>
    </row>
    <row r="395">
      <c r="A395" s="19" t="n">
        <v>16</v>
      </c>
      <c r="B395" s="19" t="inlineStr">
        <is>
          <t>Morty</t>
        </is>
      </c>
      <c r="C395" s="19" t="inlineStr">
        <is>
          <t>Town</t>
        </is>
      </c>
      <c r="D395" s="19" t="inlineStr">
        <is>
          <t>Win</t>
        </is>
      </c>
      <c r="E395" s="19" t="n">
        <v>98</v>
      </c>
      <c r="F395" s="19" t="n">
        <v>25</v>
      </c>
      <c r="G395" s="19" t="n">
        <v>26.3306458214885</v>
      </c>
      <c r="H395" s="19" t="n">
        <v>8.26417500380823</v>
      </c>
      <c r="I395" s="19" t="n">
        <v>850</v>
      </c>
      <c r="J395" s="19" t="n">
        <v>948</v>
      </c>
      <c r="K395" s="19" t="n">
        <v>8.33333333333333</v>
      </c>
    </row>
    <row r="396">
      <c r="A396" s="19" t="n">
        <v>15</v>
      </c>
      <c r="B396" s="19" t="inlineStr">
        <is>
          <t>Josh</t>
        </is>
      </c>
      <c r="C396" s="19" t="inlineStr">
        <is>
          <t>Mafia</t>
        </is>
      </c>
      <c r="D396" s="19" t="inlineStr">
        <is>
          <t>Win</t>
        </is>
      </c>
      <c r="E396" s="19" t="n">
        <v>85</v>
      </c>
      <c r="F396" s="19" t="n">
        <v>26.0132298297948</v>
      </c>
      <c r="G396" s="19" t="n">
        <v>27.1802208195602</v>
      </c>
      <c r="H396" s="19" t="n">
        <v>8.046982972019119</v>
      </c>
      <c r="I396" s="19" t="n">
        <v>942</v>
      </c>
      <c r="J396" s="19" t="n">
        <v>1027</v>
      </c>
      <c r="K396" s="19" t="n">
        <v>8.10257400880896</v>
      </c>
    </row>
    <row r="397">
      <c r="A397" s="19" t="n">
        <v>15</v>
      </c>
      <c r="B397" s="19" t="inlineStr">
        <is>
          <t>Justice</t>
        </is>
      </c>
      <c r="C397" s="19" t="inlineStr">
        <is>
          <t>Mafia</t>
        </is>
      </c>
      <c r="D397" s="19" t="inlineStr">
        <is>
          <t>Win</t>
        </is>
      </c>
      <c r="E397" s="19" t="n">
        <v>80</v>
      </c>
      <c r="F397" s="19" t="n">
        <v>20.8612615716246</v>
      </c>
      <c r="G397" s="19" t="n">
        <v>21.9495964370715</v>
      </c>
      <c r="H397" s="19" t="n">
        <v>7.77505995218702</v>
      </c>
      <c r="I397" s="19" t="n">
        <v>620</v>
      </c>
      <c r="J397" s="19" t="n">
        <v>700</v>
      </c>
      <c r="K397" s="19" t="n">
        <v>7.82436336907724</v>
      </c>
    </row>
    <row r="398">
      <c r="A398" s="19" t="n">
        <v>15</v>
      </c>
      <c r="B398" s="19" t="inlineStr">
        <is>
          <t>Rocker</t>
        </is>
      </c>
      <c r="C398" s="19" t="inlineStr">
        <is>
          <t>Mafia</t>
        </is>
      </c>
      <c r="D398" s="19" t="inlineStr">
        <is>
          <t>Win</t>
        </is>
      </c>
      <c r="E398" s="19" t="n">
        <v>88</v>
      </c>
      <c r="F398" s="19" t="n">
        <v>23.2510214710014</v>
      </c>
      <c r="G398" s="19" t="n">
        <v>24.4632272429151</v>
      </c>
      <c r="H398" s="19" t="n">
        <v>8.198966806046119</v>
      </c>
      <c r="I398" s="19" t="n">
        <v>739</v>
      </c>
      <c r="J398" s="19" t="n">
        <v>827</v>
      </c>
      <c r="K398" s="19" t="n">
        <v>8.258259620863409</v>
      </c>
    </row>
    <row r="399">
      <c r="A399" s="19" t="n">
        <v>15</v>
      </c>
      <c r="B399" s="19" t="inlineStr">
        <is>
          <t>Kny</t>
        </is>
      </c>
      <c r="C399" s="19" t="inlineStr">
        <is>
          <t>Town</t>
        </is>
      </c>
      <c r="D399" s="19" t="inlineStr">
        <is>
          <t>Loss</t>
        </is>
      </c>
      <c r="E399" s="19" t="n">
        <v>-71</v>
      </c>
      <c r="F399" s="19" t="n">
        <v>27.8160908447736</v>
      </c>
      <c r="G399" s="19" t="n">
        <v>26.6904944617561</v>
      </c>
      <c r="H399" s="19" t="n">
        <v>7.90511402814812</v>
      </c>
      <c r="I399" s="19" t="n">
        <v>1080</v>
      </c>
      <c r="J399" s="19" t="n">
        <v>1009</v>
      </c>
      <c r="K399" s="19" t="n">
        <v>7.95737182468942</v>
      </c>
    </row>
    <row r="400">
      <c r="A400" s="19" t="n">
        <v>15</v>
      </c>
      <c r="B400" s="19" t="inlineStr">
        <is>
          <t>Carson</t>
        </is>
      </c>
      <c r="C400" s="19" t="inlineStr">
        <is>
          <t>Town</t>
        </is>
      </c>
      <c r="D400" s="19" t="inlineStr">
        <is>
          <t>Loss</t>
        </is>
      </c>
      <c r="E400" s="19" t="n">
        <v>-68</v>
      </c>
      <c r="F400" s="19" t="n">
        <v>25.6449038872144</v>
      </c>
      <c r="G400" s="19" t="n">
        <v>24.5707834209116</v>
      </c>
      <c r="H400" s="19" t="n">
        <v>7.7248360790175</v>
      </c>
      <c r="I400" s="19" t="n">
        <v>951</v>
      </c>
      <c r="J400" s="19" t="n">
        <v>883</v>
      </c>
      <c r="K400" s="19" t="n">
        <v>7.77302404921478</v>
      </c>
    </row>
    <row r="401">
      <c r="A401" s="19" t="n">
        <v>15</v>
      </c>
      <c r="B401" s="19" t="inlineStr">
        <is>
          <t>Jerm</t>
        </is>
      </c>
      <c r="C401" s="19" t="inlineStr">
        <is>
          <t>Town</t>
        </is>
      </c>
      <c r="D401" s="19" t="inlineStr">
        <is>
          <t>Loss</t>
        </is>
      </c>
      <c r="E401" s="19" t="n">
        <v>-78</v>
      </c>
      <c r="F401" s="19" t="n">
        <v>25</v>
      </c>
      <c r="G401" s="19" t="n">
        <v>23.7656835270147</v>
      </c>
      <c r="H401" s="19" t="n">
        <v>8.27220733811831</v>
      </c>
      <c r="I401" s="19" t="n">
        <v>850</v>
      </c>
      <c r="J401" s="19" t="n">
        <v>772</v>
      </c>
      <c r="K401" s="19" t="n">
        <v>8.33333333333333</v>
      </c>
    </row>
    <row r="402">
      <c r="A402" s="19" t="n">
        <v>15</v>
      </c>
      <c r="B402" s="19" t="inlineStr">
        <is>
          <t>Noah</t>
        </is>
      </c>
      <c r="C402" s="19" t="inlineStr">
        <is>
          <t>Town</t>
        </is>
      </c>
      <c r="D402" s="19" t="inlineStr">
        <is>
          <t>Loss</t>
        </is>
      </c>
      <c r="E402" s="19" t="n">
        <v>-66</v>
      </c>
      <c r="F402" s="19" t="n">
        <v>28.4284232872215</v>
      </c>
      <c r="G402" s="19" t="n">
        <v>27.3816035011322</v>
      </c>
      <c r="H402" s="19" t="n">
        <v>7.62739294950137</v>
      </c>
      <c r="I402" s="19" t="n">
        <v>1150</v>
      </c>
      <c r="J402" s="19" t="n">
        <v>1084</v>
      </c>
      <c r="K402" s="19" t="n">
        <v>7.67345659859851</v>
      </c>
    </row>
    <row r="403">
      <c r="A403" s="19" t="n">
        <v>15</v>
      </c>
      <c r="B403" s="19" t="inlineStr">
        <is>
          <t>Siggywiggy</t>
        </is>
      </c>
      <c r="C403" s="19" t="inlineStr">
        <is>
          <t>Town</t>
        </is>
      </c>
      <c r="D403" s="19" t="inlineStr">
        <is>
          <t>Loss</t>
        </is>
      </c>
      <c r="E403" s="19" t="n">
        <v>-74</v>
      </c>
      <c r="F403" s="19" t="n">
        <v>24.6988277002953</v>
      </c>
      <c r="G403" s="19" t="n">
        <v>23.5415992720876</v>
      </c>
      <c r="H403" s="19" t="n">
        <v>8.01376469573108</v>
      </c>
      <c r="I403" s="19" t="n">
        <v>857</v>
      </c>
      <c r="J403" s="19" t="n">
        <v>783</v>
      </c>
      <c r="K403" s="19" t="n">
        <v>8.068564790912101</v>
      </c>
    </row>
    <row r="404">
      <c r="A404" s="19" t="n">
        <v>15</v>
      </c>
      <c r="B404" s="19" t="inlineStr">
        <is>
          <t>Torharo</t>
        </is>
      </c>
      <c r="C404" s="19" t="inlineStr">
        <is>
          <t>Town</t>
        </is>
      </c>
      <c r="D404" s="19" t="inlineStr">
        <is>
          <t>Loss</t>
        </is>
      </c>
      <c r="E404" s="19" t="n">
        <v>-71</v>
      </c>
      <c r="F404" s="19" t="n">
        <v>24.9306061566519</v>
      </c>
      <c r="G404" s="19" t="n">
        <v>23.7935088418629</v>
      </c>
      <c r="H404" s="19" t="n">
        <v>7.94480024192959</v>
      </c>
      <c r="I404" s="19" t="n">
        <v>879</v>
      </c>
      <c r="J404" s="19" t="n">
        <v>808</v>
      </c>
      <c r="K404" s="19" t="n">
        <v>7.99797875311474</v>
      </c>
    </row>
    <row r="405">
      <c r="A405" s="19" t="n">
        <v>15</v>
      </c>
      <c r="B405" s="19" t="inlineStr">
        <is>
          <t>Streety</t>
        </is>
      </c>
      <c r="C405" s="19" t="inlineStr">
        <is>
          <t>Town</t>
        </is>
      </c>
      <c r="D405" s="19" t="inlineStr">
        <is>
          <t>Loss</t>
        </is>
      </c>
      <c r="E405" s="19" t="n">
        <v>-72</v>
      </c>
      <c r="F405" s="19" t="n">
        <v>26.0284048484399</v>
      </c>
      <c r="G405" s="19" t="n">
        <v>24.8859259133118</v>
      </c>
      <c r="H405" s="19" t="n">
        <v>7.96329851101732</v>
      </c>
      <c r="I405" s="19" t="n">
        <v>952</v>
      </c>
      <c r="J405" s="19" t="n">
        <v>880</v>
      </c>
      <c r="K405" s="19" t="n">
        <v>8.016909276159421</v>
      </c>
    </row>
    <row r="406">
      <c r="A406" s="19" t="n">
        <v>15</v>
      </c>
      <c r="B406" s="19" t="inlineStr">
        <is>
          <t>Machop</t>
        </is>
      </c>
      <c r="C406" s="19" t="inlineStr">
        <is>
          <t>Town</t>
        </is>
      </c>
      <c r="D406" s="19" t="inlineStr">
        <is>
          <t>Loss</t>
        </is>
      </c>
      <c r="E406" s="19" t="n">
        <v>-66</v>
      </c>
      <c r="F406" s="19" t="n">
        <v>29.9699531192774</v>
      </c>
      <c r="G406" s="19" t="n">
        <v>28.9210617040051</v>
      </c>
      <c r="H406" s="19" t="n">
        <v>7.63483321335595</v>
      </c>
      <c r="I406" s="19" t="n">
        <v>1254</v>
      </c>
      <c r="J406" s="19" t="n">
        <v>1188</v>
      </c>
      <c r="K406" s="19" t="n">
        <v>7.68105722550228</v>
      </c>
    </row>
    <row r="407">
      <c r="A407" s="19" t="n">
        <v>15</v>
      </c>
      <c r="B407" s="19" t="inlineStr">
        <is>
          <t>Hydro</t>
        </is>
      </c>
      <c r="C407" s="19" t="inlineStr">
        <is>
          <t>Town</t>
        </is>
      </c>
      <c r="D407" s="19" t="inlineStr">
        <is>
          <t>Loss</t>
        </is>
      </c>
      <c r="E407" s="19" t="n">
        <v>-75</v>
      </c>
      <c r="F407" s="19" t="n">
        <v>27.5276112947623</v>
      </c>
      <c r="G407" s="19" t="n">
        <v>26.3320601745305</v>
      </c>
      <c r="H407" s="19" t="n">
        <v>8.14333545564412</v>
      </c>
      <c r="I407" s="19" t="n">
        <v>1035</v>
      </c>
      <c r="J407" s="19" t="n">
        <v>960</v>
      </c>
      <c r="K407" s="19" t="n">
        <v>8.201257379664559</v>
      </c>
    </row>
    <row r="408">
      <c r="A408" s="19" t="n">
        <v>15</v>
      </c>
      <c r="B408" s="19" t="inlineStr">
        <is>
          <t>Happymeal</t>
        </is>
      </c>
      <c r="C408" s="19" t="inlineStr">
        <is>
          <t>Town</t>
        </is>
      </c>
      <c r="D408" s="19" t="inlineStr">
        <is>
          <t>Loss</t>
        </is>
      </c>
      <c r="E408" s="19" t="n">
        <v>-74</v>
      </c>
      <c r="F408" s="19" t="n">
        <v>27.140005608517</v>
      </c>
      <c r="G408" s="19" t="n">
        <v>25.9624656273455</v>
      </c>
      <c r="H408" s="19" t="n">
        <v>8.08271409797038</v>
      </c>
      <c r="I408" s="19" t="n">
        <v>1015</v>
      </c>
      <c r="J408" s="19" t="n">
        <v>941</v>
      </c>
      <c r="K408" s="19" t="n">
        <v>8.13916312550845</v>
      </c>
    </row>
    <row r="409">
      <c r="A409" s="19" t="n">
        <v>15</v>
      </c>
      <c r="B409" s="19" t="inlineStr">
        <is>
          <t>Keegan</t>
        </is>
      </c>
      <c r="C409" s="19" t="inlineStr">
        <is>
          <t>Town</t>
        </is>
      </c>
      <c r="D409" s="19" t="inlineStr">
        <is>
          <t>Loss</t>
        </is>
      </c>
      <c r="E409" s="19" t="n">
        <v>-77</v>
      </c>
      <c r="F409" s="19" t="n">
        <v>24.2766790923824</v>
      </c>
      <c r="G409" s="19" t="n">
        <v>23.0574114559316</v>
      </c>
      <c r="H409" s="19" t="n">
        <v>8.22243445482931</v>
      </c>
      <c r="I409" s="19" t="n">
        <v>806</v>
      </c>
      <c r="J409" s="19" t="n">
        <v>729</v>
      </c>
      <c r="K409" s="19" t="n">
        <v>8.2823111313004</v>
      </c>
    </row>
    <row r="410">
      <c r="A410" s="19" t="n">
        <v>14</v>
      </c>
      <c r="B410" s="19" t="inlineStr">
        <is>
          <t>Torharo</t>
        </is>
      </c>
      <c r="C410" s="19" t="inlineStr">
        <is>
          <t>Mafia</t>
        </is>
      </c>
      <c r="D410" s="19" t="inlineStr">
        <is>
          <t>Loss</t>
        </is>
      </c>
      <c r="E410" s="19" t="n">
        <v>-79</v>
      </c>
      <c r="F410" s="19" t="n">
        <v>26.179694879805</v>
      </c>
      <c r="G410" s="19" t="n">
        <v>24.9306061566519</v>
      </c>
      <c r="H410" s="19" t="n">
        <v>7.99797875311474</v>
      </c>
      <c r="I410" s="19" t="n">
        <v>958</v>
      </c>
      <c r="J410" s="19" t="n">
        <v>879</v>
      </c>
      <c r="K410" s="19" t="n">
        <v>8.059090542439231</v>
      </c>
    </row>
    <row r="411">
      <c r="A411" s="19" t="n">
        <v>14</v>
      </c>
      <c r="B411" s="19" t="inlineStr">
        <is>
          <t>Sam</t>
        </is>
      </c>
      <c r="C411" s="19" t="inlineStr">
        <is>
          <t>Mafia</t>
        </is>
      </c>
      <c r="D411" s="19" t="inlineStr">
        <is>
          <t>Loss</t>
        </is>
      </c>
      <c r="E411" s="19" t="n">
        <v>-84</v>
      </c>
      <c r="F411" s="19" t="n">
        <v>25</v>
      </c>
      <c r="G411" s="19" t="n">
        <v>23.6645740239536</v>
      </c>
      <c r="H411" s="19" t="n">
        <v>8.264983753096059</v>
      </c>
      <c r="I411" s="19" t="n">
        <v>850</v>
      </c>
      <c r="J411" s="19" t="n">
        <v>766</v>
      </c>
      <c r="K411" s="19" t="n">
        <v>8.33333333333333</v>
      </c>
    </row>
    <row r="412">
      <c r="A412" s="19" t="n">
        <v>14</v>
      </c>
      <c r="B412" s="19" t="inlineStr">
        <is>
          <t>Whyin</t>
        </is>
      </c>
      <c r="C412" s="19" t="inlineStr">
        <is>
          <t>Mafia</t>
        </is>
      </c>
      <c r="D412" s="19" t="inlineStr">
        <is>
          <t>Loss</t>
        </is>
      </c>
      <c r="E412" s="19" t="n">
        <v>-78</v>
      </c>
      <c r="F412" s="19" t="n">
        <v>24.0947907291034</v>
      </c>
      <c r="G412" s="19" t="n">
        <v>22.8515460031792</v>
      </c>
      <c r="H412" s="19" t="n">
        <v>7.97955970621447</v>
      </c>
      <c r="I412" s="19" t="n">
        <v>818</v>
      </c>
      <c r="J412" s="19" t="n">
        <v>740</v>
      </c>
      <c r="K412" s="19" t="n">
        <v>8.040189588944591</v>
      </c>
    </row>
    <row r="413">
      <c r="A413" s="19" t="n">
        <v>14</v>
      </c>
      <c r="B413" s="19" t="inlineStr">
        <is>
          <t>Dani</t>
        </is>
      </c>
      <c r="C413" s="19" t="inlineStr">
        <is>
          <t>Town</t>
        </is>
      </c>
      <c r="D413" s="19" t="inlineStr">
        <is>
          <t>Win</t>
        </is>
      </c>
      <c r="E413" s="19" t="n">
        <v>98</v>
      </c>
      <c r="F413" s="19" t="n">
        <v>25</v>
      </c>
      <c r="G413" s="19" t="n">
        <v>26.3354259760463</v>
      </c>
      <c r="H413" s="19" t="n">
        <v>8.264983753096059</v>
      </c>
      <c r="I413" s="19" t="n">
        <v>850</v>
      </c>
      <c r="J413" s="19" t="n">
        <v>948</v>
      </c>
      <c r="K413" s="19" t="n">
        <v>8.33333333333333</v>
      </c>
    </row>
    <row r="414">
      <c r="A414" s="19" t="n">
        <v>14</v>
      </c>
      <c r="B414" s="19" t="inlineStr">
        <is>
          <t>Justice</t>
        </is>
      </c>
      <c r="C414" s="19" t="inlineStr">
        <is>
          <t>Town</t>
        </is>
      </c>
      <c r="D414" s="19" t="inlineStr">
        <is>
          <t>Win</t>
        </is>
      </c>
      <c r="E414" s="19" t="n">
        <v>87</v>
      </c>
      <c r="F414" s="19" t="n">
        <v>19.6666863214501</v>
      </c>
      <c r="G414" s="19" t="n">
        <v>20.8612615716246</v>
      </c>
      <c r="H414" s="19" t="n">
        <v>7.82436336907724</v>
      </c>
      <c r="I414" s="19" t="n">
        <v>533</v>
      </c>
      <c r="J414" s="19" t="n">
        <v>620</v>
      </c>
      <c r="K414" s="19" t="n">
        <v>7.88101974697611</v>
      </c>
    </row>
    <row r="415">
      <c r="A415" s="19" t="n">
        <v>14</v>
      </c>
      <c r="B415" s="19" t="inlineStr">
        <is>
          <t>Machop</t>
        </is>
      </c>
      <c r="C415" s="19" t="inlineStr">
        <is>
          <t>Town</t>
        </is>
      </c>
      <c r="D415" s="19" t="inlineStr">
        <is>
          <t>Win</t>
        </is>
      </c>
      <c r="E415" s="19" t="n">
        <v>83</v>
      </c>
      <c r="F415" s="19" t="n">
        <v>28.8194141314809</v>
      </c>
      <c r="G415" s="19" t="n">
        <v>29.9699531192774</v>
      </c>
      <c r="H415" s="19" t="n">
        <v>7.68105722550228</v>
      </c>
      <c r="I415" s="19" t="n">
        <v>1171</v>
      </c>
      <c r="J415" s="19" t="n">
        <v>1254</v>
      </c>
      <c r="K415" s="19" t="n">
        <v>7.73418018818436</v>
      </c>
    </row>
    <row r="416">
      <c r="A416" s="19" t="n">
        <v>14</v>
      </c>
      <c r="B416" s="19" t="inlineStr">
        <is>
          <t>CJ</t>
        </is>
      </c>
      <c r="C416" s="19" t="inlineStr">
        <is>
          <t>Town</t>
        </is>
      </c>
      <c r="D416" s="19" t="inlineStr">
        <is>
          <t>Win</t>
        </is>
      </c>
      <c r="E416" s="19" t="n">
        <v>97</v>
      </c>
      <c r="F416" s="19" t="n">
        <v>24.2894039611772</v>
      </c>
      <c r="G416" s="19" t="n">
        <v>25.6100913155594</v>
      </c>
      <c r="H416" s="19" t="n">
        <v>8.220061363845311</v>
      </c>
      <c r="I416" s="19" t="n">
        <v>806</v>
      </c>
      <c r="J416" s="19" t="n">
        <v>903</v>
      </c>
      <c r="K416" s="19" t="n">
        <v>8.287159797257109</v>
      </c>
    </row>
    <row r="417">
      <c r="A417" s="19" t="n">
        <v>14</v>
      </c>
      <c r="B417" s="19" t="inlineStr">
        <is>
          <t>Maz</t>
        </is>
      </c>
      <c r="C417" s="19" t="inlineStr">
        <is>
          <t>Town</t>
        </is>
      </c>
      <c r="D417" s="19" t="inlineStr">
        <is>
          <t>Win</t>
        </is>
      </c>
      <c r="E417" s="19" t="n">
        <v>88</v>
      </c>
      <c r="F417" s="19" t="n">
        <v>24.5202381094154</v>
      </c>
      <c r="G417" s="19" t="n">
        <v>25.7320254762032</v>
      </c>
      <c r="H417" s="19" t="n">
        <v>7.8796220101156</v>
      </c>
      <c r="I417" s="19" t="n">
        <v>858</v>
      </c>
      <c r="J417" s="19" t="n">
        <v>946</v>
      </c>
      <c r="K417" s="19" t="n">
        <v>7.93767547059205</v>
      </c>
    </row>
    <row r="418">
      <c r="A418" s="19" t="n">
        <v>14</v>
      </c>
      <c r="B418" s="19" t="inlineStr">
        <is>
          <t>Noah</t>
        </is>
      </c>
      <c r="C418" s="19" t="inlineStr">
        <is>
          <t>Town</t>
        </is>
      </c>
      <c r="D418" s="19" t="inlineStr">
        <is>
          <t>Win</t>
        </is>
      </c>
      <c r="E418" s="19" t="n">
        <v>83</v>
      </c>
      <c r="F418" s="19" t="n">
        <v>27.280195692261</v>
      </c>
      <c r="G418" s="19" t="n">
        <v>28.4284232872215</v>
      </c>
      <c r="H418" s="19" t="n">
        <v>7.67345659859851</v>
      </c>
      <c r="I418" s="19" t="n">
        <v>1067</v>
      </c>
      <c r="J418" s="19" t="n">
        <v>1150</v>
      </c>
      <c r="K418" s="19" t="n">
        <v>7.72639573224915</v>
      </c>
    </row>
    <row r="419">
      <c r="A419" s="19" t="n">
        <v>14</v>
      </c>
      <c r="B419" s="19" t="inlineStr">
        <is>
          <t>Happymeal</t>
        </is>
      </c>
      <c r="C419" s="19" t="inlineStr">
        <is>
          <t>Town</t>
        </is>
      </c>
      <c r="D419" s="19" t="inlineStr">
        <is>
          <t>Win</t>
        </is>
      </c>
      <c r="E419" s="19" t="n">
        <v>94</v>
      </c>
      <c r="F419" s="19" t="n">
        <v>25.8456428691416</v>
      </c>
      <c r="G419" s="19" t="n">
        <v>27.140005608517</v>
      </c>
      <c r="H419" s="19" t="n">
        <v>8.13916312550845</v>
      </c>
      <c r="I419" s="19" t="n">
        <v>921</v>
      </c>
      <c r="J419" s="19" t="n">
        <v>1015</v>
      </c>
      <c r="K419" s="19" t="n">
        <v>8.204042795076351</v>
      </c>
    </row>
    <row r="420">
      <c r="A420" s="19" t="n">
        <v>14</v>
      </c>
      <c r="B420" s="19" t="inlineStr">
        <is>
          <t>Hydro</t>
        </is>
      </c>
      <c r="C420" s="19" t="inlineStr">
        <is>
          <t>Town</t>
        </is>
      </c>
      <c r="D420" s="19" t="inlineStr">
        <is>
          <t>Win</t>
        </is>
      </c>
      <c r="E420" s="19" t="n">
        <v>96</v>
      </c>
      <c r="F420" s="19" t="n">
        <v>26.2130677518111</v>
      </c>
      <c r="G420" s="19" t="n">
        <v>27.5276112947623</v>
      </c>
      <c r="H420" s="19" t="n">
        <v>8.201257379664559</v>
      </c>
      <c r="I420" s="19" t="n">
        <v>939</v>
      </c>
      <c r="J420" s="19" t="n">
        <v>1035</v>
      </c>
      <c r="K420" s="19" t="n">
        <v>8.26783615591169</v>
      </c>
    </row>
    <row r="421">
      <c r="A421" s="19" t="n">
        <v>14</v>
      </c>
      <c r="B421" s="19" t="inlineStr">
        <is>
          <t>Kny</t>
        </is>
      </c>
      <c r="C421" s="19" t="inlineStr">
        <is>
          <t>Town</t>
        </is>
      </c>
      <c r="D421" s="19" t="inlineStr">
        <is>
          <t>Win</t>
        </is>
      </c>
      <c r="E421" s="19" t="n">
        <v>90</v>
      </c>
      <c r="F421" s="19" t="n">
        <v>26.5798667692846</v>
      </c>
      <c r="G421" s="19" t="n">
        <v>27.8160908447736</v>
      </c>
      <c r="H421" s="19" t="n">
        <v>7.95737182468942</v>
      </c>
      <c r="I421" s="19" t="n">
        <v>990</v>
      </c>
      <c r="J421" s="19" t="n">
        <v>1080</v>
      </c>
      <c r="K421" s="19" t="n">
        <v>8.017424124603499</v>
      </c>
    </row>
    <row r="422">
      <c r="A422" s="19" t="n">
        <v>14</v>
      </c>
      <c r="B422" s="19" t="inlineStr">
        <is>
          <t>Carson</t>
        </is>
      </c>
      <c r="C422" s="19" t="inlineStr">
        <is>
          <t>Town</t>
        </is>
      </c>
      <c r="D422" s="19" t="inlineStr">
        <is>
          <t>Win</t>
        </is>
      </c>
      <c r="E422" s="19" t="n">
        <v>86</v>
      </c>
      <c r="F422" s="19" t="n">
        <v>24.466204250351</v>
      </c>
      <c r="G422" s="19" t="n">
        <v>25.6449038872144</v>
      </c>
      <c r="H422" s="19" t="n">
        <v>7.77302404921478</v>
      </c>
      <c r="I422" s="19" t="n">
        <v>865</v>
      </c>
      <c r="J422" s="19" t="n">
        <v>951</v>
      </c>
      <c r="K422" s="19" t="n">
        <v>7.8283997833444</v>
      </c>
    </row>
    <row r="423">
      <c r="A423" s="19" t="n">
        <v>13</v>
      </c>
      <c r="B423" s="19" t="inlineStr">
        <is>
          <t>Maz</t>
        </is>
      </c>
      <c r="C423" s="19" t="inlineStr">
        <is>
          <t>Mafia</t>
        </is>
      </c>
      <c r="D423" s="19" t="inlineStr">
        <is>
          <t>Win</t>
        </is>
      </c>
      <c r="E423" s="19" t="n">
        <v>50</v>
      </c>
      <c r="F423" s="19" t="n">
        <v>23.8566097677633</v>
      </c>
      <c r="G423" s="19" t="n">
        <v>24.5202381094154</v>
      </c>
      <c r="H423" s="19" t="n">
        <v>7.93767547059205</v>
      </c>
      <c r="I423" s="19" t="n">
        <v>808</v>
      </c>
      <c r="J423" s="19" t="n">
        <v>858</v>
      </c>
      <c r="K423" s="19" t="n">
        <v>7.98160795675347</v>
      </c>
    </row>
    <row r="424">
      <c r="A424" s="19" t="n">
        <v>13</v>
      </c>
      <c r="B424" s="19" t="inlineStr">
        <is>
          <t>Machop</t>
        </is>
      </c>
      <c r="C424" s="19" t="inlineStr">
        <is>
          <t>Mafia</t>
        </is>
      </c>
      <c r="D424" s="19" t="inlineStr">
        <is>
          <t>Win</t>
        </is>
      </c>
      <c r="E424" s="19" t="n">
        <v>47</v>
      </c>
      <c r="F424" s="19" t="n">
        <v>28.1897801010565</v>
      </c>
      <c r="G424" s="19" t="n">
        <v>28.8194141314809</v>
      </c>
      <c r="H424" s="19" t="n">
        <v>7.73418018818436</v>
      </c>
      <c r="I424" s="19" t="n">
        <v>1124</v>
      </c>
      <c r="J424" s="19" t="n">
        <v>1171</v>
      </c>
      <c r="K424" s="19" t="n">
        <v>7.77419558397872</v>
      </c>
    </row>
    <row r="425">
      <c r="A425" s="19" t="n">
        <v>13</v>
      </c>
      <c r="B425" s="19" t="inlineStr">
        <is>
          <t>Trump</t>
        </is>
      </c>
      <c r="C425" s="19" t="inlineStr">
        <is>
          <t>Mafia</t>
        </is>
      </c>
      <c r="D425" s="19" t="inlineStr">
        <is>
          <t>Win</t>
        </is>
      </c>
      <c r="E425" s="19" t="n">
        <v>50</v>
      </c>
      <c r="F425" s="19" t="n">
        <v>22.365059116769</v>
      </c>
      <c r="G425" s="19" t="n">
        <v>23.0323077285868</v>
      </c>
      <c r="H425" s="19" t="n">
        <v>7.95902509748532</v>
      </c>
      <c r="I425" s="19" t="n">
        <v>704</v>
      </c>
      <c r="J425" s="19" t="n">
        <v>754</v>
      </c>
      <c r="K425" s="19" t="n">
        <v>8.003379922411421</v>
      </c>
    </row>
    <row r="426">
      <c r="A426" s="19" t="n">
        <v>13</v>
      </c>
      <c r="B426" s="19" t="inlineStr">
        <is>
          <t>Noah</t>
        </is>
      </c>
      <c r="C426" s="19" t="inlineStr">
        <is>
          <t>Town</t>
        </is>
      </c>
      <c r="D426" s="19" t="inlineStr">
        <is>
          <t>Loss</t>
        </is>
      </c>
      <c r="E426" s="19" t="n">
        <v>-39</v>
      </c>
      <c r="F426" s="19" t="n">
        <v>27.9085477085835</v>
      </c>
      <c r="G426" s="19" t="n">
        <v>27.280195692261</v>
      </c>
      <c r="H426" s="19" t="n">
        <v>7.72639573224915</v>
      </c>
      <c r="I426" s="19" t="n">
        <v>1106</v>
      </c>
      <c r="J426" s="19" t="n">
        <v>1067</v>
      </c>
      <c r="K426" s="19" t="n">
        <v>7.76626513303409</v>
      </c>
    </row>
    <row r="427">
      <c r="A427" s="19" t="n">
        <v>13</v>
      </c>
      <c r="B427" s="19" t="inlineStr">
        <is>
          <t>Whyin</t>
        </is>
      </c>
      <c r="C427" s="19" t="inlineStr">
        <is>
          <t>Town</t>
        </is>
      </c>
      <c r="D427" s="19" t="inlineStr">
        <is>
          <t>Loss</t>
        </is>
      </c>
      <c r="E427" s="19" t="n">
        <v>-42</v>
      </c>
      <c r="F427" s="19" t="n">
        <v>24.7758958419454</v>
      </c>
      <c r="G427" s="19" t="n">
        <v>24.0947907291034</v>
      </c>
      <c r="H427" s="19" t="n">
        <v>8.040189588944591</v>
      </c>
      <c r="I427" s="19" t="n">
        <v>860</v>
      </c>
      <c r="J427" s="19" t="n">
        <v>818</v>
      </c>
      <c r="K427" s="19" t="n">
        <v>8.08617006894835</v>
      </c>
    </row>
    <row r="428">
      <c r="A428" s="19" t="n">
        <v>13</v>
      </c>
      <c r="B428" s="19" t="inlineStr">
        <is>
          <t>Carson</t>
        </is>
      </c>
      <c r="C428" s="19" t="inlineStr">
        <is>
          <t>Town</t>
        </is>
      </c>
      <c r="D428" s="19" t="inlineStr">
        <is>
          <t>Loss</t>
        </is>
      </c>
      <c r="E428" s="19" t="n">
        <v>-40</v>
      </c>
      <c r="F428" s="19" t="n">
        <v>25.1114626289814</v>
      </c>
      <c r="G428" s="19" t="n">
        <v>24.466204250351</v>
      </c>
      <c r="H428" s="19" t="n">
        <v>7.8283997833444</v>
      </c>
      <c r="I428" s="19" t="n">
        <v>905</v>
      </c>
      <c r="J428" s="19" t="n">
        <v>865</v>
      </c>
      <c r="K428" s="19" t="n">
        <v>7.87020458776124</v>
      </c>
    </row>
    <row r="429">
      <c r="A429" s="19" t="n">
        <v>13</v>
      </c>
      <c r="B429" s="19" t="inlineStr">
        <is>
          <t>Sam A</t>
        </is>
      </c>
      <c r="C429" s="19" t="inlineStr">
        <is>
          <t>Town</t>
        </is>
      </c>
      <c r="D429" s="19" t="inlineStr">
        <is>
          <t>Loss</t>
        </is>
      </c>
      <c r="E429" s="19" t="n">
        <v>-44</v>
      </c>
      <c r="F429" s="19" t="n">
        <v>25</v>
      </c>
      <c r="G429" s="19" t="n">
        <v>24.2766790923824</v>
      </c>
      <c r="H429" s="19" t="n">
        <v>8.2823111313004</v>
      </c>
      <c r="I429" s="19" t="n">
        <v>850</v>
      </c>
      <c r="J429" s="19" t="n">
        <v>806</v>
      </c>
      <c r="K429" s="19" t="n">
        <v>8.33333333333333</v>
      </c>
    </row>
    <row r="430">
      <c r="A430" s="19" t="n">
        <v>13</v>
      </c>
      <c r="B430" s="19" t="inlineStr">
        <is>
          <t>Justice</t>
        </is>
      </c>
      <c r="C430" s="19" t="inlineStr">
        <is>
          <t>Town</t>
        </is>
      </c>
      <c r="D430" s="19" t="inlineStr">
        <is>
          <t>Loss</t>
        </is>
      </c>
      <c r="E430" s="19" t="n">
        <v>-41</v>
      </c>
      <c r="F430" s="19" t="n">
        <v>20.3207570655711</v>
      </c>
      <c r="G430" s="19" t="n">
        <v>19.6666863214501</v>
      </c>
      <c r="H430" s="19" t="n">
        <v>7.88101974697611</v>
      </c>
      <c r="I430" s="19" t="n">
        <v>574</v>
      </c>
      <c r="J430" s="19" t="n">
        <v>533</v>
      </c>
      <c r="K430" s="19" t="n">
        <v>7.92384202954174</v>
      </c>
    </row>
    <row r="431">
      <c r="A431" s="19" t="n">
        <v>13</v>
      </c>
      <c r="B431" s="19" t="inlineStr">
        <is>
          <t>Lovekilling</t>
        </is>
      </c>
      <c r="C431" s="19" t="inlineStr">
        <is>
          <t>Town</t>
        </is>
      </c>
      <c r="D431" s="19" t="inlineStr">
        <is>
          <t>Loss</t>
        </is>
      </c>
      <c r="E431" s="19" t="n">
        <v>-43</v>
      </c>
      <c r="F431" s="19" t="n">
        <v>23.3067723662919</v>
      </c>
      <c r="G431" s="19" t="n">
        <v>22.6028667711649</v>
      </c>
      <c r="H431" s="19" t="n">
        <v>8.171897444028721</v>
      </c>
      <c r="I431" s="19" t="n">
        <v>746</v>
      </c>
      <c r="J431" s="19" t="n">
        <v>703</v>
      </c>
      <c r="K431" s="19" t="n">
        <v>8.220584368370631</v>
      </c>
    </row>
    <row r="432">
      <c r="A432" s="19" t="n">
        <v>13</v>
      </c>
      <c r="B432" s="19" t="inlineStr">
        <is>
          <t>Augi</t>
        </is>
      </c>
      <c r="C432" s="19" t="inlineStr">
        <is>
          <t>Town</t>
        </is>
      </c>
      <c r="D432" s="19" t="inlineStr">
        <is>
          <t>Loss</t>
        </is>
      </c>
      <c r="E432" s="19" t="n">
        <v>-44</v>
      </c>
      <c r="F432" s="19" t="n">
        <v>24.3133205523394</v>
      </c>
      <c r="G432" s="19" t="n">
        <v>23.5972000519387</v>
      </c>
      <c r="H432" s="19" t="n">
        <v>8.24154499475442</v>
      </c>
      <c r="I432" s="19" t="n">
        <v>808</v>
      </c>
      <c r="J432" s="19" t="n">
        <v>764</v>
      </c>
      <c r="K432" s="19" t="n">
        <v>8.291697854815711</v>
      </c>
    </row>
    <row r="433">
      <c r="A433" s="19" t="n">
        <v>13</v>
      </c>
      <c r="B433" s="19" t="inlineStr">
        <is>
          <t>Keegan</t>
        </is>
      </c>
      <c r="C433" s="19" t="inlineStr">
        <is>
          <t>Town</t>
        </is>
      </c>
      <c r="D433" s="19" t="inlineStr">
        <is>
          <t>Loss</t>
        </is>
      </c>
      <c r="E433" s="19" t="n">
        <v>-44</v>
      </c>
      <c r="F433" s="19" t="n">
        <v>25</v>
      </c>
      <c r="G433" s="19" t="n">
        <v>24.2766790923824</v>
      </c>
      <c r="H433" s="19" t="n">
        <v>8.2823111313004</v>
      </c>
      <c r="I433" s="19" t="n">
        <v>850</v>
      </c>
      <c r="J433" s="19" t="n">
        <v>806</v>
      </c>
      <c r="K433" s="19" t="n">
        <v>8.33333333333333</v>
      </c>
    </row>
    <row r="434">
      <c r="A434" s="19" t="n">
        <v>13</v>
      </c>
      <c r="B434" s="19" t="inlineStr">
        <is>
          <t>Demon</t>
        </is>
      </c>
      <c r="C434" s="19" t="inlineStr">
        <is>
          <t>Town</t>
        </is>
      </c>
      <c r="D434" s="19" t="inlineStr">
        <is>
          <t>Loss</t>
        </is>
      </c>
      <c r="E434" s="19" t="n">
        <v>-43</v>
      </c>
      <c r="F434" s="19" t="n">
        <v>24.4914384939604</v>
      </c>
      <c r="G434" s="19" t="n">
        <v>23.7919543264064</v>
      </c>
      <c r="H434" s="19" t="n">
        <v>8.14653226540292</v>
      </c>
      <c r="I434" s="19" t="n">
        <v>830</v>
      </c>
      <c r="J434" s="19" t="n">
        <v>787</v>
      </c>
      <c r="K434" s="19" t="n">
        <v>8.194691312698451</v>
      </c>
    </row>
    <row r="435">
      <c r="A435" s="19" t="n">
        <v>13</v>
      </c>
      <c r="B435" s="19" t="inlineStr">
        <is>
          <t>Elmo</t>
        </is>
      </c>
      <c r="C435" s="19" t="inlineStr">
        <is>
          <t>Town</t>
        </is>
      </c>
      <c r="D435" s="19" t="inlineStr">
        <is>
          <t>Loss</t>
        </is>
      </c>
      <c r="E435" s="19" t="n">
        <v>-43</v>
      </c>
      <c r="F435" s="19" t="n">
        <v>22.8603928803792</v>
      </c>
      <c r="G435" s="19" t="n">
        <v>22.1610892715368</v>
      </c>
      <c r="H435" s="19" t="n">
        <v>8.14549465249203</v>
      </c>
      <c r="I435" s="19" t="n">
        <v>719</v>
      </c>
      <c r="J435" s="19" t="n">
        <v>676</v>
      </c>
      <c r="K435" s="19" t="n">
        <v>8.19363217386968</v>
      </c>
    </row>
    <row r="436">
      <c r="A436" s="19" t="n">
        <v>12</v>
      </c>
      <c r="B436" s="19" t="inlineStr">
        <is>
          <t>Demon</t>
        </is>
      </c>
      <c r="C436" s="19" t="inlineStr">
        <is>
          <t>Mafia</t>
        </is>
      </c>
      <c r="D436" s="19" t="inlineStr">
        <is>
          <t>Loss</t>
        </is>
      </c>
      <c r="E436" s="19" t="n">
        <v>-109</v>
      </c>
      <c r="F436" s="19" t="n">
        <v>26.2130677518111</v>
      </c>
      <c r="G436" s="19" t="n">
        <v>24.4914384939604</v>
      </c>
      <c r="H436" s="19" t="n">
        <v>8.194691312698451</v>
      </c>
      <c r="I436" s="19" t="n">
        <v>939</v>
      </c>
      <c r="J436" s="19" t="n">
        <v>830</v>
      </c>
      <c r="K436" s="19" t="n">
        <v>8.26783615591169</v>
      </c>
    </row>
    <row r="437">
      <c r="A437" s="19" t="n">
        <v>12</v>
      </c>
      <c r="B437" s="19" t="inlineStr">
        <is>
          <t>Streety</t>
        </is>
      </c>
      <c r="C437" s="19" t="inlineStr">
        <is>
          <t>Mafia</t>
        </is>
      </c>
      <c r="D437" s="19" t="inlineStr">
        <is>
          <t>Loss</t>
        </is>
      </c>
      <c r="E437" s="19" t="n">
        <v>-105</v>
      </c>
      <c r="F437" s="19" t="n">
        <v>27.6747563796474</v>
      </c>
      <c r="G437" s="19" t="n">
        <v>26.0284048484399</v>
      </c>
      <c r="H437" s="19" t="n">
        <v>8.016909276159421</v>
      </c>
      <c r="I437" s="19" t="n">
        <v>1057</v>
      </c>
      <c r="J437" s="19" t="n">
        <v>952</v>
      </c>
      <c r="K437" s="19" t="n">
        <v>8.08481817930789</v>
      </c>
    </row>
    <row r="438">
      <c r="A438" s="19" t="n">
        <v>12</v>
      </c>
      <c r="B438" s="19" t="inlineStr">
        <is>
          <t>Rocker</t>
        </is>
      </c>
      <c r="C438" s="19" t="inlineStr">
        <is>
          <t>Mafia</t>
        </is>
      </c>
      <c r="D438" s="19" t="inlineStr">
        <is>
          <t>Loss</t>
        </is>
      </c>
      <c r="E438" s="19" t="n">
        <v>-111</v>
      </c>
      <c r="F438" s="19" t="n">
        <v>25</v>
      </c>
      <c r="G438" s="19" t="n">
        <v>23.2510214710014</v>
      </c>
      <c r="H438" s="19" t="n">
        <v>8.258259620863409</v>
      </c>
      <c r="I438" s="19" t="n">
        <v>850</v>
      </c>
      <c r="J438" s="19" t="n">
        <v>739</v>
      </c>
      <c r="K438" s="19" t="n">
        <v>8.33333333333333</v>
      </c>
    </row>
    <row r="439">
      <c r="A439" s="19" t="n">
        <v>12</v>
      </c>
      <c r="B439" s="19" t="inlineStr">
        <is>
          <t>Maz</t>
        </is>
      </c>
      <c r="C439" s="19" t="inlineStr">
        <is>
          <t>Town</t>
        </is>
      </c>
      <c r="D439" s="19" t="inlineStr">
        <is>
          <t>Win</t>
        </is>
      </c>
      <c r="E439" s="19" t="n">
        <v>118</v>
      </c>
      <c r="F439" s="19" t="n">
        <v>22.2249941754516</v>
      </c>
      <c r="G439" s="19" t="n">
        <v>23.8566097677633</v>
      </c>
      <c r="H439" s="19" t="n">
        <v>7.98160795675347</v>
      </c>
      <c r="I439" s="19" t="n">
        <v>690</v>
      </c>
      <c r="J439" s="19" t="n">
        <v>808</v>
      </c>
      <c r="K439" s="19" t="n">
        <v>8.048504562927119</v>
      </c>
    </row>
    <row r="440">
      <c r="A440" s="19" t="n">
        <v>12</v>
      </c>
      <c r="B440" s="19" t="inlineStr">
        <is>
          <t>Kny</t>
        </is>
      </c>
      <c r="C440" s="19" t="inlineStr">
        <is>
          <t>Town</t>
        </is>
      </c>
      <c r="D440" s="19" t="inlineStr">
        <is>
          <t>Win</t>
        </is>
      </c>
      <c r="E440" s="19" t="n">
        <v>119</v>
      </c>
      <c r="F440" s="19" t="n">
        <v>24.9332998054709</v>
      </c>
      <c r="G440" s="19" t="n">
        <v>26.5798667692846</v>
      </c>
      <c r="H440" s="19" t="n">
        <v>8.017424124603499</v>
      </c>
      <c r="I440" s="19" t="n">
        <v>871</v>
      </c>
      <c r="J440" s="19" t="n">
        <v>990</v>
      </c>
      <c r="K440" s="19" t="n">
        <v>8.085347857956659</v>
      </c>
    </row>
    <row r="441">
      <c r="A441" s="19" t="n">
        <v>12</v>
      </c>
      <c r="B441" s="19" t="inlineStr">
        <is>
          <t>Trump</t>
        </is>
      </c>
      <c r="C441" s="19" t="inlineStr">
        <is>
          <t>Town</t>
        </is>
      </c>
      <c r="D441" s="19" t="inlineStr">
        <is>
          <t>Win</t>
        </is>
      </c>
      <c r="E441" s="19" t="n">
        <v>118</v>
      </c>
      <c r="F441" s="19" t="n">
        <v>20.7243634562555</v>
      </c>
      <c r="G441" s="19" t="n">
        <v>22.365059116769</v>
      </c>
      <c r="H441" s="19" t="n">
        <v>8.003379922411421</v>
      </c>
      <c r="I441" s="19" t="n">
        <v>586</v>
      </c>
      <c r="J441" s="19" t="n">
        <v>704</v>
      </c>
      <c r="K441" s="19" t="n">
        <v>8.07089979833435</v>
      </c>
    </row>
    <row r="442">
      <c r="A442" s="19" t="n">
        <v>12</v>
      </c>
      <c r="B442" s="19" t="inlineStr">
        <is>
          <t>Noah</t>
        </is>
      </c>
      <c r="C442" s="19" t="inlineStr">
        <is>
          <t>Town</t>
        </is>
      </c>
      <c r="D442" s="19" t="inlineStr">
        <is>
          <t>Win</t>
        </is>
      </c>
      <c r="E442" s="19" t="n">
        <v>112</v>
      </c>
      <c r="F442" s="19" t="n">
        <v>26.3653112165144</v>
      </c>
      <c r="G442" s="19" t="n">
        <v>27.9085477085835</v>
      </c>
      <c r="H442" s="19" t="n">
        <v>7.76626513303409</v>
      </c>
      <c r="I442" s="19" t="n">
        <v>994</v>
      </c>
      <c r="J442" s="19" t="n">
        <v>1106</v>
      </c>
      <c r="K442" s="19" t="n">
        <v>7.82717844408278</v>
      </c>
    </row>
    <row r="443">
      <c r="A443" s="19" t="n">
        <v>12</v>
      </c>
      <c r="B443" s="19" t="inlineStr">
        <is>
          <t>Carson</t>
        </is>
      </c>
      <c r="C443" s="19" t="inlineStr">
        <is>
          <t>Town</t>
        </is>
      </c>
      <c r="D443" s="19" t="inlineStr">
        <is>
          <t>Win</t>
        </is>
      </c>
      <c r="E443" s="19" t="n">
        <v>115</v>
      </c>
      <c r="F443" s="19" t="n">
        <v>23.5258921743439</v>
      </c>
      <c r="G443" s="19" t="n">
        <v>25.1114626289814</v>
      </c>
      <c r="H443" s="19" t="n">
        <v>7.87020458776124</v>
      </c>
      <c r="I443" s="19" t="n">
        <v>790</v>
      </c>
      <c r="J443" s="19" t="n">
        <v>905</v>
      </c>
      <c r="K443" s="19" t="n">
        <v>7.93396503203052</v>
      </c>
    </row>
    <row r="444">
      <c r="A444" s="19" t="n">
        <v>12</v>
      </c>
      <c r="B444" s="19" t="inlineStr">
        <is>
          <t>Boobles</t>
        </is>
      </c>
      <c r="C444" s="19" t="inlineStr">
        <is>
          <t>Town</t>
        </is>
      </c>
      <c r="D444" s="19" t="inlineStr">
        <is>
          <t>Win</t>
        </is>
      </c>
      <c r="E444" s="19" t="n">
        <v>119</v>
      </c>
      <c r="F444" s="19" t="n">
        <v>24.5867746626197</v>
      </c>
      <c r="G444" s="19" t="n">
        <v>26.2333416264333</v>
      </c>
      <c r="H444" s="19" t="n">
        <v>8.017424124603499</v>
      </c>
      <c r="I444" s="19" t="n">
        <v>847</v>
      </c>
      <c r="J444" s="19" t="n">
        <v>966</v>
      </c>
      <c r="K444" s="19" t="n">
        <v>8.085347857956659</v>
      </c>
    </row>
    <row r="445">
      <c r="A445" s="19" t="n">
        <v>12</v>
      </c>
      <c r="B445" s="19" t="inlineStr">
        <is>
          <t>Torharo</t>
        </is>
      </c>
      <c r="C445" s="19" t="inlineStr">
        <is>
          <t>Town</t>
        </is>
      </c>
      <c r="D445" s="19" t="inlineStr">
        <is>
          <t>Win</t>
        </is>
      </c>
      <c r="E445" s="19" t="n">
        <v>120</v>
      </c>
      <c r="F445" s="19" t="n">
        <v>24.5156436750877</v>
      </c>
      <c r="G445" s="19" t="n">
        <v>26.179694879805</v>
      </c>
      <c r="H445" s="19" t="n">
        <v>8.059090542439231</v>
      </c>
      <c r="I445" s="19" t="n">
        <v>838</v>
      </c>
      <c r="J445" s="19" t="n">
        <v>958</v>
      </c>
      <c r="K445" s="19" t="n">
        <v>8.128220838503021</v>
      </c>
    </row>
    <row r="446">
      <c r="A446" s="19" t="n">
        <v>12</v>
      </c>
      <c r="B446" s="19" t="inlineStr">
        <is>
          <t>Striker</t>
        </is>
      </c>
      <c r="C446" s="19" t="inlineStr">
        <is>
          <t>Town</t>
        </is>
      </c>
      <c r="D446" s="19" t="inlineStr">
        <is>
          <t>Win</t>
        </is>
      </c>
      <c r="E446" s="19" t="n">
        <v>125</v>
      </c>
      <c r="F446" s="19" t="n">
        <v>24.2258907982992</v>
      </c>
      <c r="G446" s="19" t="n">
        <v>25.9532870138891</v>
      </c>
      <c r="H446" s="19" t="n">
        <v>8.20813980679956</v>
      </c>
      <c r="I446" s="19" t="n">
        <v>803</v>
      </c>
      <c r="J446" s="19" t="n">
        <v>928</v>
      </c>
      <c r="K446" s="19" t="n">
        <v>8.281690204646891</v>
      </c>
    </row>
    <row r="447">
      <c r="A447" s="19" t="n">
        <v>12</v>
      </c>
      <c r="B447" s="19" t="inlineStr">
        <is>
          <t>Machop</t>
        </is>
      </c>
      <c r="C447" s="19" t="inlineStr">
        <is>
          <t>Town</t>
        </is>
      </c>
      <c r="D447" s="19" t="inlineStr">
        <is>
          <t>Win</t>
        </is>
      </c>
      <c r="E447" s="19" t="n">
        <v>111</v>
      </c>
      <c r="F447" s="19" t="n">
        <v>26.6433348407743</v>
      </c>
      <c r="G447" s="19" t="n">
        <v>28.1897801010565</v>
      </c>
      <c r="H447" s="19" t="n">
        <v>7.77419558397872</v>
      </c>
      <c r="I447" s="19" t="n">
        <v>1013</v>
      </c>
      <c r="J447" s="19" t="n">
        <v>1124</v>
      </c>
      <c r="K447" s="19" t="n">
        <v>7.8353234746916</v>
      </c>
    </row>
    <row r="448">
      <c r="A448" s="19" t="n">
        <v>12</v>
      </c>
      <c r="B448" s="19" t="inlineStr">
        <is>
          <t>Happymeal</t>
        </is>
      </c>
      <c r="C448" s="19" t="inlineStr">
        <is>
          <t>Town</t>
        </is>
      </c>
      <c r="D448" s="19" t="inlineStr">
        <is>
          <t>Win</t>
        </is>
      </c>
      <c r="E448" s="19" t="n">
        <v>125</v>
      </c>
      <c r="F448" s="19" t="n">
        <v>24.1200046084135</v>
      </c>
      <c r="G448" s="19" t="n">
        <v>25.8456428691416</v>
      </c>
      <c r="H448" s="19" t="n">
        <v>8.204042795076351</v>
      </c>
      <c r="I448" s="19" t="n">
        <v>796</v>
      </c>
      <c r="J448" s="19" t="n">
        <v>921</v>
      </c>
      <c r="K448" s="19" t="n">
        <v>8.27746950025621</v>
      </c>
    </row>
    <row r="449">
      <c r="A449" s="19" t="n">
        <v>11</v>
      </c>
      <c r="B449" s="19" t="inlineStr">
        <is>
          <t>Carson</t>
        </is>
      </c>
      <c r="C449" s="19" t="inlineStr">
        <is>
          <t>Mafia</t>
        </is>
      </c>
      <c r="D449" s="19" t="inlineStr">
        <is>
          <t>Loss</t>
        </is>
      </c>
      <c r="E449" s="19" t="n">
        <v>-71</v>
      </c>
      <c r="F449" s="19" t="n">
        <v>24.6414212046527</v>
      </c>
      <c r="G449" s="19" t="n">
        <v>23.5258921743439</v>
      </c>
      <c r="H449" s="19" t="n">
        <v>7.93396503203052</v>
      </c>
      <c r="I449" s="19" t="n">
        <v>861</v>
      </c>
      <c r="J449" s="19" t="n">
        <v>790</v>
      </c>
      <c r="K449" s="19" t="n">
        <v>7.99083301573706</v>
      </c>
    </row>
    <row r="450">
      <c r="A450" s="19" t="n">
        <v>11</v>
      </c>
      <c r="B450" s="19" t="inlineStr">
        <is>
          <t>Heck</t>
        </is>
      </c>
      <c r="C450" s="19" t="inlineStr">
        <is>
          <t>Mafia</t>
        </is>
      </c>
      <c r="D450" s="19" t="inlineStr">
        <is>
          <t>Loss</t>
        </is>
      </c>
      <c r="E450" s="19" t="n">
        <v>-72</v>
      </c>
      <c r="F450" s="19" t="n">
        <v>23.3252626808608</v>
      </c>
      <c r="G450" s="19" t="n">
        <v>22.1783614060891</v>
      </c>
      <c r="H450" s="19" t="n">
        <v>8.0429663326838</v>
      </c>
      <c r="I450" s="19" t="n">
        <v>760</v>
      </c>
      <c r="J450" s="19" t="n">
        <v>688</v>
      </c>
      <c r="K450" s="19" t="n">
        <v>8.10257400880896</v>
      </c>
    </row>
    <row r="451">
      <c r="A451" s="19" t="n">
        <v>11</v>
      </c>
      <c r="B451" s="19" t="inlineStr">
        <is>
          <t>Trump</t>
        </is>
      </c>
      <c r="C451" s="19" t="inlineStr">
        <is>
          <t>Mafia</t>
        </is>
      </c>
      <c r="D451" s="19" t="inlineStr">
        <is>
          <t>Loss</t>
        </is>
      </c>
      <c r="E451" s="19" t="n">
        <v>-72</v>
      </c>
      <c r="F451" s="19" t="n">
        <v>21.8793779339593</v>
      </c>
      <c r="G451" s="19" t="n">
        <v>20.7243634562555</v>
      </c>
      <c r="H451" s="19" t="n">
        <v>8.07089979833435</v>
      </c>
      <c r="I451" s="19" t="n">
        <v>658</v>
      </c>
      <c r="J451" s="19" t="n">
        <v>586</v>
      </c>
      <c r="K451" s="19" t="n">
        <v>8.13122153983142</v>
      </c>
    </row>
    <row r="452">
      <c r="A452" s="19" t="n">
        <v>11</v>
      </c>
      <c r="B452" s="19" t="inlineStr">
        <is>
          <t>Hydro</t>
        </is>
      </c>
      <c r="C452" s="19" t="inlineStr">
        <is>
          <t>Town</t>
        </is>
      </c>
      <c r="D452" s="19" t="inlineStr">
        <is>
          <t>Win</t>
        </is>
      </c>
      <c r="E452" s="19" t="n">
        <v>89</v>
      </c>
      <c r="F452" s="19" t="n">
        <v>25</v>
      </c>
      <c r="G452" s="19" t="n">
        <v>26.2130677518111</v>
      </c>
      <c r="H452" s="19" t="n">
        <v>8.26783615591169</v>
      </c>
      <c r="I452" s="19" t="n">
        <v>850</v>
      </c>
      <c r="J452" s="19" t="n">
        <v>939</v>
      </c>
      <c r="K452" s="19" t="n">
        <v>8.33333333333333</v>
      </c>
    </row>
    <row r="453">
      <c r="A453" s="19" t="n">
        <v>11</v>
      </c>
      <c r="B453" s="19" t="inlineStr">
        <is>
          <t>Machop</t>
        </is>
      </c>
      <c r="C453" s="19" t="inlineStr">
        <is>
          <t>Town</t>
        </is>
      </c>
      <c r="D453" s="19" t="inlineStr">
        <is>
          <t>Win</t>
        </is>
      </c>
      <c r="E453" s="19" t="n">
        <v>80</v>
      </c>
      <c r="F453" s="19" t="n">
        <v>25.5558034294495</v>
      </c>
      <c r="G453" s="19" t="n">
        <v>26.6433348407743</v>
      </c>
      <c r="H453" s="19" t="n">
        <v>7.8353234746916</v>
      </c>
      <c r="I453" s="19" t="n">
        <v>933</v>
      </c>
      <c r="J453" s="19" t="n">
        <v>1013</v>
      </c>
      <c r="K453" s="19" t="n">
        <v>7.88977543610669</v>
      </c>
    </row>
    <row r="454">
      <c r="A454" s="19" t="n">
        <v>11</v>
      </c>
      <c r="B454" s="19" t="inlineStr">
        <is>
          <t>Streety</t>
        </is>
      </c>
      <c r="C454" s="19" t="inlineStr">
        <is>
          <t>Town</t>
        </is>
      </c>
      <c r="D454" s="19" t="inlineStr">
        <is>
          <t>Win</t>
        </is>
      </c>
      <c r="E454" s="19" t="n">
        <v>85</v>
      </c>
      <c r="F454" s="19" t="n">
        <v>26.5156881333133</v>
      </c>
      <c r="G454" s="19" t="n">
        <v>27.6747563796474</v>
      </c>
      <c r="H454" s="19" t="n">
        <v>8.08481817930789</v>
      </c>
      <c r="I454" s="19" t="n">
        <v>972</v>
      </c>
      <c r="J454" s="19" t="n">
        <v>1057</v>
      </c>
      <c r="K454" s="19" t="n">
        <v>8.14549755565627</v>
      </c>
    </row>
    <row r="455">
      <c r="A455" s="19" t="n">
        <v>11</v>
      </c>
      <c r="B455" s="19" t="inlineStr">
        <is>
          <t>Justice</t>
        </is>
      </c>
      <c r="C455" s="19" t="inlineStr">
        <is>
          <t>Town</t>
        </is>
      </c>
      <c r="D455" s="19" t="inlineStr">
        <is>
          <t>Win</t>
        </is>
      </c>
      <c r="E455" s="19" t="n">
        <v>82</v>
      </c>
      <c r="F455" s="19" t="n">
        <v>19.2081184396196</v>
      </c>
      <c r="G455" s="19" t="n">
        <v>20.3207570655711</v>
      </c>
      <c r="H455" s="19" t="n">
        <v>7.92384202954174</v>
      </c>
      <c r="I455" s="19" t="n">
        <v>492</v>
      </c>
      <c r="J455" s="19" t="n">
        <v>574</v>
      </c>
      <c r="K455" s="19" t="n">
        <v>7.98045932071864</v>
      </c>
    </row>
    <row r="456">
      <c r="A456" s="19" t="n">
        <v>11</v>
      </c>
      <c r="B456" s="19" t="inlineStr">
        <is>
          <t>Kny</t>
        </is>
      </c>
      <c r="C456" s="19" t="inlineStr">
        <is>
          <t>Town</t>
        </is>
      </c>
      <c r="D456" s="19" t="inlineStr">
        <is>
          <t>Win</t>
        </is>
      </c>
      <c r="E456" s="19" t="n">
        <v>85</v>
      </c>
      <c r="F456" s="19" t="n">
        <v>23.7740771413648</v>
      </c>
      <c r="G456" s="19" t="n">
        <v>24.9332998054709</v>
      </c>
      <c r="H456" s="19" t="n">
        <v>8.085347857956659</v>
      </c>
      <c r="I456" s="19" t="n">
        <v>786</v>
      </c>
      <c r="J456" s="19" t="n">
        <v>871</v>
      </c>
      <c r="K456" s="19" t="n">
        <v>8.14604086868103</v>
      </c>
    </row>
    <row r="457">
      <c r="A457" s="19" t="n">
        <v>11</v>
      </c>
      <c r="B457" s="19" t="inlineStr">
        <is>
          <t>Noah</t>
        </is>
      </c>
      <c r="C457" s="19" t="inlineStr">
        <is>
          <t>Town</t>
        </is>
      </c>
      <c r="D457" s="19" t="inlineStr">
        <is>
          <t>Win</t>
        </is>
      </c>
      <c r="E457" s="19" t="n">
        <v>79</v>
      </c>
      <c r="F457" s="19" t="n">
        <v>25.2800749681496</v>
      </c>
      <c r="G457" s="19" t="n">
        <v>26.3653112165144</v>
      </c>
      <c r="H457" s="19" t="n">
        <v>7.82717844408278</v>
      </c>
      <c r="I457" s="19" t="n">
        <v>915</v>
      </c>
      <c r="J457" s="19" t="n">
        <v>994</v>
      </c>
      <c r="K457" s="19" t="n">
        <v>7.88143356507915</v>
      </c>
    </row>
    <row r="458">
      <c r="A458" s="19" t="n">
        <v>11</v>
      </c>
      <c r="B458" s="19" t="inlineStr">
        <is>
          <t>QE</t>
        </is>
      </c>
      <c r="C458" s="19" t="inlineStr">
        <is>
          <t>Town</t>
        </is>
      </c>
      <c r="D458" s="19" t="inlineStr">
        <is>
          <t>Win</t>
        </is>
      </c>
      <c r="E458" s="19" t="n">
        <v>86</v>
      </c>
      <c r="F458" s="19" t="n">
        <v>22.7024010398895</v>
      </c>
      <c r="G458" s="19" t="n">
        <v>23.8734409055163</v>
      </c>
      <c r="H458" s="19" t="n">
        <v>8.125773436943931</v>
      </c>
      <c r="I458" s="19" t="n">
        <v>709</v>
      </c>
      <c r="J458" s="19" t="n">
        <v>795</v>
      </c>
      <c r="K458" s="19" t="n">
        <v>8.187512288386181</v>
      </c>
    </row>
    <row r="459">
      <c r="A459" s="19" t="n">
        <v>11</v>
      </c>
      <c r="B459" s="19" t="inlineStr">
        <is>
          <t>Boobles</t>
        </is>
      </c>
      <c r="C459" s="19" t="inlineStr">
        <is>
          <t>Town</t>
        </is>
      </c>
      <c r="D459" s="19" t="inlineStr">
        <is>
          <t>Win</t>
        </is>
      </c>
      <c r="E459" s="19" t="n">
        <v>85</v>
      </c>
      <c r="F459" s="19" t="n">
        <v>23.4275519985135</v>
      </c>
      <c r="G459" s="19" t="n">
        <v>24.5867746626197</v>
      </c>
      <c r="H459" s="19" t="n">
        <v>8.085347857956659</v>
      </c>
      <c r="I459" s="19" t="n">
        <v>762</v>
      </c>
      <c r="J459" s="19" t="n">
        <v>847</v>
      </c>
      <c r="K459" s="19" t="n">
        <v>8.14604086868103</v>
      </c>
    </row>
    <row r="460">
      <c r="A460" s="19" t="n">
        <v>11</v>
      </c>
      <c r="B460" s="19" t="inlineStr">
        <is>
          <t>Demon</t>
        </is>
      </c>
      <c r="C460" s="19" t="inlineStr">
        <is>
          <t>Town</t>
        </is>
      </c>
      <c r="D460" s="19" t="inlineStr">
        <is>
          <t>Win</t>
        </is>
      </c>
      <c r="E460" s="19" t="n">
        <v>89</v>
      </c>
      <c r="F460" s="19" t="n">
        <v>25</v>
      </c>
      <c r="G460" s="19" t="n">
        <v>26.2130677518111</v>
      </c>
      <c r="H460" s="19" t="n">
        <v>8.26783615591169</v>
      </c>
      <c r="I460" s="19" t="n">
        <v>850</v>
      </c>
      <c r="J460" s="19" t="n">
        <v>939</v>
      </c>
      <c r="K460" s="19" t="n">
        <v>8.33333333333333</v>
      </c>
    </row>
    <row r="461">
      <c r="A461" s="19" t="n">
        <v>11</v>
      </c>
      <c r="B461" s="19" t="inlineStr">
        <is>
          <t>Kowa</t>
        </is>
      </c>
      <c r="C461" s="19" t="inlineStr">
        <is>
          <t>Town</t>
        </is>
      </c>
      <c r="D461" s="19" t="inlineStr">
        <is>
          <t>Win</t>
        </is>
      </c>
      <c r="E461" s="19" t="n">
        <v>89</v>
      </c>
      <c r="F461" s="19" t="n">
        <v>25</v>
      </c>
      <c r="G461" s="19" t="n">
        <v>26.2130677518111</v>
      </c>
      <c r="H461" s="19" t="n">
        <v>8.26783615591169</v>
      </c>
      <c r="I461" s="19" t="n">
        <v>850</v>
      </c>
      <c r="J461" s="19" t="n">
        <v>939</v>
      </c>
      <c r="K461" s="19" t="n">
        <v>8.33333333333333</v>
      </c>
    </row>
    <row r="462">
      <c r="A462" s="19" t="n">
        <v>10</v>
      </c>
      <c r="B462" s="19" t="inlineStr">
        <is>
          <t>Streety</t>
        </is>
      </c>
      <c r="C462" s="19" t="inlineStr">
        <is>
          <t>Mafia</t>
        </is>
      </c>
      <c r="D462" s="19" t="inlineStr">
        <is>
          <t>Win</t>
        </is>
      </c>
      <c r="E462" s="19" t="n">
        <v>63</v>
      </c>
      <c r="F462" s="19" t="n">
        <v>25.6639356220467</v>
      </c>
      <c r="G462" s="19" t="n">
        <v>26.5156881333133</v>
      </c>
      <c r="H462" s="19" t="n">
        <v>8.14549755565627</v>
      </c>
      <c r="I462" s="19" t="n">
        <v>909</v>
      </c>
      <c r="J462" s="19" t="n">
        <v>972</v>
      </c>
      <c r="K462" s="19" t="n">
        <v>8.198340175285161</v>
      </c>
    </row>
    <row r="463">
      <c r="A463" s="19" t="n">
        <v>10</v>
      </c>
      <c r="B463" s="19" t="inlineStr">
        <is>
          <t>Maz</t>
        </is>
      </c>
      <c r="C463" s="19" t="inlineStr">
        <is>
          <t>Mafia</t>
        </is>
      </c>
      <c r="D463" s="19" t="inlineStr">
        <is>
          <t>Win</t>
        </is>
      </c>
      <c r="E463" s="19" t="n">
        <v>61</v>
      </c>
      <c r="F463" s="19" t="n">
        <v>21.393692365791</v>
      </c>
      <c r="G463" s="19" t="n">
        <v>22.2249941754516</v>
      </c>
      <c r="H463" s="19" t="n">
        <v>8.048504562927119</v>
      </c>
      <c r="I463" s="19" t="n">
        <v>629</v>
      </c>
      <c r="J463" s="19" t="n">
        <v>690</v>
      </c>
      <c r="K463" s="19" t="n">
        <v>8.09918712338804</v>
      </c>
    </row>
    <row r="464">
      <c r="A464" s="19" t="n">
        <v>10</v>
      </c>
      <c r="B464" s="19" t="inlineStr">
        <is>
          <t>Kny</t>
        </is>
      </c>
      <c r="C464" s="19" t="inlineStr">
        <is>
          <t>Mafia</t>
        </is>
      </c>
      <c r="D464" s="19" t="inlineStr">
        <is>
          <t>Win</t>
        </is>
      </c>
      <c r="E464" s="19" t="n">
        <v>64</v>
      </c>
      <c r="F464" s="19" t="n">
        <v>22.9222093435153</v>
      </c>
      <c r="G464" s="19" t="n">
        <v>23.7740771413648</v>
      </c>
      <c r="H464" s="19" t="n">
        <v>8.14604086868103</v>
      </c>
      <c r="I464" s="19" t="n">
        <v>722</v>
      </c>
      <c r="J464" s="19" t="n">
        <v>786</v>
      </c>
      <c r="K464" s="19" t="n">
        <v>8.19889573111989</v>
      </c>
    </row>
    <row r="465">
      <c r="A465" s="19" t="n">
        <v>10</v>
      </c>
      <c r="B465" s="19" t="inlineStr">
        <is>
          <t>Happymeal</t>
        </is>
      </c>
      <c r="C465" s="19" t="inlineStr">
        <is>
          <t>Town</t>
        </is>
      </c>
      <c r="D465" s="19" t="inlineStr">
        <is>
          <t>Loss</t>
        </is>
      </c>
      <c r="E465" s="19" t="n">
        <v>-54</v>
      </c>
      <c r="F465" s="19" t="n">
        <v>25</v>
      </c>
      <c r="G465" s="19" t="n">
        <v>24.1200046084135</v>
      </c>
      <c r="H465" s="19" t="n">
        <v>8.27746950025621</v>
      </c>
      <c r="I465" s="19" t="n">
        <v>850</v>
      </c>
      <c r="J465" s="19" t="n">
        <v>796</v>
      </c>
      <c r="K465" s="19" t="n">
        <v>8.33333333333333</v>
      </c>
    </row>
    <row r="466">
      <c r="A466" s="19" t="n">
        <v>10</v>
      </c>
      <c r="B466" s="19" t="inlineStr">
        <is>
          <t>Zesta</t>
        </is>
      </c>
      <c r="C466" s="19" t="inlineStr">
        <is>
          <t>Town</t>
        </is>
      </c>
      <c r="D466" s="19" t="inlineStr">
        <is>
          <t>Loss</t>
        </is>
      </c>
      <c r="E466" s="19" t="n">
        <v>-51</v>
      </c>
      <c r="F466" s="19" t="n">
        <v>23.0677603476924</v>
      </c>
      <c r="G466" s="19" t="n">
        <v>22.2364585380318</v>
      </c>
      <c r="H466" s="19" t="n">
        <v>8.048504562927119</v>
      </c>
      <c r="I466" s="19" t="n">
        <v>742</v>
      </c>
      <c r="J466" s="19" t="n">
        <v>691</v>
      </c>
      <c r="K466" s="19" t="n">
        <v>8.09918712338804</v>
      </c>
    </row>
    <row r="467">
      <c r="A467" s="19" t="n">
        <v>10</v>
      </c>
      <c r="B467" s="19" t="inlineStr">
        <is>
          <t>Lombax</t>
        </is>
      </c>
      <c r="C467" s="19" t="inlineStr">
        <is>
          <t>Town</t>
        </is>
      </c>
      <c r="D467" s="19" t="inlineStr">
        <is>
          <t>Loss</t>
        </is>
      </c>
      <c r="E467" s="19" t="n">
        <v>-52</v>
      </c>
      <c r="F467" s="19" t="n">
        <v>25.4432343670612</v>
      </c>
      <c r="G467" s="19" t="n">
        <v>24.5882138439481</v>
      </c>
      <c r="H467" s="19" t="n">
        <v>8.160883920559151</v>
      </c>
      <c r="I467" s="19" t="n">
        <v>892</v>
      </c>
      <c r="J467" s="19" t="n">
        <v>840</v>
      </c>
      <c r="K467" s="19" t="n">
        <v>8.21407387107495</v>
      </c>
    </row>
    <row r="468">
      <c r="A468" s="19" t="n">
        <v>10</v>
      </c>
      <c r="B468" s="19" t="inlineStr">
        <is>
          <t>Noah</t>
        </is>
      </c>
      <c r="C468" s="19" t="inlineStr">
        <is>
          <t>Town</t>
        </is>
      </c>
      <c r="D468" s="19" t="inlineStr">
        <is>
          <t>Loss</t>
        </is>
      </c>
      <c r="E468" s="19" t="n">
        <v>-50</v>
      </c>
      <c r="F468" s="19" t="n">
        <v>26.0767573667153</v>
      </c>
      <c r="G468" s="19" t="n">
        <v>25.2800749681496</v>
      </c>
      <c r="H468" s="19" t="n">
        <v>7.88143356507915</v>
      </c>
      <c r="I468" s="19" t="n">
        <v>965</v>
      </c>
      <c r="J468" s="19" t="n">
        <v>915</v>
      </c>
      <c r="K468" s="19" t="n">
        <v>7.92851284982289</v>
      </c>
    </row>
    <row r="469">
      <c r="A469" s="19" t="n">
        <v>10</v>
      </c>
      <c r="B469" s="19" t="inlineStr">
        <is>
          <t>Robin</t>
        </is>
      </c>
      <c r="C469" s="19" t="inlineStr">
        <is>
          <t>Town</t>
        </is>
      </c>
      <c r="D469" s="19" t="inlineStr">
        <is>
          <t>Loss</t>
        </is>
      </c>
      <c r="E469" s="19" t="n">
        <v>-54</v>
      </c>
      <c r="F469" s="19" t="n">
        <v>25</v>
      </c>
      <c r="G469" s="19" t="n">
        <v>24.1200046084135</v>
      </c>
      <c r="H469" s="19" t="n">
        <v>8.27746950025621</v>
      </c>
      <c r="I469" s="19" t="n">
        <v>850</v>
      </c>
      <c r="J469" s="19" t="n">
        <v>796</v>
      </c>
      <c r="K469" s="19" t="n">
        <v>8.33333333333333</v>
      </c>
    </row>
    <row r="470">
      <c r="A470" s="19" t="n">
        <v>10</v>
      </c>
      <c r="B470" s="19" t="inlineStr">
        <is>
          <t>Zangetsu</t>
        </is>
      </c>
      <c r="C470" s="19" t="inlineStr">
        <is>
          <t>Town</t>
        </is>
      </c>
      <c r="D470" s="19" t="inlineStr">
        <is>
          <t>Loss</t>
        </is>
      </c>
      <c r="E470" s="19" t="n">
        <v>-54</v>
      </c>
      <c r="F470" s="19" t="n">
        <v>25</v>
      </c>
      <c r="G470" s="19" t="n">
        <v>24.1200046084135</v>
      </c>
      <c r="H470" s="19" t="n">
        <v>8.27746950025621</v>
      </c>
      <c r="I470" s="19" t="n">
        <v>850</v>
      </c>
      <c r="J470" s="19" t="n">
        <v>796</v>
      </c>
      <c r="K470" s="19" t="n">
        <v>8.33333333333333</v>
      </c>
    </row>
    <row r="471">
      <c r="A471" s="19" t="n">
        <v>10</v>
      </c>
      <c r="B471" s="19" t="inlineStr">
        <is>
          <t>QE</t>
        </is>
      </c>
      <c r="C471" s="19" t="inlineStr">
        <is>
          <t>Town</t>
        </is>
      </c>
      <c r="D471" s="19" t="inlineStr">
        <is>
          <t>Loss</t>
        </is>
      </c>
      <c r="E471" s="19" t="n">
        <v>-53</v>
      </c>
      <c r="F471" s="19" t="n">
        <v>23.5630927788219</v>
      </c>
      <c r="G471" s="19" t="n">
        <v>22.7024010398895</v>
      </c>
      <c r="H471" s="19" t="n">
        <v>8.187512288386181</v>
      </c>
      <c r="I471" s="19" t="n">
        <v>762</v>
      </c>
      <c r="J471" s="19" t="n">
        <v>709</v>
      </c>
      <c r="K471" s="19" t="n">
        <v>8.24130639183328</v>
      </c>
    </row>
    <row r="472">
      <c r="A472" s="19" t="n">
        <v>10</v>
      </c>
      <c r="B472" s="19" t="inlineStr">
        <is>
          <t>Boobles</t>
        </is>
      </c>
      <c r="C472" s="19" t="inlineStr">
        <is>
          <t>Town</t>
        </is>
      </c>
      <c r="D472" s="19" t="inlineStr">
        <is>
          <t>Loss</t>
        </is>
      </c>
      <c r="E472" s="19" t="n">
        <v>-53</v>
      </c>
      <c r="F472" s="19" t="n">
        <v>24.279419796363</v>
      </c>
      <c r="G472" s="19" t="n">
        <v>23.4275519985135</v>
      </c>
      <c r="H472" s="19" t="n">
        <v>8.14604086868103</v>
      </c>
      <c r="I472" s="19" t="n">
        <v>815</v>
      </c>
      <c r="J472" s="19" t="n">
        <v>762</v>
      </c>
      <c r="K472" s="19" t="n">
        <v>8.19889573111989</v>
      </c>
    </row>
    <row r="473">
      <c r="A473" s="19" t="n">
        <v>10</v>
      </c>
      <c r="B473" s="19" t="inlineStr">
        <is>
          <t>Trump</t>
        </is>
      </c>
      <c r="C473" s="19" t="inlineStr">
        <is>
          <t>Town</t>
        </is>
      </c>
      <c r="D473" s="19" t="inlineStr">
        <is>
          <t>Loss</t>
        </is>
      </c>
      <c r="E473" s="19" t="n">
        <v>-53</v>
      </c>
      <c r="F473" s="19" t="n">
        <v>22.7281041096494</v>
      </c>
      <c r="G473" s="19" t="n">
        <v>21.8793779339593</v>
      </c>
      <c r="H473" s="19" t="n">
        <v>8.13122153983142</v>
      </c>
      <c r="I473" s="19" t="n">
        <v>711</v>
      </c>
      <c r="J473" s="19" t="n">
        <v>658</v>
      </c>
      <c r="K473" s="19" t="n">
        <v>8.183743042896539</v>
      </c>
    </row>
    <row r="474">
      <c r="A474" s="19" t="n">
        <v>10</v>
      </c>
      <c r="B474" s="19" t="inlineStr">
        <is>
          <t>Justice</t>
        </is>
      </c>
      <c r="C474" s="19" t="inlineStr">
        <is>
          <t>Town</t>
        </is>
      </c>
      <c r="D474" s="19" t="inlineStr">
        <is>
          <t>Loss</t>
        </is>
      </c>
      <c r="E474" s="19" t="n">
        <v>-51</v>
      </c>
      <c r="F474" s="19" t="n">
        <v>20.0252277313857</v>
      </c>
      <c r="G474" s="19" t="n">
        <v>19.2081184396196</v>
      </c>
      <c r="H474" s="19" t="n">
        <v>7.98045932071864</v>
      </c>
      <c r="I474" s="19" t="n">
        <v>543</v>
      </c>
      <c r="J474" s="19" t="n">
        <v>492</v>
      </c>
      <c r="K474" s="19" t="n">
        <v>8.02965655026162</v>
      </c>
    </row>
    <row r="475">
      <c r="A475" s="19" t="n">
        <v>9</v>
      </c>
      <c r="B475" s="19" t="inlineStr">
        <is>
          <t>Carson</t>
        </is>
      </c>
      <c r="C475" s="19" t="inlineStr">
        <is>
          <t>Mafia</t>
        </is>
      </c>
      <c r="D475" s="19" t="inlineStr">
        <is>
          <t>Win</t>
        </is>
      </c>
      <c r="E475" s="19" t="n">
        <v>49</v>
      </c>
      <c r="F475" s="19" t="n">
        <v>23.9813202826369</v>
      </c>
      <c r="G475" s="19" t="n">
        <v>24.6414212046527</v>
      </c>
      <c r="H475" s="19" t="n">
        <v>7.99083301573706</v>
      </c>
      <c r="I475" s="19" t="n">
        <v>812</v>
      </c>
      <c r="J475" s="19" t="n">
        <v>861</v>
      </c>
      <c r="K475" s="19" t="n">
        <v>8.031395329687079</v>
      </c>
    </row>
    <row r="476">
      <c r="A476" s="19" t="n">
        <v>9</v>
      </c>
      <c r="B476" s="19" t="inlineStr">
        <is>
          <t>Machop</t>
        </is>
      </c>
      <c r="C476" s="19" t="inlineStr">
        <is>
          <t>Mafia</t>
        </is>
      </c>
      <c r="D476" s="19" t="inlineStr">
        <is>
          <t>Win</t>
        </is>
      </c>
      <c r="E476" s="19" t="n">
        <v>48</v>
      </c>
      <c r="F476" s="19" t="n">
        <v>24.9124826097802</v>
      </c>
      <c r="G476" s="19" t="n">
        <v>25.5558034294495</v>
      </c>
      <c r="H476" s="19" t="n">
        <v>7.88977543610669</v>
      </c>
      <c r="I476" s="19" t="n">
        <v>885</v>
      </c>
      <c r="J476" s="19" t="n">
        <v>933</v>
      </c>
      <c r="K476" s="19" t="n">
        <v>7.92851284982289</v>
      </c>
    </row>
    <row r="477">
      <c r="A477" s="19" t="n">
        <v>9</v>
      </c>
      <c r="B477" s="19" t="inlineStr">
        <is>
          <t>Whyin</t>
        </is>
      </c>
      <c r="C477" s="19" t="inlineStr">
        <is>
          <t>Mafia</t>
        </is>
      </c>
      <c r="D477" s="19" t="inlineStr">
        <is>
          <t>Win</t>
        </is>
      </c>
      <c r="E477" s="19" t="n">
        <v>50</v>
      </c>
      <c r="F477" s="19" t="n">
        <v>24.0997595679105</v>
      </c>
      <c r="G477" s="19" t="n">
        <v>24.7758958419454</v>
      </c>
      <c r="H477" s="19" t="n">
        <v>8.08617006894835</v>
      </c>
      <c r="I477" s="19" t="n">
        <v>810</v>
      </c>
      <c r="J477" s="19" t="n">
        <v>860</v>
      </c>
      <c r="K477" s="19" t="n">
        <v>8.12849489795147</v>
      </c>
    </row>
    <row r="478">
      <c r="A478" s="19" t="n">
        <v>9</v>
      </c>
      <c r="B478" s="19" t="inlineStr">
        <is>
          <t>Boobles</t>
        </is>
      </c>
      <c r="C478" s="19" t="inlineStr">
        <is>
          <t>Town</t>
        </is>
      </c>
      <c r="D478" s="19" t="inlineStr">
        <is>
          <t>Loss</t>
        </is>
      </c>
      <c r="E478" s="19" t="n">
        <v>-42</v>
      </c>
      <c r="F478" s="19" t="n">
        <v>24.9747735336744</v>
      </c>
      <c r="G478" s="19" t="n">
        <v>24.279419796363</v>
      </c>
      <c r="H478" s="19" t="n">
        <v>8.19889573111989</v>
      </c>
      <c r="I478" s="19" t="n">
        <v>857</v>
      </c>
      <c r="J478" s="19" t="n">
        <v>815</v>
      </c>
      <c r="K478" s="19" t="n">
        <v>8.2433566584626</v>
      </c>
    </row>
    <row r="479">
      <c r="A479" s="19" t="n">
        <v>9</v>
      </c>
      <c r="B479" s="19" t="inlineStr">
        <is>
          <t>Trump</t>
        </is>
      </c>
      <c r="C479" s="19" t="inlineStr">
        <is>
          <t>Town</t>
        </is>
      </c>
      <c r="D479" s="19" t="inlineStr">
        <is>
          <t>Loss</t>
        </is>
      </c>
      <c r="E479" s="19" t="n">
        <v>-42</v>
      </c>
      <c r="F479" s="19" t="n">
        <v>23.4208583722278</v>
      </c>
      <c r="G479" s="19" t="n">
        <v>22.7281041096494</v>
      </c>
      <c r="H479" s="19" t="n">
        <v>8.183743042896539</v>
      </c>
      <c r="I479" s="19" t="n">
        <v>753</v>
      </c>
      <c r="J479" s="19" t="n">
        <v>711</v>
      </c>
      <c r="K479" s="19" t="n">
        <v>8.227913514623591</v>
      </c>
    </row>
    <row r="480">
      <c r="A480" s="19" t="n">
        <v>9</v>
      </c>
      <c r="B480" s="19" t="inlineStr">
        <is>
          <t>Maz</t>
        </is>
      </c>
      <c r="C480" s="19" t="inlineStr">
        <is>
          <t>Town</t>
        </is>
      </c>
      <c r="D480" s="19" t="inlineStr">
        <is>
          <t>Loss</t>
        </is>
      </c>
      <c r="E480" s="19" t="n">
        <v>-41</v>
      </c>
      <c r="F480" s="19" t="n">
        <v>22.0720335324189</v>
      </c>
      <c r="G480" s="19" t="n">
        <v>21.393692365791</v>
      </c>
      <c r="H480" s="19" t="n">
        <v>8.09918712338804</v>
      </c>
      <c r="I480" s="19" t="n">
        <v>670</v>
      </c>
      <c r="J480" s="19" t="n">
        <v>629</v>
      </c>
      <c r="K480" s="19" t="n">
        <v>8.141755718648101</v>
      </c>
    </row>
    <row r="481">
      <c r="A481" s="19" t="n">
        <v>9</v>
      </c>
      <c r="B481" s="19" t="inlineStr">
        <is>
          <t>Kny</t>
        </is>
      </c>
      <c r="C481" s="19" t="inlineStr">
        <is>
          <t>Town</t>
        </is>
      </c>
      <c r="D481" s="19" t="inlineStr">
        <is>
          <t>Loss</t>
        </is>
      </c>
      <c r="E481" s="19" t="n">
        <v>-43</v>
      </c>
      <c r="F481" s="19" t="n">
        <v>23.6175630808268</v>
      </c>
      <c r="G481" s="19" t="n">
        <v>22.9222093435153</v>
      </c>
      <c r="H481" s="19" t="n">
        <v>8.19889573111989</v>
      </c>
      <c r="I481" s="19" t="n">
        <v>765</v>
      </c>
      <c r="J481" s="19" t="n">
        <v>722</v>
      </c>
      <c r="K481" s="19" t="n">
        <v>8.2433566584626</v>
      </c>
    </row>
    <row r="482">
      <c r="A482" s="19" t="n">
        <v>9</v>
      </c>
      <c r="B482" s="19" t="inlineStr">
        <is>
          <t>Justice</t>
        </is>
      </c>
      <c r="C482" s="19" t="inlineStr">
        <is>
          <t>Town</t>
        </is>
      </c>
      <c r="D482" s="19" t="inlineStr">
        <is>
          <t>Loss</t>
        </is>
      </c>
      <c r="E482" s="19" t="n">
        <v>-41</v>
      </c>
      <c r="F482" s="19" t="n">
        <v>20.6918345778947</v>
      </c>
      <c r="G482" s="19" t="n">
        <v>20.0252277313857</v>
      </c>
      <c r="H482" s="19" t="n">
        <v>8.02965655026162</v>
      </c>
      <c r="I482" s="19" t="n">
        <v>584</v>
      </c>
      <c r="J482" s="19" t="n">
        <v>543</v>
      </c>
      <c r="K482" s="19" t="n">
        <v>8.0709317714712</v>
      </c>
    </row>
    <row r="483">
      <c r="A483" s="19" t="n">
        <v>9</v>
      </c>
      <c r="B483" s="19" t="inlineStr">
        <is>
          <t>AsianSam</t>
        </is>
      </c>
      <c r="C483" s="19" t="inlineStr">
        <is>
          <t>Town</t>
        </is>
      </c>
      <c r="D483" s="19" t="inlineStr">
        <is>
          <t>Loss</t>
        </is>
      </c>
      <c r="E483" s="19" t="n">
        <v>-43</v>
      </c>
      <c r="F483" s="19" t="n">
        <v>27.0317201901292</v>
      </c>
      <c r="G483" s="19" t="n">
        <v>26.3400607005702</v>
      </c>
      <c r="H483" s="19" t="n">
        <v>8.17735264101773</v>
      </c>
      <c r="I483" s="19" t="n">
        <v>1000</v>
      </c>
      <c r="J483" s="19" t="n">
        <v>957</v>
      </c>
      <c r="K483" s="19" t="n">
        <v>8.221400928342449</v>
      </c>
    </row>
    <row r="484">
      <c r="A484" s="19" t="n">
        <v>9</v>
      </c>
      <c r="B484" s="19" t="inlineStr">
        <is>
          <t>QE</t>
        </is>
      </c>
      <c r="C484" s="19" t="inlineStr">
        <is>
          <t>Town</t>
        </is>
      </c>
      <c r="D484" s="19" t="inlineStr">
        <is>
          <t>Loss</t>
        </is>
      </c>
      <c r="E484" s="19" t="n">
        <v>-43</v>
      </c>
      <c r="F484" s="19" t="n">
        <v>24.2657490019379</v>
      </c>
      <c r="G484" s="19" t="n">
        <v>23.5630927788219</v>
      </c>
      <c r="H484" s="19" t="n">
        <v>8.24130639183328</v>
      </c>
      <c r="I484" s="19" t="n">
        <v>805</v>
      </c>
      <c r="J484" s="19" t="n">
        <v>762</v>
      </c>
      <c r="K484" s="19" t="n">
        <v>8.28658579755386</v>
      </c>
    </row>
    <row r="485">
      <c r="A485" s="19" t="n">
        <v>9</v>
      </c>
      <c r="B485" s="19" t="inlineStr">
        <is>
          <t>Zesta</t>
        </is>
      </c>
      <c r="C485" s="19" t="inlineStr">
        <is>
          <t>Town</t>
        </is>
      </c>
      <c r="D485" s="19" t="inlineStr">
        <is>
          <t>Loss</t>
        </is>
      </c>
      <c r="E485" s="19" t="n">
        <v>-42</v>
      </c>
      <c r="F485" s="19" t="n">
        <v>23.7461015143204</v>
      </c>
      <c r="G485" s="19" t="n">
        <v>23.0677603476924</v>
      </c>
      <c r="H485" s="19" t="n">
        <v>8.09918712338804</v>
      </c>
      <c r="I485" s="19" t="n">
        <v>784</v>
      </c>
      <c r="J485" s="19" t="n">
        <v>742</v>
      </c>
      <c r="K485" s="19" t="n">
        <v>8.141755718648101</v>
      </c>
    </row>
    <row r="486">
      <c r="A486" s="19" t="n">
        <v>9</v>
      </c>
      <c r="B486" s="19" t="inlineStr">
        <is>
          <t>CJ</t>
        </is>
      </c>
      <c r="C486" s="19" t="inlineStr">
        <is>
          <t>Town</t>
        </is>
      </c>
      <c r="D486" s="19" t="inlineStr">
        <is>
          <t>Loss</t>
        </is>
      </c>
      <c r="E486" s="19" t="n">
        <v>-44</v>
      </c>
      <c r="F486" s="19" t="n">
        <v>25</v>
      </c>
      <c r="G486" s="19" t="n">
        <v>24.2894039611772</v>
      </c>
      <c r="H486" s="19" t="n">
        <v>8.287159797257109</v>
      </c>
      <c r="I486" s="19" t="n">
        <v>850</v>
      </c>
      <c r="J486" s="19" t="n">
        <v>806</v>
      </c>
      <c r="K486" s="19" t="n">
        <v>8.33333333333333</v>
      </c>
    </row>
    <row r="487">
      <c r="A487" s="19" t="n">
        <v>9</v>
      </c>
      <c r="B487" s="19" t="inlineStr">
        <is>
          <t>Nick</t>
        </is>
      </c>
      <c r="C487" s="19" t="inlineStr">
        <is>
          <t>Town</t>
        </is>
      </c>
      <c r="D487" s="19" t="inlineStr">
        <is>
          <t>Loss</t>
        </is>
      </c>
      <c r="E487" s="19" t="n">
        <v>-43</v>
      </c>
      <c r="F487" s="19" t="n">
        <v>26.343983574467</v>
      </c>
      <c r="G487" s="19" t="n">
        <v>25.644717324623</v>
      </c>
      <c r="H487" s="19" t="n">
        <v>8.22164701376801</v>
      </c>
      <c r="I487" s="19" t="n">
        <v>948</v>
      </c>
      <c r="J487" s="19" t="n">
        <v>905</v>
      </c>
      <c r="K487" s="19" t="n">
        <v>8.26654600100898</v>
      </c>
    </row>
    <row r="488">
      <c r="A488" s="19" t="n">
        <v>9</v>
      </c>
      <c r="B488" s="19" t="inlineStr">
        <is>
          <t>Tambo</t>
        </is>
      </c>
      <c r="C488" s="19" t="inlineStr">
        <is>
          <t>Town</t>
        </is>
      </c>
      <c r="D488" s="19" t="inlineStr">
        <is>
          <t>Loss</t>
        </is>
      </c>
      <c r="E488" s="19" t="n">
        <v>-44</v>
      </c>
      <c r="F488" s="19" t="n">
        <v>25</v>
      </c>
      <c r="G488" s="19" t="n">
        <v>24.2894039611772</v>
      </c>
      <c r="H488" s="19" t="n">
        <v>8.287159797257109</v>
      </c>
      <c r="I488" s="19" t="n">
        <v>850</v>
      </c>
      <c r="J488" s="19" t="n">
        <v>806</v>
      </c>
      <c r="K488" s="19" t="n">
        <v>8.33333333333333</v>
      </c>
    </row>
    <row r="489">
      <c r="A489" s="19" t="n">
        <v>8</v>
      </c>
      <c r="B489" s="19" t="inlineStr">
        <is>
          <t>AsianSam</t>
        </is>
      </c>
      <c r="C489" s="19" t="inlineStr">
        <is>
          <t>Mafia</t>
        </is>
      </c>
      <c r="D489" s="19" t="inlineStr">
        <is>
          <t>Win</t>
        </is>
      </c>
      <c r="E489" s="19" t="n">
        <v>54</v>
      </c>
      <c r="F489" s="19" t="n">
        <v>26.3091202145662</v>
      </c>
      <c r="G489" s="19" t="n">
        <v>27.0317201901292</v>
      </c>
      <c r="H489" s="19" t="n">
        <v>8.221400928342449</v>
      </c>
      <c r="I489" s="19" t="n">
        <v>946</v>
      </c>
      <c r="J489" s="19" t="n">
        <v>1000</v>
      </c>
      <c r="K489" s="19" t="n">
        <v>8.26686631865523</v>
      </c>
    </row>
    <row r="490">
      <c r="A490" s="19" t="n">
        <v>8</v>
      </c>
      <c r="B490" s="19" t="inlineStr">
        <is>
          <t>Aro</t>
        </is>
      </c>
      <c r="C490" s="19" t="inlineStr">
        <is>
          <t>Mafia</t>
        </is>
      </c>
      <c r="D490" s="19" t="inlineStr">
        <is>
          <t>Win</t>
        </is>
      </c>
      <c r="E490" s="19" t="n">
        <v>54</v>
      </c>
      <c r="F490" s="19" t="n">
        <v>24.1446180463064</v>
      </c>
      <c r="G490" s="19" t="n">
        <v>24.8683777203849</v>
      </c>
      <c r="H490" s="19" t="n">
        <v>8.227913514623591</v>
      </c>
      <c r="I490" s="19" t="n">
        <v>798</v>
      </c>
      <c r="J490" s="19" t="n">
        <v>852</v>
      </c>
      <c r="K490" s="19" t="n">
        <v>8.27350612266822</v>
      </c>
    </row>
    <row r="491">
      <c r="A491" s="19" t="n">
        <v>8</v>
      </c>
      <c r="B491" s="19" t="inlineStr">
        <is>
          <t>Siggywiggy</t>
        </is>
      </c>
      <c r="C491" s="19" t="inlineStr">
        <is>
          <t>Mafia</t>
        </is>
      </c>
      <c r="D491" s="19" t="inlineStr">
        <is>
          <t>Win</t>
        </is>
      </c>
      <c r="E491" s="19" t="n">
        <v>52</v>
      </c>
      <c r="F491" s="19" t="n">
        <v>24.0031664881868</v>
      </c>
      <c r="G491" s="19" t="n">
        <v>24.6988277002953</v>
      </c>
      <c r="H491" s="19" t="n">
        <v>8.068564790912101</v>
      </c>
      <c r="I491" s="19" t="n">
        <v>805</v>
      </c>
      <c r="J491" s="19" t="n">
        <v>857</v>
      </c>
      <c r="K491" s="19" t="n">
        <v>8.11110015542549</v>
      </c>
    </row>
    <row r="492">
      <c r="A492" s="19" t="n">
        <v>8</v>
      </c>
      <c r="B492" s="19" t="inlineStr">
        <is>
          <t>Trump</t>
        </is>
      </c>
      <c r="C492" s="19" t="inlineStr">
        <is>
          <t>Town</t>
        </is>
      </c>
      <c r="D492" s="19" t="inlineStr">
        <is>
          <t>Loss</t>
        </is>
      </c>
      <c r="E492" s="19" t="n">
        <v>-45</v>
      </c>
      <c r="F492" s="19" t="n">
        <v>24.1446180463064</v>
      </c>
      <c r="G492" s="19" t="n">
        <v>23.4208583722278</v>
      </c>
      <c r="H492" s="19" t="n">
        <v>8.227913514623591</v>
      </c>
      <c r="I492" s="19" t="n">
        <v>798</v>
      </c>
      <c r="J492" s="19" t="n">
        <v>753</v>
      </c>
      <c r="K492" s="19" t="n">
        <v>8.27350612266822</v>
      </c>
    </row>
    <row r="493">
      <c r="A493" s="19" t="n">
        <v>8</v>
      </c>
      <c r="B493" s="19" t="inlineStr">
        <is>
          <t>Streety</t>
        </is>
      </c>
      <c r="C493" s="19" t="inlineStr">
        <is>
          <t>Town</t>
        </is>
      </c>
      <c r="D493" s="19" t="inlineStr">
        <is>
          <t>Loss</t>
        </is>
      </c>
      <c r="E493" s="19" t="n">
        <v>-44</v>
      </c>
      <c r="F493" s="19" t="n">
        <v>26.3824369191731</v>
      </c>
      <c r="G493" s="19" t="n">
        <v>25.6639356220467</v>
      </c>
      <c r="H493" s="19" t="n">
        <v>8.198340175285161</v>
      </c>
      <c r="I493" s="19" t="n">
        <v>953</v>
      </c>
      <c r="J493" s="19" t="n">
        <v>909</v>
      </c>
      <c r="K493" s="19" t="n">
        <v>8.2433566584626</v>
      </c>
    </row>
    <row r="494">
      <c r="A494" s="19" t="n">
        <v>8</v>
      </c>
      <c r="B494" s="19" t="inlineStr">
        <is>
          <t>Justice</t>
        </is>
      </c>
      <c r="C494" s="19" t="inlineStr">
        <is>
          <t>Town</t>
        </is>
      </c>
      <c r="D494" s="19" t="inlineStr">
        <is>
          <t>Loss</t>
        </is>
      </c>
      <c r="E494" s="19" t="n">
        <v>-43</v>
      </c>
      <c r="F494" s="19" t="n">
        <v>21.3879089475741</v>
      </c>
      <c r="G494" s="19" t="n">
        <v>20.6918345778947</v>
      </c>
      <c r="H494" s="19" t="n">
        <v>8.0709317714712</v>
      </c>
      <c r="I494" s="19" t="n">
        <v>627</v>
      </c>
      <c r="J494" s="19" t="n">
        <v>584</v>
      </c>
      <c r="K494" s="19" t="n">
        <v>8.11351170860217</v>
      </c>
    </row>
    <row r="495">
      <c r="A495" s="19" t="n">
        <v>8</v>
      </c>
      <c r="B495" s="19" t="inlineStr">
        <is>
          <t>SamStockton</t>
        </is>
      </c>
      <c r="C495" s="19" t="inlineStr">
        <is>
          <t>Town</t>
        </is>
      </c>
      <c r="D495" s="19" t="inlineStr">
        <is>
          <t>Loss</t>
        </is>
      </c>
      <c r="E495" s="19" t="n">
        <v>-44</v>
      </c>
      <c r="F495" s="19" t="n">
        <v>26.4137740660585</v>
      </c>
      <c r="G495" s="19" t="n">
        <v>25.7098367861021</v>
      </c>
      <c r="H495" s="19" t="n">
        <v>8.1158403711053</v>
      </c>
      <c r="I495" s="19" t="n">
        <v>964</v>
      </c>
      <c r="J495" s="19" t="n">
        <v>920</v>
      </c>
      <c r="K495" s="19" t="n">
        <v>8.159270752845609</v>
      </c>
    </row>
    <row r="496">
      <c r="A496" s="19" t="n">
        <v>8</v>
      </c>
      <c r="B496" s="19" t="inlineStr">
        <is>
          <t>Zesta</t>
        </is>
      </c>
      <c r="C496" s="19" t="inlineStr">
        <is>
          <t>Town</t>
        </is>
      </c>
      <c r="D496" s="19" t="inlineStr">
        <is>
          <t>Loss</t>
        </is>
      </c>
      <c r="E496" s="19" t="n">
        <v>-44</v>
      </c>
      <c r="F496" s="19" t="n">
        <v>24.4545970717775</v>
      </c>
      <c r="G496" s="19" t="n">
        <v>23.7461015143204</v>
      </c>
      <c r="H496" s="19" t="n">
        <v>8.141755718648101</v>
      </c>
      <c r="I496" s="19" t="n">
        <v>828</v>
      </c>
      <c r="J496" s="19" t="n">
        <v>784</v>
      </c>
      <c r="K496" s="19" t="n">
        <v>8.18568100582813</v>
      </c>
    </row>
    <row r="497">
      <c r="A497" s="19" t="n">
        <v>8</v>
      </c>
      <c r="B497" s="19" t="inlineStr">
        <is>
          <t>Jojo</t>
        </is>
      </c>
      <c r="C497" s="19" t="inlineStr">
        <is>
          <t>Town</t>
        </is>
      </c>
      <c r="D497" s="19" t="inlineStr">
        <is>
          <t>Loss</t>
        </is>
      </c>
      <c r="E497" s="19" t="n">
        <v>-44</v>
      </c>
      <c r="F497" s="19" t="n">
        <v>25.8553819536935</v>
      </c>
      <c r="G497" s="19" t="n">
        <v>25.131622279615</v>
      </c>
      <c r="H497" s="19" t="n">
        <v>8.227913514623591</v>
      </c>
      <c r="I497" s="19" t="n">
        <v>914</v>
      </c>
      <c r="J497" s="19" t="n">
        <v>870</v>
      </c>
      <c r="K497" s="19" t="n">
        <v>8.27350612266822</v>
      </c>
    </row>
    <row r="498">
      <c r="A498" s="19" t="n">
        <v>8</v>
      </c>
      <c r="B498" s="19" t="inlineStr">
        <is>
          <t>Maz</t>
        </is>
      </c>
      <c r="C498" s="19" t="inlineStr">
        <is>
          <t>Town</t>
        </is>
      </c>
      <c r="D498" s="19" t="inlineStr">
        <is>
          <t>Loss</t>
        </is>
      </c>
      <c r="E498" s="19" t="n">
        <v>-44</v>
      </c>
      <c r="F498" s="19" t="n">
        <v>22.7805290898761</v>
      </c>
      <c r="G498" s="19" t="n">
        <v>22.0720335324189</v>
      </c>
      <c r="H498" s="19" t="n">
        <v>8.141755718648101</v>
      </c>
      <c r="I498" s="19" t="n">
        <v>714</v>
      </c>
      <c r="J498" s="19" t="n">
        <v>670</v>
      </c>
      <c r="K498" s="19" t="n">
        <v>8.18568100582813</v>
      </c>
    </row>
    <row r="499">
      <c r="A499" s="19" t="n">
        <v>8</v>
      </c>
      <c r="B499" s="19" t="inlineStr">
        <is>
          <t>Carson</t>
        </is>
      </c>
      <c r="C499" s="19" t="inlineStr">
        <is>
          <t>Town</t>
        </is>
      </c>
      <c r="D499" s="19" t="inlineStr">
        <is>
          <t>Loss</t>
        </is>
      </c>
      <c r="E499" s="19" t="n">
        <v>-42</v>
      </c>
      <c r="F499" s="19" t="n">
        <v>24.6705102159195</v>
      </c>
      <c r="G499" s="19" t="n">
        <v>23.9813202826369</v>
      </c>
      <c r="H499" s="19" t="n">
        <v>8.031395329687079</v>
      </c>
      <c r="I499" s="19" t="n">
        <v>854</v>
      </c>
      <c r="J499" s="19" t="n">
        <v>812</v>
      </c>
      <c r="K499" s="19" t="n">
        <v>8.073234043145449</v>
      </c>
    </row>
    <row r="500">
      <c r="A500" s="19" t="n">
        <v>8</v>
      </c>
      <c r="B500" s="19" t="inlineStr">
        <is>
          <t>Machop</t>
        </is>
      </c>
      <c r="C500" s="19" t="inlineStr">
        <is>
          <t>Town</t>
        </is>
      </c>
      <c r="D500" s="19" t="inlineStr">
        <is>
          <t>Loss</t>
        </is>
      </c>
      <c r="E500" s="19" t="n">
        <v>-42</v>
      </c>
      <c r="F500" s="19" t="n">
        <v>25.5839237842953</v>
      </c>
      <c r="G500" s="19" t="n">
        <v>24.9124826097802</v>
      </c>
      <c r="H500" s="19" t="n">
        <v>7.92851284982289</v>
      </c>
      <c r="I500" s="19" t="n">
        <v>927</v>
      </c>
      <c r="J500" s="19" t="n">
        <v>885</v>
      </c>
      <c r="K500" s="19" t="n">
        <v>7.96845526503344</v>
      </c>
    </row>
    <row r="501">
      <c r="A501" s="19" t="n">
        <v>8</v>
      </c>
      <c r="B501" s="19" t="inlineStr">
        <is>
          <t>Noah</t>
        </is>
      </c>
      <c r="C501" s="19" t="inlineStr">
        <is>
          <t>Town</t>
        </is>
      </c>
      <c r="D501" s="19" t="inlineStr">
        <is>
          <t>Loss</t>
        </is>
      </c>
      <c r="E501" s="19" t="n">
        <v>-41</v>
      </c>
      <c r="F501" s="19" t="n">
        <v>26.7481985412304</v>
      </c>
      <c r="G501" s="19" t="n">
        <v>26.0767573667153</v>
      </c>
      <c r="H501" s="19" t="n">
        <v>7.92851284982289</v>
      </c>
      <c r="I501" s="19" t="n">
        <v>1006</v>
      </c>
      <c r="J501" s="19" t="n">
        <v>965</v>
      </c>
      <c r="K501" s="19" t="n">
        <v>7.96845526503344</v>
      </c>
    </row>
    <row r="502">
      <c r="A502" s="19" t="n">
        <v>8</v>
      </c>
      <c r="B502" s="19" t="inlineStr">
        <is>
          <t>QE</t>
        </is>
      </c>
      <c r="C502" s="19" t="inlineStr">
        <is>
          <t>Town</t>
        </is>
      </c>
      <c r="D502" s="19" t="inlineStr">
        <is>
          <t>Loss</t>
        </is>
      </c>
      <c r="E502" s="19" t="n">
        <v>-45</v>
      </c>
      <c r="F502" s="19" t="n">
        <v>25</v>
      </c>
      <c r="G502" s="19" t="n">
        <v>24.2657490019379</v>
      </c>
      <c r="H502" s="19" t="n">
        <v>8.28658579755386</v>
      </c>
      <c r="I502" s="19" t="n">
        <v>850</v>
      </c>
      <c r="J502" s="19" t="n">
        <v>805</v>
      </c>
      <c r="K502" s="19" t="n">
        <v>8.33333333333333</v>
      </c>
    </row>
    <row r="503">
      <c r="A503" s="19" t="n">
        <v>7</v>
      </c>
      <c r="B503" s="19" t="inlineStr">
        <is>
          <t>Jojo</t>
        </is>
      </c>
      <c r="C503" s="19" t="inlineStr">
        <is>
          <t>Mafia</t>
        </is>
      </c>
      <c r="D503" s="19" t="inlineStr">
        <is>
          <t>Win</t>
        </is>
      </c>
      <c r="E503" s="19" t="n">
        <v>64</v>
      </c>
      <c r="F503" s="19" t="n">
        <v>25</v>
      </c>
      <c r="G503" s="19" t="n">
        <v>25.8553819536935</v>
      </c>
      <c r="H503" s="19" t="n">
        <v>8.27350612266822</v>
      </c>
      <c r="I503" s="19" t="n">
        <v>850</v>
      </c>
      <c r="J503" s="19" t="n">
        <v>914</v>
      </c>
      <c r="K503" s="19" t="n">
        <v>8.33333333333333</v>
      </c>
    </row>
    <row r="504">
      <c r="A504" s="19" t="n">
        <v>7</v>
      </c>
      <c r="B504" s="19" t="inlineStr">
        <is>
          <t>SamStockton</t>
        </is>
      </c>
      <c r="C504" s="19" t="inlineStr">
        <is>
          <t>Mafia</t>
        </is>
      </c>
      <c r="D504" s="19" t="inlineStr">
        <is>
          <t>Win</t>
        </is>
      </c>
      <c r="E504" s="19" t="n">
        <v>62</v>
      </c>
      <c r="F504" s="19" t="n">
        <v>25.5822168197019</v>
      </c>
      <c r="G504" s="19" t="n">
        <v>26.4137740660585</v>
      </c>
      <c r="H504" s="19" t="n">
        <v>8.159270752845609</v>
      </c>
      <c r="I504" s="19" t="n">
        <v>902</v>
      </c>
      <c r="J504" s="19" t="n">
        <v>964</v>
      </c>
      <c r="K504" s="19" t="n">
        <v>8.216308269449369</v>
      </c>
    </row>
    <row r="505">
      <c r="A505" s="19" t="n">
        <v>7</v>
      </c>
      <c r="B505" s="19" t="inlineStr">
        <is>
          <t>Zesta</t>
        </is>
      </c>
      <c r="C505" s="19" t="inlineStr">
        <is>
          <t>Mafia</t>
        </is>
      </c>
      <c r="D505" s="19" t="inlineStr">
        <is>
          <t>Win</t>
        </is>
      </c>
      <c r="E505" s="19" t="n">
        <v>63</v>
      </c>
      <c r="F505" s="19" t="n">
        <v>23.6175630808268</v>
      </c>
      <c r="G505" s="19" t="n">
        <v>24.4545970717775</v>
      </c>
      <c r="H505" s="19" t="n">
        <v>8.18568100582813</v>
      </c>
      <c r="I505" s="19" t="n">
        <v>765</v>
      </c>
      <c r="J505" s="19" t="n">
        <v>828</v>
      </c>
      <c r="K505" s="19" t="n">
        <v>8.2433566584626</v>
      </c>
    </row>
    <row r="506">
      <c r="A506" s="19" t="n">
        <v>7</v>
      </c>
      <c r="B506" s="19" t="inlineStr">
        <is>
          <t>Trump</t>
        </is>
      </c>
      <c r="C506" s="19" t="inlineStr">
        <is>
          <t>Town</t>
        </is>
      </c>
      <c r="D506" s="19" t="inlineStr">
        <is>
          <t>Loss</t>
        </is>
      </c>
      <c r="E506" s="19" t="n">
        <v>-52</v>
      </c>
      <c r="F506" s="19" t="n">
        <v>25</v>
      </c>
      <c r="G506" s="19" t="n">
        <v>24.1446180463064</v>
      </c>
      <c r="H506" s="19" t="n">
        <v>8.27350612266822</v>
      </c>
      <c r="I506" s="19" t="n">
        <v>850</v>
      </c>
      <c r="J506" s="19" t="n">
        <v>798</v>
      </c>
      <c r="K506" s="19" t="n">
        <v>8.33333333333333</v>
      </c>
    </row>
    <row r="507">
      <c r="A507" s="19" t="n">
        <v>7</v>
      </c>
      <c r="B507" s="19" t="inlineStr">
        <is>
          <t>Lovekilling</t>
        </is>
      </c>
      <c r="C507" s="19" t="inlineStr">
        <is>
          <t>Town</t>
        </is>
      </c>
      <c r="D507" s="19" t="inlineStr">
        <is>
          <t>Loss</t>
        </is>
      </c>
      <c r="E507" s="19" t="n">
        <v>-52</v>
      </c>
      <c r="F507" s="19" t="n">
        <v>24.1510732254033</v>
      </c>
      <c r="G507" s="19" t="n">
        <v>23.3067723662919</v>
      </c>
      <c r="H507" s="19" t="n">
        <v>8.220584368370631</v>
      </c>
      <c r="I507" s="19" t="n">
        <v>798</v>
      </c>
      <c r="J507" s="19" t="n">
        <v>746</v>
      </c>
      <c r="K507" s="19" t="n">
        <v>8.279109643888139</v>
      </c>
    </row>
    <row r="508">
      <c r="A508" s="19" t="n">
        <v>7</v>
      </c>
      <c r="B508" s="19" t="inlineStr">
        <is>
          <t>Aro</t>
        </is>
      </c>
      <c r="C508" s="19" t="inlineStr">
        <is>
          <t>Town</t>
        </is>
      </c>
      <c r="D508" s="19" t="inlineStr">
        <is>
          <t>Loss</t>
        </is>
      </c>
      <c r="E508" s="19" t="n">
        <v>-52</v>
      </c>
      <c r="F508" s="19" t="n">
        <v>25</v>
      </c>
      <c r="G508" s="19" t="n">
        <v>24.1446180463064</v>
      </c>
      <c r="H508" s="19" t="n">
        <v>8.27350612266822</v>
      </c>
      <c r="I508" s="19" t="n">
        <v>850</v>
      </c>
      <c r="J508" s="19" t="n">
        <v>798</v>
      </c>
      <c r="K508" s="19" t="n">
        <v>8.33333333333333</v>
      </c>
    </row>
    <row r="509">
      <c r="A509" s="19" t="n">
        <v>7</v>
      </c>
      <c r="B509" s="19" t="inlineStr">
        <is>
          <t>Maz</t>
        </is>
      </c>
      <c r="C509" s="19" t="inlineStr">
        <is>
          <t>Town</t>
        </is>
      </c>
      <c r="D509" s="19" t="inlineStr">
        <is>
          <t>Loss</t>
        </is>
      </c>
      <c r="E509" s="19" t="n">
        <v>-51</v>
      </c>
      <c r="F509" s="19" t="n">
        <v>23.6175630808268</v>
      </c>
      <c r="G509" s="19" t="n">
        <v>22.7805290898761</v>
      </c>
      <c r="H509" s="19" t="n">
        <v>8.18568100582813</v>
      </c>
      <c r="I509" s="19" t="n">
        <v>765</v>
      </c>
      <c r="J509" s="19" t="n">
        <v>714</v>
      </c>
      <c r="K509" s="19" t="n">
        <v>8.2433566584626</v>
      </c>
    </row>
    <row r="510">
      <c r="A510" s="19" t="n">
        <v>7</v>
      </c>
      <c r="B510" s="19" t="inlineStr">
        <is>
          <t>Justice</t>
        </is>
      </c>
      <c r="C510" s="19" t="inlineStr">
        <is>
          <t>Town</t>
        </is>
      </c>
      <c r="D510" s="19" t="inlineStr">
        <is>
          <t>Loss</t>
        </is>
      </c>
      <c r="E510" s="19" t="n">
        <v>-50</v>
      </c>
      <c r="F510" s="19" t="n">
        <v>22.2100215995608</v>
      </c>
      <c r="G510" s="19" t="n">
        <v>21.3879089475741</v>
      </c>
      <c r="H510" s="19" t="n">
        <v>8.11351170860217</v>
      </c>
      <c r="I510" s="19" t="n">
        <v>677</v>
      </c>
      <c r="J510" s="19" t="n">
        <v>627</v>
      </c>
      <c r="K510" s="19" t="n">
        <v>8.169453199826179</v>
      </c>
    </row>
    <row r="511">
      <c r="A511" s="19" t="n">
        <v>7</v>
      </c>
      <c r="B511" s="19" t="inlineStr">
        <is>
          <t>Siggywiggy</t>
        </is>
      </c>
      <c r="C511" s="19" t="inlineStr">
        <is>
          <t>Town</t>
        </is>
      </c>
      <c r="D511" s="19" t="inlineStr">
        <is>
          <t>Loss</t>
        </is>
      </c>
      <c r="E511" s="19" t="n">
        <v>-50</v>
      </c>
      <c r="F511" s="19" t="n">
        <v>24.8247829654663</v>
      </c>
      <c r="G511" s="19" t="n">
        <v>24.0031664881868</v>
      </c>
      <c r="H511" s="19" t="n">
        <v>8.11110015542549</v>
      </c>
      <c r="I511" s="19" t="n">
        <v>855</v>
      </c>
      <c r="J511" s="19" t="n">
        <v>805</v>
      </c>
      <c r="K511" s="19" t="n">
        <v>8.16698422208713</v>
      </c>
    </row>
    <row r="512">
      <c r="A512" s="19" t="n">
        <v>7</v>
      </c>
      <c r="B512" s="19" t="inlineStr">
        <is>
          <t>Carson</t>
        </is>
      </c>
      <c r="C512" s="19" t="inlineStr">
        <is>
          <t>Town</t>
        </is>
      </c>
      <c r="D512" s="19" t="inlineStr">
        <is>
          <t>Loss</t>
        </is>
      </c>
      <c r="E512" s="19" t="n">
        <v>-50</v>
      </c>
      <c r="F512" s="19" t="n">
        <v>25.4843563249122</v>
      </c>
      <c r="G512" s="19" t="n">
        <v>24.6705102159195</v>
      </c>
      <c r="H512" s="19" t="n">
        <v>8.073234043145449</v>
      </c>
      <c r="I512" s="19" t="n">
        <v>904</v>
      </c>
      <c r="J512" s="19" t="n">
        <v>854</v>
      </c>
      <c r="K512" s="19" t="n">
        <v>8.128220838503021</v>
      </c>
    </row>
    <row r="513">
      <c r="A513" s="19" t="n">
        <v>7</v>
      </c>
      <c r="B513" s="19" t="inlineStr">
        <is>
          <t>Machop</t>
        </is>
      </c>
      <c r="C513" s="19" t="inlineStr">
        <is>
          <t>Town</t>
        </is>
      </c>
      <c r="D513" s="19" t="inlineStr">
        <is>
          <t>Loss</t>
        </is>
      </c>
      <c r="E513" s="19" t="n">
        <v>-48</v>
      </c>
      <c r="F513" s="19" t="n">
        <v>26.3764697520989</v>
      </c>
      <c r="G513" s="19" t="n">
        <v>25.5839237842953</v>
      </c>
      <c r="H513" s="19" t="n">
        <v>7.96845526503344</v>
      </c>
      <c r="I513" s="19" t="n">
        <v>975</v>
      </c>
      <c r="J513" s="19" t="n">
        <v>927</v>
      </c>
      <c r="K513" s="19" t="n">
        <v>8.02100208393256</v>
      </c>
    </row>
    <row r="514">
      <c r="A514" s="19" t="n">
        <v>7</v>
      </c>
      <c r="B514" s="19" t="inlineStr">
        <is>
          <t>Noah</t>
        </is>
      </c>
      <c r="C514" s="19" t="inlineStr">
        <is>
          <t>Town</t>
        </is>
      </c>
      <c r="D514" s="19" t="inlineStr">
        <is>
          <t>Loss</t>
        </is>
      </c>
      <c r="E514" s="19" t="n">
        <v>-49</v>
      </c>
      <c r="F514" s="19" t="n">
        <v>27.540744509034</v>
      </c>
      <c r="G514" s="19" t="n">
        <v>26.7481985412304</v>
      </c>
      <c r="H514" s="19" t="n">
        <v>7.96845526503344</v>
      </c>
      <c r="I514" s="19" t="n">
        <v>1055</v>
      </c>
      <c r="J514" s="19" t="n">
        <v>1006</v>
      </c>
      <c r="K514" s="19" t="n">
        <v>8.02100208393256</v>
      </c>
    </row>
    <row r="515">
      <c r="A515" s="19" t="n">
        <v>6</v>
      </c>
      <c r="B515" s="19" t="inlineStr">
        <is>
          <t>Carson</t>
        </is>
      </c>
      <c r="C515" s="19" t="inlineStr">
        <is>
          <t>Mafia</t>
        </is>
      </c>
      <c r="D515" s="19" t="inlineStr">
        <is>
          <t>Win</t>
        </is>
      </c>
      <c r="E515" s="19" t="n">
        <v>49</v>
      </c>
      <c r="F515" s="19" t="n">
        <v>24.8247829654663</v>
      </c>
      <c r="G515" s="19" t="n">
        <v>25.4843563249122</v>
      </c>
      <c r="H515" s="19" t="n">
        <v>8.128220838503021</v>
      </c>
      <c r="I515" s="19" t="n">
        <v>855</v>
      </c>
      <c r="J515" s="19" t="n">
        <v>904</v>
      </c>
      <c r="K515" s="19" t="n">
        <v>8.16698422208713</v>
      </c>
    </row>
    <row r="516">
      <c r="A516" s="19" t="n">
        <v>6</v>
      </c>
      <c r="B516" s="19" t="inlineStr">
        <is>
          <t>Streety</t>
        </is>
      </c>
      <c r="C516" s="19" t="inlineStr">
        <is>
          <t>Mafia</t>
        </is>
      </c>
      <c r="D516" s="19" t="inlineStr">
        <is>
          <t>Win</t>
        </is>
      </c>
      <c r="E516" s="19" t="n">
        <v>50</v>
      </c>
      <c r="F516" s="19" t="n">
        <v>25.7038316927493</v>
      </c>
      <c r="G516" s="19" t="n">
        <v>26.3824369191731</v>
      </c>
      <c r="H516" s="19" t="n">
        <v>8.2433566584626</v>
      </c>
      <c r="I516" s="19" t="n">
        <v>903</v>
      </c>
      <c r="J516" s="19" t="n">
        <v>953</v>
      </c>
      <c r="K516" s="19" t="n">
        <v>8.28413143964352</v>
      </c>
    </row>
    <row r="517">
      <c r="A517" s="19" t="n">
        <v>6</v>
      </c>
      <c r="B517" s="19" t="inlineStr">
        <is>
          <t>Boobles</t>
        </is>
      </c>
      <c r="C517" s="19" t="inlineStr">
        <is>
          <t>Mafia</t>
        </is>
      </c>
      <c r="D517" s="19" t="inlineStr">
        <is>
          <t>Win</t>
        </is>
      </c>
      <c r="E517" s="19" t="n">
        <v>50</v>
      </c>
      <c r="F517" s="19" t="n">
        <v>24.2961683072506</v>
      </c>
      <c r="G517" s="19" t="n">
        <v>24.9747735336744</v>
      </c>
      <c r="H517" s="19" t="n">
        <v>8.2433566584626</v>
      </c>
      <c r="I517" s="19" t="n">
        <v>807</v>
      </c>
      <c r="J517" s="19" t="n">
        <v>857</v>
      </c>
      <c r="K517" s="19" t="n">
        <v>8.28413143964352</v>
      </c>
    </row>
    <row r="518">
      <c r="A518" s="19" t="n">
        <v>6</v>
      </c>
      <c r="B518" s="19" t="inlineStr">
        <is>
          <t>Noah</t>
        </is>
      </c>
      <c r="C518" s="19" t="inlineStr">
        <is>
          <t>Town</t>
        </is>
      </c>
      <c r="D518" s="19" t="inlineStr">
        <is>
          <t>Loss</t>
        </is>
      </c>
      <c r="E518" s="19" t="n">
        <v>-40</v>
      </c>
      <c r="F518" s="19" t="n">
        <v>28.1828460805048</v>
      </c>
      <c r="G518" s="19" t="n">
        <v>27.540744509034</v>
      </c>
      <c r="H518" s="19" t="n">
        <v>8.02100208393256</v>
      </c>
      <c r="I518" s="19" t="n">
        <v>1095</v>
      </c>
      <c r="J518" s="19" t="n">
        <v>1055</v>
      </c>
      <c r="K518" s="19" t="n">
        <v>8.05794051692844</v>
      </c>
    </row>
    <row r="519">
      <c r="A519" s="19" t="n">
        <v>6</v>
      </c>
      <c r="B519" s="19" t="inlineStr">
        <is>
          <t>Torharo</t>
        </is>
      </c>
      <c r="C519" s="19" t="inlineStr">
        <is>
          <t>Town</t>
        </is>
      </c>
      <c r="D519" s="19" t="inlineStr">
        <is>
          <t>Loss</t>
        </is>
      </c>
      <c r="E519" s="19" t="n">
        <v>-41</v>
      </c>
      <c r="F519" s="19" t="n">
        <v>25.1752170345336</v>
      </c>
      <c r="G519" s="19" t="n">
        <v>24.5156436750877</v>
      </c>
      <c r="H519" s="19" t="n">
        <v>8.128220838503021</v>
      </c>
      <c r="I519" s="19" t="n">
        <v>879</v>
      </c>
      <c r="J519" s="19" t="n">
        <v>838</v>
      </c>
      <c r="K519" s="19" t="n">
        <v>8.16698422208713</v>
      </c>
    </row>
    <row r="520">
      <c r="A520" s="19" t="n">
        <v>6</v>
      </c>
      <c r="B520" s="19" t="inlineStr">
        <is>
          <t>Steep</t>
        </is>
      </c>
      <c r="C520" s="19" t="inlineStr">
        <is>
          <t>Town</t>
        </is>
      </c>
      <c r="D520" s="19" t="inlineStr">
        <is>
          <t>Loss</t>
        </is>
      </c>
      <c r="E520" s="19" t="n">
        <v>-42</v>
      </c>
      <c r="F520" s="19" t="n">
        <v>24.2258907982992</v>
      </c>
      <c r="G520" s="19" t="n">
        <v>23.5476849429699</v>
      </c>
      <c r="H520" s="19" t="n">
        <v>8.240957882016589</v>
      </c>
      <c r="I520" s="19" t="n">
        <v>803</v>
      </c>
      <c r="J520" s="19" t="n">
        <v>761</v>
      </c>
      <c r="K520" s="19" t="n">
        <v>8.281690204646891</v>
      </c>
    </row>
    <row r="521">
      <c r="A521" s="19" t="n">
        <v>6</v>
      </c>
      <c r="B521" s="19" t="inlineStr">
        <is>
          <t>Kny</t>
        </is>
      </c>
      <c r="C521" s="19" t="inlineStr">
        <is>
          <t>Town</t>
        </is>
      </c>
      <c r="D521" s="19" t="inlineStr">
        <is>
          <t>Loss</t>
        </is>
      </c>
      <c r="E521" s="19" t="n">
        <v>-42</v>
      </c>
      <c r="F521" s="19" t="n">
        <v>24.2961683072506</v>
      </c>
      <c r="G521" s="19" t="n">
        <v>23.6175630808268</v>
      </c>
      <c r="H521" s="19" t="n">
        <v>8.2433566584626</v>
      </c>
      <c r="I521" s="19" t="n">
        <v>807</v>
      </c>
      <c r="J521" s="19" t="n">
        <v>765</v>
      </c>
      <c r="K521" s="19" t="n">
        <v>8.28413143964352</v>
      </c>
    </row>
    <row r="522">
      <c r="A522" s="19" t="n">
        <v>6</v>
      </c>
      <c r="B522" s="19" t="inlineStr">
        <is>
          <t>Whyin</t>
        </is>
      </c>
      <c r="C522" s="19" t="inlineStr">
        <is>
          <t>Town</t>
        </is>
      </c>
      <c r="D522" s="19" t="inlineStr">
        <is>
          <t>Loss</t>
        </is>
      </c>
      <c r="E522" s="19" t="n">
        <v>-41</v>
      </c>
      <c r="F522" s="19" t="n">
        <v>24.7593778970481</v>
      </c>
      <c r="G522" s="19" t="n">
        <v>24.0997595679105</v>
      </c>
      <c r="H522" s="19" t="n">
        <v>8.12849489795147</v>
      </c>
      <c r="I522" s="19" t="n">
        <v>851</v>
      </c>
      <c r="J522" s="19" t="n">
        <v>810</v>
      </c>
      <c r="K522" s="19" t="n">
        <v>8.16726300536887</v>
      </c>
    </row>
    <row r="523">
      <c r="A523" s="19" t="n">
        <v>6</v>
      </c>
      <c r="B523" s="19" t="inlineStr">
        <is>
          <t>Elmo</t>
        </is>
      </c>
      <c r="C523" s="19" t="inlineStr">
        <is>
          <t>Town</t>
        </is>
      </c>
      <c r="D523" s="19" t="inlineStr">
        <is>
          <t>Loss</t>
        </is>
      </c>
      <c r="E523" s="19" t="n">
        <v>-41</v>
      </c>
      <c r="F523" s="19" t="n">
        <v>23.5307443557848</v>
      </c>
      <c r="G523" s="19" t="n">
        <v>22.8603928803792</v>
      </c>
      <c r="H523" s="19" t="n">
        <v>8.19363217386968</v>
      </c>
      <c r="I523" s="19" t="n">
        <v>760</v>
      </c>
      <c r="J523" s="19" t="n">
        <v>719</v>
      </c>
      <c r="K523" s="19" t="n">
        <v>8.233531651295131</v>
      </c>
    </row>
    <row r="524">
      <c r="A524" s="19" t="n">
        <v>6</v>
      </c>
      <c r="B524" s="19" t="inlineStr">
        <is>
          <t>Machop</t>
        </is>
      </c>
      <c r="C524" s="19" t="inlineStr">
        <is>
          <t>Town</t>
        </is>
      </c>
      <c r="D524" s="19" t="inlineStr">
        <is>
          <t>Loss</t>
        </is>
      </c>
      <c r="E524" s="19" t="n">
        <v>-40</v>
      </c>
      <c r="F524" s="19" t="n">
        <v>27.0185713235697</v>
      </c>
      <c r="G524" s="19" t="n">
        <v>26.3764697520989</v>
      </c>
      <c r="H524" s="19" t="n">
        <v>8.02100208393256</v>
      </c>
      <c r="I524" s="19" t="n">
        <v>1015</v>
      </c>
      <c r="J524" s="19" t="n">
        <v>975</v>
      </c>
      <c r="K524" s="19" t="n">
        <v>8.05794051692844</v>
      </c>
    </row>
    <row r="525">
      <c r="A525" s="19" t="n">
        <v>6</v>
      </c>
      <c r="B525" s="19" t="inlineStr">
        <is>
          <t>Zesta</t>
        </is>
      </c>
      <c r="C525" s="19" t="inlineStr">
        <is>
          <t>Town</t>
        </is>
      </c>
      <c r="D525" s="19" t="inlineStr">
        <is>
          <t>Loss</t>
        </is>
      </c>
      <c r="E525" s="19" t="n">
        <v>-42</v>
      </c>
      <c r="F525" s="19" t="n">
        <v>24.2961683072506</v>
      </c>
      <c r="G525" s="19" t="n">
        <v>23.6175630808268</v>
      </c>
      <c r="H525" s="19" t="n">
        <v>8.2433566584626</v>
      </c>
      <c r="I525" s="19" t="n">
        <v>807</v>
      </c>
      <c r="J525" s="19" t="n">
        <v>765</v>
      </c>
      <c r="K525" s="19" t="n">
        <v>8.28413143964352</v>
      </c>
    </row>
    <row r="526">
      <c r="A526" s="19" t="n">
        <v>6</v>
      </c>
      <c r="B526" s="19" t="inlineStr">
        <is>
          <t>Svaan</t>
        </is>
      </c>
      <c r="C526" s="19" t="inlineStr">
        <is>
          <t>Town</t>
        </is>
      </c>
      <c r="D526" s="19" t="inlineStr">
        <is>
          <t>Loss</t>
        </is>
      </c>
      <c r="E526" s="19" t="n">
        <v>-42</v>
      </c>
      <c r="F526" s="19" t="n">
        <v>23.6908797854337</v>
      </c>
      <c r="G526" s="19" t="n">
        <v>23.0150964995971</v>
      </c>
      <c r="H526" s="19" t="n">
        <v>8.22639131801024</v>
      </c>
      <c r="I526" s="19" t="n">
        <v>768</v>
      </c>
      <c r="J526" s="19" t="n">
        <v>726</v>
      </c>
      <c r="K526" s="19" t="n">
        <v>8.26686631865523</v>
      </c>
    </row>
    <row r="527">
      <c r="A527" s="19" t="n">
        <v>6</v>
      </c>
      <c r="B527" s="19" t="inlineStr">
        <is>
          <t>Mintt</t>
        </is>
      </c>
      <c r="C527" s="19" t="inlineStr">
        <is>
          <t>Town</t>
        </is>
      </c>
      <c r="D527" s="19" t="inlineStr">
        <is>
          <t>Loss</t>
        </is>
      </c>
      <c r="E527" s="19" t="n">
        <v>-42</v>
      </c>
      <c r="F527" s="19" t="n">
        <v>25</v>
      </c>
      <c r="G527" s="19" t="n">
        <v>24.3133205523394</v>
      </c>
      <c r="H527" s="19" t="n">
        <v>8.291697854815711</v>
      </c>
      <c r="I527" s="19" t="n">
        <v>850</v>
      </c>
      <c r="J527" s="19" t="n">
        <v>808</v>
      </c>
      <c r="K527" s="19" t="n">
        <v>8.33333333333333</v>
      </c>
    </row>
    <row r="528">
      <c r="A528" s="19" t="n">
        <v>6</v>
      </c>
      <c r="B528" s="19" t="inlineStr">
        <is>
          <t>Augi</t>
        </is>
      </c>
      <c r="C528" s="19" t="inlineStr">
        <is>
          <t>Town</t>
        </is>
      </c>
      <c r="D528" s="19" t="inlineStr">
        <is>
          <t>Loss</t>
        </is>
      </c>
      <c r="E528" s="19" t="n">
        <v>-42</v>
      </c>
      <c r="F528" s="19" t="n">
        <v>25</v>
      </c>
      <c r="G528" s="19" t="n">
        <v>24.3133205523394</v>
      </c>
      <c r="H528" s="19" t="n">
        <v>8.291697854815711</v>
      </c>
      <c r="I528" s="19" t="n">
        <v>850</v>
      </c>
      <c r="J528" s="19" t="n">
        <v>808</v>
      </c>
      <c r="K528" s="19" t="n">
        <v>8.33333333333333</v>
      </c>
    </row>
    <row r="529">
      <c r="A529" s="19" t="n">
        <v>6</v>
      </c>
      <c r="B529" s="19" t="inlineStr">
        <is>
          <t>Maz</t>
        </is>
      </c>
      <c r="C529" s="19" t="inlineStr">
        <is>
          <t>Town</t>
        </is>
      </c>
      <c r="D529" s="19" t="inlineStr">
        <is>
          <t>Loss</t>
        </is>
      </c>
      <c r="E529" s="19" t="n">
        <v>-42</v>
      </c>
      <c r="F529" s="19" t="n">
        <v>24.2961683072506</v>
      </c>
      <c r="G529" s="19" t="n">
        <v>23.6175630808268</v>
      </c>
      <c r="H529" s="19" t="n">
        <v>8.2433566584626</v>
      </c>
      <c r="I529" s="19" t="n">
        <v>807</v>
      </c>
      <c r="J529" s="19" t="n">
        <v>765</v>
      </c>
      <c r="K529" s="19" t="n">
        <v>8.28413143964352</v>
      </c>
    </row>
    <row r="530">
      <c r="A530" s="19" t="n">
        <v>5</v>
      </c>
      <c r="B530" s="19" t="inlineStr">
        <is>
          <t>Torharo</t>
        </is>
      </c>
      <c r="C530" s="19" t="inlineStr">
        <is>
          <t>Mafia</t>
        </is>
      </c>
      <c r="D530" s="19" t="inlineStr">
        <is>
          <t>Win</t>
        </is>
      </c>
      <c r="E530" s="19" t="n">
        <v>51</v>
      </c>
      <c r="F530" s="19" t="n">
        <v>24.4914078569962</v>
      </c>
      <c r="G530" s="19" t="n">
        <v>25.1752170345336</v>
      </c>
      <c r="H530" s="19" t="n">
        <v>8.16698422208713</v>
      </c>
      <c r="I530" s="19" t="n">
        <v>828</v>
      </c>
      <c r="J530" s="19" t="n">
        <v>879</v>
      </c>
      <c r="K530" s="19" t="n">
        <v>8.21378946285855</v>
      </c>
    </row>
    <row r="531">
      <c r="A531" s="19" t="n">
        <v>5</v>
      </c>
      <c r="B531" s="19" t="inlineStr">
        <is>
          <t>Streety</t>
        </is>
      </c>
      <c r="C531" s="19" t="inlineStr">
        <is>
          <t>Mafia</t>
        </is>
      </c>
      <c r="D531" s="19" t="inlineStr">
        <is>
          <t>Win</t>
        </is>
      </c>
      <c r="E531" s="19" t="n">
        <v>53</v>
      </c>
      <c r="F531" s="19" t="n">
        <v>25</v>
      </c>
      <c r="G531" s="19" t="n">
        <v>25.7038316927493</v>
      </c>
      <c r="H531" s="19" t="n">
        <v>8.28413143964352</v>
      </c>
      <c r="I531" s="19" t="n">
        <v>850</v>
      </c>
      <c r="J531" s="19" t="n">
        <v>903</v>
      </c>
      <c r="K531" s="19" t="n">
        <v>8.33333333333333</v>
      </c>
    </row>
    <row r="532">
      <c r="A532" s="19" t="n">
        <v>5</v>
      </c>
      <c r="B532" s="19" t="inlineStr">
        <is>
          <t>Noah</t>
        </is>
      </c>
      <c r="C532" s="19" t="inlineStr">
        <is>
          <t>Mafia</t>
        </is>
      </c>
      <c r="D532" s="19" t="inlineStr">
        <is>
          <t>Win</t>
        </is>
      </c>
      <c r="E532" s="19" t="n">
        <v>50</v>
      </c>
      <c r="F532" s="19" t="n">
        <v>27.5174047113531</v>
      </c>
      <c r="G532" s="19" t="n">
        <v>28.1828460805048</v>
      </c>
      <c r="H532" s="19" t="n">
        <v>8.05794051692844</v>
      </c>
      <c r="I532" s="19" t="n">
        <v>1045</v>
      </c>
      <c r="J532" s="19" t="n">
        <v>1095</v>
      </c>
      <c r="K532" s="19" t="n">
        <v>8.10257400880896</v>
      </c>
    </row>
    <row r="533">
      <c r="A533" s="19" t="n">
        <v>5</v>
      </c>
      <c r="B533" s="19" t="inlineStr">
        <is>
          <t>Kny</t>
        </is>
      </c>
      <c r="C533" s="19" t="inlineStr">
        <is>
          <t>Town</t>
        </is>
      </c>
      <c r="D533" s="19" t="inlineStr">
        <is>
          <t>Loss</t>
        </is>
      </c>
      <c r="E533" s="19" t="n">
        <v>-43</v>
      </c>
      <c r="F533" s="19" t="n">
        <v>25</v>
      </c>
      <c r="G533" s="19" t="n">
        <v>24.2961683072506</v>
      </c>
      <c r="H533" s="19" t="n">
        <v>8.28413143964352</v>
      </c>
      <c r="I533" s="19" t="n">
        <v>850</v>
      </c>
      <c r="J533" s="19" t="n">
        <v>807</v>
      </c>
      <c r="K533" s="19" t="n">
        <v>8.33333333333333</v>
      </c>
    </row>
    <row r="534">
      <c r="A534" s="19" t="n">
        <v>5</v>
      </c>
      <c r="B534" s="19" t="inlineStr">
        <is>
          <t>Machop</t>
        </is>
      </c>
      <c r="C534" s="19" t="inlineStr">
        <is>
          <t>Town</t>
        </is>
      </c>
      <c r="D534" s="19" t="inlineStr">
        <is>
          <t>Loss</t>
        </is>
      </c>
      <c r="E534" s="19" t="n">
        <v>-41</v>
      </c>
      <c r="F534" s="19" t="n">
        <v>27.6840126927214</v>
      </c>
      <c r="G534" s="19" t="n">
        <v>27.0185713235697</v>
      </c>
      <c r="H534" s="19" t="n">
        <v>8.05794051692844</v>
      </c>
      <c r="I534" s="19" t="n">
        <v>1056</v>
      </c>
      <c r="J534" s="19" t="n">
        <v>1015</v>
      </c>
      <c r="K534" s="19" t="n">
        <v>8.10257400880896</v>
      </c>
    </row>
    <row r="535">
      <c r="A535" s="19" t="n">
        <v>5</v>
      </c>
      <c r="B535" s="19" t="inlineStr">
        <is>
          <t>Maz</t>
        </is>
      </c>
      <c r="C535" s="19" t="inlineStr">
        <is>
          <t>Town</t>
        </is>
      </c>
      <c r="D535" s="19" t="inlineStr">
        <is>
          <t>Loss</t>
        </is>
      </c>
      <c r="E535" s="19" t="n">
        <v>-43</v>
      </c>
      <c r="F535" s="19" t="n">
        <v>25</v>
      </c>
      <c r="G535" s="19" t="n">
        <v>24.2961683072506</v>
      </c>
      <c r="H535" s="19" t="n">
        <v>8.28413143964352</v>
      </c>
      <c r="I535" s="19" t="n">
        <v>850</v>
      </c>
      <c r="J535" s="19" t="n">
        <v>807</v>
      </c>
      <c r="K535" s="19" t="n">
        <v>8.33333333333333</v>
      </c>
    </row>
    <row r="536">
      <c r="A536" s="19" t="n">
        <v>5</v>
      </c>
      <c r="B536" s="19" t="inlineStr">
        <is>
          <t>Boobles</t>
        </is>
      </c>
      <c r="C536" s="19" t="inlineStr">
        <is>
          <t>Town</t>
        </is>
      </c>
      <c r="D536" s="19" t="inlineStr">
        <is>
          <t>Loss</t>
        </is>
      </c>
      <c r="E536" s="19" t="n">
        <v>-43</v>
      </c>
      <c r="F536" s="19" t="n">
        <v>25</v>
      </c>
      <c r="G536" s="19" t="n">
        <v>24.2961683072506</v>
      </c>
      <c r="H536" s="19" t="n">
        <v>8.28413143964352</v>
      </c>
      <c r="I536" s="19" t="n">
        <v>850</v>
      </c>
      <c r="J536" s="19" t="n">
        <v>807</v>
      </c>
      <c r="K536" s="19" t="n">
        <v>8.33333333333333</v>
      </c>
    </row>
    <row r="537">
      <c r="A537" s="19" t="n">
        <v>5</v>
      </c>
      <c r="B537" s="19" t="inlineStr">
        <is>
          <t>Carson</t>
        </is>
      </c>
      <c r="C537" s="19" t="inlineStr">
        <is>
          <t>Town</t>
        </is>
      </c>
      <c r="D537" s="19" t="inlineStr">
        <is>
          <t>Loss</t>
        </is>
      </c>
      <c r="E537" s="19" t="n">
        <v>-42</v>
      </c>
      <c r="F537" s="19" t="n">
        <v>25.5085921430037</v>
      </c>
      <c r="G537" s="19" t="n">
        <v>24.8247829654663</v>
      </c>
      <c r="H537" s="19" t="n">
        <v>8.16698422208713</v>
      </c>
      <c r="I537" s="19" t="n">
        <v>897</v>
      </c>
      <c r="J537" s="19" t="n">
        <v>855</v>
      </c>
      <c r="K537" s="19" t="n">
        <v>8.21378946285855</v>
      </c>
    </row>
    <row r="538">
      <c r="A538" s="19" t="n">
        <v>5</v>
      </c>
      <c r="B538" s="19" t="inlineStr">
        <is>
          <t>Elmo</t>
        </is>
      </c>
      <c r="C538" s="19" t="inlineStr">
        <is>
          <t>Town</t>
        </is>
      </c>
      <c r="D538" s="19" t="inlineStr">
        <is>
          <t>Loss</t>
        </is>
      </c>
      <c r="E538" s="19" t="n">
        <v>-43</v>
      </c>
      <c r="F538" s="19" t="n">
        <v>24.2258907982992</v>
      </c>
      <c r="G538" s="19" t="n">
        <v>23.5307443557848</v>
      </c>
      <c r="H538" s="19" t="n">
        <v>8.233531651295131</v>
      </c>
      <c r="I538" s="19" t="n">
        <v>803</v>
      </c>
      <c r="J538" s="19" t="n">
        <v>760</v>
      </c>
      <c r="K538" s="19" t="n">
        <v>8.281690204646891</v>
      </c>
    </row>
    <row r="539">
      <c r="A539" s="19" t="n">
        <v>5</v>
      </c>
      <c r="B539" s="19" t="inlineStr">
        <is>
          <t>Justice</t>
        </is>
      </c>
      <c r="C539" s="19" t="inlineStr">
        <is>
          <t>Town</t>
        </is>
      </c>
      <c r="D539" s="19" t="inlineStr">
        <is>
          <t>Loss</t>
        </is>
      </c>
      <c r="E539" s="19" t="n">
        <v>-42</v>
      </c>
      <c r="F539" s="19" t="n">
        <v>22.8942496707679</v>
      </c>
      <c r="G539" s="19" t="n">
        <v>22.2100215995608</v>
      </c>
      <c r="H539" s="19" t="n">
        <v>8.169453199826179</v>
      </c>
      <c r="I539" s="19" t="n">
        <v>719</v>
      </c>
      <c r="J539" s="19" t="n">
        <v>677</v>
      </c>
      <c r="K539" s="19" t="n">
        <v>8.216308269449369</v>
      </c>
    </row>
    <row r="540">
      <c r="A540" s="19" t="n">
        <v>5</v>
      </c>
      <c r="B540" s="19" t="inlineStr">
        <is>
          <t>Zesta</t>
        </is>
      </c>
      <c r="C540" s="19" t="inlineStr">
        <is>
          <t>Town</t>
        </is>
      </c>
      <c r="D540" s="19" t="inlineStr">
        <is>
          <t>Loss</t>
        </is>
      </c>
      <c r="E540" s="19" t="n">
        <v>-43</v>
      </c>
      <c r="F540" s="19" t="n">
        <v>25</v>
      </c>
      <c r="G540" s="19" t="n">
        <v>24.2961683072506</v>
      </c>
      <c r="H540" s="19" t="n">
        <v>8.28413143964352</v>
      </c>
      <c r="I540" s="19" t="n">
        <v>850</v>
      </c>
      <c r="J540" s="19" t="n">
        <v>807</v>
      </c>
      <c r="K540" s="19" t="n">
        <v>8.33333333333333</v>
      </c>
    </row>
    <row r="541">
      <c r="A541" s="19" t="n">
        <v>5</v>
      </c>
      <c r="B541" s="19" t="inlineStr">
        <is>
          <t>Siggywiggy</t>
        </is>
      </c>
      <c r="C541" s="19" t="inlineStr">
        <is>
          <t>Town</t>
        </is>
      </c>
      <c r="D541" s="19" t="inlineStr">
        <is>
          <t>Loss</t>
        </is>
      </c>
      <c r="E541" s="19" t="n">
        <v>-42</v>
      </c>
      <c r="F541" s="19" t="n">
        <v>25.5085921430037</v>
      </c>
      <c r="G541" s="19" t="n">
        <v>24.8247829654663</v>
      </c>
      <c r="H541" s="19" t="n">
        <v>8.16698422208713</v>
      </c>
      <c r="I541" s="19" t="n">
        <v>897</v>
      </c>
      <c r="J541" s="19" t="n">
        <v>855</v>
      </c>
      <c r="K541" s="19" t="n">
        <v>8.21378946285855</v>
      </c>
    </row>
    <row r="542">
      <c r="A542" s="19" t="n">
        <v>5</v>
      </c>
      <c r="B542" s="19" t="inlineStr">
        <is>
          <t>Whyin</t>
        </is>
      </c>
      <c r="C542" s="19" t="inlineStr">
        <is>
          <t>Town</t>
        </is>
      </c>
      <c r="D542" s="19" t="inlineStr">
        <is>
          <t>Loss</t>
        </is>
      </c>
      <c r="E542" s="19" t="n">
        <v>-41</v>
      </c>
      <c r="F542" s="19" t="n">
        <v>25.4432343670612</v>
      </c>
      <c r="G542" s="19" t="n">
        <v>24.7593778970481</v>
      </c>
      <c r="H542" s="19" t="n">
        <v>8.16726300536887</v>
      </c>
      <c r="I542" s="19" t="n">
        <v>892</v>
      </c>
      <c r="J542" s="19" t="n">
        <v>851</v>
      </c>
      <c r="K542" s="19" t="n">
        <v>8.21407387107495</v>
      </c>
    </row>
    <row r="543">
      <c r="A543" s="19" t="n">
        <v>4</v>
      </c>
      <c r="B543" s="19" t="inlineStr">
        <is>
          <t>Svaan</t>
        </is>
      </c>
      <c r="C543" s="19" t="inlineStr">
        <is>
          <t>Mafia</t>
        </is>
      </c>
      <c r="D543" s="19" t="inlineStr">
        <is>
          <t>Loss</t>
        </is>
      </c>
      <c r="E543" s="19" t="n">
        <v>-82</v>
      </c>
      <c r="F543" s="19" t="n">
        <v>25</v>
      </c>
      <c r="G543" s="19" t="n">
        <v>23.6908797854337</v>
      </c>
      <c r="H543" s="19" t="n">
        <v>8.26686631865523</v>
      </c>
      <c r="I543" s="19" t="n">
        <v>850</v>
      </c>
      <c r="J543" s="19" t="n">
        <v>768</v>
      </c>
      <c r="K543" s="19" t="n">
        <v>8.33333333333333</v>
      </c>
    </row>
    <row r="544">
      <c r="A544" s="19" t="n">
        <v>4</v>
      </c>
      <c r="B544" s="19" t="inlineStr">
        <is>
          <t>Laura</t>
        </is>
      </c>
      <c r="C544" s="19" t="inlineStr">
        <is>
          <t>Mafia</t>
        </is>
      </c>
      <c r="D544" s="19" t="inlineStr">
        <is>
          <t>Loss</t>
        </is>
      </c>
      <c r="E544" s="19" t="n">
        <v>-82</v>
      </c>
      <c r="F544" s="19" t="n">
        <v>24.2258907982992</v>
      </c>
      <c r="G544" s="19" t="n">
        <v>22.9329250660733</v>
      </c>
      <c r="H544" s="19" t="n">
        <v>8.216586722424481</v>
      </c>
      <c r="I544" s="19" t="n">
        <v>803</v>
      </c>
      <c r="J544" s="19" t="n">
        <v>721</v>
      </c>
      <c r="K544" s="19" t="n">
        <v>8.281690204646891</v>
      </c>
    </row>
    <row r="545">
      <c r="A545" s="19" t="n">
        <v>4</v>
      </c>
      <c r="B545" s="19" t="inlineStr">
        <is>
          <t>Danny</t>
        </is>
      </c>
      <c r="C545" s="19" t="inlineStr">
        <is>
          <t>Mafia</t>
        </is>
      </c>
      <c r="D545" s="19" t="inlineStr">
        <is>
          <t>Loss</t>
        </is>
      </c>
      <c r="E545" s="19" t="n">
        <v>-82</v>
      </c>
      <c r="F545" s="19" t="n">
        <v>25</v>
      </c>
      <c r="G545" s="19" t="n">
        <v>23.6908797854337</v>
      </c>
      <c r="H545" s="19" t="n">
        <v>8.26686631865523</v>
      </c>
      <c r="I545" s="19" t="n">
        <v>850</v>
      </c>
      <c r="J545" s="19" t="n">
        <v>768</v>
      </c>
      <c r="K545" s="19" t="n">
        <v>8.33333333333333</v>
      </c>
    </row>
    <row r="546">
      <c r="A546" s="19" t="n">
        <v>4</v>
      </c>
      <c r="B546" s="19" t="inlineStr">
        <is>
          <t>Machop</t>
        </is>
      </c>
      <c r="C546" s="19" t="inlineStr">
        <is>
          <t>Town</t>
        </is>
      </c>
      <c r="D546" s="19" t="inlineStr">
        <is>
          <t>Win</t>
        </is>
      </c>
      <c r="E546" s="19" t="n">
        <v>92</v>
      </c>
      <c r="F546" s="19" t="n">
        <v>26.4272875651511</v>
      </c>
      <c r="G546" s="19" t="n">
        <v>27.6840126927214</v>
      </c>
      <c r="H546" s="19" t="n">
        <v>8.10257400880896</v>
      </c>
      <c r="I546" s="19" t="n">
        <v>964</v>
      </c>
      <c r="J546" s="19" t="n">
        <v>1056</v>
      </c>
      <c r="K546" s="19" t="n">
        <v>8.16464686417101</v>
      </c>
    </row>
    <row r="547">
      <c r="A547" s="19" t="n">
        <v>4</v>
      </c>
      <c r="B547" s="19" t="inlineStr">
        <is>
          <t>Josh</t>
        </is>
      </c>
      <c r="C547" s="19" t="inlineStr">
        <is>
          <t>Town</t>
        </is>
      </c>
      <c r="D547" s="19" t="inlineStr">
        <is>
          <t>Win</t>
        </is>
      </c>
      <c r="E547" s="19" t="n">
        <v>91</v>
      </c>
      <c r="F547" s="19" t="n">
        <v>24.7565047022246</v>
      </c>
      <c r="G547" s="19" t="n">
        <v>26.0132298297948</v>
      </c>
      <c r="H547" s="19" t="n">
        <v>8.10257400880896</v>
      </c>
      <c r="I547" s="19" t="n">
        <v>851</v>
      </c>
      <c r="J547" s="19" t="n">
        <v>942</v>
      </c>
      <c r="K547" s="19" t="n">
        <v>8.16464686417101</v>
      </c>
    </row>
    <row r="548">
      <c r="A548" s="19" t="n">
        <v>4</v>
      </c>
      <c r="B548" s="19" t="inlineStr">
        <is>
          <t>Antfrost</t>
        </is>
      </c>
      <c r="C548" s="19" t="inlineStr">
        <is>
          <t>Town</t>
        </is>
      </c>
      <c r="D548" s="19" t="inlineStr">
        <is>
          <t>Win</t>
        </is>
      </c>
      <c r="E548" s="19" t="n">
        <v>94</v>
      </c>
      <c r="F548" s="19" t="n">
        <v>26.343983574467</v>
      </c>
      <c r="G548" s="19" t="n">
        <v>27.6322310920737</v>
      </c>
      <c r="H548" s="19" t="n">
        <v>8.201839300002691</v>
      </c>
      <c r="I548" s="19" t="n">
        <v>948</v>
      </c>
      <c r="J548" s="19" t="n">
        <v>1042</v>
      </c>
      <c r="K548" s="19" t="n">
        <v>8.26654600100898</v>
      </c>
    </row>
    <row r="549">
      <c r="A549" s="19" t="n">
        <v>4</v>
      </c>
      <c r="B549" s="19" t="inlineStr">
        <is>
          <t>Heck</t>
        </is>
      </c>
      <c r="C549" s="19" t="inlineStr">
        <is>
          <t>Town</t>
        </is>
      </c>
      <c r="D549" s="19" t="inlineStr">
        <is>
          <t>Win</t>
        </is>
      </c>
      <c r="E549" s="19" t="n">
        <v>92</v>
      </c>
      <c r="F549" s="19" t="n">
        <v>22.0685375532906</v>
      </c>
      <c r="G549" s="19" t="n">
        <v>23.3252626808608</v>
      </c>
      <c r="H549" s="19" t="n">
        <v>8.10257400880896</v>
      </c>
      <c r="I549" s="19" t="n">
        <v>668</v>
      </c>
      <c r="J549" s="19" t="n">
        <v>760</v>
      </c>
      <c r="K549" s="19" t="n">
        <v>8.16464686417101</v>
      </c>
    </row>
    <row r="550">
      <c r="A550" s="19" t="n">
        <v>4</v>
      </c>
      <c r="B550" s="19" t="inlineStr">
        <is>
          <t>AsianSam</t>
        </is>
      </c>
      <c r="C550" s="19" t="inlineStr">
        <is>
          <t>Town</t>
        </is>
      </c>
      <c r="D550" s="19" t="inlineStr">
        <is>
          <t>Win</t>
        </is>
      </c>
      <c r="E550" s="19" t="n">
        <v>96</v>
      </c>
      <c r="F550" s="19" t="n">
        <v>25</v>
      </c>
      <c r="G550" s="19" t="n">
        <v>26.3091202145662</v>
      </c>
      <c r="H550" s="19" t="n">
        <v>8.26686631865523</v>
      </c>
      <c r="I550" s="19" t="n">
        <v>850</v>
      </c>
      <c r="J550" s="19" t="n">
        <v>946</v>
      </c>
      <c r="K550" s="19" t="n">
        <v>8.33333333333333</v>
      </c>
    </row>
    <row r="551">
      <c r="A551" s="19" t="n">
        <v>4</v>
      </c>
      <c r="B551" s="19" t="inlineStr">
        <is>
          <t>Pinkee</t>
        </is>
      </c>
      <c r="C551" s="19" t="inlineStr">
        <is>
          <t>Town</t>
        </is>
      </c>
      <c r="D551" s="19" t="inlineStr">
        <is>
          <t>Win</t>
        </is>
      </c>
      <c r="E551" s="19" t="n">
        <v>96</v>
      </c>
      <c r="F551" s="19" t="n">
        <v>25</v>
      </c>
      <c r="G551" s="19" t="n">
        <v>26.3091202145662</v>
      </c>
      <c r="H551" s="19" t="n">
        <v>8.26686631865523</v>
      </c>
      <c r="I551" s="19" t="n">
        <v>850</v>
      </c>
      <c r="J551" s="19" t="n">
        <v>946</v>
      </c>
      <c r="K551" s="19" t="n">
        <v>8.33333333333333</v>
      </c>
    </row>
    <row r="552">
      <c r="A552" s="19" t="n">
        <v>4</v>
      </c>
      <c r="B552" s="19" t="inlineStr">
        <is>
          <t>Whyin</t>
        </is>
      </c>
      <c r="C552" s="19" t="inlineStr">
        <is>
          <t>Town</t>
        </is>
      </c>
      <c r="D552" s="19" t="inlineStr">
        <is>
          <t>Win</t>
        </is>
      </c>
      <c r="E552" s="19" t="n">
        <v>94</v>
      </c>
      <c r="F552" s="19" t="n">
        <v>24.1510732254033</v>
      </c>
      <c r="G552" s="19" t="n">
        <v>25.4432343670612</v>
      </c>
      <c r="H552" s="19" t="n">
        <v>8.21407387107495</v>
      </c>
      <c r="I552" s="19" t="n">
        <v>798</v>
      </c>
      <c r="J552" s="19" t="n">
        <v>892</v>
      </c>
      <c r="K552" s="19" t="n">
        <v>8.279109643888139</v>
      </c>
    </row>
    <row r="553">
      <c r="A553" s="19" t="n">
        <v>4</v>
      </c>
      <c r="B553" s="19" t="inlineStr">
        <is>
          <t>Noah</t>
        </is>
      </c>
      <c r="C553" s="19" t="inlineStr">
        <is>
          <t>Town</t>
        </is>
      </c>
      <c r="D553" s="19" t="inlineStr">
        <is>
          <t>Win</t>
        </is>
      </c>
      <c r="E553" s="19" t="n">
        <v>92</v>
      </c>
      <c r="F553" s="19" t="n">
        <v>26.2606795837828</v>
      </c>
      <c r="G553" s="19" t="n">
        <v>27.5174047113531</v>
      </c>
      <c r="H553" s="19" t="n">
        <v>8.10257400880896</v>
      </c>
      <c r="I553" s="19" t="n">
        <v>953</v>
      </c>
      <c r="J553" s="19" t="n">
        <v>1045</v>
      </c>
      <c r="K553" s="19" t="n">
        <v>8.16464686417101</v>
      </c>
    </row>
    <row r="554">
      <c r="A554" s="19" t="n">
        <v>4</v>
      </c>
      <c r="B554" s="19" t="inlineStr">
        <is>
          <t>Lombax</t>
        </is>
      </c>
      <c r="C554" s="19" t="inlineStr">
        <is>
          <t>Town</t>
        </is>
      </c>
      <c r="D554" s="19" t="inlineStr">
        <is>
          <t>Win</t>
        </is>
      </c>
      <c r="E554" s="19" t="n">
        <v>94</v>
      </c>
      <c r="F554" s="19" t="n">
        <v>24.1510732254033</v>
      </c>
      <c r="G554" s="19" t="n">
        <v>25.4432343670612</v>
      </c>
      <c r="H554" s="19" t="n">
        <v>8.21407387107495</v>
      </c>
      <c r="I554" s="19" t="n">
        <v>798</v>
      </c>
      <c r="J554" s="19" t="n">
        <v>892</v>
      </c>
      <c r="K554" s="19" t="n">
        <v>8.279109643888139</v>
      </c>
    </row>
    <row r="555">
      <c r="A555" s="19" t="n">
        <v>4</v>
      </c>
      <c r="B555" s="19" t="inlineStr">
        <is>
          <t>5up</t>
        </is>
      </c>
      <c r="C555" s="19" t="inlineStr">
        <is>
          <t>Town</t>
        </is>
      </c>
      <c r="D555" s="19" t="inlineStr">
        <is>
          <t>Win</t>
        </is>
      </c>
      <c r="E555" s="19" t="n">
        <v>93</v>
      </c>
      <c r="F555" s="19" t="n">
        <v>25.5822168197019</v>
      </c>
      <c r="G555" s="19" t="n">
        <v>26.8548744857583</v>
      </c>
      <c r="H555" s="19" t="n">
        <v>8.15290788777569</v>
      </c>
      <c r="I555" s="19" t="n">
        <v>902</v>
      </c>
      <c r="J555" s="19" t="n">
        <v>995</v>
      </c>
      <c r="K555" s="19" t="n">
        <v>8.216308269449369</v>
      </c>
    </row>
    <row r="556">
      <c r="A556" s="19" t="n">
        <v>3</v>
      </c>
      <c r="B556" s="19" t="inlineStr">
        <is>
          <t>Noah</t>
        </is>
      </c>
      <c r="C556" s="19" t="inlineStr">
        <is>
          <t>Mafia</t>
        </is>
      </c>
      <c r="D556" s="19" t="inlineStr">
        <is>
          <t>Win</t>
        </is>
      </c>
      <c r="E556" s="19" t="n">
        <v>56</v>
      </c>
      <c r="F556" s="19" t="n">
        <v>25.5085921430037</v>
      </c>
      <c r="G556" s="19" t="n">
        <v>26.2606795837828</v>
      </c>
      <c r="H556" s="19" t="n">
        <v>8.16464686417101</v>
      </c>
      <c r="I556" s="19" t="n">
        <v>897</v>
      </c>
      <c r="J556" s="19" t="n">
        <v>953</v>
      </c>
      <c r="K556" s="19" t="n">
        <v>8.21378946285855</v>
      </c>
    </row>
    <row r="557">
      <c r="A557" s="19" t="n">
        <v>3</v>
      </c>
      <c r="B557" s="19" t="inlineStr">
        <is>
          <t>Tulsa</t>
        </is>
      </c>
      <c r="C557" s="19" t="inlineStr">
        <is>
          <t>Mafia</t>
        </is>
      </c>
      <c r="D557" s="19" t="inlineStr">
        <is>
          <t>Win</t>
        </is>
      </c>
      <c r="E557" s="19" t="n">
        <v>58</v>
      </c>
      <c r="F557" s="19" t="n">
        <v>25</v>
      </c>
      <c r="G557" s="19" t="n">
        <v>25.7741092017007</v>
      </c>
      <c r="H557" s="19" t="n">
        <v>8.281690204646891</v>
      </c>
      <c r="I557" s="19" t="n">
        <v>850</v>
      </c>
      <c r="J557" s="19" t="n">
        <v>908</v>
      </c>
      <c r="K557" s="19" t="n">
        <v>8.33333333333333</v>
      </c>
    </row>
    <row r="558">
      <c r="A558" s="19" t="n">
        <v>3</v>
      </c>
      <c r="B558" s="19" t="inlineStr">
        <is>
          <t>Vandy</t>
        </is>
      </c>
      <c r="C558" s="19" t="inlineStr">
        <is>
          <t>Mafia</t>
        </is>
      </c>
      <c r="D558" s="19" t="inlineStr">
        <is>
          <t>Win</t>
        </is>
      </c>
      <c r="E558" s="19" t="n">
        <v>58</v>
      </c>
      <c r="F558" s="19" t="n">
        <v>25</v>
      </c>
      <c r="G558" s="19" t="n">
        <v>25.7741092017007</v>
      </c>
      <c r="H558" s="19" t="n">
        <v>8.281690204646891</v>
      </c>
      <c r="I558" s="19" t="n">
        <v>850</v>
      </c>
      <c r="J558" s="19" t="n">
        <v>908</v>
      </c>
      <c r="K558" s="19" t="n">
        <v>8.33333333333333</v>
      </c>
    </row>
    <row r="559">
      <c r="A559" s="19" t="n">
        <v>3</v>
      </c>
      <c r="B559" s="19" t="inlineStr">
        <is>
          <t>Striker</t>
        </is>
      </c>
      <c r="C559" s="19" t="inlineStr">
        <is>
          <t>Town</t>
        </is>
      </c>
      <c r="D559" s="19" t="inlineStr">
        <is>
          <t>Loss</t>
        </is>
      </c>
      <c r="E559" s="19" t="n">
        <v>-47</v>
      </c>
      <c r="F559" s="19" t="n">
        <v>25</v>
      </c>
      <c r="G559" s="19" t="n">
        <v>24.2258907982992</v>
      </c>
      <c r="H559" s="19" t="n">
        <v>8.281690204646891</v>
      </c>
      <c r="I559" s="19" t="n">
        <v>850</v>
      </c>
      <c r="J559" s="19" t="n">
        <v>803</v>
      </c>
      <c r="K559" s="19" t="n">
        <v>8.33333333333333</v>
      </c>
    </row>
    <row r="560">
      <c r="A560" s="19" t="n">
        <v>3</v>
      </c>
      <c r="B560" s="19" t="inlineStr">
        <is>
          <t>SamStockton</t>
        </is>
      </c>
      <c r="C560" s="19" t="inlineStr">
        <is>
          <t>Town</t>
        </is>
      </c>
      <c r="D560" s="19" t="inlineStr">
        <is>
          <t>Loss</t>
        </is>
      </c>
      <c r="E560" s="19" t="n">
        <v>-46</v>
      </c>
      <c r="F560" s="19" t="n">
        <v>26.343983574467</v>
      </c>
      <c r="G560" s="19" t="n">
        <v>25.5822168197019</v>
      </c>
      <c r="H560" s="19" t="n">
        <v>8.216308269449369</v>
      </c>
      <c r="I560" s="19" t="n">
        <v>948</v>
      </c>
      <c r="J560" s="19" t="n">
        <v>902</v>
      </c>
      <c r="K560" s="19" t="n">
        <v>8.26654600100898</v>
      </c>
    </row>
    <row r="561">
      <c r="A561" s="19" t="n">
        <v>3</v>
      </c>
      <c r="B561" s="19" t="inlineStr">
        <is>
          <t>Machop</t>
        </is>
      </c>
      <c r="C561" s="19" t="inlineStr">
        <is>
          <t>Town</t>
        </is>
      </c>
      <c r="D561" s="19" t="inlineStr">
        <is>
          <t>Loss</t>
        </is>
      </c>
      <c r="E561" s="19" t="n">
        <v>-46</v>
      </c>
      <c r="F561" s="19" t="n">
        <v>27.1793750059302</v>
      </c>
      <c r="G561" s="19" t="n">
        <v>26.4272875651511</v>
      </c>
      <c r="H561" s="19" t="n">
        <v>8.16464686417101</v>
      </c>
      <c r="I561" s="19" t="n">
        <v>1010</v>
      </c>
      <c r="J561" s="19" t="n">
        <v>964</v>
      </c>
      <c r="K561" s="19" t="n">
        <v>8.21378946285855</v>
      </c>
    </row>
    <row r="562">
      <c r="A562" s="19" t="n">
        <v>3</v>
      </c>
      <c r="B562" s="19" t="inlineStr">
        <is>
          <t>Josh</t>
        </is>
      </c>
      <c r="C562" s="19" t="inlineStr">
        <is>
          <t>Town</t>
        </is>
      </c>
      <c r="D562" s="19" t="inlineStr">
        <is>
          <t>Loss</t>
        </is>
      </c>
      <c r="E562" s="19" t="n">
        <v>-46</v>
      </c>
      <c r="F562" s="19" t="n">
        <v>25.5085921430037</v>
      </c>
      <c r="G562" s="19" t="n">
        <v>24.7565047022246</v>
      </c>
      <c r="H562" s="19" t="n">
        <v>8.16464686417101</v>
      </c>
      <c r="I562" s="19" t="n">
        <v>897</v>
      </c>
      <c r="J562" s="19" t="n">
        <v>851</v>
      </c>
      <c r="K562" s="19" t="n">
        <v>8.21378946285855</v>
      </c>
    </row>
    <row r="563">
      <c r="A563" s="19" t="n">
        <v>3</v>
      </c>
      <c r="B563" s="19" t="inlineStr">
        <is>
          <t>5up</t>
        </is>
      </c>
      <c r="C563" s="19" t="inlineStr">
        <is>
          <t>Town</t>
        </is>
      </c>
      <c r="D563" s="19" t="inlineStr">
        <is>
          <t>Loss</t>
        </is>
      </c>
      <c r="E563" s="19" t="n">
        <v>-46</v>
      </c>
      <c r="F563" s="19" t="n">
        <v>26.343983574467</v>
      </c>
      <c r="G563" s="19" t="n">
        <v>25.5822168197019</v>
      </c>
      <c r="H563" s="19" t="n">
        <v>8.216308269449369</v>
      </c>
      <c r="I563" s="19" t="n">
        <v>948</v>
      </c>
      <c r="J563" s="19" t="n">
        <v>902</v>
      </c>
      <c r="K563" s="19" t="n">
        <v>8.26654600100898</v>
      </c>
    </row>
    <row r="564">
      <c r="A564" s="19" t="n">
        <v>3</v>
      </c>
      <c r="B564" s="19" t="inlineStr">
        <is>
          <t>Steep</t>
        </is>
      </c>
      <c r="C564" s="19" t="inlineStr">
        <is>
          <t>Town</t>
        </is>
      </c>
      <c r="D564" s="19" t="inlineStr">
        <is>
          <t>Loss</t>
        </is>
      </c>
      <c r="E564" s="19" t="n">
        <v>-47</v>
      </c>
      <c r="F564" s="19" t="n">
        <v>25</v>
      </c>
      <c r="G564" s="19" t="n">
        <v>24.2258907982992</v>
      </c>
      <c r="H564" s="19" t="n">
        <v>8.281690204646891</v>
      </c>
      <c r="I564" s="19" t="n">
        <v>850</v>
      </c>
      <c r="J564" s="19" t="n">
        <v>803</v>
      </c>
      <c r="K564" s="19" t="n">
        <v>8.33333333333333</v>
      </c>
    </row>
    <row r="565">
      <c r="A565" s="19" t="n">
        <v>3</v>
      </c>
      <c r="B565" s="19" t="inlineStr">
        <is>
          <t>Heck</t>
        </is>
      </c>
      <c r="C565" s="19" t="inlineStr">
        <is>
          <t>Town</t>
        </is>
      </c>
      <c r="D565" s="19" t="inlineStr">
        <is>
          <t>Loss</t>
        </is>
      </c>
      <c r="E565" s="19" t="n">
        <v>-46</v>
      </c>
      <c r="F565" s="19" t="n">
        <v>22.8206249940697</v>
      </c>
      <c r="G565" s="19" t="n">
        <v>22.0685375532906</v>
      </c>
      <c r="H565" s="19" t="n">
        <v>8.16464686417101</v>
      </c>
      <c r="I565" s="19" t="n">
        <v>714</v>
      </c>
      <c r="J565" s="19" t="n">
        <v>668</v>
      </c>
      <c r="K565" s="19" t="n">
        <v>8.21378946285855</v>
      </c>
    </row>
    <row r="566">
      <c r="A566" s="19" t="n">
        <v>3</v>
      </c>
      <c r="B566" s="19" t="inlineStr">
        <is>
          <t>Elmo</t>
        </is>
      </c>
      <c r="C566" s="19" t="inlineStr">
        <is>
          <t>Town</t>
        </is>
      </c>
      <c r="D566" s="19" t="inlineStr">
        <is>
          <t>Loss</t>
        </is>
      </c>
      <c r="E566" s="19" t="n">
        <v>-47</v>
      </c>
      <c r="F566" s="19" t="n">
        <v>25</v>
      </c>
      <c r="G566" s="19" t="n">
        <v>24.2258907982992</v>
      </c>
      <c r="H566" s="19" t="n">
        <v>8.281690204646891</v>
      </c>
      <c r="I566" s="19" t="n">
        <v>850</v>
      </c>
      <c r="J566" s="19" t="n">
        <v>803</v>
      </c>
      <c r="K566" s="19" t="n">
        <v>8.33333333333333</v>
      </c>
    </row>
    <row r="567">
      <c r="A567" s="19" t="n">
        <v>3</v>
      </c>
      <c r="B567" s="19" t="inlineStr">
        <is>
          <t>Laura</t>
        </is>
      </c>
      <c r="C567" s="19" t="inlineStr">
        <is>
          <t>Town</t>
        </is>
      </c>
      <c r="D567" s="19" t="inlineStr">
        <is>
          <t>Loss</t>
        </is>
      </c>
      <c r="E567" s="19" t="n">
        <v>-47</v>
      </c>
      <c r="F567" s="19" t="n">
        <v>25</v>
      </c>
      <c r="G567" s="19" t="n">
        <v>24.2258907982992</v>
      </c>
      <c r="H567" s="19" t="n">
        <v>8.281690204646891</v>
      </c>
      <c r="I567" s="19" t="n">
        <v>850</v>
      </c>
      <c r="J567" s="19" t="n">
        <v>803</v>
      </c>
      <c r="K567" s="19" t="n">
        <v>8.33333333333333</v>
      </c>
    </row>
    <row r="568">
      <c r="A568" s="19" t="n">
        <v>3</v>
      </c>
      <c r="B568" s="19" t="inlineStr">
        <is>
          <t>Justice</t>
        </is>
      </c>
      <c r="C568" s="19" t="inlineStr">
        <is>
          <t>Town</t>
        </is>
      </c>
      <c r="D568" s="19" t="inlineStr">
        <is>
          <t>Loss</t>
        </is>
      </c>
      <c r="E568" s="19" t="n">
        <v>-46</v>
      </c>
      <c r="F568" s="19" t="n">
        <v>23.656016425533</v>
      </c>
      <c r="G568" s="19" t="n">
        <v>22.8942496707679</v>
      </c>
      <c r="H568" s="19" t="n">
        <v>8.216308269449369</v>
      </c>
      <c r="I568" s="19" t="n">
        <v>765</v>
      </c>
      <c r="J568" s="19" t="n">
        <v>719</v>
      </c>
      <c r="K568" s="19" t="n">
        <v>8.26654600100898</v>
      </c>
    </row>
    <row r="569">
      <c r="A569" s="19" t="n">
        <v>2</v>
      </c>
      <c r="B569" s="19" t="inlineStr">
        <is>
          <t>Torharo</t>
        </is>
      </c>
      <c r="C569" s="19" t="inlineStr">
        <is>
          <t>Mafia</t>
        </is>
      </c>
      <c r="D569" s="19" t="inlineStr">
        <is>
          <t>Win</t>
        </is>
      </c>
      <c r="E569" s="19" t="n">
        <v>63</v>
      </c>
      <c r="F569" s="19" t="n">
        <v>23.656016425533</v>
      </c>
      <c r="G569" s="19" t="n">
        <v>24.4914078569962</v>
      </c>
      <c r="H569" s="19" t="n">
        <v>8.21378946285855</v>
      </c>
      <c r="I569" s="19" t="n">
        <v>765</v>
      </c>
      <c r="J569" s="19" t="n">
        <v>828</v>
      </c>
      <c r="K569" s="19" t="n">
        <v>8.26654600100898</v>
      </c>
    </row>
    <row r="570">
      <c r="A570" s="19" t="n">
        <v>2</v>
      </c>
      <c r="B570" s="19" t="inlineStr">
        <is>
          <t>Machop</t>
        </is>
      </c>
      <c r="C570" s="19" t="inlineStr">
        <is>
          <t>Mafia</t>
        </is>
      </c>
      <c r="D570" s="19" t="inlineStr">
        <is>
          <t>Win</t>
        </is>
      </c>
      <c r="E570" s="19" t="n">
        <v>62</v>
      </c>
      <c r="F570" s="19" t="n">
        <v>26.343983574467</v>
      </c>
      <c r="G570" s="19" t="n">
        <v>27.1793750059302</v>
      </c>
      <c r="H570" s="19" t="n">
        <v>8.21378946285855</v>
      </c>
      <c r="I570" s="19" t="n">
        <v>948</v>
      </c>
      <c r="J570" s="19" t="n">
        <v>1010</v>
      </c>
      <c r="K570" s="19" t="n">
        <v>8.26654600100898</v>
      </c>
    </row>
    <row r="571">
      <c r="A571" s="19" t="n">
        <v>2</v>
      </c>
      <c r="B571" s="19" t="inlineStr">
        <is>
          <t>Kaelten</t>
        </is>
      </c>
      <c r="C571" s="19" t="inlineStr">
        <is>
          <t>Mafia</t>
        </is>
      </c>
      <c r="D571" s="19" t="inlineStr">
        <is>
          <t>Win</t>
        </is>
      </c>
      <c r="E571" s="19" t="n">
        <v>63</v>
      </c>
      <c r="F571" s="19" t="n">
        <v>25</v>
      </c>
      <c r="G571" s="19" t="n">
        <v>25.8489267745966</v>
      </c>
      <c r="H571" s="19" t="n">
        <v>8.279109643888139</v>
      </c>
      <c r="I571" s="19" t="n">
        <v>850</v>
      </c>
      <c r="J571" s="19" t="n">
        <v>913</v>
      </c>
      <c r="K571" s="19" t="n">
        <v>8.33333333333333</v>
      </c>
    </row>
    <row r="572">
      <c r="A572" s="19" t="n">
        <v>2</v>
      </c>
      <c r="B572" s="19" t="inlineStr">
        <is>
          <t>Josh</t>
        </is>
      </c>
      <c r="C572" s="19" t="inlineStr">
        <is>
          <t>Town</t>
        </is>
      </c>
      <c r="D572" s="19" t="inlineStr">
        <is>
          <t>Loss</t>
        </is>
      </c>
      <c r="E572" s="19" t="n">
        <v>-51</v>
      </c>
      <c r="F572" s="19" t="n">
        <v>26.343983574467</v>
      </c>
      <c r="G572" s="19" t="n">
        <v>25.5085921430037</v>
      </c>
      <c r="H572" s="19" t="n">
        <v>8.21378946285855</v>
      </c>
      <c r="I572" s="19" t="n">
        <v>948</v>
      </c>
      <c r="J572" s="19" t="n">
        <v>897</v>
      </c>
      <c r="K572" s="19" t="n">
        <v>8.26654600100898</v>
      </c>
    </row>
    <row r="573">
      <c r="A573" s="19" t="n">
        <v>2</v>
      </c>
      <c r="B573" s="19" t="inlineStr">
        <is>
          <t>Carson</t>
        </is>
      </c>
      <c r="C573" s="19" t="inlineStr">
        <is>
          <t>Town</t>
        </is>
      </c>
      <c r="D573" s="19" t="inlineStr">
        <is>
          <t>Loss</t>
        </is>
      </c>
      <c r="E573" s="19" t="n">
        <v>-51</v>
      </c>
      <c r="F573" s="19" t="n">
        <v>26.343983574467</v>
      </c>
      <c r="G573" s="19" t="n">
        <v>25.5085921430037</v>
      </c>
      <c r="H573" s="19" t="n">
        <v>8.21378946285855</v>
      </c>
      <c r="I573" s="19" t="n">
        <v>948</v>
      </c>
      <c r="J573" s="19" t="n">
        <v>897</v>
      </c>
      <c r="K573" s="19" t="n">
        <v>8.26654600100898</v>
      </c>
    </row>
    <row r="574">
      <c r="A574" s="19" t="n">
        <v>2</v>
      </c>
      <c r="B574" s="19" t="inlineStr">
        <is>
          <t>Lovekilling</t>
        </is>
      </c>
      <c r="C574" s="19" t="inlineStr">
        <is>
          <t>Town</t>
        </is>
      </c>
      <c r="D574" s="19" t="inlineStr">
        <is>
          <t>Loss</t>
        </is>
      </c>
      <c r="E574" s="19" t="n">
        <v>-52</v>
      </c>
      <c r="F574" s="19" t="n">
        <v>25</v>
      </c>
      <c r="G574" s="19" t="n">
        <v>24.1510732254033</v>
      </c>
      <c r="H574" s="19" t="n">
        <v>8.279109643888139</v>
      </c>
      <c r="I574" s="19" t="n">
        <v>850</v>
      </c>
      <c r="J574" s="19" t="n">
        <v>798</v>
      </c>
      <c r="K574" s="19" t="n">
        <v>8.33333333333333</v>
      </c>
    </row>
    <row r="575">
      <c r="A575" s="19" t="n">
        <v>2</v>
      </c>
      <c r="B575" s="19" t="inlineStr">
        <is>
          <t>Siggywiggy</t>
        </is>
      </c>
      <c r="C575" s="19" t="inlineStr">
        <is>
          <t>Town</t>
        </is>
      </c>
      <c r="D575" s="19" t="inlineStr">
        <is>
          <t>Loss</t>
        </is>
      </c>
      <c r="E575" s="19" t="n">
        <v>-51</v>
      </c>
      <c r="F575" s="19" t="n">
        <v>26.343983574467</v>
      </c>
      <c r="G575" s="19" t="n">
        <v>25.5085921430037</v>
      </c>
      <c r="H575" s="19" t="n">
        <v>8.21378946285855</v>
      </c>
      <c r="I575" s="19" t="n">
        <v>948</v>
      </c>
      <c r="J575" s="19" t="n">
        <v>897</v>
      </c>
      <c r="K575" s="19" t="n">
        <v>8.26654600100898</v>
      </c>
    </row>
    <row r="576">
      <c r="A576" s="19" t="n">
        <v>2</v>
      </c>
      <c r="B576" s="19" t="inlineStr">
        <is>
          <t>Whyin</t>
        </is>
      </c>
      <c r="C576" s="19" t="inlineStr">
        <is>
          <t>Town</t>
        </is>
      </c>
      <c r="D576" s="19" t="inlineStr">
        <is>
          <t>Loss</t>
        </is>
      </c>
      <c r="E576" s="19" t="n">
        <v>-52</v>
      </c>
      <c r="F576" s="19" t="n">
        <v>25</v>
      </c>
      <c r="G576" s="19" t="n">
        <v>24.1510732254033</v>
      </c>
      <c r="H576" s="19" t="n">
        <v>8.279109643888139</v>
      </c>
      <c r="I576" s="19" t="n">
        <v>850</v>
      </c>
      <c r="J576" s="19" t="n">
        <v>798</v>
      </c>
      <c r="K576" s="19" t="n">
        <v>8.33333333333333</v>
      </c>
    </row>
    <row r="577">
      <c r="A577" s="19" t="n">
        <v>2</v>
      </c>
      <c r="B577" s="19" t="inlineStr">
        <is>
          <t>Shane</t>
        </is>
      </c>
      <c r="C577" s="19" t="inlineStr">
        <is>
          <t>Town</t>
        </is>
      </c>
      <c r="D577" s="19" t="inlineStr">
        <is>
          <t>Loss</t>
        </is>
      </c>
      <c r="E577" s="19" t="n">
        <v>-51</v>
      </c>
      <c r="F577" s="19" t="n">
        <v>26.343983574467</v>
      </c>
      <c r="G577" s="19" t="n">
        <v>25.5085921430037</v>
      </c>
      <c r="H577" s="19" t="n">
        <v>8.21378946285855</v>
      </c>
      <c r="I577" s="19" t="n">
        <v>948</v>
      </c>
      <c r="J577" s="19" t="n">
        <v>897</v>
      </c>
      <c r="K577" s="19" t="n">
        <v>8.26654600100898</v>
      </c>
    </row>
    <row r="578">
      <c r="A578" s="19" t="n">
        <v>2</v>
      </c>
      <c r="B578" s="19" t="inlineStr">
        <is>
          <t>Ghostie</t>
        </is>
      </c>
      <c r="C578" s="19" t="inlineStr">
        <is>
          <t>Town</t>
        </is>
      </c>
      <c r="D578" s="19" t="inlineStr">
        <is>
          <t>Loss</t>
        </is>
      </c>
      <c r="E578" s="19" t="n">
        <v>-52</v>
      </c>
      <c r="F578" s="19" t="n">
        <v>25</v>
      </c>
      <c r="G578" s="19" t="n">
        <v>24.1510732254033</v>
      </c>
      <c r="H578" s="19" t="n">
        <v>8.279109643888139</v>
      </c>
      <c r="I578" s="19" t="n">
        <v>850</v>
      </c>
      <c r="J578" s="19" t="n">
        <v>798</v>
      </c>
      <c r="K578" s="19" t="n">
        <v>8.33333333333333</v>
      </c>
    </row>
    <row r="579">
      <c r="A579" s="19" t="n">
        <v>2</v>
      </c>
      <c r="B579" s="19" t="inlineStr">
        <is>
          <t>Lombax</t>
        </is>
      </c>
      <c r="C579" s="19" t="inlineStr">
        <is>
          <t>Town</t>
        </is>
      </c>
      <c r="D579" s="19" t="inlineStr">
        <is>
          <t>Loss</t>
        </is>
      </c>
      <c r="E579" s="19" t="n">
        <v>-52</v>
      </c>
      <c r="F579" s="19" t="n">
        <v>25</v>
      </c>
      <c r="G579" s="19" t="n">
        <v>24.1510732254033</v>
      </c>
      <c r="H579" s="19" t="n">
        <v>8.279109643888139</v>
      </c>
      <c r="I579" s="19" t="n">
        <v>850</v>
      </c>
      <c r="J579" s="19" t="n">
        <v>798</v>
      </c>
      <c r="K579" s="19" t="n">
        <v>8.33333333333333</v>
      </c>
    </row>
    <row r="580">
      <c r="A580" s="19" t="n">
        <v>2</v>
      </c>
      <c r="B580" s="19" t="inlineStr">
        <is>
          <t>Noah</t>
        </is>
      </c>
      <c r="C580" s="19" t="inlineStr">
        <is>
          <t>Town</t>
        </is>
      </c>
      <c r="D580" s="19" t="inlineStr">
        <is>
          <t>Loss</t>
        </is>
      </c>
      <c r="E580" s="19" t="n">
        <v>-51</v>
      </c>
      <c r="F580" s="19" t="n">
        <v>26.343983574467</v>
      </c>
      <c r="G580" s="19" t="n">
        <v>25.5085921430037</v>
      </c>
      <c r="H580" s="19" t="n">
        <v>8.21378946285855</v>
      </c>
      <c r="I580" s="19" t="n">
        <v>948</v>
      </c>
      <c r="J580" s="19" t="n">
        <v>897</v>
      </c>
      <c r="K580" s="19" t="n">
        <v>8.26654600100898</v>
      </c>
    </row>
    <row r="581">
      <c r="A581" s="19" t="n">
        <v>2</v>
      </c>
      <c r="B581" s="19" t="inlineStr">
        <is>
          <t>Heck</t>
        </is>
      </c>
      <c r="C581" s="19" t="inlineStr">
        <is>
          <t>Town</t>
        </is>
      </c>
      <c r="D581" s="19" t="inlineStr">
        <is>
          <t>Loss</t>
        </is>
      </c>
      <c r="E581" s="19" t="n">
        <v>-51</v>
      </c>
      <c r="F581" s="19" t="n">
        <v>23.656016425533</v>
      </c>
      <c r="G581" s="19" t="n">
        <v>22.8206249940697</v>
      </c>
      <c r="H581" s="19" t="n">
        <v>8.21378946285855</v>
      </c>
      <c r="I581" s="19" t="n">
        <v>765</v>
      </c>
      <c r="J581" s="19" t="n">
        <v>714</v>
      </c>
      <c r="K581" s="19" t="n">
        <v>8.26654600100898</v>
      </c>
    </row>
    <row r="582">
      <c r="A582" s="19" t="n">
        <v>1</v>
      </c>
      <c r="B582" s="19" t="inlineStr">
        <is>
          <t>Heck</t>
        </is>
      </c>
      <c r="C582" s="19" t="inlineStr">
        <is>
          <t>Mafia</t>
        </is>
      </c>
      <c r="D582" s="19" t="inlineStr">
        <is>
          <t>Loss</t>
        </is>
      </c>
      <c r="E582" s="19" t="n">
        <v>-85</v>
      </c>
      <c r="F582" s="19" t="n">
        <v>25</v>
      </c>
      <c r="G582" s="19" t="n">
        <v>23.656016425533</v>
      </c>
      <c r="H582" s="19" t="n">
        <v>8.26654600100898</v>
      </c>
      <c r="I582" s="19" t="n">
        <v>850</v>
      </c>
      <c r="J582" s="19" t="n">
        <v>765</v>
      </c>
      <c r="K582" s="19" t="n">
        <v>8.33333333333333</v>
      </c>
    </row>
    <row r="583">
      <c r="A583" s="19" t="n">
        <v>1</v>
      </c>
      <c r="B583" s="19" t="inlineStr">
        <is>
          <t>Torharo</t>
        </is>
      </c>
      <c r="C583" s="19" t="inlineStr">
        <is>
          <t>Mafia</t>
        </is>
      </c>
      <c r="D583" s="19" t="inlineStr">
        <is>
          <t>Loss</t>
        </is>
      </c>
      <c r="E583" s="19" t="n">
        <v>-85</v>
      </c>
      <c r="F583" s="19" t="n">
        <v>25</v>
      </c>
      <c r="G583" s="19" t="n">
        <v>23.656016425533</v>
      </c>
      <c r="H583" s="19" t="n">
        <v>8.26654600100898</v>
      </c>
      <c r="I583" s="19" t="n">
        <v>850</v>
      </c>
      <c r="J583" s="19" t="n">
        <v>765</v>
      </c>
      <c r="K583" s="19" t="n">
        <v>8.33333333333333</v>
      </c>
    </row>
    <row r="584">
      <c r="A584" s="19" t="n">
        <v>1</v>
      </c>
      <c r="B584" s="19" t="inlineStr">
        <is>
          <t>Justice</t>
        </is>
      </c>
      <c r="C584" s="19" t="inlineStr">
        <is>
          <t>Mafia</t>
        </is>
      </c>
      <c r="D584" s="19" t="inlineStr">
        <is>
          <t>Loss</t>
        </is>
      </c>
      <c r="E584" s="19" t="n">
        <v>-85</v>
      </c>
      <c r="F584" s="19" t="n">
        <v>25</v>
      </c>
      <c r="G584" s="19" t="n">
        <v>23.656016425533</v>
      </c>
      <c r="H584" s="19" t="n">
        <v>8.26654600100898</v>
      </c>
      <c r="I584" s="19" t="n">
        <v>850</v>
      </c>
      <c r="J584" s="19" t="n">
        <v>765</v>
      </c>
      <c r="K584" s="19" t="n">
        <v>8.33333333333333</v>
      </c>
    </row>
    <row r="585">
      <c r="A585" s="19" t="n">
        <v>1</v>
      </c>
      <c r="B585" s="19" t="inlineStr">
        <is>
          <t>Siggywiggy</t>
        </is>
      </c>
      <c r="C585" s="19" t="inlineStr">
        <is>
          <t>Town</t>
        </is>
      </c>
      <c r="D585" s="19" t="inlineStr">
        <is>
          <t>Win</t>
        </is>
      </c>
      <c r="E585" s="19" t="n">
        <v>98</v>
      </c>
      <c r="F585" s="19" t="n">
        <v>25</v>
      </c>
      <c r="G585" s="19" t="n">
        <v>26.343983574467</v>
      </c>
      <c r="H585" s="19" t="n">
        <v>8.26654600100898</v>
      </c>
      <c r="I585" s="19" t="n">
        <v>850</v>
      </c>
      <c r="J585" s="19" t="n">
        <v>948</v>
      </c>
      <c r="K585" s="19" t="n">
        <v>8.33333333333333</v>
      </c>
    </row>
    <row r="586">
      <c r="A586" s="19" t="n">
        <v>1</v>
      </c>
      <c r="B586" s="19" t="inlineStr">
        <is>
          <t>Machop</t>
        </is>
      </c>
      <c r="C586" s="19" t="inlineStr">
        <is>
          <t>Town</t>
        </is>
      </c>
      <c r="D586" s="19" t="inlineStr">
        <is>
          <t>Win</t>
        </is>
      </c>
      <c r="E586" s="19" t="n">
        <v>98</v>
      </c>
      <c r="F586" s="19" t="n">
        <v>25</v>
      </c>
      <c r="G586" s="19" t="n">
        <v>26.343983574467</v>
      </c>
      <c r="H586" s="19" t="n">
        <v>8.26654600100898</v>
      </c>
      <c r="I586" s="19" t="n">
        <v>850</v>
      </c>
      <c r="J586" s="19" t="n">
        <v>948</v>
      </c>
      <c r="K586" s="19" t="n">
        <v>8.33333333333333</v>
      </c>
    </row>
    <row r="587">
      <c r="A587" s="19" t="n">
        <v>1</v>
      </c>
      <c r="B587" s="19" t="inlineStr">
        <is>
          <t>Antfrost</t>
        </is>
      </c>
      <c r="C587" s="19" t="inlineStr">
        <is>
          <t>Town</t>
        </is>
      </c>
      <c r="D587" s="19" t="inlineStr">
        <is>
          <t>Win</t>
        </is>
      </c>
      <c r="E587" s="19" t="n">
        <v>98</v>
      </c>
      <c r="F587" s="19" t="n">
        <v>25</v>
      </c>
      <c r="G587" s="19" t="n">
        <v>26.343983574467</v>
      </c>
      <c r="H587" s="19" t="n">
        <v>8.26654600100898</v>
      </c>
      <c r="I587" s="19" t="n">
        <v>850</v>
      </c>
      <c r="J587" s="19" t="n">
        <v>948</v>
      </c>
      <c r="K587" s="19" t="n">
        <v>8.33333333333333</v>
      </c>
    </row>
    <row r="588">
      <c r="A588" s="19" t="n">
        <v>1</v>
      </c>
      <c r="B588" s="19" t="inlineStr">
        <is>
          <t>5up</t>
        </is>
      </c>
      <c r="C588" s="19" t="inlineStr">
        <is>
          <t>Town</t>
        </is>
      </c>
      <c r="D588" s="19" t="inlineStr">
        <is>
          <t>Win</t>
        </is>
      </c>
      <c r="E588" s="19" t="n">
        <v>98</v>
      </c>
      <c r="F588" s="19" t="n">
        <v>25</v>
      </c>
      <c r="G588" s="19" t="n">
        <v>26.343983574467</v>
      </c>
      <c r="H588" s="19" t="n">
        <v>8.26654600100898</v>
      </c>
      <c r="I588" s="19" t="n">
        <v>850</v>
      </c>
      <c r="J588" s="19" t="n">
        <v>948</v>
      </c>
      <c r="K588" s="19" t="n">
        <v>8.33333333333333</v>
      </c>
    </row>
    <row r="589">
      <c r="A589" s="19" t="n">
        <v>1</v>
      </c>
      <c r="B589" s="19" t="inlineStr">
        <is>
          <t>Carson</t>
        </is>
      </c>
      <c r="C589" s="19" t="inlineStr">
        <is>
          <t>Town</t>
        </is>
      </c>
      <c r="D589" s="19" t="inlineStr">
        <is>
          <t>Win</t>
        </is>
      </c>
      <c r="E589" s="19" t="n">
        <v>98</v>
      </c>
      <c r="F589" s="19" t="n">
        <v>25</v>
      </c>
      <c r="G589" s="19" t="n">
        <v>26.343983574467</v>
      </c>
      <c r="H589" s="19" t="n">
        <v>8.26654600100898</v>
      </c>
      <c r="I589" s="19" t="n">
        <v>850</v>
      </c>
      <c r="J589" s="19" t="n">
        <v>948</v>
      </c>
      <c r="K589" s="19" t="n">
        <v>8.33333333333333</v>
      </c>
    </row>
    <row r="590">
      <c r="A590" s="19" t="n">
        <v>1</v>
      </c>
      <c r="B590" s="19" t="inlineStr">
        <is>
          <t>SamStockton</t>
        </is>
      </c>
      <c r="C590" s="19" t="inlineStr">
        <is>
          <t>Town</t>
        </is>
      </c>
      <c r="D590" s="19" t="inlineStr">
        <is>
          <t>Win</t>
        </is>
      </c>
      <c r="E590" s="19" t="n">
        <v>98</v>
      </c>
      <c r="F590" s="19" t="n">
        <v>25</v>
      </c>
      <c r="G590" s="19" t="n">
        <v>26.343983574467</v>
      </c>
      <c r="H590" s="19" t="n">
        <v>8.26654600100898</v>
      </c>
      <c r="I590" s="19" t="n">
        <v>850</v>
      </c>
      <c r="J590" s="19" t="n">
        <v>948</v>
      </c>
      <c r="K590" s="19" t="n">
        <v>8.33333333333333</v>
      </c>
    </row>
    <row r="591">
      <c r="A591" s="19" t="n">
        <v>1</v>
      </c>
      <c r="B591" s="19" t="inlineStr">
        <is>
          <t>Noah</t>
        </is>
      </c>
      <c r="C591" s="19" t="inlineStr">
        <is>
          <t>Town</t>
        </is>
      </c>
      <c r="D591" s="19" t="inlineStr">
        <is>
          <t>Win</t>
        </is>
      </c>
      <c r="E591" s="19" t="n">
        <v>98</v>
      </c>
      <c r="F591" s="19" t="n">
        <v>25</v>
      </c>
      <c r="G591" s="19" t="n">
        <v>26.343983574467</v>
      </c>
      <c r="H591" s="19" t="n">
        <v>8.26654600100898</v>
      </c>
      <c r="I591" s="19" t="n">
        <v>850</v>
      </c>
      <c r="J591" s="19" t="n">
        <v>948</v>
      </c>
      <c r="K591" s="19" t="n">
        <v>8.33333333333333</v>
      </c>
    </row>
    <row r="592">
      <c r="A592" s="19" t="n">
        <v>1</v>
      </c>
      <c r="B592" s="19" t="inlineStr">
        <is>
          <t>Nick</t>
        </is>
      </c>
      <c r="C592" s="19" t="inlineStr">
        <is>
          <t>Town</t>
        </is>
      </c>
      <c r="D592" s="19" t="inlineStr">
        <is>
          <t>Win</t>
        </is>
      </c>
      <c r="E592" s="19" t="n">
        <v>98</v>
      </c>
      <c r="F592" s="19" t="n">
        <v>25</v>
      </c>
      <c r="G592" s="19" t="n">
        <v>26.343983574467</v>
      </c>
      <c r="H592" s="19" t="n">
        <v>8.26654600100898</v>
      </c>
      <c r="I592" s="19" t="n">
        <v>850</v>
      </c>
      <c r="J592" s="19" t="n">
        <v>948</v>
      </c>
      <c r="K592" s="19" t="n">
        <v>8.33333333333333</v>
      </c>
    </row>
    <row r="593">
      <c r="A593" s="19" t="n">
        <v>1</v>
      </c>
      <c r="B593" s="19" t="inlineStr">
        <is>
          <t>Shane</t>
        </is>
      </c>
      <c r="C593" s="19" t="inlineStr">
        <is>
          <t>Town</t>
        </is>
      </c>
      <c r="D593" s="19" t="inlineStr">
        <is>
          <t>Win</t>
        </is>
      </c>
      <c r="E593" s="19" t="n">
        <v>98</v>
      </c>
      <c r="F593" s="19" t="n">
        <v>25</v>
      </c>
      <c r="G593" s="19" t="n">
        <v>26.343983574467</v>
      </c>
      <c r="H593" s="19" t="n">
        <v>8.26654600100898</v>
      </c>
      <c r="I593" s="19" t="n">
        <v>850</v>
      </c>
      <c r="J593" s="19" t="n">
        <v>948</v>
      </c>
      <c r="K593" s="19" t="n">
        <v>8.33333333333333</v>
      </c>
    </row>
    <row r="594">
      <c r="A594" s="19" t="n">
        <v>1</v>
      </c>
      <c r="B594" s="19" t="inlineStr">
        <is>
          <t>Josh</t>
        </is>
      </c>
      <c r="C594" s="19" t="inlineStr">
        <is>
          <t>Town</t>
        </is>
      </c>
      <c r="D594" s="19" t="inlineStr">
        <is>
          <t>Win</t>
        </is>
      </c>
      <c r="E594" s="19" t="n">
        <v>98</v>
      </c>
      <c r="F594" s="19" t="n">
        <v>25</v>
      </c>
      <c r="G594" s="19" t="n">
        <v>26.343983574467</v>
      </c>
      <c r="H594" s="19" t="n">
        <v>8.26654600100898</v>
      </c>
      <c r="I594" s="19" t="n">
        <v>850</v>
      </c>
      <c r="J594" s="19" t="n">
        <v>948</v>
      </c>
      <c r="K594" s="19" t="n">
        <v>8.33333333333333</v>
      </c>
    </row>
    <row r="595">
      <c r="A595" s="19" t="n"/>
      <c r="B595" s="19" t="n"/>
      <c r="C595" s="19" t="n"/>
      <c r="D595" s="19" t="n"/>
      <c r="E595" s="19" t="n"/>
      <c r="F595" s="19" t="n"/>
      <c r="G595" s="19" t="n"/>
      <c r="H595" s="19" t="n"/>
      <c r="I595" s="19" t="n"/>
      <c r="J595" s="19" t="n"/>
      <c r="K595" s="19" t="n"/>
    </row>
    <row r="596">
      <c r="A596" s="19" t="n"/>
      <c r="B596" s="19" t="n"/>
      <c r="C596" s="19" t="n"/>
      <c r="D596" s="19" t="n"/>
      <c r="E596" s="19" t="n"/>
      <c r="F596" s="19" t="n"/>
      <c r="G596" s="19" t="n"/>
      <c r="H596" s="19" t="n"/>
      <c r="I596" s="19" t="n"/>
      <c r="J596" s="19" t="n"/>
      <c r="K596" s="19" t="n"/>
    </row>
    <row r="597">
      <c r="A597" s="19" t="n"/>
      <c r="B597" s="19" t="n"/>
      <c r="C597" s="19" t="n"/>
      <c r="D597" s="19" t="n"/>
      <c r="E597" s="19" t="n"/>
      <c r="F597" s="19" t="n"/>
      <c r="G597" s="19" t="n"/>
      <c r="H597" s="19" t="n"/>
      <c r="I597" s="19" t="n"/>
      <c r="J597" s="19" t="n"/>
      <c r="K597" s="19" t="n"/>
    </row>
    <row r="598">
      <c r="A598" s="19" t="n"/>
      <c r="B598" s="19" t="n"/>
      <c r="C598" s="19" t="n"/>
      <c r="D598" s="19" t="n"/>
      <c r="E598" s="19" t="n"/>
      <c r="F598" s="19" t="n"/>
      <c r="G598" s="19" t="n"/>
      <c r="H598" s="19" t="n"/>
      <c r="I598" s="19" t="n"/>
      <c r="J598" s="19" t="n"/>
      <c r="K598" s="19" t="n"/>
    </row>
    <row r="599">
      <c r="A599" s="19" t="n"/>
      <c r="B599" s="19" t="n"/>
      <c r="C599" s="19" t="n"/>
      <c r="D599" s="19" t="n"/>
      <c r="E599" s="19" t="n"/>
      <c r="F599" s="19" t="n"/>
      <c r="G599" s="19" t="n"/>
      <c r="H599" s="19" t="n"/>
      <c r="I599" s="19" t="n"/>
      <c r="J599" s="19" t="n"/>
      <c r="K599" s="19" t="n"/>
    </row>
    <row r="600">
      <c r="A600" s="19" t="n"/>
      <c r="B600" s="19" t="n"/>
      <c r="C600" s="19" t="n"/>
      <c r="D600" s="19" t="n"/>
      <c r="E600" s="19" t="n"/>
      <c r="F600" s="19" t="n"/>
      <c r="G600" s="19" t="n"/>
      <c r="H600" s="19" t="n"/>
      <c r="I600" s="19" t="n"/>
      <c r="J600" s="19" t="n"/>
      <c r="K600" s="19" t="n"/>
    </row>
    <row r="601">
      <c r="A601" s="19" t="n"/>
      <c r="B601" s="19" t="n"/>
      <c r="C601" s="19" t="n"/>
      <c r="D601" s="19" t="n"/>
      <c r="E601" s="19" t="n"/>
      <c r="F601" s="19" t="n"/>
      <c r="G601" s="19" t="n"/>
      <c r="H601" s="19" t="n"/>
      <c r="I601" s="19" t="n"/>
      <c r="J601" s="19" t="n"/>
      <c r="K601" s="19" t="n"/>
    </row>
    <row r="602">
      <c r="A602" s="19" t="n"/>
      <c r="B602" s="19" t="n"/>
      <c r="C602" s="19" t="n"/>
      <c r="D602" s="19" t="n"/>
      <c r="E602" s="19" t="n"/>
      <c r="F602" s="19" t="n"/>
      <c r="G602" s="19" t="n"/>
      <c r="H602" s="19" t="n"/>
      <c r="I602" s="19" t="n"/>
      <c r="J602" s="19" t="n"/>
      <c r="K602" s="19" t="n"/>
    </row>
    <row r="603">
      <c r="A603" s="19" t="n"/>
      <c r="B603" s="19" t="n"/>
      <c r="C603" s="19" t="n"/>
      <c r="D603" s="19" t="n"/>
      <c r="E603" s="19" t="n"/>
      <c r="F603" s="19" t="n"/>
      <c r="G603" s="19" t="n"/>
      <c r="H603" s="19" t="n"/>
      <c r="I603" s="19" t="n"/>
      <c r="J603" s="19" t="n"/>
      <c r="K603" s="19" t="n"/>
    </row>
    <row r="604">
      <c r="A604" s="19" t="n"/>
      <c r="B604" s="19" t="n"/>
      <c r="C604" s="19" t="n"/>
      <c r="D604" s="19" t="n"/>
      <c r="E604" s="19" t="n"/>
      <c r="F604" s="19" t="n"/>
      <c r="G604" s="19" t="n"/>
      <c r="H604" s="19" t="n"/>
      <c r="I604" s="19" t="n"/>
      <c r="J604" s="19" t="n"/>
      <c r="K604" s="19" t="n"/>
    </row>
    <row r="605">
      <c r="A605" s="19" t="n"/>
      <c r="B605" s="19" t="n"/>
      <c r="C605" s="19" t="n"/>
      <c r="D605" s="19" t="n"/>
      <c r="E605" s="19" t="n"/>
      <c r="F605" s="19" t="n"/>
      <c r="G605" s="19" t="n"/>
      <c r="H605" s="19" t="n"/>
      <c r="I605" s="19" t="n"/>
      <c r="J605" s="19" t="n"/>
      <c r="K605" s="19" t="n"/>
    </row>
    <row r="606">
      <c r="A606" s="19" t="n"/>
      <c r="B606" s="19" t="n"/>
      <c r="C606" s="19" t="n"/>
      <c r="D606" s="19" t="n"/>
      <c r="E606" s="19" t="n"/>
      <c r="F606" s="19" t="n"/>
      <c r="G606" s="19" t="n"/>
      <c r="H606" s="19" t="n"/>
      <c r="I606" s="19" t="n"/>
      <c r="J606" s="19" t="n"/>
      <c r="K606" s="19" t="n"/>
    </row>
    <row r="607">
      <c r="A607" s="19" t="n"/>
      <c r="B607" s="19" t="n"/>
      <c r="C607" s="19" t="n"/>
      <c r="D607" s="19" t="n"/>
      <c r="E607" s="19" t="n"/>
      <c r="F607" s="19" t="n"/>
      <c r="G607" s="19" t="n"/>
      <c r="H607" s="19" t="n"/>
      <c r="I607" s="19" t="n"/>
      <c r="J607" s="19" t="n"/>
      <c r="K607" s="19" t="n"/>
    </row>
    <row r="608">
      <c r="A608" s="19" t="n"/>
      <c r="B608" s="19" t="n"/>
      <c r="C608" s="19" t="n"/>
      <c r="D608" s="19" t="n"/>
      <c r="E608" s="19" t="n"/>
      <c r="F608" s="19" t="n"/>
      <c r="G608" s="19" t="n"/>
      <c r="H608" s="19" t="n"/>
      <c r="I608" s="19" t="n"/>
      <c r="J608" s="19" t="n"/>
      <c r="K608" s="19" t="n"/>
    </row>
    <row r="609">
      <c r="A609" s="19" t="n"/>
      <c r="B609" s="19" t="n"/>
      <c r="C609" s="19" t="n"/>
      <c r="D609" s="19" t="n"/>
      <c r="E609" s="19" t="n"/>
      <c r="F609" s="19" t="n"/>
      <c r="G609" s="19" t="n"/>
      <c r="H609" s="19" t="n"/>
      <c r="I609" s="19" t="n"/>
      <c r="J609" s="19" t="n"/>
      <c r="K609" s="19" t="n"/>
    </row>
    <row r="610">
      <c r="A610" s="19" t="n"/>
      <c r="B610" s="19" t="n"/>
      <c r="C610" s="19" t="n"/>
      <c r="D610" s="19" t="n"/>
      <c r="E610" s="19" t="n"/>
      <c r="F610" s="19" t="n"/>
      <c r="G610" s="19" t="n"/>
      <c r="H610" s="19" t="n"/>
      <c r="I610" s="19" t="n"/>
      <c r="J610" s="19" t="n"/>
      <c r="K610" s="19" t="n"/>
    </row>
    <row r="611">
      <c r="A611" s="19" t="n"/>
      <c r="B611" s="19" t="n"/>
      <c r="C611" s="19" t="n"/>
      <c r="D611" s="19" t="n"/>
      <c r="E611" s="19" t="n"/>
      <c r="F611" s="19" t="n"/>
      <c r="G611" s="19" t="n"/>
      <c r="H611" s="19" t="n"/>
      <c r="I611" s="19" t="n"/>
      <c r="J611" s="19" t="n"/>
      <c r="K611" s="19" t="n"/>
    </row>
    <row r="612">
      <c r="A612" s="19" t="n"/>
      <c r="B612" s="19" t="n"/>
      <c r="C612" s="19" t="n"/>
      <c r="D612" s="19" t="n"/>
      <c r="E612" s="19" t="n"/>
      <c r="F612" s="19" t="n"/>
      <c r="G612" s="19" t="n"/>
      <c r="H612" s="19" t="n"/>
      <c r="I612" s="19" t="n"/>
      <c r="J612" s="19" t="n"/>
      <c r="K612" s="19" t="n"/>
    </row>
    <row r="613">
      <c r="A613" s="19" t="n"/>
      <c r="B613" s="19" t="n"/>
      <c r="C613" s="19" t="n"/>
      <c r="D613" s="19" t="n"/>
      <c r="E613" s="19" t="n"/>
      <c r="F613" s="19" t="n"/>
      <c r="G613" s="19" t="n"/>
      <c r="H613" s="19" t="n"/>
      <c r="I613" s="19" t="n"/>
      <c r="J613" s="19" t="n"/>
      <c r="K613" s="19" t="n"/>
    </row>
    <row r="614">
      <c r="A614" s="19" t="n"/>
      <c r="B614" s="19" t="n"/>
      <c r="C614" s="19" t="n"/>
      <c r="D614" s="19" t="n"/>
      <c r="E614" s="19" t="n"/>
      <c r="F614" s="19" t="n"/>
      <c r="G614" s="19" t="n"/>
      <c r="H614" s="19" t="n"/>
      <c r="I614" s="19" t="n"/>
      <c r="J614" s="19" t="n"/>
      <c r="K614" s="19" t="n"/>
    </row>
    <row r="615">
      <c r="A615" s="19" t="n"/>
      <c r="B615" s="19" t="n"/>
      <c r="C615" s="19" t="n"/>
      <c r="D615" s="19" t="n"/>
      <c r="E615" s="19" t="n"/>
      <c r="F615" s="19" t="n"/>
      <c r="G615" s="19" t="n"/>
      <c r="H615" s="19" t="n"/>
      <c r="I615" s="19" t="n"/>
      <c r="J615" s="19" t="n"/>
      <c r="K615" s="19" t="n"/>
    </row>
    <row r="616">
      <c r="A616" s="19" t="n"/>
      <c r="B616" s="19" t="n"/>
      <c r="C616" s="19" t="n"/>
      <c r="D616" s="19" t="n"/>
      <c r="E616" s="19" t="n"/>
      <c r="F616" s="19" t="n"/>
      <c r="G616" s="19" t="n"/>
      <c r="H616" s="19" t="n"/>
      <c r="I616" s="19" t="n"/>
      <c r="J616" s="19" t="n"/>
      <c r="K616" s="19" t="n"/>
    </row>
    <row r="617">
      <c r="A617" s="19" t="n"/>
      <c r="B617" s="19" t="n"/>
      <c r="C617" s="19" t="n"/>
      <c r="D617" s="19" t="n"/>
      <c r="E617" s="19" t="n"/>
      <c r="F617" s="19" t="n"/>
      <c r="G617" s="19" t="n"/>
      <c r="H617" s="19" t="n"/>
      <c r="I617" s="19" t="n"/>
      <c r="J617" s="19" t="n"/>
      <c r="K617" s="19" t="n"/>
    </row>
    <row r="618">
      <c r="A618" s="19" t="n"/>
      <c r="B618" s="19" t="n"/>
      <c r="C618" s="19" t="n"/>
      <c r="D618" s="19" t="n"/>
      <c r="E618" s="19" t="n"/>
      <c r="F618" s="19" t="n"/>
      <c r="G618" s="19" t="n"/>
      <c r="H618" s="19" t="n"/>
      <c r="I618" s="19" t="n"/>
      <c r="J618" s="19" t="n"/>
      <c r="K618" s="19" t="n"/>
    </row>
    <row r="619">
      <c r="A619" s="19" t="n"/>
      <c r="B619" s="19" t="n"/>
      <c r="C619" s="19" t="n"/>
      <c r="D619" s="19" t="n"/>
      <c r="E619" s="19" t="n"/>
      <c r="F619" s="19" t="n"/>
      <c r="G619" s="19" t="n"/>
      <c r="H619" s="19" t="n"/>
      <c r="I619" s="19" t="n"/>
      <c r="J619" s="19" t="n"/>
      <c r="K619" s="19" t="n"/>
    </row>
    <row r="620">
      <c r="A620" s="19" t="n"/>
      <c r="B620" s="19" t="n"/>
      <c r="C620" s="19" t="n"/>
      <c r="D620" s="19" t="n"/>
      <c r="E620" s="19" t="n"/>
      <c r="F620" s="19" t="n"/>
      <c r="G620" s="19" t="n"/>
      <c r="H620" s="19" t="n"/>
      <c r="I620" s="19" t="n"/>
      <c r="J620" s="19" t="n"/>
      <c r="K620" s="19" t="n"/>
    </row>
    <row r="621">
      <c r="A621" s="19" t="n"/>
      <c r="B621" s="19" t="n"/>
      <c r="C621" s="19" t="n"/>
      <c r="D621" s="19" t="n"/>
      <c r="E621" s="19" t="n"/>
      <c r="F621" s="19" t="n"/>
      <c r="G621" s="19" t="n"/>
      <c r="H621" s="19" t="n"/>
      <c r="I621" s="19" t="n"/>
      <c r="J621" s="19" t="n"/>
      <c r="K621" s="19" t="n"/>
    </row>
    <row r="622">
      <c r="A622" s="19" t="n"/>
      <c r="B622" s="19" t="n"/>
      <c r="C622" s="19" t="n"/>
      <c r="D622" s="19" t="n"/>
      <c r="E622" s="19" t="n"/>
      <c r="F622" s="19" t="n"/>
      <c r="G622" s="19" t="n"/>
      <c r="H622" s="19" t="n"/>
      <c r="I622" s="19" t="n"/>
      <c r="J622" s="19" t="n"/>
      <c r="K622" s="19" t="n"/>
    </row>
    <row r="623">
      <c r="A623" s="19" t="n"/>
      <c r="B623" s="19" t="n"/>
      <c r="C623" s="19" t="n"/>
      <c r="D623" s="19" t="n"/>
      <c r="E623" s="19" t="n"/>
      <c r="F623" s="19" t="n"/>
      <c r="G623" s="19" t="n"/>
      <c r="H623" s="19" t="n"/>
      <c r="I623" s="19" t="n"/>
      <c r="J623" s="19" t="n"/>
      <c r="K623" s="19" t="n"/>
    </row>
    <row r="624">
      <c r="A624" s="19" t="n"/>
      <c r="B624" s="19" t="n"/>
      <c r="C624" s="19" t="n"/>
      <c r="D624" s="19" t="n"/>
      <c r="E624" s="19" t="n"/>
      <c r="F624" s="19" t="n"/>
      <c r="G624" s="19" t="n"/>
      <c r="H624" s="19" t="n"/>
      <c r="I624" s="19" t="n"/>
      <c r="J624" s="19" t="n"/>
      <c r="K624" s="19" t="n"/>
    </row>
    <row r="625">
      <c r="A625" s="19" t="n"/>
      <c r="B625" s="19" t="n"/>
      <c r="C625" s="19" t="n"/>
      <c r="D625" s="19" t="n"/>
      <c r="E625" s="19" t="n"/>
      <c r="F625" s="19" t="n"/>
      <c r="G625" s="19" t="n"/>
      <c r="H625" s="19" t="n"/>
      <c r="I625" s="19" t="n"/>
      <c r="J625" s="19" t="n"/>
      <c r="K625" s="19" t="n"/>
    </row>
    <row r="626">
      <c r="A626" s="19" t="n"/>
      <c r="B626" s="19" t="n"/>
      <c r="C626" s="19" t="n"/>
      <c r="D626" s="19" t="n"/>
      <c r="E626" s="19" t="n"/>
      <c r="F626" s="19" t="n"/>
      <c r="G626" s="19" t="n"/>
      <c r="H626" s="19" t="n"/>
      <c r="I626" s="19" t="n"/>
      <c r="J626" s="19" t="n"/>
      <c r="K626" s="19" t="n"/>
    </row>
    <row r="627">
      <c r="A627" s="19" t="n"/>
      <c r="B627" s="19" t="n"/>
      <c r="C627" s="19" t="n"/>
      <c r="D627" s="19" t="n"/>
      <c r="E627" s="19" t="n"/>
      <c r="F627" s="19" t="n"/>
      <c r="G627" s="19" t="n"/>
      <c r="H627" s="19" t="n"/>
      <c r="I627" s="19" t="n"/>
      <c r="J627" s="19" t="n"/>
      <c r="K627" s="19" t="n"/>
    </row>
    <row r="628">
      <c r="A628" s="19" t="n"/>
      <c r="B628" s="19" t="n"/>
      <c r="C628" s="19" t="n"/>
      <c r="D628" s="19" t="n"/>
      <c r="E628" s="19" t="n"/>
      <c r="F628" s="19" t="n"/>
      <c r="G628" s="19" t="n"/>
      <c r="H628" s="19" t="n"/>
      <c r="I628" s="19" t="n"/>
      <c r="J628" s="19" t="n"/>
      <c r="K628" s="19" t="n"/>
    </row>
    <row r="629">
      <c r="A629" s="19" t="n"/>
      <c r="B629" s="19" t="n"/>
      <c r="C629" s="19" t="n"/>
      <c r="D629" s="19" t="n"/>
      <c r="E629" s="19" t="n"/>
      <c r="F629" s="19" t="n"/>
      <c r="G629" s="19" t="n"/>
      <c r="H629" s="19" t="n"/>
      <c r="I629" s="19" t="n"/>
      <c r="J629" s="19" t="n"/>
      <c r="K629" s="19" t="n"/>
    </row>
    <row r="630">
      <c r="A630" s="19" t="n"/>
      <c r="B630" s="19" t="n"/>
      <c r="C630" s="19" t="n"/>
      <c r="D630" s="19" t="n"/>
      <c r="E630" s="19" t="n"/>
      <c r="F630" s="19" t="n"/>
      <c r="G630" s="19" t="n"/>
      <c r="H630" s="19" t="n"/>
      <c r="I630" s="19" t="n"/>
      <c r="J630" s="19" t="n"/>
      <c r="K630" s="19" t="n"/>
    </row>
    <row r="631">
      <c r="A631" s="19" t="n"/>
      <c r="B631" s="19" t="n"/>
      <c r="C631" s="19" t="n"/>
      <c r="D631" s="19" t="n"/>
      <c r="E631" s="19" t="n"/>
      <c r="F631" s="19" t="n"/>
      <c r="G631" s="19" t="n"/>
      <c r="H631" s="19" t="n"/>
      <c r="I631" s="19" t="n"/>
      <c r="J631" s="19" t="n"/>
      <c r="K631" s="19" t="n"/>
    </row>
    <row r="632">
      <c r="A632" s="19" t="n"/>
      <c r="B632" s="19" t="n"/>
      <c r="C632" s="19" t="n"/>
      <c r="D632" s="19" t="n"/>
      <c r="E632" s="19" t="n"/>
      <c r="F632" s="19" t="n"/>
      <c r="G632" s="19" t="n"/>
      <c r="H632" s="19" t="n"/>
      <c r="I632" s="19" t="n"/>
      <c r="J632" s="19" t="n"/>
      <c r="K632" s="19" t="n"/>
    </row>
    <row r="633">
      <c r="A633" s="19" t="n"/>
      <c r="B633" s="19" t="n"/>
      <c r="C633" s="19" t="n"/>
      <c r="D633" s="19" t="n"/>
      <c r="E633" s="19" t="n"/>
      <c r="F633" s="19" t="n"/>
      <c r="G633" s="19" t="n"/>
      <c r="H633" s="19" t="n"/>
      <c r="I633" s="19" t="n"/>
      <c r="J633" s="19" t="n"/>
      <c r="K633" s="19" t="n"/>
    </row>
    <row r="634">
      <c r="A634" s="19" t="n"/>
      <c r="B634" s="19" t="n"/>
      <c r="C634" s="19" t="n"/>
      <c r="D634" s="19" t="n"/>
      <c r="E634" s="19" t="n"/>
      <c r="F634" s="19" t="n"/>
      <c r="G634" s="19" t="n"/>
      <c r="H634" s="19" t="n"/>
      <c r="I634" s="19" t="n"/>
      <c r="J634" s="19" t="n"/>
      <c r="K634" s="19" t="n"/>
    </row>
    <row r="635">
      <c r="A635" s="19" t="n"/>
      <c r="B635" s="19" t="n"/>
      <c r="C635" s="19" t="n"/>
      <c r="D635" s="19" t="n"/>
      <c r="E635" s="19" t="n"/>
      <c r="F635" s="19" t="n"/>
      <c r="G635" s="19" t="n"/>
      <c r="H635" s="19" t="n"/>
      <c r="I635" s="19" t="n"/>
      <c r="J635" s="19" t="n"/>
      <c r="K635" s="19" t="n"/>
    </row>
    <row r="636">
      <c r="A636" s="19" t="n"/>
      <c r="B636" s="19" t="n"/>
      <c r="C636" s="19" t="n"/>
      <c r="D636" s="19" t="n"/>
      <c r="E636" s="19" t="n"/>
      <c r="F636" s="19" t="n"/>
      <c r="G636" s="19" t="n"/>
      <c r="H636" s="19" t="n"/>
      <c r="I636" s="19" t="n"/>
      <c r="J636" s="19" t="n"/>
      <c r="K636" s="19" t="n"/>
    </row>
    <row r="637">
      <c r="A637" s="19" t="n"/>
      <c r="B637" s="19" t="n"/>
      <c r="C637" s="19" t="n"/>
      <c r="D637" s="19" t="n"/>
      <c r="E637" s="19" t="n"/>
      <c r="F637" s="19" t="n"/>
      <c r="G637" s="19" t="n"/>
      <c r="H637" s="19" t="n"/>
      <c r="I637" s="19" t="n"/>
      <c r="J637" s="19" t="n"/>
      <c r="K637" s="19" t="n"/>
    </row>
    <row r="638">
      <c r="A638" s="19" t="n"/>
      <c r="B638" s="19" t="n"/>
      <c r="C638" s="19" t="n"/>
      <c r="D638" s="19" t="n"/>
      <c r="E638" s="19" t="n"/>
      <c r="F638" s="19" t="n"/>
      <c r="G638" s="19" t="n"/>
      <c r="H638" s="19" t="n"/>
      <c r="I638" s="19" t="n"/>
      <c r="J638" s="19" t="n"/>
      <c r="K638" s="19" t="n"/>
    </row>
    <row r="639">
      <c r="A639" s="19" t="n"/>
      <c r="B639" s="19" t="n"/>
      <c r="C639" s="19" t="n"/>
      <c r="D639" s="19" t="n"/>
      <c r="E639" s="19" t="n"/>
      <c r="F639" s="19" t="n"/>
      <c r="G639" s="19" t="n"/>
      <c r="H639" s="19" t="n"/>
      <c r="I639" s="19" t="n"/>
      <c r="J639" s="19" t="n"/>
      <c r="K639" s="19" t="n"/>
    </row>
    <row r="640">
      <c r="A640" s="19" t="n"/>
      <c r="B640" s="19" t="n"/>
      <c r="C640" s="19" t="n"/>
      <c r="D640" s="19" t="n"/>
      <c r="E640" s="19" t="n"/>
      <c r="F640" s="19" t="n"/>
      <c r="G640" s="19" t="n"/>
      <c r="H640" s="19" t="n"/>
      <c r="I640" s="19" t="n"/>
      <c r="J640" s="19" t="n"/>
      <c r="K640" s="19" t="n"/>
    </row>
    <row r="641">
      <c r="A641" s="19" t="n"/>
      <c r="B641" s="19" t="n"/>
      <c r="C641" s="19" t="n"/>
      <c r="D641" s="19" t="n"/>
      <c r="E641" s="19" t="n"/>
      <c r="F641" s="19" t="n"/>
      <c r="G641" s="19" t="n"/>
      <c r="H641" s="19" t="n"/>
      <c r="I641" s="19" t="n"/>
      <c r="J641" s="19" t="n"/>
      <c r="K641" s="19" t="n"/>
    </row>
    <row r="642">
      <c r="A642" s="19" t="n"/>
      <c r="B642" s="19" t="n"/>
      <c r="C642" s="19" t="n"/>
      <c r="D642" s="19" t="n"/>
      <c r="E642" s="19" t="n"/>
      <c r="F642" s="19" t="n"/>
      <c r="G642" s="19" t="n"/>
      <c r="H642" s="19" t="n"/>
      <c r="I642" s="19" t="n"/>
      <c r="J642" s="19" t="n"/>
      <c r="K642" s="19" t="n"/>
    </row>
    <row r="643">
      <c r="A643" s="19" t="n"/>
      <c r="B643" s="19" t="n"/>
      <c r="C643" s="19" t="n"/>
      <c r="D643" s="19" t="n"/>
      <c r="E643" s="19" t="n"/>
      <c r="F643" s="19" t="n"/>
      <c r="G643" s="19" t="n"/>
      <c r="H643" s="19" t="n"/>
      <c r="I643" s="19" t="n"/>
      <c r="J643" s="19" t="n"/>
      <c r="K643" s="19" t="n"/>
    </row>
    <row r="644">
      <c r="A644" s="19" t="n"/>
      <c r="B644" s="19" t="n"/>
      <c r="C644" s="19" t="n"/>
      <c r="D644" s="19" t="n"/>
      <c r="E644" s="19" t="n"/>
      <c r="F644" s="19" t="n"/>
      <c r="G644" s="19" t="n"/>
      <c r="H644" s="19" t="n"/>
      <c r="I644" s="19" t="n"/>
      <c r="J644" s="19" t="n"/>
      <c r="K644" s="19" t="n"/>
    </row>
    <row r="645">
      <c r="A645" s="19" t="n"/>
      <c r="B645" s="19" t="n"/>
      <c r="C645" s="19" t="n"/>
      <c r="D645" s="19" t="n"/>
      <c r="E645" s="19" t="n"/>
      <c r="F645" s="19" t="n"/>
      <c r="G645" s="19" t="n"/>
      <c r="H645" s="19" t="n"/>
      <c r="I645" s="19" t="n"/>
      <c r="J645" s="19" t="n"/>
      <c r="K645" s="19" t="n"/>
    </row>
    <row r="646">
      <c r="A646" s="19" t="n"/>
      <c r="B646" s="19" t="n"/>
      <c r="C646" s="19" t="n"/>
      <c r="D646" s="19" t="n"/>
      <c r="E646" s="19" t="n"/>
      <c r="F646" s="19" t="n"/>
      <c r="G646" s="19" t="n"/>
      <c r="H646" s="19" t="n"/>
      <c r="I646" s="19" t="n"/>
      <c r="J646" s="19" t="n"/>
      <c r="K646" s="19" t="n"/>
    </row>
    <row r="647">
      <c r="A647" s="19" t="n"/>
      <c r="B647" s="19" t="n"/>
      <c r="C647" s="19" t="n"/>
      <c r="D647" s="19" t="n"/>
      <c r="E647" s="19" t="n"/>
      <c r="F647" s="19" t="n"/>
      <c r="G647" s="19" t="n"/>
      <c r="H647" s="19" t="n"/>
      <c r="I647" s="19" t="n"/>
      <c r="J647" s="19" t="n"/>
      <c r="K647" s="19" t="n"/>
    </row>
    <row r="648">
      <c r="A648" s="19" t="n"/>
      <c r="B648" s="19" t="n"/>
      <c r="C648" s="19" t="n"/>
      <c r="D648" s="19" t="n"/>
      <c r="E648" s="19" t="n"/>
      <c r="F648" s="19" t="n"/>
      <c r="G648" s="19" t="n"/>
      <c r="H648" s="19" t="n"/>
      <c r="I648" s="19" t="n"/>
      <c r="J648" s="19" t="n"/>
      <c r="K648" s="19" t="n"/>
    </row>
    <row r="649">
      <c r="A649" s="19" t="n"/>
      <c r="B649" s="19" t="n"/>
      <c r="C649" s="19" t="n"/>
      <c r="D649" s="19" t="n"/>
      <c r="E649" s="19" t="n"/>
      <c r="F649" s="19" t="n"/>
      <c r="G649" s="19" t="n"/>
      <c r="H649" s="19" t="n"/>
      <c r="I649" s="19" t="n"/>
      <c r="J649" s="19" t="n"/>
      <c r="K649" s="19" t="n"/>
    </row>
    <row r="650">
      <c r="A650" s="19" t="n"/>
      <c r="B650" s="19" t="n"/>
      <c r="C650" s="19" t="n"/>
      <c r="D650" s="19" t="n"/>
      <c r="E650" s="19" t="n"/>
      <c r="F650" s="19" t="n"/>
      <c r="G650" s="19" t="n"/>
      <c r="H650" s="19" t="n"/>
      <c r="I650" s="19" t="n"/>
      <c r="J650" s="19" t="n"/>
      <c r="K650" s="19" t="n"/>
    </row>
    <row r="651">
      <c r="A651" s="19" t="n"/>
      <c r="B651" s="19" t="n"/>
      <c r="C651" s="19" t="n"/>
      <c r="D651" s="19" t="n"/>
      <c r="E651" s="19" t="n"/>
      <c r="F651" s="19" t="n"/>
      <c r="G651" s="19" t="n"/>
      <c r="H651" s="19" t="n"/>
      <c r="I651" s="19" t="n"/>
      <c r="J651" s="19" t="n"/>
      <c r="K651" s="19" t="n"/>
    </row>
    <row r="652">
      <c r="A652" s="19" t="n"/>
      <c r="B652" s="19" t="n"/>
      <c r="C652" s="19" t="n"/>
      <c r="D652" s="19" t="n"/>
      <c r="E652" s="19" t="n"/>
      <c r="F652" s="19" t="n"/>
      <c r="G652" s="19" t="n"/>
      <c r="H652" s="19" t="n"/>
      <c r="I652" s="19" t="n"/>
      <c r="J652" s="19" t="n"/>
      <c r="K652" s="19" t="n"/>
    </row>
    <row r="653">
      <c r="A653" s="19" t="n"/>
      <c r="B653" s="19" t="n"/>
      <c r="C653" s="19" t="n"/>
      <c r="D653" s="19" t="n"/>
      <c r="E653" s="19" t="n"/>
      <c r="F653" s="19" t="n"/>
      <c r="G653" s="19" t="n"/>
      <c r="H653" s="19" t="n"/>
      <c r="I653" s="19" t="n"/>
      <c r="J653" s="19" t="n"/>
      <c r="K653" s="19" t="n"/>
    </row>
    <row r="654">
      <c r="A654" s="19" t="n"/>
      <c r="B654" s="19" t="n"/>
      <c r="C654" s="19" t="n"/>
      <c r="D654" s="19" t="n"/>
      <c r="E654" s="19" t="n"/>
      <c r="F654" s="19" t="n"/>
      <c r="G654" s="19" t="n"/>
      <c r="H654" s="19" t="n"/>
      <c r="I654" s="19" t="n"/>
      <c r="J654" s="19" t="n"/>
      <c r="K654" s="19" t="n"/>
    </row>
    <row r="655">
      <c r="A655" s="19" t="n"/>
      <c r="B655" s="19" t="n"/>
      <c r="C655" s="19" t="n"/>
      <c r="D655" s="19" t="n"/>
      <c r="E655" s="19" t="n"/>
      <c r="F655" s="19" t="n"/>
      <c r="G655" s="19" t="n"/>
      <c r="H655" s="19" t="n"/>
      <c r="I655" s="19" t="n"/>
      <c r="J655" s="19" t="n"/>
      <c r="K655" s="19" t="n"/>
    </row>
    <row r="656">
      <c r="A656" s="19" t="n"/>
      <c r="B656" s="19" t="n"/>
      <c r="C656" s="19" t="n"/>
      <c r="D656" s="19" t="n"/>
      <c r="E656" s="19" t="n"/>
      <c r="F656" s="19" t="n"/>
      <c r="G656" s="19" t="n"/>
      <c r="H656" s="19" t="n"/>
      <c r="I656" s="19" t="n"/>
      <c r="J656" s="19" t="n"/>
      <c r="K656" s="19" t="n"/>
    </row>
    <row r="657">
      <c r="A657" s="19" t="n"/>
      <c r="B657" s="19" t="n"/>
      <c r="C657" s="19" t="n"/>
      <c r="D657" s="19" t="n"/>
      <c r="E657" s="19" t="n"/>
      <c r="F657" s="19" t="n"/>
      <c r="G657" s="19" t="n"/>
      <c r="H657" s="19" t="n"/>
      <c r="I657" s="19" t="n"/>
      <c r="J657" s="19" t="n"/>
      <c r="K657" s="19" t="n"/>
    </row>
    <row r="658">
      <c r="A658" s="19" t="n"/>
      <c r="B658" s="19" t="n"/>
      <c r="C658" s="19" t="n"/>
      <c r="D658" s="19" t="n"/>
      <c r="E658" s="19" t="n"/>
      <c r="F658" s="19" t="n"/>
      <c r="G658" s="19" t="n"/>
      <c r="H658" s="19" t="n"/>
      <c r="I658" s="19" t="n"/>
      <c r="J658" s="19" t="n"/>
      <c r="K658" s="19" t="n"/>
    </row>
    <row r="659">
      <c r="A659" s="19" t="n"/>
      <c r="B659" s="19" t="n"/>
      <c r="C659" s="19" t="n"/>
      <c r="D659" s="19" t="n"/>
      <c r="E659" s="19" t="n"/>
      <c r="F659" s="19" t="n"/>
      <c r="G659" s="19" t="n"/>
      <c r="H659" s="19" t="n"/>
      <c r="I659" s="19" t="n"/>
      <c r="J659" s="19" t="n"/>
      <c r="K659" s="19" t="n"/>
    </row>
    <row r="660">
      <c r="A660" s="19" t="n"/>
      <c r="B660" s="19" t="n"/>
      <c r="C660" s="19" t="n"/>
      <c r="D660" s="19" t="n"/>
      <c r="E660" s="19" t="n"/>
      <c r="F660" s="19" t="n"/>
      <c r="G660" s="19" t="n"/>
      <c r="H660" s="19" t="n"/>
      <c r="I660" s="19" t="n"/>
      <c r="J660" s="19" t="n"/>
      <c r="K660" s="19" t="n"/>
    </row>
    <row r="661">
      <c r="A661" s="19" t="n"/>
      <c r="B661" s="19" t="n"/>
      <c r="C661" s="19" t="n"/>
      <c r="D661" s="19" t="n"/>
      <c r="E661" s="19" t="n"/>
      <c r="F661" s="19" t="n"/>
      <c r="G661" s="19" t="n"/>
      <c r="H661" s="19" t="n"/>
      <c r="I661" s="19" t="n"/>
      <c r="J661" s="19" t="n"/>
      <c r="K661" s="19" t="n"/>
    </row>
    <row r="662">
      <c r="A662" s="19" t="n"/>
      <c r="B662" s="19" t="n"/>
      <c r="C662" s="19" t="n"/>
      <c r="D662" s="19" t="n"/>
      <c r="E662" s="19" t="n"/>
      <c r="F662" s="19" t="n"/>
      <c r="G662" s="19" t="n"/>
      <c r="H662" s="19" t="n"/>
      <c r="I662" s="19" t="n"/>
      <c r="J662" s="19" t="n"/>
      <c r="K662" s="19" t="n"/>
    </row>
    <row r="663">
      <c r="A663" s="19" t="n"/>
      <c r="B663" s="19" t="n"/>
      <c r="C663" s="19" t="n"/>
      <c r="D663" s="19" t="n"/>
      <c r="E663" s="19" t="n"/>
      <c r="F663" s="19" t="n"/>
      <c r="G663" s="19" t="n"/>
      <c r="H663" s="19" t="n"/>
      <c r="I663" s="19" t="n"/>
      <c r="J663" s="19" t="n"/>
      <c r="K663" s="19" t="n"/>
    </row>
    <row r="664">
      <c r="A664" s="19" t="n"/>
      <c r="B664" s="19" t="n"/>
      <c r="C664" s="19" t="n"/>
      <c r="D664" s="19" t="n"/>
      <c r="E664" s="19" t="n"/>
      <c r="F664" s="19" t="n"/>
      <c r="G664" s="19" t="n"/>
      <c r="H664" s="19" t="n"/>
      <c r="I664" s="19" t="n"/>
      <c r="J664" s="19" t="n"/>
      <c r="K664" s="19" t="n"/>
    </row>
    <row r="665">
      <c r="A665" s="19" t="n"/>
      <c r="B665" s="19" t="n"/>
      <c r="C665" s="19" t="n"/>
      <c r="D665" s="19" t="n"/>
      <c r="E665" s="19" t="n"/>
      <c r="F665" s="19" t="n"/>
      <c r="G665" s="19" t="n"/>
      <c r="H665" s="19" t="n"/>
      <c r="I665" s="19" t="n"/>
      <c r="J665" s="19" t="n"/>
      <c r="K665" s="19" t="n"/>
    </row>
    <row r="666">
      <c r="A666" s="19" t="n"/>
      <c r="B666" s="19" t="n"/>
      <c r="C666" s="19" t="n"/>
      <c r="D666" s="19" t="n"/>
      <c r="E666" s="19" t="n"/>
      <c r="F666" s="19" t="n"/>
      <c r="G666" s="19" t="n"/>
      <c r="H666" s="19" t="n"/>
      <c r="I666" s="19" t="n"/>
      <c r="J666" s="19" t="n"/>
      <c r="K666" s="19" t="n"/>
    </row>
    <row r="667">
      <c r="A667" s="19" t="n"/>
      <c r="B667" s="19" t="n"/>
      <c r="C667" s="19" t="n"/>
      <c r="D667" s="19" t="n"/>
      <c r="E667" s="19" t="n"/>
      <c r="F667" s="19" t="n"/>
      <c r="G667" s="19" t="n"/>
      <c r="H667" s="19" t="n"/>
      <c r="I667" s="19" t="n"/>
      <c r="J667" s="19" t="n"/>
      <c r="K667" s="19" t="n"/>
    </row>
    <row r="668">
      <c r="A668" s="19" t="n"/>
      <c r="B668" s="19" t="n"/>
      <c r="C668" s="19" t="n"/>
      <c r="D668" s="19" t="n"/>
      <c r="E668" s="19" t="n"/>
      <c r="F668" s="19" t="n"/>
      <c r="G668" s="19" t="n"/>
      <c r="H668" s="19" t="n"/>
      <c r="I668" s="19" t="n"/>
      <c r="J668" s="19" t="n"/>
      <c r="K668" s="19" t="n"/>
    </row>
    <row r="669">
      <c r="A669" s="19" t="n"/>
      <c r="B669" s="19" t="n"/>
      <c r="C669" s="19" t="n"/>
      <c r="D669" s="19" t="n"/>
      <c r="E669" s="19" t="n"/>
      <c r="F669" s="19" t="n"/>
      <c r="G669" s="19" t="n"/>
      <c r="H669" s="19" t="n"/>
      <c r="I669" s="19" t="n"/>
      <c r="J669" s="19" t="n"/>
      <c r="K669" s="19" t="n"/>
    </row>
    <row r="670">
      <c r="A670" s="19" t="n"/>
      <c r="B670" s="19" t="n"/>
      <c r="C670" s="19" t="n"/>
      <c r="D670" s="19" t="n"/>
      <c r="E670" s="19" t="n"/>
      <c r="F670" s="19" t="n"/>
      <c r="G670" s="19" t="n"/>
      <c r="H670" s="19" t="n"/>
      <c r="I670" s="19" t="n"/>
      <c r="J670" s="19" t="n"/>
      <c r="K670" s="19" t="n"/>
    </row>
    <row r="671">
      <c r="A671" s="19" t="n"/>
      <c r="B671" s="19" t="n"/>
      <c r="C671" s="19" t="n"/>
      <c r="D671" s="19" t="n"/>
      <c r="E671" s="19" t="n"/>
      <c r="F671" s="19" t="n"/>
      <c r="G671" s="19" t="n"/>
      <c r="H671" s="19" t="n"/>
      <c r="I671" s="19" t="n"/>
      <c r="J671" s="19" t="n"/>
      <c r="K671" s="19" t="n"/>
    </row>
    <row r="672">
      <c r="A672" s="19" t="n"/>
      <c r="B672" s="19" t="n"/>
      <c r="C672" s="19" t="n"/>
      <c r="D672" s="19" t="n"/>
      <c r="E672" s="19" t="n"/>
      <c r="F672" s="19" t="n"/>
      <c r="G672" s="19" t="n"/>
      <c r="H672" s="19" t="n"/>
      <c r="I672" s="19" t="n"/>
      <c r="J672" s="19" t="n"/>
      <c r="K672" s="19" t="n"/>
    </row>
    <row r="673">
      <c r="A673" s="19" t="n"/>
      <c r="B673" s="19" t="n"/>
      <c r="C673" s="19" t="n"/>
      <c r="D673" s="19" t="n"/>
      <c r="E673" s="19" t="n"/>
      <c r="F673" s="19" t="n"/>
      <c r="G673" s="19" t="n"/>
      <c r="H673" s="19" t="n"/>
      <c r="I673" s="19" t="n"/>
      <c r="J673" s="19" t="n"/>
      <c r="K673" s="19" t="n"/>
    </row>
    <row r="674">
      <c r="A674" s="19" t="n"/>
      <c r="B674" s="19" t="n"/>
      <c r="C674" s="19" t="n"/>
      <c r="D674" s="19" t="n"/>
      <c r="E674" s="19" t="n"/>
      <c r="F674" s="19" t="n"/>
      <c r="G674" s="19" t="n"/>
      <c r="H674" s="19" t="n"/>
      <c r="I674" s="19" t="n"/>
      <c r="J674" s="19" t="n"/>
      <c r="K674" s="19" t="n"/>
    </row>
    <row r="675">
      <c r="A675" s="19" t="n"/>
      <c r="B675" s="19" t="n"/>
      <c r="C675" s="19" t="n"/>
      <c r="D675" s="19" t="n"/>
      <c r="E675" s="19" t="n"/>
      <c r="F675" s="19" t="n"/>
      <c r="G675" s="19" t="n"/>
      <c r="H675" s="19" t="n"/>
      <c r="I675" s="19" t="n"/>
      <c r="J675" s="19" t="n"/>
      <c r="K675" s="19" t="n"/>
    </row>
    <row r="676">
      <c r="A676" s="19" t="n"/>
      <c r="B676" s="19" t="n"/>
      <c r="C676" s="19" t="n"/>
      <c r="D676" s="19" t="n"/>
      <c r="E676" s="19" t="n"/>
      <c r="F676" s="19" t="n"/>
      <c r="G676" s="19" t="n"/>
      <c r="H676" s="19" t="n"/>
      <c r="I676" s="19" t="n"/>
      <c r="J676" s="19" t="n"/>
      <c r="K676" s="19" t="n"/>
    </row>
    <row r="677">
      <c r="A677" s="19" t="n"/>
      <c r="B677" s="19" t="n"/>
      <c r="C677" s="19" t="n"/>
      <c r="D677" s="19" t="n"/>
      <c r="E677" s="19" t="n"/>
      <c r="F677" s="19" t="n"/>
      <c r="G677" s="19" t="n"/>
      <c r="H677" s="19" t="n"/>
      <c r="I677" s="19" t="n"/>
      <c r="J677" s="19" t="n"/>
      <c r="K677" s="19" t="n"/>
    </row>
    <row r="678">
      <c r="A678" s="19" t="n"/>
      <c r="B678" s="19" t="n"/>
      <c r="C678" s="19" t="n"/>
      <c r="D678" s="19" t="n"/>
      <c r="E678" s="19" t="n"/>
      <c r="F678" s="19" t="n"/>
      <c r="G678" s="19" t="n"/>
      <c r="H678" s="19" t="n"/>
      <c r="I678" s="19" t="n"/>
      <c r="J678" s="19" t="n"/>
      <c r="K678" s="19" t="n"/>
    </row>
    <row r="679">
      <c r="A679" s="19" t="n"/>
      <c r="B679" s="19" t="n"/>
      <c r="C679" s="19" t="n"/>
      <c r="D679" s="19" t="n"/>
      <c r="E679" s="19" t="n"/>
      <c r="F679" s="19" t="n"/>
      <c r="G679" s="19" t="n"/>
      <c r="H679" s="19" t="n"/>
      <c r="I679" s="19" t="n"/>
      <c r="J679" s="19" t="n"/>
      <c r="K679" s="19" t="n"/>
    </row>
    <row r="680">
      <c r="A680" s="19" t="n"/>
      <c r="B680" s="19" t="n"/>
      <c r="C680" s="19" t="n"/>
      <c r="D680" s="19" t="n"/>
      <c r="E680" s="19" t="n"/>
      <c r="F680" s="19" t="n"/>
      <c r="G680" s="19" t="n"/>
      <c r="H680" s="19" t="n"/>
      <c r="I680" s="19" t="n"/>
      <c r="J680" s="19" t="n"/>
      <c r="K680" s="19" t="n"/>
    </row>
    <row r="681">
      <c r="A681" s="19" t="n"/>
      <c r="B681" s="19" t="n"/>
      <c r="C681" s="19" t="n"/>
      <c r="D681" s="19" t="n"/>
      <c r="E681" s="19" t="n"/>
      <c r="F681" s="19" t="n"/>
      <c r="G681" s="19" t="n"/>
      <c r="H681" s="19" t="n"/>
      <c r="I681" s="19" t="n"/>
      <c r="J681" s="19" t="n"/>
      <c r="K681" s="19" t="n"/>
    </row>
    <row r="682">
      <c r="A682" s="19" t="n"/>
      <c r="B682" s="19" t="n"/>
      <c r="C682" s="19" t="n"/>
      <c r="D682" s="19" t="n"/>
      <c r="E682" s="19" t="n"/>
      <c r="F682" s="19" t="n"/>
      <c r="G682" s="19" t="n"/>
      <c r="H682" s="19" t="n"/>
      <c r="I682" s="19" t="n"/>
      <c r="J682" s="19" t="n"/>
      <c r="K682" s="19" t="n"/>
    </row>
    <row r="683">
      <c r="A683" s="19" t="n"/>
      <c r="B683" s="19" t="n"/>
      <c r="C683" s="19" t="n"/>
      <c r="D683" s="19" t="n"/>
      <c r="E683" s="19" t="n"/>
      <c r="F683" s="19" t="n"/>
      <c r="G683" s="19" t="n"/>
      <c r="H683" s="19" t="n"/>
      <c r="I683" s="19" t="n"/>
      <c r="J683" s="19" t="n"/>
      <c r="K683" s="19" t="n"/>
    </row>
    <row r="684">
      <c r="A684" s="19" t="n"/>
      <c r="B684" s="19" t="n"/>
      <c r="C684" s="19" t="n"/>
      <c r="D684" s="19" t="n"/>
      <c r="E684" s="19" t="n"/>
      <c r="F684" s="19" t="n"/>
      <c r="G684" s="19" t="n"/>
      <c r="H684" s="19" t="n"/>
      <c r="I684" s="19" t="n"/>
      <c r="J684" s="19" t="n"/>
      <c r="K684" s="19" t="n"/>
    </row>
    <row r="685">
      <c r="A685" s="19" t="n"/>
      <c r="B685" s="19" t="n"/>
      <c r="C685" s="19" t="n"/>
      <c r="D685" s="19" t="n"/>
      <c r="E685" s="19" t="n"/>
      <c r="F685" s="19" t="n"/>
      <c r="G685" s="19" t="n"/>
      <c r="H685" s="19" t="n"/>
      <c r="I685" s="19" t="n"/>
      <c r="J685" s="19" t="n"/>
      <c r="K685" s="19" t="n"/>
    </row>
    <row r="686">
      <c r="A686" s="19" t="n"/>
      <c r="B686" s="19" t="n"/>
      <c r="C686" s="19" t="n"/>
      <c r="D686" s="19" t="n"/>
      <c r="E686" s="19" t="n"/>
      <c r="F686" s="19" t="n"/>
      <c r="G686" s="19" t="n"/>
      <c r="H686" s="19" t="n"/>
      <c r="I686" s="19" t="n"/>
      <c r="J686" s="19" t="n"/>
      <c r="K686" s="19" t="n"/>
    </row>
    <row r="687">
      <c r="A687" s="19" t="n"/>
      <c r="B687" s="19" t="n"/>
      <c r="C687" s="19" t="n"/>
      <c r="D687" s="19" t="n"/>
      <c r="E687" s="19" t="n"/>
      <c r="F687" s="19" t="n"/>
      <c r="G687" s="19" t="n"/>
      <c r="H687" s="19" t="n"/>
      <c r="I687" s="19" t="n"/>
      <c r="J687" s="19" t="n"/>
      <c r="K687" s="19" t="n"/>
    </row>
    <row r="688">
      <c r="A688" s="19" t="n"/>
      <c r="B688" s="19" t="n"/>
      <c r="C688" s="19" t="n"/>
      <c r="D688" s="19" t="n"/>
      <c r="E688" s="19" t="n"/>
      <c r="F688" s="19" t="n"/>
      <c r="G688" s="19" t="n"/>
      <c r="H688" s="19" t="n"/>
      <c r="I688" s="19" t="n"/>
      <c r="J688" s="19" t="n"/>
      <c r="K688" s="19" t="n"/>
    </row>
    <row r="689">
      <c r="A689" s="19" t="n"/>
      <c r="B689" s="19" t="n"/>
      <c r="C689" s="19" t="n"/>
      <c r="D689" s="19" t="n"/>
      <c r="E689" s="19" t="n"/>
      <c r="F689" s="19" t="n"/>
      <c r="G689" s="19" t="n"/>
      <c r="H689" s="19" t="n"/>
      <c r="I689" s="19" t="n"/>
      <c r="J689" s="19" t="n"/>
      <c r="K689" s="19" t="n"/>
    </row>
    <row r="690">
      <c r="A690" s="19" t="n"/>
      <c r="B690" s="19" t="n"/>
      <c r="C690" s="19" t="n"/>
      <c r="D690" s="19" t="n"/>
      <c r="E690" s="19" t="n"/>
      <c r="F690" s="19" t="n"/>
      <c r="G690" s="19" t="n"/>
      <c r="H690" s="19" t="n"/>
      <c r="I690" s="19" t="n"/>
      <c r="J690" s="19" t="n"/>
      <c r="K690" s="19" t="n"/>
    </row>
    <row r="691">
      <c r="A691" s="19" t="n"/>
      <c r="B691" s="19" t="n"/>
      <c r="C691" s="19" t="n"/>
      <c r="D691" s="19" t="n"/>
      <c r="E691" s="19" t="n"/>
      <c r="F691" s="19" t="n"/>
      <c r="G691" s="19" t="n"/>
      <c r="H691" s="19" t="n"/>
      <c r="I691" s="19" t="n"/>
      <c r="J691" s="19" t="n"/>
      <c r="K691" s="19" t="n"/>
    </row>
    <row r="692">
      <c r="A692" s="19" t="n"/>
      <c r="B692" s="19" t="n"/>
      <c r="C692" s="19" t="n"/>
      <c r="D692" s="19" t="n"/>
      <c r="E692" s="19" t="n"/>
      <c r="F692" s="19" t="n"/>
      <c r="G692" s="19" t="n"/>
      <c r="H692" s="19" t="n"/>
      <c r="I692" s="19" t="n"/>
      <c r="J692" s="19" t="n"/>
      <c r="K692" s="19" t="n"/>
    </row>
    <row r="693">
      <c r="A693" s="19" t="n"/>
      <c r="B693" s="19" t="n"/>
      <c r="C693" s="19" t="n"/>
      <c r="D693" s="19" t="n"/>
      <c r="E693" s="19" t="n"/>
      <c r="F693" s="19" t="n"/>
      <c r="G693" s="19" t="n"/>
      <c r="H693" s="19" t="n"/>
      <c r="I693" s="19" t="n"/>
      <c r="J693" s="19" t="n"/>
      <c r="K693" s="19" t="n"/>
    </row>
    <row r="694">
      <c r="A694" s="19" t="n"/>
      <c r="B694" s="19" t="n"/>
      <c r="C694" s="19" t="n"/>
      <c r="D694" s="19" t="n"/>
      <c r="E694" s="19" t="n"/>
      <c r="F694" s="19" t="n"/>
      <c r="G694" s="19" t="n"/>
      <c r="H694" s="19" t="n"/>
      <c r="I694" s="19" t="n"/>
      <c r="J694" s="19" t="n"/>
      <c r="K694" s="19" t="n"/>
    </row>
    <row r="695">
      <c r="A695" s="19" t="n"/>
      <c r="B695" s="19" t="n"/>
      <c r="C695" s="19" t="n"/>
      <c r="D695" s="19" t="n"/>
      <c r="E695" s="19" t="n"/>
      <c r="F695" s="19" t="n"/>
      <c r="G695" s="19" t="n"/>
      <c r="H695" s="19" t="n"/>
      <c r="I695" s="19" t="n"/>
      <c r="J695" s="19" t="n"/>
      <c r="K695" s="19" t="n"/>
    </row>
    <row r="696">
      <c r="A696" s="19" t="n"/>
      <c r="B696" s="19" t="n"/>
      <c r="C696" s="19" t="n"/>
      <c r="D696" s="19" t="n"/>
      <c r="E696" s="19" t="n"/>
      <c r="F696" s="19" t="n"/>
      <c r="G696" s="19" t="n"/>
      <c r="H696" s="19" t="n"/>
      <c r="I696" s="19" t="n"/>
      <c r="J696" s="19" t="n"/>
      <c r="K696" s="19" t="n"/>
    </row>
    <row r="697">
      <c r="A697" s="19" t="n"/>
      <c r="B697" s="19" t="n"/>
      <c r="C697" s="19" t="n"/>
      <c r="D697" s="19" t="n"/>
      <c r="E697" s="19" t="n"/>
      <c r="F697" s="19" t="n"/>
      <c r="G697" s="19" t="n"/>
      <c r="H697" s="19" t="n"/>
      <c r="I697" s="19" t="n"/>
      <c r="J697" s="19" t="n"/>
      <c r="K697" s="19" t="n"/>
    </row>
    <row r="698">
      <c r="A698" s="19" t="n"/>
      <c r="B698" s="19" t="n"/>
      <c r="C698" s="19" t="n"/>
      <c r="D698" s="19" t="n"/>
      <c r="E698" s="19" t="n"/>
      <c r="F698" s="19" t="n"/>
      <c r="G698" s="19" t="n"/>
      <c r="H698" s="19" t="n"/>
      <c r="I698" s="19" t="n"/>
      <c r="J698" s="19" t="n"/>
      <c r="K698" s="19" t="n"/>
    </row>
    <row r="699">
      <c r="A699" s="19" t="n"/>
      <c r="B699" s="19" t="n"/>
      <c r="C699" s="19" t="n"/>
      <c r="D699" s="19" t="n"/>
      <c r="E699" s="19" t="n"/>
      <c r="F699" s="19" t="n"/>
      <c r="G699" s="19" t="n"/>
      <c r="H699" s="19" t="n"/>
      <c r="I699" s="19" t="n"/>
      <c r="J699" s="19" t="n"/>
      <c r="K699" s="19" t="n"/>
    </row>
    <row r="700">
      <c r="A700" s="19" t="n"/>
      <c r="B700" s="19" t="n"/>
      <c r="C700" s="19" t="n"/>
      <c r="D700" s="19" t="n"/>
      <c r="E700" s="19" t="n"/>
      <c r="F700" s="19" t="n"/>
      <c r="G700" s="19" t="n"/>
      <c r="H700" s="19" t="n"/>
      <c r="I700" s="19" t="n"/>
      <c r="J700" s="19" t="n"/>
      <c r="K700" s="19" t="n"/>
    </row>
    <row r="701">
      <c r="A701" s="19" t="n"/>
      <c r="B701" s="19" t="n"/>
      <c r="C701" s="19" t="n"/>
      <c r="D701" s="19" t="n"/>
      <c r="E701" s="19" t="n"/>
      <c r="F701" s="19" t="n"/>
      <c r="G701" s="19" t="n"/>
      <c r="H701" s="19" t="n"/>
      <c r="I701" s="19" t="n"/>
      <c r="J701" s="19" t="n"/>
      <c r="K701" s="19" t="n"/>
    </row>
    <row r="702">
      <c r="A702" s="19" t="n"/>
      <c r="B702" s="19" t="n"/>
      <c r="C702" s="19" t="n"/>
      <c r="D702" s="19" t="n"/>
      <c r="E702" s="19" t="n"/>
      <c r="F702" s="19" t="n"/>
      <c r="G702" s="19" t="n"/>
      <c r="H702" s="19" t="n"/>
      <c r="I702" s="19" t="n"/>
      <c r="J702" s="19" t="n"/>
      <c r="K702" s="19" t="n"/>
    </row>
    <row r="703">
      <c r="A703" s="19" t="n"/>
      <c r="B703" s="19" t="n"/>
      <c r="C703" s="19" t="n"/>
      <c r="D703" s="19" t="n"/>
      <c r="E703" s="19" t="n"/>
      <c r="F703" s="19" t="n"/>
      <c r="G703" s="19" t="n"/>
      <c r="H703" s="19" t="n"/>
      <c r="I703" s="19" t="n"/>
      <c r="J703" s="19" t="n"/>
      <c r="K703" s="19" t="n"/>
    </row>
    <row r="704">
      <c r="A704" s="19" t="n"/>
      <c r="B704" s="19" t="n"/>
      <c r="C704" s="19" t="n"/>
      <c r="D704" s="19" t="n"/>
      <c r="E704" s="19" t="n"/>
      <c r="F704" s="19" t="n"/>
      <c r="G704" s="19" t="n"/>
      <c r="H704" s="19" t="n"/>
      <c r="I704" s="19" t="n"/>
      <c r="J704" s="19" t="n"/>
      <c r="K704" s="19" t="n"/>
    </row>
    <row r="705">
      <c r="A705" s="19" t="n"/>
      <c r="B705" s="19" t="n"/>
      <c r="C705" s="19" t="n"/>
      <c r="D705" s="19" t="n"/>
      <c r="E705" s="19" t="n"/>
      <c r="F705" s="19" t="n"/>
      <c r="G705" s="19" t="n"/>
      <c r="H705" s="19" t="n"/>
      <c r="I705" s="19" t="n"/>
      <c r="J705" s="19" t="n"/>
      <c r="K705" s="19" t="n"/>
    </row>
    <row r="706">
      <c r="A706" s="19" t="n"/>
      <c r="B706" s="19" t="n"/>
      <c r="C706" s="19" t="n"/>
      <c r="D706" s="19" t="n"/>
      <c r="E706" s="19" t="n"/>
      <c r="F706" s="19" t="n"/>
      <c r="G706" s="19" t="n"/>
      <c r="H706" s="19" t="n"/>
      <c r="I706" s="19" t="n"/>
      <c r="J706" s="19" t="n"/>
      <c r="K706" s="19" t="n"/>
    </row>
    <row r="707">
      <c r="A707" s="19" t="n"/>
      <c r="B707" s="19" t="n"/>
      <c r="C707" s="19" t="n"/>
      <c r="D707" s="19" t="n"/>
      <c r="E707" s="19" t="n"/>
      <c r="F707" s="19" t="n"/>
      <c r="G707" s="19" t="n"/>
      <c r="H707" s="19" t="n"/>
      <c r="I707" s="19" t="n"/>
      <c r="J707" s="19" t="n"/>
      <c r="K707" s="19" t="n"/>
    </row>
    <row r="708">
      <c r="A708" s="19" t="n"/>
      <c r="B708" s="19" t="n"/>
      <c r="C708" s="19" t="n"/>
      <c r="D708" s="19" t="n"/>
      <c r="E708" s="19" t="n"/>
      <c r="F708" s="19" t="n"/>
      <c r="G708" s="19" t="n"/>
      <c r="H708" s="19" t="n"/>
      <c r="I708" s="19" t="n"/>
      <c r="J708" s="19" t="n"/>
      <c r="K708" s="19" t="n"/>
    </row>
    <row r="709">
      <c r="A709" s="19" t="n"/>
      <c r="B709" s="19" t="n"/>
      <c r="C709" s="19" t="n"/>
      <c r="D709" s="19" t="n"/>
      <c r="E709" s="19" t="n"/>
      <c r="F709" s="19" t="n"/>
      <c r="G709" s="19" t="n"/>
      <c r="H709" s="19" t="n"/>
      <c r="I709" s="19" t="n"/>
      <c r="J709" s="19" t="n"/>
      <c r="K709" s="19" t="n"/>
    </row>
    <row r="710">
      <c r="A710" s="19" t="n"/>
      <c r="B710" s="19" t="n"/>
      <c r="C710" s="19" t="n"/>
      <c r="D710" s="19" t="n"/>
      <c r="E710" s="19" t="n"/>
      <c r="F710" s="19" t="n"/>
      <c r="G710" s="19" t="n"/>
      <c r="H710" s="19" t="n"/>
      <c r="I710" s="19" t="n"/>
      <c r="J710" s="19" t="n"/>
      <c r="K710" s="19" t="n"/>
    </row>
    <row r="711">
      <c r="A711" s="19" t="n"/>
      <c r="B711" s="19" t="n"/>
      <c r="C711" s="19" t="n"/>
      <c r="D711" s="19" t="n"/>
      <c r="E711" s="19" t="n"/>
      <c r="F711" s="19" t="n"/>
      <c r="G711" s="19" t="n"/>
      <c r="H711" s="19" t="n"/>
      <c r="I711" s="19" t="n"/>
      <c r="J711" s="19" t="n"/>
      <c r="K711" s="19" t="n"/>
    </row>
    <row r="712">
      <c r="A712" s="19" t="n"/>
      <c r="B712" s="19" t="n"/>
      <c r="C712" s="19" t="n"/>
      <c r="D712" s="19" t="n"/>
      <c r="E712" s="19" t="n"/>
      <c r="F712" s="19" t="n"/>
      <c r="G712" s="19" t="n"/>
      <c r="H712" s="19" t="n"/>
      <c r="I712" s="19" t="n"/>
      <c r="J712" s="19" t="n"/>
      <c r="K712" s="19" t="n"/>
    </row>
    <row r="713">
      <c r="A713" s="19" t="n"/>
      <c r="B713" s="19" t="n"/>
      <c r="C713" s="19" t="n"/>
      <c r="D713" s="19" t="n"/>
      <c r="E713" s="19" t="n"/>
      <c r="F713" s="19" t="n"/>
      <c r="G713" s="19" t="n"/>
      <c r="H713" s="19" t="n"/>
      <c r="I713" s="19" t="n"/>
      <c r="J713" s="19" t="n"/>
      <c r="K713" s="19" t="n"/>
    </row>
    <row r="714">
      <c r="A714" s="19" t="n"/>
      <c r="B714" s="19" t="n"/>
      <c r="C714" s="19" t="n"/>
      <c r="D714" s="19" t="n"/>
      <c r="E714" s="19" t="n"/>
      <c r="F714" s="19" t="n"/>
      <c r="G714" s="19" t="n"/>
      <c r="H714" s="19" t="n"/>
      <c r="I714" s="19" t="n"/>
      <c r="J714" s="19" t="n"/>
      <c r="K714" s="19" t="n"/>
    </row>
    <row r="715">
      <c r="A715" s="19" t="n"/>
      <c r="B715" s="19" t="n"/>
      <c r="C715" s="19" t="n"/>
      <c r="D715" s="19" t="n"/>
      <c r="E715" s="19" t="n"/>
      <c r="F715" s="19" t="n"/>
      <c r="G715" s="19" t="n"/>
      <c r="H715" s="19" t="n"/>
      <c r="I715" s="19" t="n"/>
      <c r="J715" s="19" t="n"/>
      <c r="K715" s="19" t="n"/>
    </row>
    <row r="716">
      <c r="A716" s="19" t="n"/>
      <c r="B716" s="19" t="n"/>
      <c r="C716" s="19" t="n"/>
      <c r="D716" s="19" t="n"/>
      <c r="E716" s="19" t="n"/>
      <c r="F716" s="19" t="n"/>
      <c r="G716" s="19" t="n"/>
      <c r="H716" s="19" t="n"/>
      <c r="I716" s="19" t="n"/>
      <c r="J716" s="19" t="n"/>
      <c r="K716" s="19" t="n"/>
    </row>
    <row r="717">
      <c r="A717" s="19" t="n"/>
      <c r="B717" s="19" t="n"/>
      <c r="C717" s="19" t="n"/>
      <c r="D717" s="19" t="n"/>
      <c r="E717" s="19" t="n"/>
      <c r="F717" s="19" t="n"/>
      <c r="G717" s="19" t="n"/>
      <c r="H717" s="19" t="n"/>
      <c r="I717" s="19" t="n"/>
      <c r="J717" s="19" t="n"/>
      <c r="K717" s="19" t="n"/>
    </row>
    <row r="718">
      <c r="A718" s="19" t="n"/>
      <c r="B718" s="19" t="n"/>
      <c r="C718" s="19" t="n"/>
      <c r="D718" s="19" t="n"/>
      <c r="E718" s="19" t="n"/>
      <c r="F718" s="19" t="n"/>
      <c r="G718" s="19" t="n"/>
      <c r="H718" s="19" t="n"/>
      <c r="I718" s="19" t="n"/>
      <c r="J718" s="19" t="n"/>
      <c r="K718" s="19" t="n"/>
    </row>
    <row r="719">
      <c r="A719" s="19" t="n"/>
      <c r="B719" s="19" t="n"/>
      <c r="C719" s="19" t="n"/>
      <c r="D719" s="19" t="n"/>
      <c r="E719" s="19" t="n"/>
      <c r="F719" s="19" t="n"/>
      <c r="G719" s="19" t="n"/>
      <c r="H719" s="19" t="n"/>
      <c r="I719" s="19" t="n"/>
      <c r="J719" s="19" t="n"/>
      <c r="K719" s="19" t="n"/>
    </row>
    <row r="720">
      <c r="A720" s="19" t="n"/>
      <c r="B720" s="19" t="n"/>
      <c r="C720" s="19" t="n"/>
      <c r="D720" s="19" t="n"/>
      <c r="E720" s="19" t="n"/>
      <c r="F720" s="19" t="n"/>
      <c r="G720" s="19" t="n"/>
      <c r="H720" s="19" t="n"/>
      <c r="I720" s="19" t="n"/>
      <c r="J720" s="19" t="n"/>
      <c r="K720" s="19" t="n"/>
    </row>
    <row r="721">
      <c r="A721" s="19" t="n"/>
      <c r="B721" s="19" t="n"/>
      <c r="C721" s="19" t="n"/>
      <c r="D721" s="19" t="n"/>
      <c r="E721" s="19" t="n"/>
      <c r="F721" s="19" t="n"/>
      <c r="G721" s="19" t="n"/>
      <c r="H721" s="19" t="n"/>
      <c r="I721" s="19" t="n"/>
      <c r="J721" s="19" t="n"/>
      <c r="K721" s="19" t="n"/>
    </row>
    <row r="722">
      <c r="A722" s="19" t="n"/>
      <c r="B722" s="19" t="n"/>
      <c r="C722" s="19" t="n"/>
      <c r="D722" s="19" t="n"/>
      <c r="E722" s="19" t="n"/>
      <c r="F722" s="19" t="n"/>
      <c r="G722" s="19" t="n"/>
      <c r="H722" s="19" t="n"/>
      <c r="I722" s="19" t="n"/>
      <c r="J722" s="19" t="n"/>
      <c r="K722" s="19" t="n"/>
    </row>
    <row r="723">
      <c r="A723" s="19" t="n"/>
      <c r="B723" s="19" t="n"/>
      <c r="C723" s="19" t="n"/>
      <c r="D723" s="19" t="n"/>
      <c r="E723" s="19" t="n"/>
      <c r="F723" s="19" t="n"/>
      <c r="G723" s="19" t="n"/>
      <c r="H723" s="19" t="n"/>
      <c r="I723" s="19" t="n"/>
      <c r="J723" s="19" t="n"/>
      <c r="K723" s="19" t="n"/>
    </row>
    <row r="724">
      <c r="A724" s="19" t="n"/>
      <c r="B724" s="19" t="n"/>
      <c r="C724" s="19" t="n"/>
      <c r="D724" s="19" t="n"/>
      <c r="E724" s="19" t="n"/>
      <c r="F724" s="19" t="n"/>
      <c r="G724" s="19" t="n"/>
      <c r="H724" s="19" t="n"/>
      <c r="I724" s="19" t="n"/>
      <c r="J724" s="19" t="n"/>
      <c r="K724" s="19" t="n"/>
    </row>
    <row r="725">
      <c r="A725" s="19" t="n"/>
      <c r="B725" s="19" t="n"/>
      <c r="C725" s="19" t="n"/>
      <c r="D725" s="19" t="n"/>
      <c r="E725" s="19" t="n"/>
      <c r="F725" s="19" t="n"/>
      <c r="G725" s="19" t="n"/>
      <c r="H725" s="19" t="n"/>
      <c r="I725" s="19" t="n"/>
      <c r="J725" s="19" t="n"/>
      <c r="K725" s="19" t="n"/>
    </row>
    <row r="726">
      <c r="A726" s="19" t="n"/>
      <c r="B726" s="19" t="n"/>
      <c r="C726" s="19" t="n"/>
      <c r="D726" s="19" t="n"/>
      <c r="E726" s="19" t="n"/>
      <c r="F726" s="19" t="n"/>
      <c r="G726" s="19" t="n"/>
      <c r="H726" s="19" t="n"/>
      <c r="I726" s="19" t="n"/>
      <c r="J726" s="19" t="n"/>
      <c r="K726" s="19" t="n"/>
    </row>
    <row r="727">
      <c r="A727" s="19" t="n"/>
      <c r="B727" s="19" t="n"/>
      <c r="C727" s="19" t="n"/>
      <c r="D727" s="19" t="n"/>
      <c r="E727" s="19" t="n"/>
      <c r="F727" s="19" t="n"/>
      <c r="G727" s="19" t="n"/>
      <c r="H727" s="19" t="n"/>
      <c r="I727" s="19" t="n"/>
      <c r="J727" s="19" t="n"/>
      <c r="K727" s="19" t="n"/>
    </row>
    <row r="728">
      <c r="A728" s="19" t="n"/>
      <c r="B728" s="19" t="n"/>
      <c r="C728" s="19" t="n"/>
      <c r="D728" s="19" t="n"/>
      <c r="E728" s="19" t="n"/>
      <c r="F728" s="19" t="n"/>
      <c r="G728" s="19" t="n"/>
      <c r="H728" s="19" t="n"/>
      <c r="I728" s="19" t="n"/>
      <c r="J728" s="19" t="n"/>
      <c r="K728" s="19" t="n"/>
    </row>
    <row r="729">
      <c r="A729" s="19" t="n"/>
      <c r="B729" s="19" t="n"/>
      <c r="C729" s="19" t="n"/>
      <c r="D729" s="19" t="n"/>
      <c r="E729" s="19" t="n"/>
      <c r="F729" s="19" t="n"/>
      <c r="G729" s="19" t="n"/>
      <c r="H729" s="19" t="n"/>
      <c r="I729" s="19" t="n"/>
      <c r="J729" s="19" t="n"/>
      <c r="K729" s="19" t="n"/>
    </row>
    <row r="730">
      <c r="A730" s="19" t="n"/>
      <c r="B730" s="19" t="n"/>
      <c r="C730" s="19" t="n"/>
      <c r="D730" s="19" t="n"/>
      <c r="E730" s="19" t="n"/>
      <c r="F730" s="19" t="n"/>
      <c r="G730" s="19" t="n"/>
      <c r="H730" s="19" t="n"/>
      <c r="I730" s="19" t="n"/>
      <c r="J730" s="19" t="n"/>
      <c r="K730" s="19" t="n"/>
    </row>
    <row r="731">
      <c r="A731" s="19" t="n"/>
      <c r="B731" s="19" t="n"/>
      <c r="C731" s="19" t="n"/>
      <c r="D731" s="19" t="n"/>
      <c r="E731" s="19" t="n"/>
      <c r="F731" s="19" t="n"/>
      <c r="G731" s="19" t="n"/>
      <c r="H731" s="19" t="n"/>
      <c r="I731" s="19" t="n"/>
      <c r="J731" s="19" t="n"/>
      <c r="K731" s="19" t="n"/>
    </row>
    <row r="732">
      <c r="A732" s="19" t="n"/>
      <c r="B732" s="19" t="n"/>
      <c r="C732" s="19" t="n"/>
      <c r="D732" s="19" t="n"/>
      <c r="E732" s="19" t="n"/>
      <c r="F732" s="19" t="n"/>
      <c r="G732" s="19" t="n"/>
      <c r="H732" s="19" t="n"/>
      <c r="I732" s="19" t="n"/>
      <c r="J732" s="19" t="n"/>
      <c r="K732" s="19" t="n"/>
    </row>
    <row r="733">
      <c r="A733" s="19" t="n"/>
      <c r="B733" s="19" t="n"/>
      <c r="C733" s="19" t="n"/>
      <c r="D733" s="19" t="n"/>
      <c r="E733" s="19" t="n"/>
      <c r="F733" s="19" t="n"/>
      <c r="G733" s="19" t="n"/>
      <c r="H733" s="19" t="n"/>
      <c r="I733" s="19" t="n"/>
      <c r="J733" s="19" t="n"/>
      <c r="K733" s="19" t="n"/>
    </row>
    <row r="734">
      <c r="A734" s="19" t="n"/>
      <c r="B734" s="19" t="n"/>
      <c r="C734" s="19" t="n"/>
      <c r="D734" s="19" t="n"/>
      <c r="E734" s="19" t="n"/>
      <c r="F734" s="19" t="n"/>
      <c r="G734" s="19" t="n"/>
      <c r="H734" s="19" t="n"/>
      <c r="I734" s="19" t="n"/>
      <c r="J734" s="19" t="n"/>
      <c r="K734" s="19" t="n"/>
    </row>
    <row r="735">
      <c r="A735" s="19" t="n"/>
      <c r="B735" s="19" t="n"/>
      <c r="C735" s="19" t="n"/>
      <c r="D735" s="19" t="n"/>
      <c r="E735" s="19" t="n"/>
      <c r="F735" s="19" t="n"/>
      <c r="G735" s="19" t="n"/>
      <c r="H735" s="19" t="n"/>
      <c r="I735" s="19" t="n"/>
      <c r="J735" s="19" t="n"/>
      <c r="K735" s="19" t="n"/>
    </row>
    <row r="736">
      <c r="A736" s="19" t="n"/>
      <c r="B736" s="19" t="n"/>
      <c r="C736" s="19" t="n"/>
      <c r="D736" s="19" t="n"/>
      <c r="E736" s="19" t="n"/>
      <c r="F736" s="19" t="n"/>
      <c r="G736" s="19" t="n"/>
      <c r="H736" s="19" t="n"/>
      <c r="I736" s="19" t="n"/>
      <c r="J736" s="19" t="n"/>
      <c r="K736" s="19" t="n"/>
    </row>
    <row r="737">
      <c r="A737" s="19" t="n"/>
      <c r="B737" s="19" t="n"/>
      <c r="C737" s="19" t="n"/>
      <c r="D737" s="19" t="n"/>
      <c r="E737" s="19" t="n"/>
      <c r="F737" s="19" t="n"/>
      <c r="G737" s="19" t="n"/>
      <c r="H737" s="19" t="n"/>
      <c r="I737" s="19" t="n"/>
      <c r="J737" s="19" t="n"/>
      <c r="K737" s="19" t="n"/>
    </row>
    <row r="738">
      <c r="A738" s="19" t="n"/>
      <c r="B738" s="19" t="n"/>
      <c r="C738" s="19" t="n"/>
      <c r="D738" s="19" t="n"/>
      <c r="E738" s="19" t="n"/>
      <c r="F738" s="19" t="n"/>
      <c r="G738" s="19" t="n"/>
      <c r="H738" s="19" t="n"/>
      <c r="I738" s="19" t="n"/>
      <c r="J738" s="19" t="n"/>
      <c r="K738" s="19" t="n"/>
    </row>
    <row r="739">
      <c r="A739" s="19" t="n"/>
      <c r="B739" s="19" t="n"/>
      <c r="C739" s="19" t="n"/>
      <c r="D739" s="19" t="n"/>
      <c r="E739" s="19" t="n"/>
      <c r="F739" s="19" t="n"/>
      <c r="G739" s="19" t="n"/>
      <c r="H739" s="19" t="n"/>
      <c r="I739" s="19" t="n"/>
      <c r="J739" s="19" t="n"/>
      <c r="K739" s="19" t="n"/>
    </row>
    <row r="740">
      <c r="A740" s="19" t="n"/>
      <c r="B740" s="19" t="n"/>
      <c r="C740" s="19" t="n"/>
      <c r="D740" s="19" t="n"/>
      <c r="E740" s="19" t="n"/>
      <c r="F740" s="19" t="n"/>
      <c r="G740" s="19" t="n"/>
      <c r="H740" s="19" t="n"/>
      <c r="I740" s="19" t="n"/>
      <c r="J740" s="19" t="n"/>
      <c r="K740" s="19" t="n"/>
    </row>
    <row r="741">
      <c r="A741" s="19" t="n"/>
      <c r="B741" s="19" t="n"/>
      <c r="C741" s="19" t="n"/>
      <c r="D741" s="19" t="n"/>
      <c r="E741" s="19" t="n"/>
      <c r="F741" s="19" t="n"/>
      <c r="G741" s="19" t="n"/>
      <c r="H741" s="19" t="n"/>
      <c r="I741" s="19" t="n"/>
      <c r="J741" s="19" t="n"/>
      <c r="K741" s="19" t="n"/>
    </row>
    <row r="742">
      <c r="A742" s="19" t="n"/>
      <c r="B742" s="19" t="n"/>
      <c r="C742" s="19" t="n"/>
      <c r="D742" s="19" t="n"/>
      <c r="E742" s="19" t="n"/>
      <c r="F742" s="19" t="n"/>
      <c r="G742" s="19" t="n"/>
      <c r="H742" s="19" t="n"/>
      <c r="I742" s="19" t="n"/>
      <c r="J742" s="19" t="n"/>
      <c r="K742" s="19" t="n"/>
    </row>
    <row r="743">
      <c r="A743" s="19" t="n"/>
      <c r="B743" s="19" t="n"/>
      <c r="C743" s="19" t="n"/>
      <c r="D743" s="19" t="n"/>
      <c r="E743" s="19" t="n"/>
      <c r="F743" s="19" t="n"/>
      <c r="G743" s="19" t="n"/>
      <c r="H743" s="19" t="n"/>
      <c r="I743" s="19" t="n"/>
      <c r="J743" s="19" t="n"/>
      <c r="K743" s="19" t="n"/>
    </row>
    <row r="744">
      <c r="A744" s="19" t="n"/>
      <c r="B744" s="19" t="n"/>
      <c r="C744" s="19" t="n"/>
      <c r="D744" s="19" t="n"/>
      <c r="E744" s="19" t="n"/>
      <c r="F744" s="19" t="n"/>
      <c r="G744" s="19" t="n"/>
      <c r="H744" s="19" t="n"/>
      <c r="I744" s="19" t="n"/>
      <c r="J744" s="19" t="n"/>
      <c r="K744" s="19" t="n"/>
    </row>
    <row r="745">
      <c r="A745" s="19" t="n"/>
      <c r="B745" s="19" t="n"/>
      <c r="C745" s="19" t="n"/>
      <c r="D745" s="19" t="n"/>
      <c r="E745" s="19" t="n"/>
      <c r="F745" s="19" t="n"/>
      <c r="G745" s="19" t="n"/>
      <c r="H745" s="19" t="n"/>
      <c r="I745" s="19" t="n"/>
      <c r="J745" s="19" t="n"/>
      <c r="K745" s="19" t="n"/>
    </row>
    <row r="746">
      <c r="A746" s="19" t="n"/>
      <c r="B746" s="19" t="n"/>
      <c r="C746" s="19" t="n"/>
      <c r="D746" s="19" t="n"/>
      <c r="E746" s="19" t="n"/>
      <c r="F746" s="19" t="n"/>
      <c r="G746" s="19" t="n"/>
      <c r="H746" s="19" t="n"/>
      <c r="I746" s="19" t="n"/>
      <c r="J746" s="19" t="n"/>
      <c r="K746" s="19" t="n"/>
    </row>
    <row r="747">
      <c r="A747" s="19" t="n"/>
      <c r="B747" s="19" t="n"/>
      <c r="C747" s="19" t="n"/>
      <c r="D747" s="19" t="n"/>
      <c r="E747" s="19" t="n"/>
      <c r="F747" s="19" t="n"/>
      <c r="G747" s="19" t="n"/>
      <c r="H747" s="19" t="n"/>
      <c r="I747" s="19" t="n"/>
      <c r="J747" s="19" t="n"/>
      <c r="K747" s="19" t="n"/>
    </row>
    <row r="748">
      <c r="A748" s="19" t="n"/>
      <c r="B748" s="19" t="n"/>
      <c r="C748" s="19" t="n"/>
      <c r="D748" s="19" t="n"/>
      <c r="E748" s="19" t="n"/>
      <c r="F748" s="19" t="n"/>
      <c r="G748" s="19" t="n"/>
      <c r="H748" s="19" t="n"/>
      <c r="I748" s="19" t="n"/>
      <c r="J748" s="19" t="n"/>
      <c r="K748" s="19" t="n"/>
    </row>
    <row r="749">
      <c r="A749" s="19" t="n"/>
      <c r="B749" s="19" t="n"/>
      <c r="C749" s="19" t="n"/>
      <c r="D749" s="19" t="n"/>
      <c r="E749" s="19" t="n"/>
      <c r="F749" s="19" t="n"/>
      <c r="G749" s="19" t="n"/>
      <c r="H749" s="19" t="n"/>
      <c r="I749" s="19" t="n"/>
      <c r="J749" s="19" t="n"/>
      <c r="K749" s="19" t="n"/>
    </row>
    <row r="750">
      <c r="A750" s="19" t="n"/>
      <c r="B750" s="19" t="n"/>
      <c r="C750" s="19" t="n"/>
      <c r="D750" s="19" t="n"/>
      <c r="E750" s="19" t="n"/>
      <c r="F750" s="19" t="n"/>
      <c r="G750" s="19" t="n"/>
      <c r="H750" s="19" t="n"/>
      <c r="I750" s="19" t="n"/>
      <c r="J750" s="19" t="n"/>
      <c r="K750" s="19" t="n"/>
    </row>
    <row r="751">
      <c r="A751" s="19" t="n"/>
      <c r="B751" s="19" t="n"/>
      <c r="C751" s="19" t="n"/>
      <c r="D751" s="19" t="n"/>
      <c r="E751" s="19" t="n"/>
      <c r="F751" s="19" t="n"/>
      <c r="G751" s="19" t="n"/>
      <c r="H751" s="19" t="n"/>
      <c r="I751" s="19" t="n"/>
      <c r="J751" s="19" t="n"/>
      <c r="K751" s="19" t="n"/>
    </row>
    <row r="752">
      <c r="A752" s="19" t="n"/>
      <c r="B752" s="19" t="n"/>
      <c r="C752" s="19" t="n"/>
      <c r="D752" s="19" t="n"/>
      <c r="E752" s="19" t="n"/>
      <c r="F752" s="19" t="n"/>
      <c r="G752" s="19" t="n"/>
      <c r="H752" s="19" t="n"/>
      <c r="I752" s="19" t="n"/>
      <c r="J752" s="19" t="n"/>
      <c r="K752" s="19" t="n"/>
    </row>
    <row r="753">
      <c r="A753" s="19" t="n"/>
      <c r="B753" s="19" t="n"/>
      <c r="C753" s="19" t="n"/>
      <c r="D753" s="19" t="n"/>
      <c r="E753" s="19" t="n"/>
      <c r="F753" s="19" t="n"/>
      <c r="G753" s="19" t="n"/>
      <c r="H753" s="19" t="n"/>
      <c r="I753" s="19" t="n"/>
      <c r="J753" s="19" t="n"/>
      <c r="K753" s="19" t="n"/>
    </row>
    <row r="754">
      <c r="A754" s="19" t="n"/>
      <c r="B754" s="19" t="n"/>
      <c r="C754" s="19" t="n"/>
      <c r="D754" s="19" t="n"/>
      <c r="E754" s="19" t="n"/>
      <c r="F754" s="19" t="n"/>
      <c r="G754" s="19" t="n"/>
      <c r="H754" s="19" t="n"/>
      <c r="I754" s="19" t="n"/>
      <c r="J754" s="19" t="n"/>
      <c r="K754" s="19" t="n"/>
    </row>
    <row r="755">
      <c r="A755" s="19" t="n"/>
      <c r="B755" s="19" t="n"/>
      <c r="C755" s="19" t="n"/>
      <c r="D755" s="19" t="n"/>
      <c r="E755" s="19" t="n"/>
      <c r="F755" s="19" t="n"/>
      <c r="G755" s="19" t="n"/>
      <c r="H755" s="19" t="n"/>
      <c r="I755" s="19" t="n"/>
      <c r="J755" s="19" t="n"/>
      <c r="K755" s="19" t="n"/>
    </row>
    <row r="756">
      <c r="A756" s="19" t="n"/>
      <c r="B756" s="19" t="n"/>
      <c r="C756" s="19" t="n"/>
      <c r="D756" s="19" t="n"/>
      <c r="E756" s="19" t="n"/>
      <c r="F756" s="19" t="n"/>
      <c r="G756" s="19" t="n"/>
      <c r="H756" s="19" t="n"/>
      <c r="I756" s="19" t="n"/>
      <c r="J756" s="19" t="n"/>
      <c r="K756" s="19" t="n"/>
    </row>
    <row r="757">
      <c r="A757" s="19" t="n"/>
      <c r="B757" s="19" t="n"/>
      <c r="C757" s="19" t="n"/>
      <c r="D757" s="19" t="n"/>
      <c r="E757" s="19" t="n"/>
      <c r="F757" s="19" t="n"/>
      <c r="G757" s="19" t="n"/>
      <c r="H757" s="19" t="n"/>
      <c r="I757" s="19" t="n"/>
      <c r="J757" s="19" t="n"/>
      <c r="K757" s="19" t="n"/>
    </row>
    <row r="758">
      <c r="A758" s="19" t="n"/>
      <c r="B758" s="19" t="n"/>
      <c r="C758" s="19" t="n"/>
      <c r="D758" s="19" t="n"/>
      <c r="E758" s="19" t="n"/>
      <c r="F758" s="19" t="n"/>
      <c r="G758" s="19" t="n"/>
      <c r="H758" s="19" t="n"/>
      <c r="I758" s="19" t="n"/>
      <c r="J758" s="19" t="n"/>
      <c r="K758" s="19" t="n"/>
    </row>
    <row r="759">
      <c r="A759" s="19" t="n"/>
      <c r="B759" s="19" t="n"/>
      <c r="C759" s="19" t="n"/>
      <c r="D759" s="19" t="n"/>
      <c r="E759" s="19" t="n"/>
      <c r="F759" s="19" t="n"/>
      <c r="G759" s="19" t="n"/>
      <c r="H759" s="19" t="n"/>
      <c r="I759" s="19" t="n"/>
      <c r="J759" s="19" t="n"/>
      <c r="K759" s="19" t="n"/>
    </row>
    <row r="760">
      <c r="A760" s="19" t="n"/>
      <c r="B760" s="19" t="n"/>
      <c r="C760" s="19" t="n"/>
      <c r="D760" s="19" t="n"/>
      <c r="E760" s="19" t="n"/>
      <c r="F760" s="19" t="n"/>
      <c r="G760" s="19" t="n"/>
      <c r="H760" s="19" t="n"/>
      <c r="I760" s="19" t="n"/>
      <c r="J760" s="19" t="n"/>
      <c r="K760" s="19" t="n"/>
    </row>
    <row r="761">
      <c r="A761" s="19" t="n"/>
      <c r="B761" s="19" t="n"/>
      <c r="C761" s="19" t="n"/>
      <c r="D761" s="19" t="n"/>
      <c r="E761" s="19" t="n"/>
      <c r="F761" s="19" t="n"/>
      <c r="G761" s="19" t="n"/>
      <c r="H761" s="19" t="n"/>
      <c r="I761" s="19" t="n"/>
      <c r="J761" s="19" t="n"/>
      <c r="K761" s="19" t="n"/>
    </row>
    <row r="762">
      <c r="A762" s="19" t="n"/>
      <c r="B762" s="19" t="n"/>
      <c r="C762" s="19" t="n"/>
      <c r="D762" s="19" t="n"/>
      <c r="E762" s="19" t="n"/>
      <c r="F762" s="19" t="n"/>
      <c r="G762" s="19" t="n"/>
      <c r="H762" s="19" t="n"/>
      <c r="I762" s="19" t="n"/>
      <c r="J762" s="19" t="n"/>
      <c r="K762" s="19" t="n"/>
    </row>
    <row r="763">
      <c r="A763" s="19" t="n"/>
      <c r="B763" s="19" t="n"/>
      <c r="C763" s="19" t="n"/>
      <c r="D763" s="19" t="n"/>
      <c r="E763" s="19" t="n"/>
      <c r="F763" s="19" t="n"/>
      <c r="G763" s="19" t="n"/>
      <c r="H763" s="19" t="n"/>
      <c r="I763" s="19" t="n"/>
      <c r="J763" s="19" t="n"/>
      <c r="K763" s="19" t="n"/>
    </row>
    <row r="764">
      <c r="A764" s="19" t="n"/>
      <c r="B764" s="19" t="n"/>
      <c r="C764" s="19" t="n"/>
      <c r="D764" s="19" t="n"/>
      <c r="E764" s="19" t="n"/>
      <c r="F764" s="19" t="n"/>
      <c r="G764" s="19" t="n"/>
      <c r="H764" s="19" t="n"/>
      <c r="I764" s="19" t="n"/>
      <c r="J764" s="19" t="n"/>
      <c r="K764" s="19" t="n"/>
    </row>
    <row r="765">
      <c r="A765" s="19" t="n"/>
      <c r="B765" s="19" t="n"/>
      <c r="C765" s="19" t="n"/>
      <c r="D765" s="19" t="n"/>
      <c r="E765" s="19" t="n"/>
      <c r="F765" s="19" t="n"/>
      <c r="G765" s="19" t="n"/>
      <c r="H765" s="19" t="n"/>
      <c r="I765" s="19" t="n"/>
      <c r="J765" s="19" t="n"/>
      <c r="K765" s="19" t="n"/>
    </row>
    <row r="766">
      <c r="A766" s="19" t="n"/>
      <c r="B766" s="19" t="n"/>
      <c r="C766" s="19" t="n"/>
      <c r="D766" s="19" t="n"/>
      <c r="E766" s="19" t="n"/>
      <c r="F766" s="19" t="n"/>
      <c r="G766" s="19" t="n"/>
      <c r="H766" s="19" t="n"/>
      <c r="I766" s="19" t="n"/>
      <c r="J766" s="19" t="n"/>
      <c r="K766" s="19" t="n"/>
    </row>
    <row r="767">
      <c r="A767" s="19" t="n"/>
      <c r="B767" s="19" t="n"/>
      <c r="C767" s="19" t="n"/>
      <c r="D767" s="19" t="n"/>
      <c r="E767" s="19" t="n"/>
      <c r="F767" s="19" t="n"/>
      <c r="G767" s="19" t="n"/>
      <c r="H767" s="19" t="n"/>
      <c r="I767" s="19" t="n"/>
      <c r="J767" s="19" t="n"/>
      <c r="K767" s="19" t="n"/>
    </row>
    <row r="768">
      <c r="A768" s="19" t="n"/>
      <c r="B768" s="19" t="n"/>
      <c r="C768" s="19" t="n"/>
      <c r="D768" s="19" t="n"/>
      <c r="E768" s="19" t="n"/>
      <c r="F768" s="19" t="n"/>
      <c r="G768" s="19" t="n"/>
      <c r="H768" s="19" t="n"/>
      <c r="I768" s="19" t="n"/>
      <c r="J768" s="19" t="n"/>
      <c r="K768" s="19" t="n"/>
    </row>
    <row r="769">
      <c r="A769" s="19" t="n"/>
      <c r="B769" s="19" t="n"/>
      <c r="C769" s="19" t="n"/>
      <c r="D769" s="19" t="n"/>
      <c r="E769" s="19" t="n"/>
      <c r="F769" s="19" t="n"/>
      <c r="G769" s="19" t="n"/>
      <c r="H769" s="19" t="n"/>
      <c r="I769" s="19" t="n"/>
      <c r="J769" s="19" t="n"/>
      <c r="K769" s="19" t="n"/>
    </row>
    <row r="770">
      <c r="A770" s="19" t="n"/>
      <c r="B770" s="19" t="n"/>
      <c r="C770" s="19" t="n"/>
      <c r="D770" s="19" t="n"/>
      <c r="E770" s="19" t="n"/>
      <c r="F770" s="19" t="n"/>
      <c r="G770" s="19" t="n"/>
      <c r="H770" s="19" t="n"/>
      <c r="I770" s="19" t="n"/>
      <c r="J770" s="19" t="n"/>
      <c r="K770" s="19" t="n"/>
    </row>
    <row r="771">
      <c r="A771" s="19" t="n"/>
      <c r="B771" s="19" t="n"/>
      <c r="C771" s="19" t="n"/>
      <c r="D771" s="19" t="n"/>
      <c r="E771" s="19" t="n"/>
      <c r="F771" s="19" t="n"/>
      <c r="G771" s="19" t="n"/>
      <c r="H771" s="19" t="n"/>
      <c r="I771" s="19" t="n"/>
      <c r="J771" s="19" t="n"/>
      <c r="K771" s="19" t="n"/>
    </row>
    <row r="772">
      <c r="A772" s="19" t="n"/>
      <c r="B772" s="19" t="n"/>
      <c r="C772" s="19" t="n"/>
      <c r="D772" s="19" t="n"/>
      <c r="E772" s="19" t="n"/>
      <c r="F772" s="19" t="n"/>
      <c r="G772" s="19" t="n"/>
      <c r="H772" s="19" t="n"/>
      <c r="I772" s="19" t="n"/>
      <c r="J772" s="19" t="n"/>
      <c r="K772" s="19" t="n"/>
    </row>
    <row r="773">
      <c r="A773" s="19" t="n"/>
      <c r="B773" s="19" t="n"/>
      <c r="C773" s="19" t="n"/>
      <c r="D773" s="19" t="n"/>
      <c r="E773" s="19" t="n"/>
      <c r="F773" s="19" t="n"/>
      <c r="G773" s="19" t="n"/>
      <c r="H773" s="19" t="n"/>
      <c r="I773" s="19" t="n"/>
      <c r="J773" s="19" t="n"/>
      <c r="K773" s="19" t="n"/>
    </row>
    <row r="774">
      <c r="A774" s="19" t="n"/>
      <c r="B774" s="19" t="n"/>
      <c r="C774" s="19" t="n"/>
      <c r="D774" s="19" t="n"/>
      <c r="E774" s="19" t="n"/>
      <c r="F774" s="19" t="n"/>
      <c r="G774" s="19" t="n"/>
      <c r="H774" s="19" t="n"/>
      <c r="I774" s="19" t="n"/>
      <c r="J774" s="19" t="n"/>
      <c r="K774" s="19" t="n"/>
    </row>
    <row r="775">
      <c r="A775" s="19" t="n"/>
      <c r="B775" s="19" t="n"/>
      <c r="C775" s="19" t="n"/>
      <c r="D775" s="19" t="n"/>
      <c r="E775" s="19" t="n"/>
      <c r="F775" s="19" t="n"/>
      <c r="G775" s="19" t="n"/>
      <c r="H775" s="19" t="n"/>
      <c r="I775" s="19" t="n"/>
      <c r="J775" s="19" t="n"/>
      <c r="K775" s="19" t="n"/>
    </row>
    <row r="776">
      <c r="A776" s="19" t="n"/>
      <c r="B776" s="19" t="n"/>
      <c r="C776" s="19" t="n"/>
      <c r="D776" s="19" t="n"/>
      <c r="E776" s="19" t="n"/>
      <c r="F776" s="19" t="n"/>
      <c r="G776" s="19" t="n"/>
      <c r="H776" s="19" t="n"/>
      <c r="I776" s="19" t="n"/>
      <c r="J776" s="19" t="n"/>
      <c r="K776" s="19" t="n"/>
    </row>
    <row r="777">
      <c r="A777" s="19" t="n"/>
      <c r="B777" s="19" t="n"/>
      <c r="C777" s="19" t="n"/>
      <c r="D777" s="19" t="n"/>
      <c r="E777" s="19" t="n"/>
      <c r="F777" s="19" t="n"/>
      <c r="G777" s="19" t="n"/>
      <c r="H777" s="19" t="n"/>
      <c r="I777" s="19" t="n"/>
      <c r="J777" s="19" t="n"/>
      <c r="K777" s="19" t="n"/>
    </row>
    <row r="778">
      <c r="A778" s="19" t="n"/>
      <c r="B778" s="19" t="n"/>
      <c r="C778" s="19" t="n"/>
      <c r="D778" s="19" t="n"/>
      <c r="E778" s="19" t="n"/>
      <c r="F778" s="19" t="n"/>
      <c r="G778" s="19" t="n"/>
      <c r="H778" s="19" t="n"/>
      <c r="I778" s="19" t="n"/>
      <c r="J778" s="19" t="n"/>
      <c r="K778" s="19" t="n"/>
    </row>
    <row r="779">
      <c r="A779" s="19" t="n"/>
      <c r="B779" s="19" t="n"/>
      <c r="C779" s="19" t="n"/>
      <c r="D779" s="19" t="n"/>
      <c r="E779" s="19" t="n"/>
      <c r="F779" s="19" t="n"/>
      <c r="G779" s="19" t="n"/>
      <c r="H779" s="19" t="n"/>
      <c r="I779" s="19" t="n"/>
      <c r="J779" s="19" t="n"/>
      <c r="K779" s="19" t="n"/>
    </row>
    <row r="780">
      <c r="A780" s="19" t="n"/>
      <c r="B780" s="19" t="n"/>
      <c r="C780" s="19" t="n"/>
      <c r="D780" s="19" t="n"/>
      <c r="E780" s="19" t="n"/>
      <c r="F780" s="19" t="n"/>
      <c r="G780" s="19" t="n"/>
      <c r="H780" s="19" t="n"/>
      <c r="I780" s="19" t="n"/>
      <c r="J780" s="19" t="n"/>
      <c r="K780" s="19" t="n"/>
    </row>
    <row r="781">
      <c r="A781" s="19" t="n"/>
      <c r="B781" s="19" t="n"/>
      <c r="C781" s="19" t="n"/>
      <c r="D781" s="19" t="n"/>
      <c r="E781" s="19" t="n"/>
      <c r="F781" s="19" t="n"/>
      <c r="G781" s="19" t="n"/>
      <c r="H781" s="19" t="n"/>
      <c r="I781" s="19" t="n"/>
      <c r="J781" s="19" t="n"/>
      <c r="K781" s="19" t="n"/>
    </row>
    <row r="782">
      <c r="A782" s="19" t="n"/>
      <c r="B782" s="19" t="n"/>
      <c r="C782" s="19" t="n"/>
      <c r="D782" s="19" t="n"/>
      <c r="E782" s="19" t="n"/>
      <c r="F782" s="19" t="n"/>
      <c r="G782" s="19" t="n"/>
      <c r="H782" s="19" t="n"/>
      <c r="I782" s="19" t="n"/>
      <c r="J782" s="19" t="n"/>
      <c r="K782" s="19" t="n"/>
    </row>
    <row r="783">
      <c r="A783" s="19" t="n"/>
      <c r="B783" s="19" t="n"/>
      <c r="C783" s="19" t="n"/>
      <c r="D783" s="19" t="n"/>
      <c r="E783" s="19" t="n"/>
      <c r="F783" s="19" t="n"/>
      <c r="G783" s="19" t="n"/>
      <c r="H783" s="19" t="n"/>
      <c r="I783" s="19" t="n"/>
      <c r="J783" s="19" t="n"/>
      <c r="K783" s="19" t="n"/>
    </row>
    <row r="784">
      <c r="A784" s="19" t="n"/>
      <c r="B784" s="19" t="n"/>
      <c r="C784" s="19" t="n"/>
      <c r="D784" s="19" t="n"/>
      <c r="E784" s="19" t="n"/>
      <c r="F784" s="19" t="n"/>
      <c r="G784" s="19" t="n"/>
      <c r="H784" s="19" t="n"/>
      <c r="I784" s="19" t="n"/>
      <c r="J784" s="19" t="n"/>
      <c r="K784" s="19" t="n"/>
    </row>
    <row r="785">
      <c r="A785" s="19" t="n"/>
      <c r="B785" s="19" t="n"/>
      <c r="C785" s="19" t="n"/>
      <c r="D785" s="19" t="n"/>
      <c r="E785" s="19" t="n"/>
      <c r="F785" s="19" t="n"/>
      <c r="G785" s="19" t="n"/>
      <c r="H785" s="19" t="n"/>
      <c r="I785" s="19" t="n"/>
      <c r="J785" s="19" t="n"/>
      <c r="K785" s="19" t="n"/>
    </row>
    <row r="786">
      <c r="A786" s="19" t="n"/>
      <c r="B786" s="19" t="n"/>
      <c r="C786" s="19" t="n"/>
      <c r="D786" s="19" t="n"/>
      <c r="E786" s="19" t="n"/>
      <c r="F786" s="19" t="n"/>
      <c r="G786" s="19" t="n"/>
      <c r="H786" s="19" t="n"/>
      <c r="I786" s="19" t="n"/>
      <c r="J786" s="19" t="n"/>
      <c r="K786" s="19" t="n"/>
    </row>
    <row r="787">
      <c r="A787" s="19" t="n"/>
      <c r="B787" s="19" t="n"/>
      <c r="C787" s="19" t="n"/>
      <c r="D787" s="19" t="n"/>
      <c r="E787" s="19" t="n"/>
      <c r="F787" s="19" t="n"/>
      <c r="G787" s="19" t="n"/>
      <c r="H787" s="19" t="n"/>
      <c r="I787" s="19" t="n"/>
      <c r="J787" s="19" t="n"/>
      <c r="K787" s="19" t="n"/>
    </row>
    <row r="788">
      <c r="A788" s="19" t="n"/>
      <c r="B788" s="19" t="n"/>
      <c r="C788" s="19" t="n"/>
      <c r="D788" s="19" t="n"/>
      <c r="E788" s="19" t="n"/>
      <c r="F788" s="19" t="n"/>
      <c r="G788" s="19" t="n"/>
      <c r="H788" s="19" t="n"/>
      <c r="I788" s="19" t="n"/>
      <c r="J788" s="19" t="n"/>
      <c r="K788" s="19" t="n"/>
    </row>
    <row r="789">
      <c r="A789" s="19" t="n"/>
      <c r="B789" s="19" t="n"/>
      <c r="C789" s="19" t="n"/>
      <c r="D789" s="19" t="n"/>
      <c r="E789" s="19" t="n"/>
      <c r="F789" s="19" t="n"/>
      <c r="G789" s="19" t="n"/>
      <c r="H789" s="19" t="n"/>
      <c r="I789" s="19" t="n"/>
      <c r="J789" s="19" t="n"/>
      <c r="K789" s="19" t="n"/>
    </row>
    <row r="790">
      <c r="A790" s="19" t="n"/>
      <c r="B790" s="19" t="n"/>
      <c r="C790" s="19" t="n"/>
      <c r="D790" s="19" t="n"/>
      <c r="E790" s="19" t="n"/>
      <c r="F790" s="19" t="n"/>
      <c r="G790" s="19" t="n"/>
      <c r="H790" s="19" t="n"/>
      <c r="I790" s="19" t="n"/>
      <c r="J790" s="19" t="n"/>
      <c r="K790" s="19" t="n"/>
    </row>
    <row r="791">
      <c r="A791" s="19" t="n"/>
      <c r="B791" s="19" t="n"/>
      <c r="C791" s="19" t="n"/>
      <c r="D791" s="19" t="n"/>
      <c r="E791" s="19" t="n"/>
      <c r="F791" s="19" t="n"/>
      <c r="G791" s="19" t="n"/>
      <c r="H791" s="19" t="n"/>
      <c r="I791" s="19" t="n"/>
      <c r="J791" s="19" t="n"/>
      <c r="K791" s="19" t="n"/>
    </row>
    <row r="792">
      <c r="A792" s="19" t="n"/>
      <c r="B792" s="19" t="n"/>
      <c r="C792" s="19" t="n"/>
      <c r="D792" s="19" t="n"/>
      <c r="E792" s="19" t="n"/>
      <c r="F792" s="19" t="n"/>
      <c r="G792" s="19" t="n"/>
      <c r="H792" s="19" t="n"/>
      <c r="I792" s="19" t="n"/>
      <c r="J792" s="19" t="n"/>
      <c r="K792" s="19" t="n"/>
    </row>
    <row r="793">
      <c r="A793" s="19" t="n"/>
      <c r="B793" s="19" t="n"/>
      <c r="C793" s="19" t="n"/>
      <c r="D793" s="19" t="n"/>
      <c r="E793" s="19" t="n"/>
      <c r="F793" s="19" t="n"/>
      <c r="G793" s="19" t="n"/>
      <c r="H793" s="19" t="n"/>
      <c r="I793" s="19" t="n"/>
      <c r="J793" s="19" t="n"/>
      <c r="K793" s="19" t="n"/>
    </row>
    <row r="794">
      <c r="A794" s="19" t="n"/>
      <c r="B794" s="19" t="n"/>
      <c r="C794" s="19" t="n"/>
      <c r="D794" s="19" t="n"/>
      <c r="E794" s="19" t="n"/>
      <c r="F794" s="19" t="n"/>
      <c r="G794" s="19" t="n"/>
      <c r="H794" s="19" t="n"/>
      <c r="I794" s="19" t="n"/>
      <c r="J794" s="19" t="n"/>
      <c r="K794" s="19" t="n"/>
    </row>
    <row r="795">
      <c r="A795" s="19" t="n"/>
      <c r="B795" s="19" t="n"/>
      <c r="C795" s="19" t="n"/>
      <c r="D795" s="19" t="n"/>
      <c r="E795" s="19" t="n"/>
      <c r="F795" s="19" t="n"/>
      <c r="G795" s="19" t="n"/>
      <c r="H795" s="19" t="n"/>
      <c r="I795" s="19" t="n"/>
      <c r="J795" s="19" t="n"/>
      <c r="K795" s="19" t="n"/>
    </row>
    <row r="796">
      <c r="A796" s="19" t="n"/>
      <c r="B796" s="19" t="n"/>
      <c r="C796" s="19" t="n"/>
      <c r="D796" s="19" t="n"/>
      <c r="E796" s="19" t="n"/>
      <c r="F796" s="19" t="n"/>
      <c r="G796" s="19" t="n"/>
      <c r="H796" s="19" t="n"/>
      <c r="I796" s="19" t="n"/>
      <c r="J796" s="19" t="n"/>
      <c r="K796" s="19" t="n"/>
    </row>
    <row r="797">
      <c r="A797" s="19" t="n"/>
      <c r="B797" s="19" t="n"/>
      <c r="C797" s="19" t="n"/>
      <c r="D797" s="19" t="n"/>
      <c r="E797" s="19" t="n"/>
      <c r="F797" s="19" t="n"/>
      <c r="G797" s="19" t="n"/>
      <c r="H797" s="19" t="n"/>
      <c r="I797" s="19" t="n"/>
      <c r="J797" s="19" t="n"/>
      <c r="K797" s="19" t="n"/>
    </row>
    <row r="798">
      <c r="A798" s="19" t="n"/>
      <c r="B798" s="19" t="n"/>
      <c r="C798" s="19" t="n"/>
      <c r="D798" s="19" t="n"/>
      <c r="E798" s="19" t="n"/>
      <c r="F798" s="19" t="n"/>
      <c r="G798" s="19" t="n"/>
      <c r="H798" s="19" t="n"/>
      <c r="I798" s="19" t="n"/>
      <c r="J798" s="19" t="n"/>
      <c r="K798" s="19" t="n"/>
    </row>
    <row r="799">
      <c r="A799" s="19" t="n"/>
      <c r="B799" s="19" t="n"/>
      <c r="C799" s="19" t="n"/>
      <c r="D799" s="19" t="n"/>
      <c r="E799" s="19" t="n"/>
      <c r="F799" s="19" t="n"/>
      <c r="G799" s="19" t="n"/>
      <c r="H799" s="19" t="n"/>
      <c r="I799" s="19" t="n"/>
      <c r="J799" s="19" t="n"/>
      <c r="K799" s="19" t="n"/>
    </row>
    <row r="800">
      <c r="A800" s="19" t="n"/>
      <c r="B800" s="19" t="n"/>
      <c r="C800" s="19" t="n"/>
      <c r="D800" s="19" t="n"/>
      <c r="E800" s="19" t="n"/>
      <c r="F800" s="19" t="n"/>
      <c r="G800" s="19" t="n"/>
      <c r="H800" s="19" t="n"/>
      <c r="I800" s="19" t="n"/>
      <c r="J800" s="19" t="n"/>
      <c r="K800" s="19" t="n"/>
    </row>
    <row r="801">
      <c r="A801" s="19" t="n"/>
      <c r="B801" s="19" t="n"/>
      <c r="C801" s="19" t="n"/>
      <c r="D801" s="19" t="n"/>
      <c r="E801" s="19" t="n"/>
      <c r="F801" s="19" t="n"/>
      <c r="G801" s="19" t="n"/>
      <c r="H801" s="19" t="n"/>
      <c r="I801" s="19" t="n"/>
      <c r="J801" s="19" t="n"/>
      <c r="K801" s="19" t="n"/>
    </row>
    <row r="802">
      <c r="A802" s="19" t="n"/>
      <c r="B802" s="19" t="n"/>
      <c r="C802" s="19" t="n"/>
      <c r="D802" s="19" t="n"/>
      <c r="E802" s="19" t="n"/>
      <c r="F802" s="19" t="n"/>
      <c r="G802" s="19" t="n"/>
      <c r="H802" s="19" t="n"/>
      <c r="I802" s="19" t="n"/>
      <c r="J802" s="19" t="n"/>
      <c r="K802" s="19" t="n"/>
    </row>
    <row r="803">
      <c r="A803" s="19" t="n"/>
      <c r="B803" s="19" t="n"/>
      <c r="C803" s="19" t="n"/>
      <c r="D803" s="19" t="n"/>
      <c r="E803" s="19" t="n"/>
      <c r="F803" s="19" t="n"/>
      <c r="G803" s="19" t="n"/>
      <c r="H803" s="19" t="n"/>
      <c r="I803" s="19" t="n"/>
      <c r="J803" s="19" t="n"/>
      <c r="K803" s="19" t="n"/>
    </row>
    <row r="804">
      <c r="A804" s="19" t="n"/>
      <c r="B804" s="19" t="n"/>
      <c r="C804" s="19" t="n"/>
      <c r="D804" s="19" t="n"/>
      <c r="E804" s="19" t="n"/>
      <c r="F804" s="19" t="n"/>
      <c r="G804" s="19" t="n"/>
      <c r="H804" s="19" t="n"/>
      <c r="I804" s="19" t="n"/>
      <c r="J804" s="19" t="n"/>
      <c r="K804" s="19" t="n"/>
    </row>
    <row r="805">
      <c r="A805" s="19" t="n"/>
      <c r="B805" s="19" t="n"/>
      <c r="C805" s="19" t="n"/>
      <c r="D805" s="19" t="n"/>
      <c r="E805" s="19" t="n"/>
      <c r="F805" s="19" t="n"/>
      <c r="G805" s="19" t="n"/>
      <c r="H805" s="19" t="n"/>
      <c r="I805" s="19" t="n"/>
      <c r="J805" s="19" t="n"/>
      <c r="K805" s="19" t="n"/>
    </row>
    <row r="806">
      <c r="A806" s="19" t="n"/>
      <c r="B806" s="19" t="n"/>
      <c r="C806" s="19" t="n"/>
      <c r="D806" s="19" t="n"/>
      <c r="E806" s="19" t="n"/>
      <c r="F806" s="19" t="n"/>
      <c r="G806" s="19" t="n"/>
      <c r="H806" s="19" t="n"/>
      <c r="I806" s="19" t="n"/>
      <c r="J806" s="19" t="n"/>
      <c r="K806" s="19" t="n"/>
    </row>
    <row r="807">
      <c r="A807" s="19" t="n"/>
      <c r="B807" s="19" t="n"/>
      <c r="C807" s="19" t="n"/>
      <c r="D807" s="19" t="n"/>
      <c r="E807" s="19" t="n"/>
      <c r="F807" s="19" t="n"/>
      <c r="G807" s="19" t="n"/>
      <c r="H807" s="19" t="n"/>
      <c r="I807" s="19" t="n"/>
      <c r="J807" s="19" t="n"/>
      <c r="K807" s="19" t="n"/>
    </row>
    <row r="808">
      <c r="A808" s="19" t="n"/>
      <c r="B808" s="19" t="n"/>
      <c r="C808" s="19" t="n"/>
      <c r="D808" s="19" t="n"/>
      <c r="E808" s="19" t="n"/>
      <c r="F808" s="19" t="n"/>
      <c r="G808" s="19" t="n"/>
      <c r="H808" s="19" t="n"/>
      <c r="I808" s="19" t="n"/>
      <c r="J808" s="19" t="n"/>
      <c r="K808" s="19" t="n"/>
    </row>
    <row r="809">
      <c r="A809" s="19" t="n"/>
      <c r="B809" s="19" t="n"/>
      <c r="C809" s="19" t="n"/>
      <c r="D809" s="19" t="n"/>
      <c r="E809" s="19" t="n"/>
      <c r="F809" s="19" t="n"/>
      <c r="G809" s="19" t="n"/>
      <c r="H809" s="19" t="n"/>
      <c r="I809" s="19" t="n"/>
      <c r="J809" s="19" t="n"/>
      <c r="K809" s="19" t="n"/>
    </row>
    <row r="810">
      <c r="A810" s="19" t="n"/>
      <c r="B810" s="19" t="n"/>
      <c r="C810" s="19" t="n"/>
      <c r="D810" s="19" t="n"/>
      <c r="E810" s="19" t="n"/>
      <c r="F810" s="19" t="n"/>
      <c r="G810" s="19" t="n"/>
      <c r="H810" s="19" t="n"/>
      <c r="I810" s="19" t="n"/>
      <c r="J810" s="19" t="n"/>
      <c r="K810" s="19" t="n"/>
    </row>
    <row r="811">
      <c r="A811" s="19" t="n"/>
      <c r="B811" s="19" t="n"/>
      <c r="C811" s="19" t="n"/>
      <c r="D811" s="19" t="n"/>
      <c r="E811" s="19" t="n"/>
      <c r="F811" s="19" t="n"/>
      <c r="G811" s="19" t="n"/>
      <c r="H811" s="19" t="n"/>
      <c r="I811" s="19" t="n"/>
      <c r="J811" s="19" t="n"/>
      <c r="K811" s="19" t="n"/>
    </row>
    <row r="812">
      <c r="A812" s="19" t="n"/>
      <c r="B812" s="19" t="n"/>
      <c r="C812" s="19" t="n"/>
      <c r="D812" s="19" t="n"/>
      <c r="E812" s="19" t="n"/>
      <c r="F812" s="19" t="n"/>
      <c r="G812" s="19" t="n"/>
      <c r="H812" s="19" t="n"/>
      <c r="I812" s="19" t="n"/>
      <c r="J812" s="19" t="n"/>
      <c r="K812" s="19" t="n"/>
    </row>
    <row r="813">
      <c r="A813" s="19" t="n"/>
      <c r="B813" s="19" t="n"/>
      <c r="C813" s="19" t="n"/>
      <c r="D813" s="19" t="n"/>
      <c r="E813" s="19" t="n"/>
      <c r="F813" s="19" t="n"/>
      <c r="G813" s="19" t="n"/>
      <c r="H813" s="19" t="n"/>
      <c r="I813" s="19" t="n"/>
      <c r="J813" s="19" t="n"/>
      <c r="K813" s="19" t="n"/>
    </row>
    <row r="814">
      <c r="A814" s="19" t="n"/>
      <c r="B814" s="19" t="n"/>
      <c r="C814" s="19" t="n"/>
      <c r="D814" s="19" t="n"/>
      <c r="E814" s="19" t="n"/>
      <c r="F814" s="19" t="n"/>
      <c r="G814" s="19" t="n"/>
      <c r="H814" s="19" t="n"/>
      <c r="I814" s="19" t="n"/>
      <c r="J814" s="19" t="n"/>
      <c r="K814" s="19" t="n"/>
    </row>
    <row r="815">
      <c r="A815" s="19" t="n"/>
      <c r="B815" s="19" t="n"/>
      <c r="C815" s="19" t="n"/>
      <c r="D815" s="19" t="n"/>
      <c r="E815" s="19" t="n"/>
      <c r="F815" s="19" t="n"/>
      <c r="G815" s="19" t="n"/>
      <c r="H815" s="19" t="n"/>
      <c r="I815" s="19" t="n"/>
      <c r="J815" s="19" t="n"/>
      <c r="K815" s="19" t="n"/>
    </row>
    <row r="816">
      <c r="A816" s="19" t="n"/>
      <c r="B816" s="19" t="n"/>
      <c r="C816" s="19" t="n"/>
      <c r="D816" s="19" t="n"/>
      <c r="E816" s="19" t="n"/>
      <c r="F816" s="19" t="n"/>
      <c r="G816" s="19" t="n"/>
      <c r="H816" s="19" t="n"/>
      <c r="I816" s="19" t="n"/>
      <c r="J816" s="19" t="n"/>
      <c r="K816" s="19" t="n"/>
    </row>
    <row r="817">
      <c r="A817" s="19" t="n"/>
      <c r="B817" s="19" t="n"/>
      <c r="C817" s="19" t="n"/>
      <c r="D817" s="19" t="n"/>
      <c r="E817" s="19" t="n"/>
      <c r="F817" s="19" t="n"/>
      <c r="G817" s="19" t="n"/>
      <c r="H817" s="19" t="n"/>
      <c r="I817" s="19" t="n"/>
      <c r="J817" s="19" t="n"/>
      <c r="K817" s="19" t="n"/>
    </row>
    <row r="818">
      <c r="A818" s="19" t="n"/>
      <c r="B818" s="19" t="n"/>
      <c r="C818" s="19" t="n"/>
      <c r="D818" s="19" t="n"/>
      <c r="E818" s="19" t="n"/>
      <c r="F818" s="19" t="n"/>
      <c r="G818" s="19" t="n"/>
      <c r="H818" s="19" t="n"/>
      <c r="I818" s="19" t="n"/>
      <c r="J818" s="19" t="n"/>
      <c r="K818" s="19" t="n"/>
    </row>
    <row r="819">
      <c r="A819" s="19" t="n"/>
      <c r="B819" s="19" t="n"/>
      <c r="C819" s="19" t="n"/>
      <c r="D819" s="19" t="n"/>
      <c r="E819" s="19" t="n"/>
      <c r="F819" s="19" t="n"/>
      <c r="G819" s="19" t="n"/>
      <c r="H819" s="19" t="n"/>
      <c r="I819" s="19" t="n"/>
      <c r="J819" s="19" t="n"/>
      <c r="K819" s="19" t="n"/>
    </row>
    <row r="820">
      <c r="A820" s="19" t="n"/>
      <c r="B820" s="19" t="n"/>
      <c r="C820" s="19" t="n"/>
      <c r="D820" s="19" t="n"/>
      <c r="E820" s="19" t="n"/>
      <c r="F820" s="19" t="n"/>
      <c r="G820" s="19" t="n"/>
      <c r="H820" s="19" t="n"/>
      <c r="I820" s="19" t="n"/>
      <c r="J820" s="19" t="n"/>
      <c r="K820" s="19" t="n"/>
    </row>
    <row r="821">
      <c r="A821" s="19" t="n"/>
      <c r="B821" s="19" t="n"/>
      <c r="C821" s="19" t="n"/>
      <c r="D821" s="19" t="n"/>
      <c r="E821" s="19" t="n"/>
      <c r="F821" s="19" t="n"/>
      <c r="G821" s="19" t="n"/>
      <c r="H821" s="19" t="n"/>
      <c r="I821" s="19" t="n"/>
      <c r="J821" s="19" t="n"/>
      <c r="K821" s="19" t="n"/>
    </row>
    <row r="822">
      <c r="A822" s="19" t="n"/>
      <c r="B822" s="19" t="n"/>
      <c r="C822" s="19" t="n"/>
      <c r="D822" s="19" t="n"/>
      <c r="E822" s="19" t="n"/>
      <c r="F822" s="19" t="n"/>
      <c r="G822" s="19" t="n"/>
      <c r="H822" s="19" t="n"/>
      <c r="I822" s="19" t="n"/>
      <c r="J822" s="19" t="n"/>
      <c r="K822" s="19" t="n"/>
    </row>
    <row r="823">
      <c r="A823" s="19" t="n"/>
      <c r="B823" s="19" t="n"/>
      <c r="C823" s="19" t="n"/>
      <c r="D823" s="19" t="n"/>
      <c r="E823" s="19" t="n"/>
      <c r="F823" s="19" t="n"/>
      <c r="G823" s="19" t="n"/>
      <c r="H823" s="19" t="n"/>
      <c r="I823" s="19" t="n"/>
      <c r="J823" s="19" t="n"/>
      <c r="K823" s="19" t="n"/>
    </row>
    <row r="824">
      <c r="A824" s="19" t="n"/>
      <c r="B824" s="19" t="n"/>
      <c r="C824" s="19" t="n"/>
      <c r="D824" s="19" t="n"/>
      <c r="E824" s="19" t="n"/>
      <c r="F824" s="19" t="n"/>
      <c r="G824" s="19" t="n"/>
      <c r="H824" s="19" t="n"/>
      <c r="I824" s="19" t="n"/>
      <c r="J824" s="19" t="n"/>
      <c r="K824" s="19" t="n"/>
    </row>
    <row r="825">
      <c r="A825" s="19" t="n"/>
      <c r="B825" s="19" t="n"/>
      <c r="C825" s="19" t="n"/>
      <c r="D825" s="19" t="n"/>
      <c r="E825" s="19" t="n"/>
      <c r="F825" s="19" t="n"/>
      <c r="G825" s="19" t="n"/>
      <c r="H825" s="19" t="n"/>
      <c r="I825" s="19" t="n"/>
      <c r="J825" s="19" t="n"/>
      <c r="K825" s="19" t="n"/>
    </row>
    <row r="826">
      <c r="A826" s="19" t="n"/>
      <c r="B826" s="19" t="n"/>
      <c r="C826" s="19" t="n"/>
      <c r="D826" s="19" t="n"/>
      <c r="E826" s="19" t="n"/>
      <c r="F826" s="19" t="n"/>
      <c r="G826" s="19" t="n"/>
      <c r="H826" s="19" t="n"/>
      <c r="I826" s="19" t="n"/>
      <c r="J826" s="19" t="n"/>
      <c r="K826" s="19" t="n"/>
    </row>
    <row r="827">
      <c r="A827" s="19" t="n"/>
      <c r="B827" s="19" t="n"/>
      <c r="C827" s="19" t="n"/>
      <c r="D827" s="19" t="n"/>
      <c r="E827" s="19" t="n"/>
      <c r="F827" s="19" t="n"/>
      <c r="G827" s="19" t="n"/>
      <c r="H827" s="19" t="n"/>
      <c r="I827" s="19" t="n"/>
      <c r="J827" s="19" t="n"/>
      <c r="K827" s="19" t="n"/>
    </row>
    <row r="828">
      <c r="A828" s="19" t="n"/>
      <c r="B828" s="19" t="n"/>
      <c r="C828" s="19" t="n"/>
      <c r="D828" s="19" t="n"/>
      <c r="E828" s="19" t="n"/>
      <c r="F828" s="19" t="n"/>
      <c r="G828" s="19" t="n"/>
      <c r="H828" s="19" t="n"/>
      <c r="I828" s="19" t="n"/>
      <c r="J828" s="19" t="n"/>
      <c r="K828" s="19" t="n"/>
    </row>
    <row r="829">
      <c r="A829" s="19" t="n"/>
      <c r="B829" s="19" t="n"/>
      <c r="C829" s="19" t="n"/>
      <c r="D829" s="19" t="n"/>
      <c r="E829" s="19" t="n"/>
      <c r="F829" s="19" t="n"/>
      <c r="G829" s="19" t="n"/>
      <c r="H829" s="19" t="n"/>
      <c r="I829" s="19" t="n"/>
      <c r="J829" s="19" t="n"/>
      <c r="K829" s="19" t="n"/>
    </row>
    <row r="830">
      <c r="A830" s="19" t="n"/>
      <c r="B830" s="19" t="n"/>
      <c r="C830" s="19" t="n"/>
      <c r="D830" s="19" t="n"/>
      <c r="E830" s="19" t="n"/>
      <c r="F830" s="19" t="n"/>
      <c r="G830" s="19" t="n"/>
      <c r="H830" s="19" t="n"/>
      <c r="I830" s="19" t="n"/>
      <c r="J830" s="19" t="n"/>
      <c r="K830" s="19" t="n"/>
    </row>
    <row r="831">
      <c r="A831" s="19" t="n"/>
      <c r="B831" s="19" t="n"/>
      <c r="C831" s="19" t="n"/>
      <c r="D831" s="19" t="n"/>
      <c r="E831" s="19" t="n"/>
      <c r="F831" s="19" t="n"/>
      <c r="G831" s="19" t="n"/>
      <c r="H831" s="19" t="n"/>
      <c r="I831" s="19" t="n"/>
      <c r="J831" s="19" t="n"/>
      <c r="K831" s="19" t="n"/>
    </row>
    <row r="832">
      <c r="A832" s="19" t="n"/>
      <c r="B832" s="19" t="n"/>
      <c r="C832" s="19" t="n"/>
      <c r="D832" s="19" t="n"/>
      <c r="E832" s="19" t="n"/>
      <c r="F832" s="19" t="n"/>
      <c r="G832" s="19" t="n"/>
      <c r="H832" s="19" t="n"/>
      <c r="I832" s="19" t="n"/>
      <c r="J832" s="19" t="n"/>
      <c r="K832" s="19" t="n"/>
    </row>
    <row r="833">
      <c r="A833" s="19" t="n"/>
      <c r="B833" s="19" t="n"/>
      <c r="C833" s="19" t="n"/>
      <c r="D833" s="19" t="n"/>
      <c r="E833" s="19" t="n"/>
      <c r="F833" s="19" t="n"/>
      <c r="G833" s="19" t="n"/>
      <c r="H833" s="19" t="n"/>
      <c r="I833" s="19" t="n"/>
      <c r="J833" s="19" t="n"/>
      <c r="K833" s="19" t="n"/>
    </row>
    <row r="834">
      <c r="A834" s="19" t="n"/>
      <c r="B834" s="19" t="n"/>
      <c r="C834" s="19" t="n"/>
      <c r="D834" s="19" t="n"/>
      <c r="E834" s="19" t="n"/>
      <c r="F834" s="19" t="n"/>
      <c r="G834" s="19" t="n"/>
      <c r="H834" s="19" t="n"/>
      <c r="I834" s="19" t="n"/>
      <c r="J834" s="19" t="n"/>
      <c r="K834" s="19" t="n"/>
    </row>
    <row r="835">
      <c r="A835" s="19" t="n"/>
      <c r="B835" s="19" t="n"/>
      <c r="C835" s="19" t="n"/>
      <c r="D835" s="19" t="n"/>
      <c r="E835" s="19" t="n"/>
      <c r="F835" s="19" t="n"/>
      <c r="G835" s="19" t="n"/>
      <c r="H835" s="19" t="n"/>
      <c r="I835" s="19" t="n"/>
      <c r="J835" s="19" t="n"/>
      <c r="K835" s="19" t="n"/>
    </row>
    <row r="836">
      <c r="A836" s="19" t="n"/>
      <c r="B836" s="19" t="n"/>
      <c r="C836" s="19" t="n"/>
      <c r="D836" s="19" t="n"/>
      <c r="E836" s="19" t="n"/>
      <c r="F836" s="19" t="n"/>
      <c r="G836" s="19" t="n"/>
      <c r="H836" s="19" t="n"/>
      <c r="I836" s="19" t="n"/>
      <c r="J836" s="19" t="n"/>
      <c r="K836" s="19" t="n"/>
    </row>
    <row r="837">
      <c r="A837" s="19" t="n"/>
      <c r="B837" s="19" t="n"/>
      <c r="C837" s="19" t="n"/>
      <c r="D837" s="19" t="n"/>
      <c r="E837" s="19" t="n"/>
      <c r="F837" s="19" t="n"/>
      <c r="G837" s="19" t="n"/>
      <c r="H837" s="19" t="n"/>
      <c r="I837" s="19" t="n"/>
      <c r="J837" s="19" t="n"/>
      <c r="K837" s="19" t="n"/>
    </row>
    <row r="838">
      <c r="A838" s="19" t="n"/>
      <c r="B838" s="19" t="n"/>
      <c r="C838" s="19" t="n"/>
      <c r="D838" s="19" t="n"/>
      <c r="E838" s="19" t="n"/>
      <c r="F838" s="19" t="n"/>
      <c r="G838" s="19" t="n"/>
      <c r="H838" s="19" t="n"/>
      <c r="I838" s="19" t="n"/>
      <c r="J838" s="19" t="n"/>
      <c r="K838" s="19" t="n"/>
    </row>
    <row r="839">
      <c r="A839" s="19" t="n"/>
      <c r="B839" s="19" t="n"/>
      <c r="C839" s="19" t="n"/>
      <c r="D839" s="19" t="n"/>
      <c r="E839" s="19" t="n"/>
      <c r="F839" s="19" t="n"/>
      <c r="G839" s="19" t="n"/>
      <c r="H839" s="19" t="n"/>
      <c r="I839" s="19" t="n"/>
      <c r="J839" s="19" t="n"/>
      <c r="K839" s="19" t="n"/>
    </row>
    <row r="840">
      <c r="A840" s="19" t="n"/>
      <c r="B840" s="19" t="n"/>
      <c r="C840" s="19" t="n"/>
      <c r="D840" s="19" t="n"/>
      <c r="E840" s="19" t="n"/>
      <c r="F840" s="19" t="n"/>
      <c r="G840" s="19" t="n"/>
      <c r="H840" s="19" t="n"/>
      <c r="I840" s="19" t="n"/>
      <c r="J840" s="19" t="n"/>
      <c r="K840" s="19" t="n"/>
    </row>
    <row r="841">
      <c r="A841" s="19" t="n"/>
      <c r="B841" s="19" t="n"/>
      <c r="C841" s="19" t="n"/>
      <c r="D841" s="19" t="n"/>
      <c r="E841" s="19" t="n"/>
      <c r="F841" s="19" t="n"/>
      <c r="G841" s="19" t="n"/>
      <c r="H841" s="19" t="n"/>
      <c r="I841" s="19" t="n"/>
      <c r="J841" s="19" t="n"/>
      <c r="K841" s="19" t="n"/>
    </row>
    <row r="842">
      <c r="A842" s="19" t="n"/>
      <c r="B842" s="19" t="n"/>
      <c r="C842" s="19" t="n"/>
      <c r="D842" s="19" t="n"/>
      <c r="E842" s="19" t="n"/>
      <c r="F842" s="19" t="n"/>
      <c r="G842" s="19" t="n"/>
      <c r="H842" s="19" t="n"/>
      <c r="I842" s="19" t="n"/>
      <c r="J842" s="19" t="n"/>
      <c r="K842" s="19" t="n"/>
    </row>
    <row r="843">
      <c r="A843" s="19" t="n"/>
      <c r="B843" s="19" t="n"/>
      <c r="C843" s="19" t="n"/>
      <c r="D843" s="19" t="n"/>
      <c r="E843" s="19" t="n"/>
      <c r="F843" s="19" t="n"/>
      <c r="G843" s="19" t="n"/>
      <c r="H843" s="19" t="n"/>
      <c r="I843" s="19" t="n"/>
      <c r="J843" s="19" t="n"/>
      <c r="K843" s="19" t="n"/>
    </row>
    <row r="844">
      <c r="A844" s="19" t="n"/>
      <c r="B844" s="19" t="n"/>
      <c r="C844" s="19" t="n"/>
      <c r="D844" s="19" t="n"/>
      <c r="E844" s="19" t="n"/>
      <c r="F844" s="19" t="n"/>
      <c r="G844" s="19" t="n"/>
      <c r="H844" s="19" t="n"/>
      <c r="I844" s="19" t="n"/>
      <c r="J844" s="19" t="n"/>
      <c r="K844" s="19" t="n"/>
    </row>
    <row r="845">
      <c r="A845" s="19" t="n"/>
      <c r="B845" s="19" t="n"/>
      <c r="C845" s="19" t="n"/>
      <c r="D845" s="19" t="n"/>
      <c r="E845" s="19" t="n"/>
      <c r="F845" s="19" t="n"/>
      <c r="G845" s="19" t="n"/>
      <c r="H845" s="19" t="n"/>
      <c r="I845" s="19" t="n"/>
      <c r="J845" s="19" t="n"/>
      <c r="K845" s="19" t="n"/>
    </row>
    <row r="846">
      <c r="A846" s="19" t="n"/>
      <c r="B846" s="19" t="n"/>
      <c r="C846" s="19" t="n"/>
      <c r="D846" s="19" t="n"/>
      <c r="E846" s="19" t="n"/>
      <c r="F846" s="19" t="n"/>
      <c r="G846" s="19" t="n"/>
      <c r="H846" s="19" t="n"/>
      <c r="I846" s="19" t="n"/>
      <c r="J846" s="19" t="n"/>
      <c r="K846" s="19" t="n"/>
    </row>
    <row r="847">
      <c r="A847" s="19" t="n"/>
      <c r="B847" s="19" t="n"/>
      <c r="C847" s="19" t="n"/>
      <c r="D847" s="19" t="n"/>
      <c r="E847" s="19" t="n"/>
      <c r="F847" s="19" t="n"/>
      <c r="G847" s="19" t="n"/>
      <c r="H847" s="19" t="n"/>
      <c r="I847" s="19" t="n"/>
      <c r="J847" s="19" t="n"/>
      <c r="K847" s="19" t="n"/>
    </row>
    <row r="848">
      <c r="A848" s="19" t="n"/>
      <c r="B848" s="19" t="n"/>
      <c r="C848" s="19" t="n"/>
      <c r="D848" s="19" t="n"/>
      <c r="E848" s="19" t="n"/>
      <c r="F848" s="19" t="n"/>
      <c r="G848" s="19" t="n"/>
      <c r="H848" s="19" t="n"/>
      <c r="I848" s="19" t="n"/>
      <c r="J848" s="19" t="n"/>
      <c r="K848" s="19" t="n"/>
    </row>
    <row r="849">
      <c r="A849" s="19" t="n"/>
      <c r="B849" s="19" t="n"/>
      <c r="C849" s="19" t="n"/>
      <c r="D849" s="19" t="n"/>
      <c r="E849" s="19" t="n"/>
      <c r="F849" s="19" t="n"/>
      <c r="G849" s="19" t="n"/>
      <c r="H849" s="19" t="n"/>
      <c r="I849" s="19" t="n"/>
      <c r="J849" s="19" t="n"/>
      <c r="K849" s="19" t="n"/>
    </row>
    <row r="850">
      <c r="A850" s="19" t="n"/>
      <c r="B850" s="19" t="n"/>
      <c r="C850" s="19" t="n"/>
      <c r="D850" s="19" t="n"/>
      <c r="E850" s="19" t="n"/>
      <c r="F850" s="19" t="n"/>
      <c r="G850" s="19" t="n"/>
      <c r="H850" s="19" t="n"/>
      <c r="I850" s="19" t="n"/>
      <c r="J850" s="19" t="n"/>
      <c r="K850" s="19" t="n"/>
    </row>
    <row r="851">
      <c r="A851" s="19" t="n"/>
      <c r="B851" s="19" t="n"/>
      <c r="C851" s="19" t="n"/>
      <c r="D851" s="19" t="n"/>
      <c r="E851" s="19" t="n"/>
      <c r="F851" s="19" t="n"/>
      <c r="G851" s="19" t="n"/>
      <c r="H851" s="19" t="n"/>
      <c r="I851" s="19" t="n"/>
      <c r="J851" s="19" t="n"/>
      <c r="K851" s="19" t="n"/>
    </row>
    <row r="852">
      <c r="A852" s="19" t="n"/>
      <c r="B852" s="19" t="n"/>
      <c r="C852" s="19" t="n"/>
      <c r="D852" s="19" t="n"/>
      <c r="E852" s="19" t="n"/>
      <c r="F852" s="19" t="n"/>
      <c r="G852" s="19" t="n"/>
      <c r="H852" s="19" t="n"/>
      <c r="I852" s="19" t="n"/>
      <c r="J852" s="19" t="n"/>
      <c r="K852" s="19" t="n"/>
    </row>
    <row r="853">
      <c r="A853" s="19" t="n"/>
      <c r="B853" s="19" t="n"/>
      <c r="C853" s="19" t="n"/>
      <c r="D853" s="19" t="n"/>
      <c r="E853" s="19" t="n"/>
      <c r="F853" s="19" t="n"/>
      <c r="G853" s="19" t="n"/>
      <c r="H853" s="19" t="n"/>
      <c r="I853" s="19" t="n"/>
      <c r="J853" s="19" t="n"/>
      <c r="K853" s="19" t="n"/>
    </row>
    <row r="854">
      <c r="A854" s="19" t="n"/>
      <c r="B854" s="19" t="n"/>
      <c r="C854" s="19" t="n"/>
      <c r="D854" s="19" t="n"/>
      <c r="E854" s="19" t="n"/>
      <c r="F854" s="19" t="n"/>
      <c r="G854" s="19" t="n"/>
      <c r="H854" s="19" t="n"/>
      <c r="I854" s="19" t="n"/>
      <c r="J854" s="19" t="n"/>
      <c r="K854" s="19" t="n"/>
    </row>
    <row r="855">
      <c r="A855" s="19" t="n"/>
      <c r="B855" s="19" t="n"/>
      <c r="C855" s="19" t="n"/>
      <c r="D855" s="19" t="n"/>
      <c r="E855" s="19" t="n"/>
      <c r="F855" s="19" t="n"/>
      <c r="G855" s="19" t="n"/>
      <c r="H855" s="19" t="n"/>
      <c r="I855" s="19" t="n"/>
      <c r="J855" s="19" t="n"/>
      <c r="K855" s="19" t="n"/>
    </row>
    <row r="856">
      <c r="A856" s="19" t="n"/>
      <c r="B856" s="19" t="n"/>
      <c r="C856" s="19" t="n"/>
      <c r="D856" s="19" t="n"/>
      <c r="E856" s="19" t="n"/>
      <c r="F856" s="19" t="n"/>
      <c r="G856" s="19" t="n"/>
      <c r="H856" s="19" t="n"/>
      <c r="I856" s="19" t="n"/>
      <c r="J856" s="19" t="n"/>
      <c r="K856" s="19" t="n"/>
    </row>
    <row r="857">
      <c r="A857" s="19" t="n"/>
      <c r="B857" s="19" t="n"/>
      <c r="C857" s="19" t="n"/>
      <c r="D857" s="19" t="n"/>
      <c r="E857" s="19" t="n"/>
      <c r="F857" s="19" t="n"/>
      <c r="G857" s="19" t="n"/>
      <c r="H857" s="19" t="n"/>
      <c r="I857" s="19" t="n"/>
      <c r="J857" s="19" t="n"/>
      <c r="K857" s="19" t="n"/>
    </row>
    <row r="858">
      <c r="A858" s="19" t="n"/>
      <c r="B858" s="19" t="n"/>
      <c r="C858" s="19" t="n"/>
      <c r="D858" s="19" t="n"/>
      <c r="E858" s="19" t="n"/>
      <c r="F858" s="19" t="n"/>
      <c r="G858" s="19" t="n"/>
      <c r="H858" s="19" t="n"/>
      <c r="I858" s="19" t="n"/>
      <c r="J858" s="19" t="n"/>
      <c r="K858" s="19" t="n"/>
    </row>
    <row r="859">
      <c r="A859" s="19" t="n"/>
      <c r="B859" s="19" t="n"/>
      <c r="C859" s="19" t="n"/>
      <c r="D859" s="19" t="n"/>
      <c r="E859" s="19" t="n"/>
      <c r="F859" s="19" t="n"/>
      <c r="G859" s="19" t="n"/>
      <c r="H859" s="19" t="n"/>
      <c r="I859" s="19" t="n"/>
      <c r="J859" s="19" t="n"/>
      <c r="K859" s="19" t="n"/>
    </row>
    <row r="860">
      <c r="A860" s="19" t="n"/>
      <c r="B860" s="19" t="n"/>
      <c r="C860" s="19" t="n"/>
      <c r="D860" s="19" t="n"/>
      <c r="E860" s="19" t="n"/>
      <c r="F860" s="19" t="n"/>
      <c r="G860" s="19" t="n"/>
      <c r="H860" s="19" t="n"/>
      <c r="I860" s="19" t="n"/>
      <c r="J860" s="19" t="n"/>
      <c r="K860" s="19" t="n"/>
    </row>
    <row r="861">
      <c r="A861" s="19" t="n"/>
      <c r="B861" s="19" t="n"/>
      <c r="C861" s="19" t="n"/>
      <c r="D861" s="19" t="n"/>
      <c r="E861" s="19" t="n"/>
      <c r="F861" s="19" t="n"/>
      <c r="G861" s="19" t="n"/>
      <c r="H861" s="19" t="n"/>
      <c r="I861" s="19" t="n"/>
      <c r="J861" s="19" t="n"/>
      <c r="K861" s="19" t="n"/>
    </row>
    <row r="862">
      <c r="A862" s="19" t="n"/>
      <c r="B862" s="19" t="n"/>
      <c r="C862" s="19" t="n"/>
      <c r="D862" s="19" t="n"/>
      <c r="E862" s="19" t="n"/>
      <c r="F862" s="19" t="n"/>
      <c r="G862" s="19" t="n"/>
      <c r="H862" s="19" t="n"/>
      <c r="I862" s="19" t="n"/>
      <c r="J862" s="19" t="n"/>
      <c r="K862" s="19" t="n"/>
    </row>
    <row r="863">
      <c r="A863" s="19" t="n"/>
      <c r="B863" s="19" t="n"/>
      <c r="C863" s="19" t="n"/>
      <c r="D863" s="19" t="n"/>
      <c r="E863" s="19" t="n"/>
      <c r="F863" s="19" t="n"/>
      <c r="G863" s="19" t="n"/>
      <c r="H863" s="19" t="n"/>
      <c r="I863" s="19" t="n"/>
      <c r="J863" s="19" t="n"/>
      <c r="K863" s="19" t="n"/>
    </row>
    <row r="864">
      <c r="A864" s="19" t="n"/>
      <c r="B864" s="19" t="n"/>
      <c r="C864" s="19" t="n"/>
      <c r="D864" s="19" t="n"/>
      <c r="E864" s="19" t="n"/>
      <c r="F864" s="19" t="n"/>
      <c r="G864" s="19" t="n"/>
      <c r="H864" s="19" t="n"/>
      <c r="I864" s="19" t="n"/>
      <c r="J864" s="19" t="n"/>
      <c r="K864" s="19" t="n"/>
    </row>
    <row r="865">
      <c r="A865" s="19" t="n"/>
      <c r="B865" s="19" t="n"/>
      <c r="C865" s="19" t="n"/>
      <c r="D865" s="19" t="n"/>
      <c r="E865" s="19" t="n"/>
      <c r="F865" s="19" t="n"/>
      <c r="G865" s="19" t="n"/>
      <c r="H865" s="19" t="n"/>
      <c r="I865" s="19" t="n"/>
      <c r="J865" s="19" t="n"/>
      <c r="K865" s="19" t="n"/>
    </row>
    <row r="866">
      <c r="A866" s="19" t="n"/>
      <c r="B866" s="19" t="n"/>
      <c r="C866" s="19" t="n"/>
      <c r="D866" s="19" t="n"/>
      <c r="E866" s="19" t="n"/>
      <c r="F866" s="19" t="n"/>
      <c r="G866" s="19" t="n"/>
      <c r="H866" s="19" t="n"/>
      <c r="I866" s="19" t="n"/>
      <c r="J866" s="19" t="n"/>
      <c r="K866" s="19" t="n"/>
    </row>
    <row r="867">
      <c r="A867" s="19" t="n"/>
      <c r="B867" s="19" t="n"/>
      <c r="C867" s="19" t="n"/>
      <c r="D867" s="19" t="n"/>
      <c r="E867" s="19" t="n"/>
      <c r="F867" s="19" t="n"/>
      <c r="G867" s="19" t="n"/>
      <c r="H867" s="19" t="n"/>
      <c r="I867" s="19" t="n"/>
      <c r="J867" s="19" t="n"/>
      <c r="K867" s="19" t="n"/>
    </row>
    <row r="868">
      <c r="A868" s="19" t="n"/>
      <c r="B868" s="19" t="n"/>
      <c r="C868" s="19" t="n"/>
      <c r="D868" s="19" t="n"/>
      <c r="E868" s="19" t="n"/>
      <c r="F868" s="19" t="n"/>
      <c r="G868" s="19" t="n"/>
      <c r="H868" s="19" t="n"/>
      <c r="I868" s="19" t="n"/>
      <c r="J868" s="19" t="n"/>
      <c r="K868" s="19" t="n"/>
    </row>
    <row r="869">
      <c r="A869" s="19" t="n"/>
      <c r="B869" s="19" t="n"/>
      <c r="C869" s="19" t="n"/>
      <c r="D869" s="19" t="n"/>
      <c r="E869" s="19" t="n"/>
      <c r="F869" s="19" t="n"/>
      <c r="G869" s="19" t="n"/>
      <c r="H869" s="19" t="n"/>
      <c r="I869" s="19" t="n"/>
      <c r="J869" s="19" t="n"/>
      <c r="K869" s="19" t="n"/>
    </row>
    <row r="870">
      <c r="A870" s="19" t="n"/>
      <c r="B870" s="19" t="n"/>
      <c r="C870" s="19" t="n"/>
      <c r="D870" s="19" t="n"/>
      <c r="E870" s="19" t="n"/>
      <c r="F870" s="19" t="n"/>
      <c r="G870" s="19" t="n"/>
      <c r="H870" s="19" t="n"/>
      <c r="I870" s="19" t="n"/>
      <c r="J870" s="19" t="n"/>
      <c r="K870" s="19" t="n"/>
    </row>
    <row r="871">
      <c r="A871" s="19" t="n"/>
      <c r="B871" s="19" t="n"/>
      <c r="C871" s="19" t="n"/>
      <c r="D871" s="19" t="n"/>
      <c r="E871" s="19" t="n"/>
      <c r="F871" s="19" t="n"/>
      <c r="G871" s="19" t="n"/>
      <c r="H871" s="19" t="n"/>
      <c r="I871" s="19" t="n"/>
      <c r="J871" s="19" t="n"/>
      <c r="K871" s="19" t="n"/>
    </row>
    <row r="872">
      <c r="A872" s="19" t="n"/>
      <c r="B872" s="19" t="n"/>
      <c r="C872" s="19" t="n"/>
      <c r="D872" s="19" t="n"/>
      <c r="E872" s="19" t="n"/>
      <c r="F872" s="19" t="n"/>
      <c r="G872" s="19" t="n"/>
      <c r="H872" s="19" t="n"/>
      <c r="I872" s="19" t="n"/>
      <c r="J872" s="19" t="n"/>
      <c r="K872" s="19" t="n"/>
    </row>
    <row r="873">
      <c r="A873" s="19" t="n"/>
      <c r="B873" s="19" t="n"/>
      <c r="C873" s="19" t="n"/>
      <c r="D873" s="19" t="n"/>
      <c r="E873" s="19" t="n"/>
      <c r="F873" s="19" t="n"/>
      <c r="G873" s="19" t="n"/>
      <c r="H873" s="19" t="n"/>
      <c r="I873" s="19" t="n"/>
      <c r="J873" s="19" t="n"/>
      <c r="K873" s="19" t="n"/>
    </row>
    <row r="874">
      <c r="A874" s="19" t="n"/>
      <c r="B874" s="19" t="n"/>
      <c r="C874" s="19" t="n"/>
      <c r="D874" s="19" t="n"/>
      <c r="E874" s="19" t="n"/>
      <c r="F874" s="19" t="n"/>
      <c r="G874" s="19" t="n"/>
      <c r="H874" s="19" t="n"/>
      <c r="I874" s="19" t="n"/>
      <c r="J874" s="19" t="n"/>
      <c r="K874" s="19" t="n"/>
    </row>
    <row r="875">
      <c r="A875" s="19" t="n"/>
      <c r="B875" s="19" t="n"/>
      <c r="C875" s="19" t="n"/>
      <c r="D875" s="19" t="n"/>
      <c r="E875" s="19" t="n"/>
      <c r="F875" s="19" t="n"/>
      <c r="G875" s="19" t="n"/>
      <c r="H875" s="19" t="n"/>
      <c r="I875" s="19" t="n"/>
      <c r="J875" s="19" t="n"/>
      <c r="K875" s="19" t="n"/>
    </row>
    <row r="876">
      <c r="A876" s="19" t="n"/>
      <c r="B876" s="19" t="n"/>
      <c r="C876" s="19" t="n"/>
      <c r="D876" s="19" t="n"/>
      <c r="E876" s="19" t="n"/>
      <c r="F876" s="19" t="n"/>
      <c r="G876" s="19" t="n"/>
      <c r="H876" s="19" t="n"/>
      <c r="I876" s="19" t="n"/>
      <c r="J876" s="19" t="n"/>
      <c r="K876" s="19" t="n"/>
    </row>
    <row r="877">
      <c r="A877" s="19" t="n"/>
      <c r="B877" s="19" t="n"/>
      <c r="C877" s="19" t="n"/>
      <c r="D877" s="19" t="n"/>
      <c r="E877" s="19" t="n"/>
      <c r="F877" s="19" t="n"/>
      <c r="G877" s="19" t="n"/>
      <c r="H877" s="19" t="n"/>
      <c r="I877" s="19" t="n"/>
      <c r="J877" s="19" t="n"/>
      <c r="K877" s="19" t="n"/>
    </row>
    <row r="878">
      <c r="A878" s="19" t="n"/>
      <c r="B878" s="19" t="n"/>
      <c r="C878" s="19" t="n"/>
      <c r="D878" s="19" t="n"/>
      <c r="E878" s="19" t="n"/>
      <c r="F878" s="19" t="n"/>
      <c r="G878" s="19" t="n"/>
      <c r="H878" s="19" t="n"/>
      <c r="I878" s="19" t="n"/>
      <c r="J878" s="19" t="n"/>
      <c r="K878" s="19" t="n"/>
    </row>
    <row r="879">
      <c r="A879" s="19" t="n"/>
      <c r="B879" s="19" t="n"/>
      <c r="C879" s="19" t="n"/>
      <c r="D879" s="19" t="n"/>
      <c r="E879" s="19" t="n"/>
      <c r="F879" s="19" t="n"/>
      <c r="G879" s="19" t="n"/>
      <c r="H879" s="19" t="n"/>
      <c r="I879" s="19" t="n"/>
      <c r="J879" s="19" t="n"/>
      <c r="K879" s="19" t="n"/>
    </row>
    <row r="880">
      <c r="A880" s="19" t="n"/>
      <c r="B880" s="19" t="n"/>
      <c r="C880" s="19" t="n"/>
      <c r="D880" s="19" t="n"/>
      <c r="E880" s="19" t="n"/>
      <c r="F880" s="19" t="n"/>
      <c r="G880" s="19" t="n"/>
      <c r="H880" s="19" t="n"/>
      <c r="I880" s="19" t="n"/>
      <c r="J880" s="19" t="n"/>
      <c r="K880" s="19" t="n"/>
    </row>
    <row r="881">
      <c r="A881" s="19" t="n"/>
      <c r="B881" s="19" t="n"/>
      <c r="C881" s="19" t="n"/>
      <c r="D881" s="19" t="n"/>
      <c r="E881" s="19" t="n"/>
      <c r="F881" s="19" t="n"/>
      <c r="G881" s="19" t="n"/>
      <c r="H881" s="19" t="n"/>
      <c r="I881" s="19" t="n"/>
      <c r="J881" s="19" t="n"/>
      <c r="K881" s="19" t="n"/>
    </row>
    <row r="882">
      <c r="A882" s="19" t="n"/>
      <c r="B882" s="19" t="n"/>
      <c r="C882" s="19" t="n"/>
      <c r="D882" s="19" t="n"/>
      <c r="E882" s="19" t="n"/>
      <c r="F882" s="19" t="n"/>
      <c r="G882" s="19" t="n"/>
      <c r="H882" s="19" t="n"/>
      <c r="I882" s="19" t="n"/>
      <c r="J882" s="19" t="n"/>
      <c r="K882" s="19" t="n"/>
    </row>
    <row r="883">
      <c r="A883" s="19" t="n"/>
      <c r="B883" s="19" t="n"/>
      <c r="C883" s="19" t="n"/>
      <c r="D883" s="19" t="n"/>
      <c r="E883" s="19" t="n"/>
      <c r="F883" s="19" t="n"/>
      <c r="G883" s="19" t="n"/>
      <c r="H883" s="19" t="n"/>
      <c r="I883" s="19" t="n"/>
      <c r="J883" s="19" t="n"/>
      <c r="K883" s="19" t="n"/>
    </row>
    <row r="884">
      <c r="A884" s="19" t="n"/>
      <c r="B884" s="19" t="n"/>
      <c r="C884" s="19" t="n"/>
      <c r="D884" s="19" t="n"/>
      <c r="E884" s="19" t="n"/>
      <c r="F884" s="19" t="n"/>
      <c r="G884" s="19" t="n"/>
      <c r="H884" s="19" t="n"/>
      <c r="I884" s="19" t="n"/>
      <c r="J884" s="19" t="n"/>
      <c r="K884" s="19" t="n"/>
    </row>
    <row r="885">
      <c r="A885" s="19" t="n"/>
      <c r="B885" s="19" t="n"/>
      <c r="C885" s="19" t="n"/>
      <c r="D885" s="19" t="n"/>
      <c r="E885" s="19" t="n"/>
      <c r="F885" s="19" t="n"/>
      <c r="G885" s="19" t="n"/>
      <c r="H885" s="19" t="n"/>
      <c r="I885" s="19" t="n"/>
      <c r="J885" s="19" t="n"/>
      <c r="K885" s="19" t="n"/>
    </row>
    <row r="886">
      <c r="A886" s="19" t="n"/>
      <c r="B886" s="19" t="n"/>
      <c r="C886" s="19" t="n"/>
      <c r="D886" s="19" t="n"/>
      <c r="E886" s="19" t="n"/>
      <c r="F886" s="19" t="n"/>
      <c r="G886" s="19" t="n"/>
      <c r="H886" s="19" t="n"/>
      <c r="I886" s="19" t="n"/>
      <c r="J886" s="19" t="n"/>
      <c r="K886" s="19" t="n"/>
    </row>
    <row r="887">
      <c r="A887" s="19" t="n"/>
      <c r="B887" s="19" t="n"/>
      <c r="C887" s="19" t="n"/>
      <c r="D887" s="19" t="n"/>
      <c r="E887" s="19" t="n"/>
      <c r="F887" s="19" t="n"/>
      <c r="G887" s="19" t="n"/>
      <c r="H887" s="19" t="n"/>
      <c r="I887" s="19" t="n"/>
      <c r="J887" s="19" t="n"/>
      <c r="K887" s="19" t="n"/>
    </row>
    <row r="888">
      <c r="A888" s="19" t="n"/>
      <c r="B888" s="19" t="n"/>
      <c r="C888" s="19" t="n"/>
      <c r="D888" s="19" t="n"/>
      <c r="E888" s="19" t="n"/>
      <c r="F888" s="19" t="n"/>
      <c r="G888" s="19" t="n"/>
      <c r="H888" s="19" t="n"/>
      <c r="I888" s="19" t="n"/>
      <c r="J888" s="19" t="n"/>
      <c r="K888" s="19" t="n"/>
    </row>
    <row r="889">
      <c r="A889" s="19" t="n"/>
      <c r="B889" s="19" t="n"/>
      <c r="C889" s="19" t="n"/>
      <c r="D889" s="19" t="n"/>
      <c r="E889" s="19" t="n"/>
      <c r="F889" s="19" t="n"/>
      <c r="G889" s="19" t="n"/>
      <c r="H889" s="19" t="n"/>
      <c r="I889" s="19" t="n"/>
      <c r="J889" s="19" t="n"/>
      <c r="K889" s="19" t="n"/>
    </row>
    <row r="890">
      <c r="A890" s="19" t="n"/>
      <c r="B890" s="19" t="n"/>
      <c r="C890" s="19" t="n"/>
      <c r="D890" s="19" t="n"/>
      <c r="E890" s="19" t="n"/>
      <c r="F890" s="19" t="n"/>
      <c r="G890" s="19" t="n"/>
      <c r="H890" s="19" t="n"/>
      <c r="I890" s="19" t="n"/>
      <c r="J890" s="19" t="n"/>
      <c r="K890" s="19" t="n"/>
    </row>
    <row r="891">
      <c r="A891" s="19" t="n"/>
      <c r="B891" s="19" t="n"/>
      <c r="C891" s="19" t="n"/>
      <c r="D891" s="19" t="n"/>
      <c r="E891" s="19" t="n"/>
      <c r="F891" s="19" t="n"/>
      <c r="G891" s="19" t="n"/>
      <c r="H891" s="19" t="n"/>
      <c r="I891" s="19" t="n"/>
      <c r="J891" s="19" t="n"/>
      <c r="K891" s="19" t="n"/>
    </row>
    <row r="892">
      <c r="A892" s="19" t="n"/>
      <c r="B892" s="19" t="n"/>
      <c r="C892" s="19" t="n"/>
      <c r="D892" s="19" t="n"/>
      <c r="E892" s="19" t="n"/>
      <c r="F892" s="19" t="n"/>
      <c r="G892" s="19" t="n"/>
      <c r="H892" s="19" t="n"/>
      <c r="I892" s="19" t="n"/>
      <c r="J892" s="19" t="n"/>
      <c r="K892" s="19" t="n"/>
    </row>
    <row r="893">
      <c r="A893" s="19" t="n"/>
      <c r="B893" s="19" t="n"/>
      <c r="C893" s="19" t="n"/>
      <c r="D893" s="19" t="n"/>
      <c r="E893" s="19" t="n"/>
      <c r="F893" s="19" t="n"/>
      <c r="G893" s="19" t="n"/>
      <c r="H893" s="19" t="n"/>
      <c r="I893" s="19" t="n"/>
      <c r="J893" s="19" t="n"/>
      <c r="K893" s="19" t="n"/>
    </row>
    <row r="894">
      <c r="A894" s="19" t="n"/>
      <c r="B894" s="19" t="n"/>
      <c r="C894" s="19" t="n"/>
      <c r="D894" s="19" t="n"/>
      <c r="E894" s="19" t="n"/>
      <c r="F894" s="19" t="n"/>
      <c r="G894" s="19" t="n"/>
      <c r="H894" s="19" t="n"/>
      <c r="I894" s="19" t="n"/>
      <c r="J894" s="19" t="n"/>
      <c r="K894" s="19" t="n"/>
    </row>
    <row r="895">
      <c r="A895" s="19" t="n"/>
      <c r="B895" s="19" t="n"/>
      <c r="C895" s="19" t="n"/>
      <c r="D895" s="19" t="n"/>
      <c r="E895" s="19" t="n"/>
      <c r="F895" s="19" t="n"/>
      <c r="G895" s="19" t="n"/>
      <c r="H895" s="19" t="n"/>
      <c r="I895" s="19" t="n"/>
      <c r="J895" s="19" t="n"/>
      <c r="K895" s="19" t="n"/>
    </row>
    <row r="896">
      <c r="A896" s="19" t="n"/>
      <c r="B896" s="19" t="n"/>
      <c r="C896" s="19" t="n"/>
      <c r="D896" s="19" t="n"/>
      <c r="E896" s="19" t="n"/>
      <c r="F896" s="19" t="n"/>
      <c r="G896" s="19" t="n"/>
      <c r="H896" s="19" t="n"/>
      <c r="I896" s="19" t="n"/>
      <c r="J896" s="19" t="n"/>
      <c r="K896" s="19" t="n"/>
    </row>
    <row r="897">
      <c r="A897" s="19" t="n"/>
      <c r="B897" s="19" t="n"/>
      <c r="C897" s="19" t="n"/>
      <c r="D897" s="19" t="n"/>
      <c r="E897" s="19" t="n"/>
      <c r="F897" s="19" t="n"/>
      <c r="G897" s="19" t="n"/>
      <c r="H897" s="19" t="n"/>
      <c r="I897" s="19" t="n"/>
      <c r="J897" s="19" t="n"/>
      <c r="K897" s="19" t="n"/>
    </row>
    <row r="898">
      <c r="A898" s="19" t="n"/>
      <c r="B898" s="19" t="n"/>
      <c r="C898" s="19" t="n"/>
      <c r="D898" s="19" t="n"/>
      <c r="E898" s="19" t="n"/>
      <c r="F898" s="19" t="n"/>
      <c r="G898" s="19" t="n"/>
      <c r="H898" s="19" t="n"/>
      <c r="I898" s="19" t="n"/>
      <c r="J898" s="19" t="n"/>
      <c r="K898" s="19" t="n"/>
    </row>
    <row r="899">
      <c r="A899" s="19" t="n"/>
      <c r="B899" s="19" t="n"/>
      <c r="C899" s="19" t="n"/>
      <c r="D899" s="19" t="n"/>
      <c r="E899" s="19" t="n"/>
      <c r="F899" s="19" t="n"/>
      <c r="G899" s="19" t="n"/>
      <c r="H899" s="19" t="n"/>
      <c r="I899" s="19" t="n"/>
      <c r="J899" s="19" t="n"/>
      <c r="K899" s="19" t="n"/>
    </row>
    <row r="900">
      <c r="A900" s="19" t="n"/>
      <c r="B900" s="19" t="n"/>
      <c r="C900" s="19" t="n"/>
      <c r="D900" s="19" t="n"/>
      <c r="E900" s="19" t="n"/>
      <c r="F900" s="19" t="n"/>
      <c r="G900" s="19" t="n"/>
      <c r="H900" s="19" t="n"/>
      <c r="I900" s="19" t="n"/>
      <c r="J900" s="19" t="n"/>
      <c r="K900" s="19" t="n"/>
    </row>
    <row r="901">
      <c r="A901" s="19" t="n"/>
      <c r="B901" s="19" t="n"/>
      <c r="C901" s="19" t="n"/>
      <c r="D901" s="19" t="n"/>
      <c r="E901" s="19" t="n"/>
      <c r="F901" s="19" t="n"/>
      <c r="G901" s="19" t="n"/>
      <c r="H901" s="19" t="n"/>
      <c r="I901" s="19" t="n"/>
      <c r="J901" s="19" t="n"/>
      <c r="K901" s="19" t="n"/>
    </row>
    <row r="902">
      <c r="A902" s="19" t="n"/>
      <c r="B902" s="19" t="n"/>
      <c r="C902" s="19" t="n"/>
      <c r="D902" s="19" t="n"/>
      <c r="E902" s="19" t="n"/>
      <c r="F902" s="19" t="n"/>
      <c r="G902" s="19" t="n"/>
      <c r="H902" s="19" t="n"/>
      <c r="I902" s="19" t="n"/>
      <c r="J902" s="19" t="n"/>
      <c r="K902" s="19" t="n"/>
    </row>
    <row r="903">
      <c r="A903" s="19" t="n"/>
      <c r="B903" s="19" t="n"/>
      <c r="C903" s="19" t="n"/>
      <c r="D903" s="19" t="n"/>
      <c r="E903" s="19" t="n"/>
      <c r="F903" s="19" t="n"/>
      <c r="G903" s="19" t="n"/>
      <c r="H903" s="19" t="n"/>
      <c r="I903" s="19" t="n"/>
      <c r="J903" s="19" t="n"/>
      <c r="K903" s="19" t="n"/>
    </row>
    <row r="904">
      <c r="A904" s="19" t="n"/>
      <c r="B904" s="19" t="n"/>
      <c r="C904" s="19" t="n"/>
      <c r="D904" s="19" t="n"/>
      <c r="E904" s="19" t="n"/>
      <c r="F904" s="19" t="n"/>
      <c r="G904" s="19" t="n"/>
      <c r="H904" s="19" t="n"/>
      <c r="I904" s="19" t="n"/>
      <c r="J904" s="19" t="n"/>
      <c r="K904" s="19" t="n"/>
    </row>
    <row r="905">
      <c r="A905" s="19" t="n"/>
      <c r="B905" s="19" t="n"/>
      <c r="C905" s="19" t="n"/>
      <c r="D905" s="19" t="n"/>
      <c r="E905" s="19" t="n"/>
      <c r="F905" s="19" t="n"/>
      <c r="G905" s="19" t="n"/>
      <c r="H905" s="19" t="n"/>
      <c r="I905" s="19" t="n"/>
      <c r="J905" s="19" t="n"/>
      <c r="K905" s="19" t="n"/>
    </row>
    <row r="906">
      <c r="A906" s="19" t="n"/>
      <c r="B906" s="19" t="n"/>
      <c r="C906" s="19" t="n"/>
      <c r="D906" s="19" t="n"/>
      <c r="E906" s="19" t="n"/>
      <c r="F906" s="19" t="n"/>
      <c r="G906" s="19" t="n"/>
      <c r="H906" s="19" t="n"/>
      <c r="I906" s="19" t="n"/>
      <c r="J906" s="19" t="n"/>
      <c r="K906" s="19" t="n"/>
    </row>
    <row r="907">
      <c r="A907" s="19" t="n"/>
      <c r="B907" s="19" t="n"/>
      <c r="C907" s="19" t="n"/>
      <c r="D907" s="19" t="n"/>
      <c r="E907" s="19" t="n"/>
      <c r="F907" s="19" t="n"/>
      <c r="G907" s="19" t="n"/>
      <c r="H907" s="19" t="n"/>
      <c r="I907" s="19" t="n"/>
      <c r="J907" s="19" t="n"/>
      <c r="K907" s="19" t="n"/>
    </row>
    <row r="908">
      <c r="A908" s="19" t="n"/>
      <c r="B908" s="19" t="n"/>
      <c r="C908" s="19" t="n"/>
      <c r="D908" s="19" t="n"/>
      <c r="E908" s="19" t="n"/>
      <c r="F908" s="19" t="n"/>
      <c r="G908" s="19" t="n"/>
      <c r="H908" s="19" t="n"/>
      <c r="I908" s="19" t="n"/>
      <c r="J908" s="19" t="n"/>
      <c r="K908" s="19" t="n"/>
    </row>
    <row r="909">
      <c r="A909" s="19" t="n"/>
      <c r="B909" s="19" t="n"/>
      <c r="C909" s="19" t="n"/>
      <c r="D909" s="19" t="n"/>
      <c r="E909" s="19" t="n"/>
      <c r="F909" s="19" t="n"/>
      <c r="G909" s="19" t="n"/>
      <c r="H909" s="19" t="n"/>
      <c r="I909" s="19" t="n"/>
      <c r="J909" s="19" t="n"/>
      <c r="K909" s="19" t="n"/>
    </row>
    <row r="910">
      <c r="A910" s="19" t="n"/>
      <c r="B910" s="19" t="n"/>
      <c r="C910" s="19" t="n"/>
      <c r="D910" s="19" t="n"/>
      <c r="E910" s="19" t="n"/>
      <c r="F910" s="19" t="n"/>
      <c r="G910" s="19" t="n"/>
      <c r="H910" s="19" t="n"/>
      <c r="I910" s="19" t="n"/>
      <c r="J910" s="19" t="n"/>
      <c r="K910" s="19" t="n"/>
    </row>
    <row r="911">
      <c r="A911" s="19" t="n"/>
      <c r="B911" s="19" t="n"/>
      <c r="C911" s="19" t="n"/>
      <c r="D911" s="19" t="n"/>
      <c r="E911" s="19" t="n"/>
      <c r="F911" s="19" t="n"/>
      <c r="G911" s="19" t="n"/>
      <c r="H911" s="19" t="n"/>
      <c r="I911" s="19" t="n"/>
      <c r="J911" s="19" t="n"/>
      <c r="K911" s="19" t="n"/>
    </row>
    <row r="912">
      <c r="A912" s="19" t="n"/>
      <c r="B912" s="19" t="n"/>
      <c r="C912" s="19" t="n"/>
      <c r="D912" s="19" t="n"/>
      <c r="E912" s="19" t="n"/>
      <c r="F912" s="19" t="n"/>
      <c r="G912" s="19" t="n"/>
      <c r="H912" s="19" t="n"/>
      <c r="I912" s="19" t="n"/>
      <c r="J912" s="19" t="n"/>
      <c r="K912" s="19" t="n"/>
    </row>
    <row r="913">
      <c r="A913" s="19" t="n"/>
      <c r="B913" s="19" t="n"/>
      <c r="C913" s="19" t="n"/>
      <c r="D913" s="19" t="n"/>
      <c r="E913" s="19" t="n"/>
      <c r="F913" s="19" t="n"/>
      <c r="G913" s="19" t="n"/>
      <c r="H913" s="19" t="n"/>
      <c r="I913" s="19" t="n"/>
      <c r="J913" s="19" t="n"/>
      <c r="K913" s="19" t="n"/>
    </row>
    <row r="914">
      <c r="A914" s="19" t="n"/>
      <c r="B914" s="19" t="n"/>
      <c r="C914" s="19" t="n"/>
      <c r="D914" s="19" t="n"/>
      <c r="E914" s="19" t="n"/>
      <c r="F914" s="19" t="n"/>
      <c r="G914" s="19" t="n"/>
      <c r="H914" s="19" t="n"/>
      <c r="I914" s="19" t="n"/>
      <c r="J914" s="19" t="n"/>
      <c r="K914" s="19" t="n"/>
    </row>
    <row r="915">
      <c r="A915" s="19" t="n"/>
      <c r="B915" s="19" t="n"/>
      <c r="C915" s="19" t="n"/>
      <c r="D915" s="19" t="n"/>
      <c r="E915" s="19" t="n"/>
      <c r="F915" s="19" t="n"/>
      <c r="G915" s="19" t="n"/>
      <c r="H915" s="19" t="n"/>
      <c r="I915" s="19" t="n"/>
      <c r="J915" s="19" t="n"/>
      <c r="K915" s="19" t="n"/>
    </row>
    <row r="916">
      <c r="A916" s="19" t="n"/>
      <c r="B916" s="19" t="n"/>
      <c r="C916" s="19" t="n"/>
      <c r="D916" s="19" t="n"/>
      <c r="E916" s="19" t="n"/>
      <c r="F916" s="19" t="n"/>
      <c r="G916" s="19" t="n"/>
      <c r="H916" s="19" t="n"/>
      <c r="I916" s="19" t="n"/>
      <c r="J916" s="19" t="n"/>
      <c r="K916" s="19" t="n"/>
    </row>
    <row r="917">
      <c r="A917" s="19" t="n"/>
      <c r="B917" s="19" t="n"/>
      <c r="C917" s="19" t="n"/>
      <c r="D917" s="19" t="n"/>
      <c r="E917" s="19" t="n"/>
      <c r="F917" s="19" t="n"/>
      <c r="G917" s="19" t="n"/>
      <c r="H917" s="19" t="n"/>
      <c r="I917" s="19" t="n"/>
      <c r="J917" s="19" t="n"/>
      <c r="K917" s="19" t="n"/>
    </row>
    <row r="918">
      <c r="A918" s="19" t="n"/>
      <c r="B918" s="19" t="n"/>
      <c r="C918" s="19" t="n"/>
      <c r="D918" s="19" t="n"/>
      <c r="E918" s="19" t="n"/>
      <c r="F918" s="19" t="n"/>
      <c r="G918" s="19" t="n"/>
      <c r="H918" s="19" t="n"/>
      <c r="I918" s="19" t="n"/>
      <c r="J918" s="19" t="n"/>
      <c r="K918" s="19" t="n"/>
    </row>
    <row r="919">
      <c r="A919" s="19" t="n"/>
      <c r="B919" s="19" t="n"/>
      <c r="C919" s="19" t="n"/>
      <c r="D919" s="19" t="n"/>
      <c r="E919" s="19" t="n"/>
      <c r="F919" s="19" t="n"/>
      <c r="G919" s="19" t="n"/>
      <c r="H919" s="19" t="n"/>
      <c r="I919" s="19" t="n"/>
      <c r="J919" s="19" t="n"/>
      <c r="K919" s="19" t="n"/>
    </row>
    <row r="920">
      <c r="A920" s="19" t="n"/>
      <c r="B920" s="19" t="n"/>
      <c r="C920" s="19" t="n"/>
      <c r="D920" s="19" t="n"/>
      <c r="E920" s="19" t="n"/>
      <c r="F920" s="19" t="n"/>
      <c r="G920" s="19" t="n"/>
      <c r="H920" s="19" t="n"/>
      <c r="I920" s="19" t="n"/>
      <c r="J920" s="19" t="n"/>
      <c r="K920" s="19" t="n"/>
    </row>
    <row r="921">
      <c r="A921" s="19" t="n"/>
      <c r="B921" s="19" t="n"/>
      <c r="C921" s="19" t="n"/>
      <c r="D921" s="19" t="n"/>
      <c r="E921" s="19" t="n"/>
      <c r="F921" s="19" t="n"/>
      <c r="G921" s="19" t="n"/>
      <c r="H921" s="19" t="n"/>
      <c r="I921" s="19" t="n"/>
      <c r="J921" s="19" t="n"/>
      <c r="K921" s="19" t="n"/>
    </row>
    <row r="922">
      <c r="A922" s="19" t="n"/>
      <c r="B922" s="19" t="n"/>
      <c r="C922" s="19" t="n"/>
      <c r="D922" s="19" t="n"/>
      <c r="E922" s="19" t="n"/>
      <c r="F922" s="19" t="n"/>
      <c r="G922" s="19" t="n"/>
      <c r="H922" s="19" t="n"/>
      <c r="I922" s="19" t="n"/>
      <c r="J922" s="19" t="n"/>
      <c r="K922" s="19" t="n"/>
    </row>
    <row r="923">
      <c r="A923" s="19" t="n"/>
      <c r="B923" s="19" t="n"/>
      <c r="C923" s="19" t="n"/>
      <c r="D923" s="19" t="n"/>
      <c r="E923" s="19" t="n"/>
      <c r="F923" s="19" t="n"/>
      <c r="G923" s="19" t="n"/>
      <c r="H923" s="19" t="n"/>
      <c r="I923" s="19" t="n"/>
      <c r="J923" s="19" t="n"/>
      <c r="K923" s="19" t="n"/>
    </row>
    <row r="924">
      <c r="A924" s="19" t="n"/>
      <c r="B924" s="19" t="n"/>
      <c r="C924" s="19" t="n"/>
      <c r="D924" s="19" t="n"/>
      <c r="E924" s="19" t="n"/>
      <c r="F924" s="19" t="n"/>
      <c r="G924" s="19" t="n"/>
      <c r="H924" s="19" t="n"/>
      <c r="I924" s="19" t="n"/>
      <c r="J924" s="19" t="n"/>
      <c r="K924" s="19" t="n"/>
    </row>
    <row r="925">
      <c r="A925" s="19" t="n"/>
      <c r="B925" s="19" t="n"/>
      <c r="C925" s="19" t="n"/>
      <c r="D925" s="19" t="n"/>
      <c r="E925" s="19" t="n"/>
      <c r="F925" s="19" t="n"/>
      <c r="G925" s="19" t="n"/>
      <c r="H925" s="19" t="n"/>
      <c r="I925" s="19" t="n"/>
      <c r="J925" s="19" t="n"/>
      <c r="K925" s="19" t="n"/>
    </row>
    <row r="926">
      <c r="A926" s="19" t="n"/>
      <c r="B926" s="19" t="n"/>
      <c r="C926" s="19" t="n"/>
      <c r="D926" s="19" t="n"/>
      <c r="E926" s="19" t="n"/>
      <c r="F926" s="19" t="n"/>
      <c r="G926" s="19" t="n"/>
      <c r="H926" s="19" t="n"/>
      <c r="I926" s="19" t="n"/>
      <c r="J926" s="19" t="n"/>
      <c r="K926" s="19" t="n"/>
    </row>
    <row r="927">
      <c r="A927" s="19" t="n"/>
      <c r="B927" s="19" t="n"/>
      <c r="C927" s="19" t="n"/>
      <c r="D927" s="19" t="n"/>
      <c r="E927" s="19" t="n"/>
      <c r="F927" s="19" t="n"/>
      <c r="G927" s="19" t="n"/>
      <c r="H927" s="19" t="n"/>
      <c r="I927" s="19" t="n"/>
      <c r="J927" s="19" t="n"/>
      <c r="K927" s="19" t="n"/>
    </row>
    <row r="928">
      <c r="A928" s="19" t="n"/>
      <c r="B928" s="19" t="n"/>
      <c r="C928" s="19" t="n"/>
      <c r="D928" s="19" t="n"/>
      <c r="E928" s="19" t="n"/>
      <c r="F928" s="19" t="n"/>
      <c r="G928" s="19" t="n"/>
      <c r="H928" s="19" t="n"/>
      <c r="I928" s="19" t="n"/>
      <c r="J928" s="19" t="n"/>
      <c r="K928" s="19" t="n"/>
    </row>
    <row r="929">
      <c r="A929" s="19" t="n"/>
      <c r="B929" s="19" t="n"/>
      <c r="C929" s="19" t="n"/>
      <c r="D929" s="19" t="n"/>
      <c r="E929" s="19" t="n"/>
      <c r="F929" s="19" t="n"/>
      <c r="G929" s="19" t="n"/>
      <c r="H929" s="19" t="n"/>
      <c r="I929" s="19" t="n"/>
      <c r="J929" s="19" t="n"/>
      <c r="K929" s="19" t="n"/>
    </row>
    <row r="930">
      <c r="A930" s="19" t="n"/>
      <c r="B930" s="19" t="n"/>
      <c r="C930" s="19" t="n"/>
      <c r="D930" s="19" t="n"/>
      <c r="E930" s="19" t="n"/>
      <c r="F930" s="19" t="n"/>
      <c r="G930" s="19" t="n"/>
      <c r="H930" s="19" t="n"/>
      <c r="I930" s="19" t="n"/>
      <c r="J930" s="19" t="n"/>
      <c r="K930" s="19" t="n"/>
    </row>
    <row r="931">
      <c r="A931" s="19" t="n"/>
      <c r="B931" s="19" t="n"/>
      <c r="C931" s="19" t="n"/>
      <c r="D931" s="19" t="n"/>
      <c r="E931" s="19" t="n"/>
      <c r="F931" s="19" t="n"/>
      <c r="G931" s="19" t="n"/>
      <c r="H931" s="19" t="n"/>
      <c r="I931" s="19" t="n"/>
      <c r="J931" s="19" t="n"/>
      <c r="K931" s="19" t="n"/>
    </row>
    <row r="932">
      <c r="A932" s="19" t="n"/>
      <c r="B932" s="19" t="n"/>
      <c r="C932" s="19" t="n"/>
      <c r="D932" s="19" t="n"/>
      <c r="E932" s="19" t="n"/>
      <c r="F932" s="19" t="n"/>
      <c r="G932" s="19" t="n"/>
      <c r="H932" s="19" t="n"/>
      <c r="I932" s="19" t="n"/>
      <c r="J932" s="19" t="n"/>
      <c r="K932" s="19" t="n"/>
    </row>
    <row r="933">
      <c r="A933" s="19" t="n"/>
      <c r="B933" s="19" t="n"/>
      <c r="C933" s="19" t="n"/>
      <c r="D933" s="19" t="n"/>
      <c r="E933" s="19" t="n"/>
      <c r="F933" s="19" t="n"/>
      <c r="G933" s="19" t="n"/>
      <c r="H933" s="19" t="n"/>
      <c r="I933" s="19" t="n"/>
      <c r="J933" s="19" t="n"/>
      <c r="K933" s="19" t="n"/>
    </row>
    <row r="934">
      <c r="A934" s="19" t="n"/>
      <c r="B934" s="19" t="n"/>
      <c r="C934" s="19" t="n"/>
      <c r="D934" s="19" t="n"/>
      <c r="E934" s="19" t="n"/>
      <c r="F934" s="19" t="n"/>
      <c r="G934" s="19" t="n"/>
      <c r="H934" s="19" t="n"/>
      <c r="I934" s="19" t="n"/>
      <c r="J934" s="19" t="n"/>
      <c r="K934" s="19" t="n"/>
    </row>
    <row r="935">
      <c r="A935" s="19" t="n"/>
      <c r="B935" s="19" t="n"/>
      <c r="C935" s="19" t="n"/>
      <c r="D935" s="19" t="n"/>
      <c r="E935" s="19" t="n"/>
      <c r="F935" s="19" t="n"/>
      <c r="G935" s="19" t="n"/>
      <c r="H935" s="19" t="n"/>
      <c r="I935" s="19" t="n"/>
      <c r="J935" s="19" t="n"/>
      <c r="K935" s="19" t="n"/>
    </row>
    <row r="936">
      <c r="A936" s="19" t="n"/>
      <c r="B936" s="19" t="n"/>
      <c r="C936" s="19" t="n"/>
      <c r="D936" s="19" t="n"/>
      <c r="E936" s="19" t="n"/>
      <c r="F936" s="19" t="n"/>
      <c r="G936" s="19" t="n"/>
      <c r="H936" s="19" t="n"/>
      <c r="I936" s="19" t="n"/>
      <c r="J936" s="19" t="n"/>
      <c r="K936" s="19" t="n"/>
    </row>
    <row r="937">
      <c r="A937" s="19" t="n"/>
      <c r="B937" s="19" t="n"/>
      <c r="C937" s="19" t="n"/>
      <c r="D937" s="19" t="n"/>
      <c r="E937" s="19" t="n"/>
      <c r="F937" s="19" t="n"/>
      <c r="G937" s="19" t="n"/>
      <c r="H937" s="19" t="n"/>
      <c r="I937" s="19" t="n"/>
      <c r="J937" s="19" t="n"/>
      <c r="K937" s="19" t="n"/>
    </row>
    <row r="938">
      <c r="A938" s="19" t="n"/>
      <c r="B938" s="19" t="n"/>
      <c r="C938" s="19" t="n"/>
      <c r="D938" s="19" t="n"/>
      <c r="E938" s="19" t="n"/>
      <c r="F938" s="19" t="n"/>
      <c r="G938" s="19" t="n"/>
      <c r="H938" s="19" t="n"/>
      <c r="I938" s="19" t="n"/>
      <c r="J938" s="19" t="n"/>
      <c r="K938" s="19" t="n"/>
    </row>
    <row r="939">
      <c r="A939" s="19" t="n"/>
      <c r="B939" s="19" t="n"/>
      <c r="C939" s="19" t="n"/>
      <c r="D939" s="19" t="n"/>
      <c r="E939" s="19" t="n"/>
      <c r="F939" s="19" t="n"/>
      <c r="G939" s="19" t="n"/>
      <c r="H939" s="19" t="n"/>
      <c r="I939" s="19" t="n"/>
      <c r="J939" s="19" t="n"/>
      <c r="K939" s="19" t="n"/>
    </row>
    <row r="940">
      <c r="A940" s="19" t="n"/>
      <c r="B940" s="19" t="n"/>
      <c r="C940" s="19" t="n"/>
      <c r="D940" s="19" t="n"/>
      <c r="E940" s="19" t="n"/>
      <c r="F940" s="19" t="n"/>
      <c r="G940" s="19" t="n"/>
      <c r="H940" s="19" t="n"/>
      <c r="I940" s="19" t="n"/>
      <c r="J940" s="19" t="n"/>
      <c r="K940" s="19" t="n"/>
    </row>
    <row r="941">
      <c r="A941" s="19" t="n"/>
      <c r="B941" s="19" t="n"/>
      <c r="C941" s="19" t="n"/>
      <c r="D941" s="19" t="n"/>
      <c r="E941" s="19" t="n"/>
      <c r="F941" s="19" t="n"/>
      <c r="G941" s="19" t="n"/>
      <c r="H941" s="19" t="n"/>
      <c r="I941" s="19" t="n"/>
      <c r="J941" s="19" t="n"/>
      <c r="K941" s="19" t="n"/>
    </row>
    <row r="942">
      <c r="A942" s="19" t="n"/>
      <c r="B942" s="19" t="n"/>
      <c r="C942" s="19" t="n"/>
      <c r="D942" s="19" t="n"/>
      <c r="E942" s="19" t="n"/>
      <c r="F942" s="19" t="n"/>
      <c r="G942" s="19" t="n"/>
      <c r="H942" s="19" t="n"/>
      <c r="I942" s="19" t="n"/>
      <c r="J942" s="19" t="n"/>
      <c r="K942" s="19" t="n"/>
    </row>
    <row r="943">
      <c r="A943" s="19" t="n"/>
      <c r="B943" s="19" t="n"/>
      <c r="C943" s="19" t="n"/>
      <c r="D943" s="19" t="n"/>
      <c r="E943" s="19" t="n"/>
      <c r="F943" s="19" t="n"/>
      <c r="G943" s="19" t="n"/>
      <c r="H943" s="19" t="n"/>
      <c r="I943" s="19" t="n"/>
      <c r="J943" s="19" t="n"/>
      <c r="K943" s="19" t="n"/>
    </row>
    <row r="944">
      <c r="A944" s="19" t="n"/>
      <c r="B944" s="19" t="n"/>
      <c r="C944" s="19" t="n"/>
      <c r="D944" s="19" t="n"/>
      <c r="E944" s="19" t="n"/>
      <c r="F944" s="19" t="n"/>
      <c r="G944" s="19" t="n"/>
      <c r="H944" s="19" t="n"/>
      <c r="I944" s="19" t="n"/>
      <c r="J944" s="19" t="n"/>
      <c r="K944" s="19" t="n"/>
    </row>
    <row r="945">
      <c r="A945" s="19" t="n"/>
      <c r="B945" s="19" t="n"/>
      <c r="C945" s="19" t="n"/>
      <c r="D945" s="19" t="n"/>
      <c r="E945" s="19" t="n"/>
      <c r="F945" s="19" t="n"/>
      <c r="G945" s="19" t="n"/>
      <c r="H945" s="19" t="n"/>
      <c r="I945" s="19" t="n"/>
      <c r="J945" s="19" t="n"/>
      <c r="K945" s="19" t="n"/>
    </row>
    <row r="946">
      <c r="A946" s="19" t="n"/>
      <c r="B946" s="19" t="n"/>
      <c r="C946" s="19" t="n"/>
      <c r="D946" s="19" t="n"/>
      <c r="E946" s="19" t="n"/>
      <c r="F946" s="19" t="n"/>
      <c r="G946" s="19" t="n"/>
      <c r="H946" s="19" t="n"/>
      <c r="I946" s="19" t="n"/>
      <c r="J946" s="19" t="n"/>
      <c r="K946" s="19" t="n"/>
    </row>
    <row r="947">
      <c r="A947" s="19" t="n"/>
      <c r="B947" s="19" t="n"/>
      <c r="C947" s="19" t="n"/>
      <c r="D947" s="19" t="n"/>
      <c r="E947" s="19" t="n"/>
      <c r="F947" s="19" t="n"/>
      <c r="G947" s="19" t="n"/>
      <c r="H947" s="19" t="n"/>
      <c r="I947" s="19" t="n"/>
      <c r="J947" s="19" t="n"/>
      <c r="K947" s="19" t="n"/>
    </row>
    <row r="948">
      <c r="A948" s="19" t="n"/>
      <c r="B948" s="19" t="n"/>
      <c r="C948" s="19" t="n"/>
      <c r="D948" s="19" t="n"/>
      <c r="E948" s="19" t="n"/>
      <c r="F948" s="19" t="n"/>
      <c r="G948" s="19" t="n"/>
      <c r="H948" s="19" t="n"/>
      <c r="I948" s="19" t="n"/>
      <c r="J948" s="19" t="n"/>
      <c r="K948" s="19" t="n"/>
    </row>
    <row r="949">
      <c r="A949" s="19" t="n"/>
      <c r="B949" s="19" t="n"/>
      <c r="C949" s="19" t="n"/>
      <c r="D949" s="19" t="n"/>
      <c r="E949" s="19" t="n"/>
      <c r="F949" s="19" t="n"/>
      <c r="G949" s="19" t="n"/>
      <c r="H949" s="19" t="n"/>
      <c r="I949" s="19" t="n"/>
      <c r="J949" s="19" t="n"/>
      <c r="K949" s="19" t="n"/>
    </row>
    <row r="950">
      <c r="A950" s="19" t="n"/>
      <c r="B950" s="19" t="n"/>
      <c r="C950" s="19" t="n"/>
      <c r="D950" s="19" t="n"/>
      <c r="E950" s="19" t="n"/>
      <c r="F950" s="19" t="n"/>
      <c r="G950" s="19" t="n"/>
      <c r="H950" s="19" t="n"/>
      <c r="I950" s="19" t="n"/>
      <c r="J950" s="19" t="n"/>
      <c r="K950" s="19" t="n"/>
    </row>
    <row r="951">
      <c r="A951" s="19" t="n"/>
      <c r="B951" s="19" t="n"/>
      <c r="C951" s="19" t="n"/>
      <c r="D951" s="19" t="n"/>
      <c r="E951" s="19" t="n"/>
      <c r="F951" s="19" t="n"/>
      <c r="G951" s="19" t="n"/>
      <c r="H951" s="19" t="n"/>
      <c r="I951" s="19" t="n"/>
      <c r="J951" s="19" t="n"/>
      <c r="K951" s="19" t="n"/>
    </row>
    <row r="952">
      <c r="A952" s="19" t="n"/>
      <c r="B952" s="19" t="n"/>
      <c r="C952" s="19" t="n"/>
      <c r="D952" s="19" t="n"/>
      <c r="E952" s="19" t="n"/>
      <c r="F952" s="19" t="n"/>
      <c r="G952" s="19" t="n"/>
      <c r="H952" s="19" t="n"/>
      <c r="I952" s="19" t="n"/>
      <c r="J952" s="19" t="n"/>
      <c r="K952" s="19" t="n"/>
    </row>
    <row r="953">
      <c r="A953" s="19" t="n"/>
      <c r="B953" s="19" t="n"/>
      <c r="C953" s="19" t="n"/>
      <c r="D953" s="19" t="n"/>
      <c r="E953" s="19" t="n"/>
      <c r="F953" s="19" t="n"/>
      <c r="G953" s="19" t="n"/>
      <c r="H953" s="19" t="n"/>
      <c r="I953" s="19" t="n"/>
      <c r="J953" s="19" t="n"/>
      <c r="K953" s="19" t="n"/>
    </row>
    <row r="954">
      <c r="A954" s="19" t="n"/>
      <c r="B954" s="19" t="n"/>
      <c r="C954" s="19" t="n"/>
      <c r="D954" s="19" t="n"/>
      <c r="E954" s="19" t="n"/>
      <c r="F954" s="19" t="n"/>
      <c r="G954" s="19" t="n"/>
      <c r="H954" s="19" t="n"/>
      <c r="I954" s="19" t="n"/>
      <c r="J954" s="19" t="n"/>
      <c r="K954" s="19" t="n"/>
    </row>
    <row r="955">
      <c r="A955" s="19" t="n"/>
      <c r="B955" s="19" t="n"/>
      <c r="C955" s="19" t="n"/>
      <c r="D955" s="19" t="n"/>
      <c r="E955" s="19" t="n"/>
      <c r="F955" s="19" t="n"/>
      <c r="G955" s="19" t="n"/>
      <c r="H955" s="19" t="n"/>
      <c r="I955" s="19" t="n"/>
      <c r="J955" s="19" t="n"/>
      <c r="K955" s="19" t="n"/>
    </row>
    <row r="956">
      <c r="A956" s="19" t="n"/>
      <c r="B956" s="19" t="n"/>
      <c r="C956" s="19" t="n"/>
      <c r="D956" s="19" t="n"/>
      <c r="E956" s="19" t="n"/>
      <c r="F956" s="19" t="n"/>
      <c r="G956" s="19" t="n"/>
      <c r="H956" s="19" t="n"/>
      <c r="I956" s="19" t="n"/>
      <c r="J956" s="19" t="n"/>
      <c r="K956" s="19" t="n"/>
    </row>
    <row r="957">
      <c r="A957" s="19" t="n"/>
      <c r="B957" s="19" t="n"/>
      <c r="C957" s="19" t="n"/>
      <c r="D957" s="19" t="n"/>
      <c r="E957" s="19" t="n"/>
      <c r="F957" s="19" t="n"/>
      <c r="G957" s="19" t="n"/>
      <c r="H957" s="19" t="n"/>
      <c r="I957" s="19" t="n"/>
      <c r="J957" s="19" t="n"/>
      <c r="K957" s="19" t="n"/>
    </row>
    <row r="958">
      <c r="A958" s="19" t="n"/>
      <c r="B958" s="19" t="n"/>
      <c r="C958" s="19" t="n"/>
      <c r="D958" s="19" t="n"/>
      <c r="E958" s="19" t="n"/>
      <c r="F958" s="19" t="n"/>
      <c r="G958" s="19" t="n"/>
      <c r="H958" s="19" t="n"/>
      <c r="I958" s="19" t="n"/>
      <c r="J958" s="19" t="n"/>
      <c r="K958" s="19" t="n"/>
    </row>
    <row r="959">
      <c r="A959" s="19" t="n"/>
      <c r="B959" s="19" t="n"/>
      <c r="C959" s="19" t="n"/>
      <c r="D959" s="19" t="n"/>
      <c r="E959" s="19" t="n"/>
      <c r="F959" s="19" t="n"/>
      <c r="G959" s="19" t="n"/>
      <c r="H959" s="19" t="n"/>
      <c r="I959" s="19" t="n"/>
      <c r="J959" s="19" t="n"/>
      <c r="K959" s="19" t="n"/>
    </row>
    <row r="960">
      <c r="A960" s="19" t="n"/>
      <c r="B960" s="19" t="n"/>
      <c r="C960" s="19" t="n"/>
      <c r="D960" s="19" t="n"/>
      <c r="E960" s="19" t="n"/>
      <c r="F960" s="19" t="n"/>
      <c r="G960" s="19" t="n"/>
      <c r="H960" s="19" t="n"/>
      <c r="I960" s="19" t="n"/>
      <c r="J960" s="19" t="n"/>
      <c r="K960" s="19" t="n"/>
    </row>
    <row r="961">
      <c r="A961" s="19" t="n"/>
      <c r="B961" s="19" t="n"/>
      <c r="C961" s="19" t="n"/>
      <c r="D961" s="19" t="n"/>
      <c r="E961" s="19" t="n"/>
      <c r="F961" s="19" t="n"/>
      <c r="G961" s="19" t="n"/>
      <c r="H961" s="19" t="n"/>
      <c r="I961" s="19" t="n"/>
      <c r="J961" s="19" t="n"/>
      <c r="K961" s="19" t="n"/>
    </row>
    <row r="962">
      <c r="A962" s="19" t="n"/>
      <c r="B962" s="19" t="n"/>
      <c r="C962" s="19" t="n"/>
      <c r="D962" s="19" t="n"/>
      <c r="E962" s="19" t="n"/>
      <c r="F962" s="19" t="n"/>
      <c r="G962" s="19" t="n"/>
      <c r="H962" s="19" t="n"/>
      <c r="I962" s="19" t="n"/>
      <c r="J962" s="19" t="n"/>
      <c r="K962" s="19" t="n"/>
    </row>
    <row r="963">
      <c r="A963" s="19" t="n"/>
      <c r="B963" s="19" t="n"/>
      <c r="C963" s="19" t="n"/>
      <c r="D963" s="19" t="n"/>
      <c r="E963" s="19" t="n"/>
      <c r="F963" s="19" t="n"/>
      <c r="G963" s="19" t="n"/>
      <c r="H963" s="19" t="n"/>
      <c r="I963" s="19" t="n"/>
      <c r="J963" s="19" t="n"/>
      <c r="K963" s="19" t="n"/>
    </row>
    <row r="964">
      <c r="A964" s="19" t="n"/>
      <c r="B964" s="19" t="n"/>
      <c r="C964" s="19" t="n"/>
      <c r="D964" s="19" t="n"/>
      <c r="E964" s="19" t="n"/>
      <c r="F964" s="19" t="n"/>
      <c r="G964" s="19" t="n"/>
      <c r="H964" s="19" t="n"/>
      <c r="I964" s="19" t="n"/>
      <c r="J964" s="19" t="n"/>
      <c r="K964" s="19" t="n"/>
    </row>
    <row r="965">
      <c r="A965" s="19" t="n"/>
      <c r="B965" s="19" t="n"/>
      <c r="C965" s="19" t="n"/>
      <c r="D965" s="19" t="n"/>
      <c r="E965" s="19" t="n"/>
      <c r="F965" s="19" t="n"/>
      <c r="G965" s="19" t="n"/>
      <c r="H965" s="19" t="n"/>
      <c r="I965" s="19" t="n"/>
      <c r="J965" s="19" t="n"/>
      <c r="K965" s="19" t="n"/>
    </row>
    <row r="966">
      <c r="A966" s="19" t="n"/>
      <c r="B966" s="19" t="n"/>
      <c r="C966" s="19" t="n"/>
      <c r="D966" s="19" t="n"/>
      <c r="E966" s="19" t="n"/>
      <c r="F966" s="19" t="n"/>
      <c r="G966" s="19" t="n"/>
      <c r="H966" s="19" t="n"/>
      <c r="I966" s="19" t="n"/>
      <c r="J966" s="19" t="n"/>
      <c r="K966" s="19" t="n"/>
    </row>
    <row r="967">
      <c r="A967" s="19" t="n"/>
      <c r="B967" s="19" t="n"/>
      <c r="C967" s="19" t="n"/>
      <c r="D967" s="19" t="n"/>
      <c r="E967" s="19" t="n"/>
      <c r="F967" s="19" t="n"/>
      <c r="G967" s="19" t="n"/>
      <c r="H967" s="19" t="n"/>
      <c r="I967" s="19" t="n"/>
      <c r="J967" s="19" t="n"/>
      <c r="K967" s="19" t="n"/>
    </row>
    <row r="968">
      <c r="A968" s="19" t="n"/>
      <c r="B968" s="19" t="n"/>
      <c r="C968" s="19" t="n"/>
      <c r="D968" s="19" t="n"/>
      <c r="E968" s="19" t="n"/>
      <c r="F968" s="19" t="n"/>
      <c r="G968" s="19" t="n"/>
      <c r="H968" s="19" t="n"/>
      <c r="I968" s="19" t="n"/>
      <c r="J968" s="19" t="n"/>
      <c r="K968" s="19" t="n"/>
    </row>
    <row r="969">
      <c r="A969" s="19" t="n"/>
      <c r="B969" s="19" t="n"/>
      <c r="C969" s="19" t="n"/>
      <c r="D969" s="19" t="n"/>
      <c r="E969" s="19" t="n"/>
      <c r="F969" s="19" t="n"/>
      <c r="G969" s="19" t="n"/>
      <c r="H969" s="19" t="n"/>
      <c r="I969" s="19" t="n"/>
      <c r="J969" s="19" t="n"/>
      <c r="K969" s="19" t="n"/>
    </row>
    <row r="970">
      <c r="A970" s="19" t="n"/>
      <c r="B970" s="19" t="n"/>
      <c r="C970" s="19" t="n"/>
      <c r="D970" s="19" t="n"/>
      <c r="E970" s="19" t="n"/>
      <c r="F970" s="19" t="n"/>
      <c r="G970" s="19" t="n"/>
      <c r="H970" s="19" t="n"/>
      <c r="I970" s="19" t="n"/>
      <c r="J970" s="19" t="n"/>
      <c r="K970" s="19" t="n"/>
    </row>
    <row r="971">
      <c r="A971" s="19" t="n"/>
      <c r="B971" s="19" t="n"/>
      <c r="C971" s="19" t="n"/>
      <c r="D971" s="19" t="n"/>
      <c r="E971" s="19" t="n"/>
      <c r="F971" s="19" t="n"/>
      <c r="G971" s="19" t="n"/>
      <c r="H971" s="19" t="n"/>
      <c r="I971" s="19" t="n"/>
      <c r="J971" s="19" t="n"/>
      <c r="K971" s="19" t="n"/>
    </row>
    <row r="972">
      <c r="A972" s="19" t="n"/>
      <c r="B972" s="19" t="n"/>
      <c r="C972" s="19" t="n"/>
      <c r="D972" s="19" t="n"/>
      <c r="E972" s="19" t="n"/>
      <c r="F972" s="19" t="n"/>
      <c r="G972" s="19" t="n"/>
      <c r="H972" s="19" t="n"/>
      <c r="I972" s="19" t="n"/>
      <c r="J972" s="19" t="n"/>
      <c r="K972" s="19" t="n"/>
    </row>
    <row r="973">
      <c r="A973" s="19" t="n"/>
      <c r="B973" s="19" t="n"/>
      <c r="C973" s="19" t="n"/>
      <c r="D973" s="19" t="n"/>
      <c r="E973" s="19" t="n"/>
      <c r="F973" s="19" t="n"/>
      <c r="G973" s="19" t="n"/>
      <c r="H973" s="19" t="n"/>
      <c r="I973" s="19" t="n"/>
      <c r="J973" s="19" t="n"/>
      <c r="K973" s="19" t="n"/>
    </row>
    <row r="974">
      <c r="A974" s="19" t="n"/>
      <c r="B974" s="19" t="n"/>
      <c r="C974" s="19" t="n"/>
      <c r="D974" s="19" t="n"/>
      <c r="E974" s="19" t="n"/>
      <c r="F974" s="19" t="n"/>
      <c r="G974" s="19" t="n"/>
      <c r="H974" s="19" t="n"/>
      <c r="I974" s="19" t="n"/>
      <c r="J974" s="19" t="n"/>
      <c r="K974" s="19" t="n"/>
    </row>
    <row r="975">
      <c r="A975" s="19" t="n"/>
      <c r="B975" s="19" t="n"/>
      <c r="C975" s="19" t="n"/>
      <c r="D975" s="19" t="n"/>
      <c r="E975" s="19" t="n"/>
      <c r="F975" s="19" t="n"/>
      <c r="G975" s="19" t="n"/>
      <c r="H975" s="19" t="n"/>
      <c r="I975" s="19" t="n"/>
      <c r="J975" s="19" t="n"/>
      <c r="K975" s="19" t="n"/>
    </row>
    <row r="976">
      <c r="A976" s="19" t="n"/>
      <c r="B976" s="19" t="n"/>
      <c r="C976" s="19" t="n"/>
      <c r="D976" s="19" t="n"/>
      <c r="E976" s="19" t="n"/>
      <c r="F976" s="19" t="n"/>
      <c r="G976" s="19" t="n"/>
      <c r="H976" s="19" t="n"/>
      <c r="I976" s="19" t="n"/>
      <c r="J976" s="19" t="n"/>
      <c r="K976" s="19" t="n"/>
    </row>
    <row r="977">
      <c r="A977" s="19" t="n"/>
      <c r="B977" s="19" t="n"/>
      <c r="C977" s="19" t="n"/>
      <c r="D977" s="19" t="n"/>
      <c r="E977" s="19" t="n"/>
      <c r="F977" s="19" t="n"/>
      <c r="G977" s="19" t="n"/>
      <c r="H977" s="19" t="n"/>
      <c r="I977" s="19" t="n"/>
      <c r="J977" s="19" t="n"/>
      <c r="K977" s="19" t="n"/>
    </row>
    <row r="978">
      <c r="A978" s="19" t="n"/>
      <c r="B978" s="19" t="n"/>
      <c r="C978" s="19" t="n"/>
      <c r="D978" s="19" t="n"/>
      <c r="E978" s="19" t="n"/>
      <c r="F978" s="19" t="n"/>
      <c r="G978" s="19" t="n"/>
      <c r="H978" s="19" t="n"/>
      <c r="I978" s="19" t="n"/>
      <c r="J978" s="19" t="n"/>
      <c r="K978" s="19" t="n"/>
    </row>
    <row r="979">
      <c r="A979" s="19" t="n"/>
      <c r="B979" s="19" t="n"/>
      <c r="C979" s="19" t="n"/>
      <c r="D979" s="19" t="n"/>
      <c r="E979" s="19" t="n"/>
      <c r="F979" s="19" t="n"/>
      <c r="G979" s="19" t="n"/>
      <c r="H979" s="19" t="n"/>
      <c r="I979" s="19" t="n"/>
      <c r="J979" s="19" t="n"/>
      <c r="K979" s="19" t="n"/>
    </row>
    <row r="980">
      <c r="A980" s="19" t="n"/>
      <c r="B980" s="19" t="n"/>
      <c r="C980" s="19" t="n"/>
      <c r="D980" s="19" t="n"/>
      <c r="E980" s="19" t="n"/>
      <c r="F980" s="19" t="n"/>
      <c r="G980" s="19" t="n"/>
      <c r="H980" s="19" t="n"/>
      <c r="I980" s="19" t="n"/>
      <c r="J980" s="19" t="n"/>
      <c r="K980" s="19" t="n"/>
    </row>
    <row r="981">
      <c r="A981" s="19" t="n"/>
      <c r="B981" s="19" t="n"/>
      <c r="C981" s="19" t="n"/>
      <c r="D981" s="19" t="n"/>
      <c r="E981" s="19" t="n"/>
      <c r="F981" s="19" t="n"/>
      <c r="G981" s="19" t="n"/>
      <c r="H981" s="19" t="n"/>
      <c r="I981" s="19" t="n"/>
      <c r="J981" s="19" t="n"/>
      <c r="K981" s="19" t="n"/>
    </row>
    <row r="982">
      <c r="A982" s="19" t="n"/>
      <c r="B982" s="19" t="n"/>
      <c r="C982" s="19" t="n"/>
      <c r="D982" s="19" t="n"/>
      <c r="E982" s="19" t="n"/>
      <c r="F982" s="19" t="n"/>
      <c r="G982" s="19" t="n"/>
      <c r="H982" s="19" t="n"/>
      <c r="I982" s="19" t="n"/>
      <c r="J982" s="19" t="n"/>
      <c r="K982" s="19" t="n"/>
    </row>
    <row r="983">
      <c r="A983" s="19" t="n"/>
      <c r="B983" s="19" t="n"/>
      <c r="C983" s="19" t="n"/>
      <c r="D983" s="19" t="n"/>
      <c r="E983" s="19" t="n"/>
      <c r="F983" s="19" t="n"/>
      <c r="G983" s="19" t="n"/>
      <c r="H983" s="19" t="n"/>
      <c r="I983" s="19" t="n"/>
      <c r="J983" s="19" t="n"/>
      <c r="K983" s="19" t="n"/>
    </row>
    <row r="984">
      <c r="A984" s="19" t="n"/>
      <c r="B984" s="19" t="n"/>
      <c r="C984" s="19" t="n"/>
      <c r="D984" s="19" t="n"/>
      <c r="E984" s="19" t="n"/>
      <c r="F984" s="19" t="n"/>
      <c r="G984" s="19" t="n"/>
      <c r="H984" s="19" t="n"/>
      <c r="I984" s="19" t="n"/>
      <c r="J984" s="19" t="n"/>
      <c r="K984" s="19" t="n"/>
    </row>
    <row r="985">
      <c r="A985" s="19" t="n"/>
      <c r="B985" s="19" t="n"/>
      <c r="C985" s="19" t="n"/>
      <c r="D985" s="19" t="n"/>
      <c r="E985" s="19" t="n"/>
      <c r="F985" s="19" t="n"/>
      <c r="G985" s="19" t="n"/>
      <c r="H985" s="19" t="n"/>
      <c r="I985" s="19" t="n"/>
      <c r="J985" s="19" t="n"/>
      <c r="K985" s="19" t="n"/>
    </row>
    <row r="986">
      <c r="A986" s="19" t="n"/>
      <c r="B986" s="19" t="n"/>
      <c r="C986" s="19" t="n"/>
      <c r="D986" s="19" t="n"/>
      <c r="E986" s="19" t="n"/>
      <c r="F986" s="19" t="n"/>
      <c r="G986" s="19" t="n"/>
      <c r="H986" s="19" t="n"/>
      <c r="I986" s="19" t="n"/>
      <c r="J986" s="19" t="n"/>
      <c r="K986" s="19" t="n"/>
    </row>
    <row r="987">
      <c r="A987" s="19" t="n"/>
      <c r="B987" s="19" t="n"/>
      <c r="C987" s="19" t="n"/>
      <c r="D987" s="19" t="n"/>
      <c r="E987" s="19" t="n"/>
      <c r="F987" s="19" t="n"/>
      <c r="G987" s="19" t="n"/>
      <c r="H987" s="19" t="n"/>
      <c r="I987" s="19" t="n"/>
      <c r="J987" s="19" t="n"/>
      <c r="K987" s="19" t="n"/>
    </row>
    <row r="988">
      <c r="A988" s="19" t="n"/>
      <c r="B988" s="19" t="n"/>
      <c r="C988" s="19" t="n"/>
      <c r="D988" s="19" t="n"/>
      <c r="E988" s="19" t="n"/>
      <c r="F988" s="19" t="n"/>
      <c r="G988" s="19" t="n"/>
      <c r="H988" s="19" t="n"/>
      <c r="I988" s="19" t="n"/>
      <c r="J988" s="19" t="n"/>
      <c r="K988" s="19" t="n"/>
    </row>
    <row r="989">
      <c r="A989" s="19" t="n"/>
      <c r="B989" s="19" t="n"/>
      <c r="C989" s="19" t="n"/>
      <c r="D989" s="19" t="n"/>
      <c r="E989" s="19" t="n"/>
      <c r="F989" s="19" t="n"/>
      <c r="G989" s="19" t="n"/>
      <c r="H989" s="19" t="n"/>
      <c r="I989" s="19" t="n"/>
      <c r="J989" s="19" t="n"/>
      <c r="K989" s="19" t="n"/>
    </row>
    <row r="990">
      <c r="A990" s="19" t="n"/>
      <c r="B990" s="19" t="n"/>
      <c r="C990" s="19" t="n"/>
      <c r="D990" s="19" t="n"/>
      <c r="E990" s="19" t="n"/>
      <c r="F990" s="19" t="n"/>
      <c r="G990" s="19" t="n"/>
      <c r="H990" s="19" t="n"/>
      <c r="I990" s="19" t="n"/>
      <c r="J990" s="19" t="n"/>
      <c r="K990" s="19" t="n"/>
    </row>
    <row r="991">
      <c r="A991" s="19" t="n"/>
      <c r="B991" s="19" t="n"/>
      <c r="C991" s="19" t="n"/>
      <c r="D991" s="19" t="n"/>
      <c r="E991" s="19" t="n"/>
      <c r="F991" s="19" t="n"/>
      <c r="G991" s="19" t="n"/>
      <c r="H991" s="19" t="n"/>
      <c r="I991" s="19" t="n"/>
      <c r="J991" s="19" t="n"/>
      <c r="K991" s="19" t="n"/>
    </row>
    <row r="992">
      <c r="A992" s="19" t="n"/>
      <c r="B992" s="19" t="n"/>
      <c r="C992" s="19" t="n"/>
      <c r="D992" s="19" t="n"/>
      <c r="E992" s="19" t="n"/>
      <c r="F992" s="19" t="n"/>
      <c r="G992" s="19" t="n"/>
      <c r="H992" s="19" t="n"/>
      <c r="I992" s="19" t="n"/>
      <c r="J992" s="19" t="n"/>
      <c r="K992" s="19" t="n"/>
    </row>
    <row r="993">
      <c r="A993" s="19" t="n"/>
      <c r="B993" s="19" t="n"/>
      <c r="C993" s="19" t="n"/>
      <c r="D993" s="19" t="n"/>
      <c r="E993" s="19" t="n"/>
      <c r="F993" s="19" t="n"/>
      <c r="G993" s="19" t="n"/>
      <c r="H993" s="19" t="n"/>
      <c r="I993" s="19" t="n"/>
      <c r="J993" s="19" t="n"/>
      <c r="K993" s="19" t="n"/>
    </row>
    <row r="994">
      <c r="A994" s="19" t="n"/>
      <c r="B994" s="19" t="n"/>
      <c r="C994" s="19" t="n"/>
      <c r="D994" s="19" t="n"/>
      <c r="E994" s="19" t="n"/>
      <c r="F994" s="19" t="n"/>
      <c r="G994" s="19" t="n"/>
      <c r="H994" s="19" t="n"/>
      <c r="I994" s="19" t="n"/>
      <c r="J994" s="19" t="n"/>
      <c r="K994" s="19" t="n"/>
    </row>
    <row r="995">
      <c r="A995" s="19" t="n"/>
      <c r="B995" s="19" t="n"/>
      <c r="C995" s="19" t="n"/>
      <c r="D995" s="19" t="n"/>
      <c r="E995" s="19" t="n"/>
      <c r="F995" s="19" t="n"/>
      <c r="G995" s="19" t="n"/>
      <c r="H995" s="19" t="n"/>
      <c r="I995" s="19" t="n"/>
      <c r="J995" s="19" t="n"/>
      <c r="K995" s="19" t="n"/>
    </row>
    <row r="996">
      <c r="A996" s="19" t="n"/>
      <c r="B996" s="19" t="n"/>
      <c r="C996" s="19" t="n"/>
      <c r="D996" s="19" t="n"/>
      <c r="E996" s="19" t="n"/>
      <c r="F996" s="19" t="n"/>
      <c r="G996" s="19" t="n"/>
      <c r="H996" s="19" t="n"/>
      <c r="I996" s="19" t="n"/>
      <c r="J996" s="19" t="n"/>
      <c r="K996" s="19" t="n"/>
    </row>
    <row r="997">
      <c r="A997" s="19" t="n"/>
      <c r="B997" s="19" t="n"/>
      <c r="C997" s="19" t="n"/>
      <c r="D997" s="19" t="n"/>
      <c r="E997" s="19" t="n"/>
      <c r="F997" s="19" t="n"/>
      <c r="G997" s="19" t="n"/>
      <c r="H997" s="19" t="n"/>
      <c r="I997" s="19" t="n"/>
      <c r="J997" s="19" t="n"/>
      <c r="K997" s="19" t="n"/>
    </row>
    <row r="998">
      <c r="A998" s="19" t="n"/>
      <c r="B998" s="19" t="n"/>
      <c r="C998" s="19" t="n"/>
      <c r="D998" s="19" t="n"/>
      <c r="E998" s="19" t="n"/>
      <c r="F998" s="19" t="n"/>
      <c r="G998" s="19" t="n"/>
      <c r="H998" s="19" t="n"/>
      <c r="I998" s="19" t="n"/>
      <c r="J998" s="19" t="n"/>
      <c r="K998" s="19" t="n"/>
    </row>
    <row r="999">
      <c r="A999" s="19" t="n"/>
      <c r="B999" s="19" t="n"/>
      <c r="C999" s="19" t="n"/>
      <c r="D999" s="19" t="n"/>
      <c r="E999" s="19" t="n"/>
      <c r="F999" s="19" t="n"/>
      <c r="G999" s="19" t="n"/>
      <c r="H999" s="19" t="n"/>
      <c r="I999" s="19" t="n"/>
      <c r="J999" s="19" t="n"/>
      <c r="K999" s="19" t="n"/>
    </row>
    <row r="1000">
      <c r="A1000" s="19" t="n"/>
      <c r="B1000" s="19" t="n"/>
      <c r="C1000" s="19" t="n"/>
      <c r="D1000" s="19" t="n"/>
      <c r="E1000" s="19" t="n"/>
      <c r="F1000" s="19" t="n"/>
      <c r="G1000" s="19" t="n"/>
      <c r="H1000" s="19" t="n"/>
      <c r="I1000" s="19" t="n"/>
      <c r="J1000" s="19" t="n"/>
      <c r="K1000" s="19" t="n"/>
    </row>
    <row r="1001">
      <c r="A1001" s="19" t="n"/>
      <c r="B1001" s="19" t="n"/>
      <c r="C1001" s="19" t="n"/>
      <c r="D1001" s="19" t="n"/>
      <c r="E1001" s="19" t="n"/>
      <c r="F1001" s="19" t="n"/>
      <c r="G1001" s="19" t="n"/>
      <c r="H1001" s="19" t="n"/>
      <c r="I1001" s="19" t="n"/>
      <c r="J1001" s="19" t="n"/>
      <c r="K1001" s="19" t="n"/>
    </row>
    <row r="1002">
      <c r="A1002" s="19" t="n"/>
      <c r="B1002" s="19" t="n"/>
      <c r="C1002" s="19" t="n"/>
      <c r="D1002" s="19" t="n"/>
      <c r="E1002" s="19" t="n"/>
      <c r="F1002" s="19" t="n"/>
      <c r="G1002" s="19" t="n"/>
      <c r="H1002" s="19" t="n"/>
      <c r="I1002" s="19" t="n"/>
      <c r="J1002" s="19" t="n"/>
      <c r="K1002" s="19" t="n"/>
    </row>
    <row r="1003">
      <c r="A1003" s="19" t="n"/>
      <c r="B1003" s="19" t="n"/>
      <c r="C1003" s="19" t="n"/>
      <c r="D1003" s="19" t="n"/>
      <c r="E1003" s="19" t="n"/>
      <c r="F1003" s="19" t="n"/>
      <c r="G1003" s="19" t="n"/>
      <c r="H1003" s="19" t="n"/>
      <c r="I1003" s="19" t="n"/>
      <c r="J1003" s="19" t="n"/>
      <c r="K1003" s="19" t="n"/>
    </row>
    <row r="1004">
      <c r="A1004" s="19" t="n"/>
      <c r="B1004" s="19" t="n"/>
      <c r="C1004" s="19" t="n"/>
      <c r="D1004" s="19" t="n"/>
      <c r="E1004" s="19" t="n"/>
      <c r="F1004" s="19" t="n"/>
      <c r="G1004" s="19" t="n"/>
      <c r="H1004" s="19" t="n"/>
      <c r="I1004" s="19" t="n"/>
      <c r="J1004" s="19" t="n"/>
      <c r="K1004" s="19" t="n"/>
    </row>
    <row r="1005">
      <c r="A1005" s="19" t="n"/>
      <c r="B1005" s="19" t="n"/>
      <c r="C1005" s="19" t="n"/>
      <c r="D1005" s="19" t="n"/>
      <c r="E1005" s="19" t="n"/>
      <c r="F1005" s="19" t="n"/>
      <c r="G1005" s="19" t="n"/>
      <c r="H1005" s="19" t="n"/>
      <c r="I1005" s="19" t="n"/>
      <c r="J1005" s="19" t="n"/>
      <c r="K1005" s="19" t="n"/>
    </row>
    <row r="1006">
      <c r="A1006" s="19" t="n"/>
      <c r="B1006" s="19" t="n"/>
      <c r="C1006" s="19" t="n"/>
      <c r="D1006" s="19" t="n"/>
      <c r="E1006" s="19" t="n"/>
      <c r="F1006" s="19" t="n"/>
      <c r="G1006" s="19" t="n"/>
      <c r="H1006" s="19" t="n"/>
      <c r="I1006" s="19" t="n"/>
      <c r="J1006" s="19" t="n"/>
      <c r="K1006" s="19" t="n"/>
    </row>
    <row r="1007">
      <c r="A1007" s="19" t="n"/>
      <c r="B1007" s="19" t="n"/>
      <c r="C1007" s="19" t="n"/>
      <c r="D1007" s="19" t="n"/>
      <c r="E1007" s="19" t="n"/>
      <c r="F1007" s="19" t="n"/>
      <c r="G1007" s="19" t="n"/>
      <c r="H1007" s="19" t="n"/>
      <c r="I1007" s="19" t="n"/>
      <c r="J1007" s="19" t="n"/>
      <c r="K1007" s="19" t="n"/>
    </row>
    <row r="1008">
      <c r="A1008" s="19" t="n"/>
      <c r="B1008" s="19" t="n"/>
      <c r="C1008" s="19" t="n"/>
      <c r="D1008" s="19" t="n"/>
      <c r="E1008" s="19" t="n"/>
      <c r="F1008" s="19" t="n"/>
      <c r="G1008" s="19" t="n"/>
      <c r="H1008" s="19" t="n"/>
      <c r="I1008" s="19" t="n"/>
      <c r="J1008" s="19" t="n"/>
      <c r="K1008" s="19" t="n"/>
    </row>
    <row r="1009">
      <c r="A1009" s="19" t="n"/>
      <c r="B1009" s="19" t="n"/>
      <c r="C1009" s="19" t="n"/>
      <c r="D1009" s="19" t="n"/>
      <c r="E1009" s="19" t="n"/>
      <c r="F1009" s="19" t="n"/>
      <c r="G1009" s="19" t="n"/>
      <c r="H1009" s="19" t="n"/>
      <c r="I1009" s="19" t="n"/>
      <c r="J1009" s="19" t="n"/>
      <c r="K1009" s="19" t="n"/>
    </row>
    <row r="1010">
      <c r="A1010" s="19" t="n"/>
      <c r="B1010" s="19" t="n"/>
      <c r="C1010" s="19" t="n"/>
      <c r="D1010" s="19" t="n"/>
      <c r="E1010" s="19" t="n"/>
      <c r="F1010" s="19" t="n"/>
      <c r="G1010" s="19" t="n"/>
      <c r="H1010" s="19" t="n"/>
      <c r="I1010" s="19" t="n"/>
      <c r="J1010" s="19" t="n"/>
      <c r="K1010" s="19" t="n"/>
    </row>
    <row r="1011">
      <c r="A1011" s="19" t="n"/>
      <c r="B1011" s="19" t="n"/>
      <c r="C1011" s="19" t="n"/>
      <c r="D1011" s="19" t="n"/>
      <c r="E1011" s="19" t="n"/>
      <c r="F1011" s="19" t="n"/>
      <c r="G1011" s="19" t="n"/>
      <c r="H1011" s="19" t="n"/>
      <c r="I1011" s="19" t="n"/>
      <c r="J1011" s="19" t="n"/>
      <c r="K1011" s="19" t="n"/>
    </row>
    <row r="1012">
      <c r="A1012" s="19" t="n"/>
      <c r="B1012" s="19" t="n"/>
      <c r="C1012" s="19" t="n"/>
      <c r="D1012" s="19" t="n"/>
      <c r="E1012" s="19" t="n"/>
      <c r="F1012" s="19" t="n"/>
      <c r="G1012" s="19" t="n"/>
      <c r="H1012" s="19" t="n"/>
      <c r="I1012" s="19" t="n"/>
      <c r="J1012" s="19" t="n"/>
      <c r="K1012" s="19" t="n"/>
    </row>
    <row r="1013">
      <c r="A1013" s="19" t="n"/>
      <c r="B1013" s="19" t="n"/>
      <c r="C1013" s="19" t="n"/>
      <c r="D1013" s="19" t="n"/>
      <c r="E1013" s="19" t="n"/>
      <c r="F1013" s="19" t="n"/>
      <c r="G1013" s="19" t="n"/>
      <c r="H1013" s="19" t="n"/>
      <c r="I1013" s="19" t="n"/>
      <c r="J1013" s="19" t="n"/>
      <c r="K1013" s="19" t="n"/>
    </row>
    <row r="1014">
      <c r="A1014" s="19" t="n"/>
      <c r="B1014" s="19" t="n"/>
      <c r="C1014" s="19" t="n"/>
      <c r="D1014" s="19" t="n"/>
      <c r="E1014" s="19" t="n"/>
      <c r="F1014" s="19" t="n"/>
      <c r="G1014" s="19" t="n"/>
      <c r="H1014" s="19" t="n"/>
      <c r="I1014" s="19" t="n"/>
      <c r="J1014" s="19" t="n"/>
      <c r="K1014" s="19" t="n"/>
    </row>
    <row r="1015">
      <c r="A1015" s="19" t="n"/>
      <c r="B1015" s="19" t="n"/>
      <c r="C1015" s="19" t="n"/>
      <c r="D1015" s="19" t="n"/>
      <c r="E1015" s="19" t="n"/>
      <c r="F1015" s="19" t="n"/>
      <c r="G1015" s="19" t="n"/>
      <c r="H1015" s="19" t="n"/>
      <c r="I1015" s="19" t="n"/>
      <c r="J1015" s="19" t="n"/>
      <c r="K1015" s="19" t="n"/>
    </row>
    <row r="1016">
      <c r="A1016" s="19" t="n"/>
      <c r="B1016" s="19" t="n"/>
      <c r="C1016" s="19" t="n"/>
      <c r="D1016" s="19" t="n"/>
      <c r="E1016" s="19" t="n"/>
      <c r="F1016" s="19" t="n"/>
      <c r="G1016" s="19" t="n"/>
      <c r="H1016" s="19" t="n"/>
      <c r="I1016" s="19" t="n"/>
      <c r="J1016" s="19" t="n"/>
      <c r="K1016" s="19" t="n"/>
    </row>
    <row r="1017">
      <c r="A1017" s="19" t="n"/>
      <c r="B1017" s="19" t="n"/>
      <c r="C1017" s="19" t="n"/>
      <c r="D1017" s="19" t="n"/>
      <c r="E1017" s="19" t="n"/>
      <c r="F1017" s="19" t="n"/>
      <c r="G1017" s="19" t="n"/>
      <c r="H1017" s="19" t="n"/>
      <c r="I1017" s="19" t="n"/>
      <c r="J1017" s="19" t="n"/>
      <c r="K1017" s="19" t="n"/>
    </row>
    <row r="1018">
      <c r="A1018" s="19" t="n"/>
      <c r="B1018" s="19" t="n"/>
      <c r="C1018" s="19" t="n"/>
      <c r="D1018" s="19" t="n"/>
      <c r="E1018" s="19" t="n"/>
      <c r="F1018" s="19" t="n"/>
      <c r="G1018" s="19" t="n"/>
      <c r="H1018" s="19" t="n"/>
      <c r="I1018" s="19" t="n"/>
      <c r="J1018" s="19" t="n"/>
      <c r="K1018" s="19" t="n"/>
    </row>
    <row r="1019">
      <c r="A1019" s="19" t="n"/>
      <c r="B1019" s="19" t="n"/>
      <c r="C1019" s="19" t="n"/>
      <c r="D1019" s="19" t="n"/>
      <c r="E1019" s="19" t="n"/>
      <c r="F1019" s="19" t="n"/>
      <c r="G1019" s="19" t="n"/>
      <c r="H1019" s="19" t="n"/>
      <c r="I1019" s="19" t="n"/>
      <c r="J1019" s="19" t="n"/>
      <c r="K1019" s="19" t="n"/>
    </row>
    <row r="1020">
      <c r="A1020" s="19" t="n"/>
      <c r="B1020" s="19" t="n"/>
      <c r="C1020" s="19" t="n"/>
      <c r="D1020" s="19" t="n"/>
      <c r="E1020" s="19" t="n"/>
      <c r="F1020" s="19" t="n"/>
      <c r="G1020" s="19" t="n"/>
      <c r="H1020" s="19" t="n"/>
      <c r="I1020" s="19" t="n"/>
      <c r="J1020" s="19" t="n"/>
      <c r="K1020" s="19" t="n"/>
    </row>
    <row r="1021">
      <c r="A1021" s="19" t="n"/>
      <c r="B1021" s="19" t="n"/>
      <c r="C1021" s="19" t="n"/>
      <c r="D1021" s="19" t="n"/>
      <c r="E1021" s="19" t="n"/>
      <c r="F1021" s="19" t="n"/>
      <c r="G1021" s="19" t="n"/>
      <c r="H1021" s="19" t="n"/>
      <c r="I1021" s="19" t="n"/>
      <c r="J1021" s="19" t="n"/>
      <c r="K1021" s="19" t="n"/>
    </row>
    <row r="1022">
      <c r="A1022" s="19" t="n"/>
      <c r="B1022" s="19" t="n"/>
      <c r="C1022" s="19" t="n"/>
      <c r="D1022" s="19" t="n"/>
      <c r="E1022" s="19" t="n"/>
      <c r="F1022" s="19" t="n"/>
      <c r="G1022" s="19" t="n"/>
      <c r="H1022" s="19" t="n"/>
      <c r="I1022" s="19" t="n"/>
      <c r="J1022" s="19" t="n"/>
      <c r="K1022" s="19" t="n"/>
    </row>
    <row r="1023">
      <c r="A1023" s="19" t="n"/>
      <c r="B1023" s="19" t="n"/>
      <c r="C1023" s="19" t="n"/>
      <c r="D1023" s="19" t="n"/>
      <c r="E1023" s="19" t="n"/>
      <c r="F1023" s="19" t="n"/>
      <c r="G1023" s="19" t="n"/>
      <c r="H1023" s="19" t="n"/>
      <c r="I1023" s="19" t="n"/>
      <c r="J1023" s="19" t="n"/>
      <c r="K1023" s="19" t="n"/>
    </row>
    <row r="1024">
      <c r="A1024" s="19" t="n"/>
      <c r="B1024" s="19" t="n"/>
      <c r="C1024" s="19" t="n"/>
      <c r="D1024" s="19" t="n"/>
      <c r="E1024" s="19" t="n"/>
      <c r="F1024" s="19" t="n"/>
      <c r="G1024" s="19" t="n"/>
      <c r="H1024" s="19" t="n"/>
      <c r="I1024" s="19" t="n"/>
      <c r="J1024" s="19" t="n"/>
      <c r="K1024" s="19" t="n"/>
    </row>
    <row r="1025">
      <c r="A1025" s="19" t="n"/>
      <c r="B1025" s="19" t="n"/>
      <c r="C1025" s="19" t="n"/>
      <c r="D1025" s="19" t="n"/>
      <c r="E1025" s="19" t="n"/>
      <c r="F1025" s="19" t="n"/>
      <c r="G1025" s="19" t="n"/>
      <c r="H1025" s="19" t="n"/>
      <c r="I1025" s="19" t="n"/>
      <c r="J1025" s="19" t="n"/>
      <c r="K1025" s="19" t="n"/>
    </row>
    <row r="1026">
      <c r="A1026" s="19" t="n"/>
      <c r="B1026" s="19" t="n"/>
      <c r="C1026" s="19" t="n"/>
      <c r="D1026" s="19" t="n"/>
      <c r="E1026" s="19" t="n"/>
      <c r="F1026" s="19" t="n"/>
      <c r="G1026" s="19" t="n"/>
      <c r="H1026" s="19" t="n"/>
      <c r="I1026" s="19" t="n"/>
      <c r="J1026" s="19" t="n"/>
      <c r="K1026" s="19" t="n"/>
    </row>
    <row r="1027">
      <c r="A1027" s="19" t="n"/>
      <c r="B1027" s="19" t="n"/>
      <c r="C1027" s="19" t="n"/>
      <c r="D1027" s="19" t="n"/>
      <c r="E1027" s="19" t="n"/>
      <c r="F1027" s="19" t="n"/>
      <c r="G1027" s="19" t="n"/>
      <c r="H1027" s="19" t="n"/>
      <c r="I1027" s="19" t="n"/>
      <c r="J1027" s="19" t="n"/>
      <c r="K1027" s="19" t="n"/>
    </row>
    <row r="1028">
      <c r="A1028" s="19" t="n"/>
      <c r="B1028" s="19" t="n"/>
      <c r="C1028" s="19" t="n"/>
      <c r="D1028" s="19" t="n"/>
      <c r="E1028" s="19" t="n"/>
      <c r="F1028" s="19" t="n"/>
      <c r="G1028" s="19" t="n"/>
      <c r="H1028" s="19" t="n"/>
      <c r="I1028" s="19" t="n"/>
      <c r="J1028" s="19" t="n"/>
      <c r="K1028" s="19" t="n"/>
    </row>
    <row r="1029">
      <c r="A1029" s="19" t="n"/>
      <c r="B1029" s="19" t="n"/>
      <c r="C1029" s="19" t="n"/>
      <c r="D1029" s="19" t="n"/>
      <c r="E1029" s="19" t="n"/>
      <c r="F1029" s="19" t="n"/>
      <c r="G1029" s="19" t="n"/>
      <c r="H1029" s="19" t="n"/>
      <c r="I1029" s="19" t="n"/>
      <c r="J1029" s="19" t="n"/>
      <c r="K1029" s="19" t="n"/>
    </row>
    <row r="1030">
      <c r="A1030" s="19" t="n"/>
      <c r="B1030" s="19" t="n"/>
      <c r="C1030" s="19" t="n"/>
      <c r="D1030" s="19" t="n"/>
      <c r="E1030" s="19" t="n"/>
      <c r="F1030" s="19" t="n"/>
      <c r="G1030" s="19" t="n"/>
      <c r="H1030" s="19" t="n"/>
      <c r="I1030" s="19" t="n"/>
      <c r="J1030" s="19" t="n"/>
      <c r="K1030" s="19" t="n"/>
    </row>
    <row r="1031">
      <c r="A1031" s="19" t="n"/>
      <c r="B1031" s="19" t="n"/>
      <c r="C1031" s="19" t="n"/>
      <c r="D1031" s="19" t="n"/>
      <c r="E1031" s="19" t="n"/>
      <c r="F1031" s="19" t="n"/>
      <c r="G1031" s="19" t="n"/>
      <c r="H1031" s="19" t="n"/>
      <c r="I1031" s="19" t="n"/>
      <c r="J1031" s="19" t="n"/>
      <c r="K1031" s="19" t="n"/>
    </row>
    <row r="1032">
      <c r="A1032" s="19" t="n"/>
      <c r="B1032" s="19" t="n"/>
      <c r="C1032" s="19" t="n"/>
      <c r="D1032" s="19" t="n"/>
      <c r="E1032" s="19" t="n"/>
      <c r="F1032" s="19" t="n"/>
      <c r="G1032" s="19" t="n"/>
      <c r="H1032" s="19" t="n"/>
      <c r="I1032" s="19" t="n"/>
      <c r="J1032" s="19" t="n"/>
      <c r="K1032" s="19" t="n"/>
    </row>
    <row r="1033">
      <c r="A1033" s="19" t="n"/>
      <c r="B1033" s="19" t="n"/>
      <c r="C1033" s="19" t="n"/>
      <c r="D1033" s="19" t="n"/>
      <c r="E1033" s="19" t="n"/>
      <c r="F1033" s="19" t="n"/>
      <c r="G1033" s="19" t="n"/>
      <c r="H1033" s="19" t="n"/>
      <c r="I1033" s="19" t="n"/>
      <c r="J1033" s="19" t="n"/>
      <c r="K1033" s="19" t="n"/>
    </row>
    <row r="1034">
      <c r="A1034" s="19" t="n"/>
      <c r="B1034" s="19" t="n"/>
      <c r="C1034" s="19" t="n"/>
      <c r="D1034" s="19" t="n"/>
      <c r="E1034" s="19" t="n"/>
      <c r="F1034" s="19" t="n"/>
      <c r="G1034" s="19" t="n"/>
      <c r="H1034" s="19" t="n"/>
      <c r="I1034" s="19" t="n"/>
      <c r="J1034" s="19" t="n"/>
      <c r="K1034" s="19" t="n"/>
    </row>
    <row r="1035">
      <c r="A1035" s="19" t="n"/>
      <c r="B1035" s="19" t="n"/>
      <c r="C1035" s="19" t="n"/>
      <c r="D1035" s="19" t="n"/>
      <c r="E1035" s="19" t="n"/>
      <c r="F1035" s="19" t="n"/>
      <c r="G1035" s="19" t="n"/>
      <c r="H1035" s="19" t="n"/>
      <c r="I1035" s="19" t="n"/>
      <c r="J1035" s="19" t="n"/>
      <c r="K1035" s="19" t="n"/>
    </row>
    <row r="1036">
      <c r="A1036" s="19" t="n"/>
      <c r="B1036" s="19" t="n"/>
      <c r="C1036" s="19" t="n"/>
      <c r="D1036" s="19" t="n"/>
      <c r="E1036" s="19" t="n"/>
      <c r="F1036" s="19" t="n"/>
      <c r="G1036" s="19" t="n"/>
      <c r="H1036" s="19" t="n"/>
      <c r="I1036" s="19" t="n"/>
      <c r="J1036" s="19" t="n"/>
      <c r="K1036" s="19" t="n"/>
    </row>
    <row r="1037">
      <c r="A1037" s="19" t="n"/>
      <c r="B1037" s="19" t="n"/>
      <c r="C1037" s="19" t="n"/>
      <c r="D1037" s="19" t="n"/>
      <c r="E1037" s="19" t="n"/>
      <c r="F1037" s="19" t="n"/>
      <c r="G1037" s="19" t="n"/>
      <c r="H1037" s="19" t="n"/>
      <c r="I1037" s="19" t="n"/>
      <c r="J1037" s="19" t="n"/>
      <c r="K1037" s="19" t="n"/>
    </row>
    <row r="1038">
      <c r="A1038" s="19" t="n"/>
      <c r="B1038" s="19" t="n"/>
      <c r="C1038" s="19" t="n"/>
      <c r="D1038" s="19" t="n"/>
      <c r="E1038" s="19" t="n"/>
      <c r="F1038" s="19" t="n"/>
      <c r="G1038" s="19" t="n"/>
      <c r="H1038" s="19" t="n"/>
      <c r="I1038" s="19" t="n"/>
      <c r="J1038" s="19" t="n"/>
      <c r="K1038" s="19" t="n"/>
    </row>
    <row r="1039">
      <c r="A1039" s="19" t="n"/>
      <c r="B1039" s="19" t="n"/>
      <c r="C1039" s="19" t="n"/>
      <c r="D1039" s="19" t="n"/>
      <c r="E1039" s="19" t="n"/>
      <c r="F1039" s="19" t="n"/>
      <c r="G1039" s="19" t="n"/>
      <c r="H1039" s="19" t="n"/>
      <c r="I1039" s="19" t="n"/>
      <c r="J1039" s="19" t="n"/>
      <c r="K1039" s="19" t="n"/>
    </row>
    <row r="1040">
      <c r="A1040" s="19" t="n"/>
      <c r="B1040" s="19" t="n"/>
      <c r="C1040" s="19" t="n"/>
      <c r="D1040" s="19" t="n"/>
      <c r="E1040" s="19" t="n"/>
      <c r="F1040" s="19" t="n"/>
      <c r="G1040" s="19" t="n"/>
      <c r="H1040" s="19" t="n"/>
      <c r="I1040" s="19" t="n"/>
      <c r="J1040" s="19" t="n"/>
      <c r="K1040" s="19" t="n"/>
    </row>
    <row r="1041">
      <c r="A1041" s="19" t="n"/>
      <c r="B1041" s="19" t="n"/>
      <c r="C1041" s="19" t="n"/>
      <c r="D1041" s="19" t="n"/>
      <c r="E1041" s="19" t="n"/>
      <c r="F1041" s="19" t="n"/>
      <c r="G1041" s="19" t="n"/>
      <c r="H1041" s="19" t="n"/>
      <c r="I1041" s="19" t="n"/>
      <c r="J1041" s="19" t="n"/>
      <c r="K1041" s="19" t="n"/>
    </row>
    <row r="1042">
      <c r="A1042" s="19" t="n"/>
      <c r="B1042" s="19" t="n"/>
      <c r="C1042" s="19" t="n"/>
      <c r="D1042" s="19" t="n"/>
      <c r="E1042" s="19" t="n"/>
      <c r="F1042" s="19" t="n"/>
      <c r="G1042" s="19" t="n"/>
      <c r="H1042" s="19" t="n"/>
      <c r="I1042" s="19" t="n"/>
      <c r="J1042" s="19" t="n"/>
      <c r="K1042" s="19" t="n"/>
    </row>
    <row r="1043">
      <c r="A1043" s="19" t="n"/>
      <c r="B1043" s="19" t="n"/>
      <c r="C1043" s="19" t="n"/>
      <c r="D1043" s="19" t="n"/>
      <c r="E1043" s="19" t="n"/>
      <c r="F1043" s="19" t="n"/>
      <c r="G1043" s="19" t="n"/>
      <c r="H1043" s="19" t="n"/>
      <c r="I1043" s="19" t="n"/>
      <c r="J1043" s="19" t="n"/>
      <c r="K1043" s="19" t="n"/>
    </row>
    <row r="1044">
      <c r="A1044" s="19" t="n"/>
      <c r="B1044" s="19" t="n"/>
      <c r="C1044" s="19" t="n"/>
      <c r="D1044" s="19" t="n"/>
      <c r="E1044" s="19" t="n"/>
      <c r="F1044" s="19" t="n"/>
      <c r="G1044" s="19" t="n"/>
      <c r="H1044" s="19" t="n"/>
      <c r="I1044" s="19" t="n"/>
      <c r="J1044" s="19" t="n"/>
      <c r="K1044" s="19" t="n"/>
    </row>
    <row r="1045">
      <c r="A1045" s="19" t="n"/>
      <c r="B1045" s="19" t="n"/>
      <c r="C1045" s="19" t="n"/>
      <c r="D1045" s="19" t="n"/>
      <c r="E1045" s="19" t="n"/>
      <c r="F1045" s="19" t="n"/>
      <c r="G1045" s="19" t="n"/>
      <c r="H1045" s="19" t="n"/>
      <c r="I1045" s="19" t="n"/>
      <c r="J1045" s="19" t="n"/>
      <c r="K1045" s="19" t="n"/>
    </row>
    <row r="1046">
      <c r="A1046" s="19" t="n"/>
      <c r="B1046" s="19" t="n"/>
      <c r="C1046" s="19" t="n"/>
      <c r="D1046" s="19" t="n"/>
      <c r="E1046" s="19" t="n"/>
      <c r="F1046" s="19" t="n"/>
      <c r="G1046" s="19" t="n"/>
      <c r="H1046" s="19" t="n"/>
      <c r="I1046" s="19" t="n"/>
      <c r="J1046" s="19" t="n"/>
      <c r="K1046" s="19" t="n"/>
    </row>
    <row r="1047">
      <c r="A1047" s="19" t="n"/>
      <c r="B1047" s="19" t="n"/>
      <c r="C1047" s="19" t="n"/>
      <c r="D1047" s="19" t="n"/>
      <c r="E1047" s="19" t="n"/>
      <c r="F1047" s="19" t="n"/>
      <c r="G1047" s="19" t="n"/>
      <c r="H1047" s="19" t="n"/>
      <c r="I1047" s="19" t="n"/>
      <c r="J1047" s="19" t="n"/>
      <c r="K1047" s="19" t="n"/>
    </row>
    <row r="1048">
      <c r="A1048" s="19" t="n"/>
      <c r="B1048" s="19" t="n"/>
      <c r="C1048" s="19" t="n"/>
      <c r="D1048" s="19" t="n"/>
      <c r="E1048" s="19" t="n"/>
      <c r="F1048" s="19" t="n"/>
      <c r="G1048" s="19" t="n"/>
      <c r="H1048" s="19" t="n"/>
      <c r="I1048" s="19" t="n"/>
      <c r="J1048" s="19" t="n"/>
      <c r="K1048" s="19" t="n"/>
    </row>
    <row r="1049">
      <c r="A1049" s="19" t="n"/>
      <c r="B1049" s="19" t="n"/>
      <c r="C1049" s="19" t="n"/>
      <c r="D1049" s="19" t="n"/>
      <c r="E1049" s="19" t="n"/>
      <c r="F1049" s="19" t="n"/>
      <c r="G1049" s="19" t="n"/>
      <c r="H1049" s="19" t="n"/>
      <c r="I1049" s="19" t="n"/>
      <c r="J1049" s="19" t="n"/>
      <c r="K1049" s="19" t="n"/>
    </row>
    <row r="1050">
      <c r="A1050" s="19" t="n"/>
      <c r="B1050" s="19" t="n"/>
      <c r="C1050" s="19" t="n"/>
      <c r="D1050" s="19" t="n"/>
      <c r="E1050" s="19" t="n"/>
      <c r="F1050" s="19" t="n"/>
      <c r="G1050" s="19" t="n"/>
      <c r="H1050" s="19" t="n"/>
      <c r="I1050" s="19" t="n"/>
      <c r="J1050" s="19" t="n"/>
      <c r="K1050" s="19" t="n"/>
    </row>
    <row r="1051">
      <c r="A1051" s="19" t="n"/>
      <c r="B1051" s="19" t="n"/>
      <c r="C1051" s="19" t="n"/>
      <c r="D1051" s="19" t="n"/>
      <c r="E1051" s="19" t="n"/>
      <c r="F1051" s="19" t="n"/>
      <c r="G1051" s="19" t="n"/>
      <c r="H1051" s="19" t="n"/>
      <c r="I1051" s="19" t="n"/>
      <c r="J1051" s="19" t="n"/>
      <c r="K1051" s="19" t="n"/>
    </row>
    <row r="1052">
      <c r="A1052" s="19" t="n"/>
      <c r="B1052" s="19" t="n"/>
      <c r="C1052" s="19" t="n"/>
      <c r="D1052" s="19" t="n"/>
      <c r="E1052" s="19" t="n"/>
      <c r="F1052" s="19" t="n"/>
      <c r="G1052" s="19" t="n"/>
      <c r="H1052" s="19" t="n"/>
      <c r="I1052" s="19" t="n"/>
      <c r="J1052" s="19" t="n"/>
      <c r="K1052" s="19" t="n"/>
    </row>
    <row r="1053">
      <c r="A1053" s="19" t="n"/>
      <c r="B1053" s="19" t="n"/>
      <c r="C1053" s="19" t="n"/>
      <c r="D1053" s="19" t="n"/>
      <c r="E1053" s="19" t="n"/>
      <c r="F1053" s="19" t="n"/>
      <c r="G1053" s="19" t="n"/>
      <c r="H1053" s="19" t="n"/>
      <c r="I1053" s="19" t="n"/>
      <c r="J1053" s="19" t="n"/>
      <c r="K1053" s="19" t="n"/>
    </row>
    <row r="1054">
      <c r="A1054" s="19" t="n"/>
      <c r="B1054" s="19" t="n"/>
      <c r="C1054" s="19" t="n"/>
      <c r="D1054" s="19" t="n"/>
      <c r="E1054" s="19" t="n"/>
      <c r="F1054" s="19" t="n"/>
      <c r="G1054" s="19" t="n"/>
      <c r="H1054" s="19" t="n"/>
      <c r="I1054" s="19" t="n"/>
      <c r="J1054" s="19" t="n"/>
      <c r="K1054" s="19" t="n"/>
    </row>
    <row r="1055">
      <c r="A1055" s="19" t="n"/>
      <c r="B1055" s="19" t="n"/>
      <c r="C1055" s="19" t="n"/>
      <c r="D1055" s="19" t="n"/>
      <c r="E1055" s="19" t="n"/>
      <c r="F1055" s="19" t="n"/>
      <c r="G1055" s="19" t="n"/>
      <c r="H1055" s="19" t="n"/>
      <c r="I1055" s="19" t="n"/>
      <c r="J1055" s="19" t="n"/>
      <c r="K1055" s="19" t="n"/>
    </row>
    <row r="1056">
      <c r="A1056" s="19" t="n"/>
      <c r="B1056" s="19" t="n"/>
      <c r="C1056" s="19" t="n"/>
      <c r="D1056" s="19" t="n"/>
      <c r="E1056" s="19" t="n"/>
      <c r="F1056" s="19" t="n"/>
      <c r="G1056" s="19" t="n"/>
      <c r="H1056" s="19" t="n"/>
      <c r="I1056" s="19" t="n"/>
      <c r="J1056" s="19" t="n"/>
      <c r="K1056" s="19" t="n"/>
    </row>
    <row r="1057">
      <c r="A1057" s="19" t="n"/>
      <c r="B1057" s="19" t="n"/>
      <c r="C1057" s="19" t="n"/>
      <c r="D1057" s="19" t="n"/>
      <c r="E1057" s="19" t="n"/>
      <c r="F1057" s="19" t="n"/>
      <c r="G1057" s="19" t="n"/>
      <c r="H1057" s="19" t="n"/>
      <c r="I1057" s="19" t="n"/>
      <c r="J1057" s="19" t="n"/>
      <c r="K1057" s="19" t="n"/>
    </row>
    <row r="1058">
      <c r="A1058" s="19" t="n"/>
      <c r="B1058" s="19" t="n"/>
      <c r="C1058" s="19" t="n"/>
      <c r="D1058" s="19" t="n"/>
      <c r="E1058" s="19" t="n"/>
      <c r="F1058" s="19" t="n"/>
      <c r="G1058" s="19" t="n"/>
      <c r="H1058" s="19" t="n"/>
      <c r="I1058" s="19" t="n"/>
      <c r="J1058" s="19" t="n"/>
      <c r="K1058" s="19" t="n"/>
    </row>
    <row r="1059">
      <c r="A1059" s="19" t="n"/>
      <c r="B1059" s="19" t="n"/>
      <c r="C1059" s="19" t="n"/>
      <c r="D1059" s="19" t="n"/>
      <c r="E1059" s="19" t="n"/>
      <c r="F1059" s="19" t="n"/>
      <c r="G1059" s="19" t="n"/>
      <c r="H1059" s="19" t="n"/>
      <c r="I1059" s="19" t="n"/>
      <c r="J1059" s="19" t="n"/>
      <c r="K1059" s="19" t="n"/>
    </row>
    <row r="1060">
      <c r="A1060" s="19" t="n"/>
      <c r="B1060" s="19" t="n"/>
      <c r="C1060" s="19" t="n"/>
      <c r="D1060" s="19" t="n"/>
      <c r="E1060" s="19" t="n"/>
      <c r="F1060" s="19" t="n"/>
      <c r="G1060" s="19" t="n"/>
      <c r="H1060" s="19" t="n"/>
      <c r="I1060" s="19" t="n"/>
      <c r="J1060" s="19" t="n"/>
      <c r="K1060" s="19" t="n"/>
    </row>
    <row r="1061">
      <c r="A1061" s="19" t="n"/>
      <c r="B1061" s="19" t="n"/>
      <c r="C1061" s="19" t="n"/>
      <c r="D1061" s="19" t="n"/>
      <c r="E1061" s="19" t="n"/>
      <c r="F1061" s="19" t="n"/>
      <c r="G1061" s="19" t="n"/>
      <c r="H1061" s="19" t="n"/>
      <c r="I1061" s="19" t="n"/>
      <c r="J1061" s="19" t="n"/>
      <c r="K1061" s="19" t="n"/>
    </row>
    <row r="1062">
      <c r="A1062" s="19" t="n"/>
      <c r="B1062" s="19" t="n"/>
      <c r="C1062" s="19" t="n"/>
      <c r="D1062" s="19" t="n"/>
      <c r="E1062" s="19" t="n"/>
      <c r="F1062" s="19" t="n"/>
      <c r="G1062" s="19" t="n"/>
      <c r="H1062" s="19" t="n"/>
      <c r="I1062" s="19" t="n"/>
      <c r="J1062" s="19" t="n"/>
      <c r="K1062" s="19" t="n"/>
    </row>
    <row r="1063">
      <c r="A1063" s="19" t="n"/>
      <c r="B1063" s="19" t="n"/>
      <c r="C1063" s="19" t="n"/>
      <c r="D1063" s="19" t="n"/>
      <c r="E1063" s="19" t="n"/>
      <c r="F1063" s="19" t="n"/>
      <c r="G1063" s="19" t="n"/>
      <c r="H1063" s="19" t="n"/>
      <c r="I1063" s="19" t="n"/>
      <c r="J1063" s="19" t="n"/>
      <c r="K1063" s="19" t="n"/>
    </row>
    <row r="1064">
      <c r="A1064" s="19" t="n"/>
      <c r="B1064" s="19" t="n"/>
      <c r="C1064" s="19" t="n"/>
      <c r="D1064" s="19" t="n"/>
      <c r="E1064" s="19" t="n"/>
      <c r="F1064" s="19" t="n"/>
      <c r="G1064" s="19" t="n"/>
      <c r="H1064" s="19" t="n"/>
      <c r="I1064" s="19" t="n"/>
      <c r="J1064" s="19" t="n"/>
      <c r="K1064" s="19" t="n"/>
    </row>
    <row r="1065">
      <c r="A1065" s="19" t="n"/>
      <c r="B1065" s="19" t="n"/>
      <c r="C1065" s="19" t="n"/>
      <c r="D1065" s="19" t="n"/>
      <c r="E1065" s="19" t="n"/>
      <c r="F1065" s="19" t="n"/>
      <c r="G1065" s="19" t="n"/>
      <c r="H1065" s="19" t="n"/>
      <c r="I1065" s="19" t="n"/>
      <c r="J1065" s="19" t="n"/>
      <c r="K1065" s="19" t="n"/>
    </row>
    <row r="1066">
      <c r="A1066" s="19" t="n"/>
      <c r="B1066" s="19" t="n"/>
      <c r="C1066" s="19" t="n"/>
      <c r="D1066" s="19" t="n"/>
      <c r="E1066" s="19" t="n"/>
      <c r="F1066" s="19" t="n"/>
      <c r="G1066" s="19" t="n"/>
      <c r="H1066" s="19" t="n"/>
      <c r="I1066" s="19" t="n"/>
      <c r="J1066" s="19" t="n"/>
      <c r="K1066" s="19" t="n"/>
    </row>
    <row r="1067">
      <c r="A1067" s="19" t="n"/>
      <c r="B1067" s="19" t="n"/>
      <c r="C1067" s="19" t="n"/>
      <c r="D1067" s="19" t="n"/>
      <c r="E1067" s="19" t="n"/>
      <c r="F1067" s="19" t="n"/>
      <c r="G1067" s="19" t="n"/>
      <c r="H1067" s="19" t="n"/>
      <c r="I1067" s="19" t="n"/>
      <c r="J1067" s="19" t="n"/>
      <c r="K1067" s="19" t="n"/>
    </row>
    <row r="1068">
      <c r="A1068" s="19" t="n"/>
      <c r="B1068" s="19" t="n"/>
      <c r="C1068" s="19" t="n"/>
      <c r="D1068" s="19" t="n"/>
      <c r="E1068" s="19" t="n"/>
      <c r="F1068" s="19" t="n"/>
      <c r="G1068" s="19" t="n"/>
      <c r="H1068" s="19" t="n"/>
      <c r="I1068" s="19" t="n"/>
      <c r="J1068" s="19" t="n"/>
      <c r="K1068" s="19" t="n"/>
    </row>
    <row r="1069">
      <c r="A1069" s="19" t="n"/>
      <c r="B1069" s="19" t="n"/>
      <c r="C1069" s="19" t="n"/>
      <c r="D1069" s="19" t="n"/>
      <c r="E1069" s="19" t="n"/>
      <c r="F1069" s="19" t="n"/>
      <c r="G1069" s="19" t="n"/>
      <c r="H1069" s="19" t="n"/>
      <c r="I1069" s="19" t="n"/>
      <c r="J1069" s="19" t="n"/>
      <c r="K1069" s="19" t="n"/>
    </row>
    <row r="1070">
      <c r="A1070" s="19" t="n"/>
      <c r="B1070" s="19" t="n"/>
      <c r="C1070" s="19" t="n"/>
      <c r="D1070" s="19" t="n"/>
      <c r="E1070" s="19" t="n"/>
      <c r="F1070" s="19" t="n"/>
      <c r="G1070" s="19" t="n"/>
      <c r="H1070" s="19" t="n"/>
      <c r="I1070" s="19" t="n"/>
      <c r="J1070" s="19" t="n"/>
      <c r="K1070" s="19" t="n"/>
    </row>
    <row r="1071">
      <c r="A1071" s="19" t="n"/>
      <c r="B1071" s="19" t="n"/>
      <c r="C1071" s="19" t="n"/>
      <c r="D1071" s="19" t="n"/>
      <c r="E1071" s="19" t="n"/>
      <c r="F1071" s="19" t="n"/>
      <c r="G1071" s="19" t="n"/>
      <c r="H1071" s="19" t="n"/>
      <c r="I1071" s="19" t="n"/>
      <c r="J1071" s="19" t="n"/>
      <c r="K1071" s="19" t="n"/>
    </row>
    <row r="1072">
      <c r="A1072" s="19" t="n"/>
      <c r="B1072" s="19" t="n"/>
      <c r="C1072" s="19" t="n"/>
      <c r="D1072" s="19" t="n"/>
      <c r="E1072" s="19" t="n"/>
      <c r="F1072" s="19" t="n"/>
      <c r="G1072" s="19" t="n"/>
      <c r="H1072" s="19" t="n"/>
      <c r="I1072" s="19" t="n"/>
      <c r="J1072" s="19" t="n"/>
      <c r="K1072" s="19" t="n"/>
    </row>
    <row r="1073">
      <c r="A1073" s="19" t="n"/>
      <c r="B1073" s="19" t="n"/>
      <c r="C1073" s="19" t="n"/>
      <c r="D1073" s="19" t="n"/>
      <c r="E1073" s="19" t="n"/>
      <c r="F1073" s="19" t="n"/>
      <c r="G1073" s="19" t="n"/>
      <c r="H1073" s="19" t="n"/>
      <c r="I1073" s="19" t="n"/>
      <c r="J1073" s="19" t="n"/>
      <c r="K1073" s="19" t="n"/>
    </row>
    <row r="1074">
      <c r="A1074" s="19" t="n"/>
      <c r="B1074" s="19" t="n"/>
      <c r="C1074" s="19" t="n"/>
      <c r="D1074" s="19" t="n"/>
      <c r="E1074" s="19" t="n"/>
      <c r="F1074" s="19" t="n"/>
      <c r="G1074" s="19" t="n"/>
      <c r="H1074" s="19" t="n"/>
      <c r="I1074" s="19" t="n"/>
      <c r="J1074" s="19" t="n"/>
      <c r="K1074" s="19" t="n"/>
    </row>
    <row r="1075">
      <c r="A1075" s="19" t="n"/>
      <c r="B1075" s="19" t="n"/>
      <c r="C1075" s="19" t="n"/>
      <c r="D1075" s="19" t="n"/>
      <c r="E1075" s="19" t="n"/>
      <c r="F1075" s="19" t="n"/>
      <c r="G1075" s="19" t="n"/>
      <c r="H1075" s="19" t="n"/>
      <c r="I1075" s="19" t="n"/>
      <c r="J1075" s="19" t="n"/>
      <c r="K1075" s="19" t="n"/>
    </row>
    <row r="1076">
      <c r="A1076" s="19" t="n"/>
      <c r="B1076" s="19" t="n"/>
      <c r="C1076" s="19" t="n"/>
      <c r="D1076" s="19" t="n"/>
      <c r="E1076" s="19" t="n"/>
      <c r="F1076" s="19" t="n"/>
      <c r="G1076" s="19" t="n"/>
      <c r="H1076" s="19" t="n"/>
      <c r="I1076" s="19" t="n"/>
      <c r="J1076" s="19" t="n"/>
      <c r="K1076" s="19" t="n"/>
    </row>
    <row r="1077">
      <c r="A1077" s="19" t="n"/>
      <c r="B1077" s="19" t="n"/>
      <c r="C1077" s="19" t="n"/>
      <c r="D1077" s="19" t="n"/>
      <c r="E1077" s="19" t="n"/>
      <c r="F1077" s="19" t="n"/>
      <c r="G1077" s="19" t="n"/>
      <c r="H1077" s="19" t="n"/>
      <c r="I1077" s="19" t="n"/>
      <c r="J1077" s="19" t="n"/>
      <c r="K1077" s="19" t="n"/>
    </row>
    <row r="1078">
      <c r="A1078" s="19" t="n"/>
      <c r="B1078" s="19" t="n"/>
      <c r="C1078" s="19" t="n"/>
      <c r="D1078" s="19" t="n"/>
      <c r="E1078" s="19" t="n"/>
      <c r="F1078" s="19" t="n"/>
      <c r="G1078" s="19" t="n"/>
      <c r="H1078" s="19" t="n"/>
      <c r="I1078" s="19" t="n"/>
      <c r="J1078" s="19" t="n"/>
      <c r="K1078" s="19" t="n"/>
    </row>
    <row r="1079">
      <c r="A1079" s="19" t="n"/>
      <c r="B1079" s="19" t="n"/>
      <c r="C1079" s="19" t="n"/>
      <c r="D1079" s="19" t="n"/>
      <c r="E1079" s="19" t="n"/>
      <c r="F1079" s="19" t="n"/>
      <c r="G1079" s="19" t="n"/>
      <c r="H1079" s="19" t="n"/>
      <c r="I1079" s="19" t="n"/>
      <c r="J1079" s="19" t="n"/>
      <c r="K1079" s="19" t="n"/>
    </row>
    <row r="1080">
      <c r="A1080" s="19" t="n"/>
      <c r="B1080" s="19" t="n"/>
      <c r="C1080" s="19" t="n"/>
      <c r="D1080" s="19" t="n"/>
      <c r="E1080" s="19" t="n"/>
      <c r="F1080" s="19" t="n"/>
      <c r="G1080" s="19" t="n"/>
      <c r="H1080" s="19" t="n"/>
      <c r="I1080" s="19" t="n"/>
      <c r="J1080" s="19" t="n"/>
      <c r="K1080" s="19" t="n"/>
    </row>
    <row r="1081">
      <c r="A1081" s="19" t="n"/>
      <c r="B1081" s="19" t="n"/>
      <c r="C1081" s="19" t="n"/>
      <c r="D1081" s="19" t="n"/>
      <c r="E1081" s="19" t="n"/>
      <c r="F1081" s="19" t="n"/>
      <c r="G1081" s="19" t="n"/>
      <c r="H1081" s="19" t="n"/>
      <c r="I1081" s="19" t="n"/>
      <c r="J1081" s="19" t="n"/>
      <c r="K1081" s="19" t="n"/>
    </row>
    <row r="1082">
      <c r="A1082" s="19" t="n"/>
      <c r="B1082" s="19" t="n"/>
      <c r="C1082" s="19" t="n"/>
      <c r="D1082" s="19" t="n"/>
      <c r="E1082" s="19" t="n"/>
      <c r="F1082" s="19" t="n"/>
      <c r="G1082" s="19" t="n"/>
      <c r="H1082" s="19" t="n"/>
      <c r="I1082" s="19" t="n"/>
      <c r="J1082" s="19" t="n"/>
      <c r="K1082" s="19" t="n"/>
    </row>
    <row r="1083">
      <c r="A1083" s="19" t="n"/>
      <c r="B1083" s="19" t="n"/>
      <c r="C1083" s="19" t="n"/>
      <c r="D1083" s="19" t="n"/>
      <c r="E1083" s="19" t="n"/>
      <c r="F1083" s="19" t="n"/>
      <c r="G1083" s="19" t="n"/>
      <c r="H1083" s="19" t="n"/>
      <c r="I1083" s="19" t="n"/>
      <c r="J1083" s="19" t="n"/>
      <c r="K1083" s="19" t="n"/>
    </row>
    <row r="1084">
      <c r="A1084" s="19" t="n"/>
      <c r="B1084" s="19" t="n"/>
      <c r="C1084" s="19" t="n"/>
      <c r="D1084" s="19" t="n"/>
      <c r="E1084" s="19" t="n"/>
      <c r="F1084" s="19" t="n"/>
      <c r="G1084" s="19" t="n"/>
      <c r="H1084" s="19" t="n"/>
      <c r="I1084" s="19" t="n"/>
      <c r="J1084" s="19" t="n"/>
      <c r="K1084" s="19" t="n"/>
    </row>
    <row r="1085">
      <c r="A1085" s="19" t="n"/>
      <c r="B1085" s="19" t="n"/>
      <c r="C1085" s="19" t="n"/>
      <c r="D1085" s="19" t="n"/>
      <c r="E1085" s="19" t="n"/>
      <c r="F1085" s="19" t="n"/>
      <c r="G1085" s="19" t="n"/>
      <c r="H1085" s="19" t="n"/>
      <c r="I1085" s="19" t="n"/>
      <c r="J1085" s="19" t="n"/>
      <c r="K1085" s="19" t="n"/>
    </row>
    <row r="1086">
      <c r="A1086" s="19" t="n"/>
      <c r="B1086" s="19" t="n"/>
      <c r="C1086" s="19" t="n"/>
      <c r="D1086" s="19" t="n"/>
      <c r="E1086" s="19" t="n"/>
      <c r="F1086" s="19" t="n"/>
      <c r="G1086" s="19" t="n"/>
      <c r="H1086" s="19" t="n"/>
      <c r="I1086" s="19" t="n"/>
      <c r="J1086" s="19" t="n"/>
      <c r="K1086" s="19" t="n"/>
    </row>
    <row r="1087">
      <c r="A1087" s="19" t="n"/>
      <c r="B1087" s="19" t="n"/>
      <c r="C1087" s="19" t="n"/>
      <c r="D1087" s="19" t="n"/>
      <c r="E1087" s="19" t="n"/>
      <c r="F1087" s="19" t="n"/>
      <c r="G1087" s="19" t="n"/>
      <c r="H1087" s="19" t="n"/>
      <c r="I1087" s="19" t="n"/>
      <c r="J1087" s="19" t="n"/>
      <c r="K1087" s="19" t="n"/>
    </row>
    <row r="1088">
      <c r="A1088" s="19" t="n"/>
      <c r="B1088" s="19" t="n"/>
      <c r="C1088" s="19" t="n"/>
      <c r="D1088" s="19" t="n"/>
      <c r="E1088" s="19" t="n"/>
      <c r="F1088" s="19" t="n"/>
      <c r="G1088" s="19" t="n"/>
      <c r="H1088" s="19" t="n"/>
      <c r="I1088" s="19" t="n"/>
      <c r="J1088" s="19" t="n"/>
      <c r="K1088" s="19" t="n"/>
    </row>
    <row r="1089">
      <c r="A1089" s="19" t="n"/>
      <c r="B1089" s="19" t="n"/>
      <c r="C1089" s="19" t="n"/>
      <c r="D1089" s="19" t="n"/>
      <c r="E1089" s="19" t="n"/>
      <c r="F1089" s="19" t="n"/>
      <c r="G1089" s="19" t="n"/>
      <c r="H1089" s="19" t="n"/>
      <c r="I1089" s="19" t="n"/>
      <c r="J1089" s="19" t="n"/>
      <c r="K1089" s="19" t="n"/>
    </row>
    <row r="1090">
      <c r="A1090" s="19" t="n"/>
      <c r="B1090" s="19" t="n"/>
      <c r="C1090" s="19" t="n"/>
      <c r="D1090" s="19" t="n"/>
      <c r="E1090" s="19" t="n"/>
      <c r="F1090" s="19" t="n"/>
      <c r="G1090" s="19" t="n"/>
      <c r="H1090" s="19" t="n"/>
      <c r="I1090" s="19" t="n"/>
      <c r="J1090" s="19" t="n"/>
      <c r="K1090" s="19" t="n"/>
    </row>
    <row r="1091">
      <c r="A1091" s="19" t="n"/>
      <c r="B1091" s="19" t="n"/>
      <c r="C1091" s="19" t="n"/>
      <c r="D1091" s="19" t="n"/>
      <c r="E1091" s="19" t="n"/>
      <c r="F1091" s="19" t="n"/>
      <c r="G1091" s="19" t="n"/>
      <c r="H1091" s="19" t="n"/>
      <c r="I1091" s="19" t="n"/>
      <c r="J1091" s="19" t="n"/>
      <c r="K1091" s="19" t="n"/>
    </row>
    <row r="1092">
      <c r="A1092" s="19" t="n"/>
      <c r="B1092" s="19" t="n"/>
      <c r="C1092" s="19" t="n"/>
      <c r="D1092" s="19" t="n"/>
      <c r="E1092" s="19" t="n"/>
      <c r="F1092" s="19" t="n"/>
      <c r="G1092" s="19" t="n"/>
      <c r="H1092" s="19" t="n"/>
      <c r="I1092" s="19" t="n"/>
      <c r="J1092" s="19" t="n"/>
      <c r="K1092" s="19" t="n"/>
    </row>
    <row r="1093">
      <c r="A1093" s="19" t="n"/>
      <c r="B1093" s="19" t="n"/>
      <c r="C1093" s="19" t="n"/>
      <c r="D1093" s="19" t="n"/>
      <c r="E1093" s="19" t="n"/>
      <c r="F1093" s="19" t="n"/>
      <c r="G1093" s="19" t="n"/>
      <c r="H1093" s="19" t="n"/>
      <c r="I1093" s="19" t="n"/>
      <c r="J1093" s="19" t="n"/>
      <c r="K1093" s="19" t="n"/>
    </row>
    <row r="1094">
      <c r="A1094" s="19" t="n"/>
      <c r="B1094" s="19" t="n"/>
      <c r="C1094" s="19" t="n"/>
      <c r="D1094" s="19" t="n"/>
      <c r="E1094" s="19" t="n"/>
      <c r="F1094" s="19" t="n"/>
      <c r="G1094" s="19" t="n"/>
      <c r="H1094" s="19" t="n"/>
      <c r="I1094" s="19" t="n"/>
      <c r="J1094" s="19" t="n"/>
      <c r="K1094" s="19" t="n"/>
    </row>
    <row r="1095">
      <c r="A1095" s="19" t="n"/>
      <c r="B1095" s="19" t="n"/>
      <c r="C1095" s="19" t="n"/>
      <c r="D1095" s="19" t="n"/>
      <c r="E1095" s="19" t="n"/>
      <c r="F1095" s="19" t="n"/>
      <c r="G1095" s="19" t="n"/>
      <c r="H1095" s="19" t="n"/>
      <c r="I1095" s="19" t="n"/>
      <c r="J1095" s="19" t="n"/>
      <c r="K1095" s="19" t="n"/>
    </row>
    <row r="1096">
      <c r="A1096" s="19" t="n"/>
      <c r="B1096" s="19" t="n"/>
      <c r="C1096" s="19" t="n"/>
      <c r="D1096" s="19" t="n"/>
      <c r="E1096" s="19" t="n"/>
      <c r="F1096" s="19" t="n"/>
      <c r="G1096" s="19" t="n"/>
      <c r="H1096" s="19" t="n"/>
      <c r="I1096" s="19" t="n"/>
      <c r="J1096" s="19" t="n"/>
      <c r="K1096" s="19" t="n"/>
    </row>
    <row r="1097">
      <c r="A1097" s="19" t="n"/>
      <c r="B1097" s="19" t="n"/>
      <c r="C1097" s="19" t="n"/>
      <c r="D1097" s="19" t="n"/>
      <c r="E1097" s="19" t="n"/>
      <c r="F1097" s="19" t="n"/>
      <c r="G1097" s="19" t="n"/>
      <c r="H1097" s="19" t="n"/>
      <c r="I1097" s="19" t="n"/>
      <c r="J1097" s="19" t="n"/>
      <c r="K1097" s="19" t="n"/>
    </row>
    <row r="1098">
      <c r="A1098" s="19" t="n"/>
      <c r="B1098" s="19" t="n"/>
      <c r="C1098" s="19" t="n"/>
      <c r="D1098" s="19" t="n"/>
      <c r="E1098" s="19" t="n"/>
      <c r="F1098" s="19" t="n"/>
      <c r="G1098" s="19" t="n"/>
      <c r="H1098" s="19" t="n"/>
      <c r="I1098" s="19" t="n"/>
      <c r="J1098" s="19" t="n"/>
      <c r="K1098" s="19" t="n"/>
    </row>
    <row r="1099">
      <c r="A1099" s="19" t="n"/>
      <c r="B1099" s="19" t="n"/>
      <c r="C1099" s="19" t="n"/>
      <c r="D1099" s="19" t="n"/>
      <c r="E1099" s="19" t="n"/>
      <c r="F1099" s="19" t="n"/>
      <c r="G1099" s="19" t="n"/>
      <c r="H1099" s="19" t="n"/>
      <c r="I1099" s="19" t="n"/>
      <c r="J1099" s="19" t="n"/>
      <c r="K1099" s="19" t="n"/>
    </row>
    <row r="1100">
      <c r="A1100" s="19" t="n"/>
      <c r="B1100" s="19" t="n"/>
      <c r="C1100" s="19" t="n"/>
      <c r="D1100" s="19" t="n"/>
      <c r="E1100" s="19" t="n"/>
      <c r="F1100" s="19" t="n"/>
      <c r="G1100" s="19" t="n"/>
      <c r="H1100" s="19" t="n"/>
      <c r="I1100" s="19" t="n"/>
      <c r="J1100" s="19" t="n"/>
      <c r="K1100" s="19" t="n"/>
    </row>
    <row r="1101">
      <c r="A1101" s="19" t="n"/>
      <c r="B1101" s="19" t="n"/>
      <c r="C1101" s="19" t="n"/>
      <c r="D1101" s="19" t="n"/>
      <c r="E1101" s="19" t="n"/>
      <c r="F1101" s="19" t="n"/>
      <c r="G1101" s="19" t="n"/>
      <c r="H1101" s="19" t="n"/>
      <c r="I1101" s="19" t="n"/>
      <c r="J1101" s="19" t="n"/>
      <c r="K1101" s="19" t="n"/>
    </row>
    <row r="1102">
      <c r="A1102" s="19" t="n"/>
      <c r="B1102" s="19" t="n"/>
      <c r="C1102" s="19" t="n"/>
      <c r="D1102" s="19" t="n"/>
      <c r="E1102" s="19" t="n"/>
      <c r="F1102" s="19" t="n"/>
      <c r="G1102" s="19" t="n"/>
      <c r="H1102" s="19" t="n"/>
      <c r="I1102" s="19" t="n"/>
      <c r="J1102" s="19" t="n"/>
      <c r="K1102" s="19" t="n"/>
    </row>
    <row r="1103">
      <c r="A1103" s="19" t="n"/>
      <c r="B1103" s="19" t="n"/>
      <c r="C1103" s="19" t="n"/>
      <c r="D1103" s="19" t="n"/>
      <c r="E1103" s="19" t="n"/>
      <c r="F1103" s="19" t="n"/>
      <c r="G1103" s="19" t="n"/>
      <c r="H1103" s="19" t="n"/>
      <c r="I1103" s="19" t="n"/>
      <c r="J1103" s="19" t="n"/>
      <c r="K1103" s="19" t="n"/>
    </row>
    <row r="1104">
      <c r="A1104" s="19" t="n"/>
      <c r="B1104" s="19" t="n"/>
      <c r="C1104" s="19" t="n"/>
      <c r="D1104" s="19" t="n"/>
      <c r="E1104" s="19" t="n"/>
      <c r="F1104" s="19" t="n"/>
      <c r="G1104" s="19" t="n"/>
      <c r="H1104" s="19" t="n"/>
      <c r="I1104" s="19" t="n"/>
      <c r="J1104" s="19" t="n"/>
      <c r="K1104" s="19" t="n"/>
    </row>
    <row r="1105">
      <c r="A1105" s="19" t="n"/>
      <c r="B1105" s="19" t="n"/>
      <c r="C1105" s="19" t="n"/>
      <c r="D1105" s="19" t="n"/>
      <c r="E1105" s="19" t="n"/>
      <c r="F1105" s="19" t="n"/>
      <c r="G1105" s="19" t="n"/>
      <c r="H1105" s="19" t="n"/>
      <c r="I1105" s="19" t="n"/>
      <c r="J1105" s="19" t="n"/>
      <c r="K1105" s="19" t="n"/>
    </row>
    <row r="1106">
      <c r="A1106" s="19" t="n"/>
      <c r="B1106" s="19" t="n"/>
      <c r="C1106" s="19" t="n"/>
      <c r="D1106" s="19" t="n"/>
      <c r="E1106" s="19" t="n"/>
      <c r="F1106" s="19" t="n"/>
      <c r="G1106" s="19" t="n"/>
      <c r="H1106" s="19" t="n"/>
      <c r="I1106" s="19" t="n"/>
      <c r="J1106" s="19" t="n"/>
      <c r="K1106" s="19" t="n"/>
    </row>
    <row r="1107">
      <c r="A1107" s="19" t="n"/>
      <c r="B1107" s="19" t="n"/>
      <c r="C1107" s="19" t="n"/>
      <c r="D1107" s="19" t="n"/>
      <c r="E1107" s="19" t="n"/>
      <c r="F1107" s="19" t="n"/>
      <c r="G1107" s="19" t="n"/>
      <c r="H1107" s="19" t="n"/>
      <c r="I1107" s="19" t="n"/>
      <c r="J1107" s="19" t="n"/>
      <c r="K1107" s="19" t="n"/>
    </row>
    <row r="1108">
      <c r="A1108" s="19" t="n"/>
      <c r="B1108" s="19" t="n"/>
      <c r="C1108" s="19" t="n"/>
      <c r="D1108" s="19" t="n"/>
      <c r="E1108" s="19" t="n"/>
      <c r="F1108" s="19" t="n"/>
      <c r="G1108" s="19" t="n"/>
      <c r="H1108" s="19" t="n"/>
      <c r="I1108" s="19" t="n"/>
      <c r="J1108" s="19" t="n"/>
      <c r="K1108" s="19" t="n"/>
    </row>
    <row r="1109">
      <c r="A1109" s="19" t="n"/>
      <c r="B1109" s="19" t="n"/>
      <c r="C1109" s="19" t="n"/>
      <c r="D1109" s="19" t="n"/>
      <c r="E1109" s="19" t="n"/>
      <c r="F1109" s="19" t="n"/>
      <c r="G1109" s="19" t="n"/>
      <c r="H1109" s="19" t="n"/>
      <c r="I1109" s="19" t="n"/>
      <c r="J1109" s="19" t="n"/>
      <c r="K1109" s="19" t="n"/>
    </row>
    <row r="1110">
      <c r="A1110" s="19" t="n"/>
      <c r="B1110" s="19" t="n"/>
      <c r="C1110" s="19" t="n"/>
      <c r="D1110" s="19" t="n"/>
      <c r="E1110" s="19" t="n"/>
      <c r="F1110" s="19" t="n"/>
      <c r="G1110" s="19" t="n"/>
      <c r="H1110" s="19" t="n"/>
      <c r="I1110" s="19" t="n"/>
      <c r="J1110" s="19" t="n"/>
      <c r="K1110" s="19" t="n"/>
    </row>
    <row r="1111">
      <c r="A1111" s="19" t="n"/>
      <c r="B1111" s="19" t="n"/>
      <c r="C1111" s="19" t="n"/>
      <c r="D1111" s="19" t="n"/>
      <c r="E1111" s="19" t="n"/>
      <c r="F1111" s="19" t="n"/>
      <c r="G1111" s="19" t="n"/>
      <c r="H1111" s="19" t="n"/>
      <c r="I1111" s="19" t="n"/>
      <c r="J1111" s="19" t="n"/>
      <c r="K1111" s="19" t="n"/>
    </row>
    <row r="1112">
      <c r="A1112" s="19" t="n"/>
      <c r="B1112" s="19" t="n"/>
      <c r="C1112" s="19" t="n"/>
      <c r="D1112" s="19" t="n"/>
      <c r="E1112" s="19" t="n"/>
      <c r="F1112" s="19" t="n"/>
      <c r="G1112" s="19" t="n"/>
      <c r="H1112" s="19" t="n"/>
      <c r="I1112" s="19" t="n"/>
      <c r="J1112" s="19" t="n"/>
      <c r="K1112" s="19" t="n"/>
    </row>
    <row r="1113">
      <c r="A1113" s="19" t="n"/>
      <c r="B1113" s="19" t="n"/>
      <c r="C1113" s="19" t="n"/>
      <c r="D1113" s="19" t="n"/>
      <c r="E1113" s="19" t="n"/>
      <c r="F1113" s="19" t="n"/>
      <c r="G1113" s="19" t="n"/>
      <c r="H1113" s="19" t="n"/>
      <c r="I1113" s="19" t="n"/>
      <c r="J1113" s="19" t="n"/>
      <c r="K1113" s="19" t="n"/>
    </row>
    <row r="1114">
      <c r="A1114" s="19" t="n"/>
      <c r="B1114" s="19" t="n"/>
      <c r="C1114" s="19" t="n"/>
      <c r="D1114" s="19" t="n"/>
      <c r="E1114" s="19" t="n"/>
      <c r="F1114" s="19" t="n"/>
      <c r="G1114" s="19" t="n"/>
      <c r="H1114" s="19" t="n"/>
      <c r="I1114" s="19" t="n"/>
      <c r="J1114" s="19" t="n"/>
      <c r="K1114" s="19" t="n"/>
    </row>
    <row r="1115">
      <c r="A1115" s="19" t="n"/>
      <c r="B1115" s="19" t="n"/>
      <c r="C1115" s="19" t="n"/>
      <c r="D1115" s="19" t="n"/>
      <c r="E1115" s="19" t="n"/>
      <c r="F1115" s="19" t="n"/>
      <c r="G1115" s="19" t="n"/>
      <c r="H1115" s="19" t="n"/>
      <c r="I1115" s="19" t="n"/>
      <c r="J1115" s="19" t="n"/>
      <c r="K1115" s="19" t="n"/>
    </row>
    <row r="1116">
      <c r="A1116" s="19" t="n"/>
      <c r="B1116" s="19" t="n"/>
      <c r="C1116" s="19" t="n"/>
      <c r="D1116" s="19" t="n"/>
      <c r="E1116" s="19" t="n"/>
      <c r="F1116" s="19" t="n"/>
      <c r="G1116" s="19" t="n"/>
      <c r="H1116" s="19" t="n"/>
      <c r="I1116" s="19" t="n"/>
      <c r="J1116" s="19" t="n"/>
      <c r="K1116" s="19" t="n"/>
    </row>
    <row r="1117">
      <c r="A1117" s="19" t="n"/>
      <c r="B1117" s="19" t="n"/>
      <c r="C1117" s="19" t="n"/>
      <c r="D1117" s="19" t="n"/>
      <c r="E1117" s="19" t="n"/>
      <c r="F1117" s="19" t="n"/>
      <c r="G1117" s="19" t="n"/>
      <c r="H1117" s="19" t="n"/>
      <c r="I1117" s="19" t="n"/>
      <c r="J1117" s="19" t="n"/>
      <c r="K1117" s="19" t="n"/>
    </row>
    <row r="1118">
      <c r="A1118" s="19" t="n"/>
      <c r="B1118" s="19" t="n"/>
      <c r="C1118" s="19" t="n"/>
      <c r="D1118" s="19" t="n"/>
      <c r="E1118" s="19" t="n"/>
      <c r="F1118" s="19" t="n"/>
      <c r="G1118" s="19" t="n"/>
      <c r="H1118" s="19" t="n"/>
      <c r="I1118" s="19" t="n"/>
      <c r="J1118" s="19" t="n"/>
      <c r="K1118" s="19" t="n"/>
    </row>
    <row r="1119">
      <c r="A1119" s="19" t="n"/>
      <c r="B1119" s="19" t="n"/>
      <c r="C1119" s="19" t="n"/>
      <c r="D1119" s="19" t="n"/>
      <c r="E1119" s="19" t="n"/>
      <c r="F1119" s="19" t="n"/>
      <c r="G1119" s="19" t="n"/>
      <c r="H1119" s="19" t="n"/>
      <c r="I1119" s="19" t="n"/>
      <c r="J1119" s="19" t="n"/>
      <c r="K1119" s="19" t="n"/>
    </row>
    <row r="1120">
      <c r="A1120" s="19" t="n"/>
      <c r="B1120" s="19" t="n"/>
      <c r="C1120" s="19" t="n"/>
      <c r="D1120" s="19" t="n"/>
      <c r="E1120" s="19" t="n"/>
      <c r="F1120" s="19" t="n"/>
      <c r="G1120" s="19" t="n"/>
      <c r="H1120" s="19" t="n"/>
      <c r="I1120" s="19" t="n"/>
      <c r="J1120" s="19" t="n"/>
      <c r="K1120" s="19" t="n"/>
    </row>
    <row r="1121">
      <c r="A1121" s="19" t="n"/>
      <c r="B1121" s="19" t="n"/>
      <c r="C1121" s="19" t="n"/>
      <c r="D1121" s="19" t="n"/>
      <c r="E1121" s="19" t="n"/>
      <c r="F1121" s="19" t="n"/>
      <c r="G1121" s="19" t="n"/>
      <c r="H1121" s="19" t="n"/>
      <c r="I1121" s="19" t="n"/>
      <c r="J1121" s="19" t="n"/>
      <c r="K1121" s="19" t="n"/>
    </row>
    <row r="1122">
      <c r="A1122" s="19" t="n"/>
      <c r="B1122" s="19" t="n"/>
      <c r="C1122" s="19" t="n"/>
      <c r="D1122" s="19" t="n"/>
      <c r="E1122" s="19" t="n"/>
      <c r="F1122" s="19" t="n"/>
      <c r="G1122" s="19" t="n"/>
      <c r="H1122" s="19" t="n"/>
      <c r="I1122" s="19" t="n"/>
      <c r="J1122" s="19" t="n"/>
      <c r="K1122" s="19" t="n"/>
    </row>
    <row r="1123">
      <c r="A1123" s="19" t="n"/>
      <c r="B1123" s="19" t="n"/>
      <c r="C1123" s="19" t="n"/>
      <c r="D1123" s="19" t="n"/>
      <c r="E1123" s="19" t="n"/>
      <c r="F1123" s="19" t="n"/>
      <c r="G1123" s="19" t="n"/>
      <c r="H1123" s="19" t="n"/>
      <c r="I1123" s="19" t="n"/>
      <c r="J1123" s="19" t="n"/>
      <c r="K1123" s="19" t="n"/>
    </row>
    <row r="1124">
      <c r="A1124" s="19" t="n"/>
      <c r="B1124" s="19" t="n"/>
      <c r="C1124" s="19" t="n"/>
      <c r="D1124" s="19" t="n"/>
      <c r="E1124" s="19" t="n"/>
      <c r="F1124" s="19" t="n"/>
      <c r="G1124" s="19" t="n"/>
      <c r="H1124" s="19" t="n"/>
      <c r="I1124" s="19" t="n"/>
      <c r="J1124" s="19" t="n"/>
      <c r="K1124" s="19" t="n"/>
    </row>
    <row r="1125">
      <c r="A1125" s="19" t="n"/>
      <c r="B1125" s="19" t="n"/>
      <c r="C1125" s="19" t="n"/>
      <c r="D1125" s="19" t="n"/>
      <c r="E1125" s="19" t="n"/>
      <c r="F1125" s="19" t="n"/>
      <c r="G1125" s="19" t="n"/>
      <c r="H1125" s="19" t="n"/>
      <c r="I1125" s="19" t="n"/>
      <c r="J1125" s="19" t="n"/>
      <c r="K1125" s="19" t="n"/>
    </row>
    <row r="1126">
      <c r="A1126" s="19" t="n"/>
      <c r="B1126" s="19" t="n"/>
      <c r="C1126" s="19" t="n"/>
      <c r="D1126" s="19" t="n"/>
      <c r="E1126" s="19" t="n"/>
      <c r="F1126" s="19" t="n"/>
      <c r="G1126" s="19" t="n"/>
      <c r="H1126" s="19" t="n"/>
      <c r="I1126" s="19" t="n"/>
      <c r="J1126" s="19" t="n"/>
      <c r="K1126" s="19" t="n"/>
    </row>
    <row r="1127">
      <c r="A1127" s="19" t="n"/>
      <c r="B1127" s="19" t="n"/>
      <c r="C1127" s="19" t="n"/>
      <c r="D1127" s="19" t="n"/>
      <c r="E1127" s="19" t="n"/>
      <c r="F1127" s="19" t="n"/>
      <c r="G1127" s="19" t="n"/>
      <c r="H1127" s="19" t="n"/>
      <c r="I1127" s="19" t="n"/>
      <c r="J1127" s="19" t="n"/>
      <c r="K1127" s="19" t="n"/>
    </row>
    <row r="1128">
      <c r="A1128" s="19" t="n"/>
      <c r="B1128" s="19" t="n"/>
      <c r="C1128" s="19" t="n"/>
      <c r="D1128" s="19" t="n"/>
      <c r="E1128" s="19" t="n"/>
      <c r="F1128" s="19" t="n"/>
      <c r="G1128" s="19" t="n"/>
      <c r="H1128" s="19" t="n"/>
      <c r="I1128" s="19" t="n"/>
      <c r="J1128" s="19" t="n"/>
      <c r="K1128" s="19" t="n"/>
    </row>
    <row r="1129">
      <c r="A1129" s="19" t="n"/>
      <c r="B1129" s="19" t="n"/>
      <c r="C1129" s="19" t="n"/>
      <c r="D1129" s="19" t="n"/>
      <c r="E1129" s="19" t="n"/>
      <c r="F1129" s="19" t="n"/>
      <c r="G1129" s="19" t="n"/>
      <c r="H1129" s="19" t="n"/>
      <c r="I1129" s="19" t="n"/>
      <c r="J1129" s="19" t="n"/>
      <c r="K1129" s="19" t="n"/>
    </row>
    <row r="1130">
      <c r="A1130" s="19" t="n"/>
      <c r="B1130" s="19" t="n"/>
      <c r="C1130" s="19" t="n"/>
      <c r="D1130" s="19" t="n"/>
      <c r="E1130" s="19" t="n"/>
      <c r="F1130" s="19" t="n"/>
      <c r="G1130" s="19" t="n"/>
      <c r="H1130" s="19" t="n"/>
      <c r="I1130" s="19" t="n"/>
      <c r="J1130" s="19" t="n"/>
      <c r="K1130" s="19" t="n"/>
    </row>
    <row r="1131">
      <c r="A1131" s="19" t="n"/>
      <c r="B1131" s="19" t="n"/>
      <c r="C1131" s="19" t="n"/>
      <c r="D1131" s="19" t="n"/>
      <c r="E1131" s="19" t="n"/>
      <c r="F1131" s="19" t="n"/>
      <c r="G1131" s="19" t="n"/>
      <c r="H1131" s="19" t="n"/>
      <c r="I1131" s="19" t="n"/>
      <c r="J1131" s="19" t="n"/>
      <c r="K1131" s="19" t="n"/>
    </row>
    <row r="1132">
      <c r="A1132" s="19" t="n"/>
      <c r="B1132" s="19" t="n"/>
      <c r="C1132" s="19" t="n"/>
      <c r="D1132" s="19" t="n"/>
      <c r="E1132" s="19" t="n"/>
      <c r="F1132" s="19" t="n"/>
      <c r="G1132" s="19" t="n"/>
      <c r="H1132" s="19" t="n"/>
      <c r="I1132" s="19" t="n"/>
      <c r="J1132" s="19" t="n"/>
      <c r="K1132" s="19" t="n"/>
    </row>
    <row r="1133">
      <c r="A1133" s="19" t="n"/>
      <c r="B1133" s="19" t="n"/>
      <c r="C1133" s="19" t="n"/>
      <c r="D1133" s="19" t="n"/>
      <c r="E1133" s="19" t="n"/>
      <c r="F1133" s="19" t="n"/>
      <c r="G1133" s="19" t="n"/>
      <c r="H1133" s="19" t="n"/>
      <c r="I1133" s="19" t="n"/>
      <c r="J1133" s="19" t="n"/>
      <c r="K1133" s="19" t="n"/>
    </row>
    <row r="1134">
      <c r="A1134" s="19" t="n"/>
      <c r="B1134" s="19" t="n"/>
      <c r="C1134" s="19" t="n"/>
      <c r="D1134" s="19" t="n"/>
      <c r="E1134" s="19" t="n"/>
      <c r="F1134" s="19" t="n"/>
      <c r="G1134" s="19" t="n"/>
      <c r="H1134" s="19" t="n"/>
      <c r="I1134" s="19" t="n"/>
      <c r="J1134" s="19" t="n"/>
      <c r="K1134" s="19" t="n"/>
    </row>
    <row r="1135">
      <c r="A1135" s="19" t="n"/>
      <c r="B1135" s="19" t="n"/>
      <c r="C1135" s="19" t="n"/>
      <c r="D1135" s="19" t="n"/>
      <c r="E1135" s="19" t="n"/>
      <c r="F1135" s="19" t="n"/>
      <c r="G1135" s="19" t="n"/>
      <c r="H1135" s="19" t="n"/>
      <c r="I1135" s="19" t="n"/>
      <c r="J1135" s="19" t="n"/>
      <c r="K1135" s="19" t="n"/>
    </row>
    <row r="1136">
      <c r="A1136" s="19" t="n"/>
      <c r="B1136" s="19" t="n"/>
      <c r="C1136" s="19" t="n"/>
      <c r="D1136" s="19" t="n"/>
      <c r="E1136" s="19" t="n"/>
      <c r="F1136" s="19" t="n"/>
      <c r="G1136" s="19" t="n"/>
      <c r="H1136" s="19" t="n"/>
      <c r="I1136" s="19" t="n"/>
      <c r="J1136" s="19" t="n"/>
      <c r="K1136" s="19" t="n"/>
    </row>
    <row r="1137">
      <c r="A1137" s="19" t="n"/>
      <c r="B1137" s="19" t="n"/>
      <c r="C1137" s="19" t="n"/>
      <c r="D1137" s="19" t="n"/>
      <c r="E1137" s="19" t="n"/>
      <c r="F1137" s="19" t="n"/>
      <c r="G1137" s="19" t="n"/>
      <c r="H1137" s="19" t="n"/>
      <c r="I1137" s="19" t="n"/>
      <c r="J1137" s="19" t="n"/>
      <c r="K1137" s="19" t="n"/>
    </row>
    <row r="1138">
      <c r="A1138" s="19" t="n"/>
      <c r="B1138" s="19" t="n"/>
      <c r="C1138" s="19" t="n"/>
      <c r="D1138" s="19" t="n"/>
      <c r="E1138" s="19" t="n"/>
      <c r="F1138" s="19" t="n"/>
      <c r="G1138" s="19" t="n"/>
      <c r="H1138" s="19" t="n"/>
      <c r="I1138" s="19" t="n"/>
      <c r="J1138" s="19" t="n"/>
      <c r="K1138" s="19" t="n"/>
    </row>
    <row r="1139">
      <c r="A1139" s="19" t="n"/>
      <c r="B1139" s="19" t="n"/>
      <c r="C1139" s="19" t="n"/>
      <c r="D1139" s="19" t="n"/>
      <c r="E1139" s="19" t="n"/>
      <c r="F1139" s="19" t="n"/>
      <c r="G1139" s="19" t="n"/>
      <c r="H1139" s="19" t="n"/>
      <c r="I1139" s="19" t="n"/>
      <c r="J1139" s="19" t="n"/>
      <c r="K1139" s="19" t="n"/>
    </row>
    <row r="1140">
      <c r="A1140" s="19" t="n"/>
      <c r="B1140" s="19" t="n"/>
      <c r="C1140" s="19" t="n"/>
      <c r="D1140" s="19" t="n"/>
      <c r="E1140" s="19" t="n"/>
      <c r="F1140" s="19" t="n"/>
      <c r="G1140" s="19" t="n"/>
      <c r="H1140" s="19" t="n"/>
      <c r="I1140" s="19" t="n"/>
      <c r="J1140" s="19" t="n"/>
      <c r="K1140" s="19" t="n"/>
    </row>
    <row r="1141">
      <c r="A1141" s="19" t="n"/>
      <c r="B1141" s="19" t="n"/>
      <c r="C1141" s="19" t="n"/>
      <c r="D1141" s="19" t="n"/>
      <c r="E1141" s="19" t="n"/>
      <c r="F1141" s="19" t="n"/>
      <c r="G1141" s="19" t="n"/>
      <c r="H1141" s="19" t="n"/>
      <c r="I1141" s="19" t="n"/>
      <c r="J1141" s="19" t="n"/>
      <c r="K1141" s="19" t="n"/>
    </row>
    <row r="1142">
      <c r="A1142" s="19" t="n"/>
      <c r="B1142" s="19" t="n"/>
      <c r="C1142" s="19" t="n"/>
      <c r="D1142" s="19" t="n"/>
      <c r="E1142" s="19" t="n"/>
      <c r="F1142" s="19" t="n"/>
      <c r="G1142" s="19" t="n"/>
      <c r="H1142" s="19" t="n"/>
      <c r="I1142" s="19" t="n"/>
      <c r="J1142" s="19" t="n"/>
      <c r="K1142" s="19" t="n"/>
    </row>
    <row r="1143">
      <c r="A1143" s="19" t="n"/>
      <c r="B1143" s="19" t="n"/>
      <c r="C1143" s="19" t="n"/>
      <c r="D1143" s="19" t="n"/>
      <c r="E1143" s="19" t="n"/>
      <c r="F1143" s="19" t="n"/>
      <c r="G1143" s="19" t="n"/>
      <c r="H1143" s="19" t="n"/>
      <c r="I1143" s="19" t="n"/>
      <c r="J1143" s="19" t="n"/>
      <c r="K1143" s="19" t="n"/>
    </row>
    <row r="1144">
      <c r="A1144" s="19" t="n"/>
      <c r="B1144" s="19" t="n"/>
      <c r="C1144" s="19" t="n"/>
      <c r="D1144" s="19" t="n"/>
      <c r="E1144" s="19" t="n"/>
      <c r="F1144" s="19" t="n"/>
      <c r="G1144" s="19" t="n"/>
      <c r="H1144" s="19" t="n"/>
      <c r="I1144" s="19" t="n"/>
      <c r="J1144" s="19" t="n"/>
      <c r="K1144" s="19" t="n"/>
    </row>
    <row r="1145">
      <c r="A1145" s="19" t="n"/>
      <c r="B1145" s="19" t="n"/>
      <c r="C1145" s="19" t="n"/>
      <c r="D1145" s="19" t="n"/>
      <c r="E1145" s="19" t="n"/>
      <c r="F1145" s="19" t="n"/>
      <c r="G1145" s="19" t="n"/>
      <c r="H1145" s="19" t="n"/>
      <c r="I1145" s="19" t="n"/>
      <c r="J1145" s="19" t="n"/>
      <c r="K1145" s="19" t="n"/>
    </row>
    <row r="1146">
      <c r="A1146" s="19" t="n"/>
      <c r="B1146" s="19" t="n"/>
      <c r="C1146" s="19" t="n"/>
      <c r="D1146" s="19" t="n"/>
      <c r="E1146" s="19" t="n"/>
      <c r="F1146" s="19" t="n"/>
      <c r="G1146" s="19" t="n"/>
      <c r="H1146" s="19" t="n"/>
      <c r="I1146" s="19" t="n"/>
      <c r="J1146" s="19" t="n"/>
      <c r="K1146" s="19" t="n"/>
    </row>
    <row r="1147">
      <c r="A1147" s="19" t="n"/>
      <c r="B1147" s="19" t="n"/>
      <c r="C1147" s="19" t="n"/>
      <c r="D1147" s="19" t="n"/>
      <c r="E1147" s="19" t="n"/>
      <c r="F1147" s="19" t="n"/>
      <c r="G1147" s="19" t="n"/>
      <c r="H1147" s="19" t="n"/>
      <c r="I1147" s="19" t="n"/>
      <c r="J1147" s="19" t="n"/>
      <c r="K1147" s="19" t="n"/>
    </row>
    <row r="1148">
      <c r="A1148" s="19" t="n"/>
      <c r="B1148" s="19" t="n"/>
      <c r="C1148" s="19" t="n"/>
      <c r="D1148" s="19" t="n"/>
      <c r="E1148" s="19" t="n"/>
      <c r="F1148" s="19" t="n"/>
      <c r="G1148" s="19" t="n"/>
      <c r="H1148" s="19" t="n"/>
      <c r="I1148" s="19" t="n"/>
      <c r="J1148" s="19" t="n"/>
      <c r="K1148" s="19" t="n"/>
    </row>
    <row r="1149">
      <c r="A1149" s="19" t="n"/>
      <c r="B1149" s="19" t="n"/>
      <c r="C1149" s="19" t="n"/>
      <c r="D1149" s="19" t="n"/>
      <c r="E1149" s="19" t="n"/>
      <c r="F1149" s="19" t="n"/>
      <c r="G1149" s="19" t="n"/>
      <c r="H1149" s="19" t="n"/>
      <c r="I1149" s="19" t="n"/>
      <c r="J1149" s="19" t="n"/>
      <c r="K1149" s="19" t="n"/>
    </row>
    <row r="1150">
      <c r="A1150" s="19" t="n"/>
      <c r="B1150" s="19" t="n"/>
      <c r="C1150" s="19" t="n"/>
      <c r="D1150" s="19" t="n"/>
      <c r="E1150" s="19" t="n"/>
      <c r="F1150" s="19" t="n"/>
      <c r="G1150" s="19" t="n"/>
      <c r="H1150" s="19" t="n"/>
      <c r="I1150" s="19" t="n"/>
      <c r="J1150" s="19" t="n"/>
      <c r="K1150" s="19" t="n"/>
    </row>
    <row r="1151">
      <c r="A1151" s="19" t="n"/>
      <c r="B1151" s="19" t="n"/>
      <c r="C1151" s="19" t="n"/>
      <c r="D1151" s="19" t="n"/>
      <c r="E1151" s="19" t="n"/>
      <c r="F1151" s="19" t="n"/>
      <c r="G1151" s="19" t="n"/>
      <c r="H1151" s="19" t="n"/>
      <c r="I1151" s="19" t="n"/>
      <c r="J1151" s="19" t="n"/>
      <c r="K1151" s="19" t="n"/>
    </row>
    <row r="1152">
      <c r="A1152" s="19" t="n"/>
      <c r="B1152" s="19" t="n"/>
      <c r="C1152" s="19" t="n"/>
      <c r="D1152" s="19" t="n"/>
      <c r="E1152" s="19" t="n"/>
      <c r="F1152" s="19" t="n"/>
      <c r="G1152" s="19" t="n"/>
      <c r="H1152" s="19" t="n"/>
      <c r="I1152" s="19" t="n"/>
      <c r="J1152" s="19" t="n"/>
      <c r="K1152" s="19" t="n"/>
    </row>
    <row r="1153">
      <c r="A1153" s="19" t="n"/>
      <c r="B1153" s="19" t="n"/>
      <c r="C1153" s="19" t="n"/>
      <c r="D1153" s="19" t="n"/>
      <c r="E1153" s="19" t="n"/>
      <c r="F1153" s="19" t="n"/>
      <c r="G1153" s="19" t="n"/>
      <c r="H1153" s="19" t="n"/>
      <c r="I1153" s="19" t="n"/>
      <c r="J1153" s="19" t="n"/>
      <c r="K1153" s="19" t="n"/>
    </row>
    <row r="1154">
      <c r="A1154" s="19" t="n"/>
      <c r="B1154" s="19" t="n"/>
      <c r="C1154" s="19" t="n"/>
      <c r="D1154" s="19" t="n"/>
      <c r="E1154" s="19" t="n"/>
      <c r="F1154" s="19" t="n"/>
      <c r="G1154" s="19" t="n"/>
      <c r="H1154" s="19" t="n"/>
      <c r="I1154" s="19" t="n"/>
      <c r="J1154" s="19" t="n"/>
      <c r="K1154" s="19" t="n"/>
    </row>
    <row r="1155">
      <c r="A1155" s="19" t="n"/>
      <c r="B1155" s="19" t="n"/>
      <c r="C1155" s="19" t="n"/>
      <c r="D1155" s="19" t="n"/>
      <c r="E1155" s="19" t="n"/>
      <c r="F1155" s="19" t="n"/>
      <c r="G1155" s="19" t="n"/>
      <c r="H1155" s="19" t="n"/>
      <c r="I1155" s="19" t="n"/>
      <c r="J1155" s="19" t="n"/>
      <c r="K1155" s="19" t="n"/>
    </row>
    <row r="1156">
      <c r="A1156" s="19" t="n"/>
      <c r="B1156" s="19" t="n"/>
      <c r="C1156" s="19" t="n"/>
      <c r="D1156" s="19" t="n"/>
      <c r="E1156" s="19" t="n"/>
      <c r="F1156" s="19" t="n"/>
      <c r="G1156" s="19" t="n"/>
      <c r="H1156" s="19" t="n"/>
      <c r="I1156" s="19" t="n"/>
      <c r="J1156" s="19" t="n"/>
      <c r="K1156" s="19" t="n"/>
    </row>
    <row r="1157">
      <c r="A1157" s="19" t="n"/>
      <c r="B1157" s="19" t="n"/>
      <c r="C1157" s="19" t="n"/>
      <c r="D1157" s="19" t="n"/>
      <c r="E1157" s="19" t="n"/>
      <c r="F1157" s="19" t="n"/>
      <c r="G1157" s="19" t="n"/>
      <c r="H1157" s="19" t="n"/>
      <c r="I1157" s="19" t="n"/>
      <c r="J1157" s="19" t="n"/>
      <c r="K1157" s="19" t="n"/>
    </row>
    <row r="1158">
      <c r="A1158" s="19" t="n"/>
      <c r="B1158" s="19" t="n"/>
      <c r="C1158" s="19" t="n"/>
      <c r="D1158" s="19" t="n"/>
      <c r="E1158" s="19" t="n"/>
      <c r="F1158" s="19" t="n"/>
      <c r="G1158" s="19" t="n"/>
      <c r="H1158" s="19" t="n"/>
      <c r="I1158" s="19" t="n"/>
      <c r="J1158" s="19" t="n"/>
      <c r="K1158" s="19" t="n"/>
    </row>
    <row r="1159">
      <c r="A1159" s="19" t="n"/>
      <c r="B1159" s="19" t="n"/>
      <c r="C1159" s="19" t="n"/>
      <c r="D1159" s="19" t="n"/>
      <c r="E1159" s="19" t="n"/>
      <c r="F1159" s="19" t="n"/>
      <c r="G1159" s="19" t="n"/>
      <c r="H1159" s="19" t="n"/>
      <c r="I1159" s="19" t="n"/>
      <c r="J1159" s="19" t="n"/>
      <c r="K1159" s="19" t="n"/>
    </row>
    <row r="1160">
      <c r="A1160" s="19" t="n"/>
      <c r="B1160" s="19" t="n"/>
      <c r="C1160" s="19" t="n"/>
      <c r="D1160" s="19" t="n"/>
      <c r="E1160" s="19" t="n"/>
      <c r="F1160" s="19" t="n"/>
      <c r="G1160" s="19" t="n"/>
      <c r="H1160" s="19" t="n"/>
      <c r="I1160" s="19" t="n"/>
      <c r="J1160" s="19" t="n"/>
      <c r="K1160" s="19" t="n"/>
    </row>
    <row r="1161">
      <c r="A1161" s="19" t="n"/>
      <c r="B1161" s="19" t="n"/>
      <c r="C1161" s="19" t="n"/>
      <c r="D1161" s="19" t="n"/>
      <c r="E1161" s="19" t="n"/>
      <c r="F1161" s="19" t="n"/>
      <c r="G1161" s="19" t="n"/>
      <c r="H1161" s="19" t="n"/>
      <c r="I1161" s="19" t="n"/>
      <c r="J1161" s="19" t="n"/>
      <c r="K1161" s="19" t="n"/>
    </row>
    <row r="1162">
      <c r="A1162" s="19" t="n"/>
      <c r="B1162" s="19" t="n"/>
      <c r="C1162" s="19" t="n"/>
      <c r="D1162" s="19" t="n"/>
      <c r="E1162" s="19" t="n"/>
      <c r="F1162" s="19" t="n"/>
      <c r="G1162" s="19" t="n"/>
      <c r="H1162" s="19" t="n"/>
      <c r="I1162" s="19" t="n"/>
      <c r="J1162" s="19" t="n"/>
      <c r="K1162" s="19" t="n"/>
    </row>
    <row r="1163">
      <c r="A1163" s="19" t="n"/>
      <c r="B1163" s="19" t="n"/>
      <c r="C1163" s="19" t="n"/>
      <c r="D1163" s="19" t="n"/>
      <c r="E1163" s="19" t="n"/>
      <c r="F1163" s="19" t="n"/>
      <c r="G1163" s="19" t="n"/>
      <c r="H1163" s="19" t="n"/>
      <c r="I1163" s="19" t="n"/>
      <c r="J1163" s="19" t="n"/>
      <c r="K1163" s="19" t="n"/>
    </row>
    <row r="1164">
      <c r="A1164" s="19" t="n"/>
      <c r="B1164" s="19" t="n"/>
      <c r="C1164" s="19" t="n"/>
      <c r="D1164" s="19" t="n"/>
      <c r="E1164" s="19" t="n"/>
      <c r="F1164" s="19" t="n"/>
      <c r="G1164" s="19" t="n"/>
      <c r="H1164" s="19" t="n"/>
      <c r="I1164" s="19" t="n"/>
      <c r="J1164" s="19" t="n"/>
      <c r="K1164" s="19" t="n"/>
    </row>
    <row r="1165">
      <c r="A1165" s="19" t="n"/>
      <c r="B1165" s="19" t="n"/>
      <c r="C1165" s="19" t="n"/>
      <c r="D1165" s="19" t="n"/>
      <c r="E1165" s="19" t="n"/>
      <c r="F1165" s="19" t="n"/>
      <c r="G1165" s="19" t="n"/>
      <c r="H1165" s="19" t="n"/>
      <c r="I1165" s="19" t="n"/>
      <c r="J1165" s="19" t="n"/>
      <c r="K1165" s="19" t="n"/>
    </row>
    <row r="1166">
      <c r="A1166" s="19" t="n"/>
      <c r="B1166" s="19" t="n"/>
      <c r="C1166" s="19" t="n"/>
      <c r="D1166" s="19" t="n"/>
      <c r="E1166" s="19" t="n"/>
      <c r="F1166" s="19" t="n"/>
      <c r="G1166" s="19" t="n"/>
      <c r="H1166" s="19" t="n"/>
      <c r="I1166" s="19" t="n"/>
      <c r="J1166" s="19" t="n"/>
      <c r="K1166" s="19" t="n"/>
    </row>
    <row r="1167">
      <c r="A1167" s="19" t="n"/>
      <c r="B1167" s="19" t="n"/>
      <c r="C1167" s="19" t="n"/>
      <c r="D1167" s="19" t="n"/>
      <c r="E1167" s="19" t="n"/>
      <c r="F1167" s="19" t="n"/>
      <c r="G1167" s="19" t="n"/>
      <c r="H1167" s="19" t="n"/>
      <c r="I1167" s="19" t="n"/>
      <c r="J1167" s="19" t="n"/>
      <c r="K1167" s="19" t="n"/>
    </row>
    <row r="1168">
      <c r="A1168" s="19" t="n"/>
      <c r="B1168" s="19" t="n"/>
      <c r="C1168" s="19" t="n"/>
      <c r="D1168" s="19" t="n"/>
      <c r="E1168" s="19" t="n"/>
      <c r="F1168" s="19" t="n"/>
      <c r="G1168" s="19" t="n"/>
      <c r="H1168" s="19" t="n"/>
      <c r="I1168" s="19" t="n"/>
      <c r="J1168" s="19" t="n"/>
      <c r="K1168" s="19" t="n"/>
    </row>
    <row r="1169">
      <c r="A1169" s="19" t="n"/>
      <c r="B1169" s="19" t="n"/>
      <c r="C1169" s="19" t="n"/>
      <c r="D1169" s="19" t="n"/>
      <c r="E1169" s="19" t="n"/>
      <c r="F1169" s="19" t="n"/>
      <c r="G1169" s="19" t="n"/>
      <c r="H1169" s="19" t="n"/>
      <c r="I1169" s="19" t="n"/>
      <c r="J1169" s="19" t="n"/>
      <c r="K1169" s="19" t="n"/>
    </row>
    <row r="1170">
      <c r="A1170" s="19" t="n"/>
      <c r="B1170" s="19" t="n"/>
      <c r="C1170" s="19" t="n"/>
      <c r="D1170" s="19" t="n"/>
      <c r="E1170" s="19" t="n"/>
      <c r="F1170" s="19" t="n"/>
      <c r="G1170" s="19" t="n"/>
      <c r="H1170" s="19" t="n"/>
      <c r="I1170" s="19" t="n"/>
      <c r="J1170" s="19" t="n"/>
      <c r="K1170" s="19" t="n"/>
    </row>
    <row r="1171">
      <c r="A1171" s="19" t="n"/>
      <c r="B1171" s="19" t="n"/>
      <c r="C1171" s="19" t="n"/>
      <c r="D1171" s="19" t="n"/>
      <c r="E1171" s="19" t="n"/>
      <c r="F1171" s="19" t="n"/>
      <c r="G1171" s="19" t="n"/>
      <c r="H1171" s="19" t="n"/>
      <c r="I1171" s="19" t="n"/>
      <c r="J1171" s="19" t="n"/>
      <c r="K1171" s="19" t="n"/>
    </row>
    <row r="1172">
      <c r="A1172" s="19" t="n"/>
      <c r="B1172" s="19" t="n"/>
      <c r="C1172" s="19" t="n"/>
      <c r="D1172" s="19" t="n"/>
      <c r="E1172" s="19" t="n"/>
      <c r="F1172" s="19" t="n"/>
      <c r="G1172" s="19" t="n"/>
      <c r="H1172" s="19" t="n"/>
      <c r="I1172" s="19" t="n"/>
      <c r="J1172" s="19" t="n"/>
      <c r="K1172" s="19" t="n"/>
    </row>
    <row r="1173">
      <c r="A1173" s="19" t="n"/>
      <c r="B1173" s="19" t="n"/>
      <c r="C1173" s="19" t="n"/>
      <c r="D1173" s="19" t="n"/>
      <c r="E1173" s="19" t="n"/>
      <c r="F1173" s="19" t="n"/>
      <c r="G1173" s="19" t="n"/>
      <c r="H1173" s="19" t="n"/>
      <c r="I1173" s="19" t="n"/>
      <c r="J1173" s="19" t="n"/>
      <c r="K1173" s="19" t="n"/>
    </row>
    <row r="1174">
      <c r="A1174" s="19" t="n"/>
      <c r="B1174" s="19" t="n"/>
      <c r="C1174" s="19" t="n"/>
      <c r="D1174" s="19" t="n"/>
      <c r="E1174" s="19" t="n"/>
      <c r="F1174" s="19" t="n"/>
      <c r="G1174" s="19" t="n"/>
      <c r="H1174" s="19" t="n"/>
      <c r="I1174" s="19" t="n"/>
      <c r="J1174" s="19" t="n"/>
      <c r="K1174" s="19" t="n"/>
    </row>
    <row r="1175">
      <c r="A1175" s="19" t="n"/>
      <c r="B1175" s="19" t="n"/>
      <c r="C1175" s="19" t="n"/>
      <c r="D1175" s="19" t="n"/>
      <c r="E1175" s="19" t="n"/>
      <c r="F1175" s="19" t="n"/>
      <c r="G1175" s="19" t="n"/>
      <c r="H1175" s="19" t="n"/>
      <c r="I1175" s="19" t="n"/>
      <c r="J1175" s="19" t="n"/>
      <c r="K1175" s="19" t="n"/>
    </row>
    <row r="1176">
      <c r="A1176" s="19" t="n"/>
      <c r="B1176" s="19" t="n"/>
      <c r="C1176" s="19" t="n"/>
      <c r="D1176" s="19" t="n"/>
      <c r="E1176" s="19" t="n"/>
      <c r="F1176" s="19" t="n"/>
      <c r="G1176" s="19" t="n"/>
      <c r="H1176" s="19" t="n"/>
      <c r="I1176" s="19" t="n"/>
      <c r="J1176" s="19" t="n"/>
      <c r="K1176" s="19" t="n"/>
    </row>
    <row r="1177">
      <c r="A1177" s="19" t="n"/>
      <c r="B1177" s="19" t="n"/>
      <c r="C1177" s="19" t="n"/>
      <c r="D1177" s="19" t="n"/>
      <c r="E1177" s="19" t="n"/>
      <c r="F1177" s="19" t="n"/>
      <c r="G1177" s="19" t="n"/>
      <c r="H1177" s="19" t="n"/>
      <c r="I1177" s="19" t="n"/>
      <c r="J1177" s="19" t="n"/>
      <c r="K1177" s="19" t="n"/>
    </row>
    <row r="1178">
      <c r="A1178" s="19" t="n"/>
      <c r="B1178" s="19" t="n"/>
      <c r="C1178" s="19" t="n"/>
      <c r="D1178" s="19" t="n"/>
      <c r="E1178" s="19" t="n"/>
      <c r="F1178" s="19" t="n"/>
      <c r="G1178" s="19" t="n"/>
      <c r="H1178" s="19" t="n"/>
      <c r="I1178" s="19" t="n"/>
      <c r="J1178" s="19" t="n"/>
      <c r="K1178" s="19" t="n"/>
    </row>
    <row r="1179">
      <c r="A1179" s="19" t="n"/>
      <c r="B1179" s="19" t="n"/>
      <c r="C1179" s="19" t="n"/>
      <c r="D1179" s="19" t="n"/>
      <c r="E1179" s="19" t="n"/>
      <c r="F1179" s="19" t="n"/>
      <c r="G1179" s="19" t="n"/>
      <c r="H1179" s="19" t="n"/>
      <c r="I1179" s="19" t="n"/>
      <c r="J1179" s="19" t="n"/>
      <c r="K1179" s="19" t="n"/>
    </row>
    <row r="1180">
      <c r="A1180" s="19" t="n"/>
      <c r="B1180" s="19" t="n"/>
      <c r="C1180" s="19" t="n"/>
      <c r="D1180" s="19" t="n"/>
      <c r="E1180" s="19" t="n"/>
      <c r="F1180" s="19" t="n"/>
      <c r="G1180" s="19" t="n"/>
      <c r="H1180" s="19" t="n"/>
      <c r="I1180" s="19" t="n"/>
      <c r="J1180" s="19" t="n"/>
      <c r="K1180" s="19" t="n"/>
    </row>
    <row r="1181">
      <c r="A1181" s="19" t="n"/>
      <c r="B1181" s="19" t="n"/>
      <c r="C1181" s="19" t="n"/>
      <c r="D1181" s="19" t="n"/>
      <c r="E1181" s="19" t="n"/>
      <c r="F1181" s="19" t="n"/>
      <c r="G1181" s="19" t="n"/>
      <c r="H1181" s="19" t="n"/>
      <c r="I1181" s="19" t="n"/>
      <c r="J1181" s="19" t="n"/>
      <c r="K1181" s="19" t="n"/>
    </row>
    <row r="1182">
      <c r="A1182" s="19" t="n"/>
      <c r="B1182" s="19" t="n"/>
      <c r="C1182" s="19" t="n"/>
      <c r="D1182" s="19" t="n"/>
      <c r="E1182" s="19" t="n"/>
      <c r="F1182" s="19" t="n"/>
      <c r="G1182" s="19" t="n"/>
      <c r="H1182" s="19" t="n"/>
      <c r="I1182" s="19" t="n"/>
      <c r="J1182" s="19" t="n"/>
      <c r="K1182" s="19" t="n"/>
    </row>
    <row r="1183">
      <c r="A1183" s="19" t="n"/>
      <c r="B1183" s="19" t="n"/>
      <c r="C1183" s="19" t="n"/>
      <c r="D1183" s="19" t="n"/>
      <c r="E1183" s="19" t="n"/>
      <c r="F1183" s="19" t="n"/>
      <c r="G1183" s="19" t="n"/>
      <c r="H1183" s="19" t="n"/>
      <c r="I1183" s="19" t="n"/>
      <c r="J1183" s="19" t="n"/>
      <c r="K1183" s="19" t="n"/>
    </row>
    <row r="1184">
      <c r="A1184" s="19" t="n"/>
      <c r="B1184" s="19" t="n"/>
      <c r="C1184" s="19" t="n"/>
      <c r="D1184" s="19" t="n"/>
      <c r="E1184" s="19" t="n"/>
      <c r="F1184" s="19" t="n"/>
      <c r="G1184" s="19" t="n"/>
      <c r="H1184" s="19" t="n"/>
      <c r="I1184" s="19" t="n"/>
      <c r="J1184" s="19" t="n"/>
      <c r="K1184" s="19" t="n"/>
    </row>
    <row r="1185">
      <c r="A1185" s="19" t="n"/>
      <c r="B1185" s="19" t="n"/>
      <c r="C1185" s="19" t="n"/>
      <c r="D1185" s="19" t="n"/>
      <c r="E1185" s="19" t="n"/>
      <c r="F1185" s="19" t="n"/>
      <c r="G1185" s="19" t="n"/>
      <c r="H1185" s="19" t="n"/>
      <c r="I1185" s="19" t="n"/>
      <c r="J1185" s="19" t="n"/>
      <c r="K1185" s="19" t="n"/>
    </row>
    <row r="1186">
      <c r="A1186" s="19" t="n"/>
      <c r="B1186" s="19" t="n"/>
      <c r="C1186" s="19" t="n"/>
      <c r="D1186" s="19" t="n"/>
      <c r="E1186" s="19" t="n"/>
      <c r="F1186" s="19" t="n"/>
      <c r="G1186" s="19" t="n"/>
      <c r="H1186" s="19" t="n"/>
      <c r="I1186" s="19" t="n"/>
      <c r="J1186" s="19" t="n"/>
      <c r="K1186" s="19" t="n"/>
    </row>
    <row r="1187">
      <c r="A1187" s="19" t="n"/>
      <c r="B1187" s="19" t="n"/>
      <c r="C1187" s="19" t="n"/>
      <c r="D1187" s="19" t="n"/>
      <c r="E1187" s="19" t="n"/>
      <c r="F1187" s="19" t="n"/>
      <c r="G1187" s="19" t="n"/>
      <c r="H1187" s="19" t="n"/>
      <c r="I1187" s="19" t="n"/>
      <c r="J1187" s="19" t="n"/>
      <c r="K1187" s="19" t="n"/>
    </row>
    <row r="1188">
      <c r="A1188" s="19" t="n"/>
      <c r="B1188" s="19" t="n"/>
      <c r="C1188" s="19" t="n"/>
      <c r="D1188" s="19" t="n"/>
      <c r="E1188" s="19" t="n"/>
      <c r="F1188" s="19" t="n"/>
      <c r="G1188" s="19" t="n"/>
      <c r="H1188" s="19" t="n"/>
      <c r="I1188" s="19" t="n"/>
      <c r="J1188" s="19" t="n"/>
      <c r="K1188" s="19" t="n"/>
    </row>
    <row r="1189">
      <c r="A1189" s="19" t="n"/>
      <c r="B1189" s="19" t="n"/>
      <c r="C1189" s="19" t="n"/>
      <c r="D1189" s="19" t="n"/>
      <c r="E1189" s="19" t="n"/>
      <c r="F1189" s="19" t="n"/>
      <c r="G1189" s="19" t="n"/>
      <c r="H1189" s="19" t="n"/>
      <c r="I1189" s="19" t="n"/>
      <c r="J1189" s="19" t="n"/>
      <c r="K1189" s="19" t="n"/>
    </row>
    <row r="1190">
      <c r="A1190" s="19" t="n"/>
      <c r="B1190" s="19" t="n"/>
      <c r="C1190" s="19" t="n"/>
      <c r="D1190" s="19" t="n"/>
      <c r="E1190" s="19" t="n"/>
      <c r="F1190" s="19" t="n"/>
      <c r="G1190" s="19" t="n"/>
      <c r="H1190" s="19" t="n"/>
      <c r="I1190" s="19" t="n"/>
      <c r="J1190" s="19" t="n"/>
      <c r="K1190" s="19" t="n"/>
    </row>
    <row r="1191">
      <c r="A1191" s="19" t="n"/>
      <c r="B1191" s="19" t="n"/>
      <c r="C1191" s="19" t="n"/>
      <c r="D1191" s="19" t="n"/>
      <c r="E1191" s="19" t="n"/>
      <c r="F1191" s="19" t="n"/>
      <c r="G1191" s="19" t="n"/>
      <c r="H1191" s="19" t="n"/>
      <c r="I1191" s="19" t="n"/>
      <c r="J1191" s="19" t="n"/>
      <c r="K1191" s="19" t="n"/>
    </row>
    <row r="1192">
      <c r="A1192" s="19" t="n"/>
      <c r="B1192" s="19" t="n"/>
      <c r="C1192" s="19" t="n"/>
      <c r="D1192" s="19" t="n"/>
      <c r="E1192" s="19" t="n"/>
      <c r="F1192" s="19" t="n"/>
      <c r="G1192" s="19" t="n"/>
      <c r="H1192" s="19" t="n"/>
      <c r="I1192" s="19" t="n"/>
      <c r="J1192" s="19" t="n"/>
      <c r="K1192" s="19" t="n"/>
    </row>
    <row r="1193">
      <c r="A1193" s="19" t="n"/>
      <c r="B1193" s="19" t="n"/>
      <c r="C1193" s="19" t="n"/>
      <c r="D1193" s="19" t="n"/>
      <c r="E1193" s="19" t="n"/>
      <c r="F1193" s="19" t="n"/>
      <c r="G1193" s="19" t="n"/>
      <c r="H1193" s="19" t="n"/>
      <c r="I1193" s="19" t="n"/>
      <c r="J1193" s="19" t="n"/>
      <c r="K1193" s="19" t="n"/>
    </row>
    <row r="1194">
      <c r="A1194" s="19" t="n"/>
      <c r="B1194" s="19" t="n"/>
      <c r="C1194" s="19" t="n"/>
      <c r="D1194" s="19" t="n"/>
      <c r="E1194" s="19" t="n"/>
      <c r="F1194" s="19" t="n"/>
      <c r="G1194" s="19" t="n"/>
      <c r="H1194" s="19" t="n"/>
      <c r="I1194" s="19" t="n"/>
      <c r="J1194" s="19" t="n"/>
      <c r="K1194" s="19" t="n"/>
    </row>
    <row r="1195">
      <c r="A1195" s="19" t="n"/>
      <c r="B1195" s="19" t="n"/>
      <c r="C1195" s="19" t="n"/>
      <c r="D1195" s="19" t="n"/>
      <c r="E1195" s="19" t="n"/>
      <c r="F1195" s="19" t="n"/>
      <c r="G1195" s="19" t="n"/>
      <c r="H1195" s="19" t="n"/>
      <c r="I1195" s="19" t="n"/>
      <c r="J1195" s="19" t="n"/>
      <c r="K1195" s="19" t="n"/>
    </row>
    <row r="1196">
      <c r="A1196" s="19" t="n"/>
      <c r="B1196" s="19" t="n"/>
      <c r="C1196" s="19" t="n"/>
      <c r="D1196" s="19" t="n"/>
      <c r="E1196" s="19" t="n"/>
      <c r="F1196" s="19" t="n"/>
      <c r="G1196" s="19" t="n"/>
      <c r="H1196" s="19" t="n"/>
      <c r="I1196" s="19" t="n"/>
      <c r="J1196" s="19" t="n"/>
      <c r="K1196" s="19" t="n"/>
    </row>
    <row r="1197">
      <c r="A1197" s="19" t="n"/>
      <c r="B1197" s="19" t="n"/>
      <c r="C1197" s="19" t="n"/>
      <c r="D1197" s="19" t="n"/>
      <c r="E1197" s="19" t="n"/>
      <c r="F1197" s="19" t="n"/>
      <c r="G1197" s="19" t="n"/>
      <c r="H1197" s="19" t="n"/>
      <c r="I1197" s="19" t="n"/>
      <c r="J1197" s="19" t="n"/>
      <c r="K1197" s="19" t="n"/>
    </row>
    <row r="1198">
      <c r="A1198" s="19" t="n"/>
      <c r="B1198" s="19" t="n"/>
      <c r="C1198" s="19" t="n"/>
      <c r="D1198" s="19" t="n"/>
      <c r="E1198" s="19" t="n"/>
      <c r="F1198" s="19" t="n"/>
      <c r="G1198" s="19" t="n"/>
      <c r="H1198" s="19" t="n"/>
      <c r="I1198" s="19" t="n"/>
      <c r="J1198" s="19" t="n"/>
      <c r="K1198" s="19" t="n"/>
    </row>
    <row r="1199">
      <c r="A1199" s="19" t="n"/>
      <c r="B1199" s="19" t="n"/>
      <c r="C1199" s="19" t="n"/>
      <c r="D1199" s="19" t="n"/>
      <c r="E1199" s="19" t="n"/>
      <c r="F1199" s="19" t="n"/>
      <c r="G1199" s="19" t="n"/>
      <c r="H1199" s="19" t="n"/>
      <c r="I1199" s="19" t="n"/>
      <c r="J1199" s="19" t="n"/>
      <c r="K1199" s="19" t="n"/>
    </row>
    <row r="1200">
      <c r="A1200" s="19" t="n"/>
      <c r="B1200" s="19" t="n"/>
      <c r="C1200" s="19" t="n"/>
      <c r="D1200" s="19" t="n"/>
      <c r="E1200" s="19" t="n"/>
      <c r="F1200" s="19" t="n"/>
      <c r="G1200" s="19" t="n"/>
      <c r="H1200" s="19" t="n"/>
      <c r="I1200" s="19" t="n"/>
      <c r="J1200" s="19" t="n"/>
      <c r="K1200" s="19" t="n"/>
    </row>
    <row r="1201">
      <c r="A1201" s="19" t="n"/>
      <c r="B1201" s="19" t="n"/>
      <c r="C1201" s="19" t="n"/>
      <c r="D1201" s="19" t="n"/>
      <c r="E1201" s="19" t="n"/>
      <c r="F1201" s="19" t="n"/>
      <c r="G1201" s="19" t="n"/>
      <c r="H1201" s="19" t="n"/>
      <c r="I1201" s="19" t="n"/>
      <c r="J1201" s="19" t="n"/>
      <c r="K1201" s="19" t="n"/>
    </row>
    <row r="1202">
      <c r="A1202" s="19" t="n"/>
      <c r="B1202" s="19" t="n"/>
      <c r="C1202" s="19" t="n"/>
      <c r="D1202" s="19" t="n"/>
      <c r="E1202" s="19" t="n"/>
      <c r="F1202" s="19" t="n"/>
      <c r="G1202" s="19" t="n"/>
      <c r="H1202" s="19" t="n"/>
      <c r="I1202" s="19" t="n"/>
      <c r="J1202" s="19" t="n"/>
      <c r="K1202" s="19" t="n"/>
    </row>
    <row r="1203">
      <c r="A1203" s="19" t="n"/>
      <c r="B1203" s="19" t="n"/>
      <c r="C1203" s="19" t="n"/>
      <c r="D1203" s="19" t="n"/>
      <c r="E1203" s="19" t="n"/>
      <c r="F1203" s="19" t="n"/>
      <c r="G1203" s="19" t="n"/>
      <c r="H1203" s="19" t="n"/>
      <c r="I1203" s="19" t="n"/>
      <c r="J1203" s="19" t="n"/>
      <c r="K1203" s="19" t="n"/>
    </row>
    <row r="1204">
      <c r="A1204" s="19" t="n"/>
      <c r="B1204" s="19" t="n"/>
      <c r="C1204" s="19" t="n"/>
      <c r="D1204" s="19" t="n"/>
      <c r="E1204" s="19" t="n"/>
      <c r="F1204" s="19" t="n"/>
      <c r="G1204" s="19" t="n"/>
      <c r="H1204" s="19" t="n"/>
      <c r="I1204" s="19" t="n"/>
      <c r="J1204" s="19" t="n"/>
      <c r="K1204" s="19" t="n"/>
    </row>
    <row r="1205">
      <c r="A1205" s="19" t="n"/>
      <c r="B1205" s="19" t="n"/>
      <c r="C1205" s="19" t="n"/>
      <c r="D1205" s="19" t="n"/>
      <c r="E1205" s="19" t="n"/>
      <c r="F1205" s="19" t="n"/>
      <c r="G1205" s="19" t="n"/>
      <c r="H1205" s="19" t="n"/>
      <c r="I1205" s="19" t="n"/>
      <c r="J1205" s="19" t="n"/>
      <c r="K1205" s="19" t="n"/>
    </row>
    <row r="1206">
      <c r="A1206" s="19" t="n"/>
      <c r="B1206" s="19" t="n"/>
      <c r="C1206" s="19" t="n"/>
      <c r="D1206" s="19" t="n"/>
      <c r="E1206" s="19" t="n"/>
      <c r="F1206" s="19" t="n"/>
      <c r="G1206" s="19" t="n"/>
      <c r="H1206" s="19" t="n"/>
      <c r="I1206" s="19" t="n"/>
      <c r="J1206" s="19" t="n"/>
      <c r="K1206" s="19" t="n"/>
    </row>
    <row r="1207">
      <c r="A1207" s="19" t="n"/>
      <c r="B1207" s="19" t="n"/>
      <c r="C1207" s="19" t="n"/>
      <c r="D1207" s="19" t="n"/>
      <c r="E1207" s="19" t="n"/>
      <c r="F1207" s="19" t="n"/>
      <c r="G1207" s="19" t="n"/>
      <c r="H1207" s="19" t="n"/>
      <c r="I1207" s="19" t="n"/>
      <c r="J1207" s="19" t="n"/>
      <c r="K1207" s="19" t="n"/>
    </row>
    <row r="1208">
      <c r="A1208" s="19" t="n"/>
      <c r="B1208" s="19" t="n"/>
      <c r="C1208" s="19" t="n"/>
      <c r="D1208" s="19" t="n"/>
      <c r="E1208" s="19" t="n"/>
      <c r="F1208" s="19" t="n"/>
      <c r="G1208" s="19" t="n"/>
      <c r="H1208" s="19" t="n"/>
      <c r="I1208" s="19" t="n"/>
      <c r="J1208" s="19" t="n"/>
      <c r="K1208" s="19" t="n"/>
    </row>
    <row r="1209">
      <c r="A1209" s="19" t="n"/>
      <c r="B1209" s="19" t="n"/>
      <c r="C1209" s="19" t="n"/>
      <c r="D1209" s="19" t="n"/>
      <c r="E1209" s="19" t="n"/>
      <c r="F1209" s="19" t="n"/>
      <c r="G1209" s="19" t="n"/>
      <c r="H1209" s="19" t="n"/>
      <c r="I1209" s="19" t="n"/>
      <c r="J1209" s="19" t="n"/>
      <c r="K1209" s="19" t="n"/>
    </row>
    <row r="1210">
      <c r="A1210" s="19" t="n"/>
      <c r="B1210" s="19" t="n"/>
      <c r="C1210" s="19" t="n"/>
      <c r="D1210" s="19" t="n"/>
      <c r="E1210" s="19" t="n"/>
      <c r="F1210" s="19" t="n"/>
      <c r="G1210" s="19" t="n"/>
      <c r="H1210" s="19" t="n"/>
      <c r="I1210" s="19" t="n"/>
      <c r="J1210" s="19" t="n"/>
      <c r="K1210" s="19" t="n"/>
    </row>
    <row r="1211">
      <c r="A1211" s="19" t="n"/>
      <c r="B1211" s="19" t="n"/>
      <c r="C1211" s="19" t="n"/>
      <c r="D1211" s="19" t="n"/>
      <c r="E1211" s="19" t="n"/>
      <c r="F1211" s="19" t="n"/>
      <c r="G1211" s="19" t="n"/>
      <c r="H1211" s="19" t="n"/>
      <c r="I1211" s="19" t="n"/>
      <c r="J1211" s="19" t="n"/>
      <c r="K1211" s="19" t="n"/>
    </row>
    <row r="1212">
      <c r="A1212" s="19" t="n"/>
      <c r="B1212" s="19" t="n"/>
      <c r="C1212" s="19" t="n"/>
      <c r="D1212" s="19" t="n"/>
      <c r="E1212" s="19" t="n"/>
      <c r="F1212" s="19" t="n"/>
      <c r="G1212" s="19" t="n"/>
      <c r="H1212" s="19" t="n"/>
      <c r="I1212" s="19" t="n"/>
      <c r="J1212" s="19" t="n"/>
      <c r="K1212" s="19" t="n"/>
    </row>
    <row r="1213">
      <c r="A1213" s="19" t="n"/>
      <c r="B1213" s="19" t="n"/>
      <c r="C1213" s="19" t="n"/>
      <c r="D1213" s="19" t="n"/>
      <c r="E1213" s="19" t="n"/>
      <c r="F1213" s="19" t="n"/>
      <c r="G1213" s="19" t="n"/>
      <c r="H1213" s="19" t="n"/>
      <c r="I1213" s="19" t="n"/>
      <c r="J1213" s="19" t="n"/>
      <c r="K1213" s="19" t="n"/>
    </row>
    <row r="1214">
      <c r="A1214" s="19" t="n"/>
      <c r="B1214" s="19" t="n"/>
      <c r="C1214" s="19" t="n"/>
      <c r="D1214" s="19" t="n"/>
      <c r="E1214" s="19" t="n"/>
      <c r="F1214" s="19" t="n"/>
      <c r="G1214" s="19" t="n"/>
      <c r="H1214" s="19" t="n"/>
      <c r="I1214" s="19" t="n"/>
      <c r="J1214" s="19" t="n"/>
      <c r="K1214" s="19" t="n"/>
    </row>
    <row r="1215">
      <c r="A1215" s="19" t="n"/>
      <c r="B1215" s="19" t="n"/>
      <c r="C1215" s="19" t="n"/>
      <c r="D1215" s="19" t="n"/>
      <c r="E1215" s="19" t="n"/>
      <c r="F1215" s="19" t="n"/>
      <c r="G1215" s="19" t="n"/>
      <c r="H1215" s="19" t="n"/>
      <c r="I1215" s="19" t="n"/>
      <c r="J1215" s="19" t="n"/>
      <c r="K1215" s="19" t="n"/>
    </row>
    <row r="1216">
      <c r="A1216" s="19" t="n"/>
      <c r="B1216" s="19" t="n"/>
      <c r="C1216" s="19" t="n"/>
      <c r="D1216" s="19" t="n"/>
      <c r="E1216" s="19" t="n"/>
      <c r="F1216" s="19" t="n"/>
      <c r="G1216" s="19" t="n"/>
      <c r="H1216" s="19" t="n"/>
      <c r="I1216" s="19" t="n"/>
      <c r="J1216" s="19" t="n"/>
      <c r="K1216" s="19" t="n"/>
    </row>
    <row r="1217">
      <c r="A1217" s="19" t="n"/>
      <c r="B1217" s="19" t="n"/>
      <c r="C1217" s="19" t="n"/>
      <c r="D1217" s="19" t="n"/>
      <c r="E1217" s="19" t="n"/>
      <c r="F1217" s="19" t="n"/>
      <c r="G1217" s="19" t="n"/>
      <c r="H1217" s="19" t="n"/>
      <c r="I1217" s="19" t="n"/>
      <c r="J1217" s="19" t="n"/>
      <c r="K1217" s="19" t="n"/>
    </row>
    <row r="1218">
      <c r="A1218" s="19" t="n"/>
      <c r="B1218" s="19" t="n"/>
      <c r="C1218" s="19" t="n"/>
      <c r="D1218" s="19" t="n"/>
      <c r="E1218" s="19" t="n"/>
      <c r="F1218" s="19" t="n"/>
      <c r="G1218" s="19" t="n"/>
      <c r="H1218" s="19" t="n"/>
      <c r="I1218" s="19" t="n"/>
      <c r="J1218" s="19" t="n"/>
      <c r="K1218" s="19" t="n"/>
    </row>
    <row r="1219">
      <c r="A1219" s="19" t="n"/>
      <c r="B1219" s="19" t="n"/>
      <c r="C1219" s="19" t="n"/>
      <c r="D1219" s="19" t="n"/>
      <c r="E1219" s="19" t="n"/>
      <c r="F1219" s="19" t="n"/>
      <c r="G1219" s="19" t="n"/>
      <c r="H1219" s="19" t="n"/>
      <c r="I1219" s="19" t="n"/>
      <c r="J1219" s="19" t="n"/>
      <c r="K1219" s="19" t="n"/>
    </row>
    <row r="1220">
      <c r="A1220" s="19" t="n"/>
      <c r="B1220" s="19" t="n"/>
      <c r="C1220" s="19" t="n"/>
      <c r="D1220" s="19" t="n"/>
      <c r="E1220" s="19" t="n"/>
      <c r="F1220" s="19" t="n"/>
      <c r="G1220" s="19" t="n"/>
      <c r="H1220" s="19" t="n"/>
      <c r="I1220" s="19" t="n"/>
      <c r="J1220" s="19" t="n"/>
      <c r="K1220" s="19" t="n"/>
    </row>
    <row r="1221">
      <c r="A1221" s="19" t="n"/>
      <c r="B1221" s="19" t="n"/>
      <c r="C1221" s="19" t="n"/>
      <c r="D1221" s="19" t="n"/>
      <c r="E1221" s="19" t="n"/>
      <c r="F1221" s="19" t="n"/>
      <c r="G1221" s="19" t="n"/>
      <c r="H1221" s="19" t="n"/>
      <c r="I1221" s="19" t="n"/>
      <c r="J1221" s="19" t="n"/>
      <c r="K1221" s="19" t="n"/>
    </row>
    <row r="1222">
      <c r="A1222" s="19" t="n"/>
      <c r="B1222" s="19" t="n"/>
      <c r="C1222" s="19" t="n"/>
      <c r="D1222" s="19" t="n"/>
      <c r="E1222" s="19" t="n"/>
      <c r="F1222" s="19" t="n"/>
      <c r="G1222" s="19" t="n"/>
      <c r="H1222" s="19" t="n"/>
      <c r="I1222" s="19" t="n"/>
      <c r="J1222" s="19" t="n"/>
      <c r="K1222" s="19" t="n"/>
    </row>
    <row r="1223">
      <c r="A1223" s="19" t="n"/>
      <c r="B1223" s="19" t="n"/>
      <c r="C1223" s="19" t="n"/>
      <c r="D1223" s="19" t="n"/>
      <c r="E1223" s="19" t="n"/>
      <c r="F1223" s="19" t="n"/>
      <c r="G1223" s="19" t="n"/>
      <c r="H1223" s="19" t="n"/>
      <c r="I1223" s="19" t="n"/>
      <c r="J1223" s="19" t="n"/>
      <c r="K1223" s="19" t="n"/>
    </row>
    <row r="1224">
      <c r="A1224" s="19" t="n"/>
      <c r="B1224" s="19" t="n"/>
      <c r="C1224" s="19" t="n"/>
      <c r="D1224" s="19" t="n"/>
      <c r="E1224" s="19" t="n"/>
      <c r="F1224" s="19" t="n"/>
      <c r="G1224" s="19" t="n"/>
      <c r="H1224" s="19" t="n"/>
      <c r="I1224" s="19" t="n"/>
      <c r="J1224" s="19" t="n"/>
      <c r="K1224" s="19" t="n"/>
    </row>
    <row r="1225">
      <c r="A1225" s="19" t="n"/>
      <c r="B1225" s="19" t="n"/>
      <c r="C1225" s="19" t="n"/>
      <c r="D1225" s="19" t="n"/>
      <c r="E1225" s="19" t="n"/>
      <c r="F1225" s="19" t="n"/>
      <c r="G1225" s="19" t="n"/>
      <c r="H1225" s="19" t="n"/>
      <c r="I1225" s="19" t="n"/>
      <c r="J1225" s="19" t="n"/>
      <c r="K1225" s="19" t="n"/>
    </row>
    <row r="1226">
      <c r="A1226" s="19" t="n"/>
      <c r="B1226" s="19" t="n"/>
      <c r="C1226" s="19" t="n"/>
      <c r="D1226" s="19" t="n"/>
      <c r="E1226" s="19" t="n"/>
      <c r="F1226" s="19" t="n"/>
      <c r="G1226" s="19" t="n"/>
      <c r="H1226" s="19" t="n"/>
      <c r="I1226" s="19" t="n"/>
      <c r="J1226" s="19" t="n"/>
      <c r="K1226" s="19" t="n"/>
    </row>
    <row r="1227">
      <c r="A1227" s="19" t="n"/>
      <c r="B1227" s="19" t="n"/>
      <c r="C1227" s="19" t="n"/>
      <c r="D1227" s="19" t="n"/>
      <c r="E1227" s="19" t="n"/>
      <c r="F1227" s="19" t="n"/>
      <c r="G1227" s="19" t="n"/>
      <c r="H1227" s="19" t="n"/>
      <c r="I1227" s="19" t="n"/>
      <c r="J1227" s="19" t="n"/>
      <c r="K1227" s="19" t="n"/>
    </row>
    <row r="1228">
      <c r="A1228" s="19" t="n"/>
      <c r="B1228" s="19" t="n"/>
      <c r="C1228" s="19" t="n"/>
      <c r="D1228" s="19" t="n"/>
      <c r="E1228" s="19" t="n"/>
      <c r="F1228" s="19" t="n"/>
      <c r="G1228" s="19" t="n"/>
      <c r="H1228" s="19" t="n"/>
      <c r="I1228" s="19" t="n"/>
      <c r="J1228" s="19" t="n"/>
      <c r="K1228" s="19" t="n"/>
    </row>
    <row r="1229">
      <c r="A1229" s="19" t="n"/>
      <c r="B1229" s="19" t="n"/>
      <c r="C1229" s="19" t="n"/>
      <c r="D1229" s="19" t="n"/>
      <c r="E1229" s="19" t="n"/>
      <c r="F1229" s="19" t="n"/>
      <c r="G1229" s="19" t="n"/>
      <c r="H1229" s="19" t="n"/>
      <c r="I1229" s="19" t="n"/>
      <c r="J1229" s="19" t="n"/>
      <c r="K1229" s="19" t="n"/>
    </row>
    <row r="1230">
      <c r="A1230" s="19" t="n"/>
      <c r="B1230" s="19" t="n"/>
      <c r="C1230" s="19" t="n"/>
      <c r="D1230" s="19" t="n"/>
      <c r="E1230" s="19" t="n"/>
      <c r="F1230" s="19" t="n"/>
      <c r="G1230" s="19" t="n"/>
      <c r="H1230" s="19" t="n"/>
      <c r="I1230" s="19" t="n"/>
      <c r="J1230" s="19" t="n"/>
      <c r="K1230" s="19" t="n"/>
    </row>
    <row r="1231">
      <c r="A1231" s="19" t="n"/>
      <c r="B1231" s="19" t="n"/>
      <c r="C1231" s="19" t="n"/>
      <c r="D1231" s="19" t="n"/>
      <c r="E1231" s="19" t="n"/>
      <c r="F1231" s="19" t="n"/>
      <c r="G1231" s="19" t="n"/>
      <c r="H1231" s="19" t="n"/>
      <c r="I1231" s="19" t="n"/>
      <c r="J1231" s="19" t="n"/>
      <c r="K1231" s="19" t="n"/>
    </row>
    <row r="1232">
      <c r="A1232" s="19" t="n"/>
      <c r="B1232" s="19" t="n"/>
      <c r="C1232" s="19" t="n"/>
      <c r="D1232" s="19" t="n"/>
      <c r="E1232" s="19" t="n"/>
      <c r="F1232" s="19" t="n"/>
      <c r="G1232" s="19" t="n"/>
      <c r="H1232" s="19" t="n"/>
      <c r="I1232" s="19" t="n"/>
      <c r="J1232" s="19" t="n"/>
      <c r="K1232" s="19" t="n"/>
    </row>
    <row r="1233">
      <c r="A1233" s="19" t="n"/>
      <c r="B1233" s="19" t="n"/>
      <c r="C1233" s="19" t="n"/>
      <c r="D1233" s="19" t="n"/>
      <c r="E1233" s="19" t="n"/>
      <c r="F1233" s="19" t="n"/>
      <c r="G1233" s="19" t="n"/>
      <c r="H1233" s="19" t="n"/>
      <c r="I1233" s="19" t="n"/>
      <c r="J1233" s="19" t="n"/>
      <c r="K1233" s="19" t="n"/>
    </row>
    <row r="1234">
      <c r="A1234" s="19" t="n"/>
      <c r="B1234" s="19" t="n"/>
      <c r="C1234" s="19" t="n"/>
      <c r="D1234" s="19" t="n"/>
      <c r="E1234" s="19" t="n"/>
      <c r="F1234" s="19" t="n"/>
      <c r="G1234" s="19" t="n"/>
      <c r="H1234" s="19" t="n"/>
      <c r="I1234" s="19" t="n"/>
      <c r="J1234" s="19" t="n"/>
      <c r="K1234" s="19" t="n"/>
    </row>
    <row r="1235">
      <c r="A1235" s="19" t="n"/>
      <c r="B1235" s="19" t="n"/>
      <c r="C1235" s="19" t="n"/>
      <c r="D1235" s="19" t="n"/>
      <c r="E1235" s="19" t="n"/>
      <c r="F1235" s="19" t="n"/>
      <c r="G1235" s="19" t="n"/>
      <c r="H1235" s="19" t="n"/>
      <c r="I1235" s="19" t="n"/>
      <c r="J1235" s="19" t="n"/>
      <c r="K1235" s="19" t="n"/>
    </row>
    <row r="1236">
      <c r="A1236" s="19" t="n"/>
      <c r="B1236" s="19" t="n"/>
      <c r="C1236" s="19" t="n"/>
      <c r="D1236" s="19" t="n"/>
      <c r="E1236" s="19" t="n"/>
      <c r="F1236" s="19" t="n"/>
      <c r="G1236" s="19" t="n"/>
      <c r="H1236" s="19" t="n"/>
      <c r="I1236" s="19" t="n"/>
      <c r="J1236" s="19" t="n"/>
      <c r="K1236" s="19" t="n"/>
    </row>
    <row r="1237">
      <c r="A1237" s="19" t="n"/>
      <c r="B1237" s="19" t="n"/>
      <c r="C1237" s="19" t="n"/>
      <c r="D1237" s="19" t="n"/>
      <c r="E1237" s="19" t="n"/>
      <c r="F1237" s="19" t="n"/>
      <c r="G1237" s="19" t="n"/>
      <c r="H1237" s="19" t="n"/>
      <c r="I1237" s="19" t="n"/>
      <c r="J1237" s="19" t="n"/>
      <c r="K1237" s="19" t="n"/>
    </row>
    <row r="1238">
      <c r="A1238" s="19" t="n"/>
      <c r="B1238" s="19" t="n"/>
      <c r="C1238" s="19" t="n"/>
      <c r="D1238" s="19" t="n"/>
      <c r="E1238" s="19" t="n"/>
      <c r="F1238" s="19" t="n"/>
      <c r="G1238" s="19" t="n"/>
      <c r="H1238" s="19" t="n"/>
      <c r="I1238" s="19" t="n"/>
      <c r="J1238" s="19" t="n"/>
      <c r="K1238" s="19" t="n"/>
    </row>
    <row r="1239">
      <c r="A1239" s="19" t="n"/>
      <c r="B1239" s="19" t="n"/>
      <c r="C1239" s="19" t="n"/>
      <c r="D1239" s="19" t="n"/>
      <c r="E1239" s="19" t="n"/>
      <c r="F1239" s="19" t="n"/>
      <c r="G1239" s="19" t="n"/>
      <c r="H1239" s="19" t="n"/>
      <c r="I1239" s="19" t="n"/>
      <c r="J1239" s="19" t="n"/>
      <c r="K1239" s="19" t="n"/>
    </row>
    <row r="1240">
      <c r="A1240" s="19" t="n"/>
      <c r="B1240" s="19" t="n"/>
      <c r="C1240" s="19" t="n"/>
      <c r="D1240" s="19" t="n"/>
      <c r="E1240" s="19" t="n"/>
      <c r="F1240" s="19" t="n"/>
      <c r="G1240" s="19" t="n"/>
      <c r="H1240" s="19" t="n"/>
      <c r="I1240" s="19" t="n"/>
      <c r="J1240" s="19" t="n"/>
      <c r="K1240" s="19" t="n"/>
    </row>
    <row r="1241">
      <c r="A1241" s="19" t="n"/>
      <c r="B1241" s="19" t="n"/>
      <c r="C1241" s="19" t="n"/>
      <c r="D1241" s="19" t="n"/>
      <c r="E1241" s="19" t="n"/>
      <c r="F1241" s="19" t="n"/>
      <c r="G1241" s="19" t="n"/>
      <c r="H1241" s="19" t="n"/>
      <c r="I1241" s="19" t="n"/>
      <c r="J1241" s="19" t="n"/>
      <c r="K1241" s="19" t="n"/>
    </row>
    <row r="1242">
      <c r="A1242" s="19" t="n"/>
      <c r="B1242" s="19" t="n"/>
      <c r="C1242" s="19" t="n"/>
      <c r="D1242" s="19" t="n"/>
      <c r="E1242" s="19" t="n"/>
      <c r="F1242" s="19" t="n"/>
      <c r="G1242" s="19" t="n"/>
      <c r="H1242" s="19" t="n"/>
      <c r="I1242" s="19" t="n"/>
      <c r="J1242" s="19" t="n"/>
      <c r="K1242" s="19" t="n"/>
    </row>
    <row r="1243">
      <c r="A1243" s="19" t="n"/>
      <c r="B1243" s="19" t="n"/>
      <c r="C1243" s="19" t="n"/>
      <c r="D1243" s="19" t="n"/>
      <c r="E1243" s="19" t="n"/>
      <c r="F1243" s="19" t="n"/>
      <c r="G1243" s="19" t="n"/>
      <c r="H1243" s="19" t="n"/>
      <c r="I1243" s="19" t="n"/>
      <c r="J1243" s="19" t="n"/>
      <c r="K1243" s="19" t="n"/>
    </row>
    <row r="1244">
      <c r="A1244" s="19" t="n"/>
      <c r="B1244" s="19" t="n"/>
      <c r="C1244" s="19" t="n"/>
      <c r="D1244" s="19" t="n"/>
      <c r="E1244" s="19" t="n"/>
      <c r="F1244" s="19" t="n"/>
      <c r="G1244" s="19" t="n"/>
      <c r="H1244" s="19" t="n"/>
      <c r="I1244" s="19" t="n"/>
      <c r="J1244" s="19" t="n"/>
      <c r="K1244" s="19" t="n"/>
    </row>
    <row r="1245">
      <c r="A1245" s="19" t="n"/>
      <c r="B1245" s="19" t="n"/>
      <c r="C1245" s="19" t="n"/>
      <c r="D1245" s="19" t="n"/>
      <c r="E1245" s="19" t="n"/>
      <c r="F1245" s="19" t="n"/>
      <c r="G1245" s="19" t="n"/>
      <c r="H1245" s="19" t="n"/>
      <c r="I1245" s="19" t="n"/>
      <c r="J1245" s="19" t="n"/>
      <c r="K1245" s="19" t="n"/>
    </row>
    <row r="1246">
      <c r="A1246" s="19" t="n"/>
      <c r="B1246" s="19" t="n"/>
      <c r="C1246" s="19" t="n"/>
      <c r="D1246" s="19" t="n"/>
      <c r="E1246" s="19" t="n"/>
      <c r="F1246" s="19" t="n"/>
      <c r="G1246" s="19" t="n"/>
      <c r="H1246" s="19" t="n"/>
      <c r="I1246" s="19" t="n"/>
      <c r="J1246" s="19" t="n"/>
      <c r="K1246" s="19" t="n"/>
    </row>
    <row r="1247">
      <c r="A1247" s="19" t="n"/>
      <c r="B1247" s="19" t="n"/>
      <c r="C1247" s="19" t="n"/>
      <c r="D1247" s="19" t="n"/>
      <c r="E1247" s="19" t="n"/>
      <c r="F1247" s="19" t="n"/>
      <c r="G1247" s="19" t="n"/>
      <c r="H1247" s="19" t="n"/>
      <c r="I1247" s="19" t="n"/>
      <c r="J1247" s="19" t="n"/>
      <c r="K1247" s="19" t="n"/>
    </row>
    <row r="1248">
      <c r="A1248" s="19" t="n"/>
      <c r="B1248" s="19" t="n"/>
      <c r="C1248" s="19" t="n"/>
      <c r="D1248" s="19" t="n"/>
      <c r="E1248" s="19" t="n"/>
      <c r="F1248" s="19" t="n"/>
      <c r="G1248" s="19" t="n"/>
      <c r="H1248" s="19" t="n"/>
      <c r="I1248" s="19" t="n"/>
      <c r="J1248" s="19" t="n"/>
      <c r="K1248" s="19" t="n"/>
    </row>
    <row r="1249">
      <c r="A1249" s="19" t="n"/>
      <c r="B1249" s="19" t="n"/>
      <c r="C1249" s="19" t="n"/>
      <c r="D1249" s="19" t="n"/>
      <c r="E1249" s="19" t="n"/>
      <c r="F1249" s="19" t="n"/>
      <c r="G1249" s="19" t="n"/>
      <c r="H1249" s="19" t="n"/>
      <c r="I1249" s="19" t="n"/>
      <c r="J1249" s="19" t="n"/>
      <c r="K1249" s="19" t="n"/>
    </row>
    <row r="1250">
      <c r="A1250" s="19" t="n"/>
      <c r="B1250" s="19" t="n"/>
      <c r="C1250" s="19" t="n"/>
      <c r="D1250" s="19" t="n"/>
      <c r="E1250" s="19" t="n"/>
      <c r="F1250" s="19" t="n"/>
      <c r="G1250" s="19" t="n"/>
      <c r="H1250" s="19" t="n"/>
      <c r="I1250" s="19" t="n"/>
      <c r="J1250" s="19" t="n"/>
      <c r="K1250" s="19" t="n"/>
    </row>
    <row r="1251">
      <c r="A1251" s="19" t="n"/>
      <c r="B1251" s="19" t="n"/>
      <c r="C1251" s="19" t="n"/>
      <c r="D1251" s="19" t="n"/>
      <c r="E1251" s="19" t="n"/>
      <c r="F1251" s="19" t="n"/>
      <c r="G1251" s="19" t="n"/>
      <c r="H1251" s="19" t="n"/>
      <c r="I1251" s="19" t="n"/>
      <c r="J1251" s="19" t="n"/>
      <c r="K1251" s="19" t="n"/>
    </row>
    <row r="1252">
      <c r="A1252" s="19" t="n"/>
      <c r="B1252" s="19" t="n"/>
      <c r="C1252" s="19" t="n"/>
      <c r="D1252" s="19" t="n"/>
      <c r="E1252" s="19" t="n"/>
      <c r="F1252" s="19" t="n"/>
      <c r="G1252" s="19" t="n"/>
      <c r="H1252" s="19" t="n"/>
      <c r="I1252" s="19" t="n"/>
      <c r="J1252" s="19" t="n"/>
      <c r="K1252" s="19" t="n"/>
    </row>
    <row r="1253">
      <c r="A1253" s="19" t="n"/>
      <c r="B1253" s="19" t="n"/>
      <c r="C1253" s="19" t="n"/>
      <c r="D1253" s="19" t="n"/>
      <c r="E1253" s="19" t="n"/>
      <c r="F1253" s="19" t="n"/>
      <c r="G1253" s="19" t="n"/>
      <c r="H1253" s="19" t="n"/>
      <c r="I1253" s="19" t="n"/>
      <c r="J1253" s="19" t="n"/>
      <c r="K1253" s="19" t="n"/>
    </row>
    <row r="1254">
      <c r="A1254" s="19" t="n"/>
      <c r="B1254" s="19" t="n"/>
      <c r="C1254" s="19" t="n"/>
      <c r="D1254" s="19" t="n"/>
      <c r="E1254" s="19" t="n"/>
      <c r="F1254" s="19" t="n"/>
      <c r="G1254" s="19" t="n"/>
      <c r="H1254" s="19" t="n"/>
      <c r="I1254" s="19" t="n"/>
      <c r="J1254" s="19" t="n"/>
      <c r="K1254" s="19" t="n"/>
    </row>
    <row r="1255">
      <c r="A1255" s="19" t="n"/>
      <c r="B1255" s="19" t="n"/>
      <c r="C1255" s="19" t="n"/>
      <c r="D1255" s="19" t="n"/>
      <c r="E1255" s="19" t="n"/>
      <c r="F1255" s="19" t="n"/>
      <c r="G1255" s="19" t="n"/>
      <c r="H1255" s="19" t="n"/>
      <c r="I1255" s="19" t="n"/>
      <c r="J1255" s="19" t="n"/>
      <c r="K1255" s="19" t="n"/>
    </row>
    <row r="1256">
      <c r="A1256" s="19" t="n"/>
      <c r="B1256" s="19" t="n"/>
      <c r="C1256" s="19" t="n"/>
      <c r="D1256" s="19" t="n"/>
      <c r="E1256" s="19" t="n"/>
      <c r="F1256" s="19" t="n"/>
      <c r="G1256" s="19" t="n"/>
      <c r="H1256" s="19" t="n"/>
      <c r="I1256" s="19" t="n"/>
      <c r="J1256" s="19" t="n"/>
      <c r="K1256" s="19" t="n"/>
    </row>
    <row r="1257">
      <c r="A1257" s="19" t="n"/>
      <c r="B1257" s="19" t="n"/>
      <c r="C1257" s="19" t="n"/>
      <c r="D1257" s="19" t="n"/>
      <c r="E1257" s="19" t="n"/>
      <c r="F1257" s="19" t="n"/>
      <c r="G1257" s="19" t="n"/>
      <c r="H1257" s="19" t="n"/>
      <c r="I1257" s="19" t="n"/>
      <c r="J1257" s="19" t="n"/>
      <c r="K1257" s="19" t="n"/>
    </row>
    <row r="1258">
      <c r="A1258" s="19" t="n"/>
      <c r="B1258" s="19" t="n"/>
      <c r="C1258" s="19" t="n"/>
      <c r="D1258" s="19" t="n"/>
      <c r="E1258" s="19" t="n"/>
      <c r="F1258" s="19" t="n"/>
      <c r="G1258" s="19" t="n"/>
      <c r="H1258" s="19" t="n"/>
      <c r="I1258" s="19" t="n"/>
      <c r="J1258" s="19" t="n"/>
      <c r="K1258" s="19" t="n"/>
    </row>
    <row r="1259">
      <c r="A1259" s="19" t="n"/>
      <c r="B1259" s="19" t="n"/>
      <c r="C1259" s="19" t="n"/>
      <c r="D1259" s="19" t="n"/>
      <c r="E1259" s="19" t="n"/>
      <c r="F1259" s="19" t="n"/>
      <c r="G1259" s="19" t="n"/>
      <c r="H1259" s="19" t="n"/>
      <c r="I1259" s="19" t="n"/>
      <c r="J1259" s="19" t="n"/>
      <c r="K1259" s="19" t="n"/>
    </row>
    <row r="1260">
      <c r="A1260" s="19" t="n"/>
      <c r="B1260" s="19" t="n"/>
      <c r="C1260" s="19" t="n"/>
      <c r="D1260" s="19" t="n"/>
      <c r="E1260" s="19" t="n"/>
      <c r="F1260" s="19" t="n"/>
      <c r="G1260" s="19" t="n"/>
      <c r="H1260" s="19" t="n"/>
      <c r="I1260" s="19" t="n"/>
      <c r="J1260" s="19" t="n"/>
      <c r="K1260" s="19" t="n"/>
    </row>
    <row r="1261">
      <c r="A1261" s="19" t="n"/>
      <c r="B1261" s="19" t="n"/>
      <c r="C1261" s="19" t="n"/>
      <c r="D1261" s="19" t="n"/>
      <c r="E1261" s="19" t="n"/>
      <c r="F1261" s="19" t="n"/>
      <c r="G1261" s="19" t="n"/>
      <c r="H1261" s="19" t="n"/>
      <c r="I1261" s="19" t="n"/>
      <c r="J1261" s="19" t="n"/>
      <c r="K1261" s="19" t="n"/>
    </row>
    <row r="1262">
      <c r="A1262" s="19" t="n"/>
      <c r="B1262" s="19" t="n"/>
      <c r="C1262" s="19" t="n"/>
      <c r="D1262" s="19" t="n"/>
      <c r="E1262" s="19" t="n"/>
      <c r="F1262" s="19" t="n"/>
      <c r="G1262" s="19" t="n"/>
      <c r="H1262" s="19" t="n"/>
      <c r="I1262" s="19" t="n"/>
      <c r="J1262" s="19" t="n"/>
      <c r="K1262" s="19" t="n"/>
    </row>
    <row r="1263">
      <c r="A1263" s="19" t="n"/>
      <c r="B1263" s="19" t="n"/>
      <c r="C1263" s="19" t="n"/>
      <c r="D1263" s="19" t="n"/>
      <c r="E1263" s="19" t="n"/>
      <c r="F1263" s="19" t="n"/>
      <c r="G1263" s="19" t="n"/>
      <c r="H1263" s="19" t="n"/>
      <c r="I1263" s="19" t="n"/>
      <c r="J1263" s="19" t="n"/>
      <c r="K1263" s="19" t="n"/>
    </row>
    <row r="1264">
      <c r="A1264" s="19" t="n"/>
      <c r="B1264" s="19" t="n"/>
      <c r="C1264" s="19" t="n"/>
      <c r="D1264" s="19" t="n"/>
      <c r="E1264" s="19" t="n"/>
      <c r="F1264" s="19" t="n"/>
      <c r="G1264" s="19" t="n"/>
      <c r="H1264" s="19" t="n"/>
      <c r="I1264" s="19" t="n"/>
      <c r="J1264" s="19" t="n"/>
      <c r="K1264" s="19" t="n"/>
    </row>
    <row r="1265">
      <c r="A1265" s="19" t="n"/>
      <c r="B1265" s="19" t="n"/>
      <c r="C1265" s="19" t="n"/>
      <c r="D1265" s="19" t="n"/>
      <c r="E1265" s="19" t="n"/>
      <c r="F1265" s="19" t="n"/>
      <c r="G1265" s="19" t="n"/>
      <c r="H1265" s="19" t="n"/>
      <c r="I1265" s="19" t="n"/>
      <c r="J1265" s="19" t="n"/>
      <c r="K1265" s="19" t="n"/>
    </row>
    <row r="1266">
      <c r="A1266" s="19" t="n"/>
      <c r="B1266" s="19" t="n"/>
      <c r="C1266" s="19" t="n"/>
      <c r="D1266" s="19" t="n"/>
      <c r="E1266" s="19" t="n"/>
      <c r="F1266" s="19" t="n"/>
      <c r="G1266" s="19" t="n"/>
      <c r="H1266" s="19" t="n"/>
      <c r="I1266" s="19" t="n"/>
      <c r="J1266" s="19" t="n"/>
      <c r="K1266" s="19" t="n"/>
    </row>
    <row r="1267">
      <c r="A1267" s="19" t="n"/>
      <c r="B1267" s="19" t="n"/>
      <c r="C1267" s="19" t="n"/>
      <c r="D1267" s="19" t="n"/>
      <c r="E1267" s="19" t="n"/>
      <c r="F1267" s="19" t="n"/>
      <c r="G1267" s="19" t="n"/>
      <c r="H1267" s="19" t="n"/>
      <c r="I1267" s="19" t="n"/>
      <c r="J1267" s="19" t="n"/>
      <c r="K1267" s="19" t="n"/>
    </row>
    <row r="1268">
      <c r="A1268" s="19" t="n"/>
      <c r="B1268" s="19" t="n"/>
      <c r="C1268" s="19" t="n"/>
      <c r="D1268" s="19" t="n"/>
      <c r="E1268" s="19" t="n"/>
      <c r="F1268" s="19" t="n"/>
      <c r="G1268" s="19" t="n"/>
      <c r="H1268" s="19" t="n"/>
      <c r="I1268" s="19" t="n"/>
      <c r="J1268" s="19" t="n"/>
      <c r="K1268" s="19" t="n"/>
    </row>
    <row r="1269">
      <c r="A1269" s="19" t="n"/>
      <c r="B1269" s="19" t="n"/>
      <c r="C1269" s="19" t="n"/>
      <c r="D1269" s="19" t="n"/>
      <c r="E1269" s="19" t="n"/>
      <c r="F1269" s="19" t="n"/>
      <c r="G1269" s="19" t="n"/>
      <c r="H1269" s="19" t="n"/>
      <c r="I1269" s="19" t="n"/>
      <c r="J1269" s="19" t="n"/>
      <c r="K1269" s="19" t="n"/>
    </row>
    <row r="1270">
      <c r="A1270" s="19" t="n"/>
      <c r="B1270" s="19" t="n"/>
      <c r="C1270" s="19" t="n"/>
      <c r="D1270" s="19" t="n"/>
      <c r="E1270" s="19" t="n"/>
      <c r="F1270" s="19" t="n"/>
      <c r="G1270" s="19" t="n"/>
      <c r="H1270" s="19" t="n"/>
      <c r="I1270" s="19" t="n"/>
      <c r="J1270" s="19" t="n"/>
      <c r="K1270" s="19" t="n"/>
    </row>
    <row r="1271">
      <c r="A1271" s="19" t="n"/>
      <c r="B1271" s="19" t="n"/>
      <c r="C1271" s="19" t="n"/>
      <c r="D1271" s="19" t="n"/>
      <c r="E1271" s="19" t="n"/>
      <c r="F1271" s="19" t="n"/>
      <c r="G1271" s="19" t="n"/>
      <c r="H1271" s="19" t="n"/>
      <c r="I1271" s="19" t="n"/>
      <c r="J1271" s="19" t="n"/>
      <c r="K1271" s="19" t="n"/>
    </row>
    <row r="1272">
      <c r="A1272" s="19" t="n"/>
      <c r="B1272" s="19" t="n"/>
      <c r="C1272" s="19" t="n"/>
      <c r="D1272" s="19" t="n"/>
      <c r="E1272" s="19" t="n"/>
      <c r="F1272" s="19" t="n"/>
      <c r="G1272" s="19" t="n"/>
      <c r="H1272" s="19" t="n"/>
      <c r="I1272" s="19" t="n"/>
      <c r="J1272" s="19" t="n"/>
      <c r="K1272" s="19" t="n"/>
    </row>
    <row r="1273">
      <c r="A1273" s="19" t="n"/>
      <c r="B1273" s="19" t="n"/>
      <c r="C1273" s="19" t="n"/>
      <c r="D1273" s="19" t="n"/>
      <c r="E1273" s="19" t="n"/>
      <c r="F1273" s="19" t="n"/>
      <c r="G1273" s="19" t="n"/>
      <c r="H1273" s="19" t="n"/>
      <c r="I1273" s="19" t="n"/>
      <c r="J1273" s="19" t="n"/>
      <c r="K1273" s="19" t="n"/>
    </row>
    <row r="1274">
      <c r="A1274" s="19" t="n"/>
      <c r="B1274" s="19" t="n"/>
      <c r="C1274" s="19" t="n"/>
      <c r="D1274" s="19" t="n"/>
      <c r="E1274" s="19" t="n"/>
      <c r="F1274" s="19" t="n"/>
      <c r="G1274" s="19" t="n"/>
      <c r="H1274" s="19" t="n"/>
      <c r="I1274" s="19" t="n"/>
      <c r="J1274" s="19" t="n"/>
      <c r="K1274" s="19" t="n"/>
    </row>
    <row r="1275">
      <c r="A1275" s="19" t="n"/>
      <c r="B1275" s="19" t="n"/>
      <c r="C1275" s="19" t="n"/>
      <c r="D1275" s="19" t="n"/>
      <c r="E1275" s="19" t="n"/>
      <c r="F1275" s="19" t="n"/>
      <c r="G1275" s="19" t="n"/>
      <c r="H1275" s="19" t="n"/>
      <c r="I1275" s="19" t="n"/>
      <c r="J1275" s="19" t="n"/>
      <c r="K1275" s="19" t="n"/>
    </row>
    <row r="1276">
      <c r="A1276" s="19" t="n"/>
      <c r="B1276" s="19" t="n"/>
      <c r="C1276" s="19" t="n"/>
      <c r="D1276" s="19" t="n"/>
      <c r="E1276" s="19" t="n"/>
      <c r="F1276" s="19" t="n"/>
      <c r="G1276" s="19" t="n"/>
      <c r="H1276" s="19" t="n"/>
      <c r="I1276" s="19" t="n"/>
      <c r="J1276" s="19" t="n"/>
      <c r="K1276" s="19" t="n"/>
    </row>
    <row r="1277">
      <c r="A1277" s="19" t="n"/>
      <c r="B1277" s="19" t="n"/>
      <c r="C1277" s="19" t="n"/>
      <c r="D1277" s="19" t="n"/>
      <c r="E1277" s="19" t="n"/>
      <c r="F1277" s="19" t="n"/>
      <c r="G1277" s="19" t="n"/>
      <c r="H1277" s="19" t="n"/>
      <c r="I1277" s="19" t="n"/>
      <c r="J1277" s="19" t="n"/>
      <c r="K1277" s="19" t="n"/>
    </row>
    <row r="1278">
      <c r="A1278" s="19" t="n"/>
      <c r="B1278" s="19" t="n"/>
      <c r="C1278" s="19" t="n"/>
      <c r="D1278" s="19" t="n"/>
      <c r="E1278" s="19" t="n"/>
      <c r="F1278" s="19" t="n"/>
      <c r="G1278" s="19" t="n"/>
      <c r="H1278" s="19" t="n"/>
      <c r="I1278" s="19" t="n"/>
      <c r="J1278" s="19" t="n"/>
      <c r="K1278" s="19" t="n"/>
    </row>
    <row r="1279">
      <c r="A1279" s="19" t="n"/>
      <c r="B1279" s="19" t="n"/>
      <c r="C1279" s="19" t="n"/>
      <c r="D1279" s="19" t="n"/>
      <c r="E1279" s="19" t="n"/>
      <c r="F1279" s="19" t="n"/>
      <c r="G1279" s="19" t="n"/>
      <c r="H1279" s="19" t="n"/>
      <c r="I1279" s="19" t="n"/>
      <c r="J1279" s="19" t="n"/>
      <c r="K1279" s="19" t="n"/>
    </row>
    <row r="1280">
      <c r="A1280" s="19" t="n"/>
      <c r="B1280" s="19" t="n"/>
      <c r="C1280" s="19" t="n"/>
      <c r="D1280" s="19" t="n"/>
      <c r="E1280" s="19" t="n"/>
      <c r="F1280" s="19" t="n"/>
      <c r="G1280" s="19" t="n"/>
      <c r="H1280" s="19" t="n"/>
      <c r="I1280" s="19" t="n"/>
      <c r="J1280" s="19" t="n"/>
      <c r="K1280" s="19" t="n"/>
    </row>
    <row r="1281">
      <c r="A1281" s="19" t="n"/>
      <c r="B1281" s="19" t="n"/>
      <c r="C1281" s="19" t="n"/>
      <c r="D1281" s="19" t="n"/>
      <c r="E1281" s="19" t="n"/>
      <c r="F1281" s="19" t="n"/>
      <c r="G1281" s="19" t="n"/>
      <c r="H1281" s="19" t="n"/>
      <c r="I1281" s="19" t="n"/>
      <c r="J1281" s="19" t="n"/>
      <c r="K1281" s="19" t="n"/>
    </row>
    <row r="1282">
      <c r="A1282" s="19" t="n"/>
      <c r="B1282" s="19" t="n"/>
      <c r="C1282" s="19" t="n"/>
      <c r="D1282" s="19" t="n"/>
      <c r="E1282" s="19" t="n"/>
      <c r="F1282" s="19" t="n"/>
      <c r="G1282" s="19" t="n"/>
      <c r="H1282" s="19" t="n"/>
      <c r="I1282" s="19" t="n"/>
      <c r="J1282" s="19" t="n"/>
      <c r="K1282" s="19" t="n"/>
    </row>
    <row r="1283">
      <c r="A1283" s="19" t="n"/>
      <c r="B1283" s="19" t="n"/>
      <c r="C1283" s="19" t="n"/>
      <c r="D1283" s="19" t="n"/>
      <c r="E1283" s="19" t="n"/>
      <c r="F1283" s="19" t="n"/>
      <c r="G1283" s="19" t="n"/>
      <c r="H1283" s="19" t="n"/>
      <c r="I1283" s="19" t="n"/>
      <c r="J1283" s="19" t="n"/>
      <c r="K1283" s="19" t="n"/>
    </row>
    <row r="1284">
      <c r="A1284" s="19" t="n"/>
      <c r="B1284" s="19" t="n"/>
      <c r="C1284" s="19" t="n"/>
      <c r="D1284" s="19" t="n"/>
      <c r="E1284" s="19" t="n"/>
      <c r="F1284" s="19" t="n"/>
      <c r="G1284" s="19" t="n"/>
      <c r="H1284" s="19" t="n"/>
      <c r="I1284" s="19" t="n"/>
      <c r="J1284" s="19" t="n"/>
      <c r="K1284" s="19" t="n"/>
    </row>
    <row r="1285">
      <c r="A1285" s="19" t="n"/>
      <c r="B1285" s="19" t="n"/>
      <c r="C1285" s="19" t="n"/>
      <c r="D1285" s="19" t="n"/>
      <c r="E1285" s="19" t="n"/>
      <c r="F1285" s="19" t="n"/>
      <c r="G1285" s="19" t="n"/>
      <c r="H1285" s="19" t="n"/>
      <c r="I1285" s="19" t="n"/>
      <c r="J1285" s="19" t="n"/>
      <c r="K1285" s="19" t="n"/>
    </row>
    <row r="1286">
      <c r="A1286" s="19" t="n"/>
      <c r="B1286" s="19" t="n"/>
      <c r="C1286" s="19" t="n"/>
      <c r="D1286" s="19" t="n"/>
      <c r="E1286" s="19" t="n"/>
      <c r="F1286" s="19" t="n"/>
      <c r="G1286" s="19" t="n"/>
      <c r="H1286" s="19" t="n"/>
      <c r="I1286" s="19" t="n"/>
      <c r="J1286" s="19" t="n"/>
      <c r="K1286" s="19" t="n"/>
    </row>
    <row r="1287">
      <c r="A1287" s="19" t="n"/>
      <c r="B1287" s="19" t="n"/>
      <c r="C1287" s="19" t="n"/>
      <c r="D1287" s="19" t="n"/>
      <c r="E1287" s="19" t="n"/>
      <c r="F1287" s="19" t="n"/>
      <c r="G1287" s="19" t="n"/>
      <c r="H1287" s="19" t="n"/>
      <c r="I1287" s="19" t="n"/>
      <c r="J1287" s="19" t="n"/>
      <c r="K1287" s="19" t="n"/>
    </row>
    <row r="1288">
      <c r="A1288" s="19" t="n"/>
      <c r="B1288" s="19" t="n"/>
      <c r="C1288" s="19" t="n"/>
      <c r="D1288" s="19" t="n"/>
      <c r="E1288" s="19" t="n"/>
      <c r="F1288" s="19" t="n"/>
      <c r="G1288" s="19" t="n"/>
      <c r="H1288" s="19" t="n"/>
      <c r="I1288" s="19" t="n"/>
      <c r="J1288" s="19" t="n"/>
      <c r="K1288" s="19" t="n"/>
    </row>
    <row r="1289">
      <c r="A1289" s="19" t="n"/>
      <c r="B1289" s="19" t="n"/>
      <c r="C1289" s="19" t="n"/>
      <c r="D1289" s="19" t="n"/>
      <c r="E1289" s="19" t="n"/>
      <c r="F1289" s="19" t="n"/>
      <c r="G1289" s="19" t="n"/>
      <c r="H1289" s="19" t="n"/>
      <c r="I1289" s="19" t="n"/>
      <c r="J1289" s="19" t="n"/>
      <c r="K1289" s="19" t="n"/>
    </row>
    <row r="1290">
      <c r="A1290" s="19" t="n"/>
      <c r="B1290" s="19" t="n"/>
      <c r="C1290" s="19" t="n"/>
      <c r="D1290" s="19" t="n"/>
      <c r="E1290" s="19" t="n"/>
      <c r="F1290" s="19" t="n"/>
      <c r="G1290" s="19" t="n"/>
      <c r="H1290" s="19" t="n"/>
      <c r="I1290" s="19" t="n"/>
      <c r="J1290" s="19" t="n"/>
      <c r="K1290" s="19" t="n"/>
    </row>
    <row r="1291">
      <c r="A1291" s="19" t="n"/>
      <c r="B1291" s="19" t="n"/>
      <c r="C1291" s="19" t="n"/>
      <c r="D1291" s="19" t="n"/>
      <c r="E1291" s="19" t="n"/>
      <c r="F1291" s="19" t="n"/>
      <c r="G1291" s="19" t="n"/>
      <c r="H1291" s="19" t="n"/>
      <c r="I1291" s="19" t="n"/>
      <c r="J1291" s="19" t="n"/>
      <c r="K1291" s="19" t="n"/>
    </row>
    <row r="1292">
      <c r="A1292" s="19" t="n"/>
      <c r="B1292" s="19" t="n"/>
      <c r="C1292" s="19" t="n"/>
      <c r="D1292" s="19" t="n"/>
      <c r="E1292" s="19" t="n"/>
      <c r="F1292" s="19" t="n"/>
      <c r="G1292" s="19" t="n"/>
      <c r="H1292" s="19" t="n"/>
      <c r="I1292" s="19" t="n"/>
      <c r="J1292" s="19" t="n"/>
      <c r="K1292" s="19" t="n"/>
    </row>
    <row r="1293">
      <c r="A1293" s="19" t="n"/>
      <c r="B1293" s="19" t="n"/>
      <c r="C1293" s="19" t="n"/>
      <c r="D1293" s="19" t="n"/>
      <c r="E1293" s="19" t="n"/>
      <c r="F1293" s="19" t="n"/>
      <c r="G1293" s="19" t="n"/>
      <c r="H1293" s="19" t="n"/>
      <c r="I1293" s="19" t="n"/>
      <c r="J1293" s="19" t="n"/>
      <c r="K1293" s="19" t="n"/>
    </row>
    <row r="1294">
      <c r="A1294" s="19" t="n"/>
      <c r="B1294" s="19" t="n"/>
      <c r="C1294" s="19" t="n"/>
      <c r="D1294" s="19" t="n"/>
      <c r="E1294" s="19" t="n"/>
      <c r="F1294" s="19" t="n"/>
      <c r="G1294" s="19" t="n"/>
      <c r="H1294" s="19" t="n"/>
      <c r="I1294" s="19" t="n"/>
      <c r="J1294" s="19" t="n"/>
      <c r="K1294" s="19" t="n"/>
    </row>
    <row r="1295">
      <c r="A1295" s="19" t="n"/>
      <c r="B1295" s="19" t="n"/>
      <c r="C1295" s="19" t="n"/>
      <c r="D1295" s="19" t="n"/>
      <c r="E1295" s="19" t="n"/>
      <c r="F1295" s="19" t="n"/>
      <c r="G1295" s="19" t="n"/>
      <c r="H1295" s="19" t="n"/>
      <c r="I1295" s="19" t="n"/>
      <c r="J1295" s="19" t="n"/>
      <c r="K1295" s="19" t="n"/>
    </row>
    <row r="1296">
      <c r="A1296" s="19" t="n"/>
      <c r="B1296" s="19" t="n"/>
      <c r="C1296" s="19" t="n"/>
      <c r="D1296" s="19" t="n"/>
      <c r="E1296" s="19" t="n"/>
      <c r="F1296" s="19" t="n"/>
      <c r="G1296" s="19" t="n"/>
      <c r="H1296" s="19" t="n"/>
      <c r="I1296" s="19" t="n"/>
      <c r="J1296" s="19" t="n"/>
      <c r="K1296" s="19" t="n"/>
    </row>
    <row r="1297">
      <c r="A1297" s="19" t="n"/>
      <c r="B1297" s="19" t="n"/>
      <c r="C1297" s="19" t="n"/>
      <c r="D1297" s="19" t="n"/>
      <c r="E1297" s="19" t="n"/>
      <c r="F1297" s="19" t="n"/>
      <c r="G1297" s="19" t="n"/>
      <c r="H1297" s="19" t="n"/>
      <c r="I1297" s="19" t="n"/>
      <c r="J1297" s="19" t="n"/>
      <c r="K1297" s="19" t="n"/>
    </row>
    <row r="1298">
      <c r="A1298" s="19" t="n"/>
      <c r="B1298" s="19" t="n"/>
      <c r="C1298" s="19" t="n"/>
      <c r="D1298" s="19" t="n"/>
      <c r="E1298" s="19" t="n"/>
      <c r="F1298" s="19" t="n"/>
      <c r="G1298" s="19" t="n"/>
      <c r="H1298" s="19" t="n"/>
      <c r="I1298" s="19" t="n"/>
      <c r="J1298" s="19" t="n"/>
      <c r="K1298" s="19" t="n"/>
    </row>
    <row r="1299">
      <c r="A1299" s="19" t="n"/>
      <c r="B1299" s="19" t="n"/>
      <c r="C1299" s="19" t="n"/>
      <c r="D1299" s="19" t="n"/>
      <c r="E1299" s="19" t="n"/>
      <c r="F1299" s="19" t="n"/>
      <c r="G1299" s="19" t="n"/>
      <c r="H1299" s="19" t="n"/>
      <c r="I1299" s="19" t="n"/>
      <c r="J1299" s="19" t="n"/>
      <c r="K1299" s="19" t="n"/>
    </row>
    <row r="1300">
      <c r="A1300" s="19" t="n"/>
      <c r="B1300" s="19" t="n"/>
      <c r="C1300" s="19" t="n"/>
      <c r="D1300" s="19" t="n"/>
      <c r="E1300" s="19" t="n"/>
      <c r="F1300" s="19" t="n"/>
      <c r="G1300" s="19" t="n"/>
      <c r="H1300" s="19" t="n"/>
      <c r="I1300" s="19" t="n"/>
      <c r="J1300" s="19" t="n"/>
      <c r="K1300" s="19" t="n"/>
    </row>
    <row r="1301">
      <c r="A1301" s="19" t="n"/>
      <c r="B1301" s="19" t="n"/>
      <c r="C1301" s="19" t="n"/>
      <c r="D1301" s="19" t="n"/>
      <c r="E1301" s="19" t="n"/>
      <c r="F1301" s="19" t="n"/>
      <c r="G1301" s="19" t="n"/>
      <c r="H1301" s="19" t="n"/>
      <c r="I1301" s="19" t="n"/>
      <c r="J1301" s="19" t="n"/>
      <c r="K1301" s="19" t="n"/>
    </row>
    <row r="1302">
      <c r="A1302" s="19" t="n"/>
      <c r="B1302" s="19" t="n"/>
      <c r="C1302" s="19" t="n"/>
      <c r="D1302" s="19" t="n"/>
      <c r="E1302" s="19" t="n"/>
      <c r="F1302" s="19" t="n"/>
      <c r="G1302" s="19" t="n"/>
      <c r="H1302" s="19" t="n"/>
      <c r="I1302" s="19" t="n"/>
      <c r="J1302" s="19" t="n"/>
      <c r="K1302" s="19" t="n"/>
    </row>
    <row r="1303">
      <c r="A1303" s="19" t="n"/>
      <c r="B1303" s="19" t="n"/>
      <c r="C1303" s="19" t="n"/>
      <c r="D1303" s="19" t="n"/>
      <c r="E1303" s="19" t="n"/>
      <c r="F1303" s="19" t="n"/>
      <c r="G1303" s="19" t="n"/>
      <c r="H1303" s="19" t="n"/>
      <c r="I1303" s="19" t="n"/>
      <c r="J1303" s="19" t="n"/>
      <c r="K1303" s="19" t="n"/>
    </row>
    <row r="1304">
      <c r="A1304" s="19" t="n"/>
      <c r="B1304" s="19" t="n"/>
      <c r="C1304" s="19" t="n"/>
      <c r="D1304" s="19" t="n"/>
      <c r="E1304" s="19" t="n"/>
      <c r="F1304" s="19" t="n"/>
      <c r="G1304" s="19" t="n"/>
      <c r="H1304" s="19" t="n"/>
      <c r="I1304" s="19" t="n"/>
      <c r="J1304" s="19" t="n"/>
      <c r="K1304" s="19" t="n"/>
    </row>
    <row r="1305">
      <c r="A1305" s="19" t="n"/>
      <c r="B1305" s="19" t="n"/>
      <c r="C1305" s="19" t="n"/>
      <c r="D1305" s="19" t="n"/>
      <c r="E1305" s="19" t="n"/>
      <c r="F1305" s="19" t="n"/>
      <c r="G1305" s="19" t="n"/>
      <c r="H1305" s="19" t="n"/>
      <c r="I1305" s="19" t="n"/>
      <c r="J1305" s="19" t="n"/>
      <c r="K1305" s="19" t="n"/>
    </row>
    <row r="1306">
      <c r="A1306" s="19" t="n"/>
      <c r="B1306" s="19" t="n"/>
      <c r="C1306" s="19" t="n"/>
      <c r="D1306" s="19" t="n"/>
      <c r="E1306" s="19" t="n"/>
      <c r="F1306" s="19" t="n"/>
      <c r="G1306" s="19" t="n"/>
      <c r="H1306" s="19" t="n"/>
      <c r="I1306" s="19" t="n"/>
      <c r="J1306" s="19" t="n"/>
      <c r="K1306" s="19" t="n"/>
    </row>
    <row r="1307">
      <c r="A1307" s="19" t="n"/>
      <c r="B1307" s="19" t="n"/>
      <c r="C1307" s="19" t="n"/>
      <c r="D1307" s="19" t="n"/>
      <c r="E1307" s="19" t="n"/>
      <c r="F1307" s="19" t="n"/>
      <c r="G1307" s="19" t="n"/>
      <c r="H1307" s="19" t="n"/>
      <c r="I1307" s="19" t="n"/>
      <c r="J1307" s="19" t="n"/>
      <c r="K1307" s="19" t="n"/>
    </row>
    <row r="1308">
      <c r="A1308" s="19" t="n"/>
      <c r="B1308" s="19" t="n"/>
      <c r="C1308" s="19" t="n"/>
      <c r="D1308" s="19" t="n"/>
      <c r="E1308" s="19" t="n"/>
      <c r="F1308" s="19" t="n"/>
      <c r="G1308" s="19" t="n"/>
      <c r="H1308" s="19" t="n"/>
      <c r="I1308" s="19" t="n"/>
      <c r="J1308" s="19" t="n"/>
      <c r="K1308" s="19" t="n"/>
    </row>
    <row r="1309">
      <c r="A1309" s="19" t="n"/>
      <c r="B1309" s="19" t="n"/>
      <c r="C1309" s="19" t="n"/>
      <c r="D1309" s="19" t="n"/>
      <c r="E1309" s="19" t="n"/>
      <c r="F1309" s="19" t="n"/>
      <c r="G1309" s="19" t="n"/>
      <c r="H1309" s="19" t="n"/>
      <c r="I1309" s="19" t="n"/>
      <c r="J1309" s="19" t="n"/>
      <c r="K1309" s="19" t="n"/>
    </row>
    <row r="1310">
      <c r="A1310" s="19" t="n"/>
      <c r="B1310" s="19" t="n"/>
      <c r="C1310" s="19" t="n"/>
      <c r="D1310" s="19" t="n"/>
      <c r="E1310" s="19" t="n"/>
      <c r="F1310" s="19" t="n"/>
      <c r="G1310" s="19" t="n"/>
      <c r="H1310" s="19" t="n"/>
      <c r="I1310" s="19" t="n"/>
      <c r="J1310" s="19" t="n"/>
      <c r="K1310" s="19" t="n"/>
    </row>
    <row r="1311">
      <c r="A1311" s="19" t="n"/>
      <c r="B1311" s="19" t="n"/>
      <c r="C1311" s="19" t="n"/>
      <c r="D1311" s="19" t="n"/>
      <c r="E1311" s="19" t="n"/>
      <c r="F1311" s="19" t="n"/>
      <c r="G1311" s="19" t="n"/>
      <c r="H1311" s="19" t="n"/>
      <c r="I1311" s="19" t="n"/>
      <c r="J1311" s="19" t="n"/>
      <c r="K1311" s="19" t="n"/>
    </row>
    <row r="1312">
      <c r="A1312" s="19" t="n"/>
      <c r="B1312" s="19" t="n"/>
      <c r="C1312" s="19" t="n"/>
      <c r="D1312" s="19" t="n"/>
      <c r="E1312" s="19" t="n"/>
      <c r="F1312" s="19" t="n"/>
      <c r="G1312" s="19" t="n"/>
      <c r="H1312" s="19" t="n"/>
      <c r="I1312" s="19" t="n"/>
      <c r="J1312" s="19" t="n"/>
      <c r="K1312" s="19" t="n"/>
    </row>
    <row r="1313">
      <c r="A1313" s="19" t="n"/>
      <c r="B1313" s="19" t="n"/>
      <c r="C1313" s="19" t="n"/>
      <c r="D1313" s="19" t="n"/>
      <c r="E1313" s="19" t="n"/>
      <c r="F1313" s="19" t="n"/>
      <c r="G1313" s="19" t="n"/>
      <c r="H1313" s="19" t="n"/>
      <c r="I1313" s="19" t="n"/>
      <c r="J1313" s="19" t="n"/>
      <c r="K1313" s="19" t="n"/>
    </row>
    <row r="1314">
      <c r="A1314" s="19" t="n"/>
      <c r="B1314" s="19" t="n"/>
      <c r="C1314" s="19" t="n"/>
      <c r="D1314" s="19" t="n"/>
      <c r="E1314" s="19" t="n"/>
      <c r="F1314" s="19" t="n"/>
      <c r="G1314" s="19" t="n"/>
      <c r="H1314" s="19" t="n"/>
      <c r="I1314" s="19" t="n"/>
      <c r="J1314" s="19" t="n"/>
      <c r="K1314" s="19" t="n"/>
    </row>
    <row r="1315">
      <c r="A1315" s="19" t="n"/>
      <c r="B1315" s="19" t="n"/>
      <c r="C1315" s="19" t="n"/>
      <c r="D1315" s="19" t="n"/>
      <c r="E1315" s="19" t="n"/>
      <c r="F1315" s="19" t="n"/>
      <c r="G1315" s="19" t="n"/>
      <c r="H1315" s="19" t="n"/>
      <c r="I1315" s="19" t="n"/>
      <c r="J1315" s="19" t="n"/>
      <c r="K1315" s="19" t="n"/>
    </row>
    <row r="1316">
      <c r="A1316" s="19" t="n"/>
      <c r="B1316" s="19" t="n"/>
      <c r="C1316" s="19" t="n"/>
      <c r="D1316" s="19" t="n"/>
      <c r="E1316" s="19" t="n"/>
      <c r="F1316" s="19" t="n"/>
      <c r="G1316" s="19" t="n"/>
      <c r="H1316" s="19" t="n"/>
      <c r="I1316" s="19" t="n"/>
      <c r="J1316" s="19" t="n"/>
      <c r="K1316" s="19" t="n"/>
    </row>
    <row r="1317">
      <c r="A1317" s="19" t="n"/>
      <c r="B1317" s="19" t="n"/>
      <c r="C1317" s="19" t="n"/>
      <c r="D1317" s="19" t="n"/>
      <c r="E1317" s="19" t="n"/>
      <c r="F1317" s="19" t="n"/>
      <c r="G1317" s="19" t="n"/>
      <c r="H1317" s="19" t="n"/>
      <c r="I1317" s="19" t="n"/>
      <c r="J1317" s="19" t="n"/>
      <c r="K1317" s="19" t="n"/>
    </row>
    <row r="1318">
      <c r="A1318" s="19" t="n"/>
      <c r="B1318" s="19" t="n"/>
      <c r="C1318" s="19" t="n"/>
      <c r="D1318" s="19" t="n"/>
      <c r="E1318" s="19" t="n"/>
      <c r="F1318" s="19" t="n"/>
      <c r="G1318" s="19" t="n"/>
      <c r="H1318" s="19" t="n"/>
      <c r="I1318" s="19" t="n"/>
      <c r="J1318" s="19" t="n"/>
      <c r="K1318" s="19" t="n"/>
    </row>
    <row r="1319">
      <c r="A1319" s="19" t="n"/>
      <c r="B1319" s="19" t="n"/>
      <c r="C1319" s="19" t="n"/>
      <c r="D1319" s="19" t="n"/>
      <c r="E1319" s="19" t="n"/>
      <c r="F1319" s="19" t="n"/>
      <c r="G1319" s="19" t="n"/>
      <c r="H1319" s="19" t="n"/>
      <c r="I1319" s="19" t="n"/>
      <c r="J1319" s="19" t="n"/>
      <c r="K1319" s="19" t="n"/>
    </row>
    <row r="1320">
      <c r="A1320" s="19" t="n"/>
      <c r="B1320" s="19" t="n"/>
      <c r="C1320" s="19" t="n"/>
      <c r="D1320" s="19" t="n"/>
      <c r="E1320" s="19" t="n"/>
      <c r="F1320" s="19" t="n"/>
      <c r="G1320" s="19" t="n"/>
      <c r="H1320" s="19" t="n"/>
      <c r="I1320" s="19" t="n"/>
      <c r="J1320" s="19" t="n"/>
      <c r="K1320" s="19" t="n"/>
    </row>
    <row r="1321">
      <c r="A1321" s="19" t="n"/>
      <c r="B1321" s="19" t="n"/>
      <c r="C1321" s="19" t="n"/>
      <c r="D1321" s="19" t="n"/>
      <c r="E1321" s="19" t="n"/>
      <c r="F1321" s="19" t="n"/>
      <c r="G1321" s="19" t="n"/>
      <c r="H1321" s="19" t="n"/>
      <c r="I1321" s="19" t="n"/>
      <c r="J1321" s="19" t="n"/>
      <c r="K1321" s="19" t="n"/>
    </row>
    <row r="1322">
      <c r="A1322" s="19" t="n"/>
      <c r="B1322" s="19" t="n"/>
      <c r="C1322" s="19" t="n"/>
      <c r="D1322" s="19" t="n"/>
      <c r="E1322" s="19" t="n"/>
      <c r="F1322" s="19" t="n"/>
      <c r="G1322" s="19" t="n"/>
      <c r="H1322" s="19" t="n"/>
      <c r="I1322" s="19" t="n"/>
      <c r="J1322" s="19" t="n"/>
      <c r="K1322" s="19" t="n"/>
    </row>
    <row r="1323">
      <c r="A1323" s="19" t="n"/>
      <c r="B1323" s="19" t="n"/>
      <c r="C1323" s="19" t="n"/>
      <c r="D1323" s="19" t="n"/>
      <c r="E1323" s="19" t="n"/>
      <c r="F1323" s="19" t="n"/>
      <c r="G1323" s="19" t="n"/>
      <c r="H1323" s="19" t="n"/>
      <c r="I1323" s="19" t="n"/>
      <c r="J1323" s="19" t="n"/>
      <c r="K1323" s="19" t="n"/>
    </row>
    <row r="1324">
      <c r="A1324" s="19" t="n"/>
      <c r="B1324" s="19" t="n"/>
      <c r="C1324" s="19" t="n"/>
      <c r="D1324" s="19" t="n"/>
      <c r="E1324" s="19" t="n"/>
      <c r="F1324" s="19" t="n"/>
      <c r="G1324" s="19" t="n"/>
      <c r="H1324" s="19" t="n"/>
      <c r="I1324" s="19" t="n"/>
      <c r="J1324" s="19" t="n"/>
      <c r="K1324" s="19" t="n"/>
    </row>
    <row r="1325">
      <c r="A1325" s="19" t="n"/>
      <c r="B1325" s="19" t="n"/>
      <c r="C1325" s="19" t="n"/>
      <c r="D1325" s="19" t="n"/>
      <c r="E1325" s="19" t="n"/>
      <c r="F1325" s="19" t="n"/>
      <c r="G1325" s="19" t="n"/>
      <c r="H1325" s="19" t="n"/>
      <c r="I1325" s="19" t="n"/>
      <c r="J1325" s="19" t="n"/>
      <c r="K1325" s="19" t="n"/>
    </row>
    <row r="1326">
      <c r="A1326" s="19" t="n"/>
      <c r="B1326" s="19" t="n"/>
      <c r="C1326" s="19" t="n"/>
      <c r="D1326" s="19" t="n"/>
      <c r="E1326" s="19" t="n"/>
      <c r="F1326" s="19" t="n"/>
      <c r="G1326" s="19" t="n"/>
      <c r="H1326" s="19" t="n"/>
      <c r="I1326" s="19" t="n"/>
      <c r="J1326" s="19" t="n"/>
      <c r="K1326" s="19" t="n"/>
    </row>
    <row r="1327">
      <c r="A1327" s="19" t="n"/>
      <c r="B1327" s="19" t="n"/>
      <c r="C1327" s="19" t="n"/>
      <c r="D1327" s="19" t="n"/>
      <c r="E1327" s="19" t="n"/>
      <c r="F1327" s="19" t="n"/>
      <c r="G1327" s="19" t="n"/>
      <c r="H1327" s="19" t="n"/>
      <c r="I1327" s="19" t="n"/>
      <c r="J1327" s="19" t="n"/>
      <c r="K1327" s="19" t="n"/>
    </row>
    <row r="1328">
      <c r="A1328" s="19" t="n"/>
      <c r="B1328" s="19" t="n"/>
      <c r="C1328" s="19" t="n"/>
      <c r="D1328" s="19" t="n"/>
      <c r="E1328" s="19" t="n"/>
      <c r="F1328" s="19" t="n"/>
      <c r="G1328" s="19" t="n"/>
      <c r="H1328" s="19" t="n"/>
      <c r="I1328" s="19" t="n"/>
      <c r="J1328" s="19" t="n"/>
      <c r="K1328" s="19" t="n"/>
    </row>
    <row r="1329">
      <c r="A1329" s="19" t="n"/>
      <c r="B1329" s="19" t="n"/>
      <c r="C1329" s="19" t="n"/>
      <c r="D1329" s="19" t="n"/>
      <c r="E1329" s="19" t="n"/>
      <c r="F1329" s="19" t="n"/>
      <c r="G1329" s="19" t="n"/>
      <c r="H1329" s="19" t="n"/>
      <c r="I1329" s="19" t="n"/>
      <c r="J1329" s="19" t="n"/>
      <c r="K1329" s="19" t="n"/>
    </row>
    <row r="1330">
      <c r="A1330" s="19" t="n"/>
      <c r="B1330" s="19" t="n"/>
      <c r="C1330" s="19" t="n"/>
      <c r="D1330" s="19" t="n"/>
      <c r="E1330" s="19" t="n"/>
      <c r="F1330" s="19" t="n"/>
      <c r="G1330" s="19" t="n"/>
      <c r="H1330" s="19" t="n"/>
      <c r="I1330" s="19" t="n"/>
      <c r="J1330" s="19" t="n"/>
      <c r="K1330" s="19" t="n"/>
    </row>
    <row r="1331">
      <c r="A1331" s="19" t="n"/>
      <c r="B1331" s="19" t="n"/>
      <c r="C1331" s="19" t="n"/>
      <c r="D1331" s="19" t="n"/>
      <c r="E1331" s="19" t="n"/>
      <c r="F1331" s="19" t="n"/>
      <c r="G1331" s="19" t="n"/>
      <c r="H1331" s="19" t="n"/>
      <c r="I1331" s="19" t="n"/>
      <c r="J1331" s="19" t="n"/>
      <c r="K1331" s="19" t="n"/>
    </row>
    <row r="1332">
      <c r="A1332" s="19" t="n"/>
      <c r="B1332" s="19" t="n"/>
      <c r="C1332" s="19" t="n"/>
      <c r="D1332" s="19" t="n"/>
      <c r="E1332" s="19" t="n"/>
      <c r="F1332" s="19" t="n"/>
      <c r="G1332" s="19" t="n"/>
      <c r="H1332" s="19" t="n"/>
      <c r="I1332" s="19" t="n"/>
      <c r="J1332" s="19" t="n"/>
      <c r="K1332" s="19" t="n"/>
    </row>
    <row r="1333">
      <c r="A1333" s="19" t="n"/>
      <c r="B1333" s="19" t="n"/>
      <c r="C1333" s="19" t="n"/>
      <c r="D1333" s="19" t="n"/>
      <c r="E1333" s="19" t="n"/>
      <c r="F1333" s="19" t="n"/>
      <c r="G1333" s="19" t="n"/>
      <c r="H1333" s="19" t="n"/>
      <c r="I1333" s="19" t="n"/>
      <c r="J1333" s="19" t="n"/>
      <c r="K1333" s="19" t="n"/>
    </row>
    <row r="1334">
      <c r="A1334" s="19" t="n"/>
      <c r="B1334" s="19" t="n"/>
      <c r="C1334" s="19" t="n"/>
      <c r="D1334" s="19" t="n"/>
      <c r="E1334" s="19" t="n"/>
      <c r="F1334" s="19" t="n"/>
      <c r="G1334" s="19" t="n"/>
      <c r="H1334" s="19" t="n"/>
      <c r="I1334" s="19" t="n"/>
      <c r="J1334" s="19" t="n"/>
      <c r="K1334" s="19" t="n"/>
    </row>
    <row r="1335">
      <c r="A1335" s="19" t="n"/>
      <c r="B1335" s="19" t="n"/>
      <c r="C1335" s="19" t="n"/>
      <c r="D1335" s="19" t="n"/>
      <c r="E1335" s="19" t="n"/>
      <c r="F1335" s="19" t="n"/>
      <c r="G1335" s="19" t="n"/>
      <c r="H1335" s="19" t="n"/>
      <c r="I1335" s="19" t="n"/>
      <c r="J1335" s="19" t="n"/>
      <c r="K1335" s="19" t="n"/>
    </row>
    <row r="1336">
      <c r="A1336" s="19" t="n"/>
      <c r="B1336" s="19" t="n"/>
      <c r="C1336" s="19" t="n"/>
      <c r="D1336" s="19" t="n"/>
      <c r="E1336" s="19" t="n"/>
      <c r="F1336" s="19" t="n"/>
      <c r="G1336" s="19" t="n"/>
      <c r="H1336" s="19" t="n"/>
      <c r="I1336" s="19" t="n"/>
      <c r="J1336" s="19" t="n"/>
      <c r="K1336" s="19" t="n"/>
    </row>
    <row r="1337">
      <c r="A1337" s="19" t="n"/>
      <c r="B1337" s="19" t="n"/>
      <c r="C1337" s="19" t="n"/>
      <c r="D1337" s="19" t="n"/>
      <c r="E1337" s="19" t="n"/>
      <c r="F1337" s="19" t="n"/>
      <c r="G1337" s="19" t="n"/>
      <c r="H1337" s="19" t="n"/>
      <c r="I1337" s="19" t="n"/>
      <c r="J1337" s="19" t="n"/>
      <c r="K1337" s="19" t="n"/>
    </row>
    <row r="1338">
      <c r="A1338" s="19" t="n"/>
      <c r="B1338" s="19" t="n"/>
      <c r="C1338" s="19" t="n"/>
      <c r="D1338" s="19" t="n"/>
      <c r="E1338" s="19" t="n"/>
      <c r="F1338" s="19" t="n"/>
      <c r="G1338" s="19" t="n"/>
      <c r="H1338" s="19" t="n"/>
      <c r="I1338" s="19" t="n"/>
      <c r="J1338" s="19" t="n"/>
      <c r="K1338" s="19" t="n"/>
    </row>
    <row r="1339">
      <c r="A1339" s="19" t="n"/>
      <c r="B1339" s="19" t="n"/>
      <c r="C1339" s="19" t="n"/>
      <c r="D1339" s="19" t="n"/>
      <c r="E1339" s="19" t="n"/>
      <c r="F1339" s="19" t="n"/>
      <c r="G1339" s="19" t="n"/>
      <c r="H1339" s="19" t="n"/>
      <c r="I1339" s="19" t="n"/>
      <c r="J1339" s="19" t="n"/>
      <c r="K1339" s="19" t="n"/>
    </row>
    <row r="1340">
      <c r="A1340" s="19" t="n"/>
      <c r="B1340" s="19" t="n"/>
      <c r="C1340" s="19" t="n"/>
      <c r="D1340" s="19" t="n"/>
      <c r="E1340" s="19" t="n"/>
      <c r="F1340" s="19" t="n"/>
      <c r="G1340" s="19" t="n"/>
      <c r="H1340" s="19" t="n"/>
      <c r="I1340" s="19" t="n"/>
      <c r="J1340" s="19" t="n"/>
      <c r="K1340" s="19" t="n"/>
    </row>
    <row r="1341">
      <c r="A1341" s="19" t="n"/>
      <c r="B1341" s="19" t="n"/>
      <c r="C1341" s="19" t="n"/>
      <c r="D1341" s="19" t="n"/>
      <c r="E1341" s="19" t="n"/>
      <c r="F1341" s="19" t="n"/>
      <c r="G1341" s="19" t="n"/>
      <c r="H1341" s="19" t="n"/>
      <c r="I1341" s="19" t="n"/>
      <c r="J1341" s="19" t="n"/>
      <c r="K1341" s="19" t="n"/>
    </row>
    <row r="1342">
      <c r="A1342" s="19" t="n"/>
      <c r="B1342" s="19" t="n"/>
      <c r="C1342" s="19" t="n"/>
      <c r="D1342" s="19" t="n"/>
      <c r="E1342" s="19" t="n"/>
      <c r="F1342" s="19" t="n"/>
      <c r="G1342" s="19" t="n"/>
      <c r="H1342" s="19" t="n"/>
      <c r="I1342" s="19" t="n"/>
      <c r="J1342" s="19" t="n"/>
      <c r="K1342" s="19" t="n"/>
    </row>
    <row r="1343">
      <c r="A1343" s="19" t="n"/>
      <c r="B1343" s="19" t="n"/>
      <c r="C1343" s="19" t="n"/>
      <c r="D1343" s="19" t="n"/>
      <c r="E1343" s="19" t="n"/>
      <c r="F1343" s="19" t="n"/>
      <c r="G1343" s="19" t="n"/>
      <c r="H1343" s="19" t="n"/>
      <c r="I1343" s="19" t="n"/>
      <c r="J1343" s="19" t="n"/>
      <c r="K1343" s="19" t="n"/>
    </row>
    <row r="1344">
      <c r="A1344" s="19" t="n"/>
      <c r="B1344" s="19" t="n"/>
      <c r="C1344" s="19" t="n"/>
      <c r="D1344" s="19" t="n"/>
      <c r="E1344" s="19" t="n"/>
      <c r="F1344" s="19" t="n"/>
      <c r="G1344" s="19" t="n"/>
      <c r="H1344" s="19" t="n"/>
      <c r="I1344" s="19" t="n"/>
      <c r="J1344" s="19" t="n"/>
      <c r="K1344" s="19" t="n"/>
    </row>
    <row r="1345">
      <c r="A1345" s="19" t="n"/>
      <c r="B1345" s="19" t="n"/>
      <c r="C1345" s="19" t="n"/>
      <c r="D1345" s="19" t="n"/>
      <c r="E1345" s="19" t="n"/>
      <c r="F1345" s="19" t="n"/>
      <c r="G1345" s="19" t="n"/>
      <c r="H1345" s="19" t="n"/>
      <c r="I1345" s="19" t="n"/>
      <c r="J1345" s="19" t="n"/>
      <c r="K1345" s="19" t="n"/>
    </row>
    <row r="1346">
      <c r="A1346" s="19" t="n"/>
      <c r="B1346" s="19" t="n"/>
      <c r="C1346" s="19" t="n"/>
      <c r="D1346" s="19" t="n"/>
      <c r="E1346" s="19" t="n"/>
      <c r="F1346" s="19" t="n"/>
      <c r="G1346" s="19" t="n"/>
      <c r="H1346" s="19" t="n"/>
      <c r="I1346" s="19" t="n"/>
      <c r="J1346" s="19" t="n"/>
      <c r="K1346" s="19" t="n"/>
    </row>
    <row r="1347">
      <c r="A1347" s="19" t="n"/>
      <c r="B1347" s="19" t="n"/>
      <c r="C1347" s="19" t="n"/>
      <c r="D1347" s="19" t="n"/>
      <c r="E1347" s="19" t="n"/>
      <c r="F1347" s="19" t="n"/>
      <c r="G1347" s="19" t="n"/>
      <c r="H1347" s="19" t="n"/>
      <c r="I1347" s="19" t="n"/>
      <c r="J1347" s="19" t="n"/>
      <c r="K1347" s="19" t="n"/>
    </row>
    <row r="1348">
      <c r="A1348" s="19" t="n"/>
      <c r="B1348" s="19" t="n"/>
      <c r="C1348" s="19" t="n"/>
      <c r="D1348" s="19" t="n"/>
      <c r="E1348" s="19" t="n"/>
      <c r="F1348" s="19" t="n"/>
      <c r="G1348" s="19" t="n"/>
      <c r="H1348" s="19" t="n"/>
      <c r="I1348" s="19" t="n"/>
      <c r="J1348" s="19" t="n"/>
      <c r="K1348" s="19" t="n"/>
    </row>
    <row r="1349">
      <c r="A1349" s="19" t="n"/>
      <c r="B1349" s="19" t="n"/>
      <c r="C1349" s="19" t="n"/>
      <c r="D1349" s="19" t="n"/>
      <c r="E1349" s="19" t="n"/>
      <c r="F1349" s="19" t="n"/>
      <c r="G1349" s="19" t="n"/>
      <c r="H1349" s="19" t="n"/>
      <c r="I1349" s="19" t="n"/>
      <c r="J1349" s="19" t="n"/>
      <c r="K1349" s="19" t="n"/>
    </row>
    <row r="1350">
      <c r="A1350" s="19" t="n"/>
      <c r="B1350" s="19" t="n"/>
      <c r="C1350" s="19" t="n"/>
      <c r="D1350" s="19" t="n"/>
      <c r="E1350" s="19" t="n"/>
      <c r="F1350" s="19" t="n"/>
      <c r="G1350" s="19" t="n"/>
      <c r="H1350" s="19" t="n"/>
      <c r="I1350" s="19" t="n"/>
      <c r="J1350" s="19" t="n"/>
      <c r="K1350" s="19" t="n"/>
    </row>
    <row r="1351">
      <c r="A1351" s="19" t="n"/>
      <c r="B1351" s="19" t="n"/>
      <c r="C1351" s="19" t="n"/>
      <c r="D1351" s="19" t="n"/>
      <c r="E1351" s="19" t="n"/>
      <c r="F1351" s="19" t="n"/>
      <c r="G1351" s="19" t="n"/>
      <c r="H1351" s="19" t="n"/>
      <c r="I1351" s="19" t="n"/>
      <c r="J1351" s="19" t="n"/>
      <c r="K1351" s="19" t="n"/>
    </row>
    <row r="1352">
      <c r="A1352" s="19" t="n"/>
      <c r="B1352" s="19" t="n"/>
      <c r="C1352" s="19" t="n"/>
      <c r="D1352" s="19" t="n"/>
      <c r="E1352" s="19" t="n"/>
      <c r="F1352" s="19" t="n"/>
      <c r="G1352" s="19" t="n"/>
      <c r="H1352" s="19" t="n"/>
      <c r="I1352" s="19" t="n"/>
      <c r="J1352" s="19" t="n"/>
      <c r="K1352" s="19" t="n"/>
    </row>
    <row r="1353">
      <c r="A1353" s="19" t="n"/>
      <c r="B1353" s="19" t="n"/>
      <c r="C1353" s="19" t="n"/>
      <c r="D1353" s="19" t="n"/>
      <c r="E1353" s="19" t="n"/>
      <c r="F1353" s="19" t="n"/>
      <c r="G1353" s="19" t="n"/>
      <c r="H1353" s="19" t="n"/>
      <c r="I1353" s="19" t="n"/>
      <c r="J1353" s="19" t="n"/>
      <c r="K1353" s="19" t="n"/>
    </row>
    <row r="1354">
      <c r="A1354" s="19" t="n"/>
      <c r="B1354" s="19" t="n"/>
      <c r="C1354" s="19" t="n"/>
      <c r="D1354" s="19" t="n"/>
      <c r="E1354" s="19" t="n"/>
      <c r="F1354" s="19" t="n"/>
      <c r="G1354" s="19" t="n"/>
      <c r="H1354" s="19" t="n"/>
      <c r="I1354" s="19" t="n"/>
      <c r="J1354" s="19" t="n"/>
      <c r="K1354" s="19" t="n"/>
    </row>
    <row r="1355">
      <c r="A1355" s="19" t="n"/>
      <c r="B1355" s="19" t="n"/>
      <c r="C1355" s="19" t="n"/>
      <c r="D1355" s="19" t="n"/>
      <c r="E1355" s="19" t="n"/>
      <c r="F1355" s="19" t="n"/>
      <c r="G1355" s="19" t="n"/>
      <c r="H1355" s="19" t="n"/>
      <c r="I1355" s="19" t="n"/>
      <c r="J1355" s="19" t="n"/>
      <c r="K1355" s="19" t="n"/>
    </row>
    <row r="1356">
      <c r="A1356" s="19" t="n"/>
      <c r="B1356" s="19" t="n"/>
      <c r="C1356" s="19" t="n"/>
      <c r="D1356" s="19" t="n"/>
      <c r="E1356" s="19" t="n"/>
      <c r="F1356" s="19" t="n"/>
      <c r="G1356" s="19" t="n"/>
      <c r="H1356" s="19" t="n"/>
      <c r="I1356" s="19" t="n"/>
      <c r="J1356" s="19" t="n"/>
      <c r="K1356" s="19" t="n"/>
    </row>
    <row r="1357">
      <c r="A1357" s="19" t="n"/>
      <c r="B1357" s="19" t="n"/>
      <c r="C1357" s="19" t="n"/>
      <c r="D1357" s="19" t="n"/>
      <c r="E1357" s="19" t="n"/>
      <c r="F1357" s="19" t="n"/>
      <c r="G1357" s="19" t="n"/>
      <c r="H1357" s="19" t="n"/>
      <c r="I1357" s="19" t="n"/>
      <c r="J1357" s="19" t="n"/>
      <c r="K1357" s="19" t="n"/>
    </row>
    <row r="1358">
      <c r="A1358" s="19" t="n"/>
      <c r="B1358" s="19" t="n"/>
      <c r="C1358" s="19" t="n"/>
      <c r="D1358" s="19" t="n"/>
      <c r="E1358" s="19" t="n"/>
      <c r="F1358" s="19" t="n"/>
      <c r="G1358" s="19" t="n"/>
      <c r="H1358" s="19" t="n"/>
      <c r="I1358" s="19" t="n"/>
      <c r="J1358" s="19" t="n"/>
      <c r="K1358" s="19" t="n"/>
    </row>
    <row r="1359">
      <c r="A1359" s="19" t="n"/>
      <c r="B1359" s="19" t="n"/>
      <c r="C1359" s="19" t="n"/>
      <c r="D1359" s="19" t="n"/>
      <c r="E1359" s="19" t="n"/>
      <c r="F1359" s="19" t="n"/>
      <c r="G1359" s="19" t="n"/>
      <c r="H1359" s="19" t="n"/>
      <c r="I1359" s="19" t="n"/>
      <c r="J1359" s="19" t="n"/>
      <c r="K1359" s="19" t="n"/>
    </row>
    <row r="1360">
      <c r="A1360" s="19" t="n"/>
      <c r="B1360" s="19" t="n"/>
      <c r="C1360" s="19" t="n"/>
      <c r="D1360" s="19" t="n"/>
      <c r="E1360" s="19" t="n"/>
      <c r="F1360" s="19" t="n"/>
      <c r="G1360" s="19" t="n"/>
      <c r="H1360" s="19" t="n"/>
      <c r="I1360" s="19" t="n"/>
      <c r="J1360" s="19" t="n"/>
      <c r="K1360" s="19" t="n"/>
    </row>
    <row r="1361">
      <c r="A1361" s="19" t="n"/>
      <c r="B1361" s="19" t="n"/>
      <c r="C1361" s="19" t="n"/>
      <c r="D1361" s="19" t="n"/>
      <c r="E1361" s="19" t="n"/>
      <c r="F1361" s="19" t="n"/>
      <c r="G1361" s="19" t="n"/>
      <c r="H1361" s="19" t="n"/>
      <c r="I1361" s="19" t="n"/>
      <c r="J1361" s="19" t="n"/>
      <c r="K1361" s="19" t="n"/>
    </row>
    <row r="1362">
      <c r="A1362" s="19" t="n"/>
      <c r="B1362" s="19" t="n"/>
      <c r="C1362" s="19" t="n"/>
      <c r="D1362" s="19" t="n"/>
      <c r="E1362" s="19" t="n"/>
      <c r="F1362" s="19" t="n"/>
      <c r="G1362" s="19" t="n"/>
      <c r="H1362" s="19" t="n"/>
      <c r="I1362" s="19" t="n"/>
      <c r="J1362" s="19" t="n"/>
      <c r="K1362" s="19" t="n"/>
    </row>
    <row r="1363">
      <c r="A1363" s="19" t="n"/>
      <c r="B1363" s="19" t="n"/>
      <c r="C1363" s="19" t="n"/>
      <c r="D1363" s="19" t="n"/>
      <c r="E1363" s="19" t="n"/>
      <c r="F1363" s="19" t="n"/>
      <c r="G1363" s="19" t="n"/>
      <c r="H1363" s="19" t="n"/>
      <c r="I1363" s="19" t="n"/>
      <c r="J1363" s="19" t="n"/>
      <c r="K1363" s="19" t="n"/>
    </row>
    <row r="1364">
      <c r="A1364" s="19" t="n"/>
      <c r="B1364" s="19" t="n"/>
      <c r="C1364" s="19" t="n"/>
      <c r="D1364" s="19" t="n"/>
      <c r="E1364" s="19" t="n"/>
      <c r="F1364" s="19" t="n"/>
      <c r="G1364" s="19" t="n"/>
      <c r="H1364" s="19" t="n"/>
      <c r="I1364" s="19" t="n"/>
      <c r="J1364" s="19" t="n"/>
      <c r="K1364" s="19" t="n"/>
    </row>
    <row r="1365">
      <c r="A1365" s="19" t="n"/>
      <c r="B1365" s="19" t="n"/>
      <c r="C1365" s="19" t="n"/>
      <c r="D1365" s="19" t="n"/>
      <c r="E1365" s="19" t="n"/>
      <c r="F1365" s="19" t="n"/>
      <c r="G1365" s="19" t="n"/>
      <c r="H1365" s="19" t="n"/>
      <c r="I1365" s="19" t="n"/>
      <c r="J1365" s="19" t="n"/>
      <c r="K1365" s="19" t="n"/>
    </row>
    <row r="1366">
      <c r="A1366" s="19" t="n"/>
      <c r="B1366" s="19" t="n"/>
      <c r="C1366" s="19" t="n"/>
      <c r="D1366" s="19" t="n"/>
      <c r="E1366" s="19" t="n"/>
      <c r="F1366" s="19" t="n"/>
      <c r="G1366" s="19" t="n"/>
      <c r="H1366" s="19" t="n"/>
      <c r="I1366" s="19" t="n"/>
      <c r="J1366" s="19" t="n"/>
      <c r="K1366" s="19" t="n"/>
    </row>
    <row r="1367">
      <c r="A1367" s="19" t="n"/>
      <c r="B1367" s="19" t="n"/>
      <c r="C1367" s="19" t="n"/>
      <c r="D1367" s="19" t="n"/>
      <c r="E1367" s="19" t="n"/>
      <c r="F1367" s="19" t="n"/>
      <c r="G1367" s="19" t="n"/>
      <c r="H1367" s="19" t="n"/>
      <c r="I1367" s="19" t="n"/>
      <c r="J1367" s="19" t="n"/>
      <c r="K1367" s="19" t="n"/>
    </row>
    <row r="1368">
      <c r="A1368" s="19" t="n"/>
      <c r="B1368" s="19" t="n"/>
      <c r="C1368" s="19" t="n"/>
      <c r="D1368" s="19" t="n"/>
      <c r="E1368" s="19" t="n"/>
      <c r="F1368" s="19" t="n"/>
      <c r="G1368" s="19" t="n"/>
      <c r="H1368" s="19" t="n"/>
      <c r="I1368" s="19" t="n"/>
      <c r="J1368" s="19" t="n"/>
      <c r="K1368" s="19" t="n"/>
    </row>
    <row r="1369">
      <c r="A1369" s="19" t="n"/>
      <c r="B1369" s="19" t="n"/>
      <c r="C1369" s="19" t="n"/>
      <c r="D1369" s="19" t="n"/>
      <c r="E1369" s="19" t="n"/>
      <c r="F1369" s="19" t="n"/>
      <c r="G1369" s="19" t="n"/>
      <c r="H1369" s="19" t="n"/>
      <c r="I1369" s="19" t="n"/>
      <c r="J1369" s="19" t="n"/>
      <c r="K1369" s="19" t="n"/>
    </row>
    <row r="1370">
      <c r="A1370" s="19" t="n"/>
      <c r="B1370" s="19" t="n"/>
      <c r="C1370" s="19" t="n"/>
      <c r="D1370" s="19" t="n"/>
      <c r="E1370" s="19" t="n"/>
      <c r="F1370" s="19" t="n"/>
      <c r="G1370" s="19" t="n"/>
      <c r="H1370" s="19" t="n"/>
      <c r="I1370" s="19" t="n"/>
      <c r="J1370" s="19" t="n"/>
      <c r="K1370" s="19" t="n"/>
    </row>
    <row r="1371">
      <c r="A1371" s="19" t="n"/>
      <c r="B1371" s="19" t="n"/>
      <c r="C1371" s="19" t="n"/>
      <c r="D1371" s="19" t="n"/>
      <c r="E1371" s="19" t="n"/>
      <c r="F1371" s="19" t="n"/>
      <c r="G1371" s="19" t="n"/>
      <c r="H1371" s="19" t="n"/>
      <c r="I1371" s="19" t="n"/>
      <c r="J1371" s="19" t="n"/>
      <c r="K1371" s="19" t="n"/>
    </row>
    <row r="1372">
      <c r="A1372" s="19" t="n"/>
      <c r="B1372" s="19" t="n"/>
      <c r="C1372" s="19" t="n"/>
      <c r="D1372" s="19" t="n"/>
      <c r="E1372" s="19" t="n"/>
      <c r="F1372" s="19" t="n"/>
      <c r="G1372" s="19" t="n"/>
      <c r="H1372" s="19" t="n"/>
      <c r="I1372" s="19" t="n"/>
      <c r="J1372" s="19" t="n"/>
      <c r="K1372" s="19" t="n"/>
    </row>
    <row r="1373">
      <c r="A1373" s="19" t="n"/>
      <c r="B1373" s="19" t="n"/>
      <c r="C1373" s="19" t="n"/>
      <c r="D1373" s="19" t="n"/>
      <c r="E1373" s="19" t="n"/>
      <c r="F1373" s="19" t="n"/>
      <c r="G1373" s="19" t="n"/>
      <c r="H1373" s="19" t="n"/>
      <c r="I1373" s="19" t="n"/>
      <c r="J1373" s="19" t="n"/>
      <c r="K1373" s="19" t="n"/>
    </row>
    <row r="1374">
      <c r="A1374" s="19" t="n"/>
      <c r="B1374" s="19" t="n"/>
      <c r="C1374" s="19" t="n"/>
      <c r="D1374" s="19" t="n"/>
      <c r="E1374" s="19" t="n"/>
      <c r="F1374" s="19" t="n"/>
      <c r="G1374" s="19" t="n"/>
      <c r="H1374" s="19" t="n"/>
      <c r="I1374" s="19" t="n"/>
      <c r="J1374" s="19" t="n"/>
      <c r="K1374" s="19" t="n"/>
    </row>
    <row r="1375">
      <c r="A1375" s="19" t="n"/>
      <c r="B1375" s="19" t="n"/>
      <c r="C1375" s="19" t="n"/>
      <c r="D1375" s="19" t="n"/>
      <c r="E1375" s="19" t="n"/>
      <c r="F1375" s="19" t="n"/>
      <c r="G1375" s="19" t="n"/>
      <c r="H1375" s="19" t="n"/>
      <c r="I1375" s="19" t="n"/>
      <c r="J1375" s="19" t="n"/>
      <c r="K1375" s="19" t="n"/>
    </row>
    <row r="1376">
      <c r="A1376" s="19" t="n"/>
      <c r="B1376" s="19" t="n"/>
      <c r="C1376" s="19" t="n"/>
      <c r="D1376" s="19" t="n"/>
      <c r="E1376" s="19" t="n"/>
      <c r="F1376" s="19" t="n"/>
      <c r="G1376" s="19" t="n"/>
      <c r="H1376" s="19" t="n"/>
      <c r="I1376" s="19" t="n"/>
      <c r="J1376" s="19" t="n"/>
      <c r="K1376" s="19" t="n"/>
    </row>
    <row r="1377">
      <c r="A1377" s="19" t="n"/>
      <c r="B1377" s="19" t="n"/>
      <c r="C1377" s="19" t="n"/>
      <c r="D1377" s="19" t="n"/>
      <c r="E1377" s="19" t="n"/>
      <c r="F1377" s="19" t="n"/>
      <c r="G1377" s="19" t="n"/>
      <c r="H1377" s="19" t="n"/>
      <c r="I1377" s="19" t="n"/>
      <c r="J1377" s="19" t="n"/>
      <c r="K1377" s="19" t="n"/>
    </row>
    <row r="1378">
      <c r="A1378" s="19" t="n"/>
      <c r="B1378" s="19" t="n"/>
      <c r="C1378" s="19" t="n"/>
      <c r="D1378" s="19" t="n"/>
      <c r="E1378" s="19" t="n"/>
      <c r="F1378" s="19" t="n"/>
      <c r="G1378" s="19" t="n"/>
      <c r="H1378" s="19" t="n"/>
      <c r="I1378" s="19" t="n"/>
      <c r="J1378" s="19" t="n"/>
      <c r="K1378" s="19" t="n"/>
    </row>
    <row r="1379">
      <c r="A1379" s="19" t="n"/>
      <c r="B1379" s="19" t="n"/>
      <c r="C1379" s="19" t="n"/>
      <c r="D1379" s="19" t="n"/>
      <c r="E1379" s="19" t="n"/>
      <c r="F1379" s="19" t="n"/>
      <c r="G1379" s="19" t="n"/>
      <c r="H1379" s="19" t="n"/>
      <c r="I1379" s="19" t="n"/>
      <c r="J1379" s="19" t="n"/>
      <c r="K1379" s="19" t="n"/>
    </row>
    <row r="1380">
      <c r="A1380" s="19" t="n"/>
      <c r="B1380" s="19" t="n"/>
      <c r="C1380" s="19" t="n"/>
      <c r="D1380" s="19" t="n"/>
      <c r="E1380" s="19" t="n"/>
      <c r="F1380" s="19" t="n"/>
      <c r="G1380" s="19" t="n"/>
      <c r="H1380" s="19" t="n"/>
      <c r="I1380" s="19" t="n"/>
      <c r="J1380" s="19" t="n"/>
      <c r="K1380" s="19" t="n"/>
    </row>
    <row r="1381">
      <c r="A1381" s="19" t="n"/>
      <c r="B1381" s="19" t="n"/>
      <c r="C1381" s="19" t="n"/>
      <c r="D1381" s="19" t="n"/>
      <c r="E1381" s="19" t="n"/>
      <c r="F1381" s="19" t="n"/>
      <c r="G1381" s="19" t="n"/>
      <c r="H1381" s="19" t="n"/>
      <c r="I1381" s="19" t="n"/>
      <c r="J1381" s="19" t="n"/>
      <c r="K1381" s="19" t="n"/>
    </row>
    <row r="1382">
      <c r="A1382" s="19" t="n"/>
      <c r="B1382" s="19" t="n"/>
      <c r="C1382" s="19" t="n"/>
      <c r="D1382" s="19" t="n"/>
      <c r="E1382" s="19" t="n"/>
      <c r="F1382" s="19" t="n"/>
      <c r="G1382" s="19" t="n"/>
      <c r="H1382" s="19" t="n"/>
      <c r="I1382" s="19" t="n"/>
      <c r="J1382" s="19" t="n"/>
      <c r="K1382" s="19" t="n"/>
    </row>
    <row r="1383">
      <c r="A1383" s="19" t="n"/>
      <c r="B1383" s="19" t="n"/>
      <c r="C1383" s="19" t="n"/>
      <c r="D1383" s="19" t="n"/>
      <c r="E1383" s="19" t="n"/>
      <c r="F1383" s="19" t="n"/>
      <c r="G1383" s="19" t="n"/>
      <c r="H1383" s="19" t="n"/>
      <c r="I1383" s="19" t="n"/>
      <c r="J1383" s="19" t="n"/>
      <c r="K1383" s="19" t="n"/>
    </row>
    <row r="1384">
      <c r="A1384" s="19" t="n"/>
      <c r="B1384" s="19" t="n"/>
      <c r="C1384" s="19" t="n"/>
      <c r="D1384" s="19" t="n"/>
      <c r="E1384" s="19" t="n"/>
      <c r="F1384" s="19" t="n"/>
      <c r="G1384" s="19" t="n"/>
      <c r="H1384" s="19" t="n"/>
      <c r="I1384" s="19" t="n"/>
      <c r="J1384" s="19" t="n"/>
      <c r="K1384" s="19" t="n"/>
    </row>
    <row r="1385">
      <c r="A1385" s="19" t="n"/>
      <c r="B1385" s="19" t="n"/>
      <c r="C1385" s="19" t="n"/>
      <c r="D1385" s="19" t="n"/>
      <c r="E1385" s="19" t="n"/>
      <c r="F1385" s="19" t="n"/>
      <c r="G1385" s="19" t="n"/>
      <c r="H1385" s="19" t="n"/>
      <c r="I1385" s="19" t="n"/>
      <c r="J1385" s="19" t="n"/>
      <c r="K1385" s="19" t="n"/>
    </row>
    <row r="1386">
      <c r="A1386" s="19" t="n"/>
      <c r="B1386" s="19" t="n"/>
      <c r="C1386" s="19" t="n"/>
      <c r="D1386" s="19" t="n"/>
      <c r="E1386" s="19" t="n"/>
      <c r="F1386" s="19" t="n"/>
      <c r="G1386" s="19" t="n"/>
      <c r="H1386" s="19" t="n"/>
      <c r="I1386" s="19" t="n"/>
      <c r="J1386" s="19" t="n"/>
      <c r="K1386" s="19" t="n"/>
    </row>
    <row r="1387">
      <c r="A1387" s="19" t="n"/>
      <c r="B1387" s="19" t="n"/>
      <c r="C1387" s="19" t="n"/>
      <c r="D1387" s="19" t="n"/>
      <c r="E1387" s="19" t="n"/>
      <c r="F1387" s="19" t="n"/>
      <c r="G1387" s="19" t="n"/>
      <c r="H1387" s="19" t="n"/>
      <c r="I1387" s="19" t="n"/>
      <c r="J1387" s="19" t="n"/>
      <c r="K1387" s="19" t="n"/>
    </row>
    <row r="1388">
      <c r="A1388" s="19" t="n"/>
      <c r="B1388" s="19" t="n"/>
      <c r="C1388" s="19" t="n"/>
      <c r="D1388" s="19" t="n"/>
      <c r="E1388" s="19" t="n"/>
      <c r="F1388" s="19" t="n"/>
      <c r="G1388" s="19" t="n"/>
      <c r="H1388" s="19" t="n"/>
      <c r="I1388" s="19" t="n"/>
      <c r="J1388" s="19" t="n"/>
      <c r="K1388" s="19" t="n"/>
    </row>
    <row r="1389">
      <c r="A1389" s="19" t="n"/>
      <c r="B1389" s="19" t="n"/>
      <c r="C1389" s="19" t="n"/>
      <c r="D1389" s="19" t="n"/>
      <c r="E1389" s="19" t="n"/>
      <c r="F1389" s="19" t="n"/>
      <c r="G1389" s="19" t="n"/>
      <c r="H1389" s="19" t="n"/>
      <c r="I1389" s="19" t="n"/>
      <c r="J1389" s="19" t="n"/>
      <c r="K1389" s="19" t="n"/>
    </row>
    <row r="1390">
      <c r="A1390" s="19" t="n"/>
      <c r="B1390" s="19" t="n"/>
      <c r="C1390" s="19" t="n"/>
      <c r="D1390" s="19" t="n"/>
      <c r="E1390" s="19" t="n"/>
      <c r="F1390" s="19" t="n"/>
      <c r="G1390" s="19" t="n"/>
      <c r="H1390" s="19" t="n"/>
      <c r="I1390" s="19" t="n"/>
      <c r="J1390" s="19" t="n"/>
      <c r="K1390" s="19" t="n"/>
    </row>
    <row r="1391">
      <c r="A1391" s="19" t="n"/>
      <c r="B1391" s="19" t="n"/>
      <c r="C1391" s="19" t="n"/>
      <c r="D1391" s="19" t="n"/>
      <c r="E1391" s="19" t="n"/>
      <c r="F1391" s="19" t="n"/>
      <c r="G1391" s="19" t="n"/>
      <c r="H1391" s="19" t="n"/>
      <c r="I1391" s="19" t="n"/>
      <c r="J1391" s="19" t="n"/>
      <c r="K1391" s="19" t="n"/>
    </row>
    <row r="1392">
      <c r="A1392" s="19" t="n"/>
      <c r="B1392" s="19" t="n"/>
      <c r="C1392" s="19" t="n"/>
      <c r="D1392" s="19" t="n"/>
      <c r="E1392" s="19" t="n"/>
      <c r="F1392" s="19" t="n"/>
      <c r="G1392" s="19" t="n"/>
      <c r="H1392" s="19" t="n"/>
      <c r="I1392" s="19" t="n"/>
      <c r="J1392" s="19" t="n"/>
      <c r="K1392" s="19" t="n"/>
    </row>
    <row r="1393">
      <c r="A1393" s="19" t="n"/>
      <c r="B1393" s="19" t="n"/>
      <c r="C1393" s="19" t="n"/>
      <c r="D1393" s="19" t="n"/>
      <c r="E1393" s="19" t="n"/>
      <c r="F1393" s="19" t="n"/>
      <c r="G1393" s="19" t="n"/>
      <c r="H1393" s="19" t="n"/>
      <c r="I1393" s="19" t="n"/>
      <c r="J1393" s="19" t="n"/>
      <c r="K1393" s="19" t="n"/>
    </row>
    <row r="1394">
      <c r="A1394" s="19" t="n"/>
      <c r="B1394" s="19" t="n"/>
      <c r="C1394" s="19" t="n"/>
      <c r="D1394" s="19" t="n"/>
      <c r="E1394" s="19" t="n"/>
      <c r="F1394" s="19" t="n"/>
      <c r="G1394" s="19" t="n"/>
      <c r="H1394" s="19" t="n"/>
      <c r="I1394" s="19" t="n"/>
      <c r="J1394" s="19" t="n"/>
      <c r="K1394" s="19" t="n"/>
    </row>
    <row r="1395">
      <c r="A1395" s="19" t="n"/>
      <c r="B1395" s="19" t="n"/>
      <c r="C1395" s="19" t="n"/>
      <c r="D1395" s="19" t="n"/>
      <c r="E1395" s="19" t="n"/>
      <c r="F1395" s="19" t="n"/>
      <c r="G1395" s="19" t="n"/>
      <c r="H1395" s="19" t="n"/>
      <c r="I1395" s="19" t="n"/>
      <c r="J1395" s="19" t="n"/>
      <c r="K1395" s="19" t="n"/>
    </row>
    <row r="1396">
      <c r="A1396" s="19" t="n"/>
      <c r="B1396" s="19" t="n"/>
      <c r="C1396" s="19" t="n"/>
      <c r="D1396" s="19" t="n"/>
      <c r="E1396" s="19" t="n"/>
      <c r="F1396" s="19" t="n"/>
      <c r="G1396" s="19" t="n"/>
      <c r="H1396" s="19" t="n"/>
      <c r="I1396" s="19" t="n"/>
      <c r="J1396" s="19" t="n"/>
      <c r="K1396" s="19" t="n"/>
    </row>
    <row r="1397">
      <c r="A1397" s="19" t="n"/>
      <c r="B1397" s="19" t="n"/>
      <c r="C1397" s="19" t="n"/>
      <c r="D1397" s="19" t="n"/>
      <c r="E1397" s="19" t="n"/>
      <c r="F1397" s="19" t="n"/>
      <c r="G1397" s="19" t="n"/>
      <c r="H1397" s="19" t="n"/>
      <c r="I1397" s="19" t="n"/>
      <c r="J1397" s="19" t="n"/>
      <c r="K1397" s="19" t="n"/>
    </row>
    <row r="1398">
      <c r="A1398" s="19" t="n"/>
      <c r="B1398" s="19" t="n"/>
      <c r="C1398" s="19" t="n"/>
      <c r="D1398" s="19" t="n"/>
      <c r="E1398" s="19" t="n"/>
      <c r="F1398" s="19" t="n"/>
      <c r="G1398" s="19" t="n"/>
      <c r="H1398" s="19" t="n"/>
      <c r="I1398" s="19" t="n"/>
      <c r="J1398" s="19" t="n"/>
      <c r="K1398" s="19" t="n"/>
    </row>
    <row r="1399">
      <c r="A1399" s="19" t="n"/>
      <c r="B1399" s="19" t="n"/>
      <c r="C1399" s="19" t="n"/>
      <c r="D1399" s="19" t="n"/>
      <c r="E1399" s="19" t="n"/>
      <c r="F1399" s="19" t="n"/>
      <c r="G1399" s="19" t="n"/>
      <c r="H1399" s="19" t="n"/>
      <c r="I1399" s="19" t="n"/>
      <c r="J1399" s="19" t="n"/>
      <c r="K1399" s="19" t="n"/>
    </row>
    <row r="1400">
      <c r="A1400" s="19" t="n"/>
      <c r="B1400" s="19" t="n"/>
      <c r="C1400" s="19" t="n"/>
      <c r="D1400" s="19" t="n"/>
      <c r="E1400" s="19" t="n"/>
      <c r="F1400" s="19" t="n"/>
      <c r="G1400" s="19" t="n"/>
      <c r="H1400" s="19" t="n"/>
      <c r="I1400" s="19" t="n"/>
      <c r="J1400" s="19" t="n"/>
      <c r="K1400" s="19" t="n"/>
    </row>
    <row r="1401">
      <c r="A1401" s="19" t="n"/>
      <c r="B1401" s="19" t="n"/>
      <c r="C1401" s="19" t="n"/>
      <c r="D1401" s="19" t="n"/>
      <c r="E1401" s="19" t="n"/>
      <c r="F1401" s="19" t="n"/>
      <c r="G1401" s="19" t="n"/>
      <c r="H1401" s="19" t="n"/>
      <c r="I1401" s="19" t="n"/>
      <c r="J1401" s="19" t="n"/>
      <c r="K1401" s="19" t="n"/>
    </row>
    <row r="1402">
      <c r="A1402" s="19" t="n"/>
      <c r="B1402" s="19" t="n"/>
      <c r="C1402" s="19" t="n"/>
      <c r="D1402" s="19" t="n"/>
      <c r="E1402" s="19" t="n"/>
      <c r="F1402" s="19" t="n"/>
      <c r="G1402" s="19" t="n"/>
      <c r="H1402" s="19" t="n"/>
      <c r="I1402" s="19" t="n"/>
      <c r="J1402" s="19" t="n"/>
      <c r="K1402" s="19" t="n"/>
    </row>
    <row r="1403">
      <c r="A1403" s="19" t="n"/>
      <c r="B1403" s="19" t="n"/>
      <c r="C1403" s="19" t="n"/>
      <c r="D1403" s="19" t="n"/>
      <c r="E1403" s="19" t="n"/>
      <c r="F1403" s="19" t="n"/>
      <c r="G1403" s="19" t="n"/>
      <c r="H1403" s="19" t="n"/>
      <c r="I1403" s="19" t="n"/>
      <c r="J1403" s="19" t="n"/>
      <c r="K1403" s="19" t="n"/>
    </row>
    <row r="1404">
      <c r="A1404" s="19" t="n"/>
      <c r="B1404" s="19" t="n"/>
      <c r="C1404" s="19" t="n"/>
      <c r="D1404" s="19" t="n"/>
      <c r="E1404" s="19" t="n"/>
      <c r="F1404" s="19" t="n"/>
      <c r="G1404" s="19" t="n"/>
      <c r="H1404" s="19" t="n"/>
      <c r="I1404" s="19" t="n"/>
      <c r="J1404" s="19" t="n"/>
      <c r="K1404" s="19" t="n"/>
    </row>
    <row r="1405">
      <c r="A1405" s="19" t="n"/>
      <c r="B1405" s="19" t="n"/>
      <c r="C1405" s="19" t="n"/>
      <c r="D1405" s="19" t="n"/>
      <c r="E1405" s="19" t="n"/>
      <c r="F1405" s="19" t="n"/>
      <c r="G1405" s="19" t="n"/>
      <c r="H1405" s="19" t="n"/>
      <c r="I1405" s="19" t="n"/>
      <c r="J1405" s="19" t="n"/>
      <c r="K1405" s="19" t="n"/>
    </row>
    <row r="1406">
      <c r="A1406" s="19" t="n"/>
      <c r="B1406" s="19" t="n"/>
      <c r="C1406" s="19" t="n"/>
      <c r="D1406" s="19" t="n"/>
      <c r="E1406" s="19" t="n"/>
      <c r="F1406" s="19" t="n"/>
      <c r="G1406" s="19" t="n"/>
      <c r="H1406" s="19" t="n"/>
      <c r="I1406" s="19" t="n"/>
      <c r="J1406" s="19" t="n"/>
      <c r="K1406" s="19" t="n"/>
    </row>
    <row r="1407">
      <c r="A1407" s="19" t="n"/>
      <c r="B1407" s="19" t="n"/>
      <c r="C1407" s="19" t="n"/>
      <c r="D1407" s="19" t="n"/>
      <c r="E1407" s="19" t="n"/>
      <c r="F1407" s="19" t="n"/>
      <c r="G1407" s="19" t="n"/>
      <c r="H1407" s="19" t="n"/>
      <c r="I1407" s="19" t="n"/>
      <c r="J1407" s="19" t="n"/>
      <c r="K1407" s="19" t="n"/>
    </row>
    <row r="1408">
      <c r="A1408" s="19" t="n"/>
      <c r="B1408" s="19" t="n"/>
      <c r="C1408" s="19" t="n"/>
      <c r="D1408" s="19" t="n"/>
      <c r="E1408" s="19" t="n"/>
      <c r="F1408" s="19" t="n"/>
      <c r="G1408" s="19" t="n"/>
      <c r="H1408" s="19" t="n"/>
      <c r="I1408" s="19" t="n"/>
      <c r="J1408" s="19" t="n"/>
      <c r="K1408" s="19" t="n"/>
    </row>
    <row r="1409">
      <c r="A1409" s="19" t="n"/>
      <c r="B1409" s="19" t="n"/>
      <c r="C1409" s="19" t="n"/>
      <c r="D1409" s="19" t="n"/>
      <c r="E1409" s="19" t="n"/>
      <c r="F1409" s="19" t="n"/>
      <c r="G1409" s="19" t="n"/>
      <c r="H1409" s="19" t="n"/>
      <c r="I1409" s="19" t="n"/>
      <c r="J1409" s="19" t="n"/>
      <c r="K1409" s="19" t="n"/>
    </row>
    <row r="1410">
      <c r="A1410" s="19" t="n"/>
      <c r="B1410" s="19" t="n"/>
      <c r="C1410" s="19" t="n"/>
      <c r="D1410" s="19" t="n"/>
      <c r="E1410" s="19" t="n"/>
      <c r="F1410" s="19" t="n"/>
      <c r="G1410" s="19" t="n"/>
      <c r="H1410" s="19" t="n"/>
      <c r="I1410" s="19" t="n"/>
      <c r="J1410" s="19" t="n"/>
      <c r="K1410" s="19" t="n"/>
    </row>
    <row r="1411">
      <c r="A1411" s="19" t="n"/>
      <c r="B1411" s="19" t="n"/>
      <c r="C1411" s="19" t="n"/>
      <c r="D1411" s="19" t="n"/>
      <c r="E1411" s="19" t="n"/>
      <c r="F1411" s="19" t="n"/>
      <c r="G1411" s="19" t="n"/>
      <c r="H1411" s="19" t="n"/>
      <c r="I1411" s="19" t="n"/>
      <c r="J1411" s="19" t="n"/>
      <c r="K1411" s="19" t="n"/>
    </row>
    <row r="1412">
      <c r="A1412" s="19" t="n"/>
      <c r="B1412" s="19" t="n"/>
      <c r="C1412" s="19" t="n"/>
      <c r="D1412" s="19" t="n"/>
      <c r="E1412" s="19" t="n"/>
      <c r="F1412" s="19" t="n"/>
      <c r="G1412" s="19" t="n"/>
      <c r="H1412" s="19" t="n"/>
      <c r="I1412" s="19" t="n"/>
      <c r="J1412" s="19" t="n"/>
      <c r="K1412" s="19" t="n"/>
    </row>
    <row r="1413">
      <c r="A1413" s="19" t="n"/>
      <c r="B1413" s="19" t="n"/>
      <c r="C1413" s="19" t="n"/>
      <c r="D1413" s="19" t="n"/>
      <c r="E1413" s="19" t="n"/>
      <c r="F1413" s="19" t="n"/>
      <c r="G1413" s="19" t="n"/>
      <c r="H1413" s="19" t="n"/>
      <c r="I1413" s="19" t="n"/>
      <c r="J1413" s="19" t="n"/>
      <c r="K1413" s="19" t="n"/>
    </row>
    <row r="1414">
      <c r="A1414" s="19" t="n"/>
      <c r="B1414" s="19" t="n"/>
      <c r="C1414" s="19" t="n"/>
      <c r="D1414" s="19" t="n"/>
      <c r="E1414" s="19" t="n"/>
      <c r="F1414" s="19" t="n"/>
      <c r="G1414" s="19" t="n"/>
      <c r="H1414" s="19" t="n"/>
      <c r="I1414" s="19" t="n"/>
      <c r="J1414" s="19" t="n"/>
      <c r="K1414" s="19" t="n"/>
    </row>
    <row r="1415">
      <c r="A1415" s="19" t="n"/>
      <c r="B1415" s="19" t="n"/>
      <c r="C1415" s="19" t="n"/>
      <c r="D1415" s="19" t="n"/>
      <c r="E1415" s="19" t="n"/>
      <c r="F1415" s="19" t="n"/>
      <c r="G1415" s="19" t="n"/>
      <c r="H1415" s="19" t="n"/>
      <c r="I1415" s="19" t="n"/>
      <c r="J1415" s="19" t="n"/>
      <c r="K1415" s="19" t="n"/>
    </row>
    <row r="1416">
      <c r="A1416" s="19" t="n"/>
      <c r="B1416" s="19" t="n"/>
      <c r="C1416" s="19" t="n"/>
      <c r="D1416" s="19" t="n"/>
      <c r="E1416" s="19" t="n"/>
      <c r="F1416" s="19" t="n"/>
      <c r="G1416" s="19" t="n"/>
      <c r="H1416" s="19" t="n"/>
      <c r="I1416" s="19" t="n"/>
      <c r="J1416" s="19" t="n"/>
      <c r="K1416" s="19" t="n"/>
    </row>
    <row r="1417">
      <c r="A1417" s="19" t="n"/>
      <c r="B1417" s="19" t="n"/>
      <c r="C1417" s="19" t="n"/>
      <c r="D1417" s="19" t="n"/>
      <c r="E1417" s="19" t="n"/>
      <c r="F1417" s="19" t="n"/>
      <c r="G1417" s="19" t="n"/>
      <c r="H1417" s="19" t="n"/>
      <c r="I1417" s="19" t="n"/>
      <c r="J1417" s="19" t="n"/>
      <c r="K1417" s="19" t="n"/>
    </row>
    <row r="1418">
      <c r="A1418" s="19" t="n"/>
      <c r="B1418" s="19" t="n"/>
      <c r="C1418" s="19" t="n"/>
      <c r="D1418" s="19" t="n"/>
      <c r="E1418" s="19" t="n"/>
      <c r="F1418" s="19" t="n"/>
      <c r="G1418" s="19" t="n"/>
      <c r="H1418" s="19" t="n"/>
      <c r="I1418" s="19" t="n"/>
      <c r="J1418" s="19" t="n"/>
      <c r="K1418" s="19" t="n"/>
    </row>
    <row r="1419">
      <c r="A1419" s="19" t="n"/>
      <c r="B1419" s="19" t="n"/>
      <c r="C1419" s="19" t="n"/>
      <c r="D1419" s="19" t="n"/>
      <c r="E1419" s="19" t="n"/>
      <c r="F1419" s="19" t="n"/>
      <c r="G1419" s="19" t="n"/>
      <c r="H1419" s="19" t="n"/>
      <c r="I1419" s="19" t="n"/>
      <c r="J1419" s="19" t="n"/>
      <c r="K1419" s="19" t="n"/>
    </row>
    <row r="1420">
      <c r="A1420" s="19" t="n"/>
      <c r="B1420" s="19" t="n"/>
      <c r="C1420" s="19" t="n"/>
      <c r="D1420" s="19" t="n"/>
      <c r="E1420" s="19" t="n"/>
      <c r="F1420" s="19" t="n"/>
      <c r="G1420" s="19" t="n"/>
      <c r="H1420" s="19" t="n"/>
      <c r="I1420" s="19" t="n"/>
      <c r="J1420" s="19" t="n"/>
      <c r="K1420" s="19" t="n"/>
    </row>
    <row r="1421">
      <c r="A1421" s="19" t="n"/>
      <c r="B1421" s="19" t="n"/>
      <c r="C1421" s="19" t="n"/>
      <c r="D1421" s="19" t="n"/>
      <c r="E1421" s="19" t="n"/>
      <c r="F1421" s="19" t="n"/>
      <c r="G1421" s="19" t="n"/>
      <c r="H1421" s="19" t="n"/>
      <c r="I1421" s="19" t="n"/>
      <c r="J1421" s="19" t="n"/>
      <c r="K1421" s="19" t="n"/>
    </row>
    <row r="1422">
      <c r="A1422" s="19" t="n"/>
      <c r="B1422" s="19" t="n"/>
      <c r="C1422" s="19" t="n"/>
      <c r="D1422" s="19" t="n"/>
      <c r="E1422" s="19" t="n"/>
      <c r="F1422" s="19" t="n"/>
      <c r="G1422" s="19" t="n"/>
      <c r="H1422" s="19" t="n"/>
      <c r="I1422" s="19" t="n"/>
      <c r="J1422" s="19" t="n"/>
      <c r="K1422" s="19" t="n"/>
    </row>
    <row r="1423">
      <c r="A1423" s="19" t="n"/>
      <c r="B1423" s="19" t="n"/>
      <c r="C1423" s="19" t="n"/>
      <c r="D1423" s="19" t="n"/>
      <c r="E1423" s="19" t="n"/>
      <c r="F1423" s="19" t="n"/>
      <c r="G1423" s="19" t="n"/>
      <c r="H1423" s="19" t="n"/>
      <c r="I1423" s="19" t="n"/>
      <c r="J1423" s="19" t="n"/>
      <c r="K1423" s="19" t="n"/>
    </row>
    <row r="1424">
      <c r="A1424" s="19" t="n"/>
      <c r="B1424" s="19" t="n"/>
      <c r="C1424" s="19" t="n"/>
      <c r="D1424" s="19" t="n"/>
      <c r="E1424" s="19" t="n"/>
      <c r="F1424" s="19" t="n"/>
      <c r="G1424" s="19" t="n"/>
      <c r="H1424" s="19" t="n"/>
      <c r="I1424" s="19" t="n"/>
      <c r="J1424" s="19" t="n"/>
      <c r="K1424" s="19" t="n"/>
    </row>
    <row r="1425">
      <c r="A1425" s="19" t="n"/>
      <c r="B1425" s="19" t="n"/>
      <c r="C1425" s="19" t="n"/>
      <c r="D1425" s="19" t="n"/>
      <c r="E1425" s="19" t="n"/>
      <c r="F1425" s="19" t="n"/>
      <c r="G1425" s="19" t="n"/>
      <c r="H1425" s="19" t="n"/>
      <c r="I1425" s="19" t="n"/>
      <c r="J1425" s="19" t="n"/>
      <c r="K1425" s="19" t="n"/>
    </row>
    <row r="1426">
      <c r="A1426" s="19" t="n"/>
      <c r="B1426" s="19" t="n"/>
      <c r="C1426" s="19" t="n"/>
      <c r="D1426" s="19" t="n"/>
      <c r="E1426" s="19" t="n"/>
      <c r="F1426" s="19" t="n"/>
      <c r="G1426" s="19" t="n"/>
      <c r="H1426" s="19" t="n"/>
      <c r="I1426" s="19" t="n"/>
      <c r="J1426" s="19" t="n"/>
      <c r="K1426" s="19" t="n"/>
    </row>
    <row r="1427">
      <c r="A1427" s="19" t="n"/>
      <c r="B1427" s="19" t="n"/>
      <c r="C1427" s="19" t="n"/>
      <c r="D1427" s="19" t="n"/>
      <c r="E1427" s="19" t="n"/>
      <c r="F1427" s="19" t="n"/>
      <c r="G1427" s="19" t="n"/>
      <c r="H1427" s="19" t="n"/>
      <c r="I1427" s="19" t="n"/>
      <c r="J1427" s="19" t="n"/>
      <c r="K1427" s="19" t="n"/>
    </row>
    <row r="1428">
      <c r="A1428" s="19" t="n"/>
      <c r="B1428" s="19" t="n"/>
      <c r="C1428" s="19" t="n"/>
      <c r="D1428" s="19" t="n"/>
      <c r="E1428" s="19" t="n"/>
      <c r="F1428" s="19" t="n"/>
      <c r="G1428" s="19" t="n"/>
      <c r="H1428" s="19" t="n"/>
      <c r="I1428" s="19" t="n"/>
      <c r="J1428" s="19" t="n"/>
      <c r="K1428" s="19" t="n"/>
    </row>
    <row r="1429">
      <c r="A1429" s="19" t="n"/>
      <c r="B1429" s="19" t="n"/>
      <c r="C1429" s="19" t="n"/>
      <c r="D1429" s="19" t="n"/>
      <c r="E1429" s="19" t="n"/>
      <c r="F1429" s="19" t="n"/>
      <c r="G1429" s="19" t="n"/>
      <c r="H1429" s="19" t="n"/>
      <c r="I1429" s="19" t="n"/>
      <c r="J1429" s="19" t="n"/>
      <c r="K1429" s="19" t="n"/>
    </row>
    <row r="1430">
      <c r="A1430" s="19" t="n"/>
      <c r="B1430" s="19" t="n"/>
      <c r="C1430" s="19" t="n"/>
      <c r="D1430" s="19" t="n"/>
      <c r="E1430" s="19" t="n"/>
      <c r="F1430" s="19" t="n"/>
      <c r="G1430" s="19" t="n"/>
      <c r="H1430" s="19" t="n"/>
      <c r="I1430" s="19" t="n"/>
      <c r="J1430" s="19" t="n"/>
      <c r="K1430" s="19" t="n"/>
    </row>
    <row r="1431">
      <c r="A1431" s="19" t="n"/>
      <c r="B1431" s="19" t="n"/>
      <c r="C1431" s="19" t="n"/>
      <c r="D1431" s="19" t="n"/>
      <c r="E1431" s="19" t="n"/>
      <c r="F1431" s="19" t="n"/>
      <c r="G1431" s="19" t="n"/>
      <c r="H1431" s="19" t="n"/>
      <c r="I1431" s="19" t="n"/>
      <c r="J1431" s="19" t="n"/>
      <c r="K1431" s="19" t="n"/>
    </row>
    <row r="1432">
      <c r="A1432" s="19" t="n"/>
      <c r="B1432" s="19" t="n"/>
      <c r="C1432" s="19" t="n"/>
      <c r="D1432" s="19" t="n"/>
      <c r="E1432" s="19" t="n"/>
      <c r="F1432" s="19" t="n"/>
      <c r="G1432" s="19" t="n"/>
      <c r="H1432" s="19" t="n"/>
      <c r="I1432" s="19" t="n"/>
      <c r="J1432" s="19" t="n"/>
      <c r="K1432" s="19" t="n"/>
    </row>
    <row r="1433">
      <c r="A1433" s="19" t="n"/>
      <c r="B1433" s="19" t="n"/>
      <c r="C1433" s="19" t="n"/>
      <c r="D1433" s="19" t="n"/>
      <c r="E1433" s="19" t="n"/>
      <c r="F1433" s="19" t="n"/>
      <c r="G1433" s="19" t="n"/>
      <c r="H1433" s="19" t="n"/>
      <c r="I1433" s="19" t="n"/>
      <c r="J1433" s="19" t="n"/>
      <c r="K1433" s="19" t="n"/>
    </row>
    <row r="1434">
      <c r="A1434" s="19" t="n"/>
      <c r="B1434" s="19" t="n"/>
      <c r="C1434" s="19" t="n"/>
      <c r="D1434" s="19" t="n"/>
      <c r="E1434" s="19" t="n"/>
      <c r="F1434" s="19" t="n"/>
      <c r="G1434" s="19" t="n"/>
      <c r="H1434" s="19" t="n"/>
      <c r="I1434" s="19" t="n"/>
      <c r="J1434" s="19" t="n"/>
      <c r="K1434" s="19" t="n"/>
    </row>
    <row r="1435">
      <c r="A1435" s="19" t="n"/>
      <c r="B1435" s="19" t="n"/>
      <c r="C1435" s="19" t="n"/>
      <c r="D1435" s="19" t="n"/>
      <c r="E1435" s="19" t="n"/>
      <c r="F1435" s="19" t="n"/>
      <c r="G1435" s="19" t="n"/>
      <c r="H1435" s="19" t="n"/>
      <c r="I1435" s="19" t="n"/>
      <c r="J1435" s="19" t="n"/>
      <c r="K1435" s="19" t="n"/>
    </row>
    <row r="1436">
      <c r="A1436" s="19" t="n"/>
      <c r="B1436" s="19" t="n"/>
      <c r="C1436" s="19" t="n"/>
      <c r="D1436" s="19" t="n"/>
      <c r="E1436" s="19" t="n"/>
      <c r="F1436" s="19" t="n"/>
      <c r="G1436" s="19" t="n"/>
      <c r="H1436" s="19" t="n"/>
      <c r="I1436" s="19" t="n"/>
      <c r="J1436" s="19" t="n"/>
      <c r="K1436" s="19" t="n"/>
    </row>
    <row r="1437">
      <c r="A1437" s="19" t="n"/>
      <c r="B1437" s="19" t="n"/>
      <c r="C1437" s="19" t="n"/>
      <c r="D1437" s="19" t="n"/>
      <c r="E1437" s="19" t="n"/>
      <c r="F1437" s="19" t="n"/>
      <c r="G1437" s="19" t="n"/>
      <c r="H1437" s="19" t="n"/>
      <c r="I1437" s="19" t="n"/>
      <c r="J1437" s="19" t="n"/>
      <c r="K1437" s="19" t="n"/>
    </row>
    <row r="1438">
      <c r="A1438" s="19" t="n"/>
      <c r="B1438" s="19" t="n"/>
      <c r="C1438" s="19" t="n"/>
      <c r="D1438" s="19" t="n"/>
      <c r="E1438" s="19" t="n"/>
      <c r="F1438" s="19" t="n"/>
      <c r="G1438" s="19" t="n"/>
      <c r="H1438" s="19" t="n"/>
      <c r="I1438" s="19" t="n"/>
      <c r="J1438" s="19" t="n"/>
      <c r="K1438" s="19" t="n"/>
    </row>
    <row r="1439">
      <c r="A1439" s="19" t="n"/>
      <c r="B1439" s="19" t="n"/>
      <c r="C1439" s="19" t="n"/>
      <c r="D1439" s="19" t="n"/>
      <c r="E1439" s="19" t="n"/>
      <c r="F1439" s="19" t="n"/>
      <c r="G1439" s="19" t="n"/>
      <c r="H1439" s="19" t="n"/>
      <c r="I1439" s="19" t="n"/>
      <c r="J1439" s="19" t="n"/>
      <c r="K1439" s="19" t="n"/>
    </row>
    <row r="1440">
      <c r="A1440" s="19" t="n"/>
      <c r="B1440" s="19" t="n"/>
      <c r="C1440" s="19" t="n"/>
      <c r="D1440" s="19" t="n"/>
      <c r="E1440" s="19" t="n"/>
      <c r="F1440" s="19" t="n"/>
      <c r="G1440" s="19" t="n"/>
      <c r="H1440" s="19" t="n"/>
      <c r="I1440" s="19" t="n"/>
      <c r="J1440" s="19" t="n"/>
      <c r="K1440" s="19" t="n"/>
    </row>
    <row r="1441">
      <c r="A1441" s="19" t="n"/>
      <c r="B1441" s="19" t="n"/>
      <c r="C1441" s="19" t="n"/>
      <c r="D1441" s="19" t="n"/>
      <c r="E1441" s="19" t="n"/>
      <c r="F1441" s="19" t="n"/>
      <c r="G1441" s="19" t="n"/>
      <c r="H1441" s="19" t="n"/>
      <c r="I1441" s="19" t="n"/>
      <c r="J1441" s="19" t="n"/>
      <c r="K1441" s="19" t="n"/>
    </row>
    <row r="1442">
      <c r="A1442" s="19" t="n"/>
      <c r="B1442" s="19" t="n"/>
      <c r="C1442" s="19" t="n"/>
      <c r="D1442" s="19" t="n"/>
      <c r="E1442" s="19" t="n"/>
      <c r="F1442" s="19" t="n"/>
      <c r="G1442" s="19" t="n"/>
      <c r="H1442" s="19" t="n"/>
      <c r="I1442" s="19" t="n"/>
      <c r="J1442" s="19" t="n"/>
      <c r="K1442" s="19" t="n"/>
    </row>
    <row r="1443">
      <c r="A1443" s="19" t="n"/>
      <c r="B1443" s="19" t="n"/>
      <c r="C1443" s="19" t="n"/>
      <c r="D1443" s="19" t="n"/>
      <c r="E1443" s="19" t="n"/>
      <c r="F1443" s="19" t="n"/>
      <c r="G1443" s="19" t="n"/>
      <c r="H1443" s="19" t="n"/>
      <c r="I1443" s="19" t="n"/>
      <c r="J1443" s="19" t="n"/>
      <c r="K1443" s="19" t="n"/>
    </row>
    <row r="1444">
      <c r="A1444" s="19" t="n"/>
      <c r="B1444" s="19" t="n"/>
      <c r="C1444" s="19" t="n"/>
      <c r="D1444" s="19" t="n"/>
      <c r="E1444" s="19" t="n"/>
      <c r="F1444" s="19" t="n"/>
      <c r="G1444" s="19" t="n"/>
      <c r="H1444" s="19" t="n"/>
      <c r="I1444" s="19" t="n"/>
      <c r="J1444" s="19" t="n"/>
      <c r="K1444" s="19" t="n"/>
    </row>
    <row r="1445">
      <c r="A1445" s="19" t="n"/>
      <c r="B1445" s="19" t="n"/>
      <c r="C1445" s="19" t="n"/>
      <c r="D1445" s="19" t="n"/>
      <c r="E1445" s="19" t="n"/>
      <c r="F1445" s="19" t="n"/>
      <c r="G1445" s="19" t="n"/>
      <c r="H1445" s="19" t="n"/>
      <c r="I1445" s="19" t="n"/>
      <c r="J1445" s="19" t="n"/>
      <c r="K1445" s="19" t="n"/>
    </row>
    <row r="1446">
      <c r="A1446" s="19" t="n"/>
      <c r="B1446" s="19" t="n"/>
      <c r="C1446" s="19" t="n"/>
      <c r="D1446" s="19" t="n"/>
      <c r="E1446" s="19" t="n"/>
      <c r="F1446" s="19" t="n"/>
      <c r="G1446" s="19" t="n"/>
      <c r="H1446" s="19" t="n"/>
      <c r="I1446" s="19" t="n"/>
      <c r="J1446" s="19" t="n"/>
      <c r="K1446" s="19" t="n"/>
    </row>
    <row r="1447">
      <c r="A1447" s="19" t="n"/>
      <c r="B1447" s="19" t="n"/>
      <c r="C1447" s="19" t="n"/>
      <c r="D1447" s="19" t="n"/>
      <c r="E1447" s="19" t="n"/>
      <c r="F1447" s="19" t="n"/>
      <c r="G1447" s="19" t="n"/>
      <c r="H1447" s="19" t="n"/>
      <c r="I1447" s="19" t="n"/>
      <c r="J1447" s="19" t="n"/>
      <c r="K1447" s="19" t="n"/>
    </row>
    <row r="1448">
      <c r="A1448" s="19" t="n"/>
      <c r="B1448" s="19" t="n"/>
      <c r="C1448" s="19" t="n"/>
      <c r="D1448" s="19" t="n"/>
      <c r="E1448" s="19" t="n"/>
      <c r="F1448" s="19" t="n"/>
      <c r="G1448" s="19" t="n"/>
      <c r="H1448" s="19" t="n"/>
      <c r="I1448" s="19" t="n"/>
      <c r="J1448" s="19" t="n"/>
      <c r="K1448" s="19" t="n"/>
    </row>
    <row r="1449">
      <c r="A1449" s="19" t="n"/>
      <c r="B1449" s="19" t="n"/>
      <c r="C1449" s="19" t="n"/>
      <c r="D1449" s="19" t="n"/>
      <c r="E1449" s="19" t="n"/>
      <c r="F1449" s="19" t="n"/>
      <c r="G1449" s="19" t="n"/>
      <c r="H1449" s="19" t="n"/>
      <c r="I1449" s="19" t="n"/>
      <c r="J1449" s="19" t="n"/>
      <c r="K1449" s="19" t="n"/>
    </row>
    <row r="1450">
      <c r="A1450" s="19" t="n"/>
      <c r="B1450" s="19" t="n"/>
      <c r="C1450" s="19" t="n"/>
      <c r="D1450" s="19" t="n"/>
      <c r="E1450" s="19" t="n"/>
      <c r="F1450" s="19" t="n"/>
      <c r="G1450" s="19" t="n"/>
      <c r="H1450" s="19" t="n"/>
      <c r="I1450" s="19" t="n"/>
      <c r="J1450" s="19" t="n"/>
      <c r="K1450" s="19" t="n"/>
    </row>
    <row r="1451">
      <c r="A1451" s="19" t="n"/>
      <c r="B1451" s="19" t="n"/>
      <c r="C1451" s="19" t="n"/>
      <c r="D1451" s="19" t="n"/>
      <c r="E1451" s="19" t="n"/>
      <c r="F1451" s="19" t="n"/>
      <c r="G1451" s="19" t="n"/>
      <c r="H1451" s="19" t="n"/>
      <c r="I1451" s="19" t="n"/>
      <c r="J1451" s="19" t="n"/>
      <c r="K1451" s="19" t="n"/>
    </row>
    <row r="1452">
      <c r="A1452" s="19" t="n"/>
      <c r="B1452" s="19" t="n"/>
      <c r="C1452" s="19" t="n"/>
      <c r="D1452" s="19" t="n"/>
      <c r="E1452" s="19" t="n"/>
      <c r="F1452" s="19" t="n"/>
      <c r="G1452" s="19" t="n"/>
      <c r="H1452" s="19" t="n"/>
      <c r="I1452" s="19" t="n"/>
      <c r="J1452" s="19" t="n"/>
      <c r="K1452" s="19" t="n"/>
    </row>
    <row r="1453">
      <c r="A1453" s="19" t="n"/>
      <c r="B1453" s="19" t="n"/>
      <c r="C1453" s="19" t="n"/>
      <c r="D1453" s="19" t="n"/>
      <c r="E1453" s="19" t="n"/>
      <c r="F1453" s="19" t="n"/>
      <c r="G1453" s="19" t="n"/>
      <c r="H1453" s="19" t="n"/>
      <c r="I1453" s="19" t="n"/>
      <c r="J1453" s="19" t="n"/>
      <c r="K1453" s="19" t="n"/>
    </row>
    <row r="1454">
      <c r="A1454" s="19" t="n"/>
      <c r="B1454" s="19" t="n"/>
      <c r="C1454" s="19" t="n"/>
      <c r="D1454" s="19" t="n"/>
      <c r="E1454" s="19" t="n"/>
      <c r="F1454" s="19" t="n"/>
      <c r="G1454" s="19" t="n"/>
      <c r="H1454" s="19" t="n"/>
      <c r="I1454" s="19" t="n"/>
      <c r="J1454" s="19" t="n"/>
      <c r="K1454" s="19" t="n"/>
    </row>
    <row r="1455">
      <c r="A1455" s="19" t="n"/>
      <c r="B1455" s="19" t="n"/>
      <c r="C1455" s="19" t="n"/>
      <c r="D1455" s="19" t="n"/>
      <c r="E1455" s="19" t="n"/>
      <c r="F1455" s="19" t="n"/>
      <c r="G1455" s="19" t="n"/>
      <c r="H1455" s="19" t="n"/>
      <c r="I1455" s="19" t="n"/>
      <c r="J1455" s="19" t="n"/>
      <c r="K1455" s="19" t="n"/>
    </row>
    <row r="1456">
      <c r="A1456" s="19" t="n"/>
      <c r="B1456" s="19" t="n"/>
      <c r="C1456" s="19" t="n"/>
      <c r="D1456" s="19" t="n"/>
      <c r="E1456" s="19" t="n"/>
      <c r="F1456" s="19" t="n"/>
      <c r="G1456" s="19" t="n"/>
      <c r="H1456" s="19" t="n"/>
      <c r="I1456" s="19" t="n"/>
      <c r="J1456" s="19" t="n"/>
      <c r="K1456" s="19" t="n"/>
    </row>
    <row r="1457">
      <c r="A1457" s="19" t="n"/>
      <c r="B1457" s="19" t="n"/>
      <c r="C1457" s="19" t="n"/>
      <c r="D1457" s="19" t="n"/>
      <c r="E1457" s="19" t="n"/>
      <c r="F1457" s="19" t="n"/>
      <c r="G1457" s="19" t="n"/>
      <c r="H1457" s="19" t="n"/>
      <c r="I1457" s="19" t="n"/>
      <c r="J1457" s="19" t="n"/>
      <c r="K1457" s="19" t="n"/>
    </row>
    <row r="1458">
      <c r="A1458" s="19" t="n"/>
      <c r="B1458" s="19" t="n"/>
      <c r="C1458" s="19" t="n"/>
      <c r="D1458" s="19" t="n"/>
      <c r="E1458" s="19" t="n"/>
      <c r="F1458" s="19" t="n"/>
      <c r="G1458" s="19" t="n"/>
      <c r="H1458" s="19" t="n"/>
      <c r="I1458" s="19" t="n"/>
      <c r="J1458" s="19" t="n"/>
      <c r="K1458" s="19" t="n"/>
    </row>
    <row r="1459">
      <c r="A1459" s="19" t="n"/>
      <c r="B1459" s="19" t="n"/>
      <c r="C1459" s="19" t="n"/>
      <c r="D1459" s="19" t="n"/>
      <c r="E1459" s="19" t="n"/>
      <c r="F1459" s="19" t="n"/>
      <c r="G1459" s="19" t="n"/>
      <c r="H1459" s="19" t="n"/>
      <c r="I1459" s="19" t="n"/>
      <c r="J1459" s="19" t="n"/>
      <c r="K1459" s="19" t="n"/>
    </row>
    <row r="1460">
      <c r="A1460" s="19" t="n"/>
      <c r="B1460" s="19" t="n"/>
      <c r="C1460" s="19" t="n"/>
      <c r="D1460" s="19" t="n"/>
      <c r="E1460" s="19" t="n"/>
      <c r="F1460" s="19" t="n"/>
      <c r="G1460" s="19" t="n"/>
      <c r="H1460" s="19" t="n"/>
      <c r="I1460" s="19" t="n"/>
      <c r="J1460" s="19" t="n"/>
      <c r="K1460" s="19" t="n"/>
    </row>
    <row r="1461">
      <c r="A1461" s="19" t="n"/>
      <c r="B1461" s="19" t="n"/>
      <c r="C1461" s="19" t="n"/>
      <c r="D1461" s="19" t="n"/>
      <c r="E1461" s="19" t="n"/>
      <c r="F1461" s="19" t="n"/>
      <c r="G1461" s="19" t="n"/>
      <c r="H1461" s="19" t="n"/>
      <c r="I1461" s="19" t="n"/>
      <c r="J1461" s="19" t="n"/>
      <c r="K1461" s="19" t="n"/>
    </row>
    <row r="1462">
      <c r="A1462" s="19" t="n"/>
      <c r="B1462" s="19" t="n"/>
      <c r="C1462" s="19" t="n"/>
      <c r="D1462" s="19" t="n"/>
      <c r="E1462" s="19" t="n"/>
      <c r="F1462" s="19" t="n"/>
      <c r="G1462" s="19" t="n"/>
      <c r="H1462" s="19" t="n"/>
      <c r="I1462" s="19" t="n"/>
      <c r="J1462" s="19" t="n"/>
      <c r="K1462" s="19" t="n"/>
    </row>
    <row r="1463">
      <c r="A1463" s="19" t="n"/>
      <c r="B1463" s="19" t="n"/>
      <c r="C1463" s="19" t="n"/>
      <c r="D1463" s="19" t="n"/>
      <c r="E1463" s="19" t="n"/>
      <c r="F1463" s="19" t="n"/>
      <c r="G1463" s="19" t="n"/>
      <c r="H1463" s="19" t="n"/>
      <c r="I1463" s="19" t="n"/>
      <c r="J1463" s="19" t="n"/>
      <c r="K1463" s="19" t="n"/>
    </row>
    <row r="1464">
      <c r="A1464" s="19" t="n"/>
      <c r="B1464" s="19" t="n"/>
      <c r="C1464" s="19" t="n"/>
      <c r="D1464" s="19" t="n"/>
      <c r="E1464" s="19" t="n"/>
      <c r="F1464" s="19" t="n"/>
      <c r="G1464" s="19" t="n"/>
      <c r="H1464" s="19" t="n"/>
      <c r="I1464" s="19" t="n"/>
      <c r="J1464" s="19" t="n"/>
      <c r="K1464" s="19" t="n"/>
    </row>
    <row r="1465">
      <c r="A1465" s="19" t="n"/>
      <c r="B1465" s="19" t="n"/>
      <c r="C1465" s="19" t="n"/>
      <c r="D1465" s="19" t="n"/>
      <c r="E1465" s="19" t="n"/>
      <c r="F1465" s="19" t="n"/>
      <c r="G1465" s="19" t="n"/>
      <c r="H1465" s="19" t="n"/>
      <c r="I1465" s="19" t="n"/>
      <c r="J1465" s="19" t="n"/>
      <c r="K1465" s="19" t="n"/>
    </row>
    <row r="1466">
      <c r="A1466" s="19" t="n"/>
      <c r="B1466" s="19" t="n"/>
      <c r="C1466" s="19" t="n"/>
      <c r="D1466" s="19" t="n"/>
      <c r="E1466" s="19" t="n"/>
      <c r="F1466" s="19" t="n"/>
      <c r="G1466" s="19" t="n"/>
      <c r="H1466" s="19" t="n"/>
      <c r="I1466" s="19" t="n"/>
      <c r="J1466" s="19" t="n"/>
      <c r="K1466" s="19" t="n"/>
    </row>
    <row r="1467">
      <c r="A1467" s="19" t="n"/>
      <c r="B1467" s="19" t="n"/>
      <c r="C1467" s="19" t="n"/>
      <c r="D1467" s="19" t="n"/>
      <c r="E1467" s="19" t="n"/>
      <c r="F1467" s="19" t="n"/>
      <c r="G1467" s="19" t="n"/>
      <c r="H1467" s="19" t="n"/>
      <c r="I1467" s="19" t="n"/>
      <c r="J1467" s="19" t="n"/>
      <c r="K1467" s="19" t="n"/>
    </row>
    <row r="1468">
      <c r="A1468" s="19" t="n"/>
      <c r="B1468" s="19" t="n"/>
      <c r="C1468" s="19" t="n"/>
      <c r="D1468" s="19" t="n"/>
      <c r="E1468" s="19" t="n"/>
      <c r="F1468" s="19" t="n"/>
      <c r="G1468" s="19" t="n"/>
      <c r="H1468" s="19" t="n"/>
      <c r="I1468" s="19" t="n"/>
      <c r="J1468" s="19" t="n"/>
      <c r="K1468" s="19" t="n"/>
    </row>
    <row r="1469">
      <c r="A1469" s="19" t="n"/>
      <c r="B1469" s="19" t="n"/>
      <c r="C1469" s="19" t="n"/>
      <c r="D1469" s="19" t="n"/>
      <c r="E1469" s="19" t="n"/>
      <c r="F1469" s="19" t="n"/>
      <c r="G1469" s="19" t="n"/>
      <c r="H1469" s="19" t="n"/>
      <c r="I1469" s="19" t="n"/>
      <c r="J1469" s="19" t="n"/>
      <c r="K1469" s="19" t="n"/>
    </row>
    <row r="1470">
      <c r="A1470" s="19" t="n"/>
      <c r="B1470" s="19" t="n"/>
      <c r="C1470" s="19" t="n"/>
      <c r="D1470" s="19" t="n"/>
      <c r="E1470" s="19" t="n"/>
      <c r="F1470" s="19" t="n"/>
      <c r="G1470" s="19" t="n"/>
      <c r="H1470" s="19" t="n"/>
      <c r="I1470" s="19" t="n"/>
      <c r="J1470" s="19" t="n"/>
      <c r="K1470" s="19" t="n"/>
    </row>
    <row r="1471">
      <c r="A1471" s="19" t="n"/>
      <c r="B1471" s="19" t="n"/>
      <c r="C1471" s="19" t="n"/>
      <c r="D1471" s="19" t="n"/>
      <c r="E1471" s="19" t="n"/>
      <c r="F1471" s="19" t="n"/>
      <c r="G1471" s="19" t="n"/>
      <c r="H1471" s="19" t="n"/>
      <c r="I1471" s="19" t="n"/>
      <c r="J1471" s="19" t="n"/>
      <c r="K1471" s="19" t="n"/>
    </row>
    <row r="1472">
      <c r="A1472" s="19" t="n"/>
      <c r="B1472" s="19" t="n"/>
      <c r="C1472" s="19" t="n"/>
      <c r="D1472" s="19" t="n"/>
      <c r="E1472" s="19" t="n"/>
      <c r="F1472" s="19" t="n"/>
      <c r="G1472" s="19" t="n"/>
      <c r="H1472" s="19" t="n"/>
      <c r="I1472" s="19" t="n"/>
      <c r="J1472" s="19" t="n"/>
      <c r="K1472" s="19" t="n"/>
    </row>
    <row r="1473">
      <c r="A1473" s="19" t="n"/>
      <c r="B1473" s="19" t="n"/>
      <c r="C1473" s="19" t="n"/>
      <c r="D1473" s="19" t="n"/>
      <c r="E1473" s="19" t="n"/>
      <c r="F1473" s="19" t="n"/>
      <c r="G1473" s="19" t="n"/>
      <c r="H1473" s="19" t="n"/>
      <c r="I1473" s="19" t="n"/>
      <c r="J1473" s="19" t="n"/>
      <c r="K1473" s="19" t="n"/>
    </row>
    <row r="1474">
      <c r="A1474" s="19" t="n"/>
      <c r="B1474" s="19" t="n"/>
      <c r="C1474" s="19" t="n"/>
      <c r="D1474" s="19" t="n"/>
      <c r="E1474" s="19" t="n"/>
      <c r="F1474" s="19" t="n"/>
      <c r="G1474" s="19" t="n"/>
      <c r="H1474" s="19" t="n"/>
      <c r="I1474" s="19" t="n"/>
      <c r="J1474" s="19" t="n"/>
      <c r="K1474" s="19" t="n"/>
    </row>
    <row r="1475">
      <c r="A1475" s="19" t="n"/>
      <c r="B1475" s="19" t="n"/>
      <c r="C1475" s="19" t="n"/>
      <c r="D1475" s="19" t="n"/>
      <c r="E1475" s="19" t="n"/>
      <c r="F1475" s="19" t="n"/>
      <c r="G1475" s="19" t="n"/>
      <c r="H1475" s="19" t="n"/>
      <c r="I1475" s="19" t="n"/>
      <c r="J1475" s="19" t="n"/>
      <c r="K1475" s="19" t="n"/>
    </row>
    <row r="1476">
      <c r="A1476" s="19" t="n"/>
      <c r="B1476" s="19" t="n"/>
      <c r="C1476" s="19" t="n"/>
      <c r="D1476" s="19" t="n"/>
      <c r="E1476" s="19" t="n"/>
      <c r="F1476" s="19" t="n"/>
      <c r="G1476" s="19" t="n"/>
      <c r="H1476" s="19" t="n"/>
      <c r="I1476" s="19" t="n"/>
      <c r="J1476" s="19" t="n"/>
      <c r="K1476" s="19" t="n"/>
    </row>
    <row r="1477">
      <c r="A1477" s="19" t="n"/>
      <c r="B1477" s="19" t="n"/>
      <c r="C1477" s="19" t="n"/>
      <c r="D1477" s="19" t="n"/>
      <c r="E1477" s="19" t="n"/>
      <c r="F1477" s="19" t="n"/>
      <c r="G1477" s="19" t="n"/>
      <c r="H1477" s="19" t="n"/>
      <c r="I1477" s="19" t="n"/>
      <c r="J1477" s="19" t="n"/>
      <c r="K1477" s="19" t="n"/>
    </row>
    <row r="1478">
      <c r="A1478" s="19" t="n"/>
      <c r="B1478" s="19" t="n"/>
      <c r="C1478" s="19" t="n"/>
      <c r="D1478" s="19" t="n"/>
      <c r="E1478" s="19" t="n"/>
      <c r="F1478" s="19" t="n"/>
      <c r="G1478" s="19" t="n"/>
      <c r="H1478" s="19" t="n"/>
      <c r="I1478" s="19" t="n"/>
      <c r="J1478" s="19" t="n"/>
      <c r="K1478" s="19" t="n"/>
    </row>
    <row r="1479">
      <c r="A1479" s="19" t="n"/>
      <c r="B1479" s="19" t="n"/>
      <c r="C1479" s="19" t="n"/>
      <c r="D1479" s="19" t="n"/>
      <c r="E1479" s="19" t="n"/>
      <c r="F1479" s="19" t="n"/>
      <c r="G1479" s="19" t="n"/>
      <c r="H1479" s="19" t="n"/>
      <c r="I1479" s="19" t="n"/>
      <c r="J1479" s="19" t="n"/>
      <c r="K1479" s="19" t="n"/>
    </row>
    <row r="1480">
      <c r="A1480" s="19" t="n"/>
      <c r="B1480" s="19" t="n"/>
      <c r="C1480" s="19" t="n"/>
      <c r="D1480" s="19" t="n"/>
      <c r="E1480" s="19" t="n"/>
      <c r="F1480" s="19" t="n"/>
      <c r="G1480" s="19" t="n"/>
      <c r="H1480" s="19" t="n"/>
      <c r="I1480" s="19" t="n"/>
      <c r="J1480" s="19" t="n"/>
      <c r="K1480" s="19" t="n"/>
    </row>
    <row r="1481">
      <c r="A1481" s="19" t="n"/>
      <c r="B1481" s="19" t="n"/>
      <c r="C1481" s="19" t="n"/>
      <c r="D1481" s="19" t="n"/>
      <c r="E1481" s="19" t="n"/>
      <c r="F1481" s="19" t="n"/>
      <c r="G1481" s="19" t="n"/>
      <c r="H1481" s="19" t="n"/>
      <c r="I1481" s="19" t="n"/>
      <c r="J1481" s="19" t="n"/>
      <c r="K1481" s="19" t="n"/>
    </row>
    <row r="1482">
      <c r="A1482" s="19" t="n"/>
      <c r="B1482" s="19" t="n"/>
      <c r="C1482" s="19" t="n"/>
      <c r="D1482" s="19" t="n"/>
      <c r="E1482" s="19" t="n"/>
      <c r="F1482" s="19" t="n"/>
      <c r="G1482" s="19" t="n"/>
      <c r="H1482" s="19" t="n"/>
      <c r="I1482" s="19" t="n"/>
      <c r="J1482" s="19" t="n"/>
      <c r="K1482" s="19" t="n"/>
    </row>
    <row r="1483">
      <c r="A1483" s="19" t="n"/>
      <c r="B1483" s="19" t="n"/>
      <c r="C1483" s="19" t="n"/>
      <c r="D1483" s="19" t="n"/>
      <c r="E1483" s="19" t="n"/>
      <c r="F1483" s="19" t="n"/>
      <c r="G1483" s="19" t="n"/>
      <c r="H1483" s="19" t="n"/>
      <c r="I1483" s="19" t="n"/>
      <c r="J1483" s="19" t="n"/>
      <c r="K1483" s="19" t="n"/>
    </row>
    <row r="1484">
      <c r="A1484" s="19" t="n"/>
      <c r="B1484" s="19" t="n"/>
      <c r="C1484" s="19" t="n"/>
      <c r="D1484" s="19" t="n"/>
      <c r="E1484" s="19" t="n"/>
      <c r="F1484" s="19" t="n"/>
      <c r="G1484" s="19" t="n"/>
      <c r="H1484" s="19" t="n"/>
      <c r="I1484" s="19" t="n"/>
      <c r="J1484" s="19" t="n"/>
      <c r="K1484" s="19" t="n"/>
    </row>
    <row r="1485">
      <c r="A1485" s="19" t="n"/>
      <c r="B1485" s="19" t="n"/>
      <c r="C1485" s="19" t="n"/>
      <c r="D1485" s="19" t="n"/>
      <c r="E1485" s="19" t="n"/>
      <c r="F1485" s="19" t="n"/>
      <c r="G1485" s="19" t="n"/>
      <c r="H1485" s="19" t="n"/>
      <c r="I1485" s="19" t="n"/>
      <c r="J1485" s="19" t="n"/>
      <c r="K1485" s="19" t="n"/>
    </row>
    <row r="1486">
      <c r="A1486" s="19" t="n"/>
      <c r="B1486" s="19" t="n"/>
      <c r="C1486" s="19" t="n"/>
      <c r="D1486" s="19" t="n"/>
      <c r="E1486" s="19" t="n"/>
      <c r="F1486" s="19" t="n"/>
      <c r="G1486" s="19" t="n"/>
      <c r="H1486" s="19" t="n"/>
      <c r="I1486" s="19" t="n"/>
      <c r="J1486" s="19" t="n"/>
      <c r="K1486" s="19" t="n"/>
    </row>
    <row r="1487">
      <c r="A1487" s="19" t="n"/>
      <c r="B1487" s="19" t="n"/>
      <c r="C1487" s="19" t="n"/>
      <c r="D1487" s="19" t="n"/>
      <c r="E1487" s="19" t="n"/>
      <c r="F1487" s="19" t="n"/>
      <c r="G1487" s="19" t="n"/>
      <c r="H1487" s="19" t="n"/>
      <c r="I1487" s="19" t="n"/>
      <c r="J1487" s="19" t="n"/>
      <c r="K1487" s="19" t="n"/>
    </row>
    <row r="1488">
      <c r="A1488" s="19" t="n"/>
      <c r="B1488" s="19" t="n"/>
      <c r="C1488" s="19" t="n"/>
      <c r="D1488" s="19" t="n"/>
      <c r="E1488" s="19" t="n"/>
      <c r="F1488" s="19" t="n"/>
      <c r="G1488" s="19" t="n"/>
      <c r="H1488" s="19" t="n"/>
      <c r="I1488" s="19" t="n"/>
      <c r="J1488" s="19" t="n"/>
      <c r="K1488" s="19" t="n"/>
    </row>
    <row r="1489">
      <c r="A1489" s="19" t="n"/>
      <c r="B1489" s="19" t="n"/>
      <c r="C1489" s="19" t="n"/>
      <c r="D1489" s="19" t="n"/>
      <c r="E1489" s="19" t="n"/>
      <c r="F1489" s="19" t="n"/>
      <c r="G1489" s="19" t="n"/>
      <c r="H1489" s="19" t="n"/>
      <c r="I1489" s="19" t="n"/>
      <c r="J1489" s="19" t="n"/>
      <c r="K1489" s="19" t="n"/>
    </row>
    <row r="1490">
      <c r="A1490" s="19" t="n"/>
      <c r="B1490" s="19" t="n"/>
      <c r="C1490" s="19" t="n"/>
      <c r="D1490" s="19" t="n"/>
      <c r="E1490" s="19" t="n"/>
      <c r="F1490" s="19" t="n"/>
      <c r="G1490" s="19" t="n"/>
      <c r="H1490" s="19" t="n"/>
      <c r="I1490" s="19" t="n"/>
      <c r="J1490" s="19" t="n"/>
      <c r="K1490" s="19" t="n"/>
    </row>
    <row r="1491">
      <c r="A1491" s="19" t="n"/>
      <c r="B1491" s="19" t="n"/>
      <c r="C1491" s="19" t="n"/>
      <c r="D1491" s="19" t="n"/>
      <c r="E1491" s="19" t="n"/>
      <c r="F1491" s="19" t="n"/>
      <c r="G1491" s="19" t="n"/>
      <c r="H1491" s="19" t="n"/>
      <c r="I1491" s="19" t="n"/>
      <c r="J1491" s="19" t="n"/>
      <c r="K1491" s="19" t="n"/>
    </row>
    <row r="1492">
      <c r="A1492" s="19" t="n"/>
      <c r="B1492" s="19" t="n"/>
      <c r="C1492" s="19" t="n"/>
      <c r="D1492" s="19" t="n"/>
      <c r="E1492" s="19" t="n"/>
      <c r="F1492" s="19" t="n"/>
      <c r="G1492" s="19" t="n"/>
      <c r="H1492" s="19" t="n"/>
      <c r="I1492" s="19" t="n"/>
      <c r="J1492" s="19" t="n"/>
      <c r="K1492" s="19" t="n"/>
    </row>
    <row r="1493">
      <c r="A1493" s="19" t="n"/>
      <c r="B1493" s="19" t="n"/>
      <c r="C1493" s="19" t="n"/>
      <c r="D1493" s="19" t="n"/>
      <c r="E1493" s="19" t="n"/>
      <c r="F1493" s="19" t="n"/>
      <c r="G1493" s="19" t="n"/>
      <c r="H1493" s="19" t="n"/>
      <c r="I1493" s="19" t="n"/>
      <c r="J1493" s="19" t="n"/>
      <c r="K1493" s="19" t="n"/>
    </row>
    <row r="1494">
      <c r="A1494" s="19" t="n"/>
      <c r="B1494" s="19" t="n"/>
      <c r="C1494" s="19" t="n"/>
      <c r="D1494" s="19" t="n"/>
      <c r="E1494" s="19" t="n"/>
      <c r="F1494" s="19" t="n"/>
      <c r="G1494" s="19" t="n"/>
      <c r="H1494" s="19" t="n"/>
      <c r="I1494" s="19" t="n"/>
      <c r="J1494" s="19" t="n"/>
      <c r="K1494" s="19" t="n"/>
    </row>
    <row r="1495">
      <c r="A1495" s="19" t="n"/>
      <c r="B1495" s="19" t="n"/>
      <c r="C1495" s="19" t="n"/>
      <c r="D1495" s="19" t="n"/>
      <c r="E1495" s="19" t="n"/>
      <c r="F1495" s="19" t="n"/>
      <c r="G1495" s="19" t="n"/>
      <c r="H1495" s="19" t="n"/>
      <c r="I1495" s="19" t="n"/>
      <c r="J1495" s="19" t="n"/>
      <c r="K1495" s="19" t="n"/>
    </row>
    <row r="1496">
      <c r="A1496" s="19" t="n"/>
      <c r="B1496" s="19" t="n"/>
      <c r="C1496" s="19" t="n"/>
      <c r="D1496" s="19" t="n"/>
      <c r="E1496" s="19" t="n"/>
      <c r="F1496" s="19" t="n"/>
      <c r="G1496" s="19" t="n"/>
      <c r="H1496" s="19" t="n"/>
      <c r="I1496" s="19" t="n"/>
      <c r="J1496" s="19" t="n"/>
      <c r="K1496" s="19" t="n"/>
    </row>
    <row r="1497">
      <c r="A1497" s="19" t="n"/>
      <c r="B1497" s="19" t="n"/>
      <c r="C1497" s="19" t="n"/>
      <c r="D1497" s="19" t="n"/>
      <c r="E1497" s="19" t="n"/>
      <c r="F1497" s="19" t="n"/>
      <c r="G1497" s="19" t="n"/>
      <c r="H1497" s="19" t="n"/>
      <c r="I1497" s="19" t="n"/>
      <c r="J1497" s="19" t="n"/>
      <c r="K1497" s="19" t="n"/>
    </row>
    <row r="1498">
      <c r="A1498" s="19" t="n"/>
      <c r="B1498" s="19" t="n"/>
      <c r="C1498" s="19" t="n"/>
      <c r="D1498" s="19" t="n"/>
      <c r="E1498" s="19" t="n"/>
      <c r="F1498" s="19" t="n"/>
      <c r="G1498" s="19" t="n"/>
      <c r="H1498" s="19" t="n"/>
      <c r="I1498" s="19" t="n"/>
      <c r="J1498" s="19" t="n"/>
      <c r="K1498" s="19" t="n"/>
    </row>
    <row r="1499">
      <c r="A1499" s="19" t="n"/>
      <c r="B1499" s="19" t="n"/>
      <c r="C1499" s="19" t="n"/>
      <c r="D1499" s="19" t="n"/>
      <c r="E1499" s="19" t="n"/>
      <c r="F1499" s="19" t="n"/>
      <c r="G1499" s="19" t="n"/>
      <c r="H1499" s="19" t="n"/>
      <c r="I1499" s="19" t="n"/>
      <c r="J1499" s="19" t="n"/>
      <c r="K1499" s="19" t="n"/>
    </row>
    <row r="1500">
      <c r="A1500" s="19" t="n"/>
      <c r="B1500" s="19" t="n"/>
      <c r="C1500" s="19" t="n"/>
      <c r="D1500" s="19" t="n"/>
      <c r="E1500" s="19" t="n"/>
      <c r="F1500" s="19" t="n"/>
      <c r="G1500" s="19" t="n"/>
      <c r="H1500" s="19" t="n"/>
      <c r="I1500" s="19" t="n"/>
      <c r="J1500" s="19" t="n"/>
      <c r="K1500" s="19" t="n"/>
    </row>
    <row r="1501">
      <c r="A1501" s="19" t="n"/>
      <c r="B1501" s="19" t="n"/>
      <c r="C1501" s="19" t="n"/>
      <c r="D1501" s="19" t="n"/>
      <c r="E1501" s="19" t="n"/>
      <c r="F1501" s="19" t="n"/>
      <c r="G1501" s="19" t="n"/>
      <c r="H1501" s="19" t="n"/>
      <c r="I1501" s="19" t="n"/>
      <c r="J1501" s="19" t="n"/>
      <c r="K1501" s="19" t="n"/>
    </row>
    <row r="1502">
      <c r="A1502" s="19" t="n"/>
      <c r="B1502" s="19" t="n"/>
      <c r="C1502" s="19" t="n"/>
      <c r="D1502" s="19" t="n"/>
      <c r="E1502" s="19" t="n"/>
      <c r="F1502" s="19" t="n"/>
      <c r="G1502" s="19" t="n"/>
      <c r="H1502" s="19" t="n"/>
      <c r="I1502" s="19" t="n"/>
      <c r="J1502" s="19" t="n"/>
      <c r="K1502" s="19" t="n"/>
    </row>
    <row r="1503">
      <c r="A1503" s="19" t="n"/>
      <c r="B1503" s="19" t="n"/>
      <c r="C1503" s="19" t="n"/>
      <c r="D1503" s="19" t="n"/>
      <c r="E1503" s="19" t="n"/>
      <c r="F1503" s="19" t="n"/>
      <c r="G1503" s="19" t="n"/>
      <c r="H1503" s="19" t="n"/>
      <c r="I1503" s="19" t="n"/>
      <c r="J1503" s="19" t="n"/>
      <c r="K1503" s="19" t="n"/>
    </row>
    <row r="1504">
      <c r="A1504" s="19" t="n"/>
      <c r="B1504" s="19" t="n"/>
      <c r="C1504" s="19" t="n"/>
      <c r="D1504" s="19" t="n"/>
      <c r="E1504" s="19" t="n"/>
      <c r="F1504" s="19" t="n"/>
      <c r="G1504" s="19" t="n"/>
      <c r="H1504" s="19" t="n"/>
      <c r="I1504" s="19" t="n"/>
      <c r="J1504" s="19" t="n"/>
      <c r="K1504" s="19" t="n"/>
    </row>
    <row r="1505">
      <c r="A1505" s="19" t="n"/>
      <c r="B1505" s="19" t="n"/>
      <c r="C1505" s="19" t="n"/>
      <c r="D1505" s="19" t="n"/>
      <c r="E1505" s="19" t="n"/>
      <c r="F1505" s="19" t="n"/>
      <c r="G1505" s="19" t="n"/>
      <c r="H1505" s="19" t="n"/>
      <c r="I1505" s="19" t="n"/>
      <c r="J1505" s="19" t="n"/>
      <c r="K1505" s="19" t="n"/>
    </row>
    <row r="1506">
      <c r="A1506" s="19" t="n"/>
      <c r="B1506" s="19" t="n"/>
      <c r="C1506" s="19" t="n"/>
      <c r="D1506" s="19" t="n"/>
      <c r="E1506" s="19" t="n"/>
      <c r="F1506" s="19" t="n"/>
      <c r="G1506" s="19" t="n"/>
      <c r="H1506" s="19" t="n"/>
      <c r="I1506" s="19" t="n"/>
      <c r="J1506" s="19" t="n"/>
      <c r="K1506" s="19" t="n"/>
    </row>
    <row r="1507">
      <c r="A1507" s="19" t="n"/>
      <c r="B1507" s="19" t="n"/>
      <c r="C1507" s="19" t="n"/>
      <c r="D1507" s="19" t="n"/>
      <c r="E1507" s="19" t="n"/>
      <c r="F1507" s="19" t="n"/>
      <c r="G1507" s="19" t="n"/>
      <c r="H1507" s="19" t="n"/>
      <c r="I1507" s="19" t="n"/>
      <c r="J1507" s="19" t="n"/>
      <c r="K1507" s="19" t="n"/>
    </row>
    <row r="1508">
      <c r="A1508" s="19" t="n"/>
      <c r="B1508" s="19" t="n"/>
      <c r="C1508" s="19" t="n"/>
      <c r="D1508" s="19" t="n"/>
      <c r="E1508" s="19" t="n"/>
      <c r="F1508" s="19" t="n"/>
      <c r="G1508" s="19" t="n"/>
      <c r="H1508" s="19" t="n"/>
      <c r="I1508" s="19" t="n"/>
      <c r="J1508" s="19" t="n"/>
      <c r="K1508" s="19" t="n"/>
    </row>
    <row r="1509">
      <c r="A1509" s="19" t="n"/>
      <c r="B1509" s="19" t="n"/>
      <c r="C1509" s="19" t="n"/>
      <c r="D1509" s="19" t="n"/>
      <c r="E1509" s="19" t="n"/>
      <c r="F1509" s="19" t="n"/>
      <c r="G1509" s="19" t="n"/>
      <c r="H1509" s="19" t="n"/>
      <c r="I1509" s="19" t="n"/>
      <c r="J1509" s="19" t="n"/>
      <c r="K1509" s="19" t="n"/>
    </row>
    <row r="1510">
      <c r="A1510" s="19" t="n"/>
      <c r="B1510" s="19" t="n"/>
      <c r="C1510" s="19" t="n"/>
      <c r="D1510" s="19" t="n"/>
      <c r="E1510" s="19" t="n"/>
      <c r="F1510" s="19" t="n"/>
      <c r="G1510" s="19" t="n"/>
      <c r="H1510" s="19" t="n"/>
      <c r="I1510" s="19" t="n"/>
      <c r="J1510" s="19" t="n"/>
      <c r="K1510" s="19" t="n"/>
    </row>
    <row r="1511">
      <c r="A1511" s="19" t="n"/>
      <c r="B1511" s="19" t="n"/>
      <c r="C1511" s="19" t="n"/>
      <c r="D1511" s="19" t="n"/>
      <c r="E1511" s="19" t="n"/>
      <c r="F1511" s="19" t="n"/>
      <c r="G1511" s="19" t="n"/>
      <c r="H1511" s="19" t="n"/>
      <c r="I1511" s="19" t="n"/>
      <c r="J1511" s="19" t="n"/>
      <c r="K1511" s="19" t="n"/>
    </row>
    <row r="1512">
      <c r="A1512" s="19" t="n"/>
      <c r="B1512" s="19" t="n"/>
      <c r="C1512" s="19" t="n"/>
      <c r="D1512" s="19" t="n"/>
      <c r="E1512" s="19" t="n"/>
      <c r="F1512" s="19" t="n"/>
      <c r="G1512" s="19" t="n"/>
      <c r="H1512" s="19" t="n"/>
      <c r="I1512" s="19" t="n"/>
      <c r="J1512" s="19" t="n"/>
      <c r="K1512" s="19" t="n"/>
    </row>
    <row r="1513">
      <c r="A1513" s="19" t="n"/>
      <c r="B1513" s="19" t="n"/>
      <c r="C1513" s="19" t="n"/>
      <c r="D1513" s="19" t="n"/>
      <c r="E1513" s="19" t="n"/>
      <c r="F1513" s="19" t="n"/>
      <c r="G1513" s="19" t="n"/>
      <c r="H1513" s="19" t="n"/>
      <c r="I1513" s="19" t="n"/>
      <c r="J1513" s="19" t="n"/>
      <c r="K1513" s="19" t="n"/>
    </row>
    <row r="1514">
      <c r="A1514" s="19" t="n"/>
      <c r="B1514" s="19" t="n"/>
      <c r="C1514" s="19" t="n"/>
      <c r="D1514" s="19" t="n"/>
      <c r="E1514" s="19" t="n"/>
      <c r="F1514" s="19" t="n"/>
      <c r="G1514" s="19" t="n"/>
      <c r="H1514" s="19" t="n"/>
      <c r="I1514" s="19" t="n"/>
      <c r="J1514" s="19" t="n"/>
      <c r="K1514" s="19" t="n"/>
    </row>
    <row r="1515">
      <c r="A1515" s="19" t="n"/>
      <c r="B1515" s="19" t="n"/>
      <c r="C1515" s="19" t="n"/>
      <c r="D1515" s="19" t="n"/>
      <c r="E1515" s="19" t="n"/>
      <c r="F1515" s="19" t="n"/>
      <c r="G1515" s="19" t="n"/>
      <c r="H1515" s="19" t="n"/>
      <c r="I1515" s="19" t="n"/>
      <c r="J1515" s="19" t="n"/>
      <c r="K1515" s="19" t="n"/>
    </row>
    <row r="1516">
      <c r="A1516" s="19" t="n"/>
      <c r="B1516" s="19" t="n"/>
      <c r="C1516" s="19" t="n"/>
      <c r="D1516" s="19" t="n"/>
      <c r="E1516" s="19" t="n"/>
      <c r="F1516" s="19" t="n"/>
      <c r="G1516" s="19" t="n"/>
      <c r="H1516" s="19" t="n"/>
      <c r="I1516" s="19" t="n"/>
      <c r="J1516" s="19" t="n"/>
      <c r="K1516" s="19" t="n"/>
    </row>
    <row r="1517">
      <c r="A1517" s="19" t="n"/>
      <c r="B1517" s="19" t="n"/>
      <c r="C1517" s="19" t="n"/>
      <c r="D1517" s="19" t="n"/>
      <c r="E1517" s="19" t="n"/>
      <c r="F1517" s="19" t="n"/>
      <c r="G1517" s="19" t="n"/>
      <c r="H1517" s="19" t="n"/>
      <c r="I1517" s="19" t="n"/>
      <c r="J1517" s="19" t="n"/>
      <c r="K1517" s="19" t="n"/>
    </row>
    <row r="1518">
      <c r="A1518" s="19" t="n"/>
      <c r="B1518" s="19" t="n"/>
      <c r="C1518" s="19" t="n"/>
      <c r="D1518" s="19" t="n"/>
      <c r="E1518" s="19" t="n"/>
      <c r="F1518" s="19" t="n"/>
      <c r="G1518" s="19" t="n"/>
      <c r="H1518" s="19" t="n"/>
      <c r="I1518" s="19" t="n"/>
      <c r="J1518" s="19" t="n"/>
      <c r="K1518" s="19" t="n"/>
    </row>
    <row r="1519">
      <c r="A1519" s="19" t="n"/>
      <c r="B1519" s="19" t="n"/>
      <c r="C1519" s="19" t="n"/>
      <c r="D1519" s="19" t="n"/>
      <c r="E1519" s="19" t="n"/>
      <c r="F1519" s="19" t="n"/>
      <c r="G1519" s="19" t="n"/>
      <c r="H1519" s="19" t="n"/>
      <c r="I1519" s="19" t="n"/>
      <c r="J1519" s="19" t="n"/>
      <c r="K1519" s="19" t="n"/>
    </row>
    <row r="1520">
      <c r="A1520" s="19" t="n"/>
      <c r="B1520" s="19" t="n"/>
      <c r="C1520" s="19" t="n"/>
      <c r="D1520" s="19" t="n"/>
      <c r="E1520" s="19" t="n"/>
      <c r="F1520" s="19" t="n"/>
      <c r="G1520" s="19" t="n"/>
      <c r="H1520" s="19" t="n"/>
      <c r="I1520" s="19" t="n"/>
      <c r="J1520" s="19" t="n"/>
      <c r="K1520" s="19" t="n"/>
    </row>
    <row r="1521">
      <c r="A1521" s="19" t="n"/>
      <c r="B1521" s="19" t="n"/>
      <c r="C1521" s="19" t="n"/>
      <c r="D1521" s="19" t="n"/>
      <c r="E1521" s="19" t="n"/>
      <c r="F1521" s="19" t="n"/>
      <c r="G1521" s="19" t="n"/>
      <c r="H1521" s="19" t="n"/>
      <c r="I1521" s="19" t="n"/>
      <c r="J1521" s="19" t="n"/>
      <c r="K1521" s="19" t="n"/>
    </row>
    <row r="1522">
      <c r="A1522" s="19" t="n"/>
      <c r="B1522" s="19" t="n"/>
      <c r="C1522" s="19" t="n"/>
      <c r="D1522" s="19" t="n"/>
      <c r="E1522" s="19" t="n"/>
      <c r="F1522" s="19" t="n"/>
      <c r="G1522" s="19" t="n"/>
      <c r="H1522" s="19" t="n"/>
      <c r="I1522" s="19" t="n"/>
      <c r="J1522" s="19" t="n"/>
      <c r="K1522" s="19" t="n"/>
    </row>
    <row r="1523">
      <c r="A1523" s="19" t="n"/>
      <c r="B1523" s="19" t="n"/>
      <c r="C1523" s="19" t="n"/>
      <c r="D1523" s="19" t="n"/>
      <c r="E1523" s="19" t="n"/>
      <c r="F1523" s="19" t="n"/>
      <c r="G1523" s="19" t="n"/>
      <c r="H1523" s="19" t="n"/>
      <c r="I1523" s="19" t="n"/>
      <c r="J1523" s="19" t="n"/>
      <c r="K1523" s="19" t="n"/>
    </row>
    <row r="1524">
      <c r="A1524" s="19" t="n"/>
      <c r="B1524" s="19" t="n"/>
      <c r="C1524" s="19" t="n"/>
      <c r="D1524" s="19" t="n"/>
      <c r="E1524" s="19" t="n"/>
      <c r="F1524" s="19" t="n"/>
      <c r="G1524" s="19" t="n"/>
      <c r="H1524" s="19" t="n"/>
      <c r="I1524" s="19" t="n"/>
      <c r="J1524" s="19" t="n"/>
      <c r="K1524" s="19" t="n"/>
    </row>
    <row r="1525">
      <c r="A1525" s="19" t="n"/>
      <c r="B1525" s="19" t="n"/>
      <c r="C1525" s="19" t="n"/>
      <c r="D1525" s="19" t="n"/>
      <c r="E1525" s="19" t="n"/>
      <c r="F1525" s="19" t="n"/>
      <c r="G1525" s="19" t="n"/>
      <c r="H1525" s="19" t="n"/>
      <c r="I1525" s="19" t="n"/>
      <c r="J1525" s="19" t="n"/>
      <c r="K1525" s="19" t="n"/>
    </row>
    <row r="1526">
      <c r="A1526" s="19" t="n"/>
      <c r="B1526" s="19" t="n"/>
      <c r="C1526" s="19" t="n"/>
      <c r="D1526" s="19" t="n"/>
      <c r="E1526" s="19" t="n"/>
      <c r="F1526" s="19" t="n"/>
      <c r="G1526" s="19" t="n"/>
      <c r="H1526" s="19" t="n"/>
      <c r="I1526" s="19" t="n"/>
      <c r="J1526" s="19" t="n"/>
      <c r="K1526" s="19" t="n"/>
    </row>
    <row r="1527">
      <c r="A1527" s="19" t="n"/>
      <c r="B1527" s="19" t="n"/>
      <c r="C1527" s="19" t="n"/>
      <c r="D1527" s="19" t="n"/>
      <c r="E1527" s="19" t="n"/>
      <c r="F1527" s="19" t="n"/>
      <c r="G1527" s="19" t="n"/>
      <c r="H1527" s="19" t="n"/>
      <c r="I1527" s="19" t="n"/>
      <c r="J1527" s="19" t="n"/>
      <c r="K1527" s="19" t="n"/>
    </row>
    <row r="1528">
      <c r="A1528" s="19" t="n"/>
      <c r="B1528" s="19" t="n"/>
      <c r="C1528" s="19" t="n"/>
      <c r="D1528" s="19" t="n"/>
      <c r="E1528" s="19" t="n"/>
      <c r="F1528" s="19" t="n"/>
      <c r="G1528" s="19" t="n"/>
      <c r="H1528" s="19" t="n"/>
      <c r="I1528" s="19" t="n"/>
      <c r="J1528" s="19" t="n"/>
      <c r="K1528" s="19" t="n"/>
    </row>
    <row r="1529">
      <c r="A1529" s="19" t="n"/>
      <c r="B1529" s="19" t="n"/>
      <c r="C1529" s="19" t="n"/>
      <c r="D1529" s="19" t="n"/>
      <c r="E1529" s="19" t="n"/>
      <c r="F1529" s="19" t="n"/>
      <c r="G1529" s="19" t="n"/>
      <c r="H1529" s="19" t="n"/>
      <c r="I1529" s="19" t="n"/>
      <c r="J1529" s="19" t="n"/>
      <c r="K1529" s="19" t="n"/>
    </row>
    <row r="1530">
      <c r="A1530" s="19" t="n"/>
      <c r="B1530" s="19" t="n"/>
      <c r="C1530" s="19" t="n"/>
      <c r="D1530" s="19" t="n"/>
      <c r="E1530" s="19" t="n"/>
      <c r="F1530" s="19" t="n"/>
      <c r="G1530" s="19" t="n"/>
      <c r="H1530" s="19" t="n"/>
      <c r="I1530" s="19" t="n"/>
      <c r="J1530" s="19" t="n"/>
      <c r="K1530" s="19" t="n"/>
    </row>
    <row r="1531">
      <c r="A1531" s="19" t="n"/>
      <c r="B1531" s="19" t="n"/>
      <c r="C1531" s="19" t="n"/>
      <c r="D1531" s="19" t="n"/>
      <c r="E1531" s="19" t="n"/>
      <c r="F1531" s="19" t="n"/>
      <c r="G1531" s="19" t="n"/>
      <c r="H1531" s="19" t="n"/>
      <c r="I1531" s="19" t="n"/>
      <c r="J1531" s="19" t="n"/>
      <c r="K1531" s="19" t="n"/>
    </row>
    <row r="1532">
      <c r="A1532" s="19" t="n"/>
      <c r="B1532" s="19" t="n"/>
      <c r="C1532" s="19" t="n"/>
      <c r="D1532" s="19" t="n"/>
      <c r="E1532" s="19" t="n"/>
      <c r="F1532" s="19" t="n"/>
      <c r="G1532" s="19" t="n"/>
      <c r="H1532" s="19" t="n"/>
      <c r="I1532" s="19" t="n"/>
      <c r="J1532" s="19" t="n"/>
      <c r="K1532" s="19" t="n"/>
    </row>
    <row r="1533">
      <c r="A1533" s="19" t="n"/>
      <c r="B1533" s="19" t="n"/>
      <c r="C1533" s="19" t="n"/>
      <c r="D1533" s="19" t="n"/>
      <c r="E1533" s="19" t="n"/>
      <c r="F1533" s="19" t="n"/>
      <c r="G1533" s="19" t="n"/>
      <c r="H1533" s="19" t="n"/>
      <c r="I1533" s="19" t="n"/>
      <c r="J1533" s="19" t="n"/>
      <c r="K1533" s="19" t="n"/>
    </row>
    <row r="1534">
      <c r="A1534" s="19" t="n"/>
      <c r="B1534" s="19" t="n"/>
      <c r="C1534" s="19" t="n"/>
      <c r="D1534" s="19" t="n"/>
      <c r="E1534" s="19" t="n"/>
      <c r="F1534" s="19" t="n"/>
      <c r="G1534" s="19" t="n"/>
      <c r="H1534" s="19" t="n"/>
      <c r="I1534" s="19" t="n"/>
      <c r="J1534" s="19" t="n"/>
      <c r="K1534" s="19" t="n"/>
    </row>
    <row r="1535">
      <c r="A1535" s="19" t="n"/>
      <c r="B1535" s="19" t="n"/>
      <c r="C1535" s="19" t="n"/>
      <c r="D1535" s="19" t="n"/>
      <c r="E1535" s="19" t="n"/>
      <c r="F1535" s="19" t="n"/>
      <c r="G1535" s="19" t="n"/>
      <c r="H1535" s="19" t="n"/>
      <c r="I1535" s="19" t="n"/>
      <c r="J1535" s="19" t="n"/>
      <c r="K1535" s="19" t="n"/>
    </row>
    <row r="1536">
      <c r="A1536" s="19" t="n"/>
      <c r="B1536" s="19" t="n"/>
      <c r="C1536" s="19" t="n"/>
      <c r="D1536" s="19" t="n"/>
      <c r="E1536" s="19" t="n"/>
      <c r="F1536" s="19" t="n"/>
      <c r="G1536" s="19" t="n"/>
      <c r="H1536" s="19" t="n"/>
      <c r="I1536" s="19" t="n"/>
      <c r="J1536" s="19" t="n"/>
      <c r="K1536" s="19" t="n"/>
    </row>
    <row r="1537">
      <c r="A1537" s="19" t="n"/>
      <c r="B1537" s="19" t="n"/>
      <c r="C1537" s="19" t="n"/>
      <c r="D1537" s="19" t="n"/>
      <c r="E1537" s="19" t="n"/>
      <c r="F1537" s="19" t="n"/>
      <c r="G1537" s="19" t="n"/>
      <c r="H1537" s="19" t="n"/>
      <c r="I1537" s="19" t="n"/>
      <c r="J1537" s="19" t="n"/>
      <c r="K1537" s="19" t="n"/>
    </row>
    <row r="1538">
      <c r="A1538" s="19" t="n"/>
      <c r="B1538" s="19" t="n"/>
      <c r="C1538" s="19" t="n"/>
      <c r="D1538" s="19" t="n"/>
      <c r="E1538" s="19" t="n"/>
      <c r="F1538" s="19" t="n"/>
      <c r="G1538" s="19" t="n"/>
      <c r="H1538" s="19" t="n"/>
      <c r="I1538" s="19" t="n"/>
      <c r="J1538" s="19" t="n"/>
      <c r="K1538" s="19" t="n"/>
    </row>
    <row r="1539">
      <c r="A1539" s="19" t="n"/>
      <c r="B1539" s="19" t="n"/>
      <c r="C1539" s="19" t="n"/>
      <c r="D1539" s="19" t="n"/>
      <c r="E1539" s="19" t="n"/>
      <c r="F1539" s="19" t="n"/>
      <c r="G1539" s="19" t="n"/>
      <c r="H1539" s="19" t="n"/>
      <c r="I1539" s="19" t="n"/>
      <c r="J1539" s="19" t="n"/>
      <c r="K1539" s="19" t="n"/>
    </row>
    <row r="1540">
      <c r="A1540" s="19" t="n"/>
      <c r="B1540" s="19" t="n"/>
      <c r="C1540" s="19" t="n"/>
      <c r="D1540" s="19" t="n"/>
      <c r="E1540" s="19" t="n"/>
      <c r="F1540" s="19" t="n"/>
      <c r="G1540" s="19" t="n"/>
      <c r="H1540" s="19" t="n"/>
      <c r="I1540" s="19" t="n"/>
      <c r="J1540" s="19" t="n"/>
      <c r="K1540" s="19" t="n"/>
    </row>
    <row r="1541">
      <c r="A1541" s="19" t="n"/>
      <c r="B1541" s="19" t="n"/>
      <c r="C1541" s="19" t="n"/>
      <c r="D1541" s="19" t="n"/>
      <c r="E1541" s="19" t="n"/>
      <c r="F1541" s="19" t="n"/>
      <c r="G1541" s="19" t="n"/>
      <c r="H1541" s="19" t="n"/>
      <c r="I1541" s="19" t="n"/>
      <c r="J1541" s="19" t="n"/>
      <c r="K1541" s="19" t="n"/>
    </row>
    <row r="1542">
      <c r="A1542" s="19" t="n"/>
      <c r="B1542" s="19" t="n"/>
      <c r="C1542" s="19" t="n"/>
      <c r="D1542" s="19" t="n"/>
      <c r="E1542" s="19" t="n"/>
      <c r="F1542" s="19" t="n"/>
      <c r="G1542" s="19" t="n"/>
      <c r="H1542" s="19" t="n"/>
      <c r="I1542" s="19" t="n"/>
      <c r="J1542" s="19" t="n"/>
      <c r="K1542" s="19" t="n"/>
    </row>
    <row r="1543">
      <c r="A1543" s="19" t="n"/>
      <c r="B1543" s="19" t="n"/>
      <c r="C1543" s="19" t="n"/>
      <c r="D1543" s="19" t="n"/>
      <c r="E1543" s="19" t="n"/>
      <c r="F1543" s="19" t="n"/>
      <c r="G1543" s="19" t="n"/>
      <c r="H1543" s="19" t="n"/>
      <c r="I1543" s="19" t="n"/>
      <c r="J1543" s="19" t="n"/>
      <c r="K1543" s="19" t="n"/>
    </row>
    <row r="1544">
      <c r="A1544" s="19" t="n"/>
      <c r="B1544" s="19" t="n"/>
      <c r="C1544" s="19" t="n"/>
      <c r="D1544" s="19" t="n"/>
      <c r="E1544" s="19" t="n"/>
      <c r="F1544" s="19" t="n"/>
      <c r="G1544" s="19" t="n"/>
      <c r="H1544" s="19" t="n"/>
      <c r="I1544" s="19" t="n"/>
      <c r="J1544" s="19" t="n"/>
      <c r="K1544" s="19" t="n"/>
    </row>
    <row r="1545">
      <c r="A1545" s="19" t="n"/>
      <c r="B1545" s="19" t="n"/>
      <c r="C1545" s="19" t="n"/>
      <c r="D1545" s="19" t="n"/>
      <c r="E1545" s="19" t="n"/>
      <c r="F1545" s="19" t="n"/>
      <c r="G1545" s="19" t="n"/>
      <c r="H1545" s="19" t="n"/>
      <c r="I1545" s="19" t="n"/>
      <c r="J1545" s="19" t="n"/>
      <c r="K1545" s="19" t="n"/>
    </row>
    <row r="1546">
      <c r="A1546" s="19" t="n"/>
      <c r="B1546" s="19" t="n"/>
      <c r="C1546" s="19" t="n"/>
      <c r="D1546" s="19" t="n"/>
      <c r="E1546" s="19" t="n"/>
      <c r="F1546" s="19" t="n"/>
      <c r="G1546" s="19" t="n"/>
      <c r="H1546" s="19" t="n"/>
      <c r="I1546" s="19" t="n"/>
      <c r="J1546" s="19" t="n"/>
      <c r="K1546" s="19" t="n"/>
    </row>
    <row r="1547">
      <c r="A1547" s="19" t="n"/>
      <c r="B1547" s="19" t="n"/>
      <c r="C1547" s="19" t="n"/>
      <c r="D1547" s="19" t="n"/>
      <c r="E1547" s="19" t="n"/>
      <c r="F1547" s="19" t="n"/>
      <c r="G1547" s="19" t="n"/>
      <c r="H1547" s="19" t="n"/>
      <c r="I1547" s="19" t="n"/>
      <c r="J1547" s="19" t="n"/>
      <c r="K1547" s="19" t="n"/>
    </row>
    <row r="1548">
      <c r="A1548" s="19" t="n"/>
      <c r="B1548" s="19" t="n"/>
      <c r="C1548" s="19" t="n"/>
      <c r="D1548" s="19" t="n"/>
      <c r="E1548" s="19" t="n"/>
      <c r="F1548" s="19" t="n"/>
      <c r="G1548" s="19" t="n"/>
      <c r="H1548" s="19" t="n"/>
      <c r="I1548" s="19" t="n"/>
      <c r="J1548" s="19" t="n"/>
      <c r="K1548" s="19" t="n"/>
    </row>
    <row r="1549">
      <c r="A1549" s="19" t="n"/>
      <c r="B1549" s="19" t="n"/>
      <c r="C1549" s="19" t="n"/>
      <c r="D1549" s="19" t="n"/>
      <c r="E1549" s="19" t="n"/>
      <c r="F1549" s="19" t="n"/>
      <c r="G1549" s="19" t="n"/>
      <c r="H1549" s="19" t="n"/>
      <c r="I1549" s="19" t="n"/>
      <c r="J1549" s="19" t="n"/>
      <c r="K1549" s="19" t="n"/>
    </row>
    <row r="1550">
      <c r="A1550" s="19" t="n"/>
      <c r="B1550" s="19" t="n"/>
      <c r="C1550" s="19" t="n"/>
      <c r="D1550" s="19" t="n"/>
      <c r="E1550" s="19" t="n"/>
      <c r="F1550" s="19" t="n"/>
      <c r="G1550" s="19" t="n"/>
      <c r="H1550" s="19" t="n"/>
      <c r="I1550" s="19" t="n"/>
      <c r="J1550" s="19" t="n"/>
      <c r="K1550" s="19" t="n"/>
    </row>
    <row r="1551">
      <c r="A1551" s="19" t="n"/>
      <c r="B1551" s="19" t="n"/>
      <c r="C1551" s="19" t="n"/>
      <c r="D1551" s="19" t="n"/>
      <c r="E1551" s="19" t="n"/>
      <c r="F1551" s="19" t="n"/>
      <c r="G1551" s="19" t="n"/>
      <c r="H1551" s="19" t="n"/>
      <c r="I1551" s="19" t="n"/>
      <c r="J1551" s="19" t="n"/>
      <c r="K1551" s="19" t="n"/>
    </row>
    <row r="1552">
      <c r="A1552" s="19" t="n"/>
      <c r="B1552" s="19" t="n"/>
      <c r="C1552" s="19" t="n"/>
      <c r="D1552" s="19" t="n"/>
      <c r="E1552" s="19" t="n"/>
      <c r="F1552" s="19" t="n"/>
      <c r="G1552" s="19" t="n"/>
      <c r="H1552" s="19" t="n"/>
      <c r="I1552" s="19" t="n"/>
      <c r="J1552" s="19" t="n"/>
      <c r="K1552" s="19" t="n"/>
    </row>
    <row r="1553">
      <c r="A1553" s="19" t="n"/>
      <c r="B1553" s="19" t="n"/>
      <c r="C1553" s="19" t="n"/>
      <c r="D1553" s="19" t="n"/>
      <c r="E1553" s="19" t="n"/>
      <c r="F1553" s="19" t="n"/>
      <c r="G1553" s="19" t="n"/>
      <c r="H1553" s="19" t="n"/>
      <c r="I1553" s="19" t="n"/>
      <c r="J1553" s="19" t="n"/>
      <c r="K1553" s="19" t="n"/>
    </row>
    <row r="1554">
      <c r="A1554" s="19" t="n"/>
      <c r="B1554" s="19" t="n"/>
      <c r="C1554" s="19" t="n"/>
      <c r="D1554" s="19" t="n"/>
      <c r="E1554" s="19" t="n"/>
      <c r="F1554" s="19" t="n"/>
      <c r="G1554" s="19" t="n"/>
      <c r="H1554" s="19" t="n"/>
      <c r="I1554" s="19" t="n"/>
      <c r="J1554" s="19" t="n"/>
      <c r="K1554" s="19" t="n"/>
    </row>
    <row r="1555">
      <c r="A1555" s="19" t="n"/>
      <c r="B1555" s="19" t="n"/>
      <c r="C1555" s="19" t="n"/>
      <c r="D1555" s="19" t="n"/>
      <c r="E1555" s="19" t="n"/>
      <c r="F1555" s="19" t="n"/>
      <c r="G1555" s="19" t="n"/>
      <c r="H1555" s="19" t="n"/>
      <c r="I1555" s="19" t="n"/>
      <c r="J1555" s="19" t="n"/>
      <c r="K1555" s="19" t="n"/>
    </row>
    <row r="1556">
      <c r="A1556" s="19" t="n"/>
      <c r="B1556" s="19" t="n"/>
      <c r="C1556" s="19" t="n"/>
      <c r="D1556" s="19" t="n"/>
      <c r="E1556" s="19" t="n"/>
      <c r="F1556" s="19" t="n"/>
      <c r="G1556" s="19" t="n"/>
      <c r="H1556" s="19" t="n"/>
      <c r="I1556" s="19" t="n"/>
      <c r="J1556" s="19" t="n"/>
      <c r="K1556" s="19" t="n"/>
    </row>
    <row r="1557">
      <c r="A1557" s="19" t="n"/>
      <c r="B1557" s="19" t="n"/>
      <c r="C1557" s="19" t="n"/>
      <c r="D1557" s="19" t="n"/>
      <c r="E1557" s="19" t="n"/>
      <c r="F1557" s="19" t="n"/>
      <c r="G1557" s="19" t="n"/>
      <c r="H1557" s="19" t="n"/>
      <c r="I1557" s="19" t="n"/>
      <c r="J1557" s="19" t="n"/>
      <c r="K1557" s="19" t="n"/>
    </row>
    <row r="1558">
      <c r="A1558" s="19" t="n"/>
      <c r="B1558" s="19" t="n"/>
      <c r="C1558" s="19" t="n"/>
      <c r="D1558" s="19" t="n"/>
      <c r="E1558" s="19" t="n"/>
      <c r="F1558" s="19" t="n"/>
      <c r="G1558" s="19" t="n"/>
      <c r="H1558" s="19" t="n"/>
      <c r="I1558" s="19" t="n"/>
      <c r="J1558" s="19" t="n"/>
      <c r="K1558" s="19" t="n"/>
    </row>
    <row r="1559">
      <c r="A1559" s="19" t="n"/>
      <c r="B1559" s="19" t="n"/>
      <c r="C1559" s="19" t="n"/>
      <c r="D1559" s="19" t="n"/>
      <c r="E1559" s="19" t="n"/>
      <c r="F1559" s="19" t="n"/>
      <c r="G1559" s="19" t="n"/>
      <c r="H1559" s="19" t="n"/>
      <c r="I1559" s="19" t="n"/>
      <c r="J1559" s="19" t="n"/>
      <c r="K1559" s="19" t="n"/>
    </row>
    <row r="1560">
      <c r="A1560" s="19" t="n"/>
      <c r="B1560" s="19" t="n"/>
      <c r="C1560" s="19" t="n"/>
      <c r="D1560" s="19" t="n"/>
      <c r="E1560" s="19" t="n"/>
      <c r="F1560" s="19" t="n"/>
      <c r="G1560" s="19" t="n"/>
      <c r="H1560" s="19" t="n"/>
      <c r="I1560" s="19" t="n"/>
      <c r="J1560" s="19" t="n"/>
      <c r="K1560" s="19" t="n"/>
    </row>
    <row r="1561">
      <c r="A1561" s="19" t="n"/>
      <c r="B1561" s="19" t="n"/>
      <c r="C1561" s="19" t="n"/>
      <c r="D1561" s="19" t="n"/>
      <c r="E1561" s="19" t="n"/>
      <c r="F1561" s="19" t="n"/>
      <c r="G1561" s="19" t="n"/>
      <c r="H1561" s="19" t="n"/>
      <c r="I1561" s="19" t="n"/>
      <c r="J1561" s="19" t="n"/>
      <c r="K1561" s="19" t="n"/>
    </row>
    <row r="1562">
      <c r="A1562" s="19" t="n"/>
      <c r="B1562" s="19" t="n"/>
      <c r="C1562" s="19" t="n"/>
      <c r="D1562" s="19" t="n"/>
      <c r="E1562" s="19" t="n"/>
      <c r="F1562" s="19" t="n"/>
      <c r="G1562" s="19" t="n"/>
      <c r="H1562" s="19" t="n"/>
      <c r="I1562" s="19" t="n"/>
      <c r="J1562" s="19" t="n"/>
      <c r="K1562" s="19" t="n"/>
    </row>
    <row r="1563">
      <c r="A1563" s="19" t="n"/>
      <c r="B1563" s="19" t="n"/>
      <c r="C1563" s="19" t="n"/>
      <c r="D1563" s="19" t="n"/>
      <c r="E1563" s="19" t="n"/>
      <c r="F1563" s="19" t="n"/>
      <c r="G1563" s="19" t="n"/>
      <c r="H1563" s="19" t="n"/>
      <c r="I1563" s="19" t="n"/>
      <c r="J1563" s="19" t="n"/>
      <c r="K1563" s="19" t="n"/>
    </row>
    <row r="1564">
      <c r="A1564" s="19" t="n"/>
      <c r="B1564" s="19" t="n"/>
      <c r="C1564" s="19" t="n"/>
      <c r="D1564" s="19" t="n"/>
      <c r="E1564" s="19" t="n"/>
      <c r="F1564" s="19" t="n"/>
      <c r="G1564" s="19" t="n"/>
      <c r="H1564" s="19" t="n"/>
      <c r="I1564" s="19" t="n"/>
      <c r="J1564" s="19" t="n"/>
      <c r="K1564" s="19" t="n"/>
    </row>
    <row r="1565">
      <c r="A1565" s="19" t="n"/>
      <c r="B1565" s="19" t="n"/>
      <c r="C1565" s="19" t="n"/>
      <c r="D1565" s="19" t="n"/>
      <c r="E1565" s="19" t="n"/>
      <c r="F1565" s="19" t="n"/>
      <c r="G1565" s="19" t="n"/>
      <c r="H1565" s="19" t="n"/>
      <c r="I1565" s="19" t="n"/>
      <c r="J1565" s="19" t="n"/>
      <c r="K1565" s="19" t="n"/>
    </row>
    <row r="1566">
      <c r="A1566" s="19" t="n"/>
      <c r="B1566" s="19" t="n"/>
      <c r="C1566" s="19" t="n"/>
      <c r="D1566" s="19" t="n"/>
      <c r="E1566" s="19" t="n"/>
      <c r="F1566" s="19" t="n"/>
      <c r="G1566" s="19" t="n"/>
      <c r="H1566" s="19" t="n"/>
      <c r="I1566" s="19" t="n"/>
      <c r="J1566" s="19" t="n"/>
      <c r="K1566" s="19" t="n"/>
    </row>
    <row r="1567">
      <c r="A1567" s="19" t="n"/>
      <c r="B1567" s="19" t="n"/>
      <c r="C1567" s="19" t="n"/>
      <c r="D1567" s="19" t="n"/>
      <c r="E1567" s="19" t="n"/>
      <c r="F1567" s="19" t="n"/>
      <c r="G1567" s="19" t="n"/>
      <c r="H1567" s="19" t="n"/>
      <c r="I1567" s="19" t="n"/>
      <c r="J1567" s="19" t="n"/>
      <c r="K1567" s="19" t="n"/>
    </row>
    <row r="1568">
      <c r="A1568" s="19" t="n"/>
      <c r="B1568" s="19" t="n"/>
      <c r="C1568" s="19" t="n"/>
      <c r="D1568" s="19" t="n"/>
      <c r="E1568" s="19" t="n"/>
      <c r="F1568" s="19" t="n"/>
      <c r="G1568" s="19" t="n"/>
      <c r="H1568" s="19" t="n"/>
      <c r="I1568" s="19" t="n"/>
      <c r="J1568" s="19" t="n"/>
      <c r="K1568" s="19" t="n"/>
    </row>
    <row r="1569">
      <c r="A1569" s="19" t="n"/>
      <c r="B1569" s="19" t="n"/>
      <c r="C1569" s="19" t="n"/>
      <c r="D1569" s="19" t="n"/>
      <c r="E1569" s="19" t="n"/>
      <c r="F1569" s="19" t="n"/>
      <c r="G1569" s="19" t="n"/>
      <c r="H1569" s="19" t="n"/>
      <c r="I1569" s="19" t="n"/>
      <c r="J1569" s="19" t="n"/>
      <c r="K1569" s="19" t="n"/>
    </row>
    <row r="1570">
      <c r="A1570" s="19" t="n"/>
      <c r="B1570" s="19" t="n"/>
      <c r="C1570" s="19" t="n"/>
      <c r="D1570" s="19" t="n"/>
      <c r="E1570" s="19" t="n"/>
      <c r="F1570" s="19" t="n"/>
      <c r="G1570" s="19" t="n"/>
      <c r="H1570" s="19" t="n"/>
      <c r="I1570" s="19" t="n"/>
      <c r="J1570" s="19" t="n"/>
      <c r="K1570" s="19" t="n"/>
    </row>
    <row r="1571">
      <c r="A1571" s="19" t="n"/>
      <c r="B1571" s="19" t="n"/>
      <c r="C1571" s="19" t="n"/>
      <c r="D1571" s="19" t="n"/>
      <c r="E1571" s="19" t="n"/>
      <c r="F1571" s="19" t="n"/>
      <c r="G1571" s="19" t="n"/>
      <c r="H1571" s="19" t="n"/>
      <c r="I1571" s="19" t="n"/>
      <c r="J1571" s="19" t="n"/>
      <c r="K1571" s="19" t="n"/>
    </row>
    <row r="1572">
      <c r="A1572" s="19" t="n"/>
      <c r="B1572" s="19" t="n"/>
      <c r="C1572" s="19" t="n"/>
      <c r="D1572" s="19" t="n"/>
      <c r="E1572" s="19" t="n"/>
      <c r="F1572" s="19" t="n"/>
      <c r="G1572" s="19" t="n"/>
      <c r="H1572" s="19" t="n"/>
      <c r="I1572" s="19" t="n"/>
      <c r="J1572" s="19" t="n"/>
      <c r="K1572" s="19" t="n"/>
    </row>
    <row r="1573">
      <c r="A1573" s="19" t="n"/>
      <c r="B1573" s="19" t="n"/>
      <c r="C1573" s="19" t="n"/>
      <c r="D1573" s="19" t="n"/>
      <c r="E1573" s="19" t="n"/>
      <c r="F1573" s="19" t="n"/>
      <c r="G1573" s="19" t="n"/>
      <c r="H1573" s="19" t="n"/>
      <c r="I1573" s="19" t="n"/>
      <c r="J1573" s="19" t="n"/>
      <c r="K1573" s="19" t="n"/>
    </row>
    <row r="1574">
      <c r="A1574" s="19" t="n"/>
      <c r="B1574" s="19" t="n"/>
      <c r="C1574" s="19" t="n"/>
      <c r="D1574" s="19" t="n"/>
      <c r="E1574" s="19" t="n"/>
      <c r="F1574" s="19" t="n"/>
      <c r="G1574" s="19" t="n"/>
      <c r="H1574" s="19" t="n"/>
      <c r="I1574" s="19" t="n"/>
      <c r="J1574" s="19" t="n"/>
      <c r="K1574" s="19" t="n"/>
    </row>
    <row r="1575">
      <c r="A1575" s="19" t="n"/>
      <c r="B1575" s="19" t="n"/>
      <c r="C1575" s="19" t="n"/>
      <c r="D1575" s="19" t="n"/>
      <c r="E1575" s="19" t="n"/>
      <c r="F1575" s="19" t="n"/>
      <c r="G1575" s="19" t="n"/>
      <c r="H1575" s="19" t="n"/>
      <c r="I1575" s="19" t="n"/>
      <c r="J1575" s="19" t="n"/>
      <c r="K1575" s="19" t="n"/>
    </row>
    <row r="1576">
      <c r="A1576" s="19" t="n"/>
      <c r="B1576" s="19" t="n"/>
      <c r="C1576" s="19" t="n"/>
      <c r="D1576" s="19" t="n"/>
      <c r="E1576" s="19" t="n"/>
      <c r="F1576" s="19" t="n"/>
      <c r="G1576" s="19" t="n"/>
      <c r="H1576" s="19" t="n"/>
      <c r="I1576" s="19" t="n"/>
      <c r="J1576" s="19" t="n"/>
      <c r="K1576" s="19" t="n"/>
    </row>
    <row r="1577">
      <c r="A1577" s="19" t="n"/>
      <c r="B1577" s="19" t="n"/>
      <c r="C1577" s="19" t="n"/>
      <c r="D1577" s="19" t="n"/>
      <c r="E1577" s="19" t="n"/>
      <c r="F1577" s="19" t="n"/>
      <c r="G1577" s="19" t="n"/>
      <c r="H1577" s="19" t="n"/>
      <c r="I1577" s="19" t="n"/>
      <c r="J1577" s="19" t="n"/>
      <c r="K1577" s="19" t="n"/>
    </row>
    <row r="1578">
      <c r="A1578" s="19" t="n"/>
      <c r="B1578" s="19" t="n"/>
      <c r="C1578" s="19" t="n"/>
      <c r="D1578" s="19" t="n"/>
      <c r="E1578" s="19" t="n"/>
      <c r="F1578" s="19" t="n"/>
      <c r="G1578" s="19" t="n"/>
      <c r="H1578" s="19" t="n"/>
      <c r="I1578" s="19" t="n"/>
      <c r="J1578" s="19" t="n"/>
      <c r="K1578" s="19" t="n"/>
    </row>
    <row r="1579">
      <c r="A1579" s="19" t="n"/>
      <c r="B1579" s="19" t="n"/>
      <c r="C1579" s="19" t="n"/>
      <c r="D1579" s="19" t="n"/>
      <c r="E1579" s="19" t="n"/>
      <c r="F1579" s="19" t="n"/>
      <c r="G1579" s="19" t="n"/>
      <c r="H1579" s="19" t="n"/>
      <c r="I1579" s="19" t="n"/>
      <c r="J1579" s="19" t="n"/>
      <c r="K1579" s="19" t="n"/>
    </row>
    <row r="1580">
      <c r="A1580" s="19" t="n"/>
      <c r="B1580" s="19" t="n"/>
      <c r="C1580" s="19" t="n"/>
      <c r="D1580" s="19" t="n"/>
      <c r="E1580" s="19" t="n"/>
      <c r="F1580" s="19" t="n"/>
      <c r="G1580" s="19" t="n"/>
      <c r="H1580" s="19" t="n"/>
      <c r="I1580" s="19" t="n"/>
      <c r="J1580" s="19" t="n"/>
      <c r="K1580" s="19" t="n"/>
    </row>
    <row r="1581">
      <c r="A1581" s="19" t="n"/>
      <c r="B1581" s="19" t="n"/>
      <c r="C1581" s="19" t="n"/>
      <c r="D1581" s="19" t="n"/>
      <c r="E1581" s="19" t="n"/>
      <c r="F1581" s="19" t="n"/>
      <c r="G1581" s="19" t="n"/>
      <c r="H1581" s="19" t="n"/>
      <c r="I1581" s="19" t="n"/>
      <c r="J1581" s="19" t="n"/>
      <c r="K1581" s="19" t="n"/>
    </row>
    <row r="1582">
      <c r="A1582" s="19" t="n"/>
      <c r="B1582" s="19" t="n"/>
      <c r="C1582" s="19" t="n"/>
      <c r="D1582" s="19" t="n"/>
      <c r="E1582" s="19" t="n"/>
      <c r="F1582" s="19" t="n"/>
      <c r="G1582" s="19" t="n"/>
      <c r="H1582" s="19" t="n"/>
      <c r="I1582" s="19" t="n"/>
      <c r="J1582" s="19" t="n"/>
      <c r="K1582" s="19" t="n"/>
    </row>
    <row r="1583">
      <c r="A1583" s="19" t="n"/>
      <c r="B1583" s="19" t="n"/>
      <c r="C1583" s="19" t="n"/>
      <c r="D1583" s="19" t="n"/>
      <c r="E1583" s="19" t="n"/>
      <c r="F1583" s="19" t="n"/>
      <c r="G1583" s="19" t="n"/>
      <c r="H1583" s="19" t="n"/>
      <c r="I1583" s="19" t="n"/>
      <c r="J1583" s="19" t="n"/>
      <c r="K1583" s="19" t="n"/>
    </row>
    <row r="1584">
      <c r="A1584" s="19" t="n"/>
      <c r="B1584" s="19" t="n"/>
      <c r="C1584" s="19" t="n"/>
      <c r="D1584" s="19" t="n"/>
      <c r="E1584" s="19" t="n"/>
      <c r="F1584" s="19" t="n"/>
      <c r="G1584" s="19" t="n"/>
      <c r="H1584" s="19" t="n"/>
      <c r="I1584" s="19" t="n"/>
      <c r="J1584" s="19" t="n"/>
      <c r="K1584" s="19" t="n"/>
    </row>
    <row r="1585">
      <c r="A1585" s="19" t="n"/>
      <c r="B1585" s="19" t="n"/>
      <c r="C1585" s="19" t="n"/>
      <c r="D1585" s="19" t="n"/>
      <c r="E1585" s="19" t="n"/>
      <c r="F1585" s="19" t="n"/>
      <c r="G1585" s="19" t="n"/>
      <c r="H1585" s="19" t="n"/>
      <c r="I1585" s="19" t="n"/>
      <c r="J1585" s="19" t="n"/>
      <c r="K1585" s="19" t="n"/>
    </row>
    <row r="1586">
      <c r="A1586" s="19" t="n"/>
      <c r="B1586" s="19" t="n"/>
      <c r="C1586" s="19" t="n"/>
      <c r="D1586" s="19" t="n"/>
      <c r="E1586" s="19" t="n"/>
      <c r="F1586" s="19" t="n"/>
      <c r="G1586" s="19" t="n"/>
      <c r="H1586" s="19" t="n"/>
      <c r="I1586" s="19" t="n"/>
      <c r="J1586" s="19" t="n"/>
      <c r="K1586" s="19" t="n"/>
    </row>
    <row r="1587">
      <c r="A1587" s="19" t="n"/>
      <c r="B1587" s="19" t="n"/>
      <c r="C1587" s="19" t="n"/>
      <c r="D1587" s="19" t="n"/>
      <c r="E1587" s="19" t="n"/>
      <c r="F1587" s="19" t="n"/>
      <c r="G1587" s="19" t="n"/>
      <c r="H1587" s="19" t="n"/>
      <c r="I1587" s="19" t="n"/>
      <c r="J1587" s="19" t="n"/>
      <c r="K1587" s="19" t="n"/>
    </row>
    <row r="1588">
      <c r="A1588" s="19" t="n"/>
      <c r="B1588" s="19" t="n"/>
      <c r="C1588" s="19" t="n"/>
      <c r="D1588" s="19" t="n"/>
      <c r="E1588" s="19" t="n"/>
      <c r="F1588" s="19" t="n"/>
      <c r="G1588" s="19" t="n"/>
      <c r="H1588" s="19" t="n"/>
      <c r="I1588" s="19" t="n"/>
      <c r="J1588" s="19" t="n"/>
      <c r="K1588" s="19" t="n"/>
    </row>
    <row r="1589">
      <c r="A1589" s="19" t="n"/>
      <c r="B1589" s="19" t="n"/>
      <c r="C1589" s="19" t="n"/>
      <c r="D1589" s="19" t="n"/>
      <c r="E1589" s="19" t="n"/>
      <c r="F1589" s="19" t="n"/>
      <c r="G1589" s="19" t="n"/>
      <c r="H1589" s="19" t="n"/>
      <c r="I1589" s="19" t="n"/>
      <c r="J1589" s="19" t="n"/>
      <c r="K1589" s="19" t="n"/>
    </row>
    <row r="1590">
      <c r="A1590" s="19" t="n"/>
      <c r="B1590" s="19" t="n"/>
      <c r="C1590" s="19" t="n"/>
      <c r="D1590" s="19" t="n"/>
      <c r="E1590" s="19" t="n"/>
      <c r="F1590" s="19" t="n"/>
      <c r="G1590" s="19" t="n"/>
      <c r="H1590" s="19" t="n"/>
      <c r="I1590" s="19" t="n"/>
      <c r="J1590" s="19" t="n"/>
      <c r="K1590" s="19" t="n"/>
    </row>
    <row r="1591">
      <c r="A1591" s="19" t="n"/>
      <c r="B1591" s="19" t="n"/>
      <c r="C1591" s="19" t="n"/>
      <c r="D1591" s="19" t="n"/>
      <c r="E1591" s="19" t="n"/>
      <c r="F1591" s="19" t="n"/>
      <c r="G1591" s="19" t="n"/>
      <c r="H1591" s="19" t="n"/>
      <c r="I1591" s="19" t="n"/>
      <c r="J1591" s="19" t="n"/>
      <c r="K1591" s="19" t="n"/>
    </row>
    <row r="1592">
      <c r="A1592" s="19" t="n"/>
      <c r="B1592" s="19" t="n"/>
      <c r="C1592" s="19" t="n"/>
      <c r="D1592" s="19" t="n"/>
      <c r="E1592" s="19" t="n"/>
      <c r="F1592" s="19" t="n"/>
      <c r="G1592" s="19" t="n"/>
      <c r="H1592" s="19" t="n"/>
      <c r="I1592" s="19" t="n"/>
      <c r="J1592" s="19" t="n"/>
      <c r="K1592" s="19" t="n"/>
    </row>
    <row r="1593">
      <c r="A1593" s="19" t="n"/>
      <c r="B1593" s="19" t="n"/>
      <c r="C1593" s="19" t="n"/>
      <c r="D1593" s="19" t="n"/>
      <c r="E1593" s="19" t="n"/>
      <c r="F1593" s="19" t="n"/>
      <c r="G1593" s="19" t="n"/>
      <c r="H1593" s="19" t="n"/>
      <c r="I1593" s="19" t="n"/>
      <c r="J1593" s="19" t="n"/>
      <c r="K1593" s="19" t="n"/>
    </row>
    <row r="1594">
      <c r="A1594" s="19" t="n"/>
      <c r="B1594" s="19" t="n"/>
      <c r="C1594" s="19" t="n"/>
      <c r="D1594" s="19" t="n"/>
      <c r="E1594" s="19" t="n"/>
      <c r="F1594" s="19" t="n"/>
      <c r="G1594" s="19" t="n"/>
      <c r="H1594" s="19" t="n"/>
      <c r="I1594" s="19" t="n"/>
      <c r="J1594" s="19" t="n"/>
      <c r="K1594" s="19" t="n"/>
    </row>
    <row r="1595">
      <c r="A1595" s="19" t="n"/>
      <c r="B1595" s="19" t="n"/>
      <c r="C1595" s="19" t="n"/>
      <c r="D1595" s="19" t="n"/>
      <c r="E1595" s="19" t="n"/>
      <c r="F1595" s="19" t="n"/>
      <c r="G1595" s="19" t="n"/>
      <c r="H1595" s="19" t="n"/>
      <c r="I1595" s="19" t="n"/>
      <c r="J1595" s="19" t="n"/>
      <c r="K1595" s="19" t="n"/>
    </row>
    <row r="1596">
      <c r="A1596" s="19" t="n"/>
      <c r="B1596" s="19" t="n"/>
      <c r="C1596" s="19" t="n"/>
      <c r="D1596" s="19" t="n"/>
      <c r="E1596" s="19" t="n"/>
      <c r="F1596" s="19" t="n"/>
      <c r="G1596" s="19" t="n"/>
      <c r="H1596" s="19" t="n"/>
      <c r="I1596" s="19" t="n"/>
      <c r="J1596" s="19" t="n"/>
      <c r="K1596" s="19" t="n"/>
    </row>
    <row r="1597">
      <c r="A1597" s="19" t="n"/>
      <c r="B1597" s="19" t="n"/>
      <c r="C1597" s="19" t="n"/>
      <c r="D1597" s="19" t="n"/>
      <c r="E1597" s="19" t="n"/>
      <c r="F1597" s="19" t="n"/>
      <c r="G1597" s="19" t="n"/>
      <c r="H1597" s="19" t="n"/>
      <c r="I1597" s="19" t="n"/>
      <c r="J1597" s="19" t="n"/>
      <c r="K1597" s="19" t="n"/>
    </row>
    <row r="1598">
      <c r="A1598" s="19" t="n"/>
      <c r="B1598" s="19" t="n"/>
      <c r="C1598" s="19" t="n"/>
      <c r="D1598" s="19" t="n"/>
      <c r="E1598" s="19" t="n"/>
      <c r="F1598" s="19" t="n"/>
      <c r="G1598" s="19" t="n"/>
      <c r="H1598" s="19" t="n"/>
      <c r="I1598" s="19" t="n"/>
      <c r="J1598" s="19" t="n"/>
      <c r="K1598" s="19" t="n"/>
    </row>
    <row r="1599">
      <c r="A1599" s="19" t="n"/>
      <c r="B1599" s="19" t="n"/>
      <c r="C1599" s="19" t="n"/>
      <c r="D1599" s="19" t="n"/>
      <c r="E1599" s="19" t="n"/>
      <c r="F1599" s="19" t="n"/>
      <c r="G1599" s="19" t="n"/>
      <c r="H1599" s="19" t="n"/>
      <c r="I1599" s="19" t="n"/>
      <c r="J1599" s="19" t="n"/>
      <c r="K1599" s="19" t="n"/>
    </row>
    <row r="1600">
      <c r="A1600" s="19" t="n"/>
      <c r="B1600" s="19" t="n"/>
      <c r="C1600" s="19" t="n"/>
      <c r="D1600" s="19" t="n"/>
      <c r="E1600" s="19" t="n"/>
      <c r="F1600" s="19" t="n"/>
      <c r="G1600" s="19" t="n"/>
      <c r="H1600" s="19" t="n"/>
      <c r="I1600" s="19" t="n"/>
      <c r="J1600" s="19" t="n"/>
      <c r="K1600" s="19" t="n"/>
    </row>
    <row r="1601">
      <c r="A1601" s="19" t="n"/>
      <c r="B1601" s="19" t="n"/>
      <c r="C1601" s="19" t="n"/>
      <c r="D1601" s="19" t="n"/>
      <c r="E1601" s="19" t="n"/>
      <c r="F1601" s="19" t="n"/>
      <c r="G1601" s="19" t="n"/>
      <c r="H1601" s="19" t="n"/>
      <c r="I1601" s="19" t="n"/>
      <c r="J1601" s="19" t="n"/>
      <c r="K1601" s="19" t="n"/>
    </row>
    <row r="1602">
      <c r="A1602" s="19" t="n"/>
      <c r="B1602" s="19" t="n"/>
      <c r="C1602" s="19" t="n"/>
      <c r="D1602" s="19" t="n"/>
      <c r="E1602" s="19" t="n"/>
      <c r="F1602" s="19" t="n"/>
      <c r="G1602" s="19" t="n"/>
      <c r="H1602" s="19" t="n"/>
      <c r="I1602" s="19" t="n"/>
      <c r="J1602" s="19" t="n"/>
      <c r="K1602" s="19" t="n"/>
    </row>
    <row r="1603">
      <c r="A1603" s="19" t="n"/>
      <c r="B1603" s="19" t="n"/>
      <c r="C1603" s="19" t="n"/>
      <c r="D1603" s="19" t="n"/>
      <c r="E1603" s="19" t="n"/>
      <c r="F1603" s="19" t="n"/>
      <c r="G1603" s="19" t="n"/>
      <c r="H1603" s="19" t="n"/>
      <c r="I1603" s="19" t="n"/>
      <c r="J1603" s="19" t="n"/>
      <c r="K1603" s="19" t="n"/>
    </row>
    <row r="1604">
      <c r="A1604" s="19" t="n"/>
      <c r="B1604" s="19" t="n"/>
      <c r="C1604" s="19" t="n"/>
      <c r="D1604" s="19" t="n"/>
      <c r="E1604" s="19" t="n"/>
      <c r="F1604" s="19" t="n"/>
      <c r="G1604" s="19" t="n"/>
      <c r="H1604" s="19" t="n"/>
      <c r="I1604" s="19" t="n"/>
      <c r="J1604" s="19" t="n"/>
      <c r="K1604" s="19" t="n"/>
    </row>
    <row r="1605">
      <c r="A1605" s="19" t="n"/>
      <c r="B1605" s="19" t="n"/>
      <c r="C1605" s="19" t="n"/>
      <c r="D1605" s="19" t="n"/>
      <c r="E1605" s="19" t="n"/>
      <c r="F1605" s="19" t="n"/>
      <c r="G1605" s="19" t="n"/>
      <c r="H1605" s="19" t="n"/>
      <c r="I1605" s="19" t="n"/>
      <c r="J1605" s="19" t="n"/>
      <c r="K1605" s="19" t="n"/>
    </row>
    <row r="1606">
      <c r="A1606" s="19" t="n"/>
      <c r="B1606" s="19" t="n"/>
      <c r="C1606" s="19" t="n"/>
      <c r="D1606" s="19" t="n"/>
      <c r="E1606" s="19" t="n"/>
      <c r="F1606" s="19" t="n"/>
      <c r="G1606" s="19" t="n"/>
      <c r="H1606" s="19" t="n"/>
      <c r="I1606" s="19" t="n"/>
      <c r="J1606" s="19" t="n"/>
      <c r="K1606" s="19" t="n"/>
    </row>
    <row r="1607">
      <c r="A1607" s="19" t="n"/>
      <c r="B1607" s="19" t="n"/>
      <c r="C1607" s="19" t="n"/>
      <c r="D1607" s="19" t="n"/>
      <c r="E1607" s="19" t="n"/>
      <c r="F1607" s="19" t="n"/>
      <c r="G1607" s="19" t="n"/>
      <c r="H1607" s="19" t="n"/>
      <c r="I1607" s="19" t="n"/>
      <c r="J1607" s="19" t="n"/>
      <c r="K1607" s="19" t="n"/>
    </row>
    <row r="1608">
      <c r="A1608" s="19" t="n"/>
      <c r="B1608" s="19" t="n"/>
      <c r="C1608" s="19" t="n"/>
      <c r="D1608" s="19" t="n"/>
      <c r="E1608" s="19" t="n"/>
      <c r="F1608" s="19" t="n"/>
      <c r="G1608" s="19" t="n"/>
      <c r="H1608" s="19" t="n"/>
      <c r="I1608" s="19" t="n"/>
      <c r="J1608" s="19" t="n"/>
      <c r="K1608" s="19" t="n"/>
    </row>
    <row r="1609">
      <c r="A1609" s="19" t="n"/>
      <c r="B1609" s="19" t="n"/>
      <c r="C1609" s="19" t="n"/>
      <c r="D1609" s="19" t="n"/>
      <c r="E1609" s="19" t="n"/>
      <c r="F1609" s="19" t="n"/>
      <c r="G1609" s="19" t="n"/>
      <c r="H1609" s="19" t="n"/>
      <c r="I1609" s="19" t="n"/>
      <c r="J1609" s="19" t="n"/>
      <c r="K1609" s="19" t="n"/>
    </row>
    <row r="1610">
      <c r="A1610" s="19" t="n"/>
      <c r="B1610" s="19" t="n"/>
      <c r="C1610" s="19" t="n"/>
      <c r="D1610" s="19" t="n"/>
      <c r="E1610" s="19" t="n"/>
      <c r="F1610" s="19" t="n"/>
      <c r="G1610" s="19" t="n"/>
      <c r="H1610" s="19" t="n"/>
      <c r="I1610" s="19" t="n"/>
      <c r="J1610" s="19" t="n"/>
      <c r="K1610" s="19" t="n"/>
    </row>
    <row r="1611">
      <c r="A1611" s="19" t="n"/>
      <c r="B1611" s="19" t="n"/>
      <c r="C1611" s="19" t="n"/>
      <c r="D1611" s="19" t="n"/>
      <c r="E1611" s="19" t="n"/>
      <c r="F1611" s="19" t="n"/>
      <c r="G1611" s="19" t="n"/>
      <c r="H1611" s="19" t="n"/>
      <c r="I1611" s="19" t="n"/>
      <c r="J1611" s="19" t="n"/>
      <c r="K1611" s="19" t="n"/>
    </row>
    <row r="1612">
      <c r="A1612" s="19" t="n"/>
      <c r="B1612" s="19" t="n"/>
      <c r="C1612" s="19" t="n"/>
      <c r="D1612" s="19" t="n"/>
      <c r="E1612" s="19" t="n"/>
      <c r="F1612" s="19" t="n"/>
      <c r="G1612" s="19" t="n"/>
      <c r="H1612" s="19" t="n"/>
      <c r="I1612" s="19" t="n"/>
      <c r="J1612" s="19" t="n"/>
      <c r="K1612" s="19" t="n"/>
    </row>
    <row r="1613">
      <c r="A1613" s="19" t="n"/>
      <c r="B1613" s="19" t="n"/>
      <c r="C1613" s="19" t="n"/>
      <c r="D1613" s="19" t="n"/>
      <c r="E1613" s="19" t="n"/>
      <c r="F1613" s="19" t="n"/>
      <c r="G1613" s="19" t="n"/>
      <c r="H1613" s="19" t="n"/>
      <c r="I1613" s="19" t="n"/>
      <c r="J1613" s="19" t="n"/>
      <c r="K1613" s="19" t="n"/>
    </row>
    <row r="1614">
      <c r="A1614" s="19" t="n"/>
      <c r="B1614" s="19" t="n"/>
      <c r="C1614" s="19" t="n"/>
      <c r="D1614" s="19" t="n"/>
      <c r="E1614" s="19" t="n"/>
      <c r="F1614" s="19" t="n"/>
      <c r="G1614" s="19" t="n"/>
      <c r="H1614" s="19" t="n"/>
      <c r="I1614" s="19" t="n"/>
      <c r="J1614" s="19" t="n"/>
      <c r="K1614" s="19" t="n"/>
    </row>
    <row r="1615">
      <c r="A1615" s="19" t="n"/>
      <c r="B1615" s="19" t="n"/>
      <c r="C1615" s="19" t="n"/>
      <c r="D1615" s="19" t="n"/>
      <c r="E1615" s="19" t="n"/>
      <c r="F1615" s="19" t="n"/>
      <c r="G1615" s="19" t="n"/>
      <c r="H1615" s="19" t="n"/>
      <c r="I1615" s="19" t="n"/>
      <c r="J1615" s="19" t="n"/>
      <c r="K1615" s="19" t="n"/>
    </row>
    <row r="1616">
      <c r="A1616" s="19" t="n"/>
      <c r="B1616" s="19" t="n"/>
      <c r="C1616" s="19" t="n"/>
      <c r="D1616" s="19" t="n"/>
      <c r="E1616" s="19" t="n"/>
      <c r="F1616" s="19" t="n"/>
      <c r="G1616" s="19" t="n"/>
      <c r="H1616" s="19" t="n"/>
      <c r="I1616" s="19" t="n"/>
      <c r="J1616" s="19" t="n"/>
      <c r="K1616" s="19" t="n"/>
    </row>
    <row r="1617">
      <c r="A1617" s="19" t="n"/>
      <c r="B1617" s="19" t="n"/>
      <c r="C1617" s="19" t="n"/>
      <c r="D1617" s="19" t="n"/>
      <c r="E1617" s="19" t="n"/>
      <c r="F1617" s="19" t="n"/>
      <c r="G1617" s="19" t="n"/>
      <c r="H1617" s="19" t="n"/>
      <c r="I1617" s="19" t="n"/>
      <c r="J1617" s="19" t="n"/>
      <c r="K1617" s="19" t="n"/>
    </row>
    <row r="1618">
      <c r="A1618" s="19" t="n"/>
      <c r="B1618" s="19" t="n"/>
      <c r="C1618" s="19" t="n"/>
      <c r="D1618" s="19" t="n"/>
      <c r="E1618" s="19" t="n"/>
      <c r="F1618" s="19" t="n"/>
      <c r="G1618" s="19" t="n"/>
      <c r="H1618" s="19" t="n"/>
      <c r="I1618" s="19" t="n"/>
      <c r="J1618" s="19" t="n"/>
      <c r="K1618" s="19" t="n"/>
    </row>
    <row r="1619">
      <c r="A1619" s="19" t="n"/>
      <c r="B1619" s="19" t="n"/>
      <c r="C1619" s="19" t="n"/>
      <c r="D1619" s="19" t="n"/>
      <c r="E1619" s="19" t="n"/>
      <c r="F1619" s="19" t="n"/>
      <c r="G1619" s="19" t="n"/>
      <c r="H1619" s="19" t="n"/>
      <c r="I1619" s="19" t="n"/>
      <c r="J1619" s="19" t="n"/>
      <c r="K1619" s="19" t="n"/>
    </row>
    <row r="1620">
      <c r="A1620" s="19" t="n"/>
      <c r="B1620" s="19" t="n"/>
      <c r="C1620" s="19" t="n"/>
      <c r="D1620" s="19" t="n"/>
      <c r="E1620" s="19" t="n"/>
      <c r="F1620" s="19" t="n"/>
      <c r="G1620" s="19" t="n"/>
      <c r="H1620" s="19" t="n"/>
      <c r="I1620" s="19" t="n"/>
      <c r="J1620" s="19" t="n"/>
      <c r="K1620" s="19" t="n"/>
    </row>
    <row r="1621">
      <c r="A1621" s="19" t="n"/>
      <c r="B1621" s="19" t="n"/>
      <c r="C1621" s="19" t="n"/>
      <c r="D1621" s="19" t="n"/>
      <c r="E1621" s="19" t="n"/>
      <c r="F1621" s="19" t="n"/>
      <c r="G1621" s="19" t="n"/>
      <c r="H1621" s="19" t="n"/>
      <c r="I1621" s="19" t="n"/>
      <c r="J1621" s="19" t="n"/>
      <c r="K1621" s="19" t="n"/>
    </row>
    <row r="1622">
      <c r="A1622" s="19" t="n"/>
      <c r="B1622" s="19" t="n"/>
      <c r="C1622" s="19" t="n"/>
      <c r="D1622" s="19" t="n"/>
      <c r="E1622" s="19" t="n"/>
      <c r="F1622" s="19" t="n"/>
      <c r="G1622" s="19" t="n"/>
      <c r="H1622" s="19" t="n"/>
      <c r="I1622" s="19" t="n"/>
      <c r="J1622" s="19" t="n"/>
      <c r="K1622" s="19"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43"/>
  <sheetViews>
    <sheetView workbookViewId="0">
      <selection activeCell="A1" sqref="A1"/>
    </sheetView>
  </sheetViews>
  <sheetFormatPr baseColWidth="8" defaultRowHeight="15"/>
  <sheetData>
    <row r="1">
      <c r="A1" s="0" t="inlineStr">
        <is>
          <t>GameID</t>
        </is>
      </c>
      <c r="B1" s="0" t="inlineStr">
        <is>
          <t>Player</t>
        </is>
      </c>
      <c r="C1" s="0" t="inlineStr">
        <is>
          <t>Alignment</t>
        </is>
      </c>
      <c r="D1" s="0" t="inlineStr">
        <is>
          <t>Result</t>
        </is>
      </c>
      <c r="E1" s="0" t="inlineStr">
        <is>
          <t>RateChange</t>
        </is>
      </c>
      <c r="F1" s="0" t="inlineStr">
        <is>
          <t>old_mu</t>
        </is>
      </c>
      <c r="G1" s="0" t="inlineStr">
        <is>
          <t>new_mu</t>
        </is>
      </c>
      <c r="H1" s="0" t="inlineStr">
        <is>
          <t>new_sigma</t>
        </is>
      </c>
      <c r="I1" s="0" t="inlineStr">
        <is>
          <t>old_rating</t>
        </is>
      </c>
      <c r="J1" s="0" t="inlineStr">
        <is>
          <t>new_rating</t>
        </is>
      </c>
      <c r="K1" s="0" t="inlineStr">
        <is>
          <t>old_sigma</t>
        </is>
      </c>
    </row>
    <row r="2">
      <c r="A2" s="0" t="n">
        <v>162</v>
      </c>
      <c r="B2" s="0" t="inlineStr">
        <is>
          <t>Ken</t>
        </is>
      </c>
      <c r="C2" s="0" t="inlineStr">
        <is>
          <t>Mafia</t>
        </is>
      </c>
      <c r="D2" s="0" t="inlineStr">
        <is>
          <t>Loss</t>
        </is>
      </c>
      <c r="E2" s="0" t="n">
        <v>-42</v>
      </c>
      <c r="F2" s="0" t="n">
        <v>22.19676530467224</v>
      </c>
      <c r="G2" s="0" t="n">
        <v>21.4951500431596</v>
      </c>
      <c r="H2" s="0" t="n">
        <v>6.851943914865299</v>
      </c>
      <c r="I2" s="0" t="n">
        <v>805</v>
      </c>
      <c r="J2" s="0" t="n">
        <v>763</v>
      </c>
      <c r="K2" s="0" t="n">
        <v>6.903913145195894</v>
      </c>
    </row>
    <row r="3">
      <c r="A3" s="0" t="n">
        <v>162</v>
      </c>
      <c r="B3" s="0" t="inlineStr">
        <is>
          <t>Strik3r</t>
        </is>
      </c>
      <c r="C3" s="0" t="inlineStr">
        <is>
          <t>Mafia</t>
        </is>
      </c>
      <c r="D3" s="0" t="inlineStr">
        <is>
          <t>Loss</t>
        </is>
      </c>
      <c r="E3" s="0" t="n">
        <v>-32</v>
      </c>
      <c r="F3" s="0" t="n">
        <v>27.40323191965706</v>
      </c>
      <c r="G3" s="0" t="n">
        <v>26.88491577662157</v>
      </c>
      <c r="H3" s="0" t="n">
        <v>5.901138294575881</v>
      </c>
      <c r="I3" s="0" t="n">
        <v>1258</v>
      </c>
      <c r="J3" s="0" t="n">
        <v>1226</v>
      </c>
      <c r="K3" s="0" t="n">
        <v>5.933720167179436</v>
      </c>
    </row>
    <row r="4">
      <c r="A4" s="0" t="n">
        <v>162</v>
      </c>
      <c r="B4" s="0" t="inlineStr">
        <is>
          <t>Chipper</t>
        </is>
      </c>
      <c r="C4" s="0" t="inlineStr">
        <is>
          <t>Mafia</t>
        </is>
      </c>
      <c r="D4" s="0" t="inlineStr">
        <is>
          <t>Loss</t>
        </is>
      </c>
      <c r="E4" s="0" t="n">
        <v>-34</v>
      </c>
      <c r="F4" s="0" t="n">
        <v>27.14331253123086</v>
      </c>
      <c r="G4" s="0" t="n">
        <v>26.59319777797728</v>
      </c>
      <c r="H4" s="0" t="n">
        <v>6.077342017669952</v>
      </c>
      <c r="I4" s="0" t="n">
        <v>1222</v>
      </c>
      <c r="J4" s="0" t="n">
        <v>1188</v>
      </c>
      <c r="K4" s="0" t="n">
        <v>6.113077542014142</v>
      </c>
    </row>
    <row r="5">
      <c r="A5" s="0" t="n">
        <v>162</v>
      </c>
      <c r="B5" s="0" t="inlineStr">
        <is>
          <t>Iln</t>
        </is>
      </c>
      <c r="C5" s="0" t="inlineStr">
        <is>
          <t>Town</t>
        </is>
      </c>
      <c r="D5" s="0" t="inlineStr">
        <is>
          <t>Win</t>
        </is>
      </c>
      <c r="E5" s="0" t="n">
        <v>32</v>
      </c>
      <c r="F5" s="0" t="n">
        <v>28.26896543763316</v>
      </c>
      <c r="G5" s="0" t="n">
        <v>28.71195533134639</v>
      </c>
      <c r="H5" s="0" t="n">
        <v>5.460011298845687</v>
      </c>
      <c r="I5" s="0" t="n">
        <v>1363</v>
      </c>
      <c r="J5" s="0" t="n">
        <v>1395</v>
      </c>
      <c r="K5" s="0" t="n">
        <v>5.485498688432596</v>
      </c>
    </row>
    <row r="6">
      <c r="A6" s="0" t="n">
        <v>162</v>
      </c>
      <c r="B6" s="0" t="inlineStr">
        <is>
          <t>Lou</t>
        </is>
      </c>
      <c r="C6" s="0" t="inlineStr">
        <is>
          <t>Town</t>
        </is>
      </c>
      <c r="D6" s="0" t="inlineStr">
        <is>
          <t>Win</t>
        </is>
      </c>
      <c r="E6" s="0" t="n">
        <v>35</v>
      </c>
      <c r="F6" s="0" t="n">
        <v>28.29576546379635</v>
      </c>
      <c r="G6" s="0" t="n">
        <v>28.77929628092301</v>
      </c>
      <c r="H6" s="0" t="n">
        <v>5.701852731867792</v>
      </c>
      <c r="I6" s="0" t="n">
        <v>1340</v>
      </c>
      <c r="J6" s="0" t="n">
        <v>1375</v>
      </c>
      <c r="K6" s="0" t="n">
        <v>5.731091417027704</v>
      </c>
    </row>
    <row r="7">
      <c r="A7" s="0" t="n">
        <v>162</v>
      </c>
      <c r="B7" s="0" t="inlineStr">
        <is>
          <t>Gilbert</t>
        </is>
      </c>
      <c r="C7" s="0" t="inlineStr">
        <is>
          <t>Town</t>
        </is>
      </c>
      <c r="D7" s="0" t="inlineStr">
        <is>
          <t>Win</t>
        </is>
      </c>
      <c r="E7" s="0" t="n">
        <v>44</v>
      </c>
      <c r="F7" s="0" t="n">
        <v>25.31263493447657</v>
      </c>
      <c r="G7" s="0" t="n">
        <v>25.89385858155659</v>
      </c>
      <c r="H7" s="0" t="n">
        <v>6.244683876684924</v>
      </c>
      <c r="I7" s="0" t="n">
        <v>1080</v>
      </c>
      <c r="J7" s="0" t="n">
        <v>1124</v>
      </c>
      <c r="K7" s="0" t="n">
        <v>6.283592407683734</v>
      </c>
    </row>
    <row r="8">
      <c r="A8" s="0" t="n">
        <v>162</v>
      </c>
      <c r="B8" s="0" t="inlineStr">
        <is>
          <t>Brownkow</t>
        </is>
      </c>
      <c r="C8" s="0" t="inlineStr">
        <is>
          <t>Town</t>
        </is>
      </c>
      <c r="D8" s="0" t="inlineStr">
        <is>
          <t>Win</t>
        </is>
      </c>
      <c r="E8" s="0" t="n">
        <v>31</v>
      </c>
      <c r="F8" s="0" t="n">
        <v>29.12225704643048</v>
      </c>
      <c r="G8" s="0" t="n">
        <v>29.54210365770349</v>
      </c>
      <c r="H8" s="0" t="n">
        <v>5.316819240622187</v>
      </c>
      <c r="I8" s="0" t="n">
        <v>1436</v>
      </c>
      <c r="J8" s="0" t="n">
        <v>1467</v>
      </c>
      <c r="K8" s="0" t="n">
        <v>5.340237282969756</v>
      </c>
    </row>
    <row r="9">
      <c r="A9" s="0" t="n">
        <v>162</v>
      </c>
      <c r="B9" s="0" t="inlineStr">
        <is>
          <t>Rocker</t>
        </is>
      </c>
      <c r="C9" s="0" t="inlineStr">
        <is>
          <t>Town</t>
        </is>
      </c>
      <c r="D9" s="0" t="inlineStr">
        <is>
          <t>Win</t>
        </is>
      </c>
      <c r="E9" s="0" t="n">
        <v>31</v>
      </c>
      <c r="F9" s="0" t="n">
        <v>34.25127439747344</v>
      </c>
      <c r="G9" s="0" t="n">
        <v>34.67295086710052</v>
      </c>
      <c r="H9" s="0" t="n">
        <v>5.328286427686202</v>
      </c>
      <c r="I9" s="0" t="n">
        <v>1783</v>
      </c>
      <c r="J9" s="0" t="n">
        <v>1814</v>
      </c>
      <c r="K9" s="0" t="n">
        <v>5.351866140218831</v>
      </c>
    </row>
    <row r="10">
      <c r="A10" s="0" t="n">
        <v>162</v>
      </c>
      <c r="B10" s="0" t="inlineStr">
        <is>
          <t>Heckmuffins</t>
        </is>
      </c>
      <c r="C10" s="0" t="inlineStr">
        <is>
          <t>Town</t>
        </is>
      </c>
      <c r="D10" s="0" t="inlineStr">
        <is>
          <t>Win</t>
        </is>
      </c>
      <c r="E10" s="0" t="n">
        <v>66</v>
      </c>
      <c r="F10" s="0" t="n">
        <v>32.09448816903549</v>
      </c>
      <c r="G10" s="0" t="n">
        <v>32.95078638407524</v>
      </c>
      <c r="H10" s="0" t="n">
        <v>7.556773178060038</v>
      </c>
      <c r="I10" s="0" t="n">
        <v>1404</v>
      </c>
      <c r="J10" s="0" t="n">
        <v>1470</v>
      </c>
      <c r="K10" s="0" t="n">
        <v>7.627224934153584</v>
      </c>
    </row>
    <row r="11">
      <c r="A11" s="0" t="n">
        <v>162</v>
      </c>
      <c r="B11" s="0" t="inlineStr">
        <is>
          <t>Kden</t>
        </is>
      </c>
      <c r="C11" s="0" t="inlineStr">
        <is>
          <t>Town</t>
        </is>
      </c>
      <c r="D11" s="0" t="inlineStr">
        <is>
          <t>Win</t>
        </is>
      </c>
      <c r="E11" s="0" t="n">
        <v>40</v>
      </c>
      <c r="F11" s="0" t="n">
        <v>24.48259095288331</v>
      </c>
      <c r="G11" s="0" t="n">
        <v>25.01705324086463</v>
      </c>
      <c r="H11" s="0" t="n">
        <v>5.991286663797206</v>
      </c>
      <c r="I11" s="0" t="n">
        <v>1050</v>
      </c>
      <c r="J11" s="0" t="n">
        <v>1090</v>
      </c>
      <c r="K11" s="0" t="n">
        <v>6.025458367211104</v>
      </c>
    </row>
    <row r="12">
      <c r="A12" s="0" t="n">
        <v>162</v>
      </c>
      <c r="B12" s="0" t="inlineStr">
        <is>
          <t>Decode</t>
        </is>
      </c>
      <c r="C12" s="0" t="inlineStr">
        <is>
          <t>Town</t>
        </is>
      </c>
      <c r="D12" s="0" t="inlineStr">
        <is>
          <t>Win</t>
        </is>
      </c>
      <c r="E12" s="0" t="n">
        <v>55</v>
      </c>
      <c r="F12" s="0" t="n">
        <v>20.1201755284511</v>
      </c>
      <c r="G12" s="0" t="n">
        <v>20.84390814100302</v>
      </c>
      <c r="H12" s="0" t="n">
        <v>6.957410738748222</v>
      </c>
      <c r="I12" s="0" t="n">
        <v>653</v>
      </c>
      <c r="J12" s="0" t="n">
        <v>708</v>
      </c>
      <c r="K12" s="0" t="n">
        <v>7.011908968504509</v>
      </c>
    </row>
    <row r="13">
      <c r="A13" s="0" t="n">
        <v>162</v>
      </c>
      <c r="B13" s="0" t="inlineStr">
        <is>
          <t>Badpants</t>
        </is>
      </c>
      <c r="C13" s="0" t="inlineStr">
        <is>
          <t>Town</t>
        </is>
      </c>
      <c r="D13" s="0" t="inlineStr">
        <is>
          <t>Win</t>
        </is>
      </c>
      <c r="E13" s="0" t="n">
        <v>36</v>
      </c>
      <c r="F13" s="0" t="n">
        <v>23.18424095360872</v>
      </c>
      <c r="G13" s="0" t="n">
        <v>23.66458294533391</v>
      </c>
      <c r="H13" s="0" t="n">
        <v>5.683218569102454</v>
      </c>
      <c r="I13" s="0" t="n">
        <v>994</v>
      </c>
      <c r="J13" s="0" t="n">
        <v>1030</v>
      </c>
      <c r="K13" s="0" t="n">
        <v>5.71215646747881</v>
      </c>
    </row>
    <row r="14">
      <c r="A14" s="0" t="n">
        <v>162</v>
      </c>
      <c r="B14" s="0" t="inlineStr">
        <is>
          <t>Noah</t>
        </is>
      </c>
      <c r="C14" s="0" t="inlineStr">
        <is>
          <t>Town</t>
        </is>
      </c>
      <c r="D14" s="0" t="inlineStr">
        <is>
          <t>Win</t>
        </is>
      </c>
      <c r="E14" s="0" t="n">
        <v>36</v>
      </c>
      <c r="F14" s="0" t="n">
        <v>32.23588667476852</v>
      </c>
      <c r="G14" s="0" t="n">
        <v>32.71899746150136</v>
      </c>
      <c r="H14" s="0" t="n">
        <v>5.699401883991191</v>
      </c>
      <c r="I14" s="0" t="n">
        <v>1608</v>
      </c>
      <c r="J14" s="0" t="n">
        <v>1644</v>
      </c>
      <c r="K14" s="0" t="n">
        <v>5.728600894482006</v>
      </c>
    </row>
    <row r="15">
      <c r="A15" s="0" t="n">
        <v>161</v>
      </c>
      <c r="B15" s="0" t="inlineStr">
        <is>
          <t>Lofty</t>
        </is>
      </c>
      <c r="C15" s="0" t="inlineStr">
        <is>
          <t>Mafia</t>
        </is>
      </c>
      <c r="D15" s="0" t="inlineStr">
        <is>
          <t>Win</t>
        </is>
      </c>
      <c r="E15" s="0" t="n">
        <v>43</v>
      </c>
      <c r="F15" s="0" t="n">
        <v>26.58329411938361</v>
      </c>
      <c r="G15" s="0" t="n">
        <v>27.14826669648557</v>
      </c>
      <c r="H15" s="0" t="n">
        <v>7.313626980342085</v>
      </c>
      <c r="I15" s="0" t="n">
        <v>1057</v>
      </c>
      <c r="J15" s="0" t="n">
        <v>1100</v>
      </c>
      <c r="K15" s="0" t="n">
        <v>7.362611620435485</v>
      </c>
    </row>
    <row r="16">
      <c r="A16" s="0" t="n">
        <v>161</v>
      </c>
      <c r="B16" s="0" t="inlineStr">
        <is>
          <t>Heckmuffins</t>
        </is>
      </c>
      <c r="C16" s="0" t="inlineStr">
        <is>
          <t>Mafia</t>
        </is>
      </c>
      <c r="D16" s="0" t="inlineStr">
        <is>
          <t>Win</t>
        </is>
      </c>
      <c r="E16" s="0" t="n">
        <v>47</v>
      </c>
      <c r="F16" s="0" t="n">
        <v>31.47928097503391</v>
      </c>
      <c r="G16" s="0" t="n">
        <v>32.09448816903549</v>
      </c>
      <c r="H16" s="0" t="n">
        <v>7.627224934153584</v>
      </c>
      <c r="I16" s="0" t="n">
        <v>1357</v>
      </c>
      <c r="J16" s="0" t="n">
        <v>1404</v>
      </c>
      <c r="K16" s="0" t="n">
        <v>7.683023849693156</v>
      </c>
    </row>
    <row r="17">
      <c r="A17" s="0" t="n">
        <v>161</v>
      </c>
      <c r="B17" s="0" t="inlineStr">
        <is>
          <t>Keegan</t>
        </is>
      </c>
      <c r="C17" s="0" t="inlineStr">
        <is>
          <t>Mafia</t>
        </is>
      </c>
      <c r="D17" s="0" t="inlineStr">
        <is>
          <t>Win</t>
        </is>
      </c>
      <c r="E17" s="0" t="n">
        <v>41</v>
      </c>
      <c r="F17" s="0" t="n">
        <v>29.59919955344401</v>
      </c>
      <c r="G17" s="0" t="n">
        <v>30.13149803801785</v>
      </c>
      <c r="H17" s="0" t="n">
        <v>7.101789646196797</v>
      </c>
      <c r="I17" s="0" t="n">
        <v>1284</v>
      </c>
      <c r="J17" s="0" t="n">
        <v>1325</v>
      </c>
      <c r="K17" s="0" t="n">
        <v>7.146499435558472</v>
      </c>
    </row>
    <row r="18">
      <c r="A18" s="0" t="n">
        <v>161</v>
      </c>
      <c r="B18" s="0" t="inlineStr">
        <is>
          <t>Smit</t>
        </is>
      </c>
      <c r="C18" s="0" t="inlineStr">
        <is>
          <t>Town</t>
        </is>
      </c>
      <c r="D18" s="0" t="inlineStr">
        <is>
          <t>Loss</t>
        </is>
      </c>
      <c r="E18" s="0" t="n">
        <v>-22</v>
      </c>
      <c r="F18" s="0" t="n">
        <v>23.07763535894557</v>
      </c>
      <c r="G18" s="0" t="n">
        <v>22.72252594641514</v>
      </c>
      <c r="H18" s="0" t="n">
        <v>5.812950547151242</v>
      </c>
      <c r="I18" s="0" t="n">
        <v>974</v>
      </c>
      <c r="J18" s="0" t="n">
        <v>952</v>
      </c>
      <c r="K18" s="0" t="n">
        <v>5.836810919556068</v>
      </c>
    </row>
    <row r="19">
      <c r="A19" s="0" t="n">
        <v>161</v>
      </c>
      <c r="B19" s="0" t="inlineStr">
        <is>
          <t>Noah</t>
        </is>
      </c>
      <c r="C19" s="0" t="inlineStr">
        <is>
          <t>Town</t>
        </is>
      </c>
      <c r="D19" s="0" t="inlineStr">
        <is>
          <t>Loss</t>
        </is>
      </c>
      <c r="E19" s="0" t="n">
        <v>-21</v>
      </c>
      <c r="F19" s="0" t="n">
        <v>32.58067976315646</v>
      </c>
      <c r="G19" s="0" t="n">
        <v>32.23588667476852</v>
      </c>
      <c r="H19" s="0" t="n">
        <v>5.728600894482006</v>
      </c>
      <c r="I19" s="0" t="n">
        <v>1629</v>
      </c>
      <c r="J19" s="0" t="n">
        <v>1608</v>
      </c>
      <c r="K19" s="0" t="n">
        <v>5.751377863475095</v>
      </c>
    </row>
    <row r="20">
      <c r="A20" s="0" t="n">
        <v>161</v>
      </c>
      <c r="B20" s="0" t="inlineStr">
        <is>
          <t>Ken</t>
        </is>
      </c>
      <c r="C20" s="0" t="inlineStr">
        <is>
          <t>Town</t>
        </is>
      </c>
      <c r="D20" s="0" t="inlineStr">
        <is>
          <t>Loss</t>
        </is>
      </c>
      <c r="E20" s="0" t="n">
        <v>-30</v>
      </c>
      <c r="F20" s="0" t="n">
        <v>22.69945555184944</v>
      </c>
      <c r="G20" s="0" t="n">
        <v>22.19676530467224</v>
      </c>
      <c r="H20" s="0" t="n">
        <v>6.903913145195894</v>
      </c>
      <c r="I20" s="0" t="n">
        <v>835</v>
      </c>
      <c r="J20" s="0" t="n">
        <v>805</v>
      </c>
      <c r="K20" s="0" t="n">
        <v>6.944859664275534</v>
      </c>
    </row>
    <row r="21">
      <c r="A21" s="0" t="n">
        <v>161</v>
      </c>
      <c r="B21" s="0" t="inlineStr">
        <is>
          <t>Kwix</t>
        </is>
      </c>
      <c r="C21" s="0" t="inlineStr">
        <is>
          <t>Town</t>
        </is>
      </c>
      <c r="D21" s="0" t="inlineStr">
        <is>
          <t>Loss</t>
        </is>
      </c>
      <c r="E21" s="0" t="n">
        <v>-23</v>
      </c>
      <c r="F21" s="0" t="n">
        <v>19.86953318057929</v>
      </c>
      <c r="G21" s="0" t="n">
        <v>19.4914126753052</v>
      </c>
      <c r="H21" s="0" t="n">
        <v>5.996677611204653</v>
      </c>
      <c r="I21" s="0" t="n">
        <v>737</v>
      </c>
      <c r="J21" s="0" t="n">
        <v>714</v>
      </c>
      <c r="K21" s="0" t="n">
        <v>6.023009199671251</v>
      </c>
    </row>
    <row r="22">
      <c r="A22" s="0" t="n">
        <v>161</v>
      </c>
      <c r="B22" s="0" t="inlineStr">
        <is>
          <t>DrMorris</t>
        </is>
      </c>
      <c r="C22" s="0" t="inlineStr">
        <is>
          <t>Town</t>
        </is>
      </c>
      <c r="D22" s="0" t="inlineStr">
        <is>
          <t>Loss</t>
        </is>
      </c>
      <c r="E22" s="0" t="n">
        <v>-42</v>
      </c>
      <c r="F22" s="0" t="n">
        <v>25</v>
      </c>
      <c r="G22" s="0" t="n">
        <v>24.27625843126764</v>
      </c>
      <c r="H22" s="0" t="n">
        <v>8.261857688227304</v>
      </c>
      <c r="I22" s="0" t="n">
        <v>850</v>
      </c>
      <c r="J22" s="0" t="n">
        <v>808</v>
      </c>
      <c r="K22" s="0" t="n">
        <v>8.333333333333334</v>
      </c>
    </row>
    <row r="23">
      <c r="A23" s="0" t="n">
        <v>161</v>
      </c>
      <c r="B23" s="0" t="inlineStr">
        <is>
          <t>Laur</t>
        </is>
      </c>
      <c r="C23" s="0" t="inlineStr">
        <is>
          <t>Town</t>
        </is>
      </c>
      <c r="D23" s="0" t="inlineStr">
        <is>
          <t>Loss</t>
        </is>
      </c>
      <c r="E23" s="0" t="n">
        <v>-22</v>
      </c>
      <c r="F23" s="0" t="n">
        <v>33.0229209229657</v>
      </c>
      <c r="G23" s="0" t="n">
        <v>32.66861366249486</v>
      </c>
      <c r="H23" s="0" t="n">
        <v>5.806437323908895</v>
      </c>
      <c r="I23" s="0" t="n">
        <v>1651</v>
      </c>
      <c r="J23" s="0" t="n">
        <v>1629</v>
      </c>
      <c r="K23" s="0" t="n">
        <v>5.830212906926562</v>
      </c>
    </row>
    <row r="24">
      <c r="A24" s="0" t="n">
        <v>161</v>
      </c>
      <c r="B24" s="0" t="inlineStr">
        <is>
          <t>Rocker</t>
        </is>
      </c>
      <c r="C24" s="0" t="inlineStr">
        <is>
          <t>Town</t>
        </is>
      </c>
      <c r="D24" s="0" t="inlineStr">
        <is>
          <t>Loss</t>
        </is>
      </c>
      <c r="E24" s="0" t="n">
        <v>-19</v>
      </c>
      <c r="F24" s="0" t="n">
        <v>34.55189021128712</v>
      </c>
      <c r="G24" s="0" t="n">
        <v>34.25127439747344</v>
      </c>
      <c r="H24" s="0" t="n">
        <v>5.351866140218831</v>
      </c>
      <c r="I24" s="0" t="n">
        <v>1802</v>
      </c>
      <c r="J24" s="0" t="n">
        <v>1783</v>
      </c>
      <c r="K24" s="0" t="n">
        <v>5.370180581472544</v>
      </c>
    </row>
    <row r="25">
      <c r="A25" s="0" t="n">
        <v>161</v>
      </c>
      <c r="B25" s="0" t="inlineStr">
        <is>
          <t>Strik3r</t>
        </is>
      </c>
      <c r="C25" s="0" t="inlineStr">
        <is>
          <t>Town</t>
        </is>
      </c>
      <c r="D25" s="0" t="inlineStr">
        <is>
          <t>Loss</t>
        </is>
      </c>
      <c r="E25" s="0" t="n">
        <v>-23</v>
      </c>
      <c r="F25" s="0" t="n">
        <v>27.77338371276453</v>
      </c>
      <c r="G25" s="0" t="n">
        <v>27.40323191965706</v>
      </c>
      <c r="H25" s="0" t="n">
        <v>5.933720167179436</v>
      </c>
      <c r="I25" s="0" t="n">
        <v>1281</v>
      </c>
      <c r="J25" s="0" t="n">
        <v>1258</v>
      </c>
      <c r="K25" s="0" t="n">
        <v>5.959187521578721</v>
      </c>
    </row>
    <row r="26">
      <c r="A26" s="0" t="n">
        <v>161</v>
      </c>
      <c r="B26" s="0" t="inlineStr">
        <is>
          <t>Cj</t>
        </is>
      </c>
      <c r="C26" s="0" t="inlineStr">
        <is>
          <t>Town</t>
        </is>
      </c>
      <c r="D26" s="0" t="inlineStr">
        <is>
          <t>Loss</t>
        </is>
      </c>
      <c r="E26" s="0" t="n">
        <v>-31</v>
      </c>
      <c r="F26" s="0" t="n">
        <v>29.2688965367269</v>
      </c>
      <c r="G26" s="0" t="n">
        <v>28.73535410585925</v>
      </c>
      <c r="H26" s="0" t="n">
        <v>7.109976426579329</v>
      </c>
      <c r="I26" s="0" t="n">
        <v>1260</v>
      </c>
      <c r="J26" s="0" t="n">
        <v>1229</v>
      </c>
      <c r="K26" s="0" t="n">
        <v>7.154846643615942</v>
      </c>
    </row>
    <row r="27">
      <c r="A27" s="0" t="n">
        <v>161</v>
      </c>
      <c r="B27" s="0" t="inlineStr">
        <is>
          <t>Chipper</t>
        </is>
      </c>
      <c r="C27" s="0" t="inlineStr">
        <is>
          <t>Town</t>
        </is>
      </c>
      <c r="D27" s="0" t="inlineStr">
        <is>
          <t>Loss</t>
        </is>
      </c>
      <c r="E27" s="0" t="n">
        <v>-24</v>
      </c>
      <c r="F27" s="0" t="n">
        <v>27.53639592919356</v>
      </c>
      <c r="G27" s="0" t="n">
        <v>27.14331253123086</v>
      </c>
      <c r="H27" s="0" t="n">
        <v>6.113077542014142</v>
      </c>
      <c r="I27" s="0" t="n">
        <v>1246</v>
      </c>
      <c r="J27" s="0" t="n">
        <v>1222</v>
      </c>
      <c r="K27" s="0" t="n">
        <v>6.141055764815547</v>
      </c>
    </row>
    <row r="28">
      <c r="A28" s="0" t="n">
        <v>160</v>
      </c>
      <c r="B28" s="0" t="inlineStr">
        <is>
          <t>Rocker</t>
        </is>
      </c>
      <c r="C28" s="0" t="inlineStr">
        <is>
          <t>Mafia</t>
        </is>
      </c>
      <c r="D28" s="0" t="inlineStr">
        <is>
          <t>Loss</t>
        </is>
      </c>
      <c r="E28" s="0" t="n">
        <v>-30</v>
      </c>
      <c r="F28" s="0" t="n">
        <v>35.02860175216394</v>
      </c>
      <c r="G28" s="0" t="n">
        <v>34.55189021128712</v>
      </c>
      <c r="H28" s="0" t="n">
        <v>5.370180581472544</v>
      </c>
      <c r="I28" s="0" t="n">
        <v>1832</v>
      </c>
      <c r="J28" s="0" t="n">
        <v>1802</v>
      </c>
      <c r="K28" s="0" t="n">
        <v>5.394350962432806</v>
      </c>
    </row>
    <row r="29">
      <c r="A29" s="0" t="n">
        <v>160</v>
      </c>
      <c r="B29" s="0" t="inlineStr">
        <is>
          <t>Kwix</t>
        </is>
      </c>
      <c r="C29" s="0" t="inlineStr">
        <is>
          <t>Mafia</t>
        </is>
      </c>
      <c r="D29" s="0" t="inlineStr">
        <is>
          <t>Loss</t>
        </is>
      </c>
      <c r="E29" s="0" t="n">
        <v>-37</v>
      </c>
      <c r="F29" s="0" t="n">
        <v>20.47066284634594</v>
      </c>
      <c r="G29" s="0" t="n">
        <v>19.86953318057929</v>
      </c>
      <c r="H29" s="0" t="n">
        <v>6.023009199671251</v>
      </c>
      <c r="I29" s="0" t="n">
        <v>774</v>
      </c>
      <c r="J29" s="0" t="n">
        <v>737</v>
      </c>
      <c r="K29" s="0" t="n">
        <v>6.057743646015465</v>
      </c>
    </row>
    <row r="30">
      <c r="A30" s="0" t="n">
        <v>160</v>
      </c>
      <c r="B30" s="0" t="inlineStr">
        <is>
          <t>Badpants</t>
        </is>
      </c>
      <c r="C30" s="0" t="inlineStr">
        <is>
          <t>Mafia</t>
        </is>
      </c>
      <c r="D30" s="0" t="inlineStr">
        <is>
          <t>Loss</t>
        </is>
      </c>
      <c r="E30" s="0" t="n">
        <v>-34</v>
      </c>
      <c r="F30" s="0" t="n">
        <v>23.72427215502093</v>
      </c>
      <c r="G30" s="0" t="n">
        <v>23.18424095360872</v>
      </c>
      <c r="H30" s="0" t="n">
        <v>5.71215646747881</v>
      </c>
      <c r="I30" s="0" t="n">
        <v>1028</v>
      </c>
      <c r="J30" s="0" t="n">
        <v>994</v>
      </c>
      <c r="K30" s="0" t="n">
        <v>5.741555162050723</v>
      </c>
    </row>
    <row r="31">
      <c r="A31" s="0" t="n">
        <v>160</v>
      </c>
      <c r="B31" s="0" t="inlineStr">
        <is>
          <t>Lou</t>
        </is>
      </c>
      <c r="C31" s="0" t="inlineStr">
        <is>
          <t>Town</t>
        </is>
      </c>
      <c r="D31" s="0" t="inlineStr">
        <is>
          <t>Win</t>
        </is>
      </c>
      <c r="E31" s="0" t="n">
        <v>40</v>
      </c>
      <c r="F31" s="0" t="n">
        <v>27.75210930345189</v>
      </c>
      <c r="G31" s="0" t="n">
        <v>28.29576546379635</v>
      </c>
      <c r="H31" s="0" t="n">
        <v>5.731091417027704</v>
      </c>
      <c r="I31" s="0" t="n">
        <v>1300</v>
      </c>
      <c r="J31" s="0" t="n">
        <v>1340</v>
      </c>
      <c r="K31" s="0" t="n">
        <v>5.760798850345649</v>
      </c>
    </row>
    <row r="32">
      <c r="A32" s="0" t="n">
        <v>160</v>
      </c>
      <c r="B32" s="0" t="inlineStr">
        <is>
          <t>Smit</t>
        </is>
      </c>
      <c r="C32" s="0" t="inlineStr">
        <is>
          <t>Town</t>
        </is>
      </c>
      <c r="D32" s="0" t="inlineStr">
        <is>
          <t>Win</t>
        </is>
      </c>
      <c r="E32" s="0" t="n">
        <v>42</v>
      </c>
      <c r="F32" s="0" t="n">
        <v>22.51350968428066</v>
      </c>
      <c r="G32" s="0" t="n">
        <v>23.07763535894557</v>
      </c>
      <c r="H32" s="0" t="n">
        <v>5.836810919556068</v>
      </c>
      <c r="I32" s="0" t="n">
        <v>932</v>
      </c>
      <c r="J32" s="0" t="n">
        <v>974</v>
      </c>
      <c r="K32" s="0" t="n">
        <v>5.868280459235973</v>
      </c>
    </row>
    <row r="33">
      <c r="A33" s="0" t="n">
        <v>160</v>
      </c>
      <c r="B33" s="0" t="inlineStr">
        <is>
          <t>Iln</t>
        </is>
      </c>
      <c r="C33" s="0" t="inlineStr">
        <is>
          <t>Town</t>
        </is>
      </c>
      <c r="D33" s="0" t="inlineStr">
        <is>
          <t>Win</t>
        </is>
      </c>
      <c r="E33" s="0" t="n">
        <v>37</v>
      </c>
      <c r="F33" s="0" t="n">
        <v>27.7713561027674</v>
      </c>
      <c r="G33" s="0" t="n">
        <v>28.26896543763316</v>
      </c>
      <c r="H33" s="0" t="n">
        <v>5.485498688432596</v>
      </c>
      <c r="I33" s="0" t="n">
        <v>1326</v>
      </c>
      <c r="J33" s="0" t="n">
        <v>1363</v>
      </c>
      <c r="K33" s="0" t="n">
        <v>5.511359735038424</v>
      </c>
    </row>
    <row r="34">
      <c r="A34" s="0" t="n">
        <v>160</v>
      </c>
      <c r="B34" s="0" t="inlineStr">
        <is>
          <t>Cyclone</t>
        </is>
      </c>
      <c r="C34" s="0" t="inlineStr">
        <is>
          <t>Town</t>
        </is>
      </c>
      <c r="D34" s="0" t="inlineStr">
        <is>
          <t>Win</t>
        </is>
      </c>
      <c r="E34" s="0" t="n">
        <v>59</v>
      </c>
      <c r="F34" s="0" t="n">
        <v>35.90182223991395</v>
      </c>
      <c r="G34" s="0" t="n">
        <v>36.69653482158301</v>
      </c>
      <c r="H34" s="0" t="n">
        <v>6.912016360980565</v>
      </c>
      <c r="I34" s="0" t="n">
        <v>1731</v>
      </c>
      <c r="J34" s="0" t="n">
        <v>1790</v>
      </c>
      <c r="K34" s="0" t="n">
        <v>6.96540331557114</v>
      </c>
    </row>
    <row r="35">
      <c r="A35" s="0" t="n">
        <v>160</v>
      </c>
      <c r="B35" s="0" t="inlineStr">
        <is>
          <t>Laur</t>
        </is>
      </c>
      <c r="C35" s="0" t="inlineStr">
        <is>
          <t>Town</t>
        </is>
      </c>
      <c r="D35" s="0" t="inlineStr">
        <is>
          <t>Win</t>
        </is>
      </c>
      <c r="E35" s="0" t="n">
        <v>42</v>
      </c>
      <c r="F35" s="0" t="n">
        <v>32.46008420057424</v>
      </c>
      <c r="G35" s="0" t="n">
        <v>33.0229209229657</v>
      </c>
      <c r="H35" s="0" t="n">
        <v>5.830212906926562</v>
      </c>
      <c r="I35" s="0" t="n">
        <v>1609</v>
      </c>
      <c r="J35" s="0" t="n">
        <v>1651</v>
      </c>
      <c r="K35" s="0" t="n">
        <v>5.861570555436341</v>
      </c>
    </row>
    <row r="36">
      <c r="A36" s="0" t="n">
        <v>160</v>
      </c>
      <c r="B36" s="0" t="inlineStr">
        <is>
          <t>Brownkow</t>
        </is>
      </c>
      <c r="C36" s="0" t="inlineStr">
        <is>
          <t>Town</t>
        </is>
      </c>
      <c r="D36" s="0" t="inlineStr">
        <is>
          <t>Win</t>
        </is>
      </c>
      <c r="E36" s="0" t="n">
        <v>35</v>
      </c>
      <c r="F36" s="0" t="n">
        <v>28.65089639282317</v>
      </c>
      <c r="G36" s="0" t="n">
        <v>29.12225704643048</v>
      </c>
      <c r="H36" s="0" t="n">
        <v>5.340237282969756</v>
      </c>
      <c r="I36" s="0" t="n">
        <v>1401</v>
      </c>
      <c r="J36" s="0" t="n">
        <v>1436</v>
      </c>
      <c r="K36" s="0" t="n">
        <v>5.363980399788601</v>
      </c>
    </row>
    <row r="37">
      <c r="A37" s="0" t="n">
        <v>160</v>
      </c>
      <c r="B37" s="0" t="inlineStr">
        <is>
          <t>Decode</t>
        </is>
      </c>
      <c r="C37" s="0" t="inlineStr">
        <is>
          <t>Town</t>
        </is>
      </c>
      <c r="D37" s="0" t="inlineStr">
        <is>
          <t>Win</t>
        </is>
      </c>
      <c r="E37" s="0" t="n">
        <v>61</v>
      </c>
      <c r="F37" s="0" t="n">
        <v>19.30194601391791</v>
      </c>
      <c r="G37" s="0" t="n">
        <v>20.1201755284511</v>
      </c>
      <c r="H37" s="0" t="n">
        <v>7.011908968504509</v>
      </c>
      <c r="I37" s="0" t="n">
        <v>592</v>
      </c>
      <c r="J37" s="0" t="n">
        <v>653</v>
      </c>
      <c r="K37" s="0" t="n">
        <v>7.067732123629809</v>
      </c>
    </row>
    <row r="38">
      <c r="A38" s="0" t="n">
        <v>160</v>
      </c>
      <c r="B38" s="0" t="inlineStr">
        <is>
          <t>Gilbert</t>
        </is>
      </c>
      <c r="C38" s="0" t="inlineStr">
        <is>
          <t>Town</t>
        </is>
      </c>
      <c r="D38" s="0" t="inlineStr">
        <is>
          <t>Win</t>
        </is>
      </c>
      <c r="E38" s="0" t="n">
        <v>48</v>
      </c>
      <c r="F38" s="0" t="n">
        <v>24.65767010507535</v>
      </c>
      <c r="G38" s="0" t="n">
        <v>25.31263493447657</v>
      </c>
      <c r="H38" s="0" t="n">
        <v>6.283592407683734</v>
      </c>
      <c r="I38" s="0" t="n">
        <v>1032</v>
      </c>
      <c r="J38" s="0" t="n">
        <v>1080</v>
      </c>
      <c r="K38" s="0" t="n">
        <v>6.323254531220886</v>
      </c>
    </row>
    <row r="39">
      <c r="A39" s="0" t="n">
        <v>160</v>
      </c>
      <c r="B39" s="0" t="inlineStr">
        <is>
          <t>Keegan</t>
        </is>
      </c>
      <c r="C39" s="0" t="inlineStr">
        <is>
          <t>Town</t>
        </is>
      </c>
      <c r="D39" s="0" t="inlineStr">
        <is>
          <t>Win</t>
        </is>
      </c>
      <c r="E39" s="0" t="n">
        <v>64</v>
      </c>
      <c r="F39" s="0" t="n">
        <v>28.74871470462827</v>
      </c>
      <c r="G39" s="0" t="n">
        <v>29.59919955344401</v>
      </c>
      <c r="H39" s="0" t="n">
        <v>7.146499435558472</v>
      </c>
      <c r="I39" s="0" t="n">
        <v>1220</v>
      </c>
      <c r="J39" s="0" t="n">
        <v>1284</v>
      </c>
      <c r="K39" s="0" t="n">
        <v>7.205721116010931</v>
      </c>
    </row>
    <row r="40">
      <c r="A40" s="0" t="n">
        <v>160</v>
      </c>
      <c r="B40" s="0" t="inlineStr">
        <is>
          <t>Chipper</t>
        </is>
      </c>
      <c r="C40" s="0" t="inlineStr">
        <is>
          <t>Town</t>
        </is>
      </c>
      <c r="D40" s="0" t="inlineStr">
        <is>
          <t>Win</t>
        </is>
      </c>
      <c r="E40" s="0" t="n">
        <v>46</v>
      </c>
      <c r="F40" s="0" t="n">
        <v>26.9111752087345</v>
      </c>
      <c r="G40" s="0" t="n">
        <v>27.53639592919356</v>
      </c>
      <c r="H40" s="0" t="n">
        <v>6.141055764815547</v>
      </c>
      <c r="I40" s="0" t="n">
        <v>1200</v>
      </c>
      <c r="J40" s="0" t="n">
        <v>1246</v>
      </c>
      <c r="K40" s="0" t="n">
        <v>6.177969666941181</v>
      </c>
    </row>
    <row r="41">
      <c r="A41" s="0" t="n">
        <v>160</v>
      </c>
      <c r="B41" s="0" t="inlineStr">
        <is>
          <t>Strik3r</t>
        </is>
      </c>
      <c r="C41" s="0" t="inlineStr">
        <is>
          <t>Town</t>
        </is>
      </c>
      <c r="D41" s="0" t="inlineStr">
        <is>
          <t>Win</t>
        </is>
      </c>
      <c r="E41" s="0" t="n">
        <v>44</v>
      </c>
      <c r="F41" s="0" t="n">
        <v>27.18507465892738</v>
      </c>
      <c r="G41" s="0" t="n">
        <v>27.77338371276453</v>
      </c>
      <c r="H41" s="0" t="n">
        <v>5.959187521578721</v>
      </c>
      <c r="I41" s="0" t="n">
        <v>1237</v>
      </c>
      <c r="J41" s="0" t="n">
        <v>1281</v>
      </c>
      <c r="K41" s="0" t="n">
        <v>5.992779338711522</v>
      </c>
    </row>
    <row r="42">
      <c r="A42" s="0" t="n">
        <v>159</v>
      </c>
      <c r="B42" s="0" t="inlineStr">
        <is>
          <t>Laur</t>
        </is>
      </c>
      <c r="C42" s="0" t="inlineStr">
        <is>
          <t>Mafia</t>
        </is>
      </c>
      <c r="D42" s="0" t="inlineStr">
        <is>
          <t>Win</t>
        </is>
      </c>
      <c r="E42" s="0" t="n">
        <v>56</v>
      </c>
      <c r="F42" s="0" t="n">
        <v>31.69101683155469</v>
      </c>
      <c r="G42" s="0" t="n">
        <v>32.46008420057424</v>
      </c>
      <c r="H42" s="0" t="n">
        <v>5.861570555436341</v>
      </c>
      <c r="I42" s="0" t="n">
        <v>1553</v>
      </c>
      <c r="J42" s="0" t="n">
        <v>1609</v>
      </c>
      <c r="K42" s="0" t="n">
        <v>5.898861422970345</v>
      </c>
    </row>
    <row r="43">
      <c r="A43" s="0" t="n">
        <v>159</v>
      </c>
      <c r="B43" s="0" t="inlineStr">
        <is>
          <t>Doublea</t>
        </is>
      </c>
      <c r="C43" s="0" t="inlineStr">
        <is>
          <t>Mafia</t>
        </is>
      </c>
      <c r="D43" s="0" t="inlineStr">
        <is>
          <t>Win</t>
        </is>
      </c>
      <c r="E43" s="0" t="n">
        <v>78</v>
      </c>
      <c r="F43" s="0" t="n">
        <v>20.77909772576736</v>
      </c>
      <c r="G43" s="0" t="n">
        <v>21.832709393083</v>
      </c>
      <c r="H43" s="0" t="n">
        <v>6.844167985894362</v>
      </c>
      <c r="I43" s="0" t="n">
        <v>709</v>
      </c>
      <c r="J43" s="0" t="n">
        <v>787</v>
      </c>
      <c r="K43" s="0" t="n">
        <v>6.904673382950107</v>
      </c>
    </row>
    <row r="44">
      <c r="A44" s="0" t="n">
        <v>159</v>
      </c>
      <c r="B44" s="0" t="inlineStr">
        <is>
          <t>Chipper</t>
        </is>
      </c>
      <c r="C44" s="0" t="inlineStr">
        <is>
          <t>Mafia</t>
        </is>
      </c>
      <c r="D44" s="0" t="inlineStr">
        <is>
          <t>Win</t>
        </is>
      </c>
      <c r="E44" s="0" t="n">
        <v>63</v>
      </c>
      <c r="F44" s="0" t="n">
        <v>26.05558404257583</v>
      </c>
      <c r="G44" s="0" t="n">
        <v>26.9111752087345</v>
      </c>
      <c r="H44" s="0" t="n">
        <v>6.177969666941181</v>
      </c>
      <c r="I44" s="0" t="n">
        <v>1137</v>
      </c>
      <c r="J44" s="0" t="n">
        <v>1200</v>
      </c>
      <c r="K44" s="0" t="n">
        <v>6.221934831519222</v>
      </c>
    </row>
    <row r="45">
      <c r="A45" s="0" t="n">
        <v>159</v>
      </c>
      <c r="B45" s="0" t="inlineStr">
        <is>
          <t>Gilbert</t>
        </is>
      </c>
      <c r="C45" s="0" t="inlineStr">
        <is>
          <t>Town</t>
        </is>
      </c>
      <c r="D45" s="0" t="inlineStr">
        <is>
          <t>Loss</t>
        </is>
      </c>
      <c r="E45" s="0" t="n">
        <v>-56</v>
      </c>
      <c r="F45" s="0" t="n">
        <v>25.55460607902556</v>
      </c>
      <c r="G45" s="0" t="n">
        <v>24.65767010507535</v>
      </c>
      <c r="H45" s="0" t="n">
        <v>6.323254531220886</v>
      </c>
      <c r="I45" s="0" t="n">
        <v>1088</v>
      </c>
      <c r="J45" s="0" t="n">
        <v>1032</v>
      </c>
      <c r="K45" s="0" t="n">
        <v>6.370530790009309</v>
      </c>
    </row>
    <row r="46">
      <c r="A46" s="0" t="n">
        <v>159</v>
      </c>
      <c r="B46" s="0" t="inlineStr">
        <is>
          <t>Mintt</t>
        </is>
      </c>
      <c r="C46" s="0" t="inlineStr">
        <is>
          <t>Town</t>
        </is>
      </c>
      <c r="D46" s="0" t="inlineStr">
        <is>
          <t>Loss</t>
        </is>
      </c>
      <c r="E46" s="0" t="n">
        <v>-56</v>
      </c>
      <c r="F46" s="0" t="n">
        <v>31.6817085647807</v>
      </c>
      <c r="G46" s="0" t="n">
        <v>30.79105163829381</v>
      </c>
      <c r="H46" s="0" t="n">
        <v>6.301419060517255</v>
      </c>
      <c r="I46" s="0" t="n">
        <v>1507</v>
      </c>
      <c r="J46" s="0" t="n">
        <v>1451</v>
      </c>
      <c r="K46" s="0" t="n">
        <v>6.348187495389989</v>
      </c>
    </row>
    <row r="47">
      <c r="A47" s="0" t="n">
        <v>159</v>
      </c>
      <c r="B47" s="0" t="inlineStr">
        <is>
          <t>Iln</t>
        </is>
      </c>
      <c r="C47" s="0" t="inlineStr">
        <is>
          <t>Town</t>
        </is>
      </c>
      <c r="D47" s="0" t="inlineStr">
        <is>
          <t>Loss</t>
        </is>
      </c>
      <c r="E47" s="0" t="n">
        <v>-43</v>
      </c>
      <c r="F47" s="0" t="n">
        <v>28.45023057617856</v>
      </c>
      <c r="G47" s="0" t="n">
        <v>27.7713561027674</v>
      </c>
      <c r="H47" s="0" t="n">
        <v>5.511359735038424</v>
      </c>
      <c r="I47" s="0" t="n">
        <v>1369</v>
      </c>
      <c r="J47" s="0" t="n">
        <v>1326</v>
      </c>
      <c r="K47" s="0" t="n">
        <v>5.542075650827479</v>
      </c>
    </row>
    <row r="48">
      <c r="A48" s="0" t="n">
        <v>159</v>
      </c>
      <c r="B48" s="0" t="inlineStr">
        <is>
          <t>Cyclone</t>
        </is>
      </c>
      <c r="C48" s="0" t="inlineStr">
        <is>
          <t>Town</t>
        </is>
      </c>
      <c r="D48" s="0" t="inlineStr">
        <is>
          <t>Loss</t>
        </is>
      </c>
      <c r="E48" s="0" t="n">
        <v>-68</v>
      </c>
      <c r="F48" s="0" t="n">
        <v>36.99380591818398</v>
      </c>
      <c r="G48" s="0" t="n">
        <v>35.90182223991395</v>
      </c>
      <c r="H48" s="0" t="n">
        <v>6.96540331557114</v>
      </c>
      <c r="I48" s="0" t="n">
        <v>1799</v>
      </c>
      <c r="J48" s="0" t="n">
        <v>1731</v>
      </c>
      <c r="K48" s="0" t="n">
        <v>7.029307273112565</v>
      </c>
    </row>
    <row r="49">
      <c r="A49" s="0" t="n">
        <v>159</v>
      </c>
      <c r="B49" s="0" t="inlineStr">
        <is>
          <t>Vandyfan</t>
        </is>
      </c>
      <c r="C49" s="0" t="inlineStr">
        <is>
          <t>Town</t>
        </is>
      </c>
      <c r="D49" s="0" t="inlineStr">
        <is>
          <t>Loss</t>
        </is>
      </c>
      <c r="E49" s="0" t="n">
        <v>-93</v>
      </c>
      <c r="F49" s="0" t="n">
        <v>25</v>
      </c>
      <c r="G49" s="0" t="n">
        <v>23.4653715416377</v>
      </c>
      <c r="H49" s="0" t="n">
        <v>8.226079770690665</v>
      </c>
      <c r="I49" s="0" t="n">
        <v>850</v>
      </c>
      <c r="J49" s="0" t="n">
        <v>757</v>
      </c>
      <c r="K49" s="0" t="n">
        <v>8.333333333333334</v>
      </c>
    </row>
    <row r="50">
      <c r="A50" s="0" t="n">
        <v>159</v>
      </c>
      <c r="B50" s="0" t="inlineStr">
        <is>
          <t>Smit</t>
        </is>
      </c>
      <c r="C50" s="0" t="inlineStr">
        <is>
          <t>Town</t>
        </is>
      </c>
      <c r="D50" s="0" t="inlineStr">
        <is>
          <t>Loss</t>
        </is>
      </c>
      <c r="E50" s="0" t="n">
        <v>-49</v>
      </c>
      <c r="F50" s="0" t="n">
        <v>23.28436216636984</v>
      </c>
      <c r="G50" s="0" t="n">
        <v>22.51350968428066</v>
      </c>
      <c r="H50" s="0" t="n">
        <v>5.868280459235973</v>
      </c>
      <c r="I50" s="0" t="n">
        <v>981</v>
      </c>
      <c r="J50" s="0" t="n">
        <v>932</v>
      </c>
      <c r="K50" s="0" t="n">
        <v>5.905705461828974</v>
      </c>
    </row>
    <row r="51">
      <c r="A51" s="0" t="n">
        <v>159</v>
      </c>
      <c r="B51" s="0" t="inlineStr">
        <is>
          <t>Svaan</t>
        </is>
      </c>
      <c r="C51" s="0" t="inlineStr">
        <is>
          <t>Town</t>
        </is>
      </c>
      <c r="D51" s="0" t="inlineStr">
        <is>
          <t>Loss</t>
        </is>
      </c>
      <c r="E51" s="0" t="n">
        <v>-68</v>
      </c>
      <c r="F51" s="0" t="n">
        <v>30.25341777459442</v>
      </c>
      <c r="G51" s="0" t="n">
        <v>29.14920764713386</v>
      </c>
      <c r="H51" s="0" t="n">
        <v>7.003558094248127</v>
      </c>
      <c r="I51" s="0" t="n">
        <v>1336</v>
      </c>
      <c r="J51" s="0" t="n">
        <v>1268</v>
      </c>
      <c r="K51" s="0" t="n">
        <v>7.068557646870809</v>
      </c>
    </row>
    <row r="52">
      <c r="A52" s="0" t="n">
        <v>159</v>
      </c>
      <c r="B52" s="0" t="inlineStr">
        <is>
          <t>Strik3r</t>
        </is>
      </c>
      <c r="C52" s="0" t="inlineStr">
        <is>
          <t>Town</t>
        </is>
      </c>
      <c r="D52" s="0" t="inlineStr">
        <is>
          <t>Loss</t>
        </is>
      </c>
      <c r="E52" s="0" t="n">
        <v>-51</v>
      </c>
      <c r="F52" s="0" t="n">
        <v>27.98943985797107</v>
      </c>
      <c r="G52" s="0" t="n">
        <v>27.18507465892738</v>
      </c>
      <c r="H52" s="0" t="n">
        <v>5.992779338711522</v>
      </c>
      <c r="I52" s="0" t="n">
        <v>1288</v>
      </c>
      <c r="J52" s="0" t="n">
        <v>1237</v>
      </c>
      <c r="K52" s="0" t="n">
        <v>6.032750662955576</v>
      </c>
    </row>
    <row r="53">
      <c r="A53" s="0" t="n">
        <v>159</v>
      </c>
      <c r="B53" s="0" t="inlineStr">
        <is>
          <t>Decode</t>
        </is>
      </c>
      <c r="C53" s="0" t="inlineStr">
        <is>
          <t>Town</t>
        </is>
      </c>
      <c r="D53" s="0" t="inlineStr">
        <is>
          <t>Loss</t>
        </is>
      </c>
      <c r="E53" s="0" t="n">
        <v>-69</v>
      </c>
      <c r="F53" s="0" t="n">
        <v>20.42688281302067</v>
      </c>
      <c r="G53" s="0" t="n">
        <v>19.30194601391791</v>
      </c>
      <c r="H53" s="0" t="n">
        <v>7.067732123629809</v>
      </c>
      <c r="I53" s="0" t="n">
        <v>661</v>
      </c>
      <c r="J53" s="0" t="n">
        <v>592</v>
      </c>
      <c r="K53" s="0" t="n">
        <v>7.13460286311143</v>
      </c>
    </row>
    <row r="54">
      <c r="A54" s="0" t="n">
        <v>159</v>
      </c>
      <c r="B54" s="0" t="inlineStr">
        <is>
          <t>Brownkow</t>
        </is>
      </c>
      <c r="C54" s="0" t="inlineStr">
        <is>
          <t>Town</t>
        </is>
      </c>
      <c r="D54" s="0" t="inlineStr">
        <is>
          <t>Loss</t>
        </is>
      </c>
      <c r="E54" s="0" t="n">
        <v>-41</v>
      </c>
      <c r="F54" s="0" t="n">
        <v>29.29355423518257</v>
      </c>
      <c r="G54" s="0" t="n">
        <v>28.65089639282317</v>
      </c>
      <c r="H54" s="0" t="n">
        <v>5.363980399788601</v>
      </c>
      <c r="I54" s="0" t="n">
        <v>1442</v>
      </c>
      <c r="J54" s="0" t="n">
        <v>1401</v>
      </c>
      <c r="K54" s="0" t="n">
        <v>5.392170695656163</v>
      </c>
    </row>
    <row r="55">
      <c r="A55" s="0" t="n">
        <v>158</v>
      </c>
      <c r="B55" s="0" t="inlineStr">
        <is>
          <t>Noah</t>
        </is>
      </c>
      <c r="C55" s="0" t="inlineStr">
        <is>
          <t>Mafia</t>
        </is>
      </c>
      <c r="D55" s="0" t="inlineStr">
        <is>
          <t>Win</t>
        </is>
      </c>
      <c r="E55" s="0" t="n">
        <v>26</v>
      </c>
      <c r="F55" s="0" t="n">
        <v>32.24076402589558</v>
      </c>
      <c r="G55" s="0" t="n">
        <v>32.58067976315646</v>
      </c>
      <c r="H55" s="0" t="n">
        <v>5.751377863475095</v>
      </c>
      <c r="I55" s="0" t="n">
        <v>1603</v>
      </c>
      <c r="J55" s="0" t="n">
        <v>1629</v>
      </c>
      <c r="K55" s="0" t="n">
        <v>5.775915798926933</v>
      </c>
    </row>
    <row r="56">
      <c r="A56" s="0" t="n">
        <v>158</v>
      </c>
      <c r="B56" s="0" t="inlineStr">
        <is>
          <t>Kwix</t>
        </is>
      </c>
      <c r="C56" s="0" t="inlineStr">
        <is>
          <t>Mafia</t>
        </is>
      </c>
      <c r="D56" s="0" t="inlineStr">
        <is>
          <t>Win</t>
        </is>
      </c>
      <c r="E56" s="0" t="n">
        <v>29</v>
      </c>
      <c r="F56" s="0" t="n">
        <v>20.09320003092394</v>
      </c>
      <c r="G56" s="0" t="n">
        <v>20.47066284634594</v>
      </c>
      <c r="H56" s="0" t="n">
        <v>6.057743646015465</v>
      </c>
      <c r="I56" s="0" t="n">
        <v>745</v>
      </c>
      <c r="J56" s="0" t="n">
        <v>774</v>
      </c>
      <c r="K56" s="0" t="n">
        <v>6.086656310554545</v>
      </c>
    </row>
    <row r="57">
      <c r="A57" s="0" t="n">
        <v>158</v>
      </c>
      <c r="B57" s="0" t="inlineStr">
        <is>
          <t>Mintt</t>
        </is>
      </c>
      <c r="C57" s="0" t="inlineStr">
        <is>
          <t>Mafia</t>
        </is>
      </c>
      <c r="D57" s="0" t="inlineStr">
        <is>
          <t>Win</t>
        </is>
      </c>
      <c r="E57" s="0" t="n">
        <v>32</v>
      </c>
      <c r="F57" s="0" t="n">
        <v>31.26677713214509</v>
      </c>
      <c r="G57" s="0" t="n">
        <v>31.6817085647807</v>
      </c>
      <c r="H57" s="0" t="n">
        <v>6.348187495389989</v>
      </c>
      <c r="I57" s="0" t="n">
        <v>1475</v>
      </c>
      <c r="J57" s="0" t="n">
        <v>1507</v>
      </c>
      <c r="K57" s="0" t="n">
        <v>6.381681899890956</v>
      </c>
    </row>
    <row r="58">
      <c r="A58" s="0" t="n">
        <v>158</v>
      </c>
      <c r="B58" s="0" t="inlineStr">
        <is>
          <t>Badpants</t>
        </is>
      </c>
      <c r="C58" s="0" t="inlineStr">
        <is>
          <t>Town</t>
        </is>
      </c>
      <c r="D58" s="0" t="inlineStr">
        <is>
          <t>Loss</t>
        </is>
      </c>
      <c r="E58" s="0" t="n">
        <v>-20</v>
      </c>
      <c r="F58" s="0" t="n">
        <v>24.06301748224596</v>
      </c>
      <c r="G58" s="0" t="n">
        <v>23.72427215502093</v>
      </c>
      <c r="H58" s="0" t="n">
        <v>5.741555162050723</v>
      </c>
      <c r="I58" s="0" t="n">
        <v>1048</v>
      </c>
      <c r="J58" s="0" t="n">
        <v>1028</v>
      </c>
      <c r="K58" s="0" t="n">
        <v>5.765960318482382</v>
      </c>
    </row>
    <row r="59">
      <c r="A59" s="0" t="n">
        <v>158</v>
      </c>
      <c r="B59" s="0" t="inlineStr">
        <is>
          <t>Kden</t>
        </is>
      </c>
      <c r="C59" s="0" t="inlineStr">
        <is>
          <t>Town</t>
        </is>
      </c>
      <c r="D59" s="0" t="inlineStr">
        <is>
          <t>Loss</t>
        </is>
      </c>
      <c r="E59" s="0" t="n">
        <v>-23</v>
      </c>
      <c r="F59" s="0" t="n">
        <v>24.85600159803622</v>
      </c>
      <c r="G59" s="0" t="n">
        <v>24.48259095288331</v>
      </c>
      <c r="H59" s="0" t="n">
        <v>6.025458367211104</v>
      </c>
      <c r="I59" s="0" t="n">
        <v>1073</v>
      </c>
      <c r="J59" s="0" t="n">
        <v>1050</v>
      </c>
      <c r="K59" s="0" t="n">
        <v>6.053888297202743</v>
      </c>
    </row>
    <row r="60">
      <c r="A60" s="0" t="n">
        <v>158</v>
      </c>
      <c r="B60" s="0" t="inlineStr">
        <is>
          <t>Brownkow</t>
        </is>
      </c>
      <c r="C60" s="0" t="inlineStr">
        <is>
          <t>Town</t>
        </is>
      </c>
      <c r="D60" s="0" t="inlineStr">
        <is>
          <t>Loss</t>
        </is>
      </c>
      <c r="E60" s="0" t="n">
        <v>-18</v>
      </c>
      <c r="F60" s="0" t="n">
        <v>29.59201418035608</v>
      </c>
      <c r="G60" s="0" t="n">
        <v>29.29355423518257</v>
      </c>
      <c r="H60" s="0" t="n">
        <v>5.392170695656163</v>
      </c>
      <c r="I60" s="0" t="n">
        <v>1460</v>
      </c>
      <c r="J60" s="0" t="n">
        <v>1442</v>
      </c>
      <c r="K60" s="0" t="n">
        <v>5.412142263301918</v>
      </c>
    </row>
    <row r="61">
      <c r="A61" s="0" t="n">
        <v>158</v>
      </c>
      <c r="B61" s="0" t="inlineStr">
        <is>
          <t>Strik3r</t>
        </is>
      </c>
      <c r="C61" s="0" t="inlineStr">
        <is>
          <t>Town</t>
        </is>
      </c>
      <c r="D61" s="0" t="inlineStr">
        <is>
          <t>Loss</t>
        </is>
      </c>
      <c r="E61" s="0" t="n">
        <v>-22</v>
      </c>
      <c r="F61" s="0" t="n">
        <v>28.36376380069294</v>
      </c>
      <c r="G61" s="0" t="n">
        <v>27.98943985797107</v>
      </c>
      <c r="H61" s="0" t="n">
        <v>6.032750662955576</v>
      </c>
      <c r="I61" s="0" t="n">
        <v>1310</v>
      </c>
      <c r="J61" s="0" t="n">
        <v>1288</v>
      </c>
      <c r="K61" s="0" t="n">
        <v>6.06128917300999</v>
      </c>
    </row>
    <row r="62">
      <c r="A62" s="0" t="n">
        <v>158</v>
      </c>
      <c r="B62" s="0" t="inlineStr">
        <is>
          <t>Smit</t>
        </is>
      </c>
      <c r="C62" s="0" t="inlineStr">
        <is>
          <t>Town</t>
        </is>
      </c>
      <c r="D62" s="0" t="inlineStr">
        <is>
          <t>Loss</t>
        </is>
      </c>
      <c r="E62" s="0" t="n">
        <v>-22</v>
      </c>
      <c r="F62" s="0" t="n">
        <v>23.64293895453434</v>
      </c>
      <c r="G62" s="0" t="n">
        <v>23.28436216636984</v>
      </c>
      <c r="H62" s="0" t="n">
        <v>5.905705461828974</v>
      </c>
      <c r="I62" s="0" t="n">
        <v>1003</v>
      </c>
      <c r="J62" s="0" t="n">
        <v>981</v>
      </c>
      <c r="K62" s="0" t="n">
        <v>5.932389961961994</v>
      </c>
    </row>
    <row r="63">
      <c r="A63" s="0" t="n">
        <v>158</v>
      </c>
      <c r="B63" s="0" t="inlineStr">
        <is>
          <t>Doublea</t>
        </is>
      </c>
      <c r="C63" s="0" t="inlineStr">
        <is>
          <t>Town</t>
        </is>
      </c>
      <c r="D63" s="0" t="inlineStr">
        <is>
          <t>Loss</t>
        </is>
      </c>
      <c r="E63" s="0" t="n">
        <v>-29</v>
      </c>
      <c r="F63" s="0" t="n">
        <v>21.27095128082781</v>
      </c>
      <c r="G63" s="0" t="n">
        <v>20.77909772576736</v>
      </c>
      <c r="H63" s="0" t="n">
        <v>6.904673382950107</v>
      </c>
      <c r="I63" s="0" t="n">
        <v>738</v>
      </c>
      <c r="J63" s="0" t="n">
        <v>709</v>
      </c>
      <c r="K63" s="0" t="n">
        <v>6.948214717930999</v>
      </c>
    </row>
    <row r="64">
      <c r="A64" s="0" t="n">
        <v>158</v>
      </c>
      <c r="B64" s="0" t="inlineStr">
        <is>
          <t>Carson</t>
        </is>
      </c>
      <c r="C64" s="0" t="inlineStr">
        <is>
          <t>Town</t>
        </is>
      </c>
      <c r="D64" s="0" t="inlineStr">
        <is>
          <t>Loss</t>
        </is>
      </c>
      <c r="E64" s="0" t="n">
        <v>-21</v>
      </c>
      <c r="F64" s="0" t="n">
        <v>26.16539623232152</v>
      </c>
      <c r="G64" s="0" t="n">
        <v>25.82309056581728</v>
      </c>
      <c r="H64" s="0" t="n">
        <v>5.771381626214277</v>
      </c>
      <c r="I64" s="0" t="n">
        <v>1188</v>
      </c>
      <c r="J64" s="0" t="n">
        <v>1167</v>
      </c>
      <c r="K64" s="0" t="n">
        <v>5.796191374487856</v>
      </c>
    </row>
    <row r="65">
      <c r="A65" s="0" t="n">
        <v>158</v>
      </c>
      <c r="B65" s="0" t="inlineStr">
        <is>
          <t>Keegan</t>
        </is>
      </c>
      <c r="C65" s="0" t="inlineStr">
        <is>
          <t>Town</t>
        </is>
      </c>
      <c r="D65" s="0" t="inlineStr">
        <is>
          <t>Loss</t>
        </is>
      </c>
      <c r="E65" s="0" t="n">
        <v>-31</v>
      </c>
      <c r="F65" s="0" t="n">
        <v>29.28501681916051</v>
      </c>
      <c r="G65" s="0" t="n">
        <v>28.74871470462827</v>
      </c>
      <c r="H65" s="0" t="n">
        <v>7.205721116010931</v>
      </c>
      <c r="I65" s="0" t="n">
        <v>1251</v>
      </c>
      <c r="J65" s="0" t="n">
        <v>1220</v>
      </c>
      <c r="K65" s="0" t="n">
        <v>7.255440850116631</v>
      </c>
    </row>
    <row r="66">
      <c r="A66" s="0" t="n">
        <v>158</v>
      </c>
      <c r="B66" s="0" t="inlineStr">
        <is>
          <t>Chipper</t>
        </is>
      </c>
      <c r="C66" s="0" t="inlineStr">
        <is>
          <t>Town</t>
        </is>
      </c>
      <c r="D66" s="0" t="inlineStr">
        <is>
          <t>Loss</t>
        </is>
      </c>
      <c r="E66" s="0" t="n">
        <v>-24</v>
      </c>
      <c r="F66" s="0" t="n">
        <v>26.45400361067276</v>
      </c>
      <c r="G66" s="0" t="n">
        <v>26.05558404257583</v>
      </c>
      <c r="H66" s="0" t="n">
        <v>6.221934831519222</v>
      </c>
      <c r="I66" s="0" t="n">
        <v>1161</v>
      </c>
      <c r="J66" s="0" t="n">
        <v>1137</v>
      </c>
      <c r="K66" s="0" t="n">
        <v>6.253384103454413</v>
      </c>
    </row>
    <row r="67">
      <c r="A67" s="0" t="n">
        <v>158</v>
      </c>
      <c r="B67" s="0" t="inlineStr">
        <is>
          <t>Lovekilling</t>
        </is>
      </c>
      <c r="C67" s="0" t="inlineStr">
        <is>
          <t>Town</t>
        </is>
      </c>
      <c r="D67" s="0" t="inlineStr">
        <is>
          <t>Loss</t>
        </is>
      </c>
      <c r="E67" s="0" t="n">
        <v>-34</v>
      </c>
      <c r="F67" s="0" t="n">
        <v>22.82481222289527</v>
      </c>
      <c r="G67" s="0" t="n">
        <v>22.24265597508599</v>
      </c>
      <c r="H67" s="0" t="n">
        <v>7.502942962188333</v>
      </c>
      <c r="I67" s="0" t="n">
        <v>781</v>
      </c>
      <c r="J67" s="0" t="n">
        <v>747</v>
      </c>
      <c r="K67" s="0" t="n">
        <v>7.559308711840978</v>
      </c>
    </row>
    <row r="68">
      <c r="A68" s="0" t="n">
        <v>157</v>
      </c>
      <c r="B68" s="0" t="inlineStr">
        <is>
          <t>Laur</t>
        </is>
      </c>
      <c r="C68" s="0" t="inlineStr">
        <is>
          <t>Mafia</t>
        </is>
      </c>
      <c r="D68" s="0" t="inlineStr">
        <is>
          <t>Win</t>
        </is>
      </c>
      <c r="E68" s="0" t="n">
        <v>30</v>
      </c>
      <c r="F68" s="0" t="n">
        <v>31.29344780710835</v>
      </c>
      <c r="G68" s="0" t="n">
        <v>31.69101683155469</v>
      </c>
      <c r="H68" s="0" t="n">
        <v>5.898861422970345</v>
      </c>
      <c r="I68" s="0" t="n">
        <v>1523</v>
      </c>
      <c r="J68" s="0" t="n">
        <v>1553</v>
      </c>
      <c r="K68" s="0" t="n">
        <v>5.926782656879304</v>
      </c>
    </row>
    <row r="69">
      <c r="A69" s="0" t="n">
        <v>157</v>
      </c>
      <c r="B69" s="0" t="inlineStr">
        <is>
          <t>Josh</t>
        </is>
      </c>
      <c r="C69" s="0" t="inlineStr">
        <is>
          <t>Mafia</t>
        </is>
      </c>
      <c r="D69" s="0" t="inlineStr">
        <is>
          <t>Win</t>
        </is>
      </c>
      <c r="E69" s="0" t="n">
        <v>45</v>
      </c>
      <c r="F69" s="0" t="n">
        <v>31.8093103851456</v>
      </c>
      <c r="G69" s="0" t="n">
        <v>32.39555705467296</v>
      </c>
      <c r="H69" s="0" t="n">
        <v>7.1464815729458</v>
      </c>
      <c r="I69" s="0" t="n">
        <v>1429</v>
      </c>
      <c r="J69" s="0" t="n">
        <v>1474</v>
      </c>
      <c r="K69" s="0" t="n">
        <v>7.197353276411788</v>
      </c>
    </row>
    <row r="70">
      <c r="A70" s="0" t="n">
        <v>157</v>
      </c>
      <c r="B70" s="0" t="inlineStr">
        <is>
          <t>Chipper</t>
        </is>
      </c>
      <c r="C70" s="0" t="inlineStr">
        <is>
          <t>Mafia</t>
        </is>
      </c>
      <c r="D70" s="0" t="inlineStr">
        <is>
          <t>Win</t>
        </is>
      </c>
      <c r="E70" s="0" t="n">
        <v>34</v>
      </c>
      <c r="F70" s="0" t="n">
        <v>26.00666310405015</v>
      </c>
      <c r="G70" s="0" t="n">
        <v>26.45400361067276</v>
      </c>
      <c r="H70" s="0" t="n">
        <v>6.253384103454413</v>
      </c>
      <c r="I70" s="0" t="n">
        <v>1127</v>
      </c>
      <c r="J70" s="0" t="n">
        <v>1161</v>
      </c>
      <c r="K70" s="0" t="n">
        <v>6.286931403030123</v>
      </c>
    </row>
    <row r="71">
      <c r="A71" s="0" t="n">
        <v>157</v>
      </c>
      <c r="B71" s="0" t="inlineStr">
        <is>
          <t>Iln</t>
        </is>
      </c>
      <c r="C71" s="0" t="inlineStr">
        <is>
          <t>Town</t>
        </is>
      </c>
      <c r="D71" s="0" t="inlineStr">
        <is>
          <t>Loss</t>
        </is>
      </c>
      <c r="E71" s="0" t="n">
        <v>-22</v>
      </c>
      <c r="F71" s="0" t="n">
        <v>28.800755523974</v>
      </c>
      <c r="G71" s="0" t="n">
        <v>28.45023057617856</v>
      </c>
      <c r="H71" s="0" t="n">
        <v>5.542075650827479</v>
      </c>
      <c r="I71" s="0" t="n">
        <v>1391</v>
      </c>
      <c r="J71" s="0" t="n">
        <v>1369</v>
      </c>
      <c r="K71" s="0" t="n">
        <v>5.564983758220991</v>
      </c>
    </row>
    <row r="72">
      <c r="A72" s="0" t="n">
        <v>157</v>
      </c>
      <c r="B72" s="0" t="inlineStr">
        <is>
          <t>Strik3r</t>
        </is>
      </c>
      <c r="C72" s="0" t="inlineStr">
        <is>
          <t>Town</t>
        </is>
      </c>
      <c r="D72" s="0" t="inlineStr">
        <is>
          <t>Loss</t>
        </is>
      </c>
      <c r="E72" s="0" t="n">
        <v>-26</v>
      </c>
      <c r="F72" s="0" t="n">
        <v>28.78376036940034</v>
      </c>
      <c r="G72" s="0" t="n">
        <v>28.36376380069294</v>
      </c>
      <c r="H72" s="0" t="n">
        <v>6.06128917300999</v>
      </c>
      <c r="I72" s="0" t="n">
        <v>1336</v>
      </c>
      <c r="J72" s="0" t="n">
        <v>1310</v>
      </c>
      <c r="K72" s="0" t="n">
        <v>6.091705556549173</v>
      </c>
    </row>
    <row r="73">
      <c r="A73" s="0" t="n">
        <v>157</v>
      </c>
      <c r="B73" s="0" t="inlineStr">
        <is>
          <t>Brownkow</t>
        </is>
      </c>
      <c r="C73" s="0" t="inlineStr">
        <is>
          <t>Town</t>
        </is>
      </c>
      <c r="D73" s="0" t="inlineStr">
        <is>
          <t>Loss</t>
        </is>
      </c>
      <c r="E73" s="0" t="n">
        <v>-21</v>
      </c>
      <c r="F73" s="0" t="n">
        <v>29.92616133832729</v>
      </c>
      <c r="G73" s="0" t="n">
        <v>29.59201418035608</v>
      </c>
      <c r="H73" s="0" t="n">
        <v>5.412142263301918</v>
      </c>
      <c r="I73" s="0" t="n">
        <v>1481</v>
      </c>
      <c r="J73" s="0" t="n">
        <v>1460</v>
      </c>
      <c r="K73" s="0" t="n">
        <v>5.433377545188007</v>
      </c>
    </row>
    <row r="74">
      <c r="A74" s="0" t="n">
        <v>157</v>
      </c>
      <c r="B74" s="0" t="inlineStr">
        <is>
          <t>Noah</t>
        </is>
      </c>
      <c r="C74" s="0" t="inlineStr">
        <is>
          <t>Town</t>
        </is>
      </c>
      <c r="D74" s="0" t="inlineStr">
        <is>
          <t>Loss</t>
        </is>
      </c>
      <c r="E74" s="0" t="n">
        <v>-23</v>
      </c>
      <c r="F74" s="0" t="n">
        <v>32.62177816915052</v>
      </c>
      <c r="G74" s="0" t="n">
        <v>32.24076402589558</v>
      </c>
      <c r="H74" s="0" t="n">
        <v>5.775915798926933</v>
      </c>
      <c r="I74" s="0" t="n">
        <v>1626</v>
      </c>
      <c r="J74" s="0" t="n">
        <v>1603</v>
      </c>
      <c r="K74" s="0" t="n">
        <v>5.802038333491298</v>
      </c>
    </row>
    <row r="75">
      <c r="A75" s="0" t="n">
        <v>157</v>
      </c>
      <c r="B75" s="0" t="inlineStr">
        <is>
          <t>Carson</t>
        </is>
      </c>
      <c r="C75" s="0" t="inlineStr">
        <is>
          <t>Town</t>
        </is>
      </c>
      <c r="D75" s="0" t="inlineStr">
        <is>
          <t>Loss</t>
        </is>
      </c>
      <c r="E75" s="0" t="n">
        <v>-23</v>
      </c>
      <c r="F75" s="0" t="n">
        <v>26.5491155841032</v>
      </c>
      <c r="G75" s="0" t="n">
        <v>26.16539623232152</v>
      </c>
      <c r="H75" s="0" t="n">
        <v>5.796191374487856</v>
      </c>
      <c r="I75" s="0" t="n">
        <v>1211</v>
      </c>
      <c r="J75" s="0" t="n">
        <v>1188</v>
      </c>
      <c r="K75" s="0" t="n">
        <v>5.822605297173122</v>
      </c>
    </row>
    <row r="76">
      <c r="A76" s="0" t="n">
        <v>157</v>
      </c>
      <c r="B76" s="0" t="inlineStr">
        <is>
          <t>Kden</t>
        </is>
      </c>
      <c r="C76" s="0" t="inlineStr">
        <is>
          <t>Town</t>
        </is>
      </c>
      <c r="D76" s="0" t="inlineStr">
        <is>
          <t>Loss</t>
        </is>
      </c>
      <c r="E76" s="0" t="n">
        <v>-25</v>
      </c>
      <c r="F76" s="0" t="n">
        <v>25.2749624794615</v>
      </c>
      <c r="G76" s="0" t="n">
        <v>24.85600159803622</v>
      </c>
      <c r="H76" s="0" t="n">
        <v>6.053888297202743</v>
      </c>
      <c r="I76" s="0" t="n">
        <v>1098</v>
      </c>
      <c r="J76" s="0" t="n">
        <v>1073</v>
      </c>
      <c r="K76" s="0" t="n">
        <v>6.084187996912498</v>
      </c>
    </row>
    <row r="77">
      <c r="A77" s="0" t="n">
        <v>157</v>
      </c>
      <c r="B77" s="0" t="inlineStr">
        <is>
          <t>Levi</t>
        </is>
      </c>
      <c r="C77" s="0" t="inlineStr">
        <is>
          <t>Town</t>
        </is>
      </c>
      <c r="D77" s="0" t="inlineStr">
        <is>
          <t>Loss</t>
        </is>
      </c>
      <c r="E77" s="0" t="n">
        <v>-41</v>
      </c>
      <c r="F77" s="0" t="n">
        <v>27.08070483529759</v>
      </c>
      <c r="G77" s="0" t="n">
        <v>26.37024028273792</v>
      </c>
      <c r="H77" s="0" t="n">
        <v>7.855175270993022</v>
      </c>
      <c r="I77" s="0" t="n">
        <v>1033</v>
      </c>
      <c r="J77" s="0" t="n">
        <v>992</v>
      </c>
      <c r="K77" s="0" t="n">
        <v>7.923392355754525</v>
      </c>
    </row>
    <row r="78">
      <c r="A78" s="0" t="n">
        <v>157</v>
      </c>
      <c r="B78" s="0" t="inlineStr">
        <is>
          <t>Chelsea</t>
        </is>
      </c>
      <c r="C78" s="0" t="inlineStr">
        <is>
          <t>Town</t>
        </is>
      </c>
      <c r="D78" s="0" t="inlineStr">
        <is>
          <t>Loss</t>
        </is>
      </c>
      <c r="E78" s="0" t="n">
        <v>-32</v>
      </c>
      <c r="F78" s="0" t="n">
        <v>27.66659370246498</v>
      </c>
      <c r="G78" s="0" t="n">
        <v>27.1236513506828</v>
      </c>
      <c r="H78" s="0" t="n">
        <v>6.881151705600442</v>
      </c>
      <c r="I78" s="0" t="n">
        <v>1175</v>
      </c>
      <c r="J78" s="0" t="n">
        <v>1143</v>
      </c>
      <c r="K78" s="0" t="n">
        <v>6.926377256818791</v>
      </c>
    </row>
    <row r="79">
      <c r="A79" s="0" t="n">
        <v>157</v>
      </c>
      <c r="B79" s="0" t="inlineStr">
        <is>
          <t>Rocker</t>
        </is>
      </c>
      <c r="C79" s="0" t="inlineStr">
        <is>
          <t>Town</t>
        </is>
      </c>
      <c r="D79" s="0" t="inlineStr">
        <is>
          <t>Loss</t>
        </is>
      </c>
      <c r="E79" s="0" t="n">
        <v>-20</v>
      </c>
      <c r="F79" s="0" t="n">
        <v>35.36053761985249</v>
      </c>
      <c r="G79" s="0" t="n">
        <v>35.02860175216394</v>
      </c>
      <c r="H79" s="0" t="n">
        <v>5.394350962432806</v>
      </c>
      <c r="I79" s="0" t="n">
        <v>1852</v>
      </c>
      <c r="J79" s="0" t="n">
        <v>1832</v>
      </c>
      <c r="K79" s="0" t="n">
        <v>5.415363323498624</v>
      </c>
    </row>
    <row r="80">
      <c r="A80" s="0" t="n">
        <v>157</v>
      </c>
      <c r="B80" s="0" t="inlineStr">
        <is>
          <t>Kwix</t>
        </is>
      </c>
      <c r="C80" s="0" t="inlineStr">
        <is>
          <t>Town</t>
        </is>
      </c>
      <c r="D80" s="0" t="inlineStr">
        <is>
          <t>Loss</t>
        </is>
      </c>
      <c r="E80" s="0" t="n">
        <v>-26</v>
      </c>
      <c r="F80" s="0" t="n">
        <v>20.5167565149294</v>
      </c>
      <c r="G80" s="0" t="n">
        <v>20.09320003092394</v>
      </c>
      <c r="H80" s="0" t="n">
        <v>6.086656310554545</v>
      </c>
      <c r="I80" s="0" t="n">
        <v>771</v>
      </c>
      <c r="J80" s="0" t="n">
        <v>745</v>
      </c>
      <c r="K80" s="0" t="n">
        <v>6.117474833661181</v>
      </c>
    </row>
    <row r="81">
      <c r="A81" s="0" t="n">
        <v>156</v>
      </c>
      <c r="B81" s="0" t="inlineStr">
        <is>
          <t>Whyin</t>
        </is>
      </c>
      <c r="C81" s="0" t="inlineStr">
        <is>
          <t>Mafia</t>
        </is>
      </c>
      <c r="D81" s="0" t="inlineStr">
        <is>
          <t>Loss</t>
        </is>
      </c>
      <c r="E81" s="0" t="n">
        <v>-21</v>
      </c>
      <c r="F81" s="0" t="n">
        <v>27.10991370409573</v>
      </c>
      <c r="G81" s="0" t="n">
        <v>26.7664881739514</v>
      </c>
      <c r="H81" s="0" t="n">
        <v>6.363028594158625</v>
      </c>
      <c r="I81" s="0" t="n">
        <v>1192</v>
      </c>
      <c r="J81" s="0" t="n">
        <v>1171</v>
      </c>
      <c r="K81" s="0" t="n">
        <v>6.388622164237002</v>
      </c>
    </row>
    <row r="82">
      <c r="A82" s="0" t="n">
        <v>156</v>
      </c>
      <c r="B82" s="0" t="inlineStr">
        <is>
          <t>Ryan</t>
        </is>
      </c>
      <c r="C82" s="0" t="inlineStr">
        <is>
          <t>Mafia</t>
        </is>
      </c>
      <c r="D82" s="0" t="inlineStr">
        <is>
          <t>Loss</t>
        </is>
      </c>
      <c r="E82" s="0" t="n">
        <v>-34</v>
      </c>
      <c r="F82" s="0" t="n">
        <v>25</v>
      </c>
      <c r="G82" s="0" t="n">
        <v>24.41573238123837</v>
      </c>
      <c r="H82" s="0" t="n">
        <v>8.275317724516887</v>
      </c>
      <c r="I82" s="0" t="n">
        <v>850</v>
      </c>
      <c r="J82" s="0" t="n">
        <v>816</v>
      </c>
      <c r="K82" s="0" t="n">
        <v>8.333333333333334</v>
      </c>
    </row>
    <row r="83">
      <c r="A83" s="0" t="n">
        <v>156</v>
      </c>
      <c r="B83" s="0" t="inlineStr">
        <is>
          <t>Levi</t>
        </is>
      </c>
      <c r="C83" s="0" t="inlineStr">
        <is>
          <t>Mafia</t>
        </is>
      </c>
      <c r="D83" s="0" t="inlineStr">
        <is>
          <t>Loss</t>
        </is>
      </c>
      <c r="E83" s="0" t="n">
        <v>-32</v>
      </c>
      <c r="F83" s="0" t="n">
        <v>27.61569321405161</v>
      </c>
      <c r="G83" s="0" t="n">
        <v>27.08070483529759</v>
      </c>
      <c r="H83" s="0" t="n">
        <v>7.923392355754525</v>
      </c>
      <c r="I83" s="0" t="n">
        <v>1065</v>
      </c>
      <c r="J83" s="0" t="n">
        <v>1033</v>
      </c>
      <c r="K83" s="0" t="n">
        <v>7.974108469857423</v>
      </c>
    </row>
    <row r="84">
      <c r="A84" s="0" t="n">
        <v>156</v>
      </c>
      <c r="B84" s="0" t="inlineStr">
        <is>
          <t>Josh</t>
        </is>
      </c>
      <c r="C84" s="0" t="inlineStr">
        <is>
          <t>Town</t>
        </is>
      </c>
      <c r="D84" s="0" t="inlineStr">
        <is>
          <t>Win</t>
        </is>
      </c>
      <c r="E84" s="0" t="n">
        <v>34</v>
      </c>
      <c r="F84" s="0" t="n">
        <v>31.36888665782782</v>
      </c>
      <c r="G84" s="0" t="n">
        <v>31.8093103851456</v>
      </c>
      <c r="H84" s="0" t="n">
        <v>7.197353276411788</v>
      </c>
      <c r="I84" s="0" t="n">
        <v>1395</v>
      </c>
      <c r="J84" s="0" t="n">
        <v>1429</v>
      </c>
      <c r="K84" s="0" t="n">
        <v>7.234990852106072</v>
      </c>
    </row>
    <row r="85">
      <c r="A85" s="0" t="n">
        <v>156</v>
      </c>
      <c r="B85" s="0" t="inlineStr">
        <is>
          <t>Keegan</t>
        </is>
      </c>
      <c r="C85" s="0" t="inlineStr">
        <is>
          <t>Town</t>
        </is>
      </c>
      <c r="D85" s="0" t="inlineStr">
        <is>
          <t>Win</t>
        </is>
      </c>
      <c r="E85" s="0" t="n">
        <v>34</v>
      </c>
      <c r="F85" s="0" t="n">
        <v>28.8373770380934</v>
      </c>
      <c r="G85" s="0" t="n">
        <v>29.28501681916051</v>
      </c>
      <c r="H85" s="0" t="n">
        <v>7.255440850116631</v>
      </c>
      <c r="I85" s="0" t="n">
        <v>1217</v>
      </c>
      <c r="J85" s="0" t="n">
        <v>1251</v>
      </c>
      <c r="K85" s="0" t="n">
        <v>7.294031564601414</v>
      </c>
    </row>
    <row r="86">
      <c r="A86" s="0" t="n">
        <v>156</v>
      </c>
      <c r="B86" s="0" t="inlineStr">
        <is>
          <t>Rick</t>
        </is>
      </c>
      <c r="C86" s="0" t="inlineStr">
        <is>
          <t>Town</t>
        </is>
      </c>
      <c r="D86" s="0" t="inlineStr">
        <is>
          <t>Win</t>
        </is>
      </c>
      <c r="E86" s="0" t="n">
        <v>35</v>
      </c>
      <c r="F86" s="0" t="n">
        <v>28.88141873191655</v>
      </c>
      <c r="G86" s="0" t="n">
        <v>29.33344450403504</v>
      </c>
      <c r="H86" s="0" t="n">
        <v>7.290510978541844</v>
      </c>
      <c r="I86" s="0" t="n">
        <v>1216</v>
      </c>
      <c r="J86" s="0" t="n">
        <v>1251</v>
      </c>
      <c r="K86" s="0" t="n">
        <v>7.329684739714296</v>
      </c>
    </row>
    <row r="87">
      <c r="A87" s="0" t="n">
        <v>156</v>
      </c>
      <c r="B87" s="0" t="inlineStr">
        <is>
          <t>Noah</t>
        </is>
      </c>
      <c r="C87" s="0" t="inlineStr">
        <is>
          <t>Town</t>
        </is>
      </c>
      <c r="D87" s="0" t="inlineStr">
        <is>
          <t>Win</t>
        </is>
      </c>
      <c r="E87" s="0" t="n">
        <v>21</v>
      </c>
      <c r="F87" s="0" t="n">
        <v>32.33664083622724</v>
      </c>
      <c r="G87" s="0" t="n">
        <v>32.62177816915052</v>
      </c>
      <c r="H87" s="0" t="n">
        <v>5.802038333491298</v>
      </c>
      <c r="I87" s="0" t="n">
        <v>1605</v>
      </c>
      <c r="J87" s="0" t="n">
        <v>1626</v>
      </c>
      <c r="K87" s="0" t="n">
        <v>5.821127081490689</v>
      </c>
    </row>
    <row r="88">
      <c r="A88" s="0" t="n">
        <v>156</v>
      </c>
      <c r="B88" s="0" t="inlineStr">
        <is>
          <t>Rocker</t>
        </is>
      </c>
      <c r="C88" s="0" t="inlineStr">
        <is>
          <t>Town</t>
        </is>
      </c>
      <c r="D88" s="0" t="inlineStr">
        <is>
          <t>Win</t>
        </is>
      </c>
      <c r="E88" s="0" t="n">
        <v>18</v>
      </c>
      <c r="F88" s="0" t="n">
        <v>35.11236120288513</v>
      </c>
      <c r="G88" s="0" t="n">
        <v>35.36053761985249</v>
      </c>
      <c r="H88" s="0" t="n">
        <v>5.415363323498624</v>
      </c>
      <c r="I88" s="0" t="n">
        <v>1834</v>
      </c>
      <c r="J88" s="0" t="n">
        <v>1852</v>
      </c>
      <c r="K88" s="0" t="n">
        <v>5.430636697563599</v>
      </c>
    </row>
    <row r="89">
      <c r="A89" s="0" t="n">
        <v>156</v>
      </c>
      <c r="B89" s="0" t="inlineStr">
        <is>
          <t>Mintt</t>
        </is>
      </c>
      <c r="C89" s="0" t="inlineStr">
        <is>
          <t>Town</t>
        </is>
      </c>
      <c r="D89" s="0" t="inlineStr">
        <is>
          <t>Win</t>
        </is>
      </c>
      <c r="E89" s="0" t="n">
        <v>26</v>
      </c>
      <c r="F89" s="0" t="n">
        <v>30.92131814412731</v>
      </c>
      <c r="G89" s="0" t="n">
        <v>31.26677713214509</v>
      </c>
      <c r="H89" s="0" t="n">
        <v>6.381681899890956</v>
      </c>
      <c r="I89" s="0" t="n">
        <v>1449</v>
      </c>
      <c r="J89" s="0" t="n">
        <v>1475</v>
      </c>
      <c r="K89" s="0" t="n">
        <v>6.407512713897347</v>
      </c>
    </row>
    <row r="90">
      <c r="A90" s="0" t="n">
        <v>156</v>
      </c>
      <c r="B90" s="0" t="inlineStr">
        <is>
          <t>Chelsea</t>
        </is>
      </c>
      <c r="C90" s="0" t="inlineStr">
        <is>
          <t>Town</t>
        </is>
      </c>
      <c r="D90" s="0" t="inlineStr">
        <is>
          <t>Win</t>
        </is>
      </c>
      <c r="E90" s="0" t="n">
        <v>31</v>
      </c>
      <c r="F90" s="0" t="n">
        <v>27.25903383011487</v>
      </c>
      <c r="G90" s="0" t="n">
        <v>27.66659370246498</v>
      </c>
      <c r="H90" s="0" t="n">
        <v>6.926377256818791</v>
      </c>
      <c r="I90" s="0" t="n">
        <v>1144</v>
      </c>
      <c r="J90" s="0" t="n">
        <v>1175</v>
      </c>
      <c r="K90" s="0" t="n">
        <v>6.95977173558239</v>
      </c>
    </row>
    <row r="91">
      <c r="A91" s="0" t="n">
        <v>156</v>
      </c>
      <c r="B91" s="0" t="inlineStr">
        <is>
          <t>Strik3r</t>
        </is>
      </c>
      <c r="C91" s="0" t="inlineStr">
        <is>
          <t>Town</t>
        </is>
      </c>
      <c r="D91" s="0" t="inlineStr">
        <is>
          <t>Win</t>
        </is>
      </c>
      <c r="E91" s="0" t="n">
        <v>24</v>
      </c>
      <c r="F91" s="0" t="n">
        <v>28.4692178933065</v>
      </c>
      <c r="G91" s="0" t="n">
        <v>28.78376036940034</v>
      </c>
      <c r="H91" s="0" t="n">
        <v>6.091705556549173</v>
      </c>
      <c r="I91" s="0" t="n">
        <v>1312</v>
      </c>
      <c r="J91" s="0" t="n">
        <v>1336</v>
      </c>
      <c r="K91" s="0" t="n">
        <v>6.114003462171939</v>
      </c>
    </row>
    <row r="92">
      <c r="A92" s="0" t="n">
        <v>156</v>
      </c>
      <c r="B92" s="0" t="inlineStr">
        <is>
          <t>Rollo</t>
        </is>
      </c>
      <c r="C92" s="0" t="inlineStr">
        <is>
          <t>Town</t>
        </is>
      </c>
      <c r="D92" s="0" t="inlineStr">
        <is>
          <t>Win</t>
        </is>
      </c>
      <c r="E92" s="0" t="n">
        <v>26</v>
      </c>
      <c r="F92" s="0" t="n">
        <v>34.33135707998436</v>
      </c>
      <c r="G92" s="0" t="n">
        <v>34.67761106786408</v>
      </c>
      <c r="H92" s="0" t="n">
        <v>6.388959278794354</v>
      </c>
      <c r="I92" s="0" t="n">
        <v>1680</v>
      </c>
      <c r="J92" s="0" t="n">
        <v>1706</v>
      </c>
      <c r="K92" s="0" t="n">
        <v>6.414883029768687</v>
      </c>
    </row>
    <row r="93">
      <c r="A93" s="0" t="n">
        <v>156</v>
      </c>
      <c r="B93" s="0" t="inlineStr">
        <is>
          <t>Laur</t>
        </is>
      </c>
      <c r="C93" s="0" t="inlineStr">
        <is>
          <t>Town</t>
        </is>
      </c>
      <c r="D93" s="0" t="inlineStr">
        <is>
          <t>Win</t>
        </is>
      </c>
      <c r="E93" s="0" t="n">
        <v>22</v>
      </c>
      <c r="F93" s="0" t="n">
        <v>30.99582797197158</v>
      </c>
      <c r="G93" s="0" t="n">
        <v>31.29344780710835</v>
      </c>
      <c r="H93" s="0" t="n">
        <v>5.926782656879304</v>
      </c>
      <c r="I93" s="0" t="n">
        <v>1501</v>
      </c>
      <c r="J93" s="0" t="n">
        <v>1523</v>
      </c>
      <c r="K93" s="0" t="n">
        <v>5.947215320777292</v>
      </c>
    </row>
    <row r="94">
      <c r="A94" s="0" t="n">
        <v>156</v>
      </c>
      <c r="B94" s="0" t="inlineStr">
        <is>
          <t>Siggy</t>
        </is>
      </c>
      <c r="C94" s="0" t="inlineStr">
        <is>
          <t>Town</t>
        </is>
      </c>
      <c r="D94" s="0" t="inlineStr">
        <is>
          <t>Win</t>
        </is>
      </c>
      <c r="E94" s="0" t="n">
        <v>35</v>
      </c>
      <c r="F94" s="0" t="n">
        <v>29.21621489449366</v>
      </c>
      <c r="G94" s="0" t="n">
        <v>29.67555289492791</v>
      </c>
      <c r="H94" s="0" t="n">
        <v>7.348590427991584</v>
      </c>
      <c r="I94" s="0" t="n">
        <v>1233</v>
      </c>
      <c r="J94" s="0" t="n">
        <v>1268</v>
      </c>
      <c r="K94" s="0" t="n">
        <v>7.388742444410417</v>
      </c>
    </row>
    <row r="95">
      <c r="A95" s="0" t="n">
        <v>155</v>
      </c>
      <c r="B95" s="0" t="inlineStr">
        <is>
          <t>Decode</t>
        </is>
      </c>
      <c r="C95" s="0" t="inlineStr">
        <is>
          <t>Mafia</t>
        </is>
      </c>
      <c r="D95" s="0" t="inlineStr">
        <is>
          <t>Win</t>
        </is>
      </c>
      <c r="E95" s="0" t="n">
        <v>109</v>
      </c>
      <c r="F95" s="0" t="n">
        <v>18.94296501999779</v>
      </c>
      <c r="G95" s="0" t="n">
        <v>20.42688281302067</v>
      </c>
      <c r="H95" s="0" t="n">
        <v>7.13460286311143</v>
      </c>
      <c r="I95" s="0" t="n">
        <v>552</v>
      </c>
      <c r="J95" s="0" t="n">
        <v>661</v>
      </c>
      <c r="K95" s="0" t="n">
        <v>7.217667930631062</v>
      </c>
    </row>
    <row r="96">
      <c r="A96" s="0" t="n">
        <v>155</v>
      </c>
      <c r="B96" s="0" t="inlineStr">
        <is>
          <t>Lou</t>
        </is>
      </c>
      <c r="C96" s="0" t="inlineStr">
        <is>
          <t>Mafia</t>
        </is>
      </c>
      <c r="D96" s="0" t="inlineStr">
        <is>
          <t>Win</t>
        </is>
      </c>
      <c r="E96" s="0" t="n">
        <v>70</v>
      </c>
      <c r="F96" s="0" t="n">
        <v>26.79265200772687</v>
      </c>
      <c r="G96" s="0" t="n">
        <v>27.75210930345189</v>
      </c>
      <c r="H96" s="0" t="n">
        <v>5.760798850345649</v>
      </c>
      <c r="I96" s="0" t="n">
        <v>1230</v>
      </c>
      <c r="J96" s="0" t="n">
        <v>1300</v>
      </c>
      <c r="K96" s="0" t="n">
        <v>5.803393443596632</v>
      </c>
    </row>
    <row r="97">
      <c r="A97" s="0" t="n">
        <v>155</v>
      </c>
      <c r="B97" s="0" t="inlineStr">
        <is>
          <t>Svaan</t>
        </is>
      </c>
      <c r="C97" s="0" t="inlineStr">
        <is>
          <t>Mafia</t>
        </is>
      </c>
      <c r="D97" s="0" t="inlineStr">
        <is>
          <t>Win</t>
        </is>
      </c>
      <c r="E97" s="0" t="n">
        <v>107</v>
      </c>
      <c r="F97" s="0" t="n">
        <v>28.79749484223041</v>
      </c>
      <c r="G97" s="0" t="n">
        <v>30.25341777459442</v>
      </c>
      <c r="H97" s="0" t="n">
        <v>7.068557646870809</v>
      </c>
      <c r="I97" s="0" t="n">
        <v>1229</v>
      </c>
      <c r="J97" s="0" t="n">
        <v>1336</v>
      </c>
      <c r="K97" s="0" t="n">
        <v>7.149248088542238</v>
      </c>
    </row>
    <row r="98">
      <c r="A98" s="0" t="n">
        <v>155</v>
      </c>
      <c r="B98" s="0" t="inlineStr">
        <is>
          <t>Strik3r</t>
        </is>
      </c>
      <c r="C98" s="0" t="inlineStr">
        <is>
          <t>Town</t>
        </is>
      </c>
      <c r="D98" s="0" t="inlineStr">
        <is>
          <t>Loss</t>
        </is>
      </c>
      <c r="E98" s="0" t="n">
        <v>-69</v>
      </c>
      <c r="F98" s="0" t="n">
        <v>29.55204236752871</v>
      </c>
      <c r="G98" s="0" t="n">
        <v>28.4692178933065</v>
      </c>
      <c r="H98" s="0" t="n">
        <v>6.114003462171939</v>
      </c>
      <c r="I98" s="0" t="n">
        <v>1381</v>
      </c>
      <c r="J98" s="0" t="n">
        <v>1312</v>
      </c>
      <c r="K98" s="0" t="n">
        <v>6.165319209532899</v>
      </c>
    </row>
    <row r="99">
      <c r="A99" s="0" t="n">
        <v>155</v>
      </c>
      <c r="B99" s="0" t="inlineStr">
        <is>
          <t>Hunterxp</t>
        </is>
      </c>
      <c r="C99" s="0" t="inlineStr">
        <is>
          <t>Town</t>
        </is>
      </c>
      <c r="D99" s="0" t="inlineStr">
        <is>
          <t>Loss</t>
        </is>
      </c>
      <c r="E99" s="0" t="n">
        <v>-103</v>
      </c>
      <c r="F99" s="0" t="n">
        <v>22.98453159143071</v>
      </c>
      <c r="G99" s="0" t="n">
        <v>21.32221845047643</v>
      </c>
      <c r="H99" s="0" t="n">
        <v>7.540565096280075</v>
      </c>
      <c r="I99" s="0" t="n">
        <v>784</v>
      </c>
      <c r="J99" s="0" t="n">
        <v>681</v>
      </c>
      <c r="K99" s="0" t="n">
        <v>7.639287740304605</v>
      </c>
    </row>
    <row r="100">
      <c r="A100" s="0" t="n">
        <v>155</v>
      </c>
      <c r="B100" s="0" t="inlineStr">
        <is>
          <t>Rocker</t>
        </is>
      </c>
      <c r="C100" s="0" t="inlineStr">
        <is>
          <t>Town</t>
        </is>
      </c>
      <c r="D100" s="0" t="inlineStr">
        <is>
          <t>Loss</t>
        </is>
      </c>
      <c r="E100" s="0" t="n">
        <v>-54</v>
      </c>
      <c r="F100" s="0" t="n">
        <v>35.96353869266628</v>
      </c>
      <c r="G100" s="0" t="n">
        <v>35.11236120288513</v>
      </c>
      <c r="H100" s="0" t="n">
        <v>5.430636697563599</v>
      </c>
      <c r="I100" s="0" t="n">
        <v>1888</v>
      </c>
      <c r="J100" s="0" t="n">
        <v>1834</v>
      </c>
      <c r="K100" s="0" t="n">
        <v>5.46601793957287</v>
      </c>
    </row>
    <row r="101">
      <c r="A101" s="0" t="n">
        <v>155</v>
      </c>
      <c r="B101" s="0" t="inlineStr">
        <is>
          <t>Brownkow</t>
        </is>
      </c>
      <c r="C101" s="0" t="inlineStr">
        <is>
          <t>Town</t>
        </is>
      </c>
      <c r="D101" s="0" t="inlineStr">
        <is>
          <t>Loss</t>
        </is>
      </c>
      <c r="E101" s="0" t="n">
        <v>-54</v>
      </c>
      <c r="F101" s="0" t="n">
        <v>30.77820991996938</v>
      </c>
      <c r="G101" s="0" t="n">
        <v>29.92616133832729</v>
      </c>
      <c r="H101" s="0" t="n">
        <v>5.433377545188007</v>
      </c>
      <c r="I101" s="0" t="n">
        <v>1535</v>
      </c>
      <c r="J101" s="0" t="n">
        <v>1481</v>
      </c>
      <c r="K101" s="0" t="n">
        <v>5.468815111169429</v>
      </c>
    </row>
    <row r="102">
      <c r="A102" s="0" t="n">
        <v>155</v>
      </c>
      <c r="B102" s="0" t="inlineStr">
        <is>
          <t>Kwix</t>
        </is>
      </c>
      <c r="C102" s="0" t="inlineStr">
        <is>
          <t>Town</t>
        </is>
      </c>
      <c r="D102" s="0" t="inlineStr">
        <is>
          <t>Loss</t>
        </is>
      </c>
      <c r="E102" s="0" t="n">
        <v>-69</v>
      </c>
      <c r="F102" s="0" t="n">
        <v>21.60083239123251</v>
      </c>
      <c r="G102" s="0" t="n">
        <v>20.5167565149294</v>
      </c>
      <c r="H102" s="0" t="n">
        <v>6.117474833661181</v>
      </c>
      <c r="I102" s="0" t="n">
        <v>840</v>
      </c>
      <c r="J102" s="0" t="n">
        <v>771</v>
      </c>
      <c r="K102" s="0" t="n">
        <v>6.168881695523196</v>
      </c>
    </row>
    <row r="103">
      <c r="A103" s="0" t="n">
        <v>155</v>
      </c>
      <c r="B103" s="0" t="inlineStr">
        <is>
          <t>Laur</t>
        </is>
      </c>
      <c r="C103" s="0" t="inlineStr">
        <is>
          <t>Town</t>
        </is>
      </c>
      <c r="D103" s="0" t="inlineStr">
        <is>
          <t>Loss</t>
        </is>
      </c>
      <c r="E103" s="0" t="n">
        <v>-65</v>
      </c>
      <c r="F103" s="0" t="n">
        <v>32.01942121589288</v>
      </c>
      <c r="G103" s="0" t="n">
        <v>30.99582797197158</v>
      </c>
      <c r="H103" s="0" t="n">
        <v>5.947215320777292</v>
      </c>
      <c r="I103" s="0" t="n">
        <v>1566</v>
      </c>
      <c r="J103" s="0" t="n">
        <v>1501</v>
      </c>
      <c r="K103" s="0" t="n">
        <v>5.994278752603178</v>
      </c>
    </row>
    <row r="104">
      <c r="A104" s="0" t="n">
        <v>155</v>
      </c>
      <c r="B104" s="0" t="inlineStr">
        <is>
          <t>Iln</t>
        </is>
      </c>
      <c r="C104" s="0" t="inlineStr">
        <is>
          <t>Town</t>
        </is>
      </c>
      <c r="D104" s="0" t="inlineStr">
        <is>
          <t>Loss</t>
        </is>
      </c>
      <c r="E104" s="0" t="n">
        <v>-57</v>
      </c>
      <c r="F104" s="0" t="n">
        <v>29.69517749145186</v>
      </c>
      <c r="G104" s="0" t="n">
        <v>28.800755523974</v>
      </c>
      <c r="H104" s="0" t="n">
        <v>5.564983758220991</v>
      </c>
      <c r="I104" s="0" t="n">
        <v>1448</v>
      </c>
      <c r="J104" s="0" t="n">
        <v>1391</v>
      </c>
      <c r="K104" s="0" t="n">
        <v>5.603194916496066</v>
      </c>
    </row>
    <row r="105">
      <c r="A105" s="0" t="n">
        <v>155</v>
      </c>
      <c r="B105" s="0" t="inlineStr">
        <is>
          <t>Ken</t>
        </is>
      </c>
      <c r="C105" s="0" t="inlineStr">
        <is>
          <t>Town</t>
        </is>
      </c>
      <c r="D105" s="0" t="inlineStr">
        <is>
          <t>Loss</t>
        </is>
      </c>
      <c r="E105" s="0" t="n">
        <v>-88</v>
      </c>
      <c r="F105" s="0" t="n">
        <v>24.10371361673544</v>
      </c>
      <c r="G105" s="0" t="n">
        <v>22.69945555184944</v>
      </c>
      <c r="H105" s="0" t="n">
        <v>6.944859664275534</v>
      </c>
      <c r="I105" s="0" t="n">
        <v>923</v>
      </c>
      <c r="J105" s="0" t="n">
        <v>835</v>
      </c>
      <c r="K105" s="0" t="n">
        <v>7.021227980547525</v>
      </c>
    </row>
    <row r="106">
      <c r="A106" s="0" t="n">
        <v>155</v>
      </c>
      <c r="B106" s="0" t="inlineStr">
        <is>
          <t>Badpants</t>
        </is>
      </c>
      <c r="C106" s="0" t="inlineStr">
        <is>
          <t>Town</t>
        </is>
      </c>
      <c r="D106" s="0" t="inlineStr">
        <is>
          <t>Loss</t>
        </is>
      </c>
      <c r="E106" s="0" t="n">
        <v>-61</v>
      </c>
      <c r="F106" s="0" t="n">
        <v>25.02422132385845</v>
      </c>
      <c r="G106" s="0" t="n">
        <v>24.06301748224596</v>
      </c>
      <c r="H106" s="0" t="n">
        <v>5.765960318482382</v>
      </c>
      <c r="I106" s="0" t="n">
        <v>1109</v>
      </c>
      <c r="J106" s="0" t="n">
        <v>1048</v>
      </c>
      <c r="K106" s="0" t="n">
        <v>5.808674705862328</v>
      </c>
    </row>
    <row r="107">
      <c r="A107" s="0" t="n">
        <v>154</v>
      </c>
      <c r="B107" s="0" t="inlineStr">
        <is>
          <t>Strik3r</t>
        </is>
      </c>
      <c r="C107" s="0" t="inlineStr">
        <is>
          <t>Mafia</t>
        </is>
      </c>
      <c r="D107" s="0" t="inlineStr">
        <is>
          <t>Win</t>
        </is>
      </c>
      <c r="E107" s="0" t="n">
        <v>56</v>
      </c>
      <c r="F107" s="0" t="n">
        <v>28.79613417753962</v>
      </c>
      <c r="G107" s="0" t="n">
        <v>29.55204236752871</v>
      </c>
      <c r="H107" s="0" t="n">
        <v>6.165319209532899</v>
      </c>
      <c r="I107" s="0" t="n">
        <v>1325</v>
      </c>
      <c r="J107" s="0" t="n">
        <v>1381</v>
      </c>
      <c r="K107" s="0" t="n">
        <v>6.20302960547791</v>
      </c>
    </row>
    <row r="108">
      <c r="A108" s="0" t="n">
        <v>154</v>
      </c>
      <c r="B108" s="0" t="inlineStr">
        <is>
          <t>Hunterxp</t>
        </is>
      </c>
      <c r="C108" s="0" t="inlineStr">
        <is>
          <t>Mafia</t>
        </is>
      </c>
      <c r="D108" s="0" t="inlineStr">
        <is>
          <t>Win</t>
        </is>
      </c>
      <c r="E108" s="0" t="n">
        <v>87</v>
      </c>
      <c r="F108" s="0" t="n">
        <v>21.81598713810439</v>
      </c>
      <c r="G108" s="0" t="n">
        <v>22.98453159143071</v>
      </c>
      <c r="H108" s="0" t="n">
        <v>7.639287740304605</v>
      </c>
      <c r="I108" s="0" t="n">
        <v>697</v>
      </c>
      <c r="J108" s="0" t="n">
        <v>784</v>
      </c>
      <c r="K108" s="0" t="n">
        <v>7.712796539955818</v>
      </c>
    </row>
    <row r="109">
      <c r="A109" s="0" t="n">
        <v>154</v>
      </c>
      <c r="B109" s="0" t="inlineStr">
        <is>
          <t>Motr</t>
        </is>
      </c>
      <c r="C109" s="0" t="inlineStr">
        <is>
          <t>Mafia</t>
        </is>
      </c>
      <c r="D109" s="0" t="inlineStr">
        <is>
          <t>Win</t>
        </is>
      </c>
      <c r="E109" s="0" t="n">
        <v>63</v>
      </c>
      <c r="F109" s="0" t="n">
        <v>25.00298578469236</v>
      </c>
      <c r="G109" s="0" t="n">
        <v>25.86992412536138</v>
      </c>
      <c r="H109" s="0" t="n">
        <v>6.59652202855105</v>
      </c>
      <c r="I109" s="0" t="n">
        <v>1023</v>
      </c>
      <c r="J109" s="0" t="n">
        <v>1086</v>
      </c>
      <c r="K109" s="0" t="n">
        <v>6.643098029924944</v>
      </c>
    </row>
    <row r="110">
      <c r="A110" s="0" t="n">
        <v>154</v>
      </c>
      <c r="B110" s="0" t="inlineStr">
        <is>
          <t>Brownkow</t>
        </is>
      </c>
      <c r="C110" s="0" t="inlineStr">
        <is>
          <t>Town</t>
        </is>
      </c>
      <c r="D110" s="0" t="inlineStr">
        <is>
          <t>Loss</t>
        </is>
      </c>
      <c r="E110" s="0" t="n">
        <v>-38</v>
      </c>
      <c r="F110" s="0" t="n">
        <v>31.37137292530528</v>
      </c>
      <c r="G110" s="0" t="n">
        <v>30.77820991996938</v>
      </c>
      <c r="H110" s="0" t="n">
        <v>5.468815111169429</v>
      </c>
      <c r="I110" s="0" t="n">
        <v>1573</v>
      </c>
      <c r="J110" s="0" t="n">
        <v>1535</v>
      </c>
      <c r="K110" s="0" t="n">
        <v>5.494660611657805</v>
      </c>
    </row>
    <row r="111">
      <c r="A111" s="0" t="n">
        <v>154</v>
      </c>
      <c r="B111" s="0" t="inlineStr">
        <is>
          <t>Chipper</t>
        </is>
      </c>
      <c r="C111" s="0" t="inlineStr">
        <is>
          <t>Town</t>
        </is>
      </c>
      <c r="D111" s="0" t="inlineStr">
        <is>
          <t>Loss</t>
        </is>
      </c>
      <c r="E111" s="0" t="n">
        <v>-50</v>
      </c>
      <c r="F111" s="0" t="n">
        <v>26.79308416805612</v>
      </c>
      <c r="G111" s="0" t="n">
        <v>26.00666310405015</v>
      </c>
      <c r="H111" s="0" t="n">
        <v>6.286931403030123</v>
      </c>
      <c r="I111" s="0" t="n">
        <v>1177</v>
      </c>
      <c r="J111" s="0" t="n">
        <v>1127</v>
      </c>
      <c r="K111" s="0" t="n">
        <v>6.327018246030451</v>
      </c>
    </row>
    <row r="112">
      <c r="A112" s="0" t="n">
        <v>154</v>
      </c>
      <c r="B112" s="0" t="inlineStr">
        <is>
          <t>Kwix</t>
        </is>
      </c>
      <c r="C112" s="0" t="inlineStr">
        <is>
          <t>Town</t>
        </is>
      </c>
      <c r="D112" s="0" t="inlineStr">
        <is>
          <t>Loss</t>
        </is>
      </c>
      <c r="E112" s="0" t="n">
        <v>-47</v>
      </c>
      <c r="F112" s="0" t="n">
        <v>22.35762550570362</v>
      </c>
      <c r="G112" s="0" t="n">
        <v>21.60083239123251</v>
      </c>
      <c r="H112" s="0" t="n">
        <v>6.168881695523196</v>
      </c>
      <c r="I112" s="0" t="n">
        <v>887</v>
      </c>
      <c r="J112" s="0" t="n">
        <v>840</v>
      </c>
      <c r="K112" s="0" t="n">
        <v>6.206660359195689</v>
      </c>
    </row>
    <row r="113">
      <c r="A113" s="0" t="n">
        <v>154</v>
      </c>
      <c r="B113" s="0" t="inlineStr">
        <is>
          <t>Svaan</t>
        </is>
      </c>
      <c r="C113" s="0" t="inlineStr">
        <is>
          <t>Town</t>
        </is>
      </c>
      <c r="D113" s="0" t="inlineStr">
        <is>
          <t>Loss</t>
        </is>
      </c>
      <c r="E113" s="0" t="n">
        <v>-63</v>
      </c>
      <c r="F113" s="0" t="n">
        <v>29.81841360516715</v>
      </c>
      <c r="G113" s="0" t="n">
        <v>28.79749484223041</v>
      </c>
      <c r="H113" s="0" t="n">
        <v>7.149248088542238</v>
      </c>
      <c r="I113" s="0" t="n">
        <v>1292</v>
      </c>
      <c r="J113" s="0" t="n">
        <v>1229</v>
      </c>
      <c r="K113" s="0" t="n">
        <v>7.209075438973839</v>
      </c>
    </row>
    <row r="114">
      <c r="A114" s="0" t="n">
        <v>154</v>
      </c>
      <c r="B114" s="0" t="inlineStr">
        <is>
          <t>Gilbert</t>
        </is>
      </c>
      <c r="C114" s="0" t="inlineStr">
        <is>
          <t>Town</t>
        </is>
      </c>
      <c r="D114" s="0" t="inlineStr">
        <is>
          <t>Loss</t>
        </is>
      </c>
      <c r="E114" s="0" t="n">
        <v>-51</v>
      </c>
      <c r="F114" s="0" t="n">
        <v>26.36236674714393</v>
      </c>
      <c r="G114" s="0" t="n">
        <v>25.55460607902556</v>
      </c>
      <c r="H114" s="0" t="n">
        <v>6.370530790009309</v>
      </c>
      <c r="I114" s="0" t="n">
        <v>1139</v>
      </c>
      <c r="J114" s="0" t="n">
        <v>1088</v>
      </c>
      <c r="K114" s="0" t="n">
        <v>6.412306936578188</v>
      </c>
    </row>
    <row r="115">
      <c r="A115" s="0" t="n">
        <v>154</v>
      </c>
      <c r="B115" s="0" t="inlineStr">
        <is>
          <t>Laur</t>
        </is>
      </c>
      <c r="C115" s="0" t="inlineStr">
        <is>
          <t>Town</t>
        </is>
      </c>
      <c r="D115" s="0" t="inlineStr">
        <is>
          <t>Loss</t>
        </is>
      </c>
      <c r="E115" s="0" t="n">
        <v>-45</v>
      </c>
      <c r="F115" s="0" t="n">
        <v>32.73347429248688</v>
      </c>
      <c r="G115" s="0" t="n">
        <v>32.01942121589288</v>
      </c>
      <c r="H115" s="0" t="n">
        <v>5.994278752603178</v>
      </c>
      <c r="I115" s="0" t="n">
        <v>1611</v>
      </c>
      <c r="J115" s="0" t="n">
        <v>1566</v>
      </c>
      <c r="K115" s="0" t="n">
        <v>6.028805429352125</v>
      </c>
    </row>
    <row r="116">
      <c r="A116" s="0" t="n">
        <v>154</v>
      </c>
      <c r="B116" s="0" t="inlineStr">
        <is>
          <t>Lou</t>
        </is>
      </c>
      <c r="C116" s="0" t="inlineStr">
        <is>
          <t>Town</t>
        </is>
      </c>
      <c r="D116" s="0" t="inlineStr">
        <is>
          <t>Loss</t>
        </is>
      </c>
      <c r="E116" s="0" t="n">
        <v>-42</v>
      </c>
      <c r="F116" s="0" t="n">
        <v>27.46145025174573</v>
      </c>
      <c r="G116" s="0" t="n">
        <v>26.79265200772687</v>
      </c>
      <c r="H116" s="0" t="n">
        <v>5.803393443596632</v>
      </c>
      <c r="I116" s="0" t="n">
        <v>1272</v>
      </c>
      <c r="J116" s="0" t="n">
        <v>1230</v>
      </c>
      <c r="K116" s="0" t="n">
        <v>5.834579207121709</v>
      </c>
    </row>
    <row r="117">
      <c r="A117" s="0" t="n">
        <v>154</v>
      </c>
      <c r="B117" s="0" t="inlineStr">
        <is>
          <t>Doublea</t>
        </is>
      </c>
      <c r="C117" s="0" t="inlineStr">
        <is>
          <t>Town</t>
        </is>
      </c>
      <c r="D117" s="0" t="inlineStr">
        <is>
          <t>Loss</t>
        </is>
      </c>
      <c r="E117" s="0" t="n">
        <v>-60</v>
      </c>
      <c r="F117" s="0" t="n">
        <v>22.23433877022387</v>
      </c>
      <c r="G117" s="0" t="n">
        <v>21.27095128082781</v>
      </c>
      <c r="H117" s="0" t="n">
        <v>6.948214717930999</v>
      </c>
      <c r="I117" s="0" t="n">
        <v>798</v>
      </c>
      <c r="J117" s="0" t="n">
        <v>738</v>
      </c>
      <c r="K117" s="0" t="n">
        <v>7.002965444483772</v>
      </c>
    </row>
    <row r="118">
      <c r="A118" s="0" t="n">
        <v>154</v>
      </c>
      <c r="B118" s="0" t="inlineStr">
        <is>
          <t>Decode</t>
        </is>
      </c>
      <c r="C118" s="0" t="inlineStr">
        <is>
          <t>Town</t>
        </is>
      </c>
      <c r="D118" s="0" t="inlineStr">
        <is>
          <t>Loss</t>
        </is>
      </c>
      <c r="E118" s="0" t="n">
        <v>-64</v>
      </c>
      <c r="F118" s="0" t="n">
        <v>19.98386448001253</v>
      </c>
      <c r="G118" s="0" t="n">
        <v>18.94296501999779</v>
      </c>
      <c r="H118" s="0" t="n">
        <v>7.217667930631062</v>
      </c>
      <c r="I118" s="0" t="n">
        <v>616</v>
      </c>
      <c r="J118" s="0" t="n">
        <v>552</v>
      </c>
      <c r="K118" s="0" t="n">
        <v>7.279292505332233</v>
      </c>
    </row>
    <row r="119">
      <c r="A119" s="0" t="n">
        <v>154</v>
      </c>
      <c r="B119" s="0" t="inlineStr">
        <is>
          <t>Iln</t>
        </is>
      </c>
      <c r="C119" s="0" t="inlineStr">
        <is>
          <t>Town</t>
        </is>
      </c>
      <c r="D119" s="0" t="inlineStr">
        <is>
          <t>Loss</t>
        </is>
      </c>
      <c r="E119" s="0" t="n">
        <v>-39</v>
      </c>
      <c r="F119" s="0" t="n">
        <v>30.31815621144767</v>
      </c>
      <c r="G119" s="0" t="n">
        <v>29.69517749145186</v>
      </c>
      <c r="H119" s="0" t="n">
        <v>5.603194916496066</v>
      </c>
      <c r="I119" s="0" t="n">
        <v>1487</v>
      </c>
      <c r="J119" s="0" t="n">
        <v>1448</v>
      </c>
      <c r="K119" s="0" t="n">
        <v>5.631108460748781</v>
      </c>
    </row>
    <row r="120">
      <c r="A120" s="0" t="n">
        <v>154</v>
      </c>
      <c r="B120" s="0" t="inlineStr">
        <is>
          <t>Machop</t>
        </is>
      </c>
      <c r="C120" s="0" t="inlineStr">
        <is>
          <t>Town</t>
        </is>
      </c>
      <c r="D120" s="0" t="inlineStr">
        <is>
          <t>Loss</t>
        </is>
      </c>
      <c r="E120" s="0" t="n">
        <v>-51</v>
      </c>
      <c r="F120" s="0" t="n">
        <v>24.31002366631476</v>
      </c>
      <c r="G120" s="0" t="n">
        <v>23.5016257868609</v>
      </c>
      <c r="H120" s="0" t="n">
        <v>6.373009331889079</v>
      </c>
      <c r="I120" s="0" t="n">
        <v>999</v>
      </c>
      <c r="J120" s="0" t="n">
        <v>948</v>
      </c>
      <c r="K120" s="0" t="n">
        <v>6.414836264053879</v>
      </c>
    </row>
    <row r="121">
      <c r="A121" s="0" t="n">
        <v>153</v>
      </c>
      <c r="B121" s="0" t="inlineStr">
        <is>
          <t>Rollo</t>
        </is>
      </c>
      <c r="C121" s="0" t="inlineStr">
        <is>
          <t>Mafia</t>
        </is>
      </c>
      <c r="D121" s="0" t="inlineStr">
        <is>
          <t>Win</t>
        </is>
      </c>
      <c r="E121" s="0" t="n">
        <v>23</v>
      </c>
      <c r="F121" s="0" t="n">
        <v>34.02896163407899</v>
      </c>
      <c r="G121" s="0" t="n">
        <v>34.33135707998436</v>
      </c>
      <c r="H121" s="0" t="n">
        <v>6.414883029768687</v>
      </c>
      <c r="I121" s="0" t="n">
        <v>1657</v>
      </c>
      <c r="J121" s="0" t="n">
        <v>1680</v>
      </c>
      <c r="K121" s="0" t="n">
        <v>6.442425670606435</v>
      </c>
    </row>
    <row r="122">
      <c r="A122" s="0" t="n">
        <v>153</v>
      </c>
      <c r="B122" s="0" t="inlineStr">
        <is>
          <t>Noah</t>
        </is>
      </c>
      <c r="C122" s="0" t="inlineStr">
        <is>
          <t>Mafia</t>
        </is>
      </c>
      <c r="D122" s="0" t="inlineStr">
        <is>
          <t>Win</t>
        </is>
      </c>
      <c r="E122" s="0" t="n">
        <v>19</v>
      </c>
      <c r="F122" s="0" t="n">
        <v>32.08802486458888</v>
      </c>
      <c r="G122" s="0" t="n">
        <v>32.33664083622724</v>
      </c>
      <c r="H122" s="0" t="n">
        <v>5.821127081490689</v>
      </c>
      <c r="I122" s="0" t="n">
        <v>1586</v>
      </c>
      <c r="J122" s="0" t="n">
        <v>1605</v>
      </c>
      <c r="K122" s="0" t="n">
        <v>5.841373665547346</v>
      </c>
    </row>
    <row r="123">
      <c r="A123" s="0" t="n">
        <v>153</v>
      </c>
      <c r="B123" s="0" t="inlineStr">
        <is>
          <t>Levi</t>
        </is>
      </c>
      <c r="C123" s="0" t="inlineStr">
        <is>
          <t>Mafia</t>
        </is>
      </c>
      <c r="D123" s="0" t="inlineStr">
        <is>
          <t>Win</t>
        </is>
      </c>
      <c r="E123" s="0" t="n">
        <v>38</v>
      </c>
      <c r="F123" s="0" t="n">
        <v>27.14613265934375</v>
      </c>
      <c r="G123" s="0" t="n">
        <v>27.61569321405161</v>
      </c>
      <c r="H123" s="0" t="n">
        <v>7.974108469857423</v>
      </c>
      <c r="I123" s="0" t="n">
        <v>1027</v>
      </c>
      <c r="J123" s="0" t="n">
        <v>1065</v>
      </c>
      <c r="K123" s="0" t="n">
        <v>8.028348597784191</v>
      </c>
    </row>
    <row r="124">
      <c r="A124" s="0" t="n">
        <v>153</v>
      </c>
      <c r="B124" s="0" t="inlineStr">
        <is>
          <t>Plen</t>
        </is>
      </c>
      <c r="C124" s="0" t="inlineStr">
        <is>
          <t>Town</t>
        </is>
      </c>
      <c r="D124" s="0" t="inlineStr">
        <is>
          <t>Loss</t>
        </is>
      </c>
      <c r="E124" s="0" t="n">
        <v>-14</v>
      </c>
      <c r="F124" s="0" t="n">
        <v>21.77184459097932</v>
      </c>
      <c r="G124" s="0" t="n">
        <v>21.53977228800405</v>
      </c>
      <c r="H124" s="0" t="n">
        <v>5.625474401701276</v>
      </c>
      <c r="I124" s="0" t="n">
        <v>905</v>
      </c>
      <c r="J124" s="0" t="n">
        <v>891</v>
      </c>
      <c r="K124" s="0" t="n">
        <v>5.64361780736677</v>
      </c>
    </row>
    <row r="125">
      <c r="A125" s="0" t="n">
        <v>153</v>
      </c>
      <c r="B125" s="0" t="inlineStr">
        <is>
          <t>Kwix</t>
        </is>
      </c>
      <c r="C125" s="0" t="inlineStr">
        <is>
          <t>Town</t>
        </is>
      </c>
      <c r="D125" s="0" t="inlineStr">
        <is>
          <t>Loss</t>
        </is>
      </c>
      <c r="E125" s="0" t="n">
        <v>-17</v>
      </c>
      <c r="F125" s="0" t="n">
        <v>22.64054724568934</v>
      </c>
      <c r="G125" s="0" t="n">
        <v>22.35762550570362</v>
      </c>
      <c r="H125" s="0" t="n">
        <v>6.206660359195689</v>
      </c>
      <c r="I125" s="0" t="n">
        <v>904</v>
      </c>
      <c r="J125" s="0" t="n">
        <v>887</v>
      </c>
      <c r="K125" s="0" t="n">
        <v>6.231482108326558</v>
      </c>
    </row>
    <row r="126">
      <c r="A126" s="0" t="n">
        <v>153</v>
      </c>
      <c r="B126" s="0" t="inlineStr">
        <is>
          <t>Strik3r</t>
        </is>
      </c>
      <c r="C126" s="0" t="inlineStr">
        <is>
          <t>Town</t>
        </is>
      </c>
      <c r="D126" s="0" t="inlineStr">
        <is>
          <t>Loss</t>
        </is>
      </c>
      <c r="E126" s="0" t="n">
        <v>-17</v>
      </c>
      <c r="F126" s="0" t="n">
        <v>29.0787222514054</v>
      </c>
      <c r="G126" s="0" t="n">
        <v>28.79613417753962</v>
      </c>
      <c r="H126" s="0" t="n">
        <v>6.20302960547791</v>
      </c>
      <c r="I126" s="0" t="n">
        <v>1342</v>
      </c>
      <c r="J126" s="0" t="n">
        <v>1325</v>
      </c>
      <c r="K126" s="0" t="n">
        <v>6.227805502160799</v>
      </c>
    </row>
    <row r="127">
      <c r="A127" s="0" t="n">
        <v>153</v>
      </c>
      <c r="B127" s="0" t="inlineStr">
        <is>
          <t>Rocker</t>
        </is>
      </c>
      <c r="C127" s="0" t="inlineStr">
        <is>
          <t>Town</t>
        </is>
      </c>
      <c r="D127" s="0" t="inlineStr">
        <is>
          <t>Loss</t>
        </is>
      </c>
      <c r="E127" s="0" t="n">
        <v>-13</v>
      </c>
      <c r="F127" s="0" t="n">
        <v>36.18255759593988</v>
      </c>
      <c r="G127" s="0" t="n">
        <v>35.96353869266628</v>
      </c>
      <c r="H127" s="0" t="n">
        <v>5.46601793957287</v>
      </c>
      <c r="I127" s="0" t="n">
        <v>1901</v>
      </c>
      <c r="J127" s="0" t="n">
        <v>1888</v>
      </c>
      <c r="K127" s="0" t="n">
        <v>5.482550942542221</v>
      </c>
    </row>
    <row r="128">
      <c r="A128" s="0" t="n">
        <v>153</v>
      </c>
      <c r="B128" s="0" t="inlineStr">
        <is>
          <t>Mintt</t>
        </is>
      </c>
      <c r="C128" s="0" t="inlineStr">
        <is>
          <t>Town</t>
        </is>
      </c>
      <c r="D128" s="0" t="inlineStr">
        <is>
          <t>Loss</t>
        </is>
      </c>
      <c r="E128" s="0" t="n">
        <v>-18</v>
      </c>
      <c r="F128" s="0" t="n">
        <v>31.22301293533814</v>
      </c>
      <c r="G128" s="0" t="n">
        <v>30.92131814412731</v>
      </c>
      <c r="H128" s="0" t="n">
        <v>6.407512713897347</v>
      </c>
      <c r="I128" s="0" t="n">
        <v>1467</v>
      </c>
      <c r="J128" s="0" t="n">
        <v>1449</v>
      </c>
      <c r="K128" s="0" t="n">
        <v>6.434955944436312</v>
      </c>
    </row>
    <row r="129">
      <c r="A129" s="0" t="n">
        <v>153</v>
      </c>
      <c r="B129" s="0" t="inlineStr">
        <is>
          <t>Iln</t>
        </is>
      </c>
      <c r="C129" s="0" t="inlineStr">
        <is>
          <t>Town</t>
        </is>
      </c>
      <c r="D129" s="0" t="inlineStr">
        <is>
          <t>Loss</t>
        </is>
      </c>
      <c r="E129" s="0" t="n">
        <v>-14</v>
      </c>
      <c r="F129" s="0" t="n">
        <v>30.55069677987331</v>
      </c>
      <c r="G129" s="0" t="n">
        <v>30.31815621144767</v>
      </c>
      <c r="H129" s="0" t="n">
        <v>5.631108460748781</v>
      </c>
      <c r="I129" s="0" t="n">
        <v>1501</v>
      </c>
      <c r="J129" s="0" t="n">
        <v>1487</v>
      </c>
      <c r="K129" s="0" t="n">
        <v>5.649310447863256</v>
      </c>
    </row>
    <row r="130">
      <c r="A130" s="0" t="n">
        <v>153</v>
      </c>
      <c r="B130" s="0" t="inlineStr">
        <is>
          <t>Siggy</t>
        </is>
      </c>
      <c r="C130" s="0" t="inlineStr">
        <is>
          <t>Town</t>
        </is>
      </c>
      <c r="D130" s="0" t="inlineStr">
        <is>
          <t>Loss</t>
        </is>
      </c>
      <c r="E130" s="0" t="n">
        <v>-23</v>
      </c>
      <c r="F130" s="0" t="n">
        <v>29.61857137181353</v>
      </c>
      <c r="G130" s="0" t="n">
        <v>29.21621489449366</v>
      </c>
      <c r="H130" s="0" t="n">
        <v>7.388742444410417</v>
      </c>
      <c r="I130" s="0" t="n">
        <v>1256</v>
      </c>
      <c r="J130" s="0" t="n">
        <v>1233</v>
      </c>
      <c r="K130" s="0" t="n">
        <v>7.431565151848096</v>
      </c>
    </row>
    <row r="131">
      <c r="A131" s="0" t="n">
        <v>153</v>
      </c>
      <c r="B131" s="0" t="inlineStr">
        <is>
          <t>Carson</t>
        </is>
      </c>
      <c r="C131" s="0" t="inlineStr">
        <is>
          <t>Town</t>
        </is>
      </c>
      <c r="D131" s="0" t="inlineStr">
        <is>
          <t>Loss</t>
        </is>
      </c>
      <c r="E131" s="0" t="n">
        <v>-15</v>
      </c>
      <c r="F131" s="0" t="n">
        <v>26.79785876317752</v>
      </c>
      <c r="G131" s="0" t="n">
        <v>26.5491155841032</v>
      </c>
      <c r="H131" s="0" t="n">
        <v>5.822605297173122</v>
      </c>
      <c r="I131" s="0" t="n">
        <v>1226</v>
      </c>
      <c r="J131" s="0" t="n">
        <v>1211</v>
      </c>
      <c r="K131" s="0" t="n">
        <v>5.842868317822078</v>
      </c>
    </row>
    <row r="132">
      <c r="A132" s="0" t="n">
        <v>153</v>
      </c>
      <c r="B132" s="0" t="inlineStr">
        <is>
          <t>Badpants</t>
        </is>
      </c>
      <c r="C132" s="0" t="inlineStr">
        <is>
          <t>Town</t>
        </is>
      </c>
      <c r="D132" s="0" t="inlineStr">
        <is>
          <t>Loss</t>
        </is>
      </c>
      <c r="E132" s="0" t="n">
        <v>-15</v>
      </c>
      <c r="F132" s="0" t="n">
        <v>25.27176702956962</v>
      </c>
      <c r="G132" s="0" t="n">
        <v>25.02422132385845</v>
      </c>
      <c r="H132" s="0" t="n">
        <v>5.808674705862328</v>
      </c>
      <c r="I132" s="0" t="n">
        <v>1124</v>
      </c>
      <c r="J132" s="0" t="n">
        <v>1109</v>
      </c>
      <c r="K132" s="0" t="n">
        <v>5.828783158553547</v>
      </c>
    </row>
    <row r="133">
      <c r="A133" s="0" t="n">
        <v>153</v>
      </c>
      <c r="B133" s="0" t="inlineStr">
        <is>
          <t>Gilbert</t>
        </is>
      </c>
      <c r="C133" s="0" t="inlineStr">
        <is>
          <t>Town</t>
        </is>
      </c>
      <c r="D133" s="0" t="inlineStr">
        <is>
          <t>Loss</t>
        </is>
      </c>
      <c r="E133" s="0" t="n">
        <v>-17</v>
      </c>
      <c r="F133" s="0" t="n">
        <v>26.66451720342193</v>
      </c>
      <c r="G133" s="0" t="n">
        <v>26.36236674714393</v>
      </c>
      <c r="H133" s="0" t="n">
        <v>6.412306936578188</v>
      </c>
      <c r="I133" s="0" t="n">
        <v>1156</v>
      </c>
      <c r="J133" s="0" t="n">
        <v>1139</v>
      </c>
      <c r="K133" s="0" t="n">
        <v>6.439814805064902</v>
      </c>
    </row>
    <row r="134">
      <c r="A134" s="0" t="n">
        <v>152</v>
      </c>
      <c r="B134" s="0" t="inlineStr">
        <is>
          <t>Plen</t>
        </is>
      </c>
      <c r="C134" s="0" t="inlineStr">
        <is>
          <t>Mafia</t>
        </is>
      </c>
      <c r="D134" s="0" t="inlineStr">
        <is>
          <t>Loss</t>
        </is>
      </c>
      <c r="E134" s="0" t="n">
        <v>-19</v>
      </c>
      <c r="F134" s="0" t="n">
        <v>22.08558269196461</v>
      </c>
      <c r="G134" s="0" t="n">
        <v>21.77184459097932</v>
      </c>
      <c r="H134" s="0" t="n">
        <v>5.64361780736677</v>
      </c>
      <c r="I134" s="0" t="n">
        <v>924</v>
      </c>
      <c r="J134" s="0" t="n">
        <v>905</v>
      </c>
      <c r="K134" s="0" t="n">
        <v>5.665531353295371</v>
      </c>
    </row>
    <row r="135">
      <c r="A135" s="0" t="n">
        <v>152</v>
      </c>
      <c r="B135" s="0" t="inlineStr">
        <is>
          <t>Siggy</t>
        </is>
      </c>
      <c r="C135" s="0" t="inlineStr">
        <is>
          <t>Mafia</t>
        </is>
      </c>
      <c r="D135" s="0" t="inlineStr">
        <is>
          <t>Loss</t>
        </is>
      </c>
      <c r="E135" s="0" t="n">
        <v>-32</v>
      </c>
      <c r="F135" s="0" t="n">
        <v>30.16588704315303</v>
      </c>
      <c r="G135" s="0" t="n">
        <v>29.61857137181353</v>
      </c>
      <c r="H135" s="0" t="n">
        <v>7.431565151848096</v>
      </c>
      <c r="I135" s="0" t="n">
        <v>1288</v>
      </c>
      <c r="J135" s="0" t="n">
        <v>1256</v>
      </c>
      <c r="K135" s="0" t="n">
        <v>7.483501097389937</v>
      </c>
    </row>
    <row r="136">
      <c r="A136" s="0" t="n">
        <v>152</v>
      </c>
      <c r="B136" s="0" t="inlineStr">
        <is>
          <t>Motr</t>
        </is>
      </c>
      <c r="C136" s="0" t="inlineStr">
        <is>
          <t>Mafia</t>
        </is>
      </c>
      <c r="D136" s="0" t="inlineStr">
        <is>
          <t>Loss</t>
        </is>
      </c>
      <c r="E136" s="0" t="n">
        <v>-26</v>
      </c>
      <c r="F136" s="0" t="n">
        <v>25.43906606459268</v>
      </c>
      <c r="G136" s="0" t="n">
        <v>25.00298578469236</v>
      </c>
      <c r="H136" s="0" t="n">
        <v>6.643098029924944</v>
      </c>
      <c r="I136" s="0" t="n">
        <v>1049</v>
      </c>
      <c r="J136" s="0" t="n">
        <v>1023</v>
      </c>
      <c r="K136" s="0" t="n">
        <v>6.679734763631179</v>
      </c>
    </row>
    <row r="137">
      <c r="A137" s="0" t="n">
        <v>152</v>
      </c>
      <c r="B137" s="0" t="inlineStr">
        <is>
          <t>Smit</t>
        </is>
      </c>
      <c r="C137" s="0" t="inlineStr">
        <is>
          <t>Town</t>
        </is>
      </c>
      <c r="D137" s="0" t="inlineStr">
        <is>
          <t>Win</t>
        </is>
      </c>
      <c r="E137" s="0" t="n">
        <v>27</v>
      </c>
      <c r="F137" s="0" t="n">
        <v>23.29597535221276</v>
      </c>
      <c r="G137" s="0" t="n">
        <v>23.64293895453434</v>
      </c>
      <c r="H137" s="0" t="n">
        <v>5.932389961961994</v>
      </c>
      <c r="I137" s="0" t="n">
        <v>976</v>
      </c>
      <c r="J137" s="0" t="n">
        <v>1003</v>
      </c>
      <c r="K137" s="0" t="n">
        <v>5.958067962795004</v>
      </c>
    </row>
    <row r="138">
      <c r="A138" s="0" t="n">
        <v>152</v>
      </c>
      <c r="B138" s="0" t="inlineStr">
        <is>
          <t>Streety</t>
        </is>
      </c>
      <c r="C138" s="0" t="inlineStr">
        <is>
          <t>Town</t>
        </is>
      </c>
      <c r="D138" s="0" t="inlineStr">
        <is>
          <t>Win</t>
        </is>
      </c>
      <c r="E138" s="0" t="n">
        <v>33</v>
      </c>
      <c r="F138" s="0" t="n">
        <v>32.88896772463404</v>
      </c>
      <c r="G138" s="0" t="n">
        <v>33.32833894533622</v>
      </c>
      <c r="H138" s="0" t="n">
        <v>6.667833451231917</v>
      </c>
      <c r="I138" s="0" t="n">
        <v>1553</v>
      </c>
      <c r="J138" s="0" t="n">
        <v>1586</v>
      </c>
      <c r="K138" s="0" t="n">
        <v>6.704897793241797</v>
      </c>
    </row>
    <row r="139">
      <c r="A139" s="0" t="n">
        <v>152</v>
      </c>
      <c r="B139" s="0" t="inlineStr">
        <is>
          <t>Heckmuffins</t>
        </is>
      </c>
      <c r="C139" s="0" t="inlineStr">
        <is>
          <t>Town</t>
        </is>
      </c>
      <c r="D139" s="0" t="inlineStr">
        <is>
          <t>Win</t>
        </is>
      </c>
      <c r="E139" s="0" t="n">
        <v>46</v>
      </c>
      <c r="F139" s="0" t="n">
        <v>30.89371876045789</v>
      </c>
      <c r="G139" s="0" t="n">
        <v>31.47928097503391</v>
      </c>
      <c r="H139" s="0" t="n">
        <v>7.683023849693156</v>
      </c>
      <c r="I139" s="0" t="n">
        <v>1311</v>
      </c>
      <c r="J139" s="0" t="n">
        <v>1357</v>
      </c>
      <c r="K139" s="0" t="n">
        <v>7.740605599700429</v>
      </c>
    </row>
    <row r="140">
      <c r="A140" s="0" t="n">
        <v>152</v>
      </c>
      <c r="B140" s="0" t="inlineStr">
        <is>
          <t>Whyin</t>
        </is>
      </c>
      <c r="C140" s="0" t="inlineStr">
        <is>
          <t>Town</t>
        </is>
      </c>
      <c r="D140" s="0" t="inlineStr">
        <is>
          <t>Win</t>
        </is>
      </c>
      <c r="E140" s="0" t="n">
        <v>31</v>
      </c>
      <c r="F140" s="0" t="n">
        <v>26.70694858842057</v>
      </c>
      <c r="G140" s="0" t="n">
        <v>27.10991370409573</v>
      </c>
      <c r="H140" s="0" t="n">
        <v>6.388622164237002</v>
      </c>
      <c r="I140" s="0" t="n">
        <v>1161</v>
      </c>
      <c r="J140" s="0" t="n">
        <v>1192</v>
      </c>
      <c r="K140" s="0" t="n">
        <v>6.421045100268543</v>
      </c>
    </row>
    <row r="141">
      <c r="A141" s="0" t="n">
        <v>152</v>
      </c>
      <c r="B141" s="0" t="inlineStr">
        <is>
          <t>Rocker</t>
        </is>
      </c>
      <c r="C141" s="0" t="inlineStr">
        <is>
          <t>Town</t>
        </is>
      </c>
      <c r="D141" s="0" t="inlineStr">
        <is>
          <t>Win</t>
        </is>
      </c>
      <c r="E141" s="0" t="n">
        <v>22</v>
      </c>
      <c r="F141" s="0" t="n">
        <v>35.88660773008061</v>
      </c>
      <c r="G141" s="0" t="n">
        <v>36.18255759593988</v>
      </c>
      <c r="H141" s="0" t="n">
        <v>5.482550942542221</v>
      </c>
      <c r="I141" s="0" t="n">
        <v>1879</v>
      </c>
      <c r="J141" s="0" t="n">
        <v>1901</v>
      </c>
      <c r="K141" s="0" t="n">
        <v>5.502524983012099</v>
      </c>
    </row>
    <row r="142">
      <c r="A142" s="0" t="n">
        <v>152</v>
      </c>
      <c r="B142" s="0" t="inlineStr">
        <is>
          <t>Brownkow</t>
        </is>
      </c>
      <c r="C142" s="0" t="inlineStr">
        <is>
          <t>Town</t>
        </is>
      </c>
      <c r="D142" s="0" t="inlineStr">
        <is>
          <t>Win</t>
        </is>
      </c>
      <c r="E142" s="0" t="n">
        <v>22</v>
      </c>
      <c r="F142" s="0" t="n">
        <v>31.07410413657252</v>
      </c>
      <c r="G142" s="0" t="n">
        <v>31.37137292530528</v>
      </c>
      <c r="H142" s="0" t="n">
        <v>5.494660611657805</v>
      </c>
      <c r="I142" s="0" t="n">
        <v>1551</v>
      </c>
      <c r="J142" s="0" t="n">
        <v>1573</v>
      </c>
      <c r="K142" s="0" t="n">
        <v>5.51477660176395</v>
      </c>
    </row>
    <row r="143">
      <c r="A143" s="0" t="n">
        <v>152</v>
      </c>
      <c r="B143" s="0" t="inlineStr">
        <is>
          <t>Laur</t>
        </is>
      </c>
      <c r="C143" s="0" t="inlineStr">
        <is>
          <t>Town</t>
        </is>
      </c>
      <c r="D143" s="0" t="inlineStr">
        <is>
          <t>Win</t>
        </is>
      </c>
      <c r="E143" s="0" t="n">
        <v>27</v>
      </c>
      <c r="F143" s="0" t="n">
        <v>32.37503485167258</v>
      </c>
      <c r="G143" s="0" t="n">
        <v>32.73347429248688</v>
      </c>
      <c r="H143" s="0" t="n">
        <v>6.028805429352125</v>
      </c>
      <c r="I143" s="0" t="n">
        <v>1584</v>
      </c>
      <c r="J143" s="0" t="n">
        <v>1611</v>
      </c>
      <c r="K143" s="0" t="n">
        <v>6.055825435442164</v>
      </c>
    </row>
    <row r="144">
      <c r="A144" s="0" t="n">
        <v>152</v>
      </c>
      <c r="B144" s="0" t="inlineStr">
        <is>
          <t>Ken</t>
        </is>
      </c>
      <c r="C144" s="0" t="inlineStr">
        <is>
          <t>Town</t>
        </is>
      </c>
      <c r="D144" s="0" t="inlineStr">
        <is>
          <t>Win</t>
        </is>
      </c>
      <c r="E144" s="0" t="n">
        <v>38</v>
      </c>
      <c r="F144" s="0" t="n">
        <v>23.61592358184891</v>
      </c>
      <c r="G144" s="0" t="n">
        <v>24.10371361673544</v>
      </c>
      <c r="H144" s="0" t="n">
        <v>7.021227980547525</v>
      </c>
      <c r="I144" s="0" t="n">
        <v>885</v>
      </c>
      <c r="J144" s="0" t="n">
        <v>923</v>
      </c>
      <c r="K144" s="0" t="n">
        <v>7.064763290323843</v>
      </c>
    </row>
    <row r="145">
      <c r="A145" s="0" t="n">
        <v>152</v>
      </c>
      <c r="B145" s="0" t="inlineStr">
        <is>
          <t>Carson</t>
        </is>
      </c>
      <c r="C145" s="0" t="inlineStr">
        <is>
          <t>Town</t>
        </is>
      </c>
      <c r="D145" s="0" t="inlineStr">
        <is>
          <t>Win</t>
        </is>
      </c>
      <c r="E145" s="0" t="n">
        <v>25</v>
      </c>
      <c r="F145" s="0" t="n">
        <v>26.46137882547543</v>
      </c>
      <c r="G145" s="0" t="n">
        <v>26.79785876317752</v>
      </c>
      <c r="H145" s="0" t="n">
        <v>5.842868317822078</v>
      </c>
      <c r="I145" s="0" t="n">
        <v>1201</v>
      </c>
      <c r="J145" s="0" t="n">
        <v>1226</v>
      </c>
      <c r="K145" s="0" t="n">
        <v>5.867338918096456</v>
      </c>
    </row>
    <row r="146">
      <c r="A146" s="0" t="n">
        <v>152</v>
      </c>
      <c r="B146" s="0" t="inlineStr">
        <is>
          <t>Rollo</t>
        </is>
      </c>
      <c r="C146" s="0" t="inlineStr">
        <is>
          <t>Town</t>
        </is>
      </c>
      <c r="D146" s="0" t="inlineStr">
        <is>
          <t>Win</t>
        </is>
      </c>
      <c r="E146" s="0" t="n">
        <v>31</v>
      </c>
      <c r="F146" s="0" t="n">
        <v>33.6191075616113</v>
      </c>
      <c r="G146" s="0" t="n">
        <v>34.02896163407899</v>
      </c>
      <c r="H146" s="0" t="n">
        <v>6.442425670606435</v>
      </c>
      <c r="I146" s="0" t="n">
        <v>1626</v>
      </c>
      <c r="J146" s="0" t="n">
        <v>1657</v>
      </c>
      <c r="K146" s="0" t="n">
        <v>6.47571172515846</v>
      </c>
    </row>
    <row r="147">
      <c r="A147" s="0" t="n">
        <v>151</v>
      </c>
      <c r="B147" s="0" t="inlineStr">
        <is>
          <t>Brownkow</t>
        </is>
      </c>
      <c r="C147" s="0" t="inlineStr">
        <is>
          <t>Mafia</t>
        </is>
      </c>
      <c r="D147" s="0" t="inlineStr">
        <is>
          <t>Loss</t>
        </is>
      </c>
      <c r="E147" s="0" t="n">
        <v>-62</v>
      </c>
      <c r="F147" s="0" t="n">
        <v>32.04736182936585</v>
      </c>
      <c r="G147" s="0" t="n">
        <v>31.07410413657252</v>
      </c>
      <c r="H147" s="0" t="n">
        <v>5.51477660176395</v>
      </c>
      <c r="I147" s="0" t="n">
        <v>1613</v>
      </c>
      <c r="J147" s="0" t="n">
        <v>1551</v>
      </c>
      <c r="K147" s="0" t="n">
        <v>5.551447495732467</v>
      </c>
    </row>
    <row r="148">
      <c r="A148" s="0" t="n">
        <v>151</v>
      </c>
      <c r="B148" s="0" t="inlineStr">
        <is>
          <t>Gilbert</t>
        </is>
      </c>
      <c r="C148" s="0" t="inlineStr">
        <is>
          <t>Mafia</t>
        </is>
      </c>
      <c r="D148" s="0" t="inlineStr">
        <is>
          <t>Loss</t>
        </is>
      </c>
      <c r="E148" s="0" t="n">
        <v>-85</v>
      </c>
      <c r="F148" s="0" t="n">
        <v>27.99842131954021</v>
      </c>
      <c r="G148" s="0" t="n">
        <v>26.66451720342193</v>
      </c>
      <c r="H148" s="0" t="n">
        <v>6.439814805064902</v>
      </c>
      <c r="I148" s="0" t="n">
        <v>1241</v>
      </c>
      <c r="J148" s="0" t="n">
        <v>1156</v>
      </c>
      <c r="K148" s="0" t="n">
        <v>6.499406042330332</v>
      </c>
    </row>
    <row r="149">
      <c r="A149" s="0" t="n">
        <v>151</v>
      </c>
      <c r="B149" s="0" t="inlineStr">
        <is>
          <t>Iln</t>
        </is>
      </c>
      <c r="C149" s="0" t="inlineStr">
        <is>
          <t>Mafia</t>
        </is>
      </c>
      <c r="D149" s="0" t="inlineStr">
        <is>
          <t>Loss</t>
        </is>
      </c>
      <c r="E149" s="0" t="n">
        <v>-66</v>
      </c>
      <c r="F149" s="0" t="n">
        <v>31.57271935924684</v>
      </c>
      <c r="G149" s="0" t="n">
        <v>30.55069677987331</v>
      </c>
      <c r="H149" s="0" t="n">
        <v>5.649310447863256</v>
      </c>
      <c r="I149" s="0" t="n">
        <v>1567</v>
      </c>
      <c r="J149" s="0" t="n">
        <v>1501</v>
      </c>
      <c r="K149" s="0" t="n">
        <v>5.688868845425975</v>
      </c>
    </row>
    <row r="150">
      <c r="A150" s="0" t="n">
        <v>151</v>
      </c>
      <c r="B150" s="0" t="inlineStr">
        <is>
          <t>Cyclone</t>
        </is>
      </c>
      <c r="C150" s="0" t="inlineStr">
        <is>
          <t>Town</t>
        </is>
      </c>
      <c r="D150" s="0" t="inlineStr">
        <is>
          <t>Win</t>
        </is>
      </c>
      <c r="E150" s="0" t="n">
        <v>117</v>
      </c>
      <c r="F150" s="0" t="n">
        <v>35.39863225548143</v>
      </c>
      <c r="G150" s="0" t="n">
        <v>36.99380591818398</v>
      </c>
      <c r="H150" s="0" t="n">
        <v>7.029307273112565</v>
      </c>
      <c r="I150" s="0" t="n">
        <v>1682</v>
      </c>
      <c r="J150" s="0" t="n">
        <v>1799</v>
      </c>
      <c r="K150" s="0" t="n">
        <v>7.10761291982041</v>
      </c>
    </row>
    <row r="151">
      <c r="A151" s="0" t="n">
        <v>151</v>
      </c>
      <c r="B151" s="0" t="inlineStr">
        <is>
          <t>Streety</t>
        </is>
      </c>
      <c r="C151" s="0" t="inlineStr">
        <is>
          <t>Town</t>
        </is>
      </c>
      <c r="D151" s="0" t="inlineStr">
        <is>
          <t>Win</t>
        </is>
      </c>
      <c r="E151" s="0" t="n">
        <v>106</v>
      </c>
      <c r="F151" s="0" t="n">
        <v>31.44064835808914</v>
      </c>
      <c r="G151" s="0" t="n">
        <v>32.88896772463404</v>
      </c>
      <c r="H151" s="0" t="n">
        <v>6.704897793241797</v>
      </c>
      <c r="I151" s="0" t="n">
        <v>1447</v>
      </c>
      <c r="J151" s="0" t="n">
        <v>1553</v>
      </c>
      <c r="K151" s="0" t="n">
        <v>6.772477851082076</v>
      </c>
    </row>
    <row r="152">
      <c r="A152" s="0" t="n">
        <v>151</v>
      </c>
      <c r="B152" s="0" t="inlineStr">
        <is>
          <t>Machop</t>
        </is>
      </c>
      <c r="C152" s="0" t="inlineStr">
        <is>
          <t>Town</t>
        </is>
      </c>
      <c r="D152" s="0" t="inlineStr">
        <is>
          <t>Win</t>
        </is>
      </c>
      <c r="E152" s="0" t="n">
        <v>96</v>
      </c>
      <c r="F152" s="0" t="n">
        <v>22.98664393956803</v>
      </c>
      <c r="G152" s="0" t="n">
        <v>24.31002366631476</v>
      </c>
      <c r="H152" s="0" t="n">
        <v>6.414836264053879</v>
      </c>
      <c r="I152" s="0" t="n">
        <v>903</v>
      </c>
      <c r="J152" s="0" t="n">
        <v>999</v>
      </c>
      <c r="K152" s="0" t="n">
        <v>6.473709295054332</v>
      </c>
    </row>
    <row r="153">
      <c r="A153" s="0" t="n">
        <v>151</v>
      </c>
      <c r="B153" s="0" t="inlineStr">
        <is>
          <t>Rocker</t>
        </is>
      </c>
      <c r="C153" s="0" t="inlineStr">
        <is>
          <t>Town</t>
        </is>
      </c>
      <c r="D153" s="0" t="inlineStr">
        <is>
          <t>Win</t>
        </is>
      </c>
      <c r="E153" s="0" t="n">
        <v>70</v>
      </c>
      <c r="F153" s="0" t="n">
        <v>34.91772921261352</v>
      </c>
      <c r="G153" s="0" t="n">
        <v>35.88660773008061</v>
      </c>
      <c r="H153" s="0" t="n">
        <v>5.502524983012099</v>
      </c>
      <c r="I153" s="0" t="n">
        <v>1809</v>
      </c>
      <c r="J153" s="0" t="n">
        <v>1879</v>
      </c>
      <c r="K153" s="0" t="n">
        <v>5.538939977674112</v>
      </c>
    </row>
    <row r="154">
      <c r="A154" s="0" t="n">
        <v>151</v>
      </c>
      <c r="B154" s="0" t="inlineStr">
        <is>
          <t>Chipper</t>
        </is>
      </c>
      <c r="C154" s="0" t="inlineStr">
        <is>
          <t>Town</t>
        </is>
      </c>
      <c r="D154" s="0" t="inlineStr">
        <is>
          <t>Win</t>
        </is>
      </c>
      <c r="E154" s="0" t="n">
        <v>94</v>
      </c>
      <c r="F154" s="0" t="n">
        <v>25.5063558888248</v>
      </c>
      <c r="G154" s="0" t="n">
        <v>26.79308416805612</v>
      </c>
      <c r="H154" s="0" t="n">
        <v>6.327018246030451</v>
      </c>
      <c r="I154" s="0" t="n">
        <v>1083</v>
      </c>
      <c r="J154" s="0" t="n">
        <v>1177</v>
      </c>
      <c r="K154" s="0" t="n">
        <v>6.383412382198547</v>
      </c>
    </row>
    <row r="155">
      <c r="A155" s="0" t="n">
        <v>151</v>
      </c>
      <c r="B155" s="0" t="inlineStr">
        <is>
          <t>Strik3r</t>
        </is>
      </c>
      <c r="C155" s="0" t="inlineStr">
        <is>
          <t>Town</t>
        </is>
      </c>
      <c r="D155" s="0" t="inlineStr">
        <is>
          <t>Win</t>
        </is>
      </c>
      <c r="E155" s="0" t="n">
        <v>90</v>
      </c>
      <c r="F155" s="0" t="n">
        <v>27.8327479355776</v>
      </c>
      <c r="G155" s="0" t="n">
        <v>29.0787222514054</v>
      </c>
      <c r="H155" s="0" t="n">
        <v>6.227805502160799</v>
      </c>
      <c r="I155" s="0" t="n">
        <v>1252</v>
      </c>
      <c r="J155" s="0" t="n">
        <v>1342</v>
      </c>
      <c r="K155" s="0" t="n">
        <v>6.281484330256792</v>
      </c>
    </row>
    <row r="156">
      <c r="A156" s="0" t="n">
        <v>151</v>
      </c>
      <c r="B156" s="0" t="inlineStr">
        <is>
          <t>Kden</t>
        </is>
      </c>
      <c r="C156" s="0" t="inlineStr">
        <is>
          <t>Town</t>
        </is>
      </c>
      <c r="D156" s="0" t="inlineStr">
        <is>
          <t>Win</t>
        </is>
      </c>
      <c r="E156" s="0" t="n">
        <v>86</v>
      </c>
      <c r="F156" s="0" t="n">
        <v>24.08675963169387</v>
      </c>
      <c r="G156" s="0" t="n">
        <v>25.2749624794615</v>
      </c>
      <c r="H156" s="0" t="n">
        <v>6.084187996912498</v>
      </c>
      <c r="I156" s="0" t="n">
        <v>1012</v>
      </c>
      <c r="J156" s="0" t="n">
        <v>1098</v>
      </c>
      <c r="K156" s="0" t="n">
        <v>6.134092975563628</v>
      </c>
    </row>
    <row r="157">
      <c r="A157" s="0" t="n">
        <v>151</v>
      </c>
      <c r="B157" s="0" t="inlineStr">
        <is>
          <t>Laur</t>
        </is>
      </c>
      <c r="C157" s="0" t="inlineStr">
        <is>
          <t>Town</t>
        </is>
      </c>
      <c r="D157" s="0" t="inlineStr">
        <is>
          <t>Win</t>
        </is>
      </c>
      <c r="E157" s="0" t="n">
        <v>85</v>
      </c>
      <c r="F157" s="0" t="n">
        <v>31.19807061473443</v>
      </c>
      <c r="G157" s="0" t="n">
        <v>32.37503485167258</v>
      </c>
      <c r="H157" s="0" t="n">
        <v>6.055825435442164</v>
      </c>
      <c r="I157" s="0" t="n">
        <v>1499</v>
      </c>
      <c r="J157" s="0" t="n">
        <v>1584</v>
      </c>
      <c r="K157" s="0" t="n">
        <v>6.105006661607366</v>
      </c>
    </row>
    <row r="158">
      <c r="A158" s="0" t="n">
        <v>151</v>
      </c>
      <c r="B158" s="0" t="inlineStr">
        <is>
          <t>Lou</t>
        </is>
      </c>
      <c r="C158" s="0" t="inlineStr">
        <is>
          <t>Town</t>
        </is>
      </c>
      <c r="D158" s="0" t="inlineStr">
        <is>
          <t>Win</t>
        </is>
      </c>
      <c r="E158" s="0" t="n">
        <v>78</v>
      </c>
      <c r="F158" s="0" t="n">
        <v>26.37023272101479</v>
      </c>
      <c r="G158" s="0" t="n">
        <v>27.46145025174573</v>
      </c>
      <c r="H158" s="0" t="n">
        <v>5.834579207121709</v>
      </c>
      <c r="I158" s="0" t="n">
        <v>1194</v>
      </c>
      <c r="J158" s="0" t="n">
        <v>1272</v>
      </c>
      <c r="K158" s="0" t="n">
        <v>5.878352128691573</v>
      </c>
    </row>
    <row r="159">
      <c r="A159" s="0" t="n">
        <v>151</v>
      </c>
      <c r="B159" s="0" t="inlineStr">
        <is>
          <t>Badpants</t>
        </is>
      </c>
      <c r="C159" s="0" t="inlineStr">
        <is>
          <t>Town</t>
        </is>
      </c>
      <c r="D159" s="0" t="inlineStr">
        <is>
          <t>Win</t>
        </is>
      </c>
      <c r="E159" s="0" t="n">
        <v>79</v>
      </c>
      <c r="F159" s="0" t="n">
        <v>24.18275016702578</v>
      </c>
      <c r="G159" s="0" t="n">
        <v>25.27176702956962</v>
      </c>
      <c r="H159" s="0" t="n">
        <v>5.828783158553547</v>
      </c>
      <c r="I159" s="0" t="n">
        <v>1045</v>
      </c>
      <c r="J159" s="0" t="n">
        <v>1124</v>
      </c>
      <c r="K159" s="0" t="n">
        <v>5.872419957334707</v>
      </c>
    </row>
    <row r="160">
      <c r="A160" s="0" t="n">
        <v>150</v>
      </c>
      <c r="B160" s="0" t="inlineStr">
        <is>
          <t>Svaan</t>
        </is>
      </c>
      <c r="C160" s="0" t="inlineStr">
        <is>
          <t>Mafia</t>
        </is>
      </c>
      <c r="D160" s="0" t="inlineStr">
        <is>
          <t>Loss</t>
        </is>
      </c>
      <c r="E160" s="0" t="n">
        <v>-53</v>
      </c>
      <c r="F160" s="0" t="n">
        <v>30.69040987460157</v>
      </c>
      <c r="G160" s="0" t="n">
        <v>29.81841360516715</v>
      </c>
      <c r="H160" s="0" t="n">
        <v>7.209075438973839</v>
      </c>
      <c r="I160" s="0" t="n">
        <v>1345</v>
      </c>
      <c r="J160" s="0" t="n">
        <v>1292</v>
      </c>
      <c r="K160" s="0" t="n">
        <v>7.269418060502648</v>
      </c>
    </row>
    <row r="161">
      <c r="A161" s="0" t="n">
        <v>150</v>
      </c>
      <c r="B161" s="0" t="inlineStr">
        <is>
          <t>Chelsea</t>
        </is>
      </c>
      <c r="C161" s="0" t="inlineStr">
        <is>
          <t>Mafia</t>
        </is>
      </c>
      <c r="D161" s="0" t="inlineStr">
        <is>
          <t>Loss</t>
        </is>
      </c>
      <c r="E161" s="0" t="n">
        <v>-49</v>
      </c>
      <c r="F161" s="0" t="n">
        <v>28.07080907370152</v>
      </c>
      <c r="G161" s="0" t="n">
        <v>27.25903383011487</v>
      </c>
      <c r="H161" s="0" t="n">
        <v>6.95977173558239</v>
      </c>
      <c r="I161" s="0" t="n">
        <v>1193</v>
      </c>
      <c r="J161" s="0" t="n">
        <v>1144</v>
      </c>
      <c r="K161" s="0" t="n">
        <v>7.013861488915065</v>
      </c>
    </row>
    <row r="162">
      <c r="A162" s="0" t="n">
        <v>150</v>
      </c>
      <c r="B162" s="0" t="inlineStr">
        <is>
          <t>Doublea</t>
        </is>
      </c>
      <c r="C162" s="0" t="inlineStr">
        <is>
          <t>Mafia</t>
        </is>
      </c>
      <c r="D162" s="0" t="inlineStr">
        <is>
          <t>Loss</t>
        </is>
      </c>
      <c r="E162" s="0" t="n">
        <v>-50</v>
      </c>
      <c r="F162" s="0" t="n">
        <v>23.05638580976444</v>
      </c>
      <c r="G162" s="0" t="n">
        <v>22.23433877022387</v>
      </c>
      <c r="H162" s="0" t="n">
        <v>7.002965444483772</v>
      </c>
      <c r="I162" s="0" t="n">
        <v>848</v>
      </c>
      <c r="J162" s="0" t="n">
        <v>798</v>
      </c>
      <c r="K162" s="0" t="n">
        <v>7.058105898476572</v>
      </c>
    </row>
    <row r="163">
      <c r="A163" s="0" t="n">
        <v>150</v>
      </c>
      <c r="B163" s="0" t="inlineStr">
        <is>
          <t>Iln</t>
        </is>
      </c>
      <c r="C163" s="0" t="inlineStr">
        <is>
          <t>Town</t>
        </is>
      </c>
      <c r="D163" s="0" t="inlineStr">
        <is>
          <t>Win</t>
        </is>
      </c>
      <c r="E163" s="0" t="n">
        <v>40</v>
      </c>
      <c r="F163" s="0" t="n">
        <v>31.03320773301593</v>
      </c>
      <c r="G163" s="0" t="n">
        <v>31.57271935924684</v>
      </c>
      <c r="H163" s="0" t="n">
        <v>5.688868845425975</v>
      </c>
      <c r="I163" s="0" t="n">
        <v>1527</v>
      </c>
      <c r="J163" s="0" t="n">
        <v>1567</v>
      </c>
      <c r="K163" s="0" t="n">
        <v>5.717647947428778</v>
      </c>
    </row>
    <row r="164">
      <c r="A164" s="0" t="n">
        <v>150</v>
      </c>
      <c r="B164" s="0" t="inlineStr">
        <is>
          <t>Machop</t>
        </is>
      </c>
      <c r="C164" s="0" t="inlineStr">
        <is>
          <t>Town</t>
        </is>
      </c>
      <c r="D164" s="0" t="inlineStr">
        <is>
          <t>Win</t>
        </is>
      </c>
      <c r="E164" s="0" t="n">
        <v>52</v>
      </c>
      <c r="F164" s="0" t="n">
        <v>22.28581050378811</v>
      </c>
      <c r="G164" s="0" t="n">
        <v>22.98664393956803</v>
      </c>
      <c r="H164" s="0" t="n">
        <v>6.473709295054332</v>
      </c>
      <c r="I164" s="0" t="n">
        <v>851</v>
      </c>
      <c r="J164" s="0" t="n">
        <v>903</v>
      </c>
      <c r="K164" s="0" t="n">
        <v>6.516879680432994</v>
      </c>
    </row>
    <row r="165">
      <c r="A165" s="0" t="n">
        <v>150</v>
      </c>
      <c r="B165" s="0" t="inlineStr">
        <is>
          <t>Cyclone</t>
        </is>
      </c>
      <c r="C165" s="0" t="inlineStr">
        <is>
          <t>Town</t>
        </is>
      </c>
      <c r="D165" s="0" t="inlineStr">
        <is>
          <t>Win</t>
        </is>
      </c>
      <c r="E165" s="0" t="n">
        <v>63</v>
      </c>
      <c r="F165" s="0" t="n">
        <v>34.55141808919628</v>
      </c>
      <c r="G165" s="0" t="n">
        <v>35.39863225548143</v>
      </c>
      <c r="H165" s="0" t="n">
        <v>7.10761291982041</v>
      </c>
      <c r="I165" s="0" t="n">
        <v>1619</v>
      </c>
      <c r="J165" s="0" t="n">
        <v>1682</v>
      </c>
      <c r="K165" s="0" t="n">
        <v>7.16535537515908</v>
      </c>
    </row>
    <row r="166">
      <c r="A166" s="0" t="n">
        <v>150</v>
      </c>
      <c r="B166" s="0" t="inlineStr">
        <is>
          <t>Rocker</t>
        </is>
      </c>
      <c r="C166" s="0" t="inlineStr">
        <is>
          <t>Town</t>
        </is>
      </c>
      <c r="D166" s="0" t="inlineStr">
        <is>
          <t>Win</t>
        </is>
      </c>
      <c r="E166" s="0" t="n">
        <v>37</v>
      </c>
      <c r="F166" s="0" t="n">
        <v>34.40656096129762</v>
      </c>
      <c r="G166" s="0" t="n">
        <v>34.91772921261352</v>
      </c>
      <c r="H166" s="0" t="n">
        <v>5.538939977674112</v>
      </c>
      <c r="I166" s="0" t="n">
        <v>1772</v>
      </c>
      <c r="J166" s="0" t="n">
        <v>1809</v>
      </c>
      <c r="K166" s="0" t="n">
        <v>5.565385599585432</v>
      </c>
    </row>
    <row r="167">
      <c r="A167" s="0" t="n">
        <v>150</v>
      </c>
      <c r="B167" s="0" t="inlineStr">
        <is>
          <t>Ken</t>
        </is>
      </c>
      <c r="C167" s="0" t="inlineStr">
        <is>
          <t>Town</t>
        </is>
      </c>
      <c r="D167" s="0" t="inlineStr">
        <is>
          <t>Win</t>
        </is>
      </c>
      <c r="E167" s="0" t="n">
        <v>62</v>
      </c>
      <c r="F167" s="0" t="n">
        <v>22.77906267885833</v>
      </c>
      <c r="G167" s="0" t="n">
        <v>23.61592358184891</v>
      </c>
      <c r="H167" s="0" t="n">
        <v>7.064763290323843</v>
      </c>
      <c r="I167" s="0" t="n">
        <v>823</v>
      </c>
      <c r="J167" s="0" t="n">
        <v>885</v>
      </c>
      <c r="K167" s="0" t="n">
        <v>7.121430598687349</v>
      </c>
    </row>
    <row r="168">
      <c r="A168" s="0" t="n">
        <v>150</v>
      </c>
      <c r="B168" s="0" t="inlineStr">
        <is>
          <t>Streety</t>
        </is>
      </c>
      <c r="C168" s="0" t="inlineStr">
        <is>
          <t>Town</t>
        </is>
      </c>
      <c r="D168" s="0" t="inlineStr">
        <is>
          <t>Win</t>
        </is>
      </c>
      <c r="E168" s="0" t="n">
        <v>57</v>
      </c>
      <c r="F168" s="0" t="n">
        <v>30.67263100860774</v>
      </c>
      <c r="G168" s="0" t="n">
        <v>31.44064835808914</v>
      </c>
      <c r="H168" s="0" t="n">
        <v>6.772477851082076</v>
      </c>
      <c r="I168" s="0" t="n">
        <v>1390</v>
      </c>
      <c r="J168" s="0" t="n">
        <v>1447</v>
      </c>
      <c r="K168" s="0" t="n">
        <v>6.82216602509286</v>
      </c>
    </row>
    <row r="169">
      <c r="A169" s="0" t="n">
        <v>150</v>
      </c>
      <c r="B169" s="0" t="inlineStr">
        <is>
          <t>Strik3r</t>
        </is>
      </c>
      <c r="C169" s="0" t="inlineStr">
        <is>
          <t>Town</t>
        </is>
      </c>
      <c r="D169" s="0" t="inlineStr">
        <is>
          <t>Win</t>
        </is>
      </c>
      <c r="E169" s="0" t="n">
        <v>49</v>
      </c>
      <c r="F169" s="0" t="n">
        <v>27.17344870073737</v>
      </c>
      <c r="G169" s="0" t="n">
        <v>27.8327479355776</v>
      </c>
      <c r="H169" s="0" t="n">
        <v>6.281484330256792</v>
      </c>
      <c r="I169" s="0" t="n">
        <v>1203</v>
      </c>
      <c r="J169" s="0" t="n">
        <v>1252</v>
      </c>
      <c r="K169" s="0" t="n">
        <v>6.320775435058977</v>
      </c>
    </row>
    <row r="170">
      <c r="A170" s="0" t="n">
        <v>150</v>
      </c>
      <c r="B170" s="0" t="inlineStr">
        <is>
          <t>Gilbert</t>
        </is>
      </c>
      <c r="C170" s="0" t="inlineStr">
        <is>
          <t>Town</t>
        </is>
      </c>
      <c r="D170" s="0" t="inlineStr">
        <is>
          <t>Win</t>
        </is>
      </c>
      <c r="E170" s="0" t="n">
        <v>53</v>
      </c>
      <c r="F170" s="0" t="n">
        <v>27.29193545537447</v>
      </c>
      <c r="G170" s="0" t="n">
        <v>27.99842131954021</v>
      </c>
      <c r="H170" s="0" t="n">
        <v>6.499406042330332</v>
      </c>
      <c r="I170" s="0" t="n">
        <v>1188</v>
      </c>
      <c r="J170" s="0" t="n">
        <v>1241</v>
      </c>
      <c r="K170" s="0" t="n">
        <v>6.543113345157137</v>
      </c>
    </row>
    <row r="171">
      <c r="A171" s="0" t="n">
        <v>150</v>
      </c>
      <c r="B171" s="0" t="inlineStr">
        <is>
          <t>Chipper</t>
        </is>
      </c>
      <c r="C171" s="0" t="inlineStr">
        <is>
          <t>Town</t>
        </is>
      </c>
      <c r="D171" s="0" t="inlineStr">
        <is>
          <t>Win</t>
        </is>
      </c>
      <c r="E171" s="0" t="n">
        <v>50</v>
      </c>
      <c r="F171" s="0" t="n">
        <v>24.8251973561704</v>
      </c>
      <c r="G171" s="0" t="n">
        <v>25.5063558888248</v>
      </c>
      <c r="H171" s="0" t="n">
        <v>6.383412382198547</v>
      </c>
      <c r="I171" s="0" t="n">
        <v>1033</v>
      </c>
      <c r="J171" s="0" t="n">
        <v>1083</v>
      </c>
      <c r="K171" s="0" t="n">
        <v>6.424730574438456</v>
      </c>
    </row>
    <row r="172">
      <c r="A172" s="0" t="n">
        <v>150</v>
      </c>
      <c r="B172" s="0" t="inlineStr">
        <is>
          <t>Brownkow</t>
        </is>
      </c>
      <c r="C172" s="0" t="inlineStr">
        <is>
          <t>Town</t>
        </is>
      </c>
      <c r="D172" s="0" t="inlineStr">
        <is>
          <t>Win</t>
        </is>
      </c>
      <c r="E172" s="0" t="n">
        <v>38</v>
      </c>
      <c r="F172" s="0" t="n">
        <v>31.5338592161787</v>
      </c>
      <c r="G172" s="0" t="n">
        <v>32.04736182936585</v>
      </c>
      <c r="H172" s="0" t="n">
        <v>5.551447495732467</v>
      </c>
      <c r="I172" s="0" t="n">
        <v>1575</v>
      </c>
      <c r="J172" s="0" t="n">
        <v>1613</v>
      </c>
      <c r="K172" s="0" t="n">
        <v>5.578082994512604</v>
      </c>
    </row>
    <row r="173">
      <c r="A173" s="0" t="n">
        <v>149</v>
      </c>
      <c r="B173" s="0" t="inlineStr">
        <is>
          <t>Rocker</t>
        </is>
      </c>
      <c r="C173" s="0" t="inlineStr">
        <is>
          <t>Mafia</t>
        </is>
      </c>
      <c r="D173" s="0" t="inlineStr">
        <is>
          <t>Win</t>
        </is>
      </c>
      <c r="E173" s="0" t="n">
        <v>31</v>
      </c>
      <c r="F173" s="0" t="n">
        <v>33.98979303800844</v>
      </c>
      <c r="G173" s="0" t="n">
        <v>34.40656096129762</v>
      </c>
      <c r="H173" s="0" t="n">
        <v>5.565385599585432</v>
      </c>
      <c r="I173" s="0" t="n">
        <v>1741</v>
      </c>
      <c r="J173" s="0" t="n">
        <v>1772</v>
      </c>
      <c r="K173" s="0" t="n">
        <v>5.590687572701552</v>
      </c>
    </row>
    <row r="174">
      <c r="A174" s="0" t="n">
        <v>149</v>
      </c>
      <c r="B174" s="0" t="inlineStr">
        <is>
          <t>Badpants</t>
        </is>
      </c>
      <c r="C174" s="0" t="inlineStr">
        <is>
          <t>Mafia</t>
        </is>
      </c>
      <c r="D174" s="0" t="inlineStr">
        <is>
          <t>Win</t>
        </is>
      </c>
      <c r="E174" s="0" t="n">
        <v>34</v>
      </c>
      <c r="F174" s="0" t="n">
        <v>23.71822653567437</v>
      </c>
      <c r="G174" s="0" t="n">
        <v>24.18275016702578</v>
      </c>
      <c r="H174" s="0" t="n">
        <v>5.872419957334707</v>
      </c>
      <c r="I174" s="0" t="n">
        <v>1011</v>
      </c>
      <c r="J174" s="0" t="n">
        <v>1045</v>
      </c>
      <c r="K174" s="0" t="n">
        <v>5.902406668065377</v>
      </c>
    </row>
    <row r="175">
      <c r="A175" s="0" t="n">
        <v>149</v>
      </c>
      <c r="B175" s="0" t="inlineStr">
        <is>
          <t>Josh</t>
        </is>
      </c>
      <c r="C175" s="0" t="inlineStr">
        <is>
          <t>Mafia</t>
        </is>
      </c>
      <c r="D175" s="0" t="inlineStr">
        <is>
          <t>Win</t>
        </is>
      </c>
      <c r="E175" s="0" t="n">
        <v>54</v>
      </c>
      <c r="F175" s="0" t="n">
        <v>30.65985917634371</v>
      </c>
      <c r="G175" s="0" t="n">
        <v>31.36888665782782</v>
      </c>
      <c r="H175" s="0" t="n">
        <v>7.234990852106072</v>
      </c>
      <c r="I175" s="0" t="n">
        <v>1341</v>
      </c>
      <c r="J175" s="0" t="n">
        <v>1395</v>
      </c>
      <c r="K175" s="0" t="n">
        <v>7.292530422609263</v>
      </c>
    </row>
    <row r="176">
      <c r="A176" s="0" t="n">
        <v>149</v>
      </c>
      <c r="B176" s="0" t="inlineStr">
        <is>
          <t>TCP</t>
        </is>
      </c>
      <c r="C176" s="0" t="inlineStr">
        <is>
          <t>Town</t>
        </is>
      </c>
      <c r="D176" s="0" t="inlineStr">
        <is>
          <t>Loss</t>
        </is>
      </c>
      <c r="E176" s="0" t="n">
        <v>-47</v>
      </c>
      <c r="F176" s="0" t="n">
        <v>24.72961850868599</v>
      </c>
      <c r="G176" s="0" t="n">
        <v>23.94202925980994</v>
      </c>
      <c r="H176" s="0" t="n">
        <v>7.618459663143573</v>
      </c>
      <c r="I176" s="0" t="n">
        <v>898</v>
      </c>
      <c r="J176" s="0" t="n">
        <v>851</v>
      </c>
      <c r="K176" s="0" t="n">
        <v>7.686005267625151</v>
      </c>
    </row>
    <row r="177">
      <c r="A177" s="0" t="n">
        <v>149</v>
      </c>
      <c r="B177" s="0" t="inlineStr">
        <is>
          <t>Noah</t>
        </is>
      </c>
      <c r="C177" s="0" t="inlineStr">
        <is>
          <t>Town</t>
        </is>
      </c>
      <c r="D177" s="0" t="inlineStr">
        <is>
          <t>Loss</t>
        </is>
      </c>
      <c r="E177" s="0" t="n">
        <v>-28</v>
      </c>
      <c r="F177" s="0" t="n">
        <v>32.54759823043386</v>
      </c>
      <c r="G177" s="0" t="n">
        <v>32.08802486458888</v>
      </c>
      <c r="H177" s="0" t="n">
        <v>5.841373665547346</v>
      </c>
      <c r="I177" s="0" t="n">
        <v>1614</v>
      </c>
      <c r="J177" s="0" t="n">
        <v>1586</v>
      </c>
      <c r="K177" s="0" t="n">
        <v>5.870863415580154</v>
      </c>
    </row>
    <row r="178">
      <c r="A178" s="0" t="n">
        <v>149</v>
      </c>
      <c r="B178" s="0" t="inlineStr">
        <is>
          <t>Keegan</t>
        </is>
      </c>
      <c r="C178" s="0" t="inlineStr">
        <is>
          <t>Town</t>
        </is>
      </c>
      <c r="D178" s="0" t="inlineStr">
        <is>
          <t>Loss</t>
        </is>
      </c>
      <c r="E178" s="0" t="n">
        <v>-43</v>
      </c>
      <c r="F178" s="0" t="n">
        <v>29.55821777416767</v>
      </c>
      <c r="G178" s="0" t="n">
        <v>28.8373770380934</v>
      </c>
      <c r="H178" s="0" t="n">
        <v>7.294031564601414</v>
      </c>
      <c r="I178" s="0" t="n">
        <v>1260</v>
      </c>
      <c r="J178" s="0" t="n">
        <v>1217</v>
      </c>
      <c r="K178" s="0" t="n">
        <v>7.353041975746124</v>
      </c>
    </row>
    <row r="179">
      <c r="A179" s="0" t="n">
        <v>149</v>
      </c>
      <c r="B179" s="0" t="inlineStr">
        <is>
          <t>Strik3r</t>
        </is>
      </c>
      <c r="C179" s="0" t="inlineStr">
        <is>
          <t>Town</t>
        </is>
      </c>
      <c r="D179" s="0" t="inlineStr">
        <is>
          <t>Loss</t>
        </is>
      </c>
      <c r="E179" s="0" t="n">
        <v>-33</v>
      </c>
      <c r="F179" s="0" t="n">
        <v>27.71252320622995</v>
      </c>
      <c r="G179" s="0" t="n">
        <v>27.17344870073737</v>
      </c>
      <c r="H179" s="0" t="n">
        <v>6.320775435058977</v>
      </c>
      <c r="I179" s="0" t="n">
        <v>1236</v>
      </c>
      <c r="J179" s="0" t="n">
        <v>1203</v>
      </c>
      <c r="K179" s="0" t="n">
        <v>6.358552165397266</v>
      </c>
    </row>
    <row r="180">
      <c r="A180" s="0" t="n">
        <v>149</v>
      </c>
      <c r="B180" s="0" t="inlineStr">
        <is>
          <t>Whyin</t>
        </is>
      </c>
      <c r="C180" s="0" t="inlineStr">
        <is>
          <t>Town</t>
        </is>
      </c>
      <c r="D180" s="0" t="inlineStr">
        <is>
          <t>Loss</t>
        </is>
      </c>
      <c r="E180" s="0" t="n">
        <v>-34</v>
      </c>
      <c r="F180" s="0" t="n">
        <v>27.26348258830014</v>
      </c>
      <c r="G180" s="0" t="n">
        <v>26.70694858842057</v>
      </c>
      <c r="H180" s="0" t="n">
        <v>6.421045100268543</v>
      </c>
      <c r="I180" s="0" t="n">
        <v>1195</v>
      </c>
      <c r="J180" s="0" t="n">
        <v>1161</v>
      </c>
      <c r="K180" s="0" t="n">
        <v>6.460726813395344</v>
      </c>
    </row>
    <row r="181">
      <c r="A181" s="0" t="n">
        <v>149</v>
      </c>
      <c r="B181" s="0" t="inlineStr">
        <is>
          <t>Plen</t>
        </is>
      </c>
      <c r="C181" s="0" t="inlineStr">
        <is>
          <t>Town</t>
        </is>
      </c>
      <c r="D181" s="0" t="inlineStr">
        <is>
          <t>Loss</t>
        </is>
      </c>
      <c r="E181" s="0" t="n">
        <v>-27</v>
      </c>
      <c r="F181" s="0" t="n">
        <v>22.51763404359567</v>
      </c>
      <c r="G181" s="0" t="n">
        <v>22.08558269196461</v>
      </c>
      <c r="H181" s="0" t="n">
        <v>5.665531353295371</v>
      </c>
      <c r="I181" s="0" t="n">
        <v>951</v>
      </c>
      <c r="J181" s="0" t="n">
        <v>924</v>
      </c>
      <c r="K181" s="0" t="n">
        <v>5.692305782359966</v>
      </c>
    </row>
    <row r="182">
      <c r="A182" s="0" t="n">
        <v>149</v>
      </c>
      <c r="B182" s="0" t="inlineStr">
        <is>
          <t>Iln</t>
        </is>
      </c>
      <c r="C182" s="0" t="inlineStr">
        <is>
          <t>Town</t>
        </is>
      </c>
      <c r="D182" s="0" t="inlineStr">
        <is>
          <t>Loss</t>
        </is>
      </c>
      <c r="E182" s="0" t="n">
        <v>-27</v>
      </c>
      <c r="F182" s="0" t="n">
        <v>31.47332483089085</v>
      </c>
      <c r="G182" s="0" t="n">
        <v>31.03320773301593</v>
      </c>
      <c r="H182" s="0" t="n">
        <v>5.717647947428778</v>
      </c>
      <c r="I182" s="0" t="n">
        <v>1554</v>
      </c>
      <c r="J182" s="0" t="n">
        <v>1527</v>
      </c>
      <c r="K182" s="0" t="n">
        <v>5.745209713632521</v>
      </c>
    </row>
    <row r="183">
      <c r="A183" s="0" t="n">
        <v>149</v>
      </c>
      <c r="B183" s="0" t="inlineStr">
        <is>
          <t>Streety</t>
        </is>
      </c>
      <c r="C183" s="0" t="inlineStr">
        <is>
          <t>Town</t>
        </is>
      </c>
      <c r="D183" s="0" t="inlineStr">
        <is>
          <t>Loss</t>
        </is>
      </c>
      <c r="E183" s="0" t="n">
        <v>-38</v>
      </c>
      <c r="F183" s="0" t="n">
        <v>31.3019096470045</v>
      </c>
      <c r="G183" s="0" t="n">
        <v>30.67263100860774</v>
      </c>
      <c r="H183" s="0" t="n">
        <v>6.82216602509286</v>
      </c>
      <c r="I183" s="0" t="n">
        <v>1428</v>
      </c>
      <c r="J183" s="0" t="n">
        <v>1390</v>
      </c>
      <c r="K183" s="0" t="n">
        <v>6.870099631110738</v>
      </c>
    </row>
    <row r="184">
      <c r="A184" s="0" t="n">
        <v>149</v>
      </c>
      <c r="B184" s="0" t="inlineStr">
        <is>
          <t>Laur</t>
        </is>
      </c>
      <c r="C184" s="0" t="inlineStr">
        <is>
          <t>Town</t>
        </is>
      </c>
      <c r="D184" s="0" t="inlineStr">
        <is>
          <t>Loss</t>
        </is>
      </c>
      <c r="E184" s="0" t="n">
        <v>-30</v>
      </c>
      <c r="F184" s="0" t="n">
        <v>31.70055166000382</v>
      </c>
      <c r="G184" s="0" t="n">
        <v>31.19807061473443</v>
      </c>
      <c r="H184" s="0" t="n">
        <v>6.105006661607366</v>
      </c>
      <c r="I184" s="0" t="n">
        <v>1529</v>
      </c>
      <c r="J184" s="0" t="n">
        <v>1499</v>
      </c>
      <c r="K184" s="0" t="n">
        <v>6.138888883850913</v>
      </c>
    </row>
    <row r="185">
      <c r="A185" s="0" t="n">
        <v>149</v>
      </c>
      <c r="B185" s="0" t="inlineStr">
        <is>
          <t>Carson</t>
        </is>
      </c>
      <c r="C185" s="0" t="inlineStr">
        <is>
          <t>Town</t>
        </is>
      </c>
      <c r="D185" s="0" t="inlineStr">
        <is>
          <t>Loss</t>
        </is>
      </c>
      <c r="E185" s="0" t="n">
        <v>-28</v>
      </c>
      <c r="F185" s="0" t="n">
        <v>26.92509042307409</v>
      </c>
      <c r="G185" s="0" t="n">
        <v>26.46137882547543</v>
      </c>
      <c r="H185" s="0" t="n">
        <v>5.867338918096456</v>
      </c>
      <c r="I185" s="0" t="n">
        <v>1229</v>
      </c>
      <c r="J185" s="0" t="n">
        <v>1201</v>
      </c>
      <c r="K185" s="0" t="n">
        <v>5.897243930846074</v>
      </c>
    </row>
    <row r="186">
      <c r="A186" s="0" t="n">
        <v>148</v>
      </c>
      <c r="B186" s="0" t="inlineStr">
        <is>
          <t>Keegan</t>
        </is>
      </c>
      <c r="C186" s="0" t="inlineStr">
        <is>
          <t>Mafia</t>
        </is>
      </c>
      <c r="D186" s="0" t="inlineStr">
        <is>
          <t>Win</t>
        </is>
      </c>
      <c r="E186" s="0" t="n">
        <v>85</v>
      </c>
      <c r="F186" s="0" t="n">
        <v>28.41099008791933</v>
      </c>
      <c r="G186" s="0" t="n">
        <v>29.55821777416767</v>
      </c>
      <c r="H186" s="0" t="n">
        <v>7.353041975746124</v>
      </c>
      <c r="I186" s="0" t="n">
        <v>1175</v>
      </c>
      <c r="J186" s="0" t="n">
        <v>1260</v>
      </c>
      <c r="K186" s="0" t="n">
        <v>7.423912478415432</v>
      </c>
    </row>
    <row r="187">
      <c r="A187" s="0" t="n">
        <v>148</v>
      </c>
      <c r="B187" s="0" t="inlineStr">
        <is>
          <t>Siggy</t>
        </is>
      </c>
      <c r="C187" s="0" t="inlineStr">
        <is>
          <t>Mafia</t>
        </is>
      </c>
      <c r="D187" s="0" t="inlineStr">
        <is>
          <t>Win</t>
        </is>
      </c>
      <c r="E187" s="0" t="n">
        <v>89</v>
      </c>
      <c r="F187" s="0" t="n">
        <v>28.97673988566365</v>
      </c>
      <c r="G187" s="0" t="n">
        <v>30.16588704315303</v>
      </c>
      <c r="H187" s="0" t="n">
        <v>7.483501097389937</v>
      </c>
      <c r="I187" s="0" t="n">
        <v>1199</v>
      </c>
      <c r="J187" s="0" t="n">
        <v>1288</v>
      </c>
      <c r="K187" s="0" t="n">
        <v>7.558353913562187</v>
      </c>
    </row>
    <row r="188">
      <c r="A188" s="0" t="n">
        <v>148</v>
      </c>
      <c r="B188" s="0" t="inlineStr">
        <is>
          <t>Machop</t>
        </is>
      </c>
      <c r="C188" s="0" t="inlineStr">
        <is>
          <t>Mafia</t>
        </is>
      </c>
      <c r="D188" s="0" t="inlineStr">
        <is>
          <t>Win</t>
        </is>
      </c>
      <c r="E188" s="0" t="n">
        <v>66</v>
      </c>
      <c r="F188" s="0" t="n">
        <v>21.38848720072472</v>
      </c>
      <c r="G188" s="0" t="n">
        <v>22.28581050378811</v>
      </c>
      <c r="H188" s="0" t="n">
        <v>6.516879680432994</v>
      </c>
      <c r="I188" s="0" t="n">
        <v>785</v>
      </c>
      <c r="J188" s="0" t="n">
        <v>851</v>
      </c>
      <c r="K188" s="0" t="n">
        <v>6.565556360480751</v>
      </c>
    </row>
    <row r="189">
      <c r="A189" s="0" t="n">
        <v>148</v>
      </c>
      <c r="B189" s="0" t="inlineStr">
        <is>
          <t>Motr</t>
        </is>
      </c>
      <c r="C189" s="0" t="inlineStr">
        <is>
          <t>Town</t>
        </is>
      </c>
      <c r="D189" s="0" t="inlineStr">
        <is>
          <t>Loss</t>
        </is>
      </c>
      <c r="E189" s="0" t="n">
        <v>-58</v>
      </c>
      <c r="F189" s="0" t="n">
        <v>26.38253643282769</v>
      </c>
      <c r="G189" s="0" t="n">
        <v>25.43906606459268</v>
      </c>
      <c r="H189" s="0" t="n">
        <v>6.679734763631179</v>
      </c>
      <c r="I189" s="0" t="n">
        <v>1107</v>
      </c>
      <c r="J189" s="0" t="n">
        <v>1049</v>
      </c>
      <c r="K189" s="0" t="n">
        <v>6.732303045208407</v>
      </c>
    </row>
    <row r="190">
      <c r="A190" s="0" t="n">
        <v>148</v>
      </c>
      <c r="B190" s="0" t="inlineStr">
        <is>
          <t>Carson</t>
        </is>
      </c>
      <c r="C190" s="0" t="inlineStr">
        <is>
          <t>Town</t>
        </is>
      </c>
      <c r="D190" s="0" t="inlineStr">
        <is>
          <t>Loss</t>
        </is>
      </c>
      <c r="E190" s="0" t="n">
        <v>-47</v>
      </c>
      <c r="F190" s="0" t="n">
        <v>27.65784128136293</v>
      </c>
      <c r="G190" s="0" t="n">
        <v>26.92509042307409</v>
      </c>
      <c r="H190" s="0" t="n">
        <v>5.897243930846074</v>
      </c>
      <c r="I190" s="0" t="n">
        <v>1276</v>
      </c>
      <c r="J190" s="0" t="n">
        <v>1229</v>
      </c>
      <c r="K190" s="0" t="n">
        <v>5.932857460425895</v>
      </c>
    </row>
    <row r="191">
      <c r="A191" s="0" t="n">
        <v>148</v>
      </c>
      <c r="B191" s="0" t="inlineStr">
        <is>
          <t>Noah</t>
        </is>
      </c>
      <c r="C191" s="0" t="inlineStr">
        <is>
          <t>Town</t>
        </is>
      </c>
      <c r="D191" s="0" t="inlineStr">
        <is>
          <t>Loss</t>
        </is>
      </c>
      <c r="E191" s="0" t="n">
        <v>-46</v>
      </c>
      <c r="F191" s="0" t="n">
        <v>33.27372664046044</v>
      </c>
      <c r="G191" s="0" t="n">
        <v>32.54759823043386</v>
      </c>
      <c r="H191" s="0" t="n">
        <v>5.870863415580154</v>
      </c>
      <c r="I191" s="0" t="n">
        <v>1660</v>
      </c>
      <c r="J191" s="0" t="n">
        <v>1614</v>
      </c>
      <c r="K191" s="0" t="n">
        <v>5.905978998615866</v>
      </c>
    </row>
    <row r="192">
      <c r="A192" s="0" t="n">
        <v>148</v>
      </c>
      <c r="B192" s="0" t="inlineStr">
        <is>
          <t>Kwix</t>
        </is>
      </c>
      <c r="C192" s="0" t="inlineStr">
        <is>
          <t>Town</t>
        </is>
      </c>
      <c r="D192" s="0" t="inlineStr">
        <is>
          <t>Loss</t>
        </is>
      </c>
      <c r="E192" s="0" t="n">
        <v>-51</v>
      </c>
      <c r="F192" s="0" t="n">
        <v>23.45991335185262</v>
      </c>
      <c r="G192" s="0" t="n">
        <v>22.64054724568934</v>
      </c>
      <c r="H192" s="0" t="n">
        <v>6.231482108326558</v>
      </c>
      <c r="I192" s="0" t="n">
        <v>955</v>
      </c>
      <c r="J192" s="0" t="n">
        <v>904</v>
      </c>
      <c r="K192" s="0" t="n">
        <v>6.27380860094791</v>
      </c>
    </row>
    <row r="193">
      <c r="A193" s="0" t="n">
        <v>148</v>
      </c>
      <c r="B193" s="0" t="inlineStr">
        <is>
          <t>Strik3r</t>
        </is>
      </c>
      <c r="C193" s="0" t="inlineStr">
        <is>
          <t>Town</t>
        </is>
      </c>
      <c r="D193" s="0" t="inlineStr">
        <is>
          <t>Loss</t>
        </is>
      </c>
      <c r="E193" s="0" t="n">
        <v>-53</v>
      </c>
      <c r="F193" s="0" t="n">
        <v>28.56614203737069</v>
      </c>
      <c r="G193" s="0" t="n">
        <v>27.71252320622995</v>
      </c>
      <c r="H193" s="0" t="n">
        <v>6.358552165397266</v>
      </c>
      <c r="I193" s="0" t="n">
        <v>1289</v>
      </c>
      <c r="J193" s="0" t="n">
        <v>1236</v>
      </c>
      <c r="K193" s="0" t="n">
        <v>6.403633605598748</v>
      </c>
    </row>
    <row r="194">
      <c r="A194" s="0" t="n">
        <v>148</v>
      </c>
      <c r="B194" s="0" t="inlineStr">
        <is>
          <t>Whyin</t>
        </is>
      </c>
      <c r="C194" s="0" t="inlineStr">
        <is>
          <t>Town</t>
        </is>
      </c>
      <c r="D194" s="0" t="inlineStr">
        <is>
          <t>Loss</t>
        </is>
      </c>
      <c r="E194" s="0" t="n">
        <v>-55</v>
      </c>
      <c r="F194" s="0" t="n">
        <v>28.14517498217953</v>
      </c>
      <c r="G194" s="0" t="n">
        <v>27.26348258830014</v>
      </c>
      <c r="H194" s="0" t="n">
        <v>6.460726813395344</v>
      </c>
      <c r="I194" s="0" t="n">
        <v>1250</v>
      </c>
      <c r="J194" s="0" t="n">
        <v>1195</v>
      </c>
      <c r="K194" s="0" t="n">
        <v>6.50810745147148</v>
      </c>
    </row>
    <row r="195">
      <c r="A195" s="0" t="n">
        <v>148</v>
      </c>
      <c r="B195" s="0" t="inlineStr">
        <is>
          <t>Josh</t>
        </is>
      </c>
      <c r="C195" s="0" t="inlineStr">
        <is>
          <t>Town</t>
        </is>
      </c>
      <c r="D195" s="0" t="inlineStr">
        <is>
          <t>Loss</t>
        </is>
      </c>
      <c r="E195" s="0" t="n">
        <v>-70</v>
      </c>
      <c r="F195" s="0" t="n">
        <v>31.78791378076956</v>
      </c>
      <c r="G195" s="0" t="n">
        <v>30.65985917634371</v>
      </c>
      <c r="H195" s="0" t="n">
        <v>7.292530422609263</v>
      </c>
      <c r="I195" s="0" t="n">
        <v>1411</v>
      </c>
      <c r="J195" s="0" t="n">
        <v>1341</v>
      </c>
      <c r="K195" s="0" t="n">
        <v>7.361603547756906</v>
      </c>
    </row>
    <row r="196">
      <c r="A196" s="0" t="n">
        <v>148</v>
      </c>
      <c r="B196" s="0" t="inlineStr">
        <is>
          <t>Streety</t>
        </is>
      </c>
      <c r="C196" s="0" t="inlineStr">
        <is>
          <t>Town</t>
        </is>
      </c>
      <c r="D196" s="0" t="inlineStr">
        <is>
          <t>Loss</t>
        </is>
      </c>
      <c r="E196" s="0" t="n">
        <v>-62</v>
      </c>
      <c r="F196" s="0" t="n">
        <v>32.30086340863185</v>
      </c>
      <c r="G196" s="0" t="n">
        <v>31.3019096470045</v>
      </c>
      <c r="H196" s="0" t="n">
        <v>6.870099631110738</v>
      </c>
      <c r="I196" s="0" t="n">
        <v>1490</v>
      </c>
      <c r="J196" s="0" t="n">
        <v>1428</v>
      </c>
      <c r="K196" s="0" t="n">
        <v>6.927473590597525</v>
      </c>
    </row>
    <row r="197">
      <c r="A197" s="0" t="n">
        <v>148</v>
      </c>
      <c r="B197" s="0" t="inlineStr">
        <is>
          <t>Smit</t>
        </is>
      </c>
      <c r="C197" s="0" t="inlineStr">
        <is>
          <t>Town</t>
        </is>
      </c>
      <c r="D197" s="0" t="inlineStr">
        <is>
          <t>Loss</t>
        </is>
      </c>
      <c r="E197" s="0" t="n">
        <v>-48</v>
      </c>
      <c r="F197" s="0" t="n">
        <v>24.04411415819601</v>
      </c>
      <c r="G197" s="0" t="n">
        <v>23.29597535221276</v>
      </c>
      <c r="H197" s="0" t="n">
        <v>5.958067962795004</v>
      </c>
      <c r="I197" s="0" t="n">
        <v>1024</v>
      </c>
      <c r="J197" s="0" t="n">
        <v>976</v>
      </c>
      <c r="K197" s="0" t="n">
        <v>5.994847039706762</v>
      </c>
    </row>
    <row r="198">
      <c r="A198" s="0" t="n">
        <v>148</v>
      </c>
      <c r="B198" s="0" t="inlineStr">
        <is>
          <t>Plen</t>
        </is>
      </c>
      <c r="C198" s="0" t="inlineStr">
        <is>
          <t>Town</t>
        </is>
      </c>
      <c r="D198" s="0" t="inlineStr">
        <is>
          <t>Loss</t>
        </is>
      </c>
      <c r="E198" s="0" t="n">
        <v>-43</v>
      </c>
      <c r="F198" s="0" t="n">
        <v>23.19975691224367</v>
      </c>
      <c r="G198" s="0" t="n">
        <v>22.51763404359567</v>
      </c>
      <c r="H198" s="0" t="n">
        <v>5.692305782359966</v>
      </c>
      <c r="I198" s="0" t="n">
        <v>994</v>
      </c>
      <c r="J198" s="0" t="n">
        <v>951</v>
      </c>
      <c r="K198" s="0" t="n">
        <v>5.724169330827292</v>
      </c>
    </row>
    <row r="199">
      <c r="A199" s="0" t="n">
        <v>147</v>
      </c>
      <c r="B199" s="0" t="inlineStr">
        <is>
          <t>Kden</t>
        </is>
      </c>
      <c r="C199" s="0" t="inlineStr">
        <is>
          <t>Mafia</t>
        </is>
      </c>
      <c r="D199" s="0" t="inlineStr">
        <is>
          <t>Loss</t>
        </is>
      </c>
      <c r="E199" s="0" t="n">
        <v>-42</v>
      </c>
      <c r="F199" s="0" t="n">
        <v>24.7650453112293</v>
      </c>
      <c r="G199" s="0" t="n">
        <v>24.08675963169387</v>
      </c>
      <c r="H199" s="0" t="n">
        <v>6.134092975563628</v>
      </c>
      <c r="I199" s="0" t="n">
        <v>1054</v>
      </c>
      <c r="J199" s="0" t="n">
        <v>1012</v>
      </c>
      <c r="K199" s="0" t="n">
        <v>6.172424780543912</v>
      </c>
    </row>
    <row r="200">
      <c r="A200" s="0" t="n">
        <v>147</v>
      </c>
      <c r="B200" s="0" t="inlineStr">
        <is>
          <t>Lou</t>
        </is>
      </c>
      <c r="C200" s="0" t="inlineStr">
        <is>
          <t>Mafia</t>
        </is>
      </c>
      <c r="D200" s="0" t="inlineStr">
        <is>
          <t>Loss</t>
        </is>
      </c>
      <c r="E200" s="0" t="n">
        <v>-38</v>
      </c>
      <c r="F200" s="0" t="n">
        <v>26.99248145420933</v>
      </c>
      <c r="G200" s="0" t="n">
        <v>26.37023272101479</v>
      </c>
      <c r="H200" s="0" t="n">
        <v>5.878352128691573</v>
      </c>
      <c r="I200" s="0" t="n">
        <v>1232</v>
      </c>
      <c r="J200" s="0" t="n">
        <v>1194</v>
      </c>
      <c r="K200" s="0" t="n">
        <v>5.91189020606216</v>
      </c>
    </row>
    <row r="201">
      <c r="A201" s="0" t="n">
        <v>147</v>
      </c>
      <c r="B201" s="0" t="inlineStr">
        <is>
          <t>Kny</t>
        </is>
      </c>
      <c r="C201" s="0" t="inlineStr">
        <is>
          <t>Mafia</t>
        </is>
      </c>
      <c r="D201" s="0" t="inlineStr">
        <is>
          <t>Loss</t>
        </is>
      </c>
      <c r="E201" s="0" t="n">
        <v>-67</v>
      </c>
      <c r="F201" s="0" t="n">
        <v>28.20135098476656</v>
      </c>
      <c r="G201" s="0" t="n">
        <v>27.09042213024123</v>
      </c>
      <c r="H201" s="0" t="n">
        <v>7.818196855062811</v>
      </c>
      <c r="I201" s="0" t="n">
        <v>1112</v>
      </c>
      <c r="J201" s="0" t="n">
        <v>1045</v>
      </c>
      <c r="K201" s="0" t="n">
        <v>7.899776439543287</v>
      </c>
    </row>
    <row r="202">
      <c r="A202" s="0" t="n">
        <v>147</v>
      </c>
      <c r="B202" s="0" t="inlineStr">
        <is>
          <t>Strik3r</t>
        </is>
      </c>
      <c r="C202" s="0" t="inlineStr">
        <is>
          <t>Town</t>
        </is>
      </c>
      <c r="D202" s="0" t="inlineStr">
        <is>
          <t>Win</t>
        </is>
      </c>
      <c r="E202" s="0" t="n">
        <v>54</v>
      </c>
      <c r="F202" s="0" t="n">
        <v>27.82607401543861</v>
      </c>
      <c r="G202" s="0" t="n">
        <v>28.56614203737069</v>
      </c>
      <c r="H202" s="0" t="n">
        <v>6.403633605598748</v>
      </c>
      <c r="I202" s="0" t="n">
        <v>1235</v>
      </c>
      <c r="J202" s="0" t="n">
        <v>1289</v>
      </c>
      <c r="K202" s="0" t="n">
        <v>6.447480831969505</v>
      </c>
    </row>
    <row r="203">
      <c r="A203" s="0" t="n">
        <v>147</v>
      </c>
      <c r="B203" s="0" t="inlineStr">
        <is>
          <t>Ken</t>
        </is>
      </c>
      <c r="C203" s="0" t="inlineStr">
        <is>
          <t>Town</t>
        </is>
      </c>
      <c r="D203" s="0" t="inlineStr">
        <is>
          <t>Win</t>
        </is>
      </c>
      <c r="E203" s="0" t="n">
        <v>69</v>
      </c>
      <c r="F203" s="0" t="n">
        <v>21.86068992209983</v>
      </c>
      <c r="G203" s="0" t="n">
        <v>22.77906267885833</v>
      </c>
      <c r="H203" s="0" t="n">
        <v>7.121430598687349</v>
      </c>
      <c r="I203" s="0" t="n">
        <v>754</v>
      </c>
      <c r="J203" s="0" t="n">
        <v>823</v>
      </c>
      <c r="K203" s="0" t="n">
        <v>7.182470945696956</v>
      </c>
    </row>
    <row r="204">
      <c r="A204" s="0" t="n">
        <v>147</v>
      </c>
      <c r="B204" s="0" t="inlineStr">
        <is>
          <t>Cyclone</t>
        </is>
      </c>
      <c r="C204" s="0" t="inlineStr">
        <is>
          <t>Town</t>
        </is>
      </c>
      <c r="D204" s="0" t="inlineStr">
        <is>
          <t>Win</t>
        </is>
      </c>
      <c r="E204" s="0" t="n">
        <v>70</v>
      </c>
      <c r="F204" s="0" t="n">
        <v>33.62147742765654</v>
      </c>
      <c r="G204" s="0" t="n">
        <v>34.55141808919628</v>
      </c>
      <c r="H204" s="0" t="n">
        <v>7.16535537515908</v>
      </c>
      <c r="I204" s="0" t="n">
        <v>1549</v>
      </c>
      <c r="J204" s="0" t="n">
        <v>1619</v>
      </c>
      <c r="K204" s="0" t="n">
        <v>7.227573622957457</v>
      </c>
    </row>
    <row r="205">
      <c r="A205" s="0" t="n">
        <v>147</v>
      </c>
      <c r="B205" s="0" t="inlineStr">
        <is>
          <t>Brownkow</t>
        </is>
      </c>
      <c r="C205" s="0" t="inlineStr">
        <is>
          <t>Town</t>
        </is>
      </c>
      <c r="D205" s="0" t="inlineStr">
        <is>
          <t>Win</t>
        </is>
      </c>
      <c r="E205" s="0" t="n">
        <v>41</v>
      </c>
      <c r="F205" s="0" t="n">
        <v>30.97421708385508</v>
      </c>
      <c r="G205" s="0" t="n">
        <v>31.5338592161787</v>
      </c>
      <c r="H205" s="0" t="n">
        <v>5.578082994512604</v>
      </c>
      <c r="I205" s="0" t="n">
        <v>1534</v>
      </c>
      <c r="J205" s="0" t="n">
        <v>1575</v>
      </c>
      <c r="K205" s="0" t="n">
        <v>5.606509986866246</v>
      </c>
    </row>
    <row r="206">
      <c r="A206" s="0" t="n">
        <v>147</v>
      </c>
      <c r="B206" s="0" t="inlineStr">
        <is>
          <t>Decode</t>
        </is>
      </c>
      <c r="C206" s="0" t="inlineStr">
        <is>
          <t>Town</t>
        </is>
      </c>
      <c r="D206" s="0" t="inlineStr">
        <is>
          <t>Win</t>
        </is>
      </c>
      <c r="E206" s="0" t="n">
        <v>72</v>
      </c>
      <c r="F206" s="0" t="n">
        <v>19.02356153261521</v>
      </c>
      <c r="G206" s="0" t="n">
        <v>19.98386448001253</v>
      </c>
      <c r="H206" s="0" t="n">
        <v>7.279292505332233</v>
      </c>
      <c r="I206" s="0" t="n">
        <v>544</v>
      </c>
      <c r="J206" s="0" t="n">
        <v>616</v>
      </c>
      <c r="K206" s="0" t="n">
        <v>7.344637245318671</v>
      </c>
    </row>
    <row r="207">
      <c r="A207" s="0" t="n">
        <v>147</v>
      </c>
      <c r="B207" s="0" t="inlineStr">
        <is>
          <t>Rocker</t>
        </is>
      </c>
      <c r="C207" s="0" t="inlineStr">
        <is>
          <t>Town</t>
        </is>
      </c>
      <c r="D207" s="0" t="inlineStr">
        <is>
          <t>Win</t>
        </is>
      </c>
      <c r="E207" s="0" t="n">
        <v>41</v>
      </c>
      <c r="F207" s="0" t="n">
        <v>33.42759174858158</v>
      </c>
      <c r="G207" s="0" t="n">
        <v>33.98979303800844</v>
      </c>
      <c r="H207" s="0" t="n">
        <v>5.590687572701552</v>
      </c>
      <c r="I207" s="0" t="n">
        <v>1700</v>
      </c>
      <c r="J207" s="0" t="n">
        <v>1741</v>
      </c>
      <c r="K207" s="0" t="n">
        <v>5.619318286949182</v>
      </c>
    </row>
    <row r="208">
      <c r="A208" s="0" t="n">
        <v>147</v>
      </c>
      <c r="B208" s="0" t="inlineStr">
        <is>
          <t>Svaan</t>
        </is>
      </c>
      <c r="C208" s="0" t="inlineStr">
        <is>
          <t>Town</t>
        </is>
      </c>
      <c r="D208" s="0" t="inlineStr">
        <is>
          <t>Win</t>
        </is>
      </c>
      <c r="E208" s="0" t="n">
        <v>71</v>
      </c>
      <c r="F208" s="0" t="n">
        <v>29.73275867340367</v>
      </c>
      <c r="G208" s="0" t="n">
        <v>30.69040987460157</v>
      </c>
      <c r="H208" s="0" t="n">
        <v>7.269418060502648</v>
      </c>
      <c r="I208" s="0" t="n">
        <v>1274</v>
      </c>
      <c r="J208" s="0" t="n">
        <v>1345</v>
      </c>
      <c r="K208" s="0" t="n">
        <v>7.334487743456388</v>
      </c>
    </row>
    <row r="209">
      <c r="A209" s="0" t="n">
        <v>147</v>
      </c>
      <c r="B209" s="0" t="inlineStr">
        <is>
          <t>Badpants</t>
        </is>
      </c>
      <c r="C209" s="0" t="inlineStr">
        <is>
          <t>Town</t>
        </is>
      </c>
      <c r="D209" s="0" t="inlineStr">
        <is>
          <t>Win</t>
        </is>
      </c>
      <c r="E209" s="0" t="n">
        <v>46</v>
      </c>
      <c r="F209" s="0" t="n">
        <v>23.09081374010995</v>
      </c>
      <c r="G209" s="0" t="n">
        <v>23.71822653567437</v>
      </c>
      <c r="H209" s="0" t="n">
        <v>5.902406668065377</v>
      </c>
      <c r="I209" s="0" t="n">
        <v>965</v>
      </c>
      <c r="J209" s="0" t="n">
        <v>1011</v>
      </c>
      <c r="K209" s="0" t="n">
        <v>5.936377993310273</v>
      </c>
    </row>
    <row r="210">
      <c r="A210" s="0" t="n">
        <v>147</v>
      </c>
      <c r="B210" s="0" t="inlineStr">
        <is>
          <t>Iln</t>
        </is>
      </c>
      <c r="C210" s="0" t="inlineStr">
        <is>
          <t>Town</t>
        </is>
      </c>
      <c r="D210" s="0" t="inlineStr">
        <is>
          <t>Win</t>
        </is>
      </c>
      <c r="E210" s="0" t="n">
        <v>43</v>
      </c>
      <c r="F210" s="0" t="n">
        <v>30.87925996414696</v>
      </c>
      <c r="G210" s="0" t="n">
        <v>31.47332483089085</v>
      </c>
      <c r="H210" s="0" t="n">
        <v>5.745209713632521</v>
      </c>
      <c r="I210" s="0" t="n">
        <v>1511</v>
      </c>
      <c r="J210" s="0" t="n">
        <v>1554</v>
      </c>
      <c r="K210" s="0" t="n">
        <v>5.776414321609985</v>
      </c>
    </row>
    <row r="211">
      <c r="A211" s="0" t="n">
        <v>147</v>
      </c>
      <c r="B211" s="0" t="inlineStr">
        <is>
          <t>Keegan</t>
        </is>
      </c>
      <c r="C211" s="0" t="inlineStr">
        <is>
          <t>Town</t>
        </is>
      </c>
      <c r="D211" s="0" t="inlineStr">
        <is>
          <t>Win</t>
        </is>
      </c>
      <c r="E211" s="0" t="n">
        <v>75</v>
      </c>
      <c r="F211" s="0" t="n">
        <v>27.41140572106916</v>
      </c>
      <c r="G211" s="0" t="n">
        <v>28.41099008791933</v>
      </c>
      <c r="H211" s="0" t="n">
        <v>7.423912478415432</v>
      </c>
      <c r="I211" s="0" t="n">
        <v>1100</v>
      </c>
      <c r="J211" s="0" t="n">
        <v>1175</v>
      </c>
      <c r="K211" s="0" t="n">
        <v>7.493376074021562</v>
      </c>
    </row>
    <row r="212">
      <c r="A212" s="0" t="n">
        <v>146</v>
      </c>
      <c r="B212" s="0" t="inlineStr">
        <is>
          <t>Cyclone</t>
        </is>
      </c>
      <c r="C212" s="0" t="inlineStr">
        <is>
          <t>Mafia</t>
        </is>
      </c>
      <c r="D212" s="0" t="inlineStr">
        <is>
          <t>Win</t>
        </is>
      </c>
      <c r="E212" s="0" t="n">
        <v>35</v>
      </c>
      <c r="F212" s="0" t="n">
        <v>33.16898264045272</v>
      </c>
      <c r="G212" s="0" t="n">
        <v>33.62147742765654</v>
      </c>
      <c r="H212" s="0" t="n">
        <v>7.227573622957457</v>
      </c>
      <c r="I212" s="0" t="n">
        <v>1514</v>
      </c>
      <c r="J212" s="0" t="n">
        <v>1549</v>
      </c>
      <c r="K212" s="0" t="n">
        <v>7.268222766432418</v>
      </c>
    </row>
    <row r="213">
      <c r="A213" s="0" t="n">
        <v>146</v>
      </c>
      <c r="B213" s="0" t="inlineStr">
        <is>
          <t>Doublea</t>
        </is>
      </c>
      <c r="C213" s="0" t="inlineStr">
        <is>
          <t>Mafia</t>
        </is>
      </c>
      <c r="D213" s="0" t="inlineStr">
        <is>
          <t>Win</t>
        </is>
      </c>
      <c r="E213" s="0" t="n">
        <v>33</v>
      </c>
      <c r="F213" s="0" t="n">
        <v>22.6250937199037</v>
      </c>
      <c r="G213" s="0" t="n">
        <v>23.05638580976444</v>
      </c>
      <c r="H213" s="0" t="n">
        <v>7.058105898476572</v>
      </c>
      <c r="I213" s="0" t="n">
        <v>815</v>
      </c>
      <c r="J213" s="0" t="n">
        <v>848</v>
      </c>
      <c r="K213" s="0" t="n">
        <v>7.095862072345576</v>
      </c>
    </row>
    <row r="214">
      <c r="A214" s="0" t="n">
        <v>146</v>
      </c>
      <c r="B214" s="0" t="inlineStr">
        <is>
          <t>Brownkow</t>
        </is>
      </c>
      <c r="C214" s="0" t="inlineStr">
        <is>
          <t>Mafia</t>
        </is>
      </c>
      <c r="D214" s="0" t="inlineStr">
        <is>
          <t>Win</t>
        </is>
      </c>
      <c r="E214" s="0" t="n">
        <v>20</v>
      </c>
      <c r="F214" s="0" t="n">
        <v>30.70318518650393</v>
      </c>
      <c r="G214" s="0" t="n">
        <v>30.97421708385508</v>
      </c>
      <c r="H214" s="0" t="n">
        <v>5.606509986866246</v>
      </c>
      <c r="I214" s="0" t="n">
        <v>1514</v>
      </c>
      <c r="J214" s="0" t="n">
        <v>1534</v>
      </c>
      <c r="K214" s="0" t="n">
        <v>5.624761591128021</v>
      </c>
    </row>
    <row r="215">
      <c r="A215" s="0" t="n">
        <v>146</v>
      </c>
      <c r="B215" s="0" t="inlineStr">
        <is>
          <t>Rocker</t>
        </is>
      </c>
      <c r="C215" s="0" t="inlineStr">
        <is>
          <t>Town</t>
        </is>
      </c>
      <c r="D215" s="0" t="inlineStr">
        <is>
          <t>Loss</t>
        </is>
      </c>
      <c r="E215" s="0" t="n">
        <v>-17</v>
      </c>
      <c r="F215" s="0" t="n">
        <v>33.69987200486545</v>
      </c>
      <c r="G215" s="0" t="n">
        <v>33.42759174858158</v>
      </c>
      <c r="H215" s="0" t="n">
        <v>5.619318286949182</v>
      </c>
      <c r="I215" s="0" t="n">
        <v>1717</v>
      </c>
      <c r="J215" s="0" t="n">
        <v>1700</v>
      </c>
      <c r="K215" s="0" t="n">
        <v>5.637704475148767</v>
      </c>
    </row>
    <row r="216">
      <c r="A216" s="0" t="n">
        <v>146</v>
      </c>
      <c r="B216" s="0" t="inlineStr">
        <is>
          <t>Chipper</t>
        </is>
      </c>
      <c r="C216" s="0" t="inlineStr">
        <is>
          <t>Town</t>
        </is>
      </c>
      <c r="D216" s="0" t="inlineStr">
        <is>
          <t>Loss</t>
        </is>
      </c>
      <c r="E216" s="0" t="n">
        <v>-21</v>
      </c>
      <c r="F216" s="0" t="n">
        <v>25.18188230492591</v>
      </c>
      <c r="G216" s="0" t="n">
        <v>24.8251973561704</v>
      </c>
      <c r="H216" s="0" t="n">
        <v>6.424730574438456</v>
      </c>
      <c r="I216" s="0" t="n">
        <v>1054</v>
      </c>
      <c r="J216" s="0" t="n">
        <v>1033</v>
      </c>
      <c r="K216" s="0" t="n">
        <v>6.452868123691411</v>
      </c>
    </row>
    <row r="217">
      <c r="A217" s="0" t="n">
        <v>146</v>
      </c>
      <c r="B217" s="0" t="inlineStr">
        <is>
          <t>Strik3r</t>
        </is>
      </c>
      <c r="C217" s="0" t="inlineStr">
        <is>
          <t>Town</t>
        </is>
      </c>
      <c r="D217" s="0" t="inlineStr">
        <is>
          <t>Loss</t>
        </is>
      </c>
      <c r="E217" s="0" t="n">
        <v>-21</v>
      </c>
      <c r="F217" s="0" t="n">
        <v>28.18531271252239</v>
      </c>
      <c r="G217" s="0" t="n">
        <v>27.82607401543861</v>
      </c>
      <c r="H217" s="0" t="n">
        <v>6.447480831969505</v>
      </c>
      <c r="I217" s="0" t="n">
        <v>1256</v>
      </c>
      <c r="J217" s="0" t="n">
        <v>1235</v>
      </c>
      <c r="K217" s="0" t="n">
        <v>6.475932670898761</v>
      </c>
    </row>
    <row r="218">
      <c r="A218" s="0" t="n">
        <v>146</v>
      </c>
      <c r="B218" s="0" t="inlineStr">
        <is>
          <t>Decode</t>
        </is>
      </c>
      <c r="C218" s="0" t="inlineStr">
        <is>
          <t>Town</t>
        </is>
      </c>
      <c r="D218" s="0" t="inlineStr">
        <is>
          <t>Loss</t>
        </is>
      </c>
      <c r="E218" s="0" t="n">
        <v>-28</v>
      </c>
      <c r="F218" s="0" t="n">
        <v>19.49101017911662</v>
      </c>
      <c r="G218" s="0" t="n">
        <v>19.02356153261521</v>
      </c>
      <c r="H218" s="0" t="n">
        <v>7.344637245318671</v>
      </c>
      <c r="I218" s="0" t="n">
        <v>572</v>
      </c>
      <c r="J218" s="0" t="n">
        <v>544</v>
      </c>
      <c r="K218" s="0" t="n">
        <v>7.387367556230349</v>
      </c>
    </row>
    <row r="219">
      <c r="A219" s="0" t="n">
        <v>146</v>
      </c>
      <c r="B219" s="0" t="inlineStr">
        <is>
          <t>Ken</t>
        </is>
      </c>
      <c r="C219" s="0" t="inlineStr">
        <is>
          <t>Town</t>
        </is>
      </c>
      <c r="D219" s="0" t="inlineStr">
        <is>
          <t>Loss</t>
        </is>
      </c>
      <c r="E219" s="0" t="n">
        <v>-26</v>
      </c>
      <c r="F219" s="0" t="n">
        <v>22.30749036755439</v>
      </c>
      <c r="G219" s="0" t="n">
        <v>21.86068992209983</v>
      </c>
      <c r="H219" s="0" t="n">
        <v>7.182470945696956</v>
      </c>
      <c r="I219" s="0" t="n">
        <v>780</v>
      </c>
      <c r="J219" s="0" t="n">
        <v>754</v>
      </c>
      <c r="K219" s="0" t="n">
        <v>7.222336421581884</v>
      </c>
    </row>
    <row r="220">
      <c r="A220" s="0" t="n">
        <v>146</v>
      </c>
      <c r="B220" s="0" t="inlineStr">
        <is>
          <t>Iln</t>
        </is>
      </c>
      <c r="C220" s="0" t="inlineStr">
        <is>
          <t>Town</t>
        </is>
      </c>
      <c r="D220" s="0" t="inlineStr">
        <is>
          <t>Loss</t>
        </is>
      </c>
      <c r="E220" s="0" t="n">
        <v>-17</v>
      </c>
      <c r="F220" s="0" t="n">
        <v>31.16708993678868</v>
      </c>
      <c r="G220" s="0" t="n">
        <v>30.87925996414696</v>
      </c>
      <c r="H220" s="0" t="n">
        <v>5.776414321609985</v>
      </c>
      <c r="I220" s="0" t="n">
        <v>1528</v>
      </c>
      <c r="J220" s="0" t="n">
        <v>1511</v>
      </c>
      <c r="K220" s="0" t="n">
        <v>5.79650120446406</v>
      </c>
    </row>
    <row r="221">
      <c r="A221" s="0" t="n">
        <v>146</v>
      </c>
      <c r="B221" s="0" t="inlineStr">
        <is>
          <t>Smit</t>
        </is>
      </c>
      <c r="C221" s="0" t="inlineStr">
        <is>
          <t>Town</t>
        </is>
      </c>
      <c r="D221" s="0" t="inlineStr">
        <is>
          <t>Loss</t>
        </is>
      </c>
      <c r="E221" s="0" t="n">
        <v>-18</v>
      </c>
      <c r="F221" s="0" t="n">
        <v>24.35429911494107</v>
      </c>
      <c r="G221" s="0" t="n">
        <v>24.04411415819601</v>
      </c>
      <c r="H221" s="0" t="n">
        <v>5.994847039706762</v>
      </c>
      <c r="I221" s="0" t="n">
        <v>1042</v>
      </c>
      <c r="J221" s="0" t="n">
        <v>1024</v>
      </c>
      <c r="K221" s="0" t="n">
        <v>6.017456310660203</v>
      </c>
    </row>
    <row r="222">
      <c r="A222" s="0" t="n">
        <v>146</v>
      </c>
      <c r="B222" s="0" t="inlineStr">
        <is>
          <t>Keegan</t>
        </is>
      </c>
      <c r="C222" s="0" t="inlineStr">
        <is>
          <t>Town</t>
        </is>
      </c>
      <c r="D222" s="0" t="inlineStr">
        <is>
          <t>Loss</t>
        </is>
      </c>
      <c r="E222" s="0" t="n">
        <v>-28</v>
      </c>
      <c r="F222" s="0" t="n">
        <v>27.89821807599614</v>
      </c>
      <c r="G222" s="0" t="n">
        <v>27.41140572106916</v>
      </c>
      <c r="H222" s="0" t="n">
        <v>7.493376074021562</v>
      </c>
      <c r="I222" s="0" t="n">
        <v>1128</v>
      </c>
      <c r="J222" s="0" t="n">
        <v>1100</v>
      </c>
      <c r="K222" s="0" t="n">
        <v>7.53885053390151</v>
      </c>
    </row>
    <row r="223">
      <c r="A223" s="0" t="n">
        <v>146</v>
      </c>
      <c r="B223" s="0" t="inlineStr">
        <is>
          <t>Kwix</t>
        </is>
      </c>
      <c r="C223" s="0" t="inlineStr">
        <is>
          <t>Town</t>
        </is>
      </c>
      <c r="D223" s="0" t="inlineStr">
        <is>
          <t>Loss</t>
        </is>
      </c>
      <c r="E223" s="0" t="n">
        <v>-21</v>
      </c>
      <c r="F223" s="0" t="n">
        <v>23.79989387882748</v>
      </c>
      <c r="G223" s="0" t="n">
        <v>23.45991335185262</v>
      </c>
      <c r="H223" s="0" t="n">
        <v>6.27380860094791</v>
      </c>
      <c r="I223" s="0" t="n">
        <v>976</v>
      </c>
      <c r="J223" s="0" t="n">
        <v>955</v>
      </c>
      <c r="K223" s="0" t="n">
        <v>6.299917422450896</v>
      </c>
    </row>
    <row r="224">
      <c r="A224" s="0" t="n">
        <v>146</v>
      </c>
      <c r="B224" s="0" t="inlineStr">
        <is>
          <t>Gilbert</t>
        </is>
      </c>
      <c r="C224" s="0" t="inlineStr">
        <is>
          <t>Town</t>
        </is>
      </c>
      <c r="D224" s="0" t="inlineStr">
        <is>
          <t>Loss</t>
        </is>
      </c>
      <c r="E224" s="0" t="n">
        <v>-23</v>
      </c>
      <c r="F224" s="0" t="n">
        <v>27.66201146632563</v>
      </c>
      <c r="G224" s="0" t="n">
        <v>27.29193545537447</v>
      </c>
      <c r="H224" s="0" t="n">
        <v>6.543113345157137</v>
      </c>
      <c r="I224" s="0" t="n">
        <v>1211</v>
      </c>
      <c r="J224" s="0" t="n">
        <v>1188</v>
      </c>
      <c r="K224" s="0" t="n">
        <v>6.572911001759006</v>
      </c>
    </row>
    <row r="225">
      <c r="A225" s="0" t="n">
        <v>146</v>
      </c>
      <c r="B225" s="0" t="inlineStr">
        <is>
          <t>Lou</t>
        </is>
      </c>
      <c r="C225" s="0" t="inlineStr">
        <is>
          <t>Town</t>
        </is>
      </c>
      <c r="D225" s="0" t="inlineStr">
        <is>
          <t>Loss</t>
        </is>
      </c>
      <c r="E225" s="0" t="n">
        <v>-19</v>
      </c>
      <c r="F225" s="0" t="n">
        <v>27.29407566765438</v>
      </c>
      <c r="G225" s="0" t="n">
        <v>26.99248145420933</v>
      </c>
      <c r="H225" s="0" t="n">
        <v>5.91189020606216</v>
      </c>
      <c r="I225" s="0" t="n">
        <v>1251</v>
      </c>
      <c r="J225" s="0" t="n">
        <v>1232</v>
      </c>
      <c r="K225" s="0" t="n">
        <v>5.933519501335812</v>
      </c>
    </row>
    <row r="226">
      <c r="A226" s="0" t="n">
        <v>145</v>
      </c>
      <c r="B226" s="0" t="inlineStr">
        <is>
          <t>Rollo</t>
        </is>
      </c>
      <c r="C226" s="0" t="inlineStr">
        <is>
          <t>Mafia</t>
        </is>
      </c>
      <c r="D226" s="0" t="inlineStr">
        <is>
          <t>Loss</t>
        </is>
      </c>
      <c r="E226" s="0" t="n">
        <v>-116</v>
      </c>
      <c r="F226" s="0" t="n">
        <v>35.42611956274443</v>
      </c>
      <c r="G226" s="0" t="n">
        <v>33.6191075616113</v>
      </c>
      <c r="H226" s="0" t="n">
        <v>6.47571172515846</v>
      </c>
      <c r="I226" s="0" t="n">
        <v>1742</v>
      </c>
      <c r="J226" s="0" t="n">
        <v>1626</v>
      </c>
      <c r="K226" s="0" t="n">
        <v>6.534557250114648</v>
      </c>
    </row>
    <row r="227">
      <c r="A227" s="0" t="n">
        <v>145</v>
      </c>
      <c r="B227" s="0" t="inlineStr">
        <is>
          <t>Brownkow</t>
        </is>
      </c>
      <c r="C227" s="0" t="inlineStr">
        <is>
          <t>Mafia</t>
        </is>
      </c>
      <c r="D227" s="0" t="inlineStr">
        <is>
          <t>Loss</t>
        </is>
      </c>
      <c r="E227" s="0" t="n">
        <v>-89</v>
      </c>
      <c r="F227" s="0" t="n">
        <v>32.06024426879428</v>
      </c>
      <c r="G227" s="0" t="n">
        <v>30.70318518650393</v>
      </c>
      <c r="H227" s="0" t="n">
        <v>5.624761591128021</v>
      </c>
      <c r="I227" s="0" t="n">
        <v>1603</v>
      </c>
      <c r="J227" s="0" t="n">
        <v>1514</v>
      </c>
      <c r="K227" s="0" t="n">
        <v>5.662629730908241</v>
      </c>
    </row>
    <row r="228">
      <c r="A228" s="0" t="n">
        <v>145</v>
      </c>
      <c r="B228" s="0" t="inlineStr">
        <is>
          <t>Carson</t>
        </is>
      </c>
      <c r="C228" s="0" t="inlineStr">
        <is>
          <t>Mafia</t>
        </is>
      </c>
      <c r="D228" s="0" t="inlineStr">
        <is>
          <t>Loss</t>
        </is>
      </c>
      <c r="E228" s="0" t="n">
        <v>-98</v>
      </c>
      <c r="F228" s="0" t="n">
        <v>29.17002754026073</v>
      </c>
      <c r="G228" s="0" t="n">
        <v>27.65784128136293</v>
      </c>
      <c r="H228" s="0" t="n">
        <v>5.932857460425895</v>
      </c>
      <c r="I228" s="0" t="n">
        <v>1374</v>
      </c>
      <c r="J228" s="0" t="n">
        <v>1276</v>
      </c>
      <c r="K228" s="0" t="n">
        <v>5.977621021022983</v>
      </c>
    </row>
    <row r="229">
      <c r="A229" s="0" t="n">
        <v>145</v>
      </c>
      <c r="B229" s="0" t="inlineStr">
        <is>
          <t>Laur</t>
        </is>
      </c>
      <c r="C229" s="0" t="inlineStr">
        <is>
          <t>Town</t>
        </is>
      </c>
      <c r="D229" s="0" t="inlineStr">
        <is>
          <t>Win</t>
        </is>
      </c>
      <c r="E229" s="0" t="n">
        <v>115</v>
      </c>
      <c r="F229" s="0" t="n">
        <v>30.07971677822638</v>
      </c>
      <c r="G229" s="0" t="n">
        <v>31.70055166000382</v>
      </c>
      <c r="H229" s="0" t="n">
        <v>6.138888883850913</v>
      </c>
      <c r="I229" s="0" t="n">
        <v>1414</v>
      </c>
      <c r="J229" s="0" t="n">
        <v>1529</v>
      </c>
      <c r="K229" s="0" t="n">
        <v>6.188696637974278</v>
      </c>
    </row>
    <row r="230">
      <c r="A230" s="0" t="n">
        <v>145</v>
      </c>
      <c r="B230" s="0" t="inlineStr">
        <is>
          <t>Strik3r</t>
        </is>
      </c>
      <c r="C230" s="0" t="inlineStr">
        <is>
          <t>Town</t>
        </is>
      </c>
      <c r="D230" s="0" t="inlineStr">
        <is>
          <t>Win</t>
        </is>
      </c>
      <c r="E230" s="0" t="n">
        <v>129</v>
      </c>
      <c r="F230" s="0" t="n">
        <v>26.37817507809782</v>
      </c>
      <c r="G230" s="0" t="n">
        <v>28.18531271252239</v>
      </c>
      <c r="H230" s="0" t="n">
        <v>6.475932670898761</v>
      </c>
      <c r="I230" s="0" t="n">
        <v>1127</v>
      </c>
      <c r="J230" s="0" t="n">
        <v>1256</v>
      </c>
      <c r="K230" s="0" t="n">
        <v>6.53478445832334</v>
      </c>
    </row>
    <row r="231">
      <c r="A231" s="0" t="n">
        <v>145</v>
      </c>
      <c r="B231" s="0" t="inlineStr">
        <is>
          <t>Heckmuffins</t>
        </is>
      </c>
      <c r="C231" s="0" t="inlineStr">
        <is>
          <t>Town</t>
        </is>
      </c>
      <c r="D231" s="0" t="inlineStr">
        <is>
          <t>Win</t>
        </is>
      </c>
      <c r="E231" s="0" t="n">
        <v>187</v>
      </c>
      <c r="F231" s="0" t="n">
        <v>28.29062950614545</v>
      </c>
      <c r="G231" s="0" t="n">
        <v>30.89371876045789</v>
      </c>
      <c r="H231" s="0" t="n">
        <v>7.740605599700429</v>
      </c>
      <c r="I231" s="0" t="n">
        <v>1124</v>
      </c>
      <c r="J231" s="0" t="n">
        <v>1311</v>
      </c>
      <c r="K231" s="0" t="n">
        <v>7.843244072968704</v>
      </c>
    </row>
    <row r="232">
      <c r="A232" s="0" t="n">
        <v>145</v>
      </c>
      <c r="B232" s="0" t="inlineStr">
        <is>
          <t>Keegan</t>
        </is>
      </c>
      <c r="C232" s="0" t="inlineStr">
        <is>
          <t>Town</t>
        </is>
      </c>
      <c r="D232" s="0" t="inlineStr">
        <is>
          <t>Win</t>
        </is>
      </c>
      <c r="E232" s="0" t="n">
        <v>177</v>
      </c>
      <c r="F232" s="0" t="n">
        <v>25.43255350949541</v>
      </c>
      <c r="G232" s="0" t="n">
        <v>27.89821807599614</v>
      </c>
      <c r="H232" s="0" t="n">
        <v>7.53885053390151</v>
      </c>
      <c r="I232" s="0" t="n">
        <v>951</v>
      </c>
      <c r="J232" s="0" t="n">
        <v>1128</v>
      </c>
      <c r="K232" s="0" t="n">
        <v>7.633368526375715</v>
      </c>
    </row>
    <row r="233">
      <c r="A233" s="0" t="n">
        <v>145</v>
      </c>
      <c r="B233" s="0" t="inlineStr">
        <is>
          <t>Iln</t>
        </is>
      </c>
      <c r="C233" s="0" t="inlineStr">
        <is>
          <t>Town</t>
        </is>
      </c>
      <c r="D233" s="0" t="inlineStr">
        <is>
          <t>Win</t>
        </is>
      </c>
      <c r="E233" s="0" t="n">
        <v>102</v>
      </c>
      <c r="F233" s="0" t="n">
        <v>29.72464125913905</v>
      </c>
      <c r="G233" s="0" t="n">
        <v>31.16708993678868</v>
      </c>
      <c r="H233" s="0" t="n">
        <v>5.79650120446406</v>
      </c>
      <c r="I233" s="0" t="n">
        <v>1426</v>
      </c>
      <c r="J233" s="0" t="n">
        <v>1528</v>
      </c>
      <c r="K233" s="0" t="n">
        <v>5.838119504768245</v>
      </c>
    </row>
    <row r="234">
      <c r="A234" s="0" t="n">
        <v>145</v>
      </c>
      <c r="B234" s="0" t="inlineStr">
        <is>
          <t>Kden</t>
        </is>
      </c>
      <c r="C234" s="0" t="inlineStr">
        <is>
          <t>Town</t>
        </is>
      </c>
      <c r="D234" s="0" t="inlineStr">
        <is>
          <t>Win</t>
        </is>
      </c>
      <c r="E234" s="0" t="n">
        <v>116</v>
      </c>
      <c r="F234" s="0" t="n">
        <v>23.12615090377393</v>
      </c>
      <c r="G234" s="0" t="n">
        <v>24.7650453112293</v>
      </c>
      <c r="H234" s="0" t="n">
        <v>6.172424780543912</v>
      </c>
      <c r="I234" s="0" t="n">
        <v>938</v>
      </c>
      <c r="J234" s="0" t="n">
        <v>1054</v>
      </c>
      <c r="K234" s="0" t="n">
        <v>6.223087662433329</v>
      </c>
    </row>
    <row r="235">
      <c r="A235" s="0" t="n">
        <v>145</v>
      </c>
      <c r="B235" s="0" t="inlineStr">
        <is>
          <t>Plen</t>
        </is>
      </c>
      <c r="C235" s="0" t="inlineStr">
        <is>
          <t>Town</t>
        </is>
      </c>
      <c r="D235" s="0" t="inlineStr">
        <is>
          <t>Win</t>
        </is>
      </c>
      <c r="E235" s="0" t="n">
        <v>100</v>
      </c>
      <c r="F235" s="0" t="n">
        <v>21.79360336397024</v>
      </c>
      <c r="G235" s="0" t="n">
        <v>23.19975691224367</v>
      </c>
      <c r="H235" s="0" t="n">
        <v>5.724169330827292</v>
      </c>
      <c r="I235" s="0" t="n">
        <v>894</v>
      </c>
      <c r="J235" s="0" t="n">
        <v>994</v>
      </c>
      <c r="K235" s="0" t="n">
        <v>5.764179874572501</v>
      </c>
    </row>
    <row r="236">
      <c r="A236" s="0" t="n">
        <v>145</v>
      </c>
      <c r="B236" s="0" t="inlineStr">
        <is>
          <t>Kwix</t>
        </is>
      </c>
      <c r="C236" s="0" t="inlineStr">
        <is>
          <t>Town</t>
        </is>
      </c>
      <c r="D236" s="0" t="inlineStr">
        <is>
          <t>Win</t>
        </is>
      </c>
      <c r="E236" s="0" t="n">
        <v>122</v>
      </c>
      <c r="F236" s="0" t="n">
        <v>22.09138156496232</v>
      </c>
      <c r="G236" s="0" t="n">
        <v>23.79989387882748</v>
      </c>
      <c r="H236" s="0" t="n">
        <v>6.299917422450896</v>
      </c>
      <c r="I236" s="0" t="n">
        <v>854</v>
      </c>
      <c r="J236" s="0" t="n">
        <v>976</v>
      </c>
      <c r="K236" s="0" t="n">
        <v>6.353920454751393</v>
      </c>
    </row>
    <row r="237">
      <c r="A237" s="0" t="n">
        <v>145</v>
      </c>
      <c r="B237" s="0" t="inlineStr">
        <is>
          <t>Josh</t>
        </is>
      </c>
      <c r="C237" s="0" t="inlineStr">
        <is>
          <t>Town</t>
        </is>
      </c>
      <c r="D237" s="0" t="inlineStr">
        <is>
          <t>Win</t>
        </is>
      </c>
      <c r="E237" s="0" t="n">
        <v>169</v>
      </c>
      <c r="F237" s="0" t="n">
        <v>29.43966876569284</v>
      </c>
      <c r="G237" s="0" t="n">
        <v>31.78791378076956</v>
      </c>
      <c r="H237" s="0" t="n">
        <v>7.361603547756906</v>
      </c>
      <c r="I237" s="0" t="n">
        <v>1242</v>
      </c>
      <c r="J237" s="0" t="n">
        <v>1411</v>
      </c>
      <c r="K237" s="0" t="n">
        <v>7.44936190947257</v>
      </c>
    </row>
    <row r="238">
      <c r="A238" s="0" t="n">
        <v>145</v>
      </c>
      <c r="B238" s="0" t="inlineStr">
        <is>
          <t>Noah</t>
        </is>
      </c>
      <c r="C238" s="0" t="inlineStr">
        <is>
          <t>Town</t>
        </is>
      </c>
      <c r="D238" s="0" t="inlineStr">
        <is>
          <t>Win</t>
        </is>
      </c>
      <c r="E238" s="0" t="n">
        <v>106</v>
      </c>
      <c r="F238" s="0" t="n">
        <v>31.77542334829847</v>
      </c>
      <c r="G238" s="0" t="n">
        <v>33.27372664046044</v>
      </c>
      <c r="H238" s="0" t="n">
        <v>5.905978998615866</v>
      </c>
      <c r="I238" s="0" t="n">
        <v>1554</v>
      </c>
      <c r="J238" s="0" t="n">
        <v>1660</v>
      </c>
      <c r="K238" s="0" t="n">
        <v>5.95011058855276</v>
      </c>
    </row>
    <row r="239">
      <c r="A239" s="0" t="n">
        <v>145</v>
      </c>
      <c r="B239" s="0" t="inlineStr">
        <is>
          <t>Rocker</t>
        </is>
      </c>
      <c r="C239" s="0" t="inlineStr">
        <is>
          <t>Town</t>
        </is>
      </c>
      <c r="D239" s="0" t="inlineStr">
        <is>
          <t>Win</t>
        </is>
      </c>
      <c r="E239" s="0" t="n">
        <v>97</v>
      </c>
      <c r="F239" s="0" t="n">
        <v>32.33647232687909</v>
      </c>
      <c r="G239" s="0" t="n">
        <v>33.69987200486545</v>
      </c>
      <c r="H239" s="0" t="n">
        <v>5.637704475148767</v>
      </c>
      <c r="I239" s="0" t="n">
        <v>1620</v>
      </c>
      <c r="J239" s="0" t="n">
        <v>1717</v>
      </c>
      <c r="K239" s="0" t="n">
        <v>5.675847200917264</v>
      </c>
    </row>
    <row r="240">
      <c r="A240" s="0" t="n">
        <v>144</v>
      </c>
      <c r="B240" s="0" t="inlineStr">
        <is>
          <t>Motr</t>
        </is>
      </c>
      <c r="C240" s="0" t="inlineStr">
        <is>
          <t>Mafia</t>
        </is>
      </c>
      <c r="D240" s="0" t="inlineStr">
        <is>
          <t>Loss</t>
        </is>
      </c>
      <c r="E240" s="0" t="n">
        <v>-22</v>
      </c>
      <c r="F240" s="0" t="n">
        <v>26.75539834036404</v>
      </c>
      <c r="G240" s="0" t="n">
        <v>26.38253643282769</v>
      </c>
      <c r="H240" s="0" t="n">
        <v>6.732303045208407</v>
      </c>
      <c r="I240" s="0" t="n">
        <v>1129</v>
      </c>
      <c r="J240" s="0" t="n">
        <v>1107</v>
      </c>
      <c r="K240" s="0" t="n">
        <v>6.764609781324416</v>
      </c>
    </row>
    <row r="241">
      <c r="A241" s="0" t="n">
        <v>144</v>
      </c>
      <c r="B241" s="0" t="inlineStr">
        <is>
          <t>Steep</t>
        </is>
      </c>
      <c r="C241" s="0" t="inlineStr">
        <is>
          <t>Mafia</t>
        </is>
      </c>
      <c r="D241" s="0" t="inlineStr">
        <is>
          <t>Loss</t>
        </is>
      </c>
      <c r="E241" s="0" t="n">
        <v>-31</v>
      </c>
      <c r="F241" s="0" t="n">
        <v>24.82345796072337</v>
      </c>
      <c r="G241" s="0" t="n">
        <v>24.28249074122674</v>
      </c>
      <c r="H241" s="0" t="n">
        <v>8.091136268775919</v>
      </c>
      <c r="I241" s="0" t="n">
        <v>857</v>
      </c>
      <c r="J241" s="0" t="n">
        <v>826</v>
      </c>
      <c r="K241" s="0" t="n">
        <v>8.14833660125085</v>
      </c>
    </row>
    <row r="242">
      <c r="A242" s="0" t="n">
        <v>144</v>
      </c>
      <c r="B242" s="0" t="inlineStr">
        <is>
          <t>Aipha</t>
        </is>
      </c>
      <c r="C242" s="0" t="inlineStr">
        <is>
          <t>Mafia</t>
        </is>
      </c>
      <c r="D242" s="0" t="inlineStr">
        <is>
          <t>Loss</t>
        </is>
      </c>
      <c r="E242" s="0" t="n">
        <v>-25</v>
      </c>
      <c r="F242" s="0" t="n">
        <v>19.47282512128482</v>
      </c>
      <c r="G242" s="0" t="n">
        <v>19.05370456899528</v>
      </c>
      <c r="H242" s="0" t="n">
        <v>7.133355079409871</v>
      </c>
      <c r="I242" s="0" t="n">
        <v>593</v>
      </c>
      <c r="J242" s="0" t="n">
        <v>568</v>
      </c>
      <c r="K242" s="0" t="n">
        <v>7.172052450778148</v>
      </c>
    </row>
    <row r="243">
      <c r="A243" s="0" t="n">
        <v>144</v>
      </c>
      <c r="B243" s="0" t="inlineStr">
        <is>
          <t>Keegan</t>
        </is>
      </c>
      <c r="C243" s="0" t="inlineStr">
        <is>
          <t>Town</t>
        </is>
      </c>
      <c r="D243" s="0" t="inlineStr">
        <is>
          <t>Win</t>
        </is>
      </c>
      <c r="E243" s="0" t="n">
        <v>38</v>
      </c>
      <c r="F243" s="0" t="n">
        <v>24.95183455027286</v>
      </c>
      <c r="G243" s="0" t="n">
        <v>25.43255350949541</v>
      </c>
      <c r="H243" s="0" t="n">
        <v>7.633368526375715</v>
      </c>
      <c r="I243" s="0" t="n">
        <v>913</v>
      </c>
      <c r="J243" s="0" t="n">
        <v>951</v>
      </c>
      <c r="K243" s="0" t="n">
        <v>7.68112818462673</v>
      </c>
    </row>
    <row r="244">
      <c r="A244" s="0" t="n">
        <v>144</v>
      </c>
      <c r="B244" s="0" t="inlineStr">
        <is>
          <t>Rocker</t>
        </is>
      </c>
      <c r="C244" s="0" t="inlineStr">
        <is>
          <t>Town</t>
        </is>
      </c>
      <c r="D244" s="0" t="inlineStr">
        <is>
          <t>Win</t>
        </is>
      </c>
      <c r="E244" s="0" t="n">
        <v>20</v>
      </c>
      <c r="F244" s="0" t="n">
        <v>32.0722076813714</v>
      </c>
      <c r="G244" s="0" t="n">
        <v>32.33647232687909</v>
      </c>
      <c r="H244" s="0" t="n">
        <v>5.675847200917264</v>
      </c>
      <c r="I244" s="0" t="n">
        <v>1600</v>
      </c>
      <c r="J244" s="0" t="n">
        <v>1620</v>
      </c>
      <c r="K244" s="0" t="n">
        <v>5.694672747686342</v>
      </c>
    </row>
    <row r="245">
      <c r="A245" s="0" t="n">
        <v>144</v>
      </c>
      <c r="B245" s="0" t="inlineStr">
        <is>
          <t>Chelsea</t>
        </is>
      </c>
      <c r="C245" s="0" t="inlineStr">
        <is>
          <t>Town</t>
        </is>
      </c>
      <c r="D245" s="0" t="inlineStr">
        <is>
          <t>Win</t>
        </is>
      </c>
      <c r="E245" s="0" t="n">
        <v>31</v>
      </c>
      <c r="F245" s="0" t="n">
        <v>27.66576326543426</v>
      </c>
      <c r="G245" s="0" t="n">
        <v>28.07080907370152</v>
      </c>
      <c r="H245" s="0" t="n">
        <v>7.013861488915065</v>
      </c>
      <c r="I245" s="0" t="n">
        <v>1162</v>
      </c>
      <c r="J245" s="0" t="n">
        <v>1193</v>
      </c>
      <c r="K245" s="0" t="n">
        <v>7.050575739324286</v>
      </c>
    </row>
    <row r="246">
      <c r="A246" s="0" t="n">
        <v>144</v>
      </c>
      <c r="B246" s="0" t="inlineStr">
        <is>
          <t>Strik3r</t>
        </is>
      </c>
      <c r="C246" s="0" t="inlineStr">
        <is>
          <t>Town</t>
        </is>
      </c>
      <c r="D246" s="0" t="inlineStr">
        <is>
          <t>Win</t>
        </is>
      </c>
      <c r="E246" s="0" t="n">
        <v>27</v>
      </c>
      <c r="F246" s="0" t="n">
        <v>26.02707260408951</v>
      </c>
      <c r="G246" s="0" t="n">
        <v>26.37817507809782</v>
      </c>
      <c r="H246" s="0" t="n">
        <v>6.53478445832334</v>
      </c>
      <c r="I246" s="0" t="n">
        <v>1100</v>
      </c>
      <c r="J246" s="0" t="n">
        <v>1127</v>
      </c>
      <c r="K246" s="0" t="n">
        <v>6.564214205054312</v>
      </c>
    </row>
    <row r="247">
      <c r="A247" s="0" t="n">
        <v>144</v>
      </c>
      <c r="B247" s="0" t="inlineStr">
        <is>
          <t>Josh</t>
        </is>
      </c>
      <c r="C247" s="0" t="inlineStr">
        <is>
          <t>Town</t>
        </is>
      </c>
      <c r="D247" s="0" t="inlineStr">
        <is>
          <t>Win</t>
        </is>
      </c>
      <c r="E247" s="0" t="n">
        <v>36</v>
      </c>
      <c r="F247" s="0" t="n">
        <v>28.98212716334476</v>
      </c>
      <c r="G247" s="0" t="n">
        <v>29.43966876569284</v>
      </c>
      <c r="H247" s="0" t="n">
        <v>7.44936190947257</v>
      </c>
      <c r="I247" s="0" t="n">
        <v>1206</v>
      </c>
      <c r="J247" s="0" t="n">
        <v>1242</v>
      </c>
      <c r="K247" s="0" t="n">
        <v>7.493639861563507</v>
      </c>
    </row>
    <row r="248">
      <c r="A248" s="0" t="n">
        <v>144</v>
      </c>
      <c r="B248" s="0" t="inlineStr">
        <is>
          <t>Carson</t>
        </is>
      </c>
      <c r="C248" s="0" t="inlineStr">
        <is>
          <t>Town</t>
        </is>
      </c>
      <c r="D248" s="0" t="inlineStr">
        <is>
          <t>Win</t>
        </is>
      </c>
      <c r="E248" s="0" t="n">
        <v>22</v>
      </c>
      <c r="F248" s="0" t="n">
        <v>28.87669053786705</v>
      </c>
      <c r="G248" s="0" t="n">
        <v>29.17002754026073</v>
      </c>
      <c r="H248" s="0" t="n">
        <v>5.977621021022983</v>
      </c>
      <c r="I248" s="0" t="n">
        <v>1352</v>
      </c>
      <c r="J248" s="0" t="n">
        <v>1374</v>
      </c>
      <c r="K248" s="0" t="n">
        <v>5.999834905425656</v>
      </c>
    </row>
    <row r="249">
      <c r="A249" s="0" t="n">
        <v>144</v>
      </c>
      <c r="B249" s="0" t="inlineStr">
        <is>
          <t>Siggy</t>
        </is>
      </c>
      <c r="C249" s="0" t="inlineStr">
        <is>
          <t>Town</t>
        </is>
      </c>
      <c r="D249" s="0" t="inlineStr">
        <is>
          <t>Win</t>
        </is>
      </c>
      <c r="E249" s="0" t="n">
        <v>36</v>
      </c>
      <c r="F249" s="0" t="n">
        <v>28.50554148284637</v>
      </c>
      <c r="G249" s="0" t="n">
        <v>28.97673988566365</v>
      </c>
      <c r="H249" s="0" t="n">
        <v>7.558353913562187</v>
      </c>
      <c r="I249" s="0" t="n">
        <v>1163</v>
      </c>
      <c r="J249" s="0" t="n">
        <v>1199</v>
      </c>
      <c r="K249" s="0" t="n">
        <v>7.604673077752357</v>
      </c>
    </row>
    <row r="250">
      <c r="A250" s="0" t="n">
        <v>144</v>
      </c>
      <c r="B250" s="0" t="inlineStr">
        <is>
          <t>Plen</t>
        </is>
      </c>
      <c r="C250" s="0" t="inlineStr">
        <is>
          <t>Town</t>
        </is>
      </c>
      <c r="D250" s="0" t="inlineStr">
        <is>
          <t>Win</t>
        </is>
      </c>
      <c r="E250" s="0" t="n">
        <v>21</v>
      </c>
      <c r="F250" s="0" t="n">
        <v>21.52098935677936</v>
      </c>
      <c r="G250" s="0" t="n">
        <v>21.79360336397024</v>
      </c>
      <c r="H250" s="0" t="n">
        <v>5.764179874572501</v>
      </c>
      <c r="I250" s="0" t="n">
        <v>873</v>
      </c>
      <c r="J250" s="0" t="n">
        <v>894</v>
      </c>
      <c r="K250" s="0" t="n">
        <v>5.783961230809478</v>
      </c>
    </row>
    <row r="251">
      <c r="A251" s="0" t="n">
        <v>144</v>
      </c>
      <c r="B251" s="0" t="inlineStr">
        <is>
          <t>Rollo</t>
        </is>
      </c>
      <c r="C251" s="0" t="inlineStr">
        <is>
          <t>Town</t>
        </is>
      </c>
      <c r="D251" s="0" t="inlineStr">
        <is>
          <t>Win</t>
        </is>
      </c>
      <c r="E251" s="0" t="n">
        <v>26</v>
      </c>
      <c r="F251" s="0" t="n">
        <v>35.07504173152109</v>
      </c>
      <c r="G251" s="0" t="n">
        <v>35.42611956274443</v>
      </c>
      <c r="H251" s="0" t="n">
        <v>6.534557250114648</v>
      </c>
      <c r="I251" s="0" t="n">
        <v>1716</v>
      </c>
      <c r="J251" s="0" t="n">
        <v>1742</v>
      </c>
      <c r="K251" s="0" t="n">
        <v>6.56398378671214</v>
      </c>
    </row>
    <row r="252">
      <c r="A252" s="0" t="n">
        <v>144</v>
      </c>
      <c r="B252" s="0" t="inlineStr">
        <is>
          <t>Whyin</t>
        </is>
      </c>
      <c r="C252" s="0" t="inlineStr">
        <is>
          <t>Town</t>
        </is>
      </c>
      <c r="D252" s="0" t="inlineStr">
        <is>
          <t>Win</t>
        </is>
      </c>
      <c r="E252" s="0" t="n">
        <v>27</v>
      </c>
      <c r="F252" s="0" t="n">
        <v>27.79695979514918</v>
      </c>
      <c r="G252" s="0" t="n">
        <v>28.14517498217953</v>
      </c>
      <c r="H252" s="0" t="n">
        <v>6.50810745147148</v>
      </c>
      <c r="I252" s="0" t="n">
        <v>1223</v>
      </c>
      <c r="J252" s="0" t="n">
        <v>1250</v>
      </c>
      <c r="K252" s="0" t="n">
        <v>6.537161828843418</v>
      </c>
    </row>
    <row r="253">
      <c r="A253" s="0" t="n">
        <v>143</v>
      </c>
      <c r="B253" s="0" t="inlineStr">
        <is>
          <t>Jonas</t>
        </is>
      </c>
      <c r="C253" s="0" t="inlineStr">
        <is>
          <t>Mafia</t>
        </is>
      </c>
      <c r="D253" s="0" t="inlineStr">
        <is>
          <t>Win</t>
        </is>
      </c>
      <c r="E253" s="0" t="n">
        <v>55</v>
      </c>
      <c r="F253" s="0" t="n">
        <v>24.18341482460416</v>
      </c>
      <c r="G253" s="0" t="n">
        <v>24.8812681349039</v>
      </c>
      <c r="H253" s="0" t="n">
        <v>8.1860942783096</v>
      </c>
      <c r="I253" s="0" t="n">
        <v>802</v>
      </c>
      <c r="J253" s="0" t="n">
        <v>857</v>
      </c>
      <c r="K253" s="0" t="n">
        <v>8.255216555480473</v>
      </c>
    </row>
    <row r="254">
      <c r="A254" s="0" t="n">
        <v>143</v>
      </c>
      <c r="B254" s="0" t="inlineStr">
        <is>
          <t>Rocker</t>
        </is>
      </c>
      <c r="C254" s="0" t="inlineStr">
        <is>
          <t>Mafia</t>
        </is>
      </c>
      <c r="D254" s="0" t="inlineStr">
        <is>
          <t>Win</t>
        </is>
      </c>
      <c r="E254" s="0" t="n">
        <v>25</v>
      </c>
      <c r="F254" s="0" t="n">
        <v>31.73747417669821</v>
      </c>
      <c r="G254" s="0" t="n">
        <v>32.0722076813714</v>
      </c>
      <c r="H254" s="0" t="n">
        <v>5.694672747686342</v>
      </c>
      <c r="I254" s="0" t="n">
        <v>1575</v>
      </c>
      <c r="J254" s="0" t="n">
        <v>1600</v>
      </c>
      <c r="K254" s="0" t="n">
        <v>5.716910885998446</v>
      </c>
    </row>
    <row r="255">
      <c r="A255" s="0" t="n">
        <v>143</v>
      </c>
      <c r="B255" s="0" t="inlineStr">
        <is>
          <t>Xcync</t>
        </is>
      </c>
      <c r="C255" s="0" t="inlineStr">
        <is>
          <t>Mafia</t>
        </is>
      </c>
      <c r="D255" s="0" t="inlineStr">
        <is>
          <t>Win</t>
        </is>
      </c>
      <c r="E255" s="0" t="n">
        <v>43</v>
      </c>
      <c r="F255" s="0" t="n">
        <v>28.9365012046363</v>
      </c>
      <c r="G255" s="0" t="n">
        <v>29.49703346543098</v>
      </c>
      <c r="H255" s="0" t="n">
        <v>7.348941253145957</v>
      </c>
      <c r="I255" s="0" t="n">
        <v>1213</v>
      </c>
      <c r="J255" s="0" t="n">
        <v>1256</v>
      </c>
      <c r="K255" s="0" t="n">
        <v>7.398418587741194</v>
      </c>
    </row>
    <row r="256">
      <c r="A256" s="0" t="n">
        <v>143</v>
      </c>
      <c r="B256" s="0" t="inlineStr">
        <is>
          <t>Motr</t>
        </is>
      </c>
      <c r="C256" s="0" t="inlineStr">
        <is>
          <t>Town</t>
        </is>
      </c>
      <c r="D256" s="0" t="inlineStr">
        <is>
          <t>Loss</t>
        </is>
      </c>
      <c r="E256" s="0" t="n">
        <v>-29</v>
      </c>
      <c r="F256" s="0" t="n">
        <v>27.22933316784105</v>
      </c>
      <c r="G256" s="0" t="n">
        <v>26.75539834036404</v>
      </c>
      <c r="H256" s="0" t="n">
        <v>6.764609781324416</v>
      </c>
      <c r="I256" s="0" t="n">
        <v>1158</v>
      </c>
      <c r="J256" s="0" t="n">
        <v>1129</v>
      </c>
      <c r="K256" s="0" t="n">
        <v>6.802846255540481</v>
      </c>
    </row>
    <row r="257">
      <c r="A257" s="0" t="n">
        <v>143</v>
      </c>
      <c r="B257" s="0" t="inlineStr">
        <is>
          <t>Strik3r</t>
        </is>
      </c>
      <c r="C257" s="0" t="inlineStr">
        <is>
          <t>Town</t>
        </is>
      </c>
      <c r="D257" s="0" t="inlineStr">
        <is>
          <t>Loss</t>
        </is>
      </c>
      <c r="E257" s="0" t="n">
        <v>-27</v>
      </c>
      <c r="F257" s="0" t="n">
        <v>26.47303944375046</v>
      </c>
      <c r="G257" s="0" t="n">
        <v>26.02707260408951</v>
      </c>
      <c r="H257" s="0" t="n">
        <v>6.564214205054312</v>
      </c>
      <c r="I257" s="0" t="n">
        <v>1127</v>
      </c>
      <c r="J257" s="0" t="n">
        <v>1100</v>
      </c>
      <c r="K257" s="0" t="n">
        <v>6.599023652072665</v>
      </c>
    </row>
    <row r="258">
      <c r="A258" s="0" t="n">
        <v>143</v>
      </c>
      <c r="B258" s="0" t="inlineStr">
        <is>
          <t>Brownkow</t>
        </is>
      </c>
      <c r="C258" s="0" t="inlineStr">
        <is>
          <t>Town</t>
        </is>
      </c>
      <c r="D258" s="0" t="inlineStr">
        <is>
          <t>Loss</t>
        </is>
      </c>
      <c r="E258" s="0" t="n">
        <v>-20</v>
      </c>
      <c r="F258" s="0" t="n">
        <v>32.3911909345027</v>
      </c>
      <c r="G258" s="0" t="n">
        <v>32.06024426879428</v>
      </c>
      <c r="H258" s="0" t="n">
        <v>5.662629730908241</v>
      </c>
      <c r="I258" s="0" t="n">
        <v>1623</v>
      </c>
      <c r="J258" s="0" t="n">
        <v>1603</v>
      </c>
      <c r="K258" s="0" t="n">
        <v>5.684471258725365</v>
      </c>
    </row>
    <row r="259">
      <c r="A259" s="0" t="n">
        <v>143</v>
      </c>
      <c r="B259" s="0" t="inlineStr">
        <is>
          <t>Chipper</t>
        </is>
      </c>
      <c r="C259" s="0" t="inlineStr">
        <is>
          <t>Town</t>
        </is>
      </c>
      <c r="D259" s="0" t="inlineStr">
        <is>
          <t>Loss</t>
        </is>
      </c>
      <c r="E259" s="0" t="n">
        <v>-26</v>
      </c>
      <c r="F259" s="0" t="n">
        <v>25.61268882369832</v>
      </c>
      <c r="G259" s="0" t="n">
        <v>25.18188230492591</v>
      </c>
      <c r="H259" s="0" t="n">
        <v>6.452868123691411</v>
      </c>
      <c r="I259" s="0" t="n">
        <v>1080</v>
      </c>
      <c r="J259" s="0" t="n">
        <v>1054</v>
      </c>
      <c r="K259" s="0" t="n">
        <v>6.485863129229662</v>
      </c>
    </row>
    <row r="260">
      <c r="A260" s="0" t="n">
        <v>143</v>
      </c>
      <c r="B260" s="0" t="inlineStr">
        <is>
          <t>Chelsea</t>
        </is>
      </c>
      <c r="C260" s="0" t="inlineStr">
        <is>
          <t>Town</t>
        </is>
      </c>
      <c r="D260" s="0" t="inlineStr">
        <is>
          <t>Loss</t>
        </is>
      </c>
      <c r="E260" s="0" t="n">
        <v>-31</v>
      </c>
      <c r="F260" s="0" t="n">
        <v>28.18113582308315</v>
      </c>
      <c r="G260" s="0" t="n">
        <v>27.66576326543426</v>
      </c>
      <c r="H260" s="0" t="n">
        <v>7.050575739324286</v>
      </c>
      <c r="I260" s="0" t="n">
        <v>1193</v>
      </c>
      <c r="J260" s="0" t="n">
        <v>1162</v>
      </c>
      <c r="K260" s="0" t="n">
        <v>7.094074766381737</v>
      </c>
    </row>
    <row r="261">
      <c r="A261" s="0" t="n">
        <v>143</v>
      </c>
      <c r="B261" s="0" t="inlineStr">
        <is>
          <t>Iln</t>
        </is>
      </c>
      <c r="C261" s="0" t="inlineStr">
        <is>
          <t>Town</t>
        </is>
      </c>
      <c r="D261" s="0" t="inlineStr">
        <is>
          <t>Loss</t>
        </is>
      </c>
      <c r="E261" s="0" t="n">
        <v>-21</v>
      </c>
      <c r="F261" s="0" t="n">
        <v>30.07659809000109</v>
      </c>
      <c r="G261" s="0" t="n">
        <v>29.72464125913905</v>
      </c>
      <c r="H261" s="0" t="n">
        <v>5.838119504768245</v>
      </c>
      <c r="I261" s="0" t="n">
        <v>1447</v>
      </c>
      <c r="J261" s="0" t="n">
        <v>1426</v>
      </c>
      <c r="K261" s="0" t="n">
        <v>5.862188522249563</v>
      </c>
    </row>
    <row r="262">
      <c r="A262" s="0" t="n">
        <v>143</v>
      </c>
      <c r="B262" s="0" t="inlineStr">
        <is>
          <t>Kden</t>
        </is>
      </c>
      <c r="C262" s="0" t="inlineStr">
        <is>
          <t>Town</t>
        </is>
      </c>
      <c r="D262" s="0" t="inlineStr">
        <is>
          <t>Loss</t>
        </is>
      </c>
      <c r="E262" s="0" t="n">
        <v>-24</v>
      </c>
      <c r="F262" s="0" t="n">
        <v>23.5265257140308</v>
      </c>
      <c r="G262" s="0" t="n">
        <v>23.12615090377393</v>
      </c>
      <c r="H262" s="0" t="n">
        <v>6.223087662433329</v>
      </c>
      <c r="I262" s="0" t="n">
        <v>962</v>
      </c>
      <c r="J262" s="0" t="n">
        <v>938</v>
      </c>
      <c r="K262" s="0" t="n">
        <v>6.252534486134416</v>
      </c>
    </row>
    <row r="263">
      <c r="A263" s="0" t="n">
        <v>143</v>
      </c>
      <c r="B263" s="0" t="inlineStr">
        <is>
          <t>Decode</t>
        </is>
      </c>
      <c r="C263" s="0" t="inlineStr">
        <is>
          <t>Town</t>
        </is>
      </c>
      <c r="D263" s="0" t="inlineStr">
        <is>
          <t>Loss</t>
        </is>
      </c>
      <c r="E263" s="0" t="n">
        <v>-33</v>
      </c>
      <c r="F263" s="0" t="n">
        <v>20.05750210085584</v>
      </c>
      <c r="G263" s="0" t="n">
        <v>19.49101017911662</v>
      </c>
      <c r="H263" s="0" t="n">
        <v>7.387367556230349</v>
      </c>
      <c r="I263" s="0" t="n">
        <v>605</v>
      </c>
      <c r="J263" s="0" t="n">
        <v>572</v>
      </c>
      <c r="K263" s="0" t="n">
        <v>7.437652279373066</v>
      </c>
    </row>
    <row r="264">
      <c r="A264" s="0" t="n">
        <v>143</v>
      </c>
      <c r="B264" s="0" t="inlineStr">
        <is>
          <t>Gilbert</t>
        </is>
      </c>
      <c r="C264" s="0" t="inlineStr">
        <is>
          <t>Town</t>
        </is>
      </c>
      <c r="D264" s="0" t="inlineStr">
        <is>
          <t>Loss</t>
        </is>
      </c>
      <c r="E264" s="0" t="n">
        <v>-26</v>
      </c>
      <c r="F264" s="0" t="n">
        <v>28.1091738192661</v>
      </c>
      <c r="G264" s="0" t="n">
        <v>27.66201146632563</v>
      </c>
      <c r="H264" s="0" t="n">
        <v>6.572911001759006</v>
      </c>
      <c r="I264" s="0" t="n">
        <v>1237</v>
      </c>
      <c r="J264" s="0" t="n">
        <v>1211</v>
      </c>
      <c r="K264" s="0" t="n">
        <v>6.607864835774302</v>
      </c>
    </row>
    <row r="265">
      <c r="A265" s="0" t="n">
        <v>143</v>
      </c>
      <c r="B265" s="0" t="inlineStr">
        <is>
          <t>Ken</t>
        </is>
      </c>
      <c r="C265" s="0" t="inlineStr">
        <is>
          <t>Town</t>
        </is>
      </c>
      <c r="D265" s="0" t="inlineStr">
        <is>
          <t>Loss</t>
        </is>
      </c>
      <c r="E265" s="0" t="n">
        <v>-32</v>
      </c>
      <c r="F265" s="0" t="n">
        <v>22.84861916194843</v>
      </c>
      <c r="G265" s="0" t="n">
        <v>22.30749036755439</v>
      </c>
      <c r="H265" s="0" t="n">
        <v>7.222336421581884</v>
      </c>
      <c r="I265" s="0" t="n">
        <v>812</v>
      </c>
      <c r="J265" s="0" t="n">
        <v>780</v>
      </c>
      <c r="K265" s="0" t="n">
        <v>7.269214634414785</v>
      </c>
    </row>
    <row r="266">
      <c r="A266" s="0" t="n">
        <v>142</v>
      </c>
      <c r="B266" s="0" t="inlineStr">
        <is>
          <t>Gilbert</t>
        </is>
      </c>
      <c r="C266" s="0" t="inlineStr">
        <is>
          <t>Mafia</t>
        </is>
      </c>
      <c r="D266" s="0" t="inlineStr">
        <is>
          <t>Win</t>
        </is>
      </c>
      <c r="E266" s="0" t="n">
        <v>39</v>
      </c>
      <c r="F266" s="0" t="n">
        <v>27.58959606830323</v>
      </c>
      <c r="G266" s="0" t="n">
        <v>28.1091738192661</v>
      </c>
      <c r="H266" s="0" t="n">
        <v>6.607864835774302</v>
      </c>
      <c r="I266" s="0" t="n">
        <v>1198</v>
      </c>
      <c r="J266" s="0" t="n">
        <v>1237</v>
      </c>
      <c r="K266" s="0" t="n">
        <v>6.646995824062139</v>
      </c>
    </row>
    <row r="267">
      <c r="A267" s="0" t="n">
        <v>142</v>
      </c>
      <c r="B267" s="0" t="inlineStr">
        <is>
          <t>Iln</t>
        </is>
      </c>
      <c r="C267" s="0" t="inlineStr">
        <is>
          <t>Mafia</t>
        </is>
      </c>
      <c r="D267" s="0" t="inlineStr">
        <is>
          <t>Win</t>
        </is>
      </c>
      <c r="E267" s="0" t="n">
        <v>30</v>
      </c>
      <c r="F267" s="0" t="n">
        <v>29.66873095707804</v>
      </c>
      <c r="G267" s="0" t="n">
        <v>30.07659809000109</v>
      </c>
      <c r="H267" s="0" t="n">
        <v>5.862188522249563</v>
      </c>
      <c r="I267" s="0" t="n">
        <v>1417</v>
      </c>
      <c r="J267" s="0" t="n">
        <v>1447</v>
      </c>
      <c r="K267" s="0" t="n">
        <v>5.88906064449452</v>
      </c>
    </row>
    <row r="268">
      <c r="A268" s="0" t="n">
        <v>142</v>
      </c>
      <c r="B268" s="0" t="inlineStr">
        <is>
          <t>Motr</t>
        </is>
      </c>
      <c r="C268" s="0" t="inlineStr">
        <is>
          <t>Mafia</t>
        </is>
      </c>
      <c r="D268" s="0" t="inlineStr">
        <is>
          <t>Win</t>
        </is>
      </c>
      <c r="E268" s="0" t="n">
        <v>42</v>
      </c>
      <c r="F268" s="0" t="n">
        <v>26.67823537591612</v>
      </c>
      <c r="G268" s="0" t="n">
        <v>27.22933316784105</v>
      </c>
      <c r="H268" s="0" t="n">
        <v>6.802846255540481</v>
      </c>
      <c r="I268" s="0" t="n">
        <v>1116</v>
      </c>
      <c r="J268" s="0" t="n">
        <v>1158</v>
      </c>
      <c r="K268" s="0" t="n">
        <v>6.84569080180514</v>
      </c>
    </row>
    <row r="269">
      <c r="A269" s="0" t="n">
        <v>142</v>
      </c>
      <c r="B269" s="0" t="inlineStr">
        <is>
          <t>Jonas</t>
        </is>
      </c>
      <c r="C269" s="0" t="inlineStr">
        <is>
          <t>Town</t>
        </is>
      </c>
      <c r="D269" s="0" t="inlineStr">
        <is>
          <t>Loss</t>
        </is>
      </c>
      <c r="E269" s="0" t="n">
        <v>-48</v>
      </c>
      <c r="F269" s="0" t="n">
        <v>25</v>
      </c>
      <c r="G269" s="0" t="n">
        <v>24.18341482460416</v>
      </c>
      <c r="H269" s="0" t="n">
        <v>8.255216555480473</v>
      </c>
      <c r="I269" s="0" t="n">
        <v>850</v>
      </c>
      <c r="J269" s="0" t="n">
        <v>802</v>
      </c>
      <c r="K269" s="0" t="n">
        <v>8.333333333333334</v>
      </c>
    </row>
    <row r="270">
      <c r="A270" s="0" t="n">
        <v>142</v>
      </c>
      <c r="B270" s="0" t="inlineStr">
        <is>
          <t>Ken</t>
        </is>
      </c>
      <c r="C270" s="0" t="inlineStr">
        <is>
          <t>Town</t>
        </is>
      </c>
      <c r="D270" s="0" t="inlineStr">
        <is>
          <t>Loss</t>
        </is>
      </c>
      <c r="E270" s="0" t="n">
        <v>-38</v>
      </c>
      <c r="F270" s="0" t="n">
        <v>23.47903396600999</v>
      </c>
      <c r="G270" s="0" t="n">
        <v>22.84861916194843</v>
      </c>
      <c r="H270" s="0" t="n">
        <v>7.269214634414785</v>
      </c>
      <c r="I270" s="0" t="n">
        <v>850</v>
      </c>
      <c r="J270" s="0" t="n">
        <v>812</v>
      </c>
      <c r="K270" s="0" t="n">
        <v>7.321869355003269</v>
      </c>
    </row>
    <row r="271">
      <c r="A271" s="0" t="n">
        <v>142</v>
      </c>
      <c r="B271" s="0" t="inlineStr">
        <is>
          <t>Chelsea</t>
        </is>
      </c>
      <c r="C271" s="0" t="inlineStr">
        <is>
          <t>Town</t>
        </is>
      </c>
      <c r="D271" s="0" t="inlineStr">
        <is>
          <t>Loss</t>
        </is>
      </c>
      <c r="E271" s="0" t="n">
        <v>-36</v>
      </c>
      <c r="F271" s="0" t="n">
        <v>28.78111227134587</v>
      </c>
      <c r="G271" s="0" t="n">
        <v>28.18113582308315</v>
      </c>
      <c r="H271" s="0" t="n">
        <v>7.094074766381737</v>
      </c>
      <c r="I271" s="0" t="n">
        <v>1229</v>
      </c>
      <c r="J271" s="0" t="n">
        <v>1193</v>
      </c>
      <c r="K271" s="0" t="n">
        <v>7.142887668122205</v>
      </c>
    </row>
    <row r="272">
      <c r="A272" s="0" t="n">
        <v>142</v>
      </c>
      <c r="B272" s="0" t="inlineStr">
        <is>
          <t>Keegan</t>
        </is>
      </c>
      <c r="C272" s="0" t="inlineStr">
        <is>
          <t>Town</t>
        </is>
      </c>
      <c r="D272" s="0" t="inlineStr">
        <is>
          <t>Loss</t>
        </is>
      </c>
      <c r="E272" s="0" t="n">
        <v>-42</v>
      </c>
      <c r="F272" s="0" t="n">
        <v>25.65694973522627</v>
      </c>
      <c r="G272" s="0" t="n">
        <v>24.95183455027286</v>
      </c>
      <c r="H272" s="0" t="n">
        <v>7.68112818462673</v>
      </c>
      <c r="I272" s="0" t="n">
        <v>955</v>
      </c>
      <c r="J272" s="0" t="n">
        <v>913</v>
      </c>
      <c r="K272" s="0" t="n">
        <v>7.743603344243956</v>
      </c>
    </row>
    <row r="273">
      <c r="A273" s="0" t="n">
        <v>142</v>
      </c>
      <c r="B273" s="0" t="inlineStr">
        <is>
          <t>Strik3r</t>
        </is>
      </c>
      <c r="C273" s="0" t="inlineStr">
        <is>
          <t>Town</t>
        </is>
      </c>
      <c r="D273" s="0" t="inlineStr">
        <is>
          <t>Loss</t>
        </is>
      </c>
      <c r="E273" s="0" t="n">
        <v>-31</v>
      </c>
      <c r="F273" s="0" t="n">
        <v>26.99121077408364</v>
      </c>
      <c r="G273" s="0" t="n">
        <v>26.47303944375046</v>
      </c>
      <c r="H273" s="0" t="n">
        <v>6.599023652072665</v>
      </c>
      <c r="I273" s="0" t="n">
        <v>1158</v>
      </c>
      <c r="J273" s="0" t="n">
        <v>1127</v>
      </c>
      <c r="K273" s="0" t="n">
        <v>6.637991468515078</v>
      </c>
    </row>
    <row r="274">
      <c r="A274" s="0" t="n">
        <v>142</v>
      </c>
      <c r="B274" s="0" t="inlineStr">
        <is>
          <t>Cyclone</t>
        </is>
      </c>
      <c r="C274" s="0" t="inlineStr">
        <is>
          <t>Town</t>
        </is>
      </c>
      <c r="D274" s="0" t="inlineStr">
        <is>
          <t>Loss</t>
        </is>
      </c>
      <c r="E274" s="0" t="n">
        <v>-38</v>
      </c>
      <c r="F274" s="0" t="n">
        <v>33.79922284801032</v>
      </c>
      <c r="G274" s="0" t="n">
        <v>33.16898264045272</v>
      </c>
      <c r="H274" s="0" t="n">
        <v>7.268222766432418</v>
      </c>
      <c r="I274" s="0" t="n">
        <v>1552</v>
      </c>
      <c r="J274" s="0" t="n">
        <v>1514</v>
      </c>
      <c r="K274" s="0" t="n">
        <v>7.320855181636241</v>
      </c>
    </row>
    <row r="275">
      <c r="A275" s="0" t="n">
        <v>142</v>
      </c>
      <c r="B275" s="0" t="inlineStr">
        <is>
          <t>Smit</t>
        </is>
      </c>
      <c r="C275" s="0" t="inlineStr">
        <is>
          <t>Town</t>
        </is>
      </c>
      <c r="D275" s="0" t="inlineStr">
        <is>
          <t>Loss</t>
        </is>
      </c>
      <c r="E275" s="0" t="n">
        <v>-27</v>
      </c>
      <c r="F275" s="0" t="n">
        <v>24.78427916862594</v>
      </c>
      <c r="G275" s="0" t="n">
        <v>24.35429911494107</v>
      </c>
      <c r="H275" s="0" t="n">
        <v>6.017456310660203</v>
      </c>
      <c r="I275" s="0" t="n">
        <v>1069</v>
      </c>
      <c r="J275" s="0" t="n">
        <v>1042</v>
      </c>
      <c r="K275" s="0" t="n">
        <v>6.046639076946176</v>
      </c>
    </row>
    <row r="276">
      <c r="A276" s="0" t="n">
        <v>142</v>
      </c>
      <c r="B276" s="0" t="inlineStr">
        <is>
          <t>Rocker</t>
        </is>
      </c>
      <c r="C276" s="0" t="inlineStr">
        <is>
          <t>Town</t>
        </is>
      </c>
      <c r="D276" s="0" t="inlineStr">
        <is>
          <t>Loss</t>
        </is>
      </c>
      <c r="E276" s="0" t="n">
        <v>-24</v>
      </c>
      <c r="F276" s="0" t="n">
        <v>32.12519459829325</v>
      </c>
      <c r="G276" s="0" t="n">
        <v>31.73747417669821</v>
      </c>
      <c r="H276" s="0" t="n">
        <v>5.716910885998446</v>
      </c>
      <c r="I276" s="0" t="n">
        <v>1599</v>
      </c>
      <c r="J276" s="0" t="n">
        <v>1575</v>
      </c>
      <c r="K276" s="0" t="n">
        <v>5.741729867001977</v>
      </c>
    </row>
    <row r="277">
      <c r="A277" s="0" t="n">
        <v>142</v>
      </c>
      <c r="B277" s="0" t="inlineStr">
        <is>
          <t>Badpants</t>
        </is>
      </c>
      <c r="C277" s="0" t="inlineStr">
        <is>
          <t>Town</t>
        </is>
      </c>
      <c r="D277" s="0" t="inlineStr">
        <is>
          <t>Loss</t>
        </is>
      </c>
      <c r="E277" s="0" t="n">
        <v>-25</v>
      </c>
      <c r="F277" s="0" t="n">
        <v>23.50917181110132</v>
      </c>
      <c r="G277" s="0" t="n">
        <v>23.09081374010995</v>
      </c>
      <c r="H277" s="0" t="n">
        <v>5.936377993310273</v>
      </c>
      <c r="I277" s="0" t="n">
        <v>990</v>
      </c>
      <c r="J277" s="0" t="n">
        <v>965</v>
      </c>
      <c r="K277" s="0" t="n">
        <v>5.964338969592743</v>
      </c>
    </row>
    <row r="278">
      <c r="A278" s="0" t="n">
        <v>142</v>
      </c>
      <c r="B278" s="0" t="inlineStr">
        <is>
          <t>Kden</t>
        </is>
      </c>
      <c r="C278" s="0" t="inlineStr">
        <is>
          <t>Town</t>
        </is>
      </c>
      <c r="D278" s="0" t="inlineStr">
        <is>
          <t>Loss</t>
        </is>
      </c>
      <c r="E278" s="0" t="n">
        <v>-28</v>
      </c>
      <c r="F278" s="0" t="n">
        <v>23.99113132172599</v>
      </c>
      <c r="G278" s="0" t="n">
        <v>23.5265257140308</v>
      </c>
      <c r="H278" s="0" t="n">
        <v>6.252534486134416</v>
      </c>
      <c r="I278" s="0" t="n">
        <v>990</v>
      </c>
      <c r="J278" s="0" t="n">
        <v>962</v>
      </c>
      <c r="K278" s="0" t="n">
        <v>6.285452395674765</v>
      </c>
    </row>
    <row r="279">
      <c r="A279" s="0" t="n">
        <v>141</v>
      </c>
      <c r="B279" s="0" t="inlineStr">
        <is>
          <t>Rocker</t>
        </is>
      </c>
      <c r="C279" s="0" t="inlineStr">
        <is>
          <t>Mafia</t>
        </is>
      </c>
      <c r="D279" s="0" t="inlineStr">
        <is>
          <t>Loss</t>
        </is>
      </c>
      <c r="E279" s="0" t="n">
        <v>-67</v>
      </c>
      <c r="F279" s="0" t="n">
        <v>33.16590654137244</v>
      </c>
      <c r="G279" s="0" t="n">
        <v>32.12519459829325</v>
      </c>
      <c r="H279" s="0" t="n">
        <v>5.741729867001977</v>
      </c>
      <c r="I279" s="0" t="n">
        <v>1666</v>
      </c>
      <c r="J279" s="0" t="n">
        <v>1599</v>
      </c>
      <c r="K279" s="0" t="n">
        <v>5.779121792503284</v>
      </c>
    </row>
    <row r="280">
      <c r="A280" s="0" t="n">
        <v>141</v>
      </c>
      <c r="B280" s="0" t="inlineStr">
        <is>
          <t>Brownkow</t>
        </is>
      </c>
      <c r="C280" s="0" t="inlineStr">
        <is>
          <t>Mafia</t>
        </is>
      </c>
      <c r="D280" s="0" t="inlineStr">
        <is>
          <t>Loss</t>
        </is>
      </c>
      <c r="E280" s="0" t="n">
        <v>-65</v>
      </c>
      <c r="F280" s="0" t="n">
        <v>33.41097548175303</v>
      </c>
      <c r="G280" s="0" t="n">
        <v>32.3911909345027</v>
      </c>
      <c r="H280" s="0" t="n">
        <v>5.684471258725365</v>
      </c>
      <c r="I280" s="0" t="n">
        <v>1688</v>
      </c>
      <c r="J280" s="0" t="n">
        <v>1623</v>
      </c>
      <c r="K280" s="0" t="n">
        <v>5.720703735413295</v>
      </c>
    </row>
    <row r="281">
      <c r="A281" s="0" t="n">
        <v>141</v>
      </c>
      <c r="B281" s="0" t="inlineStr">
        <is>
          <t>Kwix</t>
        </is>
      </c>
      <c r="C281" s="0" t="inlineStr">
        <is>
          <t>Mafia</t>
        </is>
      </c>
      <c r="D281" s="0" t="inlineStr">
        <is>
          <t>Loss</t>
        </is>
      </c>
      <c r="E281" s="0" t="n">
        <v>-82</v>
      </c>
      <c r="F281" s="0" t="n">
        <v>23.36975171228152</v>
      </c>
      <c r="G281" s="0" t="n">
        <v>22.09138156496232</v>
      </c>
      <c r="H281" s="0" t="n">
        <v>6.353920454751393</v>
      </c>
      <c r="I281" s="0" t="n">
        <v>936</v>
      </c>
      <c r="J281" s="0" t="n">
        <v>854</v>
      </c>
      <c r="K281" s="0" t="n">
        <v>6.405263123834157</v>
      </c>
    </row>
    <row r="282">
      <c r="A282" s="0" t="n">
        <v>141</v>
      </c>
      <c r="B282" s="0" t="inlineStr">
        <is>
          <t>Cyclone</t>
        </is>
      </c>
      <c r="C282" s="0" t="inlineStr">
        <is>
          <t>Town</t>
        </is>
      </c>
      <c r="D282" s="0" t="inlineStr">
        <is>
          <t>Win</t>
        </is>
      </c>
      <c r="E282" s="0" t="n">
        <v>125</v>
      </c>
      <c r="F282" s="0" t="n">
        <v>32.09275048619995</v>
      </c>
      <c r="G282" s="0" t="n">
        <v>33.79922284801032</v>
      </c>
      <c r="H282" s="0" t="n">
        <v>7.320855181636241</v>
      </c>
      <c r="I282" s="0" t="n">
        <v>1427</v>
      </c>
      <c r="J282" s="0" t="n">
        <v>1552</v>
      </c>
      <c r="K282" s="0" t="n">
        <v>7.400679073076715</v>
      </c>
    </row>
    <row r="283">
      <c r="A283" s="0" t="n">
        <v>141</v>
      </c>
      <c r="B283" s="0" t="inlineStr">
        <is>
          <t>Kden</t>
        </is>
      </c>
      <c r="C283" s="0" t="inlineStr">
        <is>
          <t>Town</t>
        </is>
      </c>
      <c r="D283" s="0" t="inlineStr">
        <is>
          <t>Win</t>
        </is>
      </c>
      <c r="E283" s="0" t="n">
        <v>90</v>
      </c>
      <c r="F283" s="0" t="n">
        <v>22.7406122701177</v>
      </c>
      <c r="G283" s="0" t="n">
        <v>23.99113132172599</v>
      </c>
      <c r="H283" s="0" t="n">
        <v>6.285452395674765</v>
      </c>
      <c r="I283" s="0" t="n">
        <v>900</v>
      </c>
      <c r="J283" s="0" t="n">
        <v>990</v>
      </c>
      <c r="K283" s="0" t="n">
        <v>6.335087858291234</v>
      </c>
    </row>
    <row r="284">
      <c r="A284" s="0" t="n">
        <v>141</v>
      </c>
      <c r="B284" s="0" t="inlineStr">
        <is>
          <t>Noah</t>
        </is>
      </c>
      <c r="C284" s="0" t="inlineStr">
        <is>
          <t>Town</t>
        </is>
      </c>
      <c r="D284" s="0" t="inlineStr">
        <is>
          <t>Win</t>
        </is>
      </c>
      <c r="E284" s="0" t="n">
        <v>81</v>
      </c>
      <c r="F284" s="0" t="n">
        <v>30.65667939570134</v>
      </c>
      <c r="G284" s="0" t="n">
        <v>31.77542334829847</v>
      </c>
      <c r="H284" s="0" t="n">
        <v>5.95011058855276</v>
      </c>
      <c r="I284" s="0" t="n">
        <v>1473</v>
      </c>
      <c r="J284" s="0" t="n">
        <v>1554</v>
      </c>
      <c r="K284" s="0" t="n">
        <v>5.991926302819489</v>
      </c>
    </row>
    <row r="285">
      <c r="A285" s="0" t="n">
        <v>141</v>
      </c>
      <c r="B285" s="0" t="inlineStr">
        <is>
          <t>Iln</t>
        </is>
      </c>
      <c r="C285" s="0" t="inlineStr">
        <is>
          <t>Town</t>
        </is>
      </c>
      <c r="D285" s="0" t="inlineStr">
        <is>
          <t>Win</t>
        </is>
      </c>
      <c r="E285" s="0" t="n">
        <v>79</v>
      </c>
      <c r="F285" s="0" t="n">
        <v>28.5731529295435</v>
      </c>
      <c r="G285" s="0" t="n">
        <v>29.66873095707804</v>
      </c>
      <c r="H285" s="0" t="n">
        <v>5.88906064449452</v>
      </c>
      <c r="I285" s="0" t="n">
        <v>1338</v>
      </c>
      <c r="J285" s="0" t="n">
        <v>1417</v>
      </c>
      <c r="K285" s="0" t="n">
        <v>5.929546657589111</v>
      </c>
    </row>
    <row r="286">
      <c r="A286" s="0" t="n">
        <v>141</v>
      </c>
      <c r="B286" s="0" t="inlineStr">
        <is>
          <t>Plen</t>
        </is>
      </c>
      <c r="C286" s="0" t="inlineStr">
        <is>
          <t>Town</t>
        </is>
      </c>
      <c r="D286" s="0" t="inlineStr">
        <is>
          <t>Win</t>
        </is>
      </c>
      <c r="E286" s="0" t="n">
        <v>75</v>
      </c>
      <c r="F286" s="0" t="n">
        <v>20.46470051310482</v>
      </c>
      <c r="G286" s="0" t="n">
        <v>21.52098935677936</v>
      </c>
      <c r="H286" s="0" t="n">
        <v>5.783961230809478</v>
      </c>
      <c r="I286" s="0" t="n">
        <v>798</v>
      </c>
      <c r="J286" s="0" t="n">
        <v>873</v>
      </c>
      <c r="K286" s="0" t="n">
        <v>5.822223637598029</v>
      </c>
    </row>
    <row r="287">
      <c r="A287" s="0" t="n">
        <v>141</v>
      </c>
      <c r="B287" s="0" t="inlineStr">
        <is>
          <t>Carson</t>
        </is>
      </c>
      <c r="C287" s="0" t="inlineStr">
        <is>
          <t>Town</t>
        </is>
      </c>
      <c r="D287" s="0" t="inlineStr">
        <is>
          <t>Win</t>
        </is>
      </c>
      <c r="E287" s="0" t="n">
        <v>82</v>
      </c>
      <c r="F287" s="0" t="n">
        <v>27.7388912290723</v>
      </c>
      <c r="G287" s="0" t="n">
        <v>28.87669053786705</v>
      </c>
      <c r="H287" s="0" t="n">
        <v>5.999834905425656</v>
      </c>
      <c r="I287" s="0" t="n">
        <v>1270</v>
      </c>
      <c r="J287" s="0" t="n">
        <v>1352</v>
      </c>
      <c r="K287" s="0" t="n">
        <v>6.042754611976354</v>
      </c>
    </row>
    <row r="288">
      <c r="A288" s="0" t="n">
        <v>141</v>
      </c>
      <c r="B288" s="0" t="inlineStr">
        <is>
          <t>Lofty</t>
        </is>
      </c>
      <c r="C288" s="0" t="inlineStr">
        <is>
          <t>Town</t>
        </is>
      </c>
      <c r="D288" s="0" t="inlineStr">
        <is>
          <t>Win</t>
        </is>
      </c>
      <c r="E288" s="0" t="n">
        <v>126</v>
      </c>
      <c r="F288" s="0" t="n">
        <v>24.85685287199799</v>
      </c>
      <c r="G288" s="0" t="n">
        <v>26.58329411938361</v>
      </c>
      <c r="H288" s="0" t="n">
        <v>7.362611620435485</v>
      </c>
      <c r="I288" s="0" t="n">
        <v>931</v>
      </c>
      <c r="J288" s="0" t="n">
        <v>1057</v>
      </c>
      <c r="K288" s="0" t="n">
        <v>7.443861816465994</v>
      </c>
    </row>
    <row r="289">
      <c r="A289" s="0" t="n">
        <v>141</v>
      </c>
      <c r="B289" s="0" t="inlineStr">
        <is>
          <t>Gilbert</t>
        </is>
      </c>
      <c r="C289" s="0" t="inlineStr">
        <is>
          <t>Town</t>
        </is>
      </c>
      <c r="D289" s="0" t="inlineStr">
        <is>
          <t>Win</t>
        </is>
      </c>
      <c r="E289" s="0" t="n">
        <v>101</v>
      </c>
      <c r="F289" s="0" t="n">
        <v>26.18835751968271</v>
      </c>
      <c r="G289" s="0" t="n">
        <v>27.58959606830323</v>
      </c>
      <c r="H289" s="0" t="n">
        <v>6.646995824062139</v>
      </c>
      <c r="I289" s="0" t="n">
        <v>1097</v>
      </c>
      <c r="J289" s="0" t="n">
        <v>1198</v>
      </c>
      <c r="K289" s="0" t="n">
        <v>6.706089479076825</v>
      </c>
    </row>
    <row r="290">
      <c r="A290" s="0" t="n">
        <v>141</v>
      </c>
      <c r="B290" s="0" t="inlineStr">
        <is>
          <t>Chipper</t>
        </is>
      </c>
      <c r="C290" s="0" t="inlineStr">
        <is>
          <t>Town</t>
        </is>
      </c>
      <c r="D290" s="0" t="inlineStr">
        <is>
          <t>Win</t>
        </is>
      </c>
      <c r="E290" s="0" t="n">
        <v>96</v>
      </c>
      <c r="F290" s="0" t="n">
        <v>24.27973775286608</v>
      </c>
      <c r="G290" s="0" t="n">
        <v>25.61268882369832</v>
      </c>
      <c r="H290" s="0" t="n">
        <v>6.485863129229662</v>
      </c>
      <c r="I290" s="0" t="n">
        <v>984</v>
      </c>
      <c r="J290" s="0" t="n">
        <v>1080</v>
      </c>
      <c r="K290" s="0" t="n">
        <v>6.540605209681734</v>
      </c>
    </row>
    <row r="291">
      <c r="A291" s="0" t="n">
        <v>141</v>
      </c>
      <c r="B291" s="0" t="inlineStr">
        <is>
          <t>Rollo</t>
        </is>
      </c>
      <c r="C291" s="0" t="inlineStr">
        <is>
          <t>Town</t>
        </is>
      </c>
      <c r="D291" s="0" t="inlineStr">
        <is>
          <t>Win</t>
        </is>
      </c>
      <c r="E291" s="0" t="n">
        <v>99</v>
      </c>
      <c r="F291" s="0" t="n">
        <v>33.70920795536475</v>
      </c>
      <c r="G291" s="0" t="n">
        <v>35.07504173152109</v>
      </c>
      <c r="H291" s="0" t="n">
        <v>6.56398378671214</v>
      </c>
      <c r="I291" s="0" t="n">
        <v>1617</v>
      </c>
      <c r="J291" s="0" t="n">
        <v>1716</v>
      </c>
      <c r="K291" s="0" t="n">
        <v>6.620807763169011</v>
      </c>
    </row>
    <row r="292">
      <c r="A292" s="0" t="n">
        <v>141</v>
      </c>
      <c r="B292" s="0" t="inlineStr">
        <is>
          <t>Mintt</t>
        </is>
      </c>
      <c r="C292" s="0" t="inlineStr">
        <is>
          <t>Town</t>
        </is>
      </c>
      <c r="D292" s="0" t="inlineStr">
        <is>
          <t>Win</t>
        </is>
      </c>
      <c r="E292" s="0" t="n">
        <v>95</v>
      </c>
      <c r="F292" s="0" t="n">
        <v>29.91126290326022</v>
      </c>
      <c r="G292" s="0" t="n">
        <v>31.22301293533814</v>
      </c>
      <c r="H292" s="0" t="n">
        <v>6.434955944436312</v>
      </c>
      <c r="I292" s="0" t="n">
        <v>1372</v>
      </c>
      <c r="J292" s="0" t="n">
        <v>1467</v>
      </c>
      <c r="K292" s="0" t="n">
        <v>6.488369189550701</v>
      </c>
    </row>
    <row r="293">
      <c r="A293" s="0" t="n">
        <v>140</v>
      </c>
      <c r="B293" s="0" t="inlineStr">
        <is>
          <t>Rollo</t>
        </is>
      </c>
      <c r="C293" s="0" t="inlineStr">
        <is>
          <t>Mafia</t>
        </is>
      </c>
      <c r="D293" s="0" t="inlineStr">
        <is>
          <t>Loss</t>
        </is>
      </c>
      <c r="E293" s="0" t="n">
        <v>-51</v>
      </c>
      <c r="F293" s="0" t="n">
        <v>34.54184631525169</v>
      </c>
      <c r="G293" s="0" t="n">
        <v>33.70920795536475</v>
      </c>
      <c r="H293" s="0" t="n">
        <v>6.620807763169011</v>
      </c>
      <c r="I293" s="0" t="n">
        <v>1668</v>
      </c>
      <c r="J293" s="0" t="n">
        <v>1617</v>
      </c>
      <c r="K293" s="0" t="n">
        <v>6.670232645652329</v>
      </c>
    </row>
    <row r="294">
      <c r="A294" s="0" t="n">
        <v>140</v>
      </c>
      <c r="B294" s="0" t="inlineStr">
        <is>
          <t>Plen</t>
        </is>
      </c>
      <c r="C294" s="0" t="inlineStr">
        <is>
          <t>Mafia</t>
        </is>
      </c>
      <c r="D294" s="0" t="inlineStr">
        <is>
          <t>Loss</t>
        </is>
      </c>
      <c r="E294" s="0" t="n">
        <v>-40</v>
      </c>
      <c r="F294" s="0" t="n">
        <v>21.10635213472504</v>
      </c>
      <c r="G294" s="0" t="n">
        <v>20.46470051310482</v>
      </c>
      <c r="H294" s="0" t="n">
        <v>5.822223637598029</v>
      </c>
      <c r="I294" s="0" t="n">
        <v>838</v>
      </c>
      <c r="J294" s="0" t="n">
        <v>798</v>
      </c>
      <c r="K294" s="0" t="n">
        <v>5.855283056877682</v>
      </c>
    </row>
    <row r="295">
      <c r="A295" s="0" t="n">
        <v>140</v>
      </c>
      <c r="B295" s="0" t="inlineStr">
        <is>
          <t>Gilbert</t>
        </is>
      </c>
      <c r="C295" s="0" t="inlineStr">
        <is>
          <t>Mafia</t>
        </is>
      </c>
      <c r="D295" s="0" t="inlineStr">
        <is>
          <t>Loss</t>
        </is>
      </c>
      <c r="E295" s="0" t="n">
        <v>-53</v>
      </c>
      <c r="F295" s="0" t="n">
        <v>27.04292667263436</v>
      </c>
      <c r="G295" s="0" t="n">
        <v>26.18835751968271</v>
      </c>
      <c r="H295" s="0" t="n">
        <v>6.706089479076825</v>
      </c>
      <c r="I295" s="0" t="n">
        <v>1150</v>
      </c>
      <c r="J295" s="0" t="n">
        <v>1097</v>
      </c>
      <c r="K295" s="0" t="n">
        <v>6.757524557627731</v>
      </c>
    </row>
    <row r="296">
      <c r="A296" s="0" t="n">
        <v>140</v>
      </c>
      <c r="B296" s="0" t="inlineStr">
        <is>
          <t>Chelsea</t>
        </is>
      </c>
      <c r="C296" s="0" t="inlineStr">
        <is>
          <t>Town</t>
        </is>
      </c>
      <c r="D296" s="0" t="inlineStr">
        <is>
          <t>Win</t>
        </is>
      </c>
      <c r="E296" s="0" t="n">
        <v>73</v>
      </c>
      <c r="F296" s="0" t="n">
        <v>27.80951518783931</v>
      </c>
      <c r="G296" s="0" t="n">
        <v>28.78111227134587</v>
      </c>
      <c r="H296" s="0" t="n">
        <v>7.142887668122205</v>
      </c>
      <c r="I296" s="0" t="n">
        <v>1156</v>
      </c>
      <c r="J296" s="0" t="n">
        <v>1229</v>
      </c>
      <c r="K296" s="0" t="n">
        <v>7.205478977735707</v>
      </c>
    </row>
    <row r="297">
      <c r="A297" s="0" t="n">
        <v>140</v>
      </c>
      <c r="B297" s="0" t="inlineStr">
        <is>
          <t>Motr</t>
        </is>
      </c>
      <c r="C297" s="0" t="inlineStr">
        <is>
          <t>Town</t>
        </is>
      </c>
      <c r="D297" s="0" t="inlineStr">
        <is>
          <t>Win</t>
        </is>
      </c>
      <c r="E297" s="0" t="n">
        <v>66</v>
      </c>
      <c r="F297" s="0" t="n">
        <v>25.78712131344309</v>
      </c>
      <c r="G297" s="0" t="n">
        <v>26.67823537591612</v>
      </c>
      <c r="H297" s="0" t="n">
        <v>6.84569080180514</v>
      </c>
      <c r="I297" s="0" t="n">
        <v>1050</v>
      </c>
      <c r="J297" s="0" t="n">
        <v>1116</v>
      </c>
      <c r="K297" s="0" t="n">
        <v>6.900532812598839</v>
      </c>
    </row>
    <row r="298">
      <c r="A298" s="0" t="n">
        <v>140</v>
      </c>
      <c r="B298" s="0" t="inlineStr">
        <is>
          <t>Siggy</t>
        </is>
      </c>
      <c r="C298" s="0" t="inlineStr">
        <is>
          <t>Town</t>
        </is>
      </c>
      <c r="D298" s="0" t="inlineStr">
        <is>
          <t>Win</t>
        </is>
      </c>
      <c r="E298" s="0" t="n">
        <v>83</v>
      </c>
      <c r="F298" s="0" t="n">
        <v>27.40157983787929</v>
      </c>
      <c r="G298" s="0" t="n">
        <v>28.50554148284637</v>
      </c>
      <c r="H298" s="0" t="n">
        <v>7.604673077752357</v>
      </c>
      <c r="I298" s="0" t="n">
        <v>1080</v>
      </c>
      <c r="J298" s="0" t="n">
        <v>1163</v>
      </c>
      <c r="K298" s="0" t="n">
        <v>7.680716959673138</v>
      </c>
    </row>
    <row r="299">
      <c r="A299" s="0" t="n">
        <v>140</v>
      </c>
      <c r="B299" s="0" t="inlineStr">
        <is>
          <t>Carson</t>
        </is>
      </c>
      <c r="C299" s="0" t="inlineStr">
        <is>
          <t>Town</t>
        </is>
      </c>
      <c r="D299" s="0" t="inlineStr">
        <is>
          <t>Win</t>
        </is>
      </c>
      <c r="E299" s="0" t="n">
        <v>51</v>
      </c>
      <c r="F299" s="0" t="n">
        <v>27.04707890872386</v>
      </c>
      <c r="G299" s="0" t="n">
        <v>27.7388912290723</v>
      </c>
      <c r="H299" s="0" t="n">
        <v>6.042754611976354</v>
      </c>
      <c r="I299" s="0" t="n">
        <v>1219</v>
      </c>
      <c r="J299" s="0" t="n">
        <v>1270</v>
      </c>
      <c r="K299" s="0" t="n">
        <v>6.079907680555135</v>
      </c>
    </row>
    <row r="300">
      <c r="A300" s="0" t="n">
        <v>140</v>
      </c>
      <c r="B300" s="0" t="inlineStr">
        <is>
          <t>Rocker</t>
        </is>
      </c>
      <c r="C300" s="0" t="inlineStr">
        <is>
          <t>Town</t>
        </is>
      </c>
      <c r="D300" s="0" t="inlineStr">
        <is>
          <t>Win</t>
        </is>
      </c>
      <c r="E300" s="0" t="n">
        <v>46</v>
      </c>
      <c r="F300" s="0" t="n">
        <v>32.53383023557782</v>
      </c>
      <c r="G300" s="0" t="n">
        <v>33.16590654137244</v>
      </c>
      <c r="H300" s="0" t="n">
        <v>5.779121792503284</v>
      </c>
      <c r="I300" s="0" t="n">
        <v>1620</v>
      </c>
      <c r="J300" s="0" t="n">
        <v>1666</v>
      </c>
      <c r="K300" s="0" t="n">
        <v>5.811417037889772</v>
      </c>
    </row>
    <row r="301">
      <c r="A301" s="0" t="n">
        <v>140</v>
      </c>
      <c r="B301" s="0" t="inlineStr">
        <is>
          <t>Noah</t>
        </is>
      </c>
      <c r="C301" s="0" t="inlineStr">
        <is>
          <t>Town</t>
        </is>
      </c>
      <c r="D301" s="0" t="inlineStr">
        <is>
          <t>Win</t>
        </is>
      </c>
      <c r="E301" s="0" t="n">
        <v>49</v>
      </c>
      <c r="F301" s="0" t="n">
        <v>29.97660186016207</v>
      </c>
      <c r="G301" s="0" t="n">
        <v>30.65667939570134</v>
      </c>
      <c r="H301" s="0" t="n">
        <v>5.991926302819489</v>
      </c>
      <c r="I301" s="0" t="n">
        <v>1424</v>
      </c>
      <c r="J301" s="0" t="n">
        <v>1473</v>
      </c>
      <c r="K301" s="0" t="n">
        <v>6.028108212895201</v>
      </c>
    </row>
    <row r="302">
      <c r="A302" s="0" t="n">
        <v>140</v>
      </c>
      <c r="B302" s="0" t="inlineStr">
        <is>
          <t>Whyin</t>
        </is>
      </c>
      <c r="C302" s="0" t="inlineStr">
        <is>
          <t>Town</t>
        </is>
      </c>
      <c r="D302" s="0" t="inlineStr">
        <is>
          <t>Win</t>
        </is>
      </c>
      <c r="E302" s="0" t="n">
        <v>60</v>
      </c>
      <c r="F302" s="0" t="n">
        <v>26.98554192269312</v>
      </c>
      <c r="G302" s="0" t="n">
        <v>27.79695979514918</v>
      </c>
      <c r="H302" s="0" t="n">
        <v>6.537161828843418</v>
      </c>
      <c r="I302" s="0" t="n">
        <v>1163</v>
      </c>
      <c r="J302" s="0" t="n">
        <v>1223</v>
      </c>
      <c r="K302" s="0" t="n">
        <v>6.584666478753655</v>
      </c>
    </row>
    <row r="303">
      <c r="A303" s="0" t="n">
        <v>140</v>
      </c>
      <c r="B303" s="0" t="inlineStr">
        <is>
          <t>Steep</t>
        </is>
      </c>
      <c r="C303" s="0" t="inlineStr">
        <is>
          <t>Town</t>
        </is>
      </c>
      <c r="D303" s="0" t="inlineStr">
        <is>
          <t>Win</t>
        </is>
      </c>
      <c r="E303" s="0" t="n">
        <v>96</v>
      </c>
      <c r="F303" s="0" t="n">
        <v>23.55209998895877</v>
      </c>
      <c r="G303" s="0" t="n">
        <v>24.82345796072337</v>
      </c>
      <c r="H303" s="0" t="n">
        <v>8.14833660125085</v>
      </c>
      <c r="I303" s="0" t="n">
        <v>761</v>
      </c>
      <c r="J303" s="0" t="n">
        <v>857</v>
      </c>
      <c r="K303" s="0" t="n">
        <v>8.242587014919346</v>
      </c>
    </row>
    <row r="304">
      <c r="A304" s="0" t="n">
        <v>140</v>
      </c>
      <c r="B304" s="0" t="inlineStr">
        <is>
          <t>Cyclone</t>
        </is>
      </c>
      <c r="C304" s="0" t="inlineStr">
        <is>
          <t>Town</t>
        </is>
      </c>
      <c r="D304" s="0" t="inlineStr">
        <is>
          <t>Win</t>
        </is>
      </c>
      <c r="E304" s="0" t="n">
        <v>78</v>
      </c>
      <c r="F304" s="0" t="n">
        <v>31.04836415819518</v>
      </c>
      <c r="G304" s="0" t="n">
        <v>32.09275048619995</v>
      </c>
      <c r="H304" s="0" t="n">
        <v>7.400679073076715</v>
      </c>
      <c r="I304" s="0" t="n">
        <v>1349</v>
      </c>
      <c r="J304" s="0" t="n">
        <v>1427</v>
      </c>
      <c r="K304" s="0" t="n">
        <v>7.470561719130837</v>
      </c>
    </row>
    <row r="305">
      <c r="A305" s="0" t="n">
        <v>140</v>
      </c>
      <c r="B305" s="0" t="inlineStr">
        <is>
          <t>Cj</t>
        </is>
      </c>
      <c r="C305" s="0" t="inlineStr">
        <is>
          <t>Town</t>
        </is>
      </c>
      <c r="D305" s="0" t="inlineStr">
        <is>
          <t>Win</t>
        </is>
      </c>
      <c r="E305" s="0" t="n">
        <v>72</v>
      </c>
      <c r="F305" s="0" t="n">
        <v>28.29398412964023</v>
      </c>
      <c r="G305" s="0" t="n">
        <v>29.2688965367269</v>
      </c>
      <c r="H305" s="0" t="n">
        <v>7.154846643615942</v>
      </c>
      <c r="I305" s="0" t="n">
        <v>1188</v>
      </c>
      <c r="J305" s="0" t="n">
        <v>1260</v>
      </c>
      <c r="K305" s="0" t="n">
        <v>7.217764288394831</v>
      </c>
    </row>
    <row r="306">
      <c r="A306" s="0" t="n">
        <v>139</v>
      </c>
      <c r="B306" s="0" t="inlineStr">
        <is>
          <t>Badpants</t>
        </is>
      </c>
      <c r="C306" s="0" t="inlineStr">
        <is>
          <t>Mafia</t>
        </is>
      </c>
      <c r="D306" s="0" t="inlineStr">
        <is>
          <t>Loss</t>
        </is>
      </c>
      <c r="E306" s="0" t="n">
        <v>-50</v>
      </c>
      <c r="F306" s="0" t="n">
        <v>24.28782102299073</v>
      </c>
      <c r="G306" s="0" t="n">
        <v>23.50917181110132</v>
      </c>
      <c r="H306" s="0" t="n">
        <v>5.964338969592743</v>
      </c>
      <c r="I306" s="0" t="n">
        <v>1040</v>
      </c>
      <c r="J306" s="0" t="n">
        <v>990</v>
      </c>
      <c r="K306" s="0" t="n">
        <v>6.000401066473454</v>
      </c>
    </row>
    <row r="307">
      <c r="A307" s="0" t="n">
        <v>139</v>
      </c>
      <c r="B307" s="0" t="inlineStr">
        <is>
          <t>Smit</t>
        </is>
      </c>
      <c r="C307" s="0" t="inlineStr">
        <is>
          <t>Mafia</t>
        </is>
      </c>
      <c r="D307" s="0" t="inlineStr">
        <is>
          <t>Loss</t>
        </is>
      </c>
      <c r="E307" s="0" t="n">
        <v>-50</v>
      </c>
      <c r="F307" s="0" t="n">
        <v>25.58484497368325</v>
      </c>
      <c r="G307" s="0" t="n">
        <v>24.78427916862594</v>
      </c>
      <c r="H307" s="0" t="n">
        <v>6.046639076946176</v>
      </c>
      <c r="I307" s="0" t="n">
        <v>1119</v>
      </c>
      <c r="J307" s="0" t="n">
        <v>1069</v>
      </c>
      <c r="K307" s="0" t="n">
        <v>6.084284654914922</v>
      </c>
    </row>
    <row r="308">
      <c r="A308" s="0" t="n">
        <v>139</v>
      </c>
      <c r="B308" s="0" t="inlineStr">
        <is>
          <t>Lou</t>
        </is>
      </c>
      <c r="C308" s="0" t="inlineStr">
        <is>
          <t>Mafia</t>
        </is>
      </c>
      <c r="D308" s="0" t="inlineStr">
        <is>
          <t>Loss</t>
        </is>
      </c>
      <c r="E308" s="0" t="n">
        <v>-49</v>
      </c>
      <c r="F308" s="0" t="n">
        <v>28.06459886446615</v>
      </c>
      <c r="G308" s="0" t="n">
        <v>27.29407566765438</v>
      </c>
      <c r="H308" s="0" t="n">
        <v>5.933519501335812</v>
      </c>
      <c r="I308" s="0" t="n">
        <v>1300</v>
      </c>
      <c r="J308" s="0" t="n">
        <v>1251</v>
      </c>
      <c r="K308" s="0" t="n">
        <v>5.968999991198091</v>
      </c>
    </row>
    <row r="309">
      <c r="A309" s="0" t="n">
        <v>139</v>
      </c>
      <c r="B309" s="0" t="inlineStr">
        <is>
          <t>Iln</t>
        </is>
      </c>
      <c r="C309" s="0" t="inlineStr">
        <is>
          <t>Town</t>
        </is>
      </c>
      <c r="D309" s="0" t="inlineStr">
        <is>
          <t>Win</t>
        </is>
      </c>
      <c r="E309" s="0" t="n">
        <v>56</v>
      </c>
      <c r="F309" s="0" t="n">
        <v>27.80367401489664</v>
      </c>
      <c r="G309" s="0" t="n">
        <v>28.5731529295435</v>
      </c>
      <c r="H309" s="0" t="n">
        <v>5.929546657589111</v>
      </c>
      <c r="I309" s="0" t="n">
        <v>1282</v>
      </c>
      <c r="J309" s="0" t="n">
        <v>1338</v>
      </c>
      <c r="K309" s="0" t="n">
        <v>5.964952621581986</v>
      </c>
    </row>
    <row r="310">
      <c r="A310" s="0" t="n">
        <v>139</v>
      </c>
      <c r="B310" s="0" t="inlineStr">
        <is>
          <t>Gilbert</t>
        </is>
      </c>
      <c r="C310" s="0" t="inlineStr">
        <is>
          <t>Town</t>
        </is>
      </c>
      <c r="D310" s="0" t="inlineStr">
        <is>
          <t>Win</t>
        </is>
      </c>
      <c r="E310" s="0" t="n">
        <v>74</v>
      </c>
      <c r="F310" s="0" t="n">
        <v>26.03981575800682</v>
      </c>
      <c r="G310" s="0" t="n">
        <v>27.04292667263436</v>
      </c>
      <c r="H310" s="0" t="n">
        <v>6.757524557627731</v>
      </c>
      <c r="I310" s="0" t="n">
        <v>1076</v>
      </c>
      <c r="J310" s="0" t="n">
        <v>1150</v>
      </c>
      <c r="K310" s="0" t="n">
        <v>6.810787469799924</v>
      </c>
    </row>
    <row r="311">
      <c r="A311" s="0" t="n">
        <v>139</v>
      </c>
      <c r="B311" s="0" t="inlineStr">
        <is>
          <t>Streety</t>
        </is>
      </c>
      <c r="C311" s="0" t="inlineStr">
        <is>
          <t>Town</t>
        </is>
      </c>
      <c r="D311" s="0" t="inlineStr">
        <is>
          <t>Win</t>
        </is>
      </c>
      <c r="E311" s="0" t="n">
        <v>78</v>
      </c>
      <c r="F311" s="0" t="n">
        <v>31.2457853317919</v>
      </c>
      <c r="G311" s="0" t="n">
        <v>32.30086340863185</v>
      </c>
      <c r="H311" s="0" t="n">
        <v>6.927473590597525</v>
      </c>
      <c r="I311" s="0" t="n">
        <v>1412</v>
      </c>
      <c r="J311" s="0" t="n">
        <v>1490</v>
      </c>
      <c r="K311" s="0" t="n">
        <v>6.985016810267877</v>
      </c>
    </row>
    <row r="312">
      <c r="A312" s="0" t="n">
        <v>139</v>
      </c>
      <c r="B312" s="0" t="inlineStr">
        <is>
          <t>Brownkow</t>
        </is>
      </c>
      <c r="C312" s="0" t="inlineStr">
        <is>
          <t>Town</t>
        </is>
      </c>
      <c r="D312" s="0" t="inlineStr">
        <is>
          <t>Win</t>
        </is>
      </c>
      <c r="E312" s="0" t="n">
        <v>51</v>
      </c>
      <c r="F312" s="0" t="n">
        <v>32.69535948627836</v>
      </c>
      <c r="G312" s="0" t="n">
        <v>33.41097548175303</v>
      </c>
      <c r="H312" s="0" t="n">
        <v>5.720703735413295</v>
      </c>
      <c r="I312" s="0" t="n">
        <v>1637</v>
      </c>
      <c r="J312" s="0" t="n">
        <v>1688</v>
      </c>
      <c r="K312" s="0" t="n">
        <v>5.752333575994153</v>
      </c>
    </row>
    <row r="313">
      <c r="A313" s="0" t="n">
        <v>139</v>
      </c>
      <c r="B313" s="0" t="inlineStr">
        <is>
          <t>Cyclone</t>
        </is>
      </c>
      <c r="C313" s="0" t="inlineStr">
        <is>
          <t>Town</t>
        </is>
      </c>
      <c r="D313" s="0" t="inlineStr">
        <is>
          <t>Win</t>
        </is>
      </c>
      <c r="E313" s="0" t="n">
        <v>91</v>
      </c>
      <c r="F313" s="0" t="n">
        <v>29.81791886122111</v>
      </c>
      <c r="G313" s="0" t="n">
        <v>31.04836415819518</v>
      </c>
      <c r="H313" s="0" t="n">
        <v>7.470561719130837</v>
      </c>
      <c r="I313" s="0" t="n">
        <v>1258</v>
      </c>
      <c r="J313" s="0" t="n">
        <v>1349</v>
      </c>
      <c r="K313" s="0" t="n">
        <v>7.543322134712144</v>
      </c>
    </row>
    <row r="314">
      <c r="A314" s="0" t="n">
        <v>139</v>
      </c>
      <c r="B314" s="0" t="inlineStr">
        <is>
          <t>Chelsea</t>
        </is>
      </c>
      <c r="C314" s="0" t="inlineStr">
        <is>
          <t>Town</t>
        </is>
      </c>
      <c r="D314" s="0" t="inlineStr">
        <is>
          <t>Win</t>
        </is>
      </c>
      <c r="E314" s="0" t="n">
        <v>84</v>
      </c>
      <c r="F314" s="0" t="n">
        <v>26.66644540355524</v>
      </c>
      <c r="G314" s="0" t="n">
        <v>27.80951518783931</v>
      </c>
      <c r="H314" s="0" t="n">
        <v>7.205478977735707</v>
      </c>
      <c r="I314" s="0" t="n">
        <v>1072</v>
      </c>
      <c r="J314" s="0" t="n">
        <v>1156</v>
      </c>
      <c r="K314" s="0" t="n">
        <v>7.270511312312149</v>
      </c>
    </row>
    <row r="315">
      <c r="A315" s="0" t="n">
        <v>139</v>
      </c>
      <c r="B315" s="0" t="inlineStr">
        <is>
          <t>Ken</t>
        </is>
      </c>
      <c r="C315" s="0" t="inlineStr">
        <is>
          <t>Town</t>
        </is>
      </c>
      <c r="D315" s="0" t="inlineStr">
        <is>
          <t>Win</t>
        </is>
      </c>
      <c r="E315" s="0" t="n">
        <v>88</v>
      </c>
      <c r="F315" s="0" t="n">
        <v>22.29801941672079</v>
      </c>
      <c r="G315" s="0" t="n">
        <v>23.47903396600999</v>
      </c>
      <c r="H315" s="0" t="n">
        <v>7.321869355003269</v>
      </c>
      <c r="I315" s="0" t="n">
        <v>762</v>
      </c>
      <c r="J315" s="0" t="n">
        <v>850</v>
      </c>
      <c r="K315" s="0" t="n">
        <v>7.390222700872897</v>
      </c>
    </row>
    <row r="316">
      <c r="A316" s="0" t="n">
        <v>139</v>
      </c>
      <c r="B316" s="0" t="inlineStr">
        <is>
          <t>Motr</t>
        </is>
      </c>
      <c r="C316" s="0" t="inlineStr">
        <is>
          <t>Town</t>
        </is>
      </c>
      <c r="D316" s="0" t="inlineStr">
        <is>
          <t>Win</t>
        </is>
      </c>
      <c r="E316" s="0" t="n">
        <v>77</v>
      </c>
      <c r="F316" s="0" t="n">
        <v>24.74037321191365</v>
      </c>
      <c r="G316" s="0" t="n">
        <v>25.78712131344309</v>
      </c>
      <c r="H316" s="0" t="n">
        <v>6.900532812598839</v>
      </c>
      <c r="I316" s="0" t="n">
        <v>973</v>
      </c>
      <c r="J316" s="0" t="n">
        <v>1050</v>
      </c>
      <c r="K316" s="0" t="n">
        <v>6.957382698709797</v>
      </c>
    </row>
    <row r="317">
      <c r="A317" s="0" t="n">
        <v>139</v>
      </c>
      <c r="B317" s="0" t="inlineStr">
        <is>
          <t>Kwix</t>
        </is>
      </c>
      <c r="C317" s="0" t="inlineStr">
        <is>
          <t>Town</t>
        </is>
      </c>
      <c r="D317" s="0" t="inlineStr">
        <is>
          <t>Win</t>
        </is>
      </c>
      <c r="E317" s="0" t="n">
        <v>66</v>
      </c>
      <c r="F317" s="0" t="n">
        <v>22.46998413980821</v>
      </c>
      <c r="G317" s="0" t="n">
        <v>23.36975171228152</v>
      </c>
      <c r="H317" s="0" t="n">
        <v>6.405263123834157</v>
      </c>
      <c r="I317" s="0" t="n">
        <v>870</v>
      </c>
      <c r="J317" s="0" t="n">
        <v>936</v>
      </c>
      <c r="K317" s="0" t="n">
        <v>6.450340522998962</v>
      </c>
    </row>
    <row r="318">
      <c r="A318" s="0" t="n">
        <v>139</v>
      </c>
      <c r="B318" s="0" t="inlineStr">
        <is>
          <t>Kden</t>
        </is>
      </c>
      <c r="C318" s="0" t="inlineStr">
        <is>
          <t>Town</t>
        </is>
      </c>
      <c r="D318" s="0" t="inlineStr">
        <is>
          <t>Win</t>
        </is>
      </c>
      <c r="E318" s="0" t="n">
        <v>64</v>
      </c>
      <c r="F318" s="0" t="n">
        <v>21.86073160762102</v>
      </c>
      <c r="G318" s="0" t="n">
        <v>22.7406122701177</v>
      </c>
      <c r="H318" s="0" t="n">
        <v>6.335087858291234</v>
      </c>
      <c r="I318" s="0" t="n">
        <v>836</v>
      </c>
      <c r="J318" s="0" t="n">
        <v>900</v>
      </c>
      <c r="K318" s="0" t="n">
        <v>6.378641302657021</v>
      </c>
    </row>
    <row r="319">
      <c r="A319" s="0" t="n">
        <v>139</v>
      </c>
      <c r="B319" s="0" t="inlineStr">
        <is>
          <t>Decode</t>
        </is>
      </c>
      <c r="C319" s="0" t="inlineStr">
        <is>
          <t>Town</t>
        </is>
      </c>
      <c r="D319" s="0" t="inlineStr">
        <is>
          <t>Win</t>
        </is>
      </c>
      <c r="E319" s="0" t="n">
        <v>90</v>
      </c>
      <c r="F319" s="0" t="n">
        <v>18.83808966212005</v>
      </c>
      <c r="G319" s="0" t="n">
        <v>20.05750210085584</v>
      </c>
      <c r="H319" s="0" t="n">
        <v>7.437652279373066</v>
      </c>
      <c r="I319" s="0" t="n">
        <v>515</v>
      </c>
      <c r="J319" s="0" t="n">
        <v>605</v>
      </c>
      <c r="K319" s="0" t="n">
        <v>7.509421198120906</v>
      </c>
    </row>
    <row r="320">
      <c r="A320" s="0" t="n">
        <v>138</v>
      </c>
      <c r="B320" s="0" t="inlineStr">
        <is>
          <t>Noah</t>
        </is>
      </c>
      <c r="C320" s="0" t="inlineStr">
        <is>
          <t>Mafia</t>
        </is>
      </c>
      <c r="D320" s="0" t="inlineStr">
        <is>
          <t>Win</t>
        </is>
      </c>
      <c r="E320" s="0" t="n">
        <v>38</v>
      </c>
      <c r="F320" s="0" t="n">
        <v>29.47503931261241</v>
      </c>
      <c r="G320" s="0" t="n">
        <v>29.97660186016207</v>
      </c>
      <c r="H320" s="0" t="n">
        <v>6.028108212895201</v>
      </c>
      <c r="I320" s="0" t="n">
        <v>1386</v>
      </c>
      <c r="J320" s="0" t="n">
        <v>1424</v>
      </c>
      <c r="K320" s="0" t="n">
        <v>6.060734850222511</v>
      </c>
    </row>
    <row r="321">
      <c r="A321" s="0" t="n">
        <v>138</v>
      </c>
      <c r="B321" s="0" t="inlineStr">
        <is>
          <t>Kden</t>
        </is>
      </c>
      <c r="C321" s="0" t="inlineStr">
        <is>
          <t>Mafia</t>
        </is>
      </c>
      <c r="D321" s="0" t="inlineStr">
        <is>
          <t>Win</t>
        </is>
      </c>
      <c r="E321" s="0" t="n">
        <v>42</v>
      </c>
      <c r="F321" s="0" t="n">
        <v>21.29838309331343</v>
      </c>
      <c r="G321" s="0" t="n">
        <v>21.86073160762102</v>
      </c>
      <c r="H321" s="0" t="n">
        <v>6.378641302657021</v>
      </c>
      <c r="I321" s="0" t="n">
        <v>794</v>
      </c>
      <c r="J321" s="0" t="n">
        <v>836</v>
      </c>
      <c r="K321" s="0" t="n">
        <v>6.417589007356271</v>
      </c>
    </row>
    <row r="322">
      <c r="A322" s="0" t="n">
        <v>138</v>
      </c>
      <c r="B322" s="0" t="inlineStr">
        <is>
          <t>Rocker</t>
        </is>
      </c>
      <c r="C322" s="0" t="inlineStr">
        <is>
          <t>Mafia</t>
        </is>
      </c>
      <c r="D322" s="0" t="inlineStr">
        <is>
          <t>Win</t>
        </is>
      </c>
      <c r="E322" s="0" t="n">
        <v>35</v>
      </c>
      <c r="F322" s="0" t="n">
        <v>32.06804852403921</v>
      </c>
      <c r="G322" s="0" t="n">
        <v>32.53383023557782</v>
      </c>
      <c r="H322" s="0" t="n">
        <v>5.811417037889772</v>
      </c>
      <c r="I322" s="0" t="n">
        <v>1585</v>
      </c>
      <c r="J322" s="0" t="n">
        <v>1620</v>
      </c>
      <c r="K322" s="0" t="n">
        <v>5.840491681457016</v>
      </c>
    </row>
    <row r="323">
      <c r="A323" s="0" t="n">
        <v>138</v>
      </c>
      <c r="B323" s="0" t="inlineStr">
        <is>
          <t>Iln</t>
        </is>
      </c>
      <c r="C323" s="0" t="inlineStr">
        <is>
          <t>Town</t>
        </is>
      </c>
      <c r="D323" s="0" t="inlineStr">
        <is>
          <t>Loss</t>
        </is>
      </c>
      <c r="E323" s="0" t="n">
        <v>-30</v>
      </c>
      <c r="F323" s="0" t="n">
        <v>28.29466686948078</v>
      </c>
      <c r="G323" s="0" t="n">
        <v>27.80367401489664</v>
      </c>
      <c r="H323" s="0" t="n">
        <v>5.964952621581986</v>
      </c>
      <c r="I323" s="0" t="n">
        <v>1312</v>
      </c>
      <c r="J323" s="0" t="n">
        <v>1282</v>
      </c>
      <c r="K323" s="0" t="n">
        <v>5.996516708393258</v>
      </c>
    </row>
    <row r="324">
      <c r="A324" s="0" t="n">
        <v>138</v>
      </c>
      <c r="B324" s="0" t="inlineStr">
        <is>
          <t>Kwix</t>
        </is>
      </c>
      <c r="C324" s="0" t="inlineStr">
        <is>
          <t>Town</t>
        </is>
      </c>
      <c r="D324" s="0" t="inlineStr">
        <is>
          <t>Loss</t>
        </is>
      </c>
      <c r="E324" s="0" t="n">
        <v>-35</v>
      </c>
      <c r="F324" s="0" t="n">
        <v>23.04521047430213</v>
      </c>
      <c r="G324" s="0" t="n">
        <v>22.46998413980821</v>
      </c>
      <c r="H324" s="0" t="n">
        <v>6.450340522998962</v>
      </c>
      <c r="I324" s="0" t="n">
        <v>905</v>
      </c>
      <c r="J324" s="0" t="n">
        <v>870</v>
      </c>
      <c r="K324" s="0" t="n">
        <v>6.490672331438081</v>
      </c>
    </row>
    <row r="325">
      <c r="A325" s="0" t="n">
        <v>138</v>
      </c>
      <c r="B325" s="0" t="inlineStr">
        <is>
          <t>Mintt</t>
        </is>
      </c>
      <c r="C325" s="0" t="inlineStr">
        <is>
          <t>Town</t>
        </is>
      </c>
      <c r="D325" s="0" t="inlineStr">
        <is>
          <t>Loss</t>
        </is>
      </c>
      <c r="E325" s="0" t="n">
        <v>-36</v>
      </c>
      <c r="F325" s="0" t="n">
        <v>30.4933810126547</v>
      </c>
      <c r="G325" s="0" t="n">
        <v>29.91126290326022</v>
      </c>
      <c r="H325" s="0" t="n">
        <v>6.488369189550701</v>
      </c>
      <c r="I325" s="0" t="n">
        <v>1408</v>
      </c>
      <c r="J325" s="0" t="n">
        <v>1372</v>
      </c>
      <c r="K325" s="0" t="n">
        <v>6.529448042428329</v>
      </c>
    </row>
    <row r="326">
      <c r="A326" s="0" t="n">
        <v>138</v>
      </c>
      <c r="B326" s="0" t="inlineStr">
        <is>
          <t>Motr</t>
        </is>
      </c>
      <c r="C326" s="0" t="inlineStr">
        <is>
          <t>Town</t>
        </is>
      </c>
      <c r="D326" s="0" t="inlineStr">
        <is>
          <t>Loss</t>
        </is>
      </c>
      <c r="E326" s="0" t="n">
        <v>-40</v>
      </c>
      <c r="F326" s="0" t="n">
        <v>25.41100970613322</v>
      </c>
      <c r="G326" s="0" t="n">
        <v>24.74037321191365</v>
      </c>
      <c r="H326" s="0" t="n">
        <v>6.957382698709797</v>
      </c>
      <c r="I326" s="0" t="n">
        <v>1013</v>
      </c>
      <c r="J326" s="0" t="n">
        <v>973</v>
      </c>
      <c r="K326" s="0" t="n">
        <v>7.008437897496961</v>
      </c>
    </row>
    <row r="327">
      <c r="A327" s="0" t="n">
        <v>138</v>
      </c>
      <c r="B327" s="0" t="inlineStr">
        <is>
          <t>Brownkow</t>
        </is>
      </c>
      <c r="C327" s="0" t="inlineStr">
        <is>
          <t>Town</t>
        </is>
      </c>
      <c r="D327" s="0" t="inlineStr">
        <is>
          <t>Loss</t>
        </is>
      </c>
      <c r="E327" s="0" t="n">
        <v>-28</v>
      </c>
      <c r="F327" s="0" t="n">
        <v>33.15162203522434</v>
      </c>
      <c r="G327" s="0" t="n">
        <v>32.69535948627836</v>
      </c>
      <c r="H327" s="0" t="n">
        <v>5.752333575994153</v>
      </c>
      <c r="I327" s="0" t="n">
        <v>1665</v>
      </c>
      <c r="J327" s="0" t="n">
        <v>1637</v>
      </c>
      <c r="K327" s="0" t="n">
        <v>5.7804849735341</v>
      </c>
    </row>
    <row r="328">
      <c r="A328" s="0" t="n">
        <v>138</v>
      </c>
      <c r="B328" s="0" t="inlineStr">
        <is>
          <t>Chelsea</t>
        </is>
      </c>
      <c r="C328" s="0" t="inlineStr">
        <is>
          <t>Town</t>
        </is>
      </c>
      <c r="D328" s="0" t="inlineStr">
        <is>
          <t>Loss</t>
        </is>
      </c>
      <c r="E328" s="0" t="n">
        <v>-44</v>
      </c>
      <c r="F328" s="0" t="n">
        <v>27.39983155839735</v>
      </c>
      <c r="G328" s="0" t="n">
        <v>26.66644540355524</v>
      </c>
      <c r="H328" s="0" t="n">
        <v>7.270511312312149</v>
      </c>
      <c r="I328" s="0" t="n">
        <v>1116</v>
      </c>
      <c r="J328" s="0" t="n">
        <v>1072</v>
      </c>
      <c r="K328" s="0" t="n">
        <v>7.329051509148151</v>
      </c>
    </row>
    <row r="329">
      <c r="A329" s="0" t="n">
        <v>138</v>
      </c>
      <c r="B329" s="0" t="inlineStr">
        <is>
          <t>Ken</t>
        </is>
      </c>
      <c r="C329" s="0" t="inlineStr">
        <is>
          <t>Town</t>
        </is>
      </c>
      <c r="D329" s="0" t="inlineStr">
        <is>
          <t>Loss</t>
        </is>
      </c>
      <c r="E329" s="0" t="n">
        <v>-46</v>
      </c>
      <c r="F329" s="0" t="n">
        <v>23.05617412604173</v>
      </c>
      <c r="G329" s="0" t="n">
        <v>22.29801941672079</v>
      </c>
      <c r="H329" s="0" t="n">
        <v>7.390222700872897</v>
      </c>
      <c r="I329" s="0" t="n">
        <v>808</v>
      </c>
      <c r="J329" s="0" t="n">
        <v>762</v>
      </c>
      <c r="K329" s="0" t="n">
        <v>7.451808053918805</v>
      </c>
    </row>
    <row r="330">
      <c r="A330" s="0" t="n">
        <v>138</v>
      </c>
      <c r="B330" s="0" t="inlineStr">
        <is>
          <t>Carson</t>
        </is>
      </c>
      <c r="C330" s="0" t="inlineStr">
        <is>
          <t>Town</t>
        </is>
      </c>
      <c r="D330" s="0" t="inlineStr">
        <is>
          <t>Loss</t>
        </is>
      </c>
      <c r="E330" s="0" t="n">
        <v>-31</v>
      </c>
      <c r="F330" s="0" t="n">
        <v>27.55739748417103</v>
      </c>
      <c r="G330" s="0" t="n">
        <v>27.04707890872386</v>
      </c>
      <c r="H330" s="0" t="n">
        <v>6.079907680555135</v>
      </c>
      <c r="I330" s="0" t="n">
        <v>1250</v>
      </c>
      <c r="J330" s="0" t="n">
        <v>1219</v>
      </c>
      <c r="K330" s="0" t="n">
        <v>6.113422872589072</v>
      </c>
    </row>
    <row r="331">
      <c r="A331" s="0" t="n">
        <v>138</v>
      </c>
      <c r="B331" s="0" t="inlineStr">
        <is>
          <t>Strik3r</t>
        </is>
      </c>
      <c r="C331" s="0" t="inlineStr">
        <is>
          <t>Town</t>
        </is>
      </c>
      <c r="D331" s="0" t="inlineStr">
        <is>
          <t>Loss</t>
        </is>
      </c>
      <c r="E331" s="0" t="n">
        <v>-37</v>
      </c>
      <c r="F331" s="0" t="n">
        <v>27.60085889265232</v>
      </c>
      <c r="G331" s="0" t="n">
        <v>26.99121077408364</v>
      </c>
      <c r="H331" s="0" t="n">
        <v>6.637991468515078</v>
      </c>
      <c r="I331" s="0" t="n">
        <v>1195</v>
      </c>
      <c r="J331" s="0" t="n">
        <v>1158</v>
      </c>
      <c r="K331" s="0" t="n">
        <v>6.682097899466048</v>
      </c>
    </row>
    <row r="332">
      <c r="A332" s="0" t="n">
        <v>138</v>
      </c>
      <c r="B332" s="0" t="inlineStr">
        <is>
          <t>Maz</t>
        </is>
      </c>
      <c r="C332" s="0" t="inlineStr">
        <is>
          <t>Town</t>
        </is>
      </c>
      <c r="D332" s="0" t="inlineStr">
        <is>
          <t>Loss</t>
        </is>
      </c>
      <c r="E332" s="0" t="n">
        <v>-50</v>
      </c>
      <c r="F332" s="0" t="n">
        <v>21.97536326943896</v>
      </c>
      <c r="G332" s="0" t="n">
        <v>21.13023527284499</v>
      </c>
      <c r="H332" s="0" t="n">
        <v>7.795033307508041</v>
      </c>
      <c r="I332" s="0" t="n">
        <v>692</v>
      </c>
      <c r="J332" s="0" t="n">
        <v>642</v>
      </c>
      <c r="K332" s="0" t="n">
        <v>7.867703953781704</v>
      </c>
    </row>
    <row r="333">
      <c r="A333" s="0" t="n">
        <v>137</v>
      </c>
      <c r="B333" s="0" t="inlineStr">
        <is>
          <t>Plen</t>
        </is>
      </c>
      <c r="C333" s="0" t="inlineStr">
        <is>
          <t>Mafia</t>
        </is>
      </c>
      <c r="D333" s="0" t="inlineStr">
        <is>
          <t>Loss</t>
        </is>
      </c>
      <c r="E333" s="0" t="n">
        <v>-31</v>
      </c>
      <c r="F333" s="0" t="n">
        <v>21.59955196337324</v>
      </c>
      <c r="G333" s="0" t="n">
        <v>21.10635213472504</v>
      </c>
      <c r="H333" s="0" t="n">
        <v>5.855283056877682</v>
      </c>
      <c r="I333" s="0" t="n">
        <v>869</v>
      </c>
      <c r="J333" s="0" t="n">
        <v>838</v>
      </c>
      <c r="K333" s="0" t="n">
        <v>5.884214883910383</v>
      </c>
    </row>
    <row r="334">
      <c r="A334" s="0" t="n">
        <v>137</v>
      </c>
      <c r="B334" s="0" t="inlineStr">
        <is>
          <t>Maz</t>
        </is>
      </c>
      <c r="C334" s="0" t="inlineStr">
        <is>
          <t>Mafia</t>
        </is>
      </c>
      <c r="D334" s="0" t="inlineStr">
        <is>
          <t>Loss</t>
        </is>
      </c>
      <c r="E334" s="0" t="n">
        <v>-53</v>
      </c>
      <c r="F334" s="0" t="n">
        <v>22.87335769888507</v>
      </c>
      <c r="G334" s="0" t="n">
        <v>21.97536326943896</v>
      </c>
      <c r="H334" s="0" t="n">
        <v>7.867703953781704</v>
      </c>
      <c r="I334" s="0" t="n">
        <v>745</v>
      </c>
      <c r="J334" s="0" t="n">
        <v>692</v>
      </c>
      <c r="K334" s="0" t="n">
        <v>7.940395891437891</v>
      </c>
    </row>
    <row r="335">
      <c r="A335" s="0" t="n">
        <v>137</v>
      </c>
      <c r="B335" s="0" t="inlineStr">
        <is>
          <t>Carson</t>
        </is>
      </c>
      <c r="C335" s="0" t="inlineStr">
        <is>
          <t>Mafia</t>
        </is>
      </c>
      <c r="D335" s="0" t="inlineStr">
        <is>
          <t>Loss</t>
        </is>
      </c>
      <c r="E335" s="0" t="n">
        <v>-34</v>
      </c>
      <c r="F335" s="0" t="n">
        <v>28.09554311582777</v>
      </c>
      <c r="G335" s="0" t="n">
        <v>27.55739748417103</v>
      </c>
      <c r="H335" s="0" t="n">
        <v>6.113422872589072</v>
      </c>
      <c r="I335" s="0" t="n">
        <v>1284</v>
      </c>
      <c r="J335" s="0" t="n">
        <v>1250</v>
      </c>
      <c r="K335" s="0" t="n">
        <v>6.146561244356558</v>
      </c>
    </row>
    <row r="336">
      <c r="A336" s="0" t="n">
        <v>137</v>
      </c>
      <c r="B336" s="0" t="inlineStr">
        <is>
          <t>Rocker</t>
        </is>
      </c>
      <c r="C336" s="0" t="inlineStr">
        <is>
          <t>Town</t>
        </is>
      </c>
      <c r="D336" s="0" t="inlineStr">
        <is>
          <t>Win</t>
        </is>
      </c>
      <c r="E336" s="0" t="n">
        <v>36</v>
      </c>
      <c r="F336" s="0" t="n">
        <v>31.57736286005214</v>
      </c>
      <c r="G336" s="0" t="n">
        <v>32.06804852403921</v>
      </c>
      <c r="H336" s="0" t="n">
        <v>5.840491681457016</v>
      </c>
      <c r="I336" s="0" t="n">
        <v>1549</v>
      </c>
      <c r="J336" s="0" t="n">
        <v>1585</v>
      </c>
      <c r="K336" s="0" t="n">
        <v>5.869193517645885</v>
      </c>
    </row>
    <row r="337">
      <c r="A337" s="0" t="n">
        <v>137</v>
      </c>
      <c r="B337" s="0" t="inlineStr">
        <is>
          <t>Cj</t>
        </is>
      </c>
      <c r="C337" s="0" t="inlineStr">
        <is>
          <t>Town</t>
        </is>
      </c>
      <c r="D337" s="0" t="inlineStr">
        <is>
          <t>Win</t>
        </is>
      </c>
      <c r="E337" s="0" t="n">
        <v>57</v>
      </c>
      <c r="F337" s="0" t="n">
        <v>27.5404961845114</v>
      </c>
      <c r="G337" s="0" t="n">
        <v>28.29398412964023</v>
      </c>
      <c r="H337" s="0" t="n">
        <v>7.217764288394831</v>
      </c>
      <c r="I337" s="0" t="n">
        <v>1131</v>
      </c>
      <c r="J337" s="0" t="n">
        <v>1188</v>
      </c>
      <c r="K337" s="0" t="n">
        <v>7.273390144035295</v>
      </c>
    </row>
    <row r="338">
      <c r="A338" s="0" t="n">
        <v>137</v>
      </c>
      <c r="B338" s="0" t="inlineStr">
        <is>
          <t>Motr</t>
        </is>
      </c>
      <c r="C338" s="0" t="inlineStr">
        <is>
          <t>Town</t>
        </is>
      </c>
      <c r="D338" s="0" t="inlineStr">
        <is>
          <t>Win</t>
        </is>
      </c>
      <c r="E338" s="0" t="n">
        <v>53</v>
      </c>
      <c r="F338" s="0" t="n">
        <v>24.70123773139877</v>
      </c>
      <c r="G338" s="0" t="n">
        <v>25.41100970613322</v>
      </c>
      <c r="H338" s="0" t="n">
        <v>7.008437897496961</v>
      </c>
      <c r="I338" s="0" t="n">
        <v>960</v>
      </c>
      <c r="J338" s="0" t="n">
        <v>1013</v>
      </c>
      <c r="K338" s="0" t="n">
        <v>7.059202251346662</v>
      </c>
    </row>
    <row r="339">
      <c r="A339" s="0" t="n">
        <v>137</v>
      </c>
      <c r="B339" s="0" t="inlineStr">
        <is>
          <t>Kwix</t>
        </is>
      </c>
      <c r="C339" s="0" t="inlineStr">
        <is>
          <t>Town</t>
        </is>
      </c>
      <c r="D339" s="0" t="inlineStr">
        <is>
          <t>Win</t>
        </is>
      </c>
      <c r="E339" s="0" t="n">
        <v>45</v>
      </c>
      <c r="F339" s="0" t="n">
        <v>22.4377276355549</v>
      </c>
      <c r="G339" s="0" t="n">
        <v>23.04521047430213</v>
      </c>
      <c r="H339" s="0" t="n">
        <v>6.490672331438081</v>
      </c>
      <c r="I339" s="0" t="n">
        <v>860</v>
      </c>
      <c r="J339" s="0" t="n">
        <v>905</v>
      </c>
      <c r="K339" s="0" t="n">
        <v>6.530641904476454</v>
      </c>
    </row>
    <row r="340">
      <c r="A340" s="0" t="n">
        <v>137</v>
      </c>
      <c r="B340" s="0" t="inlineStr">
        <is>
          <t>Gilbert</t>
        </is>
      </c>
      <c r="C340" s="0" t="inlineStr">
        <is>
          <t>Town</t>
        </is>
      </c>
      <c r="D340" s="0" t="inlineStr">
        <is>
          <t>Win</t>
        </is>
      </c>
      <c r="E340" s="0" t="n">
        <v>50</v>
      </c>
      <c r="F340" s="0" t="n">
        <v>25.37006975374791</v>
      </c>
      <c r="G340" s="0" t="n">
        <v>26.03981575800682</v>
      </c>
      <c r="H340" s="0" t="n">
        <v>6.810787469799924</v>
      </c>
      <c r="I340" s="0" t="n">
        <v>1026</v>
      </c>
      <c r="J340" s="0" t="n">
        <v>1076</v>
      </c>
      <c r="K340" s="0" t="n">
        <v>6.857229150815344</v>
      </c>
    </row>
    <row r="341">
      <c r="A341" s="0" t="n">
        <v>137</v>
      </c>
      <c r="B341" s="0" t="inlineStr">
        <is>
          <t>Heckmuffins</t>
        </is>
      </c>
      <c r="C341" s="0" t="inlineStr">
        <is>
          <t>Town</t>
        </is>
      </c>
      <c r="D341" s="0" t="inlineStr">
        <is>
          <t>Win</t>
        </is>
      </c>
      <c r="E341" s="0" t="n">
        <v>68</v>
      </c>
      <c r="F341" s="0" t="n">
        <v>27.39831564002566</v>
      </c>
      <c r="G341" s="0" t="n">
        <v>28.29062950614545</v>
      </c>
      <c r="H341" s="0" t="n">
        <v>7.843244072968704</v>
      </c>
      <c r="I341" s="0" t="n">
        <v>1056</v>
      </c>
      <c r="J341" s="0" t="n">
        <v>1124</v>
      </c>
      <c r="K341" s="0" t="n">
        <v>7.915237239772888</v>
      </c>
    </row>
    <row r="342">
      <c r="A342" s="0" t="n">
        <v>137</v>
      </c>
      <c r="B342" s="0" t="inlineStr">
        <is>
          <t>Siggy</t>
        </is>
      </c>
      <c r="C342" s="0" t="inlineStr">
        <is>
          <t>Town</t>
        </is>
      </c>
      <c r="D342" s="0" t="inlineStr">
        <is>
          <t>Win</t>
        </is>
      </c>
      <c r="E342" s="0" t="n">
        <v>65</v>
      </c>
      <c r="F342" s="0" t="n">
        <v>26.54652803987066</v>
      </c>
      <c r="G342" s="0" t="n">
        <v>27.40157983787929</v>
      </c>
      <c r="H342" s="0" t="n">
        <v>7.680716959673138</v>
      </c>
      <c r="I342" s="0" t="n">
        <v>1015</v>
      </c>
      <c r="J342" s="0" t="n">
        <v>1080</v>
      </c>
      <c r="K342" s="0" t="n">
        <v>7.748182067630529</v>
      </c>
    </row>
    <row r="343">
      <c r="A343" s="0" t="n">
        <v>137</v>
      </c>
      <c r="B343" s="0" t="inlineStr">
        <is>
          <t>TCP</t>
        </is>
      </c>
      <c r="C343" s="0" t="inlineStr">
        <is>
          <t>Town</t>
        </is>
      </c>
      <c r="D343" s="0" t="inlineStr">
        <is>
          <t>Win</t>
        </is>
      </c>
      <c r="E343" s="0" t="n">
        <v>65</v>
      </c>
      <c r="F343" s="0" t="n">
        <v>23.87336747589566</v>
      </c>
      <c r="G343" s="0" t="n">
        <v>24.72961850868599</v>
      </c>
      <c r="H343" s="0" t="n">
        <v>7.686005267625151</v>
      </c>
      <c r="I343" s="0" t="n">
        <v>833</v>
      </c>
      <c r="J343" s="0" t="n">
        <v>898</v>
      </c>
      <c r="K343" s="0" t="n">
        <v>7.753614592524181</v>
      </c>
    </row>
    <row r="344">
      <c r="A344" s="0" t="n">
        <v>137</v>
      </c>
      <c r="B344" s="0" t="inlineStr">
        <is>
          <t>Chelsea</t>
        </is>
      </c>
      <c r="C344" s="0" t="inlineStr">
        <is>
          <t>Town</t>
        </is>
      </c>
      <c r="D344" s="0" t="inlineStr">
        <is>
          <t>Win</t>
        </is>
      </c>
      <c r="E344" s="0" t="n">
        <v>59</v>
      </c>
      <c r="F344" s="0" t="n">
        <v>26.62254456678702</v>
      </c>
      <c r="G344" s="0" t="n">
        <v>27.39983155839735</v>
      </c>
      <c r="H344" s="0" t="n">
        <v>7.329051509148151</v>
      </c>
      <c r="I344" s="0" t="n">
        <v>1057</v>
      </c>
      <c r="J344" s="0" t="n">
        <v>1116</v>
      </c>
      <c r="K344" s="0" t="n">
        <v>7.387384196517962</v>
      </c>
    </row>
    <row r="345">
      <c r="A345" s="0" t="n">
        <v>137</v>
      </c>
      <c r="B345" s="0" t="inlineStr">
        <is>
          <t>Strik3r</t>
        </is>
      </c>
      <c r="C345" s="0" t="inlineStr">
        <is>
          <t>Town</t>
        </is>
      </c>
      <c r="D345" s="0" t="inlineStr">
        <is>
          <t>Win</t>
        </is>
      </c>
      <c r="E345" s="0" t="n">
        <v>48</v>
      </c>
      <c r="F345" s="0" t="n">
        <v>26.95652322364482</v>
      </c>
      <c r="G345" s="0" t="n">
        <v>27.60085889265232</v>
      </c>
      <c r="H345" s="0" t="n">
        <v>6.682097899466048</v>
      </c>
      <c r="I345" s="0" t="n">
        <v>1147</v>
      </c>
      <c r="J345" s="0" t="n">
        <v>1195</v>
      </c>
      <c r="K345" s="0" t="n">
        <v>6.725860612044817</v>
      </c>
    </row>
    <row r="346">
      <c r="A346" s="0" t="n">
        <v>136</v>
      </c>
      <c r="B346" s="0" t="inlineStr">
        <is>
          <t>Brownkow</t>
        </is>
      </c>
      <c r="C346" s="0" t="inlineStr">
        <is>
          <t>Mafia</t>
        </is>
      </c>
      <c r="D346" s="0" t="inlineStr">
        <is>
          <t>Win</t>
        </is>
      </c>
      <c r="E346" s="0" t="n">
        <v>21</v>
      </c>
      <c r="F346" s="0" t="n">
        <v>32.87416265370413</v>
      </c>
      <c r="G346" s="0" t="n">
        <v>33.15162203522434</v>
      </c>
      <c r="H346" s="0" t="n">
        <v>5.7804849735341</v>
      </c>
      <c r="I346" s="0" t="n">
        <v>1644</v>
      </c>
      <c r="J346" s="0" t="n">
        <v>1665</v>
      </c>
      <c r="K346" s="0" t="n">
        <v>5.803204198731769</v>
      </c>
    </row>
    <row r="347">
      <c r="A347" s="0" t="n">
        <v>136</v>
      </c>
      <c r="B347" s="0" t="inlineStr">
        <is>
          <t>Badpants</t>
        </is>
      </c>
      <c r="C347" s="0" t="inlineStr">
        <is>
          <t>Mafia</t>
        </is>
      </c>
      <c r="D347" s="0" t="inlineStr">
        <is>
          <t>Win</t>
        </is>
      </c>
      <c r="E347" s="0" t="n">
        <v>23</v>
      </c>
      <c r="F347" s="0" t="n">
        <v>23.98865707733367</v>
      </c>
      <c r="G347" s="0" t="n">
        <v>24.28782102299073</v>
      </c>
      <c r="H347" s="0" t="n">
        <v>6.000401066473454</v>
      </c>
      <c r="I347" s="0" t="n">
        <v>1017</v>
      </c>
      <c r="J347" s="0" t="n">
        <v>1040</v>
      </c>
      <c r="K347" s="0" t="n">
        <v>6.025976722403593</v>
      </c>
    </row>
    <row r="348">
      <c r="A348" s="0" t="n">
        <v>136</v>
      </c>
      <c r="B348" s="0" t="inlineStr">
        <is>
          <t>Cyclone</t>
        </is>
      </c>
      <c r="C348" s="0" t="inlineStr">
        <is>
          <t>Mafia</t>
        </is>
      </c>
      <c r="D348" s="0" t="inlineStr">
        <is>
          <t>Win</t>
        </is>
      </c>
      <c r="E348" s="0" t="n">
        <v>37</v>
      </c>
      <c r="F348" s="0" t="n">
        <v>29.34265500033811</v>
      </c>
      <c r="G348" s="0" t="n">
        <v>29.81791886122111</v>
      </c>
      <c r="H348" s="0" t="n">
        <v>7.543322134712144</v>
      </c>
      <c r="I348" s="0" t="n">
        <v>1221</v>
      </c>
      <c r="J348" s="0" t="n">
        <v>1258</v>
      </c>
      <c r="K348" s="0" t="n">
        <v>7.59560507289846</v>
      </c>
    </row>
    <row r="349">
      <c r="A349" s="0" t="n">
        <v>136</v>
      </c>
      <c r="B349" s="0" t="inlineStr">
        <is>
          <t>Gilbert</t>
        </is>
      </c>
      <c r="C349" s="0" t="inlineStr">
        <is>
          <t>Town</t>
        </is>
      </c>
      <c r="D349" s="0" t="inlineStr">
        <is>
          <t>Loss</t>
        </is>
      </c>
      <c r="E349" s="0" t="n">
        <v>-22</v>
      </c>
      <c r="F349" s="0" t="n">
        <v>25.76184181745406</v>
      </c>
      <c r="G349" s="0" t="n">
        <v>25.37006975374791</v>
      </c>
      <c r="H349" s="0" t="n">
        <v>6.857229150815344</v>
      </c>
      <c r="I349" s="0" t="n">
        <v>1048</v>
      </c>
      <c r="J349" s="0" t="n">
        <v>1026</v>
      </c>
      <c r="K349" s="0" t="n">
        <v>6.896102226974586</v>
      </c>
    </row>
    <row r="350">
      <c r="A350" s="0" t="n">
        <v>136</v>
      </c>
      <c r="B350" s="0" t="inlineStr">
        <is>
          <t>Ken</t>
        </is>
      </c>
      <c r="C350" s="0" t="inlineStr">
        <is>
          <t>Town</t>
        </is>
      </c>
      <c r="D350" s="0" t="inlineStr">
        <is>
          <t>Loss</t>
        </is>
      </c>
      <c r="E350" s="0" t="n">
        <v>-26</v>
      </c>
      <c r="F350" s="0" t="n">
        <v>23.51981663001297</v>
      </c>
      <c r="G350" s="0" t="n">
        <v>23.05617412604173</v>
      </c>
      <c r="H350" s="0" t="n">
        <v>7.451808053918805</v>
      </c>
      <c r="I350" s="0" t="n">
        <v>834</v>
      </c>
      <c r="J350" s="0" t="n">
        <v>808</v>
      </c>
      <c r="K350" s="0" t="n">
        <v>7.502148524759614</v>
      </c>
    </row>
    <row r="351">
      <c r="A351" s="0" t="n">
        <v>136</v>
      </c>
      <c r="B351" s="0" t="inlineStr">
        <is>
          <t>Decode</t>
        </is>
      </c>
      <c r="C351" s="0" t="inlineStr">
        <is>
          <t>Town</t>
        </is>
      </c>
      <c r="D351" s="0" t="inlineStr">
        <is>
          <t>Loss</t>
        </is>
      </c>
      <c r="E351" s="0" t="n">
        <v>-27</v>
      </c>
      <c r="F351" s="0" t="n">
        <v>19.30903096035414</v>
      </c>
      <c r="G351" s="0" t="n">
        <v>18.83808966212005</v>
      </c>
      <c r="H351" s="0" t="n">
        <v>7.509421198120906</v>
      </c>
      <c r="I351" s="0" t="n">
        <v>542</v>
      </c>
      <c r="J351" s="0" t="n">
        <v>515</v>
      </c>
      <c r="K351" s="0" t="n">
        <v>7.560978843807631</v>
      </c>
    </row>
    <row r="352">
      <c r="A352" s="0" t="n">
        <v>136</v>
      </c>
      <c r="B352" s="0" t="inlineStr">
        <is>
          <t>Lou</t>
        </is>
      </c>
      <c r="C352" s="0" t="inlineStr">
        <is>
          <t>Town</t>
        </is>
      </c>
      <c r="D352" s="0" t="inlineStr">
        <is>
          <t>Loss</t>
        </is>
      </c>
      <c r="E352" s="0" t="n">
        <v>-17</v>
      </c>
      <c r="F352" s="0" t="n">
        <v>28.36061235971051</v>
      </c>
      <c r="G352" s="0" t="n">
        <v>28.06459886446615</v>
      </c>
      <c r="H352" s="0" t="n">
        <v>5.968999991198091</v>
      </c>
      <c r="I352" s="0" t="n">
        <v>1317</v>
      </c>
      <c r="J352" s="0" t="n">
        <v>1300</v>
      </c>
      <c r="K352" s="0" t="n">
        <v>5.994154634973828</v>
      </c>
    </row>
    <row r="353">
      <c r="A353" s="0" t="n">
        <v>136</v>
      </c>
      <c r="B353" s="0" t="inlineStr">
        <is>
          <t>Iln</t>
        </is>
      </c>
      <c r="C353" s="0" t="inlineStr">
        <is>
          <t>Town</t>
        </is>
      </c>
      <c r="D353" s="0" t="inlineStr">
        <is>
          <t>Loss</t>
        </is>
      </c>
      <c r="E353" s="0" t="n">
        <v>-18</v>
      </c>
      <c r="F353" s="0" t="n">
        <v>28.59344017190864</v>
      </c>
      <c r="G353" s="0" t="n">
        <v>28.29466686948078</v>
      </c>
      <c r="H353" s="0" t="n">
        <v>5.996516708393258</v>
      </c>
      <c r="I353" s="0" t="n">
        <v>1330</v>
      </c>
      <c r="J353" s="0" t="n">
        <v>1312</v>
      </c>
      <c r="K353" s="0" t="n">
        <v>6.022040043724376</v>
      </c>
    </row>
    <row r="354">
      <c r="A354" s="0" t="n">
        <v>136</v>
      </c>
      <c r="B354" s="0" t="inlineStr">
        <is>
          <t>Doublea</t>
        </is>
      </c>
      <c r="C354" s="0" t="inlineStr">
        <is>
          <t>Town</t>
        </is>
      </c>
      <c r="D354" s="0" t="inlineStr">
        <is>
          <t>Loss</t>
        </is>
      </c>
      <c r="E354" s="0" t="n">
        <v>-24</v>
      </c>
      <c r="F354" s="0" t="n">
        <v>23.04495642307856</v>
      </c>
      <c r="G354" s="0" t="n">
        <v>22.6250937199037</v>
      </c>
      <c r="H354" s="0" t="n">
        <v>7.095862072345576</v>
      </c>
      <c r="I354" s="0" t="n">
        <v>839</v>
      </c>
      <c r="J354" s="0" t="n">
        <v>815</v>
      </c>
      <c r="K354" s="0" t="n">
        <v>7.139103238285317</v>
      </c>
    </row>
    <row r="355">
      <c r="A355" s="0" t="n">
        <v>136</v>
      </c>
      <c r="B355" s="0" t="inlineStr">
        <is>
          <t>Smit</t>
        </is>
      </c>
      <c r="C355" s="0" t="inlineStr">
        <is>
          <t>Town</t>
        </is>
      </c>
      <c r="D355" s="0" t="inlineStr">
        <is>
          <t>Loss</t>
        </is>
      </c>
      <c r="E355" s="0" t="n">
        <v>-18</v>
      </c>
      <c r="F355" s="0" t="n">
        <v>25.89250891279063</v>
      </c>
      <c r="G355" s="0" t="n">
        <v>25.58484497368325</v>
      </c>
      <c r="H355" s="0" t="n">
        <v>6.084284654914922</v>
      </c>
      <c r="I355" s="0" t="n">
        <v>1137</v>
      </c>
      <c r="J355" s="0" t="n">
        <v>1119</v>
      </c>
      <c r="K355" s="0" t="n">
        <v>6.111006893974293</v>
      </c>
    </row>
    <row r="356">
      <c r="A356" s="0" t="n">
        <v>136</v>
      </c>
      <c r="B356" s="0" t="inlineStr">
        <is>
          <t>Mintt</t>
        </is>
      </c>
      <c r="C356" s="0" t="inlineStr">
        <is>
          <t>Town</t>
        </is>
      </c>
      <c r="D356" s="0" t="inlineStr">
        <is>
          <t>Loss</t>
        </is>
      </c>
      <c r="E356" s="0" t="n">
        <v>-20</v>
      </c>
      <c r="F356" s="0" t="n">
        <v>30.84820661861709</v>
      </c>
      <c r="G356" s="0" t="n">
        <v>30.4933810126547</v>
      </c>
      <c r="H356" s="0" t="n">
        <v>6.529448042428329</v>
      </c>
      <c r="I356" s="0" t="n">
        <v>1428</v>
      </c>
      <c r="J356" s="0" t="n">
        <v>1408</v>
      </c>
      <c r="K356" s="0" t="n">
        <v>6.562807725373472</v>
      </c>
    </row>
    <row r="357">
      <c r="A357" s="0" t="n">
        <v>136</v>
      </c>
      <c r="B357" s="0" t="inlineStr">
        <is>
          <t>Motr</t>
        </is>
      </c>
      <c r="C357" s="0" t="inlineStr">
        <is>
          <t>Town</t>
        </is>
      </c>
      <c r="D357" s="0" t="inlineStr">
        <is>
          <t>Loss</t>
        </is>
      </c>
      <c r="E357" s="0" t="n">
        <v>-24</v>
      </c>
      <c r="F357" s="0" t="n">
        <v>25.11671945342347</v>
      </c>
      <c r="G357" s="0" t="n">
        <v>24.70123773139877</v>
      </c>
      <c r="H357" s="0" t="n">
        <v>7.059202251346662</v>
      </c>
      <c r="I357" s="0" t="n">
        <v>984</v>
      </c>
      <c r="J357" s="0" t="n">
        <v>960</v>
      </c>
      <c r="K357" s="0" t="n">
        <v>7.101752384716173</v>
      </c>
    </row>
    <row r="358">
      <c r="A358" s="0" t="n">
        <v>135</v>
      </c>
      <c r="B358" s="0" t="inlineStr">
        <is>
          <t>Motr</t>
        </is>
      </c>
      <c r="C358" s="0" t="inlineStr">
        <is>
          <t>Mafia</t>
        </is>
      </c>
      <c r="D358" s="0" t="inlineStr">
        <is>
          <t>Loss</t>
        </is>
      </c>
      <c r="E358" s="0" t="n">
        <v>-68</v>
      </c>
      <c r="F358" s="0" t="n">
        <v>26.21863719294554</v>
      </c>
      <c r="G358" s="0" t="n">
        <v>25.11671945342347</v>
      </c>
      <c r="H358" s="0" t="n">
        <v>7.101752384716173</v>
      </c>
      <c r="I358" s="0" t="n">
        <v>1052</v>
      </c>
      <c r="J358" s="0" t="n">
        <v>984</v>
      </c>
      <c r="K358" s="0" t="n">
        <v>7.165625015740578</v>
      </c>
    </row>
    <row r="359">
      <c r="A359" s="0" t="n">
        <v>135</v>
      </c>
      <c r="B359" s="0" t="inlineStr">
        <is>
          <t>Gilbert</t>
        </is>
      </c>
      <c r="C359" s="0" t="inlineStr">
        <is>
          <t>Mafia</t>
        </is>
      </c>
      <c r="D359" s="0" t="inlineStr">
        <is>
          <t>Loss</t>
        </is>
      </c>
      <c r="E359" s="0" t="n">
        <v>-65</v>
      </c>
      <c r="F359" s="0" t="n">
        <v>26.79976453178723</v>
      </c>
      <c r="G359" s="0" t="n">
        <v>25.76184181745406</v>
      </c>
      <c r="H359" s="0" t="n">
        <v>6.896102226974586</v>
      </c>
      <c r="I359" s="0" t="n">
        <v>1113</v>
      </c>
      <c r="J359" s="0" t="n">
        <v>1048</v>
      </c>
      <c r="K359" s="0" t="n">
        <v>6.954395580658058</v>
      </c>
    </row>
    <row r="360">
      <c r="A360" s="0" t="n">
        <v>135</v>
      </c>
      <c r="B360" s="0" t="inlineStr">
        <is>
          <t>Kden</t>
        </is>
      </c>
      <c r="C360" s="0" t="inlineStr">
        <is>
          <t>Mafia</t>
        </is>
      </c>
      <c r="D360" s="0" t="inlineStr">
        <is>
          <t>Loss</t>
        </is>
      </c>
      <c r="E360" s="0" t="n">
        <v>-56</v>
      </c>
      <c r="F360" s="0" t="n">
        <v>22.19516650032069</v>
      </c>
      <c r="G360" s="0" t="n">
        <v>21.29838309331343</v>
      </c>
      <c r="H360" s="0" t="n">
        <v>6.417589007356271</v>
      </c>
      <c r="I360" s="0" t="n">
        <v>850</v>
      </c>
      <c r="J360" s="0" t="n">
        <v>794</v>
      </c>
      <c r="K360" s="0" t="n">
        <v>6.464182333779671</v>
      </c>
    </row>
    <row r="361">
      <c r="A361" s="0" t="n">
        <v>135</v>
      </c>
      <c r="B361" s="0" t="inlineStr">
        <is>
          <t>Decode</t>
        </is>
      </c>
      <c r="C361" s="0" t="inlineStr">
        <is>
          <t>Town</t>
        </is>
      </c>
      <c r="D361" s="0" t="inlineStr">
        <is>
          <t>Win</t>
        </is>
      </c>
      <c r="E361" s="0" t="n">
        <v>93</v>
      </c>
      <c r="F361" s="0" t="n">
        <v>18.05687872727717</v>
      </c>
      <c r="G361" s="0" t="n">
        <v>19.30903096035414</v>
      </c>
      <c r="H361" s="0" t="n">
        <v>7.560978843807631</v>
      </c>
      <c r="I361" s="0" t="n">
        <v>449</v>
      </c>
      <c r="J361" s="0" t="n">
        <v>542</v>
      </c>
      <c r="K361" s="0" t="n">
        <v>7.638588773120248</v>
      </c>
    </row>
    <row r="362">
      <c r="A362" s="0" t="n">
        <v>135</v>
      </c>
      <c r="B362" s="0" t="inlineStr">
        <is>
          <t>Chelsea</t>
        </is>
      </c>
      <c r="C362" s="0" t="inlineStr">
        <is>
          <t>Town</t>
        </is>
      </c>
      <c r="D362" s="0" t="inlineStr">
        <is>
          <t>Win</t>
        </is>
      </c>
      <c r="E362" s="0" t="n">
        <v>89</v>
      </c>
      <c r="F362" s="0" t="n">
        <v>25.42838012751865</v>
      </c>
      <c r="G362" s="0" t="n">
        <v>26.62254456678702</v>
      </c>
      <c r="H362" s="0" t="n">
        <v>7.387384196517962</v>
      </c>
      <c r="I362" s="0" t="n">
        <v>968</v>
      </c>
      <c r="J362" s="0" t="n">
        <v>1057</v>
      </c>
      <c r="K362" s="0" t="n">
        <v>7.459587696857093</v>
      </c>
    </row>
    <row r="363">
      <c r="A363" s="0" t="n">
        <v>135</v>
      </c>
      <c r="B363" s="0" t="inlineStr">
        <is>
          <t>Brownkow</t>
        </is>
      </c>
      <c r="C363" s="0" t="inlineStr">
        <is>
          <t>Town</t>
        </is>
      </c>
      <c r="D363" s="0" t="inlineStr">
        <is>
          <t>Win</t>
        </is>
      </c>
      <c r="E363" s="0" t="n">
        <v>54</v>
      </c>
      <c r="F363" s="0" t="n">
        <v>32.14286580181179</v>
      </c>
      <c r="G363" s="0" t="n">
        <v>32.87416265370413</v>
      </c>
      <c r="H363" s="0" t="n">
        <v>5.803204198731769</v>
      </c>
      <c r="I363" s="0" t="n">
        <v>1590</v>
      </c>
      <c r="J363" s="0" t="n">
        <v>1644</v>
      </c>
      <c r="K363" s="0" t="n">
        <v>5.837204490609383</v>
      </c>
    </row>
    <row r="364">
      <c r="A364" s="0" t="n">
        <v>135</v>
      </c>
      <c r="B364" s="0" t="inlineStr">
        <is>
          <t>Lou</t>
        </is>
      </c>
      <c r="C364" s="0" t="inlineStr">
        <is>
          <t>Town</t>
        </is>
      </c>
      <c r="D364" s="0" t="inlineStr">
        <is>
          <t>Win</t>
        </is>
      </c>
      <c r="E364" s="0" t="n">
        <v>57</v>
      </c>
      <c r="F364" s="0" t="n">
        <v>27.57976054937802</v>
      </c>
      <c r="G364" s="0" t="n">
        <v>28.36061235971051</v>
      </c>
      <c r="H364" s="0" t="n">
        <v>5.994154634973828</v>
      </c>
      <c r="I364" s="0" t="n">
        <v>1260</v>
      </c>
      <c r="J364" s="0" t="n">
        <v>1317</v>
      </c>
      <c r="K364" s="0" t="n">
        <v>6.031792753308945</v>
      </c>
    </row>
    <row r="365">
      <c r="A365" s="0" t="n">
        <v>135</v>
      </c>
      <c r="B365" s="0" t="inlineStr">
        <is>
          <t>Iln</t>
        </is>
      </c>
      <c r="C365" s="0" t="inlineStr">
        <is>
          <t>Town</t>
        </is>
      </c>
      <c r="D365" s="0" t="inlineStr">
        <is>
          <t>Win</t>
        </is>
      </c>
      <c r="E365" s="0" t="n">
        <v>57</v>
      </c>
      <c r="F365" s="0" t="n">
        <v>27.80521036354843</v>
      </c>
      <c r="G365" s="0" t="n">
        <v>28.59344017190864</v>
      </c>
      <c r="H365" s="0" t="n">
        <v>6.022040043724376</v>
      </c>
      <c r="I365" s="0" t="n">
        <v>1273</v>
      </c>
      <c r="J365" s="0" t="n">
        <v>1330</v>
      </c>
      <c r="K365" s="0" t="n">
        <v>6.060229711721358</v>
      </c>
    </row>
    <row r="366">
      <c r="A366" s="0" t="n">
        <v>135</v>
      </c>
      <c r="B366" s="0" t="inlineStr">
        <is>
          <t>Badpants</t>
        </is>
      </c>
      <c r="C366" s="0" t="inlineStr">
        <is>
          <t>Town</t>
        </is>
      </c>
      <c r="D366" s="0" t="inlineStr">
        <is>
          <t>Win</t>
        </is>
      </c>
      <c r="E366" s="0" t="n">
        <v>58</v>
      </c>
      <c r="F366" s="0" t="n">
        <v>23.19938278637057</v>
      </c>
      <c r="G366" s="0" t="n">
        <v>23.98865707733367</v>
      </c>
      <c r="H366" s="0" t="n">
        <v>6.025976722403593</v>
      </c>
      <c r="I366" s="0" t="n">
        <v>959</v>
      </c>
      <c r="J366" s="0" t="n">
        <v>1017</v>
      </c>
      <c r="K366" s="0" t="n">
        <v>6.064244677459943</v>
      </c>
    </row>
    <row r="367">
      <c r="A367" s="0" t="n">
        <v>135</v>
      </c>
      <c r="B367" s="0" t="inlineStr">
        <is>
          <t>Qe</t>
        </is>
      </c>
      <c r="C367" s="0" t="inlineStr">
        <is>
          <t>Town</t>
        </is>
      </c>
      <c r="D367" s="0" t="inlineStr">
        <is>
          <t>Win</t>
        </is>
      </c>
      <c r="E367" s="0" t="n">
        <v>109</v>
      </c>
      <c r="F367" s="0" t="n">
        <v>26.46269493956451</v>
      </c>
      <c r="G367" s="0" t="n">
        <v>27.92349396685159</v>
      </c>
      <c r="H367" s="0" t="n">
        <v>8.152492941676586</v>
      </c>
      <c r="I367" s="0" t="n">
        <v>958</v>
      </c>
      <c r="J367" s="0" t="n">
        <v>1067</v>
      </c>
      <c r="K367" s="0" t="n">
        <v>8.250592070013726</v>
      </c>
    </row>
    <row r="368">
      <c r="A368" s="0" t="n">
        <v>135</v>
      </c>
      <c r="B368" s="0" t="inlineStr">
        <is>
          <t>Doublea</t>
        </is>
      </c>
      <c r="C368" s="0" t="inlineStr">
        <is>
          <t>Town</t>
        </is>
      </c>
      <c r="D368" s="0" t="inlineStr">
        <is>
          <t>Win</t>
        </is>
      </c>
      <c r="E368" s="0" t="n">
        <v>82</v>
      </c>
      <c r="F368" s="0" t="n">
        <v>21.93119877926298</v>
      </c>
      <c r="G368" s="0" t="n">
        <v>23.04495642307856</v>
      </c>
      <c r="H368" s="0" t="n">
        <v>7.139103238285317</v>
      </c>
      <c r="I368" s="0" t="n">
        <v>757</v>
      </c>
      <c r="J368" s="0" t="n">
        <v>839</v>
      </c>
      <c r="K368" s="0" t="n">
        <v>7.204026279408536</v>
      </c>
    </row>
    <row r="369">
      <c r="A369" s="0" t="n">
        <v>135</v>
      </c>
      <c r="B369" s="0" t="inlineStr">
        <is>
          <t>Ken</t>
        </is>
      </c>
      <c r="C369" s="0" t="inlineStr">
        <is>
          <t>Town</t>
        </is>
      </c>
      <c r="D369" s="0" t="inlineStr">
        <is>
          <t>Win</t>
        </is>
      </c>
      <c r="E369" s="0" t="n">
        <v>91</v>
      </c>
      <c r="F369" s="0" t="n">
        <v>22.28747985649892</v>
      </c>
      <c r="G369" s="0" t="n">
        <v>23.51981663001297</v>
      </c>
      <c r="H369" s="0" t="n">
        <v>7.502148524759614</v>
      </c>
      <c r="I369" s="0" t="n">
        <v>743</v>
      </c>
      <c r="J369" s="0" t="n">
        <v>834</v>
      </c>
      <c r="K369" s="0" t="n">
        <v>7.577896507171887</v>
      </c>
    </row>
    <row r="370">
      <c r="A370" s="0" t="n">
        <v>135</v>
      </c>
      <c r="B370" s="0" t="inlineStr">
        <is>
          <t>Smit</t>
        </is>
      </c>
      <c r="C370" s="0" t="inlineStr">
        <is>
          <t>Town</t>
        </is>
      </c>
      <c r="D370" s="0" t="inlineStr">
        <is>
          <t>Win</t>
        </is>
      </c>
      <c r="E370" s="0" t="n">
        <v>59</v>
      </c>
      <c r="F370" s="0" t="n">
        <v>25.08049872434954</v>
      </c>
      <c r="G370" s="0" t="n">
        <v>25.89250891279063</v>
      </c>
      <c r="H370" s="0" t="n">
        <v>6.111006893974293</v>
      </c>
      <c r="I370" s="0" t="n">
        <v>1078</v>
      </c>
      <c r="J370" s="0" t="n">
        <v>1137</v>
      </c>
      <c r="K370" s="0" t="n">
        <v>6.150991541927816</v>
      </c>
    </row>
    <row r="371">
      <c r="A371" s="0" t="n">
        <v>134</v>
      </c>
      <c r="B371" s="0" t="inlineStr">
        <is>
          <t>Noah</t>
        </is>
      </c>
      <c r="C371" s="0" t="inlineStr">
        <is>
          <t>Mafia</t>
        </is>
      </c>
      <c r="D371" s="0" t="inlineStr">
        <is>
          <t>Win</t>
        </is>
      </c>
      <c r="E371" s="0" t="n">
        <v>23</v>
      </c>
      <c r="F371" s="0" t="n">
        <v>29.16918345081232</v>
      </c>
      <c r="G371" s="0" t="n">
        <v>29.47503931261241</v>
      </c>
      <c r="H371" s="0" t="n">
        <v>6.060734850222511</v>
      </c>
      <c r="I371" s="0" t="n">
        <v>1363</v>
      </c>
      <c r="J371" s="0" t="n">
        <v>1386</v>
      </c>
      <c r="K371" s="0" t="n">
        <v>6.085373295924835</v>
      </c>
    </row>
    <row r="372">
      <c r="A372" s="0" t="n">
        <v>134</v>
      </c>
      <c r="B372" s="0" t="inlineStr">
        <is>
          <t>Rollo</t>
        </is>
      </c>
      <c r="C372" s="0" t="inlineStr">
        <is>
          <t>Mafia</t>
        </is>
      </c>
      <c r="D372" s="0" t="inlineStr">
        <is>
          <t>Win</t>
        </is>
      </c>
      <c r="E372" s="0" t="n">
        <v>28</v>
      </c>
      <c r="F372" s="0" t="n">
        <v>34.17071356790628</v>
      </c>
      <c r="G372" s="0" t="n">
        <v>34.54184631525169</v>
      </c>
      <c r="H372" s="0" t="n">
        <v>6.670232645652329</v>
      </c>
      <c r="I372" s="0" t="n">
        <v>1640</v>
      </c>
      <c r="J372" s="0" t="n">
        <v>1668</v>
      </c>
      <c r="K372" s="0" t="n">
        <v>6.703533311756244</v>
      </c>
    </row>
    <row r="373">
      <c r="A373" s="0" t="n">
        <v>134</v>
      </c>
      <c r="B373" s="0" t="inlineStr">
        <is>
          <t>Gilbert</t>
        </is>
      </c>
      <c r="C373" s="0" t="inlineStr">
        <is>
          <t>Mafia</t>
        </is>
      </c>
      <c r="D373" s="0" t="inlineStr">
        <is>
          <t>Win</t>
        </is>
      </c>
      <c r="E373" s="0" t="n">
        <v>31</v>
      </c>
      <c r="F373" s="0" t="n">
        <v>26.39597281551417</v>
      </c>
      <c r="G373" s="0" t="n">
        <v>26.79976453178723</v>
      </c>
      <c r="H373" s="0" t="n">
        <v>6.954395580658058</v>
      </c>
      <c r="I373" s="0" t="n">
        <v>1082</v>
      </c>
      <c r="J373" s="0" t="n">
        <v>1113</v>
      </c>
      <c r="K373" s="0" t="n">
        <v>6.992327231385782</v>
      </c>
    </row>
    <row r="374">
      <c r="A374" s="0" t="n">
        <v>134</v>
      </c>
      <c r="B374" s="0" t="inlineStr">
        <is>
          <t>Iln</t>
        </is>
      </c>
      <c r="C374" s="0" t="inlineStr">
        <is>
          <t>Town</t>
        </is>
      </c>
      <c r="D374" s="0" t="inlineStr">
        <is>
          <t>Loss</t>
        </is>
      </c>
      <c r="E374" s="0" t="n">
        <v>-18</v>
      </c>
      <c r="F374" s="0" t="n">
        <v>28.11101481089812</v>
      </c>
      <c r="G374" s="0" t="n">
        <v>27.80521036354843</v>
      </c>
      <c r="H374" s="0" t="n">
        <v>6.060229711721358</v>
      </c>
      <c r="I374" s="0" t="n">
        <v>1291</v>
      </c>
      <c r="J374" s="0" t="n">
        <v>1273</v>
      </c>
      <c r="K374" s="0" t="n">
        <v>6.08486165987664</v>
      </c>
    </row>
    <row r="375">
      <c r="A375" s="0" t="n">
        <v>134</v>
      </c>
      <c r="B375" s="0" t="inlineStr">
        <is>
          <t>Mintt</t>
        </is>
      </c>
      <c r="C375" s="0" t="inlineStr">
        <is>
          <t>Town</t>
        </is>
      </c>
      <c r="D375" s="0" t="inlineStr">
        <is>
          <t>Loss</t>
        </is>
      </c>
      <c r="E375" s="0" t="n">
        <v>-21</v>
      </c>
      <c r="F375" s="0" t="n">
        <v>31.20736273127279</v>
      </c>
      <c r="G375" s="0" t="n">
        <v>30.84820661861709</v>
      </c>
      <c r="H375" s="0" t="n">
        <v>6.562807725373472</v>
      </c>
      <c r="I375" s="0" t="n">
        <v>1449</v>
      </c>
      <c r="J375" s="0" t="n">
        <v>1428</v>
      </c>
      <c r="K375" s="0" t="n">
        <v>6.594458710070922</v>
      </c>
    </row>
    <row r="376">
      <c r="A376" s="0" t="n">
        <v>134</v>
      </c>
      <c r="B376" s="0" t="inlineStr">
        <is>
          <t>Plen</t>
        </is>
      </c>
      <c r="C376" s="0" t="inlineStr">
        <is>
          <t>Town</t>
        </is>
      </c>
      <c r="D376" s="0" t="inlineStr">
        <is>
          <t>Loss</t>
        </is>
      </c>
      <c r="E376" s="0" t="n">
        <v>-17</v>
      </c>
      <c r="F376" s="0" t="n">
        <v>21.88771068798719</v>
      </c>
      <c r="G376" s="0" t="n">
        <v>21.59955196337324</v>
      </c>
      <c r="H376" s="0" t="n">
        <v>5.884214883910383</v>
      </c>
      <c r="I376" s="0" t="n">
        <v>886</v>
      </c>
      <c r="J376" s="0" t="n">
        <v>869</v>
      </c>
      <c r="K376" s="0" t="n">
        <v>5.906648207860452</v>
      </c>
    </row>
    <row r="377">
      <c r="A377" s="0" t="n">
        <v>134</v>
      </c>
      <c r="B377" s="0" t="inlineStr">
        <is>
          <t>Strik3r</t>
        </is>
      </c>
      <c r="C377" s="0" t="inlineStr">
        <is>
          <t>Town</t>
        </is>
      </c>
      <c r="D377" s="0" t="inlineStr">
        <is>
          <t>Loss</t>
        </is>
      </c>
      <c r="E377" s="0" t="n">
        <v>-22</v>
      </c>
      <c r="F377" s="0" t="n">
        <v>27.33393745675629</v>
      </c>
      <c r="G377" s="0" t="n">
        <v>26.95652322364482</v>
      </c>
      <c r="H377" s="0" t="n">
        <v>6.725860612044817</v>
      </c>
      <c r="I377" s="0" t="n">
        <v>1169</v>
      </c>
      <c r="J377" s="0" t="n">
        <v>1147</v>
      </c>
      <c r="K377" s="0" t="n">
        <v>6.760037031229775</v>
      </c>
    </row>
    <row r="378">
      <c r="A378" s="0" t="n">
        <v>134</v>
      </c>
      <c r="B378" s="0" t="inlineStr">
        <is>
          <t>Kden</t>
        </is>
      </c>
      <c r="C378" s="0" t="inlineStr">
        <is>
          <t>Town</t>
        </is>
      </c>
      <c r="D378" s="0" t="inlineStr">
        <is>
          <t>Loss</t>
        </is>
      </c>
      <c r="E378" s="0" t="n">
        <v>-21</v>
      </c>
      <c r="F378" s="0" t="n">
        <v>22.54350510275027</v>
      </c>
      <c r="G378" s="0" t="n">
        <v>22.19516650032069</v>
      </c>
      <c r="H378" s="0" t="n">
        <v>6.464182333779671</v>
      </c>
      <c r="I378" s="0" t="n">
        <v>871</v>
      </c>
      <c r="J378" s="0" t="n">
        <v>850</v>
      </c>
      <c r="K378" s="0" t="n">
        <v>6.494366205415339</v>
      </c>
    </row>
    <row r="379">
      <c r="A379" s="0" t="n">
        <v>134</v>
      </c>
      <c r="B379" s="0" t="inlineStr">
        <is>
          <t>TCP</t>
        </is>
      </c>
      <c r="C379" s="0" t="inlineStr">
        <is>
          <t>Town</t>
        </is>
      </c>
      <c r="D379" s="0" t="inlineStr">
        <is>
          <t>Loss</t>
        </is>
      </c>
      <c r="E379" s="0" t="n">
        <v>-28</v>
      </c>
      <c r="F379" s="0" t="n">
        <v>24.37668460190935</v>
      </c>
      <c r="G379" s="0" t="n">
        <v>23.87336747589566</v>
      </c>
      <c r="H379" s="0" t="n">
        <v>7.753614592524181</v>
      </c>
      <c r="I379" s="0" t="n">
        <v>861</v>
      </c>
      <c r="J379" s="0" t="n">
        <v>833</v>
      </c>
      <c r="K379" s="0" t="n">
        <v>7.806793249928619</v>
      </c>
    </row>
    <row r="380">
      <c r="A380" s="0" t="n">
        <v>134</v>
      </c>
      <c r="B380" s="0" t="inlineStr">
        <is>
          <t>Laur</t>
        </is>
      </c>
      <c r="C380" s="0" t="inlineStr">
        <is>
          <t>Town</t>
        </is>
      </c>
      <c r="D380" s="0" t="inlineStr">
        <is>
          <t>Loss</t>
        </is>
      </c>
      <c r="E380" s="0" t="n">
        <v>-19</v>
      </c>
      <c r="F380" s="0" t="n">
        <v>30.39873983218387</v>
      </c>
      <c r="G380" s="0" t="n">
        <v>30.07971677822638</v>
      </c>
      <c r="H380" s="0" t="n">
        <v>6.188696637974278</v>
      </c>
      <c r="I380" s="0" t="n">
        <v>1433</v>
      </c>
      <c r="J380" s="0" t="n">
        <v>1414</v>
      </c>
      <c r="K380" s="0" t="n">
        <v>6.215016335806864</v>
      </c>
    </row>
    <row r="381">
      <c r="A381" s="0" t="n">
        <v>134</v>
      </c>
      <c r="B381" s="0" t="inlineStr">
        <is>
          <t>Kwix</t>
        </is>
      </c>
      <c r="C381" s="0" t="inlineStr">
        <is>
          <t>Town</t>
        </is>
      </c>
      <c r="D381" s="0" t="inlineStr">
        <is>
          <t>Loss</t>
        </is>
      </c>
      <c r="E381" s="0" t="n">
        <v>-21</v>
      </c>
      <c r="F381" s="0" t="n">
        <v>22.79333699382505</v>
      </c>
      <c r="G381" s="0" t="n">
        <v>22.4377276355549</v>
      </c>
      <c r="H381" s="0" t="n">
        <v>6.530641904476454</v>
      </c>
      <c r="I381" s="0" t="n">
        <v>881</v>
      </c>
      <c r="J381" s="0" t="n">
        <v>860</v>
      </c>
      <c r="K381" s="0" t="n">
        <v>6.561809453396304</v>
      </c>
    </row>
    <row r="382">
      <c r="A382" s="0" t="n">
        <v>134</v>
      </c>
      <c r="B382" s="0" t="inlineStr">
        <is>
          <t>Rocker</t>
        </is>
      </c>
      <c r="C382" s="0" t="inlineStr">
        <is>
          <t>Town</t>
        </is>
      </c>
      <c r="D382" s="0" t="inlineStr">
        <is>
          <t>Loss</t>
        </is>
      </c>
      <c r="E382" s="0" t="n">
        <v>-17</v>
      </c>
      <c r="F382" s="0" t="n">
        <v>31.86404054368867</v>
      </c>
      <c r="G382" s="0" t="n">
        <v>31.57736286005214</v>
      </c>
      <c r="H382" s="0" t="n">
        <v>5.869193517645885</v>
      </c>
      <c r="I382" s="0" t="n">
        <v>1566</v>
      </c>
      <c r="J382" s="0" t="n">
        <v>1549</v>
      </c>
      <c r="K382" s="0" t="n">
        <v>5.891445178082898</v>
      </c>
    </row>
    <row r="383">
      <c r="A383" s="0" t="n">
        <v>134</v>
      </c>
      <c r="B383" s="0" t="inlineStr">
        <is>
          <t>Chester</t>
        </is>
      </c>
      <c r="C383" s="0" t="inlineStr">
        <is>
          <t>Town</t>
        </is>
      </c>
      <c r="D383" s="0" t="inlineStr">
        <is>
          <t>Loss</t>
        </is>
      </c>
      <c r="E383" s="0" t="n">
        <v>-22</v>
      </c>
      <c r="F383" s="0" t="n">
        <v>31.75363202722352</v>
      </c>
      <c r="G383" s="0" t="n">
        <v>31.3825395437882</v>
      </c>
      <c r="H383" s="0" t="n">
        <v>6.66987451450334</v>
      </c>
      <c r="I383" s="0" t="n">
        <v>1476</v>
      </c>
      <c r="J383" s="0" t="n">
        <v>1454</v>
      </c>
      <c r="K383" s="0" t="n">
        <v>6.703169590348675</v>
      </c>
    </row>
    <row r="384">
      <c r="A384" s="0" t="n">
        <v>133</v>
      </c>
      <c r="B384" s="0" t="inlineStr">
        <is>
          <t>Carson</t>
        </is>
      </c>
      <c r="C384" s="0" t="inlineStr">
        <is>
          <t>Mafia</t>
        </is>
      </c>
      <c r="D384" s="0" t="inlineStr">
        <is>
          <t>Loss</t>
        </is>
      </c>
      <c r="E384" s="0" t="n">
        <v>-80</v>
      </c>
      <c r="F384" s="0" t="n">
        <v>29.35575396148517</v>
      </c>
      <c r="G384" s="0" t="n">
        <v>28.09554311582777</v>
      </c>
      <c r="H384" s="0" t="n">
        <v>6.146561244356558</v>
      </c>
      <c r="I384" s="0" t="n">
        <v>1364</v>
      </c>
      <c r="J384" s="0" t="n">
        <v>1284</v>
      </c>
      <c r="K384" s="0" t="n">
        <v>6.194857964409448</v>
      </c>
    </row>
    <row r="385">
      <c r="A385" s="0" t="n">
        <v>133</v>
      </c>
      <c r="B385" s="0" t="inlineStr">
        <is>
          <t>Noah</t>
        </is>
      </c>
      <c r="C385" s="0" t="inlineStr">
        <is>
          <t>Mafia</t>
        </is>
      </c>
      <c r="D385" s="0" t="inlineStr">
        <is>
          <t>Loss</t>
        </is>
      </c>
      <c r="E385" s="0" t="n">
        <v>-79</v>
      </c>
      <c r="F385" s="0" t="n">
        <v>30.40403013268082</v>
      </c>
      <c r="G385" s="0" t="n">
        <v>29.16918345081232</v>
      </c>
      <c r="H385" s="0" t="n">
        <v>6.085373295924835</v>
      </c>
      <c r="I385" s="0" t="n">
        <v>1442</v>
      </c>
      <c r="J385" s="0" t="n">
        <v>1363</v>
      </c>
      <c r="K385" s="0" t="n">
        <v>6.13218296225464</v>
      </c>
    </row>
    <row r="386">
      <c r="A386" s="0" t="n">
        <v>133</v>
      </c>
      <c r="B386" s="0" t="inlineStr">
        <is>
          <t>Lou</t>
        </is>
      </c>
      <c r="C386" s="0" t="inlineStr">
        <is>
          <t>Mafia</t>
        </is>
      </c>
      <c r="D386" s="0" t="inlineStr">
        <is>
          <t>Loss</t>
        </is>
      </c>
      <c r="E386" s="0" t="n">
        <v>-78</v>
      </c>
      <c r="F386" s="0" t="n">
        <v>28.79261841759291</v>
      </c>
      <c r="G386" s="0" t="n">
        <v>27.57976054937802</v>
      </c>
      <c r="H386" s="0" t="n">
        <v>6.031792753308945</v>
      </c>
      <c r="I386" s="0" t="n">
        <v>1338</v>
      </c>
      <c r="J386" s="0" t="n">
        <v>1260</v>
      </c>
      <c r="K386" s="0" t="n">
        <v>6.077325429946158</v>
      </c>
    </row>
    <row r="387">
      <c r="A387" s="0" t="n">
        <v>133</v>
      </c>
      <c r="B387" s="0" t="inlineStr">
        <is>
          <t>Cj</t>
        </is>
      </c>
      <c r="C387" s="0" t="inlineStr">
        <is>
          <t>Town</t>
        </is>
      </c>
      <c r="D387" s="0" t="inlineStr">
        <is>
          <t>Win</t>
        </is>
      </c>
      <c r="E387" s="0" t="n">
        <v>129</v>
      </c>
      <c r="F387" s="0" t="n">
        <v>25.76420160826907</v>
      </c>
      <c r="G387" s="0" t="n">
        <v>27.5404961845114</v>
      </c>
      <c r="H387" s="0" t="n">
        <v>7.273390144035295</v>
      </c>
      <c r="I387" s="0" t="n">
        <v>1002</v>
      </c>
      <c r="J387" s="0" t="n">
        <v>1131</v>
      </c>
      <c r="K387" s="0" t="n">
        <v>7.35501700074718</v>
      </c>
    </row>
    <row r="388">
      <c r="A388" s="0" t="n">
        <v>133</v>
      </c>
      <c r="B388" s="0" t="inlineStr">
        <is>
          <t>Motr</t>
        </is>
      </c>
      <c r="C388" s="0" t="inlineStr">
        <is>
          <t>Town</t>
        </is>
      </c>
      <c r="D388" s="0" t="inlineStr">
        <is>
          <t>Win</t>
        </is>
      </c>
      <c r="E388" s="0" t="n">
        <v>125</v>
      </c>
      <c r="F388" s="0" t="n">
        <v>24.49576851456242</v>
      </c>
      <c r="G388" s="0" t="n">
        <v>26.21863719294554</v>
      </c>
      <c r="H388" s="0" t="n">
        <v>7.165625015740578</v>
      </c>
      <c r="I388" s="0" t="n">
        <v>927</v>
      </c>
      <c r="J388" s="0" t="n">
        <v>1052</v>
      </c>
      <c r="K388" s="0" t="n">
        <v>7.243542775286741</v>
      </c>
    </row>
    <row r="389">
      <c r="A389" s="0" t="n">
        <v>133</v>
      </c>
      <c r="B389" s="0" t="inlineStr">
        <is>
          <t>Streety</t>
        </is>
      </c>
      <c r="C389" s="0" t="inlineStr">
        <is>
          <t>Town</t>
        </is>
      </c>
      <c r="D389" s="0" t="inlineStr">
        <is>
          <t>Win</t>
        </is>
      </c>
      <c r="E389" s="0" t="n">
        <v>118</v>
      </c>
      <c r="F389" s="0" t="n">
        <v>29.61050532398203</v>
      </c>
      <c r="G389" s="0" t="n">
        <v>31.2457853317919</v>
      </c>
      <c r="H389" s="0" t="n">
        <v>6.985016810267877</v>
      </c>
      <c r="I389" s="0" t="n">
        <v>1294</v>
      </c>
      <c r="J389" s="0" t="n">
        <v>1412</v>
      </c>
      <c r="K389" s="0" t="n">
        <v>7.05697840109774</v>
      </c>
    </row>
    <row r="390">
      <c r="A390" s="0" t="n">
        <v>133</v>
      </c>
      <c r="B390" s="0" t="inlineStr">
        <is>
          <t>Chelsea</t>
        </is>
      </c>
      <c r="C390" s="0" t="inlineStr">
        <is>
          <t>Town</t>
        </is>
      </c>
      <c r="D390" s="0" t="inlineStr">
        <is>
          <t>Win</t>
        </is>
      </c>
      <c r="E390" s="0" t="n">
        <v>136</v>
      </c>
      <c r="F390" s="0" t="n">
        <v>23.55771372618981</v>
      </c>
      <c r="G390" s="0" t="n">
        <v>25.42838012751865</v>
      </c>
      <c r="H390" s="0" t="n">
        <v>7.459587696857093</v>
      </c>
      <c r="I390" s="0" t="n">
        <v>832</v>
      </c>
      <c r="J390" s="0" t="n">
        <v>968</v>
      </c>
      <c r="K390" s="0" t="n">
        <v>7.547904282561144</v>
      </c>
    </row>
    <row r="391">
      <c r="A391" s="0" t="n">
        <v>133</v>
      </c>
      <c r="B391" s="0" t="inlineStr">
        <is>
          <t>Rocker</t>
        </is>
      </c>
      <c r="C391" s="0" t="inlineStr">
        <is>
          <t>Town</t>
        </is>
      </c>
      <c r="D391" s="0" t="inlineStr">
        <is>
          <t>Win</t>
        </is>
      </c>
      <c r="E391" s="0" t="n">
        <v>83</v>
      </c>
      <c r="F391" s="0" t="n">
        <v>30.70780031476266</v>
      </c>
      <c r="G391" s="0" t="n">
        <v>31.86404054368867</v>
      </c>
      <c r="H391" s="0" t="n">
        <v>5.891445178082898</v>
      </c>
      <c r="I391" s="0" t="n">
        <v>1483</v>
      </c>
      <c r="J391" s="0" t="n">
        <v>1566</v>
      </c>
      <c r="K391" s="0" t="n">
        <v>5.933742510305645</v>
      </c>
    </row>
    <row r="392">
      <c r="A392" s="0" t="n">
        <v>133</v>
      </c>
      <c r="B392" s="0" t="inlineStr">
        <is>
          <t>Rollo</t>
        </is>
      </c>
      <c r="C392" s="0" t="inlineStr">
        <is>
          <t>Town</t>
        </is>
      </c>
      <c r="D392" s="0" t="inlineStr">
        <is>
          <t>Win</t>
        </is>
      </c>
      <c r="E392" s="0" t="n">
        <v>109</v>
      </c>
      <c r="F392" s="0" t="n">
        <v>32.66710788478319</v>
      </c>
      <c r="G392" s="0" t="n">
        <v>34.17071356790628</v>
      </c>
      <c r="H392" s="0" t="n">
        <v>6.703533311756244</v>
      </c>
      <c r="I392" s="0" t="n">
        <v>1531</v>
      </c>
      <c r="J392" s="0" t="n">
        <v>1640</v>
      </c>
      <c r="K392" s="0" t="n">
        <v>6.766839650101276</v>
      </c>
    </row>
    <row r="393">
      <c r="A393" s="0" t="n">
        <v>133</v>
      </c>
      <c r="B393" s="0" t="inlineStr">
        <is>
          <t>Crispy</t>
        </is>
      </c>
      <c r="C393" s="0" t="inlineStr">
        <is>
          <t>Town</t>
        </is>
      </c>
      <c r="D393" s="0" t="inlineStr">
        <is>
          <t>Win</t>
        </is>
      </c>
      <c r="E393" s="0" t="n">
        <v>157</v>
      </c>
      <c r="F393" s="0" t="n">
        <v>26.13379175641969</v>
      </c>
      <c r="G393" s="0" t="n">
        <v>28.28367413675569</v>
      </c>
      <c r="H393" s="0" t="n">
        <v>7.982607524294743</v>
      </c>
      <c r="I393" s="0" t="n">
        <v>952</v>
      </c>
      <c r="J393" s="0" t="n">
        <v>1109</v>
      </c>
      <c r="K393" s="0" t="n">
        <v>8.091713760613784</v>
      </c>
    </row>
    <row r="394">
      <c r="A394" s="0" t="n">
        <v>133</v>
      </c>
      <c r="B394" s="0" t="inlineStr">
        <is>
          <t>Strik3r</t>
        </is>
      </c>
      <c r="C394" s="0" t="inlineStr">
        <is>
          <t>Town</t>
        </is>
      </c>
      <c r="D394" s="0" t="inlineStr">
        <is>
          <t>Win</t>
        </is>
      </c>
      <c r="E394" s="0" t="n">
        <v>110</v>
      </c>
      <c r="F394" s="0" t="n">
        <v>25.80437027965501</v>
      </c>
      <c r="G394" s="0" t="n">
        <v>27.33393745675629</v>
      </c>
      <c r="H394" s="0" t="n">
        <v>6.760037031229775</v>
      </c>
      <c r="I394" s="0" t="n">
        <v>1059</v>
      </c>
      <c r="J394" s="0" t="n">
        <v>1169</v>
      </c>
      <c r="K394" s="0" t="n">
        <v>6.825020949381322</v>
      </c>
    </row>
    <row r="395">
      <c r="A395" s="0" t="n">
        <v>133</v>
      </c>
      <c r="B395" s="0" t="inlineStr">
        <is>
          <t>Siggy</t>
        </is>
      </c>
      <c r="C395" s="0" t="inlineStr">
        <is>
          <t>Town</t>
        </is>
      </c>
      <c r="D395" s="0" t="inlineStr">
        <is>
          <t>Win</t>
        </is>
      </c>
      <c r="E395" s="0" t="n">
        <v>148</v>
      </c>
      <c r="F395" s="0" t="n">
        <v>24.52438865859414</v>
      </c>
      <c r="G395" s="0" t="n">
        <v>26.54652803987066</v>
      </c>
      <c r="H395" s="0" t="n">
        <v>7.748182067630529</v>
      </c>
      <c r="I395" s="0" t="n">
        <v>867</v>
      </c>
      <c r="J395" s="0" t="n">
        <v>1015</v>
      </c>
      <c r="K395" s="0" t="n">
        <v>7.847595505407771</v>
      </c>
    </row>
    <row r="396">
      <c r="A396" s="0" t="n">
        <v>133</v>
      </c>
      <c r="B396" s="0" t="inlineStr">
        <is>
          <t>Lofty</t>
        </is>
      </c>
      <c r="C396" s="0" t="inlineStr">
        <is>
          <t>Town</t>
        </is>
      </c>
      <c r="D396" s="0" t="inlineStr">
        <is>
          <t>Win</t>
        </is>
      </c>
      <c r="E396" s="0" t="n">
        <v>136</v>
      </c>
      <c r="F396" s="0" t="n">
        <v>22.99425829926866</v>
      </c>
      <c r="G396" s="0" t="n">
        <v>24.85685287199799</v>
      </c>
      <c r="H396" s="0" t="n">
        <v>7.443861816465994</v>
      </c>
      <c r="I396" s="0" t="n">
        <v>795</v>
      </c>
      <c r="J396" s="0" t="n">
        <v>931</v>
      </c>
      <c r="K396" s="0" t="n">
        <v>7.531599405447444</v>
      </c>
    </row>
    <row r="397">
      <c r="A397" s="0" t="n">
        <v>132</v>
      </c>
      <c r="B397" s="0" t="inlineStr">
        <is>
          <t>Chipper</t>
        </is>
      </c>
      <c r="C397" s="0" t="inlineStr">
        <is>
          <t>Mafia</t>
        </is>
      </c>
      <c r="D397" s="0" t="inlineStr">
        <is>
          <t>Loss</t>
        </is>
      </c>
      <c r="E397" s="0" t="n">
        <v>-23</v>
      </c>
      <c r="F397" s="0" t="n">
        <v>24.67287399728892</v>
      </c>
      <c r="G397" s="0" t="n">
        <v>24.27973775286608</v>
      </c>
      <c r="H397" s="0" t="n">
        <v>6.540605209681734</v>
      </c>
      <c r="I397" s="0" t="n">
        <v>1007</v>
      </c>
      <c r="J397" s="0" t="n">
        <v>984</v>
      </c>
      <c r="K397" s="0" t="n">
        <v>6.572236726298146</v>
      </c>
    </row>
    <row r="398">
      <c r="A398" s="0" t="n">
        <v>132</v>
      </c>
      <c r="B398" s="0" t="inlineStr">
        <is>
          <t>Ken</t>
        </is>
      </c>
      <c r="C398" s="0" t="inlineStr">
        <is>
          <t>Mafia</t>
        </is>
      </c>
      <c r="D398" s="0" t="inlineStr">
        <is>
          <t>Loss</t>
        </is>
      </c>
      <c r="E398" s="0" t="n">
        <v>-31</v>
      </c>
      <c r="F398" s="0" t="n">
        <v>22.81702551953992</v>
      </c>
      <c r="G398" s="0" t="n">
        <v>22.28747985649892</v>
      </c>
      <c r="H398" s="0" t="n">
        <v>7.577896507171887</v>
      </c>
      <c r="I398" s="0" t="n">
        <v>774</v>
      </c>
      <c r="J398" s="0" t="n">
        <v>743</v>
      </c>
      <c r="K398" s="0" t="n">
        <v>7.627923221313721</v>
      </c>
    </row>
    <row r="399">
      <c r="A399" s="0" t="n">
        <v>132</v>
      </c>
      <c r="B399" s="0" t="inlineStr">
        <is>
          <t>Chelsea</t>
        </is>
      </c>
      <c r="C399" s="0" t="inlineStr">
        <is>
          <t>Mafia</t>
        </is>
      </c>
      <c r="D399" s="0" t="inlineStr">
        <is>
          <t>Loss</t>
        </is>
      </c>
      <c r="E399" s="0" t="n">
        <v>-31</v>
      </c>
      <c r="F399" s="0" t="n">
        <v>24.08301950512103</v>
      </c>
      <c r="G399" s="0" t="n">
        <v>23.55771372618981</v>
      </c>
      <c r="H399" s="0" t="n">
        <v>7.547904282561144</v>
      </c>
      <c r="I399" s="0" t="n">
        <v>863</v>
      </c>
      <c r="J399" s="0" t="n">
        <v>832</v>
      </c>
      <c r="K399" s="0" t="n">
        <v>7.597319544714931</v>
      </c>
    </row>
    <row r="400">
      <c r="A400" s="0" t="n">
        <v>132</v>
      </c>
      <c r="B400" s="0" t="inlineStr">
        <is>
          <t>Mintt</t>
        </is>
      </c>
      <c r="C400" s="0" t="inlineStr">
        <is>
          <t>Town</t>
        </is>
      </c>
      <c r="D400" s="0" t="inlineStr">
        <is>
          <t>Win</t>
        </is>
      </c>
      <c r="E400" s="0" t="n">
        <v>30</v>
      </c>
      <c r="F400" s="0" t="n">
        <v>30.80765959325501</v>
      </c>
      <c r="G400" s="0" t="n">
        <v>31.20736273127279</v>
      </c>
      <c r="H400" s="0" t="n">
        <v>6.594458710070922</v>
      </c>
      <c r="I400" s="0" t="n">
        <v>1419</v>
      </c>
      <c r="J400" s="0" t="n">
        <v>1449</v>
      </c>
      <c r="K400" s="0" t="n">
        <v>6.62691286951046</v>
      </c>
    </row>
    <row r="401">
      <c r="A401" s="0" t="n">
        <v>132</v>
      </c>
      <c r="B401" s="0" t="inlineStr">
        <is>
          <t>Laur</t>
        </is>
      </c>
      <c r="C401" s="0" t="inlineStr">
        <is>
          <t>Town</t>
        </is>
      </c>
      <c r="D401" s="0" t="inlineStr">
        <is>
          <t>Win</t>
        </is>
      </c>
      <c r="E401" s="0" t="n">
        <v>27</v>
      </c>
      <c r="F401" s="0" t="n">
        <v>30.04411467814267</v>
      </c>
      <c r="G401" s="0" t="n">
        <v>30.39873983218387</v>
      </c>
      <c r="H401" s="0" t="n">
        <v>6.215016335806864</v>
      </c>
      <c r="I401" s="0" t="n">
        <v>1406</v>
      </c>
      <c r="J401" s="0" t="n">
        <v>1433</v>
      </c>
      <c r="K401" s="0" t="n">
        <v>6.241959765072281</v>
      </c>
    </row>
    <row r="402">
      <c r="A402" s="0" t="n">
        <v>132</v>
      </c>
      <c r="B402" s="0" t="inlineStr">
        <is>
          <t>Motr</t>
        </is>
      </c>
      <c r="C402" s="0" t="inlineStr">
        <is>
          <t>Town</t>
        </is>
      </c>
      <c r="D402" s="0" t="inlineStr">
        <is>
          <t>Win</t>
        </is>
      </c>
      <c r="E402" s="0" t="n">
        <v>37</v>
      </c>
      <c r="F402" s="0" t="n">
        <v>24.01248810264295</v>
      </c>
      <c r="G402" s="0" t="n">
        <v>24.49576851456242</v>
      </c>
      <c r="H402" s="0" t="n">
        <v>7.243542775286741</v>
      </c>
      <c r="I402" s="0" t="n">
        <v>890</v>
      </c>
      <c r="J402" s="0" t="n">
        <v>927</v>
      </c>
      <c r="K402" s="0" t="n">
        <v>7.287031199349292</v>
      </c>
    </row>
    <row r="403">
      <c r="A403" s="0" t="n">
        <v>132</v>
      </c>
      <c r="B403" s="0" t="inlineStr">
        <is>
          <t>Chester</t>
        </is>
      </c>
      <c r="C403" s="0" t="inlineStr">
        <is>
          <t>Town</t>
        </is>
      </c>
      <c r="D403" s="0" t="inlineStr">
        <is>
          <t>Win</t>
        </is>
      </c>
      <c r="E403" s="0" t="n">
        <v>32</v>
      </c>
      <c r="F403" s="0" t="n">
        <v>31.34050177565586</v>
      </c>
      <c r="G403" s="0" t="n">
        <v>31.75363202722352</v>
      </c>
      <c r="H403" s="0" t="n">
        <v>6.703169590348675</v>
      </c>
      <c r="I403" s="0" t="n">
        <v>1444</v>
      </c>
      <c r="J403" s="0" t="n">
        <v>1476</v>
      </c>
      <c r="K403" s="0" t="n">
        <v>6.737326391551784</v>
      </c>
    </row>
    <row r="404">
      <c r="A404" s="0" t="n">
        <v>132</v>
      </c>
      <c r="B404" s="0" t="inlineStr">
        <is>
          <t>Cyclone</t>
        </is>
      </c>
      <c r="C404" s="0" t="inlineStr">
        <is>
          <t>Town</t>
        </is>
      </c>
      <c r="D404" s="0" t="inlineStr">
        <is>
          <t>Win</t>
        </is>
      </c>
      <c r="E404" s="0" t="n">
        <v>42</v>
      </c>
      <c r="F404" s="0" t="n">
        <v>28.81059761595552</v>
      </c>
      <c r="G404" s="0" t="n">
        <v>29.34265500033811</v>
      </c>
      <c r="H404" s="0" t="n">
        <v>7.59560507289846</v>
      </c>
      <c r="I404" s="0" t="n">
        <v>1179</v>
      </c>
      <c r="J404" s="0" t="n">
        <v>1221</v>
      </c>
      <c r="K404" s="0" t="n">
        <v>7.645995163732572</v>
      </c>
    </row>
    <row r="405">
      <c r="A405" s="0" t="n">
        <v>132</v>
      </c>
      <c r="B405" s="0" t="inlineStr">
        <is>
          <t>Hunterxp</t>
        </is>
      </c>
      <c r="C405" s="0" t="inlineStr">
        <is>
          <t>Town</t>
        </is>
      </c>
      <c r="D405" s="0" t="inlineStr">
        <is>
          <t>Win</t>
        </is>
      </c>
      <c r="E405" s="0" t="n">
        <v>43</v>
      </c>
      <c r="F405" s="0" t="n">
        <v>21.2671516308637</v>
      </c>
      <c r="G405" s="0" t="n">
        <v>21.81598713810439</v>
      </c>
      <c r="H405" s="0" t="n">
        <v>7.712796539955818</v>
      </c>
      <c r="I405" s="0" t="n">
        <v>654</v>
      </c>
      <c r="J405" s="0" t="n">
        <v>697</v>
      </c>
      <c r="K405" s="0" t="n">
        <v>7.765635772427118</v>
      </c>
    </row>
    <row r="406">
      <c r="A406" s="0" t="n">
        <v>132</v>
      </c>
      <c r="B406" s="0" t="inlineStr">
        <is>
          <t>Gilbert</t>
        </is>
      </c>
      <c r="C406" s="0" t="inlineStr">
        <is>
          <t>Town</t>
        </is>
      </c>
      <c r="D406" s="0" t="inlineStr">
        <is>
          <t>Win</t>
        </is>
      </c>
      <c r="E406" s="0" t="n">
        <v>35</v>
      </c>
      <c r="F406" s="0" t="n">
        <v>25.94601224632569</v>
      </c>
      <c r="G406" s="0" t="n">
        <v>26.39597281551417</v>
      </c>
      <c r="H406" s="0" t="n">
        <v>6.992327231385782</v>
      </c>
      <c r="I406" s="0" t="n">
        <v>1047</v>
      </c>
      <c r="J406" s="0" t="n">
        <v>1082</v>
      </c>
      <c r="K406" s="0" t="n">
        <v>7.031293604136912</v>
      </c>
    </row>
    <row r="407">
      <c r="A407" s="0" t="n">
        <v>132</v>
      </c>
      <c r="B407" s="0" t="inlineStr">
        <is>
          <t>Iln</t>
        </is>
      </c>
      <c r="C407" s="0" t="inlineStr">
        <is>
          <t>Town</t>
        </is>
      </c>
      <c r="D407" s="0" t="inlineStr">
        <is>
          <t>Win</t>
        </is>
      </c>
      <c r="E407" s="0" t="n">
        <v>26</v>
      </c>
      <c r="F407" s="0" t="n">
        <v>27.77121433537916</v>
      </c>
      <c r="G407" s="0" t="n">
        <v>28.11101481089812</v>
      </c>
      <c r="H407" s="0" t="n">
        <v>6.08486165987664</v>
      </c>
      <c r="I407" s="0" t="n">
        <v>1265</v>
      </c>
      <c r="J407" s="0" t="n">
        <v>1291</v>
      </c>
      <c r="K407" s="0" t="n">
        <v>6.110063951352463</v>
      </c>
    </row>
    <row r="408">
      <c r="A408" s="0" t="n">
        <v>132</v>
      </c>
      <c r="B408" s="0" t="inlineStr">
        <is>
          <t>Brownkow</t>
        </is>
      </c>
      <c r="C408" s="0" t="inlineStr">
        <is>
          <t>Town</t>
        </is>
      </c>
      <c r="D408" s="0" t="inlineStr">
        <is>
          <t>Win</t>
        </is>
      </c>
      <c r="E408" s="0" t="n">
        <v>23</v>
      </c>
      <c r="F408" s="0" t="n">
        <v>31.8303778378663</v>
      </c>
      <c r="G408" s="0" t="n">
        <v>32.14286580181179</v>
      </c>
      <c r="H408" s="0" t="n">
        <v>5.837204490609383</v>
      </c>
      <c r="I408" s="0" t="n">
        <v>1567</v>
      </c>
      <c r="J408" s="0" t="n">
        <v>1590</v>
      </c>
      <c r="K408" s="0" t="n">
        <v>5.8592945120978</v>
      </c>
    </row>
    <row r="409">
      <c r="A409" s="0" t="n">
        <v>132</v>
      </c>
      <c r="B409" s="0" t="inlineStr">
        <is>
          <t>Lou</t>
        </is>
      </c>
      <c r="C409" s="0" t="inlineStr">
        <is>
          <t>Town</t>
        </is>
      </c>
      <c r="D409" s="0" t="inlineStr">
        <is>
          <t>Win</t>
        </is>
      </c>
      <c r="E409" s="0" t="n">
        <v>26</v>
      </c>
      <c r="F409" s="0" t="n">
        <v>28.45366637462631</v>
      </c>
      <c r="G409" s="0" t="n">
        <v>28.79261841759291</v>
      </c>
      <c r="H409" s="0" t="n">
        <v>6.077325429946158</v>
      </c>
      <c r="I409" s="0" t="n">
        <v>1312</v>
      </c>
      <c r="J409" s="0" t="n">
        <v>1338</v>
      </c>
      <c r="K409" s="0" t="n">
        <v>6.102429165938084</v>
      </c>
    </row>
    <row r="410">
      <c r="A410" s="0" t="n">
        <v>131</v>
      </c>
      <c r="B410" s="0" t="inlineStr">
        <is>
          <t>Hunterxp</t>
        </is>
      </c>
      <c r="C410" s="0" t="inlineStr">
        <is>
          <t>Mafia</t>
        </is>
      </c>
      <c r="D410" s="0" t="inlineStr">
        <is>
          <t>Loss</t>
        </is>
      </c>
      <c r="E410" s="0" t="n">
        <v>-66</v>
      </c>
      <c r="F410" s="0" t="n">
        <v>22.33665713023014</v>
      </c>
      <c r="G410" s="0" t="n">
        <v>21.2671516308637</v>
      </c>
      <c r="H410" s="0" t="n">
        <v>7.765635772427118</v>
      </c>
      <c r="I410" s="0" t="n">
        <v>720</v>
      </c>
      <c r="J410" s="0" t="n">
        <v>654</v>
      </c>
      <c r="K410" s="0" t="n">
        <v>7.836820889586953</v>
      </c>
    </row>
    <row r="411">
      <c r="A411" s="0" t="n">
        <v>131</v>
      </c>
      <c r="B411" s="0" t="inlineStr">
        <is>
          <t>Carson</t>
        </is>
      </c>
      <c r="C411" s="0" t="inlineStr">
        <is>
          <t>Mafia</t>
        </is>
      </c>
      <c r="D411" s="0" t="inlineStr">
        <is>
          <t>Loss</t>
        </is>
      </c>
      <c r="E411" s="0" t="n">
        <v>-43</v>
      </c>
      <c r="F411" s="0" t="n">
        <v>30.03173140053183</v>
      </c>
      <c r="G411" s="0" t="n">
        <v>29.35575396148517</v>
      </c>
      <c r="H411" s="0" t="n">
        <v>6.194857964409448</v>
      </c>
      <c r="I411" s="0" t="n">
        <v>1407</v>
      </c>
      <c r="J411" s="0" t="n">
        <v>1364</v>
      </c>
      <c r="K411" s="0" t="n">
        <v>6.230084345875852</v>
      </c>
    </row>
    <row r="412">
      <c r="A412" s="0" t="n">
        <v>131</v>
      </c>
      <c r="B412" s="0" t="inlineStr">
        <is>
          <t>Motr</t>
        </is>
      </c>
      <c r="C412" s="0" t="inlineStr">
        <is>
          <t>Mafia</t>
        </is>
      </c>
      <c r="D412" s="0" t="inlineStr">
        <is>
          <t>Loss</t>
        </is>
      </c>
      <c r="E412" s="0" t="n">
        <v>-58</v>
      </c>
      <c r="F412" s="0" t="n">
        <v>24.95210583625166</v>
      </c>
      <c r="G412" s="0" t="n">
        <v>24.01248810264295</v>
      </c>
      <c r="H412" s="0" t="n">
        <v>7.287031199349292</v>
      </c>
      <c r="I412" s="0" t="n">
        <v>948</v>
      </c>
      <c r="J412" s="0" t="n">
        <v>890</v>
      </c>
      <c r="K412" s="0" t="n">
        <v>7.34546214302001</v>
      </c>
    </row>
    <row r="413">
      <c r="A413" s="0" t="n">
        <v>131</v>
      </c>
      <c r="B413" s="0" t="inlineStr">
        <is>
          <t>Gilbert</t>
        </is>
      </c>
      <c r="C413" s="0" t="inlineStr">
        <is>
          <t>Town</t>
        </is>
      </c>
      <c r="D413" s="0" t="inlineStr">
        <is>
          <t>Win</t>
        </is>
      </c>
      <c r="E413" s="0" t="n">
        <v>65</v>
      </c>
      <c r="F413" s="0" t="n">
        <v>25.07218547016893</v>
      </c>
      <c r="G413" s="0" t="n">
        <v>25.94601224632569</v>
      </c>
      <c r="H413" s="0" t="n">
        <v>7.031293604136912</v>
      </c>
      <c r="I413" s="0" t="n">
        <v>982</v>
      </c>
      <c r="J413" s="0" t="n">
        <v>1047</v>
      </c>
      <c r="K413" s="0" t="n">
        <v>7.083585928403175</v>
      </c>
    </row>
    <row r="414">
      <c r="A414" s="0" t="n">
        <v>131</v>
      </c>
      <c r="B414" s="0" t="inlineStr">
        <is>
          <t>Whyin</t>
        </is>
      </c>
      <c r="C414" s="0" t="inlineStr">
        <is>
          <t>Town</t>
        </is>
      </c>
      <c r="D414" s="0" t="inlineStr">
        <is>
          <t>Win</t>
        </is>
      </c>
      <c r="E414" s="0" t="n">
        <v>56</v>
      </c>
      <c r="F414" s="0" t="n">
        <v>26.22064304487363</v>
      </c>
      <c r="G414" s="0" t="n">
        <v>26.98554192269312</v>
      </c>
      <c r="H414" s="0" t="n">
        <v>6.584666478753655</v>
      </c>
      <c r="I414" s="0" t="n">
        <v>1107</v>
      </c>
      <c r="J414" s="0" t="n">
        <v>1163</v>
      </c>
      <c r="K414" s="0" t="n">
        <v>6.627295588174902</v>
      </c>
    </row>
    <row r="415">
      <c r="A415" s="0" t="n">
        <v>131</v>
      </c>
      <c r="B415" s="0" t="inlineStr">
        <is>
          <t>Iln</t>
        </is>
      </c>
      <c r="C415" s="0" t="inlineStr">
        <is>
          <t>Town</t>
        </is>
      </c>
      <c r="D415" s="0" t="inlineStr">
        <is>
          <t>Win</t>
        </is>
      </c>
      <c r="E415" s="0" t="n">
        <v>48</v>
      </c>
      <c r="F415" s="0" t="n">
        <v>27.11382643999001</v>
      </c>
      <c r="G415" s="0" t="n">
        <v>27.77121433537916</v>
      </c>
      <c r="H415" s="0" t="n">
        <v>6.110063951352463</v>
      </c>
      <c r="I415" s="0" t="n">
        <v>1217</v>
      </c>
      <c r="J415" s="0" t="n">
        <v>1265</v>
      </c>
      <c r="K415" s="0" t="n">
        <v>6.14380036145918</v>
      </c>
    </row>
    <row r="416">
      <c r="A416" s="0" t="n">
        <v>131</v>
      </c>
      <c r="B416" s="0" t="inlineStr">
        <is>
          <t>Kwix</t>
        </is>
      </c>
      <c r="C416" s="0" t="inlineStr">
        <is>
          <t>Town</t>
        </is>
      </c>
      <c r="D416" s="0" t="inlineStr">
        <is>
          <t>Win</t>
        </is>
      </c>
      <c r="E416" s="0" t="n">
        <v>56</v>
      </c>
      <c r="F416" s="0" t="n">
        <v>22.03380972709259</v>
      </c>
      <c r="G416" s="0" t="n">
        <v>22.79333699382505</v>
      </c>
      <c r="H416" s="0" t="n">
        <v>6.561809453396304</v>
      </c>
      <c r="I416" s="0" t="n">
        <v>825</v>
      </c>
      <c r="J416" s="0" t="n">
        <v>881</v>
      </c>
      <c r="K416" s="0" t="n">
        <v>6.60397870928859</v>
      </c>
    </row>
    <row r="417">
      <c r="A417" s="0" t="n">
        <v>131</v>
      </c>
      <c r="B417" s="0" t="inlineStr">
        <is>
          <t>Lou</t>
        </is>
      </c>
      <c r="C417" s="0" t="inlineStr">
        <is>
          <t>Town</t>
        </is>
      </c>
      <c r="D417" s="0" t="inlineStr">
        <is>
          <t>Win</t>
        </is>
      </c>
      <c r="E417" s="0" t="n">
        <v>48</v>
      </c>
      <c r="F417" s="0" t="n">
        <v>27.79793910724226</v>
      </c>
      <c r="G417" s="0" t="n">
        <v>28.45366637462631</v>
      </c>
      <c r="H417" s="0" t="n">
        <v>6.102429165938084</v>
      </c>
      <c r="I417" s="0" t="n">
        <v>1264</v>
      </c>
      <c r="J417" s="0" t="n">
        <v>1312</v>
      </c>
      <c r="K417" s="0" t="n">
        <v>6.136033467139934</v>
      </c>
    </row>
    <row r="418">
      <c r="A418" s="0" t="n">
        <v>131</v>
      </c>
      <c r="B418" s="0" t="inlineStr">
        <is>
          <t>Chester</t>
        </is>
      </c>
      <c r="C418" s="0" t="inlineStr">
        <is>
          <t>Town</t>
        </is>
      </c>
      <c r="D418" s="0" t="inlineStr">
        <is>
          <t>Win</t>
        </is>
      </c>
      <c r="E418" s="0" t="n">
        <v>59</v>
      </c>
      <c r="F418" s="0" t="n">
        <v>30.5392208273133</v>
      </c>
      <c r="G418" s="0" t="n">
        <v>31.34050177565586</v>
      </c>
      <c r="H418" s="0" t="n">
        <v>6.737326391551784</v>
      </c>
      <c r="I418" s="0" t="n">
        <v>1385</v>
      </c>
      <c r="J418" s="0" t="n">
        <v>1444</v>
      </c>
      <c r="K418" s="0" t="n">
        <v>6.78311191585361</v>
      </c>
    </row>
    <row r="419">
      <c r="A419" s="0" t="n">
        <v>131</v>
      </c>
      <c r="B419" s="0" t="inlineStr">
        <is>
          <t>Chelsea</t>
        </is>
      </c>
      <c r="C419" s="0" t="inlineStr">
        <is>
          <t>Town</t>
        </is>
      </c>
      <c r="D419" s="0" t="inlineStr">
        <is>
          <t>Win</t>
        </is>
      </c>
      <c r="E419" s="0" t="n">
        <v>77</v>
      </c>
      <c r="F419" s="0" t="n">
        <v>23.06020331177502</v>
      </c>
      <c r="G419" s="0" t="n">
        <v>24.08301950512103</v>
      </c>
      <c r="H419" s="0" t="n">
        <v>7.597319544714931</v>
      </c>
      <c r="I419" s="0" t="n">
        <v>786</v>
      </c>
      <c r="J419" s="0" t="n">
        <v>863</v>
      </c>
      <c r="K419" s="0" t="n">
        <v>7.663825254737487</v>
      </c>
    </row>
    <row r="420">
      <c r="A420" s="0" t="n">
        <v>131</v>
      </c>
      <c r="B420" s="0" t="inlineStr">
        <is>
          <t>Brownkow</t>
        </is>
      </c>
      <c r="C420" s="0" t="inlineStr">
        <is>
          <t>Town</t>
        </is>
      </c>
      <c r="D420" s="0" t="inlineStr">
        <is>
          <t>Win</t>
        </is>
      </c>
      <c r="E420" s="0" t="n">
        <v>44</v>
      </c>
      <c r="F420" s="0" t="n">
        <v>31.22640020128386</v>
      </c>
      <c r="G420" s="0" t="n">
        <v>31.8303778378663</v>
      </c>
      <c r="H420" s="0" t="n">
        <v>5.8592945120978</v>
      </c>
      <c r="I420" s="0" t="n">
        <v>1523</v>
      </c>
      <c r="J420" s="0" t="n">
        <v>1567</v>
      </c>
      <c r="K420" s="0" t="n">
        <v>5.888864824710686</v>
      </c>
    </row>
    <row r="421">
      <c r="A421" s="0" t="n">
        <v>131</v>
      </c>
      <c r="B421" s="0" t="inlineStr">
        <is>
          <t>Plen</t>
        </is>
      </c>
      <c r="C421" s="0" t="inlineStr">
        <is>
          <t>Town</t>
        </is>
      </c>
      <c r="D421" s="0" t="inlineStr">
        <is>
          <t>Win</t>
        </is>
      </c>
      <c r="E421" s="0" t="n">
        <v>45</v>
      </c>
      <c r="F421" s="0" t="n">
        <v>21.27382631621131</v>
      </c>
      <c r="G421" s="0" t="n">
        <v>21.88771068798719</v>
      </c>
      <c r="H421" s="0" t="n">
        <v>5.906648207860452</v>
      </c>
      <c r="I421" s="0" t="n">
        <v>841</v>
      </c>
      <c r="J421" s="0" t="n">
        <v>886</v>
      </c>
      <c r="K421" s="0" t="n">
        <v>5.936978216311376</v>
      </c>
    </row>
    <row r="422">
      <c r="A422" s="0" t="n">
        <v>131</v>
      </c>
      <c r="B422" s="0" t="inlineStr">
        <is>
          <t>Cyclone</t>
        </is>
      </c>
      <c r="C422" s="0" t="inlineStr">
        <is>
          <t>Town</t>
        </is>
      </c>
      <c r="D422" s="0" t="inlineStr">
        <is>
          <t>Win</t>
        </is>
      </c>
      <c r="E422" s="0" t="n">
        <v>77</v>
      </c>
      <c r="F422" s="0" t="n">
        <v>27.77439230970933</v>
      </c>
      <c r="G422" s="0" t="n">
        <v>28.81059761595552</v>
      </c>
      <c r="H422" s="0" t="n">
        <v>7.645995163732572</v>
      </c>
      <c r="I422" s="0" t="n">
        <v>1102</v>
      </c>
      <c r="J422" s="0" t="n">
        <v>1179</v>
      </c>
      <c r="K422" s="0" t="n">
        <v>7.713832064959655</v>
      </c>
    </row>
    <row r="423">
      <c r="A423" s="0" t="n">
        <v>131</v>
      </c>
      <c r="B423" s="0" t="inlineStr">
        <is>
          <t>Rocker</t>
        </is>
      </c>
      <c r="C423" s="0" t="inlineStr">
        <is>
          <t>Town</t>
        </is>
      </c>
      <c r="D423" s="0" t="inlineStr">
        <is>
          <t>Win</t>
        </is>
      </c>
      <c r="E423" s="0" t="n">
        <v>45</v>
      </c>
      <c r="F423" s="0" t="n">
        <v>30.08821020155101</v>
      </c>
      <c r="G423" s="0" t="n">
        <v>30.70780031476266</v>
      </c>
      <c r="H423" s="0" t="n">
        <v>5.933742510305645</v>
      </c>
      <c r="I423" s="0" t="n">
        <v>1438</v>
      </c>
      <c r="J423" s="0" t="n">
        <v>1483</v>
      </c>
      <c r="K423" s="0" t="n">
        <v>5.964512782772463</v>
      </c>
    </row>
    <row r="424">
      <c r="A424" s="0" t="n">
        <v>130</v>
      </c>
      <c r="B424" s="0" t="inlineStr">
        <is>
          <t>Strik3r</t>
        </is>
      </c>
      <c r="C424" s="0" t="inlineStr">
        <is>
          <t>Mafia</t>
        </is>
      </c>
      <c r="D424" s="0" t="inlineStr">
        <is>
          <t>Win</t>
        </is>
      </c>
      <c r="E424" s="0" t="n">
        <v>50</v>
      </c>
      <c r="F424" s="0" t="n">
        <v>25.14830705724004</v>
      </c>
      <c r="G424" s="0" t="n">
        <v>25.80437027965501</v>
      </c>
      <c r="H424" s="0" t="n">
        <v>6.825020949381322</v>
      </c>
      <c r="I424" s="0" t="n">
        <v>1009</v>
      </c>
      <c r="J424" s="0" t="n">
        <v>1059</v>
      </c>
      <c r="K424" s="0" t="n">
        <v>6.871557270318639</v>
      </c>
    </row>
    <row r="425">
      <c r="A425" s="0" t="n">
        <v>130</v>
      </c>
      <c r="B425" s="0" t="inlineStr">
        <is>
          <t>Laur</t>
        </is>
      </c>
      <c r="C425" s="0" t="inlineStr">
        <is>
          <t>Mafia</t>
        </is>
      </c>
      <c r="D425" s="0" t="inlineStr">
        <is>
          <t>Win</t>
        </is>
      </c>
      <c r="E425" s="0" t="n">
        <v>41</v>
      </c>
      <c r="F425" s="0" t="n">
        <v>29.49661739611059</v>
      </c>
      <c r="G425" s="0" t="n">
        <v>30.04411467814267</v>
      </c>
      <c r="H425" s="0" t="n">
        <v>6.241959765072281</v>
      </c>
      <c r="I425" s="0" t="n">
        <v>1365</v>
      </c>
      <c r="J425" s="0" t="n">
        <v>1406</v>
      </c>
      <c r="K425" s="0" t="n">
        <v>6.277174306575387</v>
      </c>
    </row>
    <row r="426">
      <c r="A426" s="0" t="n">
        <v>130</v>
      </c>
      <c r="B426" s="0" t="inlineStr">
        <is>
          <t>Rick</t>
        </is>
      </c>
      <c r="C426" s="0" t="inlineStr">
        <is>
          <t>Mafia</t>
        </is>
      </c>
      <c r="D426" s="0" t="inlineStr">
        <is>
          <t>Win</t>
        </is>
      </c>
      <c r="E426" s="0" t="n">
        <v>57</v>
      </c>
      <c r="F426" s="0" t="n">
        <v>28.1231029995436</v>
      </c>
      <c r="G426" s="0" t="n">
        <v>28.88141873191655</v>
      </c>
      <c r="H426" s="0" t="n">
        <v>7.329684739714296</v>
      </c>
      <c r="I426" s="0" t="n">
        <v>1159</v>
      </c>
      <c r="J426" s="0" t="n">
        <v>1216</v>
      </c>
      <c r="K426" s="0" t="n">
        <v>7.387773263316832</v>
      </c>
    </row>
    <row r="427">
      <c r="A427" s="0" t="n">
        <v>130</v>
      </c>
      <c r="B427" s="0" t="inlineStr">
        <is>
          <t>Iln</t>
        </is>
      </c>
      <c r="C427" s="0" t="inlineStr">
        <is>
          <t>Town</t>
        </is>
      </c>
      <c r="D427" s="0" t="inlineStr">
        <is>
          <t>Loss</t>
        </is>
      </c>
      <c r="E427" s="0" t="n">
        <v>-33</v>
      </c>
      <c r="F427" s="0" t="n">
        <v>27.64404589977356</v>
      </c>
      <c r="G427" s="0" t="n">
        <v>27.11382643999001</v>
      </c>
      <c r="H427" s="0" t="n">
        <v>6.14380036145918</v>
      </c>
      <c r="I427" s="0" t="n">
        <v>1250</v>
      </c>
      <c r="J427" s="0" t="n">
        <v>1217</v>
      </c>
      <c r="K427" s="0" t="n">
        <v>6.177307780331735</v>
      </c>
    </row>
    <row r="428">
      <c r="A428" s="0" t="n">
        <v>130</v>
      </c>
      <c r="B428" s="0" t="inlineStr">
        <is>
          <t>Noah</t>
        </is>
      </c>
      <c r="C428" s="0" t="inlineStr">
        <is>
          <t>Town</t>
        </is>
      </c>
      <c r="D428" s="0" t="inlineStr">
        <is>
          <t>Loss</t>
        </is>
      </c>
      <c r="E428" s="0" t="n">
        <v>-33</v>
      </c>
      <c r="F428" s="0" t="n">
        <v>30.93222368097447</v>
      </c>
      <c r="G428" s="0" t="n">
        <v>30.40403013268082</v>
      </c>
      <c r="H428" s="0" t="n">
        <v>6.13218296225464</v>
      </c>
      <c r="I428" s="0" t="n">
        <v>1475</v>
      </c>
      <c r="J428" s="0" t="n">
        <v>1442</v>
      </c>
      <c r="K428" s="0" t="n">
        <v>6.165491973058397</v>
      </c>
    </row>
    <row r="429">
      <c r="A429" s="0" t="n">
        <v>130</v>
      </c>
      <c r="B429" s="0" t="inlineStr">
        <is>
          <t>Brownkow</t>
        </is>
      </c>
      <c r="C429" s="0" t="inlineStr">
        <is>
          <t>Town</t>
        </is>
      </c>
      <c r="D429" s="0" t="inlineStr">
        <is>
          <t>Loss</t>
        </is>
      </c>
      <c r="E429" s="0" t="n">
        <v>-30</v>
      </c>
      <c r="F429" s="0" t="n">
        <v>31.71308226503638</v>
      </c>
      <c r="G429" s="0" t="n">
        <v>31.22640020128386</v>
      </c>
      <c r="H429" s="0" t="n">
        <v>5.888864824710686</v>
      </c>
      <c r="I429" s="0" t="n">
        <v>1553</v>
      </c>
      <c r="J429" s="0" t="n">
        <v>1523</v>
      </c>
      <c r="K429" s="0" t="n">
        <v>5.918191156140217</v>
      </c>
    </row>
    <row r="430">
      <c r="A430" s="0" t="n">
        <v>130</v>
      </c>
      <c r="B430" s="0" t="inlineStr">
        <is>
          <t>Kden</t>
        </is>
      </c>
      <c r="C430" s="0" t="inlineStr">
        <is>
          <t>Town</t>
        </is>
      </c>
      <c r="D430" s="0" t="inlineStr">
        <is>
          <t>Loss</t>
        </is>
      </c>
      <c r="E430" s="0" t="n">
        <v>-36</v>
      </c>
      <c r="F430" s="0" t="n">
        <v>23.13674958128242</v>
      </c>
      <c r="G430" s="0" t="n">
        <v>22.54350510275027</v>
      </c>
      <c r="H430" s="0" t="n">
        <v>6.494366205415339</v>
      </c>
      <c r="I430" s="0" t="n">
        <v>907</v>
      </c>
      <c r="J430" s="0" t="n">
        <v>871</v>
      </c>
      <c r="K430" s="0" t="n">
        <v>6.534228337294175</v>
      </c>
    </row>
    <row r="431">
      <c r="A431" s="0" t="n">
        <v>130</v>
      </c>
      <c r="B431" s="0" t="inlineStr">
        <is>
          <t>Chelsea</t>
        </is>
      </c>
      <c r="C431" s="0" t="inlineStr">
        <is>
          <t>Town</t>
        </is>
      </c>
      <c r="D431" s="0" t="inlineStr">
        <is>
          <t>Loss</t>
        </is>
      </c>
      <c r="E431" s="0" t="n">
        <v>-50</v>
      </c>
      <c r="F431" s="0" t="n">
        <v>23.89050299483976</v>
      </c>
      <c r="G431" s="0" t="n">
        <v>23.06020331177502</v>
      </c>
      <c r="H431" s="0" t="n">
        <v>7.663825254737487</v>
      </c>
      <c r="I431" s="0" t="n">
        <v>836</v>
      </c>
      <c r="J431" s="0" t="n">
        <v>786</v>
      </c>
      <c r="K431" s="0" t="n">
        <v>7.730532500779391</v>
      </c>
    </row>
    <row r="432">
      <c r="A432" s="0" t="n">
        <v>130</v>
      </c>
      <c r="B432" s="0" t="inlineStr">
        <is>
          <t>Mintt</t>
        </is>
      </c>
      <c r="C432" s="0" t="inlineStr">
        <is>
          <t>Town</t>
        </is>
      </c>
      <c r="D432" s="0" t="inlineStr">
        <is>
          <t>Loss</t>
        </is>
      </c>
      <c r="E432" s="0" t="n">
        <v>-38</v>
      </c>
      <c r="F432" s="0" t="n">
        <v>31.42569090321663</v>
      </c>
      <c r="G432" s="0" t="n">
        <v>30.80765959325501</v>
      </c>
      <c r="H432" s="0" t="n">
        <v>6.62691286951046</v>
      </c>
      <c r="I432" s="0" t="n">
        <v>1457</v>
      </c>
      <c r="J432" s="0" t="n">
        <v>1419</v>
      </c>
      <c r="K432" s="0" t="n">
        <v>6.66936878800541</v>
      </c>
    </row>
    <row r="433">
      <c r="A433" s="0" t="n">
        <v>130</v>
      </c>
      <c r="B433" s="0" t="inlineStr">
        <is>
          <t>Heftyduck</t>
        </is>
      </c>
      <c r="C433" s="0" t="inlineStr">
        <is>
          <t>Town</t>
        </is>
      </c>
      <c r="D433" s="0" t="inlineStr">
        <is>
          <t>Loss</t>
        </is>
      </c>
      <c r="E433" s="0" t="n">
        <v>-56</v>
      </c>
      <c r="F433" s="0" t="n">
        <v>26.13319096752297</v>
      </c>
      <c r="G433" s="0" t="n">
        <v>25.18800362525123</v>
      </c>
      <c r="H433" s="0" t="n">
        <v>8.166876847007657</v>
      </c>
      <c r="I433" s="0" t="n">
        <v>936</v>
      </c>
      <c r="J433" s="0" t="n">
        <v>880</v>
      </c>
      <c r="K433" s="0" t="n">
        <v>8.248127000928907</v>
      </c>
    </row>
    <row r="434">
      <c r="A434" s="0" t="n">
        <v>130</v>
      </c>
      <c r="B434" s="0" t="inlineStr">
        <is>
          <t>Badpants</t>
        </is>
      </c>
      <c r="C434" s="0" t="inlineStr">
        <is>
          <t>Town</t>
        </is>
      </c>
      <c r="D434" s="0" t="inlineStr">
        <is>
          <t>Loss</t>
        </is>
      </c>
      <c r="E434" s="0" t="n">
        <v>-32</v>
      </c>
      <c r="F434" s="0" t="n">
        <v>23.71580909726955</v>
      </c>
      <c r="G434" s="0" t="n">
        <v>23.19938278637057</v>
      </c>
      <c r="H434" s="0" t="n">
        <v>6.064244677459943</v>
      </c>
      <c r="I434" s="0" t="n">
        <v>991</v>
      </c>
      <c r="J434" s="0" t="n">
        <v>959</v>
      </c>
      <c r="K434" s="0" t="n">
        <v>6.096408631223895</v>
      </c>
    </row>
    <row r="435">
      <c r="A435" s="0" t="n">
        <v>130</v>
      </c>
      <c r="B435" s="0" t="inlineStr">
        <is>
          <t>Lou</t>
        </is>
      </c>
      <c r="C435" s="0" t="inlineStr">
        <is>
          <t>Town</t>
        </is>
      </c>
      <c r="D435" s="0" t="inlineStr">
        <is>
          <t>Loss</t>
        </is>
      </c>
      <c r="E435" s="0" t="n">
        <v>-33</v>
      </c>
      <c r="F435" s="0" t="n">
        <v>28.32680368532492</v>
      </c>
      <c r="G435" s="0" t="n">
        <v>27.79793910724226</v>
      </c>
      <c r="H435" s="0" t="n">
        <v>6.136033467139934</v>
      </c>
      <c r="I435" s="0" t="n">
        <v>1297</v>
      </c>
      <c r="J435" s="0" t="n">
        <v>1264</v>
      </c>
      <c r="K435" s="0" t="n">
        <v>6.169408154247468</v>
      </c>
    </row>
    <row r="436">
      <c r="A436" s="0" t="n">
        <v>130</v>
      </c>
      <c r="B436" s="0" t="inlineStr">
        <is>
          <t>Dani</t>
        </is>
      </c>
      <c r="C436" s="0" t="inlineStr">
        <is>
          <t>Town</t>
        </is>
      </c>
      <c r="D436" s="0" t="inlineStr">
        <is>
          <t>Loss</t>
        </is>
      </c>
      <c r="E436" s="0" t="n">
        <v>-51</v>
      </c>
      <c r="F436" s="0" t="n">
        <v>24.9430352944807</v>
      </c>
      <c r="G436" s="0" t="n">
        <v>24.10049001783981</v>
      </c>
      <c r="H436" s="0" t="n">
        <v>7.719127865504993</v>
      </c>
      <c r="I436" s="0" t="n">
        <v>902</v>
      </c>
      <c r="J436" s="0" t="n">
        <v>851</v>
      </c>
      <c r="K436" s="0" t="n">
        <v>7.787339818215288</v>
      </c>
    </row>
    <row r="437">
      <c r="A437" s="0" t="n">
        <v>129</v>
      </c>
      <c r="B437" s="0" t="inlineStr">
        <is>
          <t>Siggy</t>
        </is>
      </c>
      <c r="C437" s="0" t="inlineStr">
        <is>
          <t>Mafia</t>
        </is>
      </c>
      <c r="D437" s="0" t="inlineStr">
        <is>
          <t>Loss</t>
        </is>
      </c>
      <c r="E437" s="0" t="n">
        <v>-124</v>
      </c>
      <c r="F437" s="0" t="n">
        <v>26.49443068954884</v>
      </c>
      <c r="G437" s="0" t="n">
        <v>24.52438865859414</v>
      </c>
      <c r="H437" s="0" t="n">
        <v>7.847595505407771</v>
      </c>
      <c r="I437" s="0" t="n">
        <v>991</v>
      </c>
      <c r="J437" s="0" t="n">
        <v>867</v>
      </c>
      <c r="K437" s="0" t="n">
        <v>7.945708554121977</v>
      </c>
    </row>
    <row r="438">
      <c r="A438" s="0" t="n">
        <v>129</v>
      </c>
      <c r="B438" s="0" t="inlineStr">
        <is>
          <t>Brownkow</t>
        </is>
      </c>
      <c r="C438" s="0" t="inlineStr">
        <is>
          <t>Mafia</t>
        </is>
      </c>
      <c r="D438" s="0" t="inlineStr">
        <is>
          <t>Loss</t>
        </is>
      </c>
      <c r="E438" s="0" t="n">
        <v>-71</v>
      </c>
      <c r="F438" s="0" t="n">
        <v>32.82122357022138</v>
      </c>
      <c r="G438" s="0" t="n">
        <v>31.71308226503638</v>
      </c>
      <c r="H438" s="0" t="n">
        <v>5.918191156140217</v>
      </c>
      <c r="I438" s="0" t="n">
        <v>1624</v>
      </c>
      <c r="J438" s="0" t="n">
        <v>1553</v>
      </c>
      <c r="K438" s="0" t="n">
        <v>5.958894596782375</v>
      </c>
    </row>
    <row r="439">
      <c r="A439" s="0" t="n">
        <v>129</v>
      </c>
      <c r="B439" s="0" t="inlineStr">
        <is>
          <t>Kwix</t>
        </is>
      </c>
      <c r="C439" s="0" t="inlineStr">
        <is>
          <t>Mafia</t>
        </is>
      </c>
      <c r="D439" s="0" t="inlineStr">
        <is>
          <t>Loss</t>
        </is>
      </c>
      <c r="E439" s="0" t="n">
        <v>-88</v>
      </c>
      <c r="F439" s="0" t="n">
        <v>23.4185177317293</v>
      </c>
      <c r="G439" s="0" t="n">
        <v>22.03380972709259</v>
      </c>
      <c r="H439" s="0" t="n">
        <v>6.60397870928859</v>
      </c>
      <c r="I439" s="0" t="n">
        <v>913</v>
      </c>
      <c r="J439" s="0" t="n">
        <v>825</v>
      </c>
      <c r="K439" s="0" t="n">
        <v>6.66130696436869</v>
      </c>
    </row>
    <row r="440">
      <c r="A440" s="0" t="n">
        <v>129</v>
      </c>
      <c r="B440" s="0" t="inlineStr">
        <is>
          <t>Motr</t>
        </is>
      </c>
      <c r="C440" s="0" t="inlineStr">
        <is>
          <t>Town</t>
        </is>
      </c>
      <c r="D440" s="0" t="inlineStr">
        <is>
          <t>Win</t>
        </is>
      </c>
      <c r="E440" s="0" t="n">
        <v>126</v>
      </c>
      <c r="F440" s="0" t="n">
        <v>23.2316260705865</v>
      </c>
      <c r="G440" s="0" t="n">
        <v>24.95210583625166</v>
      </c>
      <c r="H440" s="0" t="n">
        <v>7.34546214302001</v>
      </c>
      <c r="I440" s="0" t="n">
        <v>822</v>
      </c>
      <c r="J440" s="0" t="n">
        <v>948</v>
      </c>
      <c r="K440" s="0" t="n">
        <v>7.425311556353472</v>
      </c>
    </row>
    <row r="441">
      <c r="A441" s="0" t="n">
        <v>129</v>
      </c>
      <c r="B441" s="0" t="inlineStr">
        <is>
          <t>Strik3r</t>
        </is>
      </c>
      <c r="C441" s="0" t="inlineStr">
        <is>
          <t>Town</t>
        </is>
      </c>
      <c r="D441" s="0" t="inlineStr">
        <is>
          <t>Win</t>
        </is>
      </c>
      <c r="E441" s="0" t="n">
        <v>109</v>
      </c>
      <c r="F441" s="0" t="n">
        <v>23.64687937455734</v>
      </c>
      <c r="G441" s="0" t="n">
        <v>25.14830705724004</v>
      </c>
      <c r="H441" s="0" t="n">
        <v>6.871557270318639</v>
      </c>
      <c r="I441" s="0" t="n">
        <v>900</v>
      </c>
      <c r="J441" s="0" t="n">
        <v>1009</v>
      </c>
      <c r="K441" s="0" t="n">
        <v>6.936435616009941</v>
      </c>
    </row>
    <row r="442">
      <c r="A442" s="0" t="n">
        <v>129</v>
      </c>
      <c r="B442" s="0" t="inlineStr">
        <is>
          <t>Laur</t>
        </is>
      </c>
      <c r="C442" s="0" t="inlineStr">
        <is>
          <t>Town</t>
        </is>
      </c>
      <c r="D442" s="0" t="inlineStr">
        <is>
          <t>Win</t>
        </is>
      </c>
      <c r="E442" s="0" t="n">
        <v>89</v>
      </c>
      <c r="F442" s="0" t="n">
        <v>28.24772981786074</v>
      </c>
      <c r="G442" s="0" t="n">
        <v>29.49661739611059</v>
      </c>
      <c r="H442" s="0" t="n">
        <v>6.277174306575387</v>
      </c>
      <c r="I442" s="0" t="n">
        <v>1276</v>
      </c>
      <c r="J442" s="0" t="n">
        <v>1365</v>
      </c>
      <c r="K442" s="0" t="n">
        <v>6.326109379790496</v>
      </c>
    </row>
    <row r="443">
      <c r="A443" s="0" t="n">
        <v>129</v>
      </c>
      <c r="B443" s="0" t="inlineStr">
        <is>
          <t>Pinkee</t>
        </is>
      </c>
      <c r="C443" s="0" t="inlineStr">
        <is>
          <t>Town</t>
        </is>
      </c>
      <c r="D443" s="0" t="inlineStr">
        <is>
          <t>Win</t>
        </is>
      </c>
      <c r="E443" s="0" t="n">
        <v>150</v>
      </c>
      <c r="F443" s="0" t="n">
        <v>26.31299137164727</v>
      </c>
      <c r="G443" s="0" t="n">
        <v>28.35536175141931</v>
      </c>
      <c r="H443" s="0" t="n">
        <v>7.986640477098088</v>
      </c>
      <c r="I443" s="0" t="n">
        <v>964</v>
      </c>
      <c r="J443" s="0" t="n">
        <v>1114</v>
      </c>
      <c r="K443" s="0" t="n">
        <v>8.090276319104749</v>
      </c>
    </row>
    <row r="444">
      <c r="A444" s="0" t="n">
        <v>129</v>
      </c>
      <c r="B444" s="0" t="inlineStr">
        <is>
          <t>Rollo</t>
        </is>
      </c>
      <c r="C444" s="0" t="inlineStr">
        <is>
          <t>Town</t>
        </is>
      </c>
      <c r="D444" s="0" t="inlineStr">
        <is>
          <t>Win</t>
        </is>
      </c>
      <c r="E444" s="0" t="n">
        <v>105</v>
      </c>
      <c r="F444" s="0" t="n">
        <v>31.21195323292063</v>
      </c>
      <c r="G444" s="0" t="n">
        <v>32.66710788478319</v>
      </c>
      <c r="H444" s="0" t="n">
        <v>6.766839650101276</v>
      </c>
      <c r="I444" s="0" t="n">
        <v>1426</v>
      </c>
      <c r="J444" s="0" t="n">
        <v>1531</v>
      </c>
      <c r="K444" s="0" t="n">
        <v>6.828688321456953</v>
      </c>
    </row>
    <row r="445">
      <c r="A445" s="0" t="n">
        <v>129</v>
      </c>
      <c r="B445" s="0" t="inlineStr">
        <is>
          <t>Dani</t>
        </is>
      </c>
      <c r="C445" s="0" t="inlineStr">
        <is>
          <t>Town</t>
        </is>
      </c>
      <c r="D445" s="0" t="inlineStr">
        <is>
          <t>Win</t>
        </is>
      </c>
      <c r="E445" s="0" t="n">
        <v>142</v>
      </c>
      <c r="F445" s="0" t="n">
        <v>23.0039004046292</v>
      </c>
      <c r="G445" s="0" t="n">
        <v>24.9430352944807</v>
      </c>
      <c r="H445" s="0" t="n">
        <v>7.787339818215288</v>
      </c>
      <c r="I445" s="0" t="n">
        <v>760</v>
      </c>
      <c r="J445" s="0" t="n">
        <v>902</v>
      </c>
      <c r="K445" s="0" t="n">
        <v>7.883123805906719</v>
      </c>
    </row>
    <row r="446">
      <c r="A446" s="0" t="n">
        <v>129</v>
      </c>
      <c r="B446" s="0" t="inlineStr">
        <is>
          <t>Whyin</t>
        </is>
      </c>
      <c r="C446" s="0" t="inlineStr">
        <is>
          <t>Town</t>
        </is>
      </c>
      <c r="D446" s="0" t="inlineStr">
        <is>
          <t>Win</t>
        </is>
      </c>
      <c r="E446" s="0" t="n">
        <v>101</v>
      </c>
      <c r="F446" s="0" t="n">
        <v>24.82596226086694</v>
      </c>
      <c r="G446" s="0" t="n">
        <v>26.22064304487363</v>
      </c>
      <c r="H446" s="0" t="n">
        <v>6.627295588174902</v>
      </c>
      <c r="I446" s="0" t="n">
        <v>1006</v>
      </c>
      <c r="J446" s="0" t="n">
        <v>1107</v>
      </c>
      <c r="K446" s="0" t="n">
        <v>6.685256952062897</v>
      </c>
    </row>
    <row r="447">
      <c r="A447" s="0" t="n">
        <v>129</v>
      </c>
      <c r="B447" s="0" t="inlineStr">
        <is>
          <t>Plen</t>
        </is>
      </c>
      <c r="C447" s="0" t="inlineStr">
        <is>
          <t>Town</t>
        </is>
      </c>
      <c r="D447" s="0" t="inlineStr">
        <is>
          <t>Win</t>
        </is>
      </c>
      <c r="E447" s="0" t="n">
        <v>80</v>
      </c>
      <c r="F447" s="0" t="n">
        <v>20.15853699177425</v>
      </c>
      <c r="G447" s="0" t="n">
        <v>21.27382631621131</v>
      </c>
      <c r="H447" s="0" t="n">
        <v>5.936978216311376</v>
      </c>
      <c r="I447" s="0" t="n">
        <v>761</v>
      </c>
      <c r="J447" s="0" t="n">
        <v>841</v>
      </c>
      <c r="K447" s="0" t="n">
        <v>5.978087899390045</v>
      </c>
    </row>
    <row r="448">
      <c r="A448" s="0" t="n">
        <v>129</v>
      </c>
      <c r="B448" s="0" t="inlineStr">
        <is>
          <t>Cj</t>
        </is>
      </c>
      <c r="C448" s="0" t="inlineStr">
        <is>
          <t>Town</t>
        </is>
      </c>
      <c r="D448" s="0" t="inlineStr">
        <is>
          <t>Win</t>
        </is>
      </c>
      <c r="E448" s="0" t="n">
        <v>126</v>
      </c>
      <c r="F448" s="0" t="n">
        <v>24.03914175194608</v>
      </c>
      <c r="G448" s="0" t="n">
        <v>25.76420160826907</v>
      </c>
      <c r="H448" s="0" t="n">
        <v>7.35501700074718</v>
      </c>
      <c r="I448" s="0" t="n">
        <v>876</v>
      </c>
      <c r="J448" s="0" t="n">
        <v>1002</v>
      </c>
      <c r="K448" s="0" t="n">
        <v>7.435190241730486</v>
      </c>
    </row>
    <row r="449">
      <c r="A449" s="0" t="n">
        <v>129</v>
      </c>
      <c r="B449" s="0" t="inlineStr">
        <is>
          <t>Chelsea</t>
        </is>
      </c>
      <c r="C449" s="0" t="inlineStr">
        <is>
          <t>Town</t>
        </is>
      </c>
      <c r="D449" s="0" t="inlineStr">
        <is>
          <t>Win</t>
        </is>
      </c>
      <c r="E449" s="0" t="n">
        <v>139</v>
      </c>
      <c r="F449" s="0" t="n">
        <v>21.98026551359381</v>
      </c>
      <c r="G449" s="0" t="n">
        <v>23.89050299483976</v>
      </c>
      <c r="H449" s="0" t="n">
        <v>7.730532500779391</v>
      </c>
      <c r="I449" s="0" t="n">
        <v>697</v>
      </c>
      <c r="J449" s="0" t="n">
        <v>836</v>
      </c>
      <c r="K449" s="0" t="n">
        <v>7.8241557950198</v>
      </c>
    </row>
    <row r="450">
      <c r="A450" s="0" t="n">
        <v>128</v>
      </c>
      <c r="B450" s="0" t="inlineStr">
        <is>
          <t>Decode</t>
        </is>
      </c>
      <c r="C450" s="0" t="inlineStr">
        <is>
          <t>Mafia</t>
        </is>
      </c>
      <c r="D450" s="0" t="inlineStr">
        <is>
          <t>Loss</t>
        </is>
      </c>
      <c r="E450" s="0" t="n">
        <v>-54</v>
      </c>
      <c r="F450" s="0" t="n">
        <v>18.95427132606613</v>
      </c>
      <c r="G450" s="0" t="n">
        <v>18.05687872727717</v>
      </c>
      <c r="H450" s="0" t="n">
        <v>7.638588773120248</v>
      </c>
      <c r="I450" s="0" t="n">
        <v>503</v>
      </c>
      <c r="J450" s="0" t="n">
        <v>449</v>
      </c>
      <c r="K450" s="0" t="n">
        <v>7.707084509948755</v>
      </c>
    </row>
    <row r="451">
      <c r="A451" s="0" t="n">
        <v>128</v>
      </c>
      <c r="B451" s="0" t="inlineStr">
        <is>
          <t>Badpants</t>
        </is>
      </c>
      <c r="C451" s="0" t="inlineStr">
        <is>
          <t>Mafia</t>
        </is>
      </c>
      <c r="D451" s="0" t="inlineStr">
        <is>
          <t>Loss</t>
        </is>
      </c>
      <c r="E451" s="0" t="n">
        <v>-35</v>
      </c>
      <c r="F451" s="0" t="n">
        <v>24.28363268943436</v>
      </c>
      <c r="G451" s="0" t="n">
        <v>23.71580909726955</v>
      </c>
      <c r="H451" s="0" t="n">
        <v>6.096408631223895</v>
      </c>
      <c r="I451" s="0" t="n">
        <v>1026</v>
      </c>
      <c r="J451" s="0" t="n">
        <v>991</v>
      </c>
      <c r="K451" s="0" t="n">
        <v>6.130337384919103</v>
      </c>
    </row>
    <row r="452">
      <c r="A452" s="0" t="n">
        <v>128</v>
      </c>
      <c r="B452" s="0" t="inlineStr">
        <is>
          <t>Mintt</t>
        </is>
      </c>
      <c r="C452" s="0" t="inlineStr">
        <is>
          <t>Mafia</t>
        </is>
      </c>
      <c r="D452" s="0" t="inlineStr">
        <is>
          <t>Loss</t>
        </is>
      </c>
      <c r="E452" s="0" t="n">
        <v>-41</v>
      </c>
      <c r="F452" s="0" t="n">
        <v>32.10681531832985</v>
      </c>
      <c r="G452" s="0" t="n">
        <v>31.42569090321663</v>
      </c>
      <c r="H452" s="0" t="n">
        <v>6.66936878800541</v>
      </c>
      <c r="I452" s="0" t="n">
        <v>1498</v>
      </c>
      <c r="J452" s="0" t="n">
        <v>1457</v>
      </c>
      <c r="K452" s="0" t="n">
        <v>6.714296191293177</v>
      </c>
    </row>
    <row r="453">
      <c r="A453" s="0" t="n">
        <v>128</v>
      </c>
      <c r="B453" s="0" t="inlineStr">
        <is>
          <t>Doublea</t>
        </is>
      </c>
      <c r="C453" s="0" t="inlineStr">
        <is>
          <t>Town</t>
        </is>
      </c>
      <c r="D453" s="0" t="inlineStr">
        <is>
          <t>Win</t>
        </is>
      </c>
      <c r="E453" s="0" t="n">
        <v>60</v>
      </c>
      <c r="F453" s="0" t="n">
        <v>21.1346354747301</v>
      </c>
      <c r="G453" s="0" t="n">
        <v>21.93119877926298</v>
      </c>
      <c r="H453" s="0" t="n">
        <v>7.204026279408536</v>
      </c>
      <c r="I453" s="0" t="n">
        <v>697</v>
      </c>
      <c r="J453" s="0" t="n">
        <v>757</v>
      </c>
      <c r="K453" s="0" t="n">
        <v>7.261133137008572</v>
      </c>
    </row>
    <row r="454">
      <c r="A454" s="0" t="n">
        <v>128</v>
      </c>
      <c r="B454" s="0" t="inlineStr">
        <is>
          <t>Laur</t>
        </is>
      </c>
      <c r="C454" s="0" t="inlineStr">
        <is>
          <t>Town</t>
        </is>
      </c>
      <c r="D454" s="0" t="inlineStr">
        <is>
          <t>Win</t>
        </is>
      </c>
      <c r="E454" s="0" t="n">
        <v>46</v>
      </c>
      <c r="F454" s="0" t="n">
        <v>27.6357673992579</v>
      </c>
      <c r="G454" s="0" t="n">
        <v>28.24772981786074</v>
      </c>
      <c r="H454" s="0" t="n">
        <v>6.326109379790496</v>
      </c>
      <c r="I454" s="0" t="n">
        <v>1230</v>
      </c>
      <c r="J454" s="0" t="n">
        <v>1276</v>
      </c>
      <c r="K454" s="0" t="n">
        <v>6.36420563846991</v>
      </c>
    </row>
    <row r="455">
      <c r="A455" s="0" t="n">
        <v>128</v>
      </c>
      <c r="B455" s="0" t="inlineStr">
        <is>
          <t>Chelsea</t>
        </is>
      </c>
      <c r="C455" s="0" t="inlineStr">
        <is>
          <t>Town</t>
        </is>
      </c>
      <c r="D455" s="0" t="inlineStr">
        <is>
          <t>Win</t>
        </is>
      </c>
      <c r="E455" s="0" t="n">
        <v>72</v>
      </c>
      <c r="F455" s="0" t="n">
        <v>21.03788272397724</v>
      </c>
      <c r="G455" s="0" t="n">
        <v>21.98026551359381</v>
      </c>
      <c r="H455" s="0" t="n">
        <v>7.8241557950198</v>
      </c>
      <c r="I455" s="0" t="n">
        <v>625</v>
      </c>
      <c r="J455" s="0" t="n">
        <v>697</v>
      </c>
      <c r="K455" s="0" t="n">
        <v>7.897948505347884</v>
      </c>
    </row>
    <row r="456">
      <c r="A456" s="0" t="n">
        <v>128</v>
      </c>
      <c r="B456" s="0" t="inlineStr">
        <is>
          <t>Svaan</t>
        </is>
      </c>
      <c r="C456" s="0" t="inlineStr">
        <is>
          <t>Town</t>
        </is>
      </c>
      <c r="D456" s="0" t="inlineStr">
        <is>
          <t>Win</t>
        </is>
      </c>
      <c r="E456" s="0" t="n">
        <v>63</v>
      </c>
      <c r="F456" s="0" t="n">
        <v>28.9065886912557</v>
      </c>
      <c r="G456" s="0" t="n">
        <v>29.73275867340367</v>
      </c>
      <c r="H456" s="0" t="n">
        <v>7.334487743456388</v>
      </c>
      <c r="I456" s="0" t="n">
        <v>1211</v>
      </c>
      <c r="J456" s="0" t="n">
        <v>1274</v>
      </c>
      <c r="K456" s="0" t="n">
        <v>7.394868126621073</v>
      </c>
    </row>
    <row r="457">
      <c r="A457" s="0" t="n">
        <v>128</v>
      </c>
      <c r="B457" s="0" t="inlineStr">
        <is>
          <t>Cyclone</t>
        </is>
      </c>
      <c r="C457" s="0" t="inlineStr">
        <is>
          <t>Town</t>
        </is>
      </c>
      <c r="D457" s="0" t="inlineStr">
        <is>
          <t>Win</t>
        </is>
      </c>
      <c r="E457" s="0" t="n">
        <v>70</v>
      </c>
      <c r="F457" s="0" t="n">
        <v>26.85889740391095</v>
      </c>
      <c r="G457" s="0" t="n">
        <v>27.77439230970933</v>
      </c>
      <c r="H457" s="0" t="n">
        <v>7.713832064959655</v>
      </c>
      <c r="I457" s="0" t="n">
        <v>1032</v>
      </c>
      <c r="J457" s="0" t="n">
        <v>1102</v>
      </c>
      <c r="K457" s="0" t="n">
        <v>7.784443454916247</v>
      </c>
    </row>
    <row r="458">
      <c r="A458" s="0" t="n">
        <v>128</v>
      </c>
      <c r="B458" s="0" t="inlineStr">
        <is>
          <t>Chipper</t>
        </is>
      </c>
      <c r="C458" s="0" t="inlineStr">
        <is>
          <t>Town</t>
        </is>
      </c>
      <c r="D458" s="0" t="inlineStr">
        <is>
          <t>Win</t>
        </is>
      </c>
      <c r="E458" s="0" t="n">
        <v>49</v>
      </c>
      <c r="F458" s="0" t="n">
        <v>24.01171106501463</v>
      </c>
      <c r="G458" s="0" t="n">
        <v>24.67287399728892</v>
      </c>
      <c r="H458" s="0" t="n">
        <v>6.572236726298146</v>
      </c>
      <c r="I458" s="0" t="n">
        <v>958</v>
      </c>
      <c r="J458" s="0" t="n">
        <v>1007</v>
      </c>
      <c r="K458" s="0" t="n">
        <v>6.615155628977813</v>
      </c>
    </row>
    <row r="459">
      <c r="A459" s="0" t="n">
        <v>128</v>
      </c>
      <c r="B459" s="0" t="inlineStr">
        <is>
          <t>Brownkow</t>
        </is>
      </c>
      <c r="C459" s="0" t="inlineStr">
        <is>
          <t>Town</t>
        </is>
      </c>
      <c r="D459" s="0" t="inlineStr">
        <is>
          <t>Win</t>
        </is>
      </c>
      <c r="E459" s="0" t="n">
        <v>40</v>
      </c>
      <c r="F459" s="0" t="n">
        <v>32.27900687564532</v>
      </c>
      <c r="G459" s="0" t="n">
        <v>32.82122357022138</v>
      </c>
      <c r="H459" s="0" t="n">
        <v>5.958894596782375</v>
      </c>
      <c r="I459" s="0" t="n">
        <v>1584</v>
      </c>
      <c r="J459" s="0" t="n">
        <v>1624</v>
      </c>
      <c r="K459" s="0" t="n">
        <v>5.990476572493606</v>
      </c>
    </row>
    <row r="460">
      <c r="A460" s="0" t="n">
        <v>128</v>
      </c>
      <c r="B460" s="0" t="inlineStr">
        <is>
          <t>Lou</t>
        </is>
      </c>
      <c r="C460" s="0" t="inlineStr">
        <is>
          <t>Town</t>
        </is>
      </c>
      <c r="D460" s="0" t="inlineStr">
        <is>
          <t>Win</t>
        </is>
      </c>
      <c r="E460" s="0" t="n">
        <v>43</v>
      </c>
      <c r="F460" s="0" t="n">
        <v>27.74513814768668</v>
      </c>
      <c r="G460" s="0" t="n">
        <v>28.32680368532492</v>
      </c>
      <c r="H460" s="0" t="n">
        <v>6.169408154247468</v>
      </c>
      <c r="I460" s="0" t="n">
        <v>1254</v>
      </c>
      <c r="J460" s="0" t="n">
        <v>1297</v>
      </c>
      <c r="K460" s="0" t="n">
        <v>6.204627338958884</v>
      </c>
    </row>
    <row r="461">
      <c r="A461" s="0" t="n">
        <v>128</v>
      </c>
      <c r="B461" s="0" t="inlineStr">
        <is>
          <t>Chester</t>
        </is>
      </c>
      <c r="C461" s="0" t="inlineStr">
        <is>
          <t>Town</t>
        </is>
      </c>
      <c r="D461" s="0" t="inlineStr">
        <is>
          <t>Win</t>
        </is>
      </c>
      <c r="E461" s="0" t="n">
        <v>53</v>
      </c>
      <c r="F461" s="0" t="n">
        <v>29.8343277005976</v>
      </c>
      <c r="G461" s="0" t="n">
        <v>30.5392208273133</v>
      </c>
      <c r="H461" s="0" t="n">
        <v>6.78311191585361</v>
      </c>
      <c r="I461" s="0" t="n">
        <v>1332</v>
      </c>
      <c r="J461" s="0" t="n">
        <v>1385</v>
      </c>
      <c r="K461" s="0" t="n">
        <v>6.830469142823275</v>
      </c>
    </row>
    <row r="462">
      <c r="A462" s="0" t="n">
        <v>128</v>
      </c>
      <c r="B462" s="0" t="inlineStr">
        <is>
          <t>Iln</t>
        </is>
      </c>
      <c r="C462" s="0" t="inlineStr">
        <is>
          <t>Town</t>
        </is>
      </c>
      <c r="D462" s="0" t="inlineStr">
        <is>
          <t>Win</t>
        </is>
      </c>
      <c r="E462" s="0" t="n">
        <v>44</v>
      </c>
      <c r="F462" s="0" t="n">
        <v>27.06087210828218</v>
      </c>
      <c r="G462" s="0" t="n">
        <v>27.64404589977356</v>
      </c>
      <c r="H462" s="0" t="n">
        <v>6.177307780331735</v>
      </c>
      <c r="I462" s="0" t="n">
        <v>1206</v>
      </c>
      <c r="J462" s="0" t="n">
        <v>1250</v>
      </c>
      <c r="K462" s="0" t="n">
        <v>6.21266849116974</v>
      </c>
    </row>
    <row r="463">
      <c r="A463" s="0" t="n">
        <v>127</v>
      </c>
      <c r="B463" s="0" t="inlineStr">
        <is>
          <t>Laur</t>
        </is>
      </c>
      <c r="C463" s="0" t="inlineStr">
        <is>
          <t>Mafia</t>
        </is>
      </c>
      <c r="D463" s="0" t="inlineStr">
        <is>
          <t>Loss</t>
        </is>
      </c>
      <c r="E463" s="0" t="n">
        <v>-58</v>
      </c>
      <c r="F463" s="0" t="n">
        <v>28.55013332022643</v>
      </c>
      <c r="G463" s="0" t="n">
        <v>27.6357673992579</v>
      </c>
      <c r="H463" s="0" t="n">
        <v>6.36420563846991</v>
      </c>
      <c r="I463" s="0" t="n">
        <v>1288</v>
      </c>
      <c r="J463" s="0" t="n">
        <v>1230</v>
      </c>
      <c r="K463" s="0" t="n">
        <v>6.409114254620812</v>
      </c>
    </row>
    <row r="464">
      <c r="A464" s="0" t="n">
        <v>127</v>
      </c>
      <c r="B464" s="0" t="inlineStr">
        <is>
          <t>Motr</t>
        </is>
      </c>
      <c r="C464" s="0" t="inlineStr">
        <is>
          <t>Mafia</t>
        </is>
      </c>
      <c r="D464" s="0" t="inlineStr">
        <is>
          <t>Loss</t>
        </is>
      </c>
      <c r="E464" s="0" t="n">
        <v>-78</v>
      </c>
      <c r="F464" s="0" t="n">
        <v>24.48296042758559</v>
      </c>
      <c r="G464" s="0" t="n">
        <v>23.2316260705865</v>
      </c>
      <c r="H464" s="0" t="n">
        <v>7.425311556353472</v>
      </c>
      <c r="I464" s="0" t="n">
        <v>900</v>
      </c>
      <c r="J464" s="0" t="n">
        <v>822</v>
      </c>
      <c r="K464" s="0" t="n">
        <v>7.497887461592909</v>
      </c>
    </row>
    <row r="465">
      <c r="A465" s="0" t="n">
        <v>127</v>
      </c>
      <c r="B465" s="0" t="inlineStr">
        <is>
          <t>Paradox</t>
        </is>
      </c>
      <c r="C465" s="0" t="inlineStr">
        <is>
          <t>Mafia</t>
        </is>
      </c>
      <c r="D465" s="0" t="inlineStr">
        <is>
          <t>Loss</t>
        </is>
      </c>
      <c r="E465" s="0" t="n">
        <v>-95</v>
      </c>
      <c r="F465" s="0" t="n">
        <v>25</v>
      </c>
      <c r="G465" s="0" t="n">
        <v>23.45432447271075</v>
      </c>
      <c r="H465" s="0" t="n">
        <v>8.233266416042341</v>
      </c>
      <c r="I465" s="0" t="n">
        <v>850</v>
      </c>
      <c r="J465" s="0" t="n">
        <v>755</v>
      </c>
      <c r="K465" s="0" t="n">
        <v>8.333333333333334</v>
      </c>
    </row>
    <row r="466">
      <c r="A466" s="0" t="n">
        <v>127</v>
      </c>
      <c r="B466" s="0" t="inlineStr">
        <is>
          <t>Chipper</t>
        </is>
      </c>
      <c r="C466" s="0" t="inlineStr">
        <is>
          <t>Town</t>
        </is>
      </c>
      <c r="D466" s="0" t="inlineStr">
        <is>
          <t>Win</t>
        </is>
      </c>
      <c r="E466" s="0" t="n">
        <v>72</v>
      </c>
      <c r="F466" s="0" t="n">
        <v>23.02264960727245</v>
      </c>
      <c r="G466" s="0" t="n">
        <v>24.01171106501463</v>
      </c>
      <c r="H466" s="0" t="n">
        <v>6.615155628977813</v>
      </c>
      <c r="I466" s="0" t="n">
        <v>886</v>
      </c>
      <c r="J466" s="0" t="n">
        <v>958</v>
      </c>
      <c r="K466" s="0" t="n">
        <v>6.665820730994365</v>
      </c>
    </row>
    <row r="467">
      <c r="A467" s="0" t="n">
        <v>127</v>
      </c>
      <c r="B467" s="0" t="inlineStr">
        <is>
          <t>Brownkow</t>
        </is>
      </c>
      <c r="C467" s="0" t="inlineStr">
        <is>
          <t>Town</t>
        </is>
      </c>
      <c r="D467" s="0" t="inlineStr">
        <is>
          <t>Win</t>
        </is>
      </c>
      <c r="E467" s="0" t="n">
        <v>59</v>
      </c>
      <c r="F467" s="0" t="n">
        <v>31.47022323464696</v>
      </c>
      <c r="G467" s="0" t="n">
        <v>32.27900687564532</v>
      </c>
      <c r="H467" s="0" t="n">
        <v>5.990476572493606</v>
      </c>
      <c r="I467" s="0" t="n">
        <v>1525</v>
      </c>
      <c r="J467" s="0" t="n">
        <v>1584</v>
      </c>
      <c r="K467" s="0" t="n">
        <v>6.027639582237676</v>
      </c>
    </row>
    <row r="468">
      <c r="A468" s="0" t="n">
        <v>127</v>
      </c>
      <c r="B468" s="0" t="inlineStr">
        <is>
          <t>Rocker</t>
        </is>
      </c>
      <c r="C468" s="0" t="inlineStr">
        <is>
          <t>Town</t>
        </is>
      </c>
      <c r="D468" s="0" t="inlineStr">
        <is>
          <t>Win</t>
        </is>
      </c>
      <c r="E468" s="0" t="n">
        <v>59</v>
      </c>
      <c r="F468" s="0" t="n">
        <v>29.28651155478662</v>
      </c>
      <c r="G468" s="0" t="n">
        <v>30.08821020155101</v>
      </c>
      <c r="H468" s="0" t="n">
        <v>5.964512782772463</v>
      </c>
      <c r="I468" s="0" t="n">
        <v>1379</v>
      </c>
      <c r="J468" s="0" t="n">
        <v>1438</v>
      </c>
      <c r="K468" s="0" t="n">
        <v>6.001172963870503</v>
      </c>
    </row>
    <row r="469">
      <c r="A469" s="0" t="n">
        <v>127</v>
      </c>
      <c r="B469" s="0" t="inlineStr">
        <is>
          <t>Lou</t>
        </is>
      </c>
      <c r="C469" s="0" t="inlineStr">
        <is>
          <t>Town</t>
        </is>
      </c>
      <c r="D469" s="0" t="inlineStr">
        <is>
          <t>Win</t>
        </is>
      </c>
      <c r="E469" s="0" t="n">
        <v>63</v>
      </c>
      <c r="F469" s="0" t="n">
        <v>26.87667989737226</v>
      </c>
      <c r="G469" s="0" t="n">
        <v>27.74513814768668</v>
      </c>
      <c r="H469" s="0" t="n">
        <v>6.204627338958884</v>
      </c>
      <c r="I469" s="0" t="n">
        <v>1191</v>
      </c>
      <c r="J469" s="0" t="n">
        <v>1254</v>
      </c>
      <c r="K469" s="0" t="n">
        <v>6.246110690974501</v>
      </c>
    </row>
    <row r="470">
      <c r="A470" s="0" t="n">
        <v>127</v>
      </c>
      <c r="B470" s="0" t="inlineStr">
        <is>
          <t>Cyclone</t>
        </is>
      </c>
      <c r="C470" s="0" t="inlineStr">
        <is>
          <t>Town</t>
        </is>
      </c>
      <c r="D470" s="0" t="inlineStr">
        <is>
          <t>Win</t>
        </is>
      </c>
      <c r="E470" s="0" t="n">
        <v>102</v>
      </c>
      <c r="F470" s="0" t="n">
        <v>25.48082493296115</v>
      </c>
      <c r="G470" s="0" t="n">
        <v>26.85889740391095</v>
      </c>
      <c r="H470" s="0" t="n">
        <v>7.784443454916247</v>
      </c>
      <c r="I470" s="0" t="n">
        <v>930</v>
      </c>
      <c r="J470" s="0" t="n">
        <v>1032</v>
      </c>
      <c r="K470" s="0" t="n">
        <v>7.868497552816584</v>
      </c>
    </row>
    <row r="471">
      <c r="A471" s="0" t="n">
        <v>127</v>
      </c>
      <c r="B471" s="0" t="inlineStr">
        <is>
          <t>Chester</t>
        </is>
      </c>
      <c r="C471" s="0" t="inlineStr">
        <is>
          <t>Town</t>
        </is>
      </c>
      <c r="D471" s="0" t="inlineStr">
        <is>
          <t>Win</t>
        </is>
      </c>
      <c r="E471" s="0" t="n">
        <v>77</v>
      </c>
      <c r="F471" s="0" t="n">
        <v>28.77872521959075</v>
      </c>
      <c r="G471" s="0" t="n">
        <v>29.8343277005976</v>
      </c>
      <c r="H471" s="0" t="n">
        <v>6.830469142823275</v>
      </c>
      <c r="I471" s="0" t="n">
        <v>1255</v>
      </c>
      <c r="J471" s="0" t="n">
        <v>1332</v>
      </c>
      <c r="K471" s="0" t="n">
        <v>6.886447996092405</v>
      </c>
    </row>
    <row r="472">
      <c r="A472" s="0" t="n">
        <v>127</v>
      </c>
      <c r="B472" s="0" t="inlineStr">
        <is>
          <t>Badpants</t>
        </is>
      </c>
      <c r="C472" s="0" t="inlineStr">
        <is>
          <t>Town</t>
        </is>
      </c>
      <c r="D472" s="0" t="inlineStr">
        <is>
          <t>Win</t>
        </is>
      </c>
      <c r="E472" s="0" t="n">
        <v>62</v>
      </c>
      <c r="F472" s="0" t="n">
        <v>23.43612621199681</v>
      </c>
      <c r="G472" s="0" t="n">
        <v>24.28363268943436</v>
      </c>
      <c r="H472" s="0" t="n">
        <v>6.130337384919103</v>
      </c>
      <c r="I472" s="0" t="n">
        <v>964</v>
      </c>
      <c r="J472" s="0" t="n">
        <v>1026</v>
      </c>
      <c r="K472" s="0" t="n">
        <v>6.170286656953313</v>
      </c>
    </row>
    <row r="473">
      <c r="A473" s="0" t="n">
        <v>127</v>
      </c>
      <c r="B473" s="0" t="inlineStr">
        <is>
          <t>Chelsea</t>
        </is>
      </c>
      <c r="C473" s="0" t="inlineStr">
        <is>
          <t>Town</t>
        </is>
      </c>
      <c r="D473" s="0" t="inlineStr">
        <is>
          <t>Win</t>
        </is>
      </c>
      <c r="E473" s="0" t="n">
        <v>106</v>
      </c>
      <c r="F473" s="0" t="n">
        <v>19.61839665577352</v>
      </c>
      <c r="G473" s="0" t="n">
        <v>21.03788272397724</v>
      </c>
      <c r="H473" s="0" t="n">
        <v>7.897948505347884</v>
      </c>
      <c r="I473" s="0" t="n">
        <v>519</v>
      </c>
      <c r="J473" s="0" t="n">
        <v>625</v>
      </c>
      <c r="K473" s="0" t="n">
        <v>7.985872571394657</v>
      </c>
    </row>
    <row r="474">
      <c r="A474" s="0" t="n">
        <v>127</v>
      </c>
      <c r="B474" s="0" t="inlineStr">
        <is>
          <t>Gilbert</t>
        </is>
      </c>
      <c r="C474" s="0" t="inlineStr">
        <is>
          <t>Town</t>
        </is>
      </c>
      <c r="D474" s="0" t="inlineStr">
        <is>
          <t>Win</t>
        </is>
      </c>
      <c r="E474" s="0" t="n">
        <v>83</v>
      </c>
      <c r="F474" s="0" t="n">
        <v>23.93544165105964</v>
      </c>
      <c r="G474" s="0" t="n">
        <v>25.07218547016893</v>
      </c>
      <c r="H474" s="0" t="n">
        <v>7.083585928403175</v>
      </c>
      <c r="I474" s="0" t="n">
        <v>899</v>
      </c>
      <c r="J474" s="0" t="n">
        <v>982</v>
      </c>
      <c r="K474" s="0" t="n">
        <v>7.146273612901227</v>
      </c>
    </row>
    <row r="475">
      <c r="A475" s="0" t="n">
        <v>127</v>
      </c>
      <c r="B475" s="0" t="inlineStr">
        <is>
          <t>Smit</t>
        </is>
      </c>
      <c r="C475" s="0" t="inlineStr">
        <is>
          <t>Town</t>
        </is>
      </c>
      <c r="D475" s="0" t="inlineStr">
        <is>
          <t>Win</t>
        </is>
      </c>
      <c r="E475" s="0" t="n">
        <v>62</v>
      </c>
      <c r="F475" s="0" t="n">
        <v>24.22719394816938</v>
      </c>
      <c r="G475" s="0" t="n">
        <v>25.08049872434954</v>
      </c>
      <c r="H475" s="0" t="n">
        <v>6.150991541927816</v>
      </c>
      <c r="I475" s="0" t="n">
        <v>1016</v>
      </c>
      <c r="J475" s="0" t="n">
        <v>1078</v>
      </c>
      <c r="K475" s="0" t="n">
        <v>6.191363513975672</v>
      </c>
    </row>
    <row r="476">
      <c r="A476" s="0" t="n">
        <v>126</v>
      </c>
      <c r="B476" s="0" t="inlineStr">
        <is>
          <t>Chester</t>
        </is>
      </c>
      <c r="C476" s="0" t="inlineStr">
        <is>
          <t>Mafia</t>
        </is>
      </c>
      <c r="D476" s="0" t="inlineStr">
        <is>
          <t>Loss</t>
        </is>
      </c>
      <c r="E476" s="0" t="n">
        <v>-68</v>
      </c>
      <c r="F476" s="0" t="n">
        <v>29.87389857523553</v>
      </c>
      <c r="G476" s="0" t="n">
        <v>28.77872521959075</v>
      </c>
      <c r="H476" s="0" t="n">
        <v>6.886447996092405</v>
      </c>
      <c r="I476" s="0" t="n">
        <v>1323</v>
      </c>
      <c r="J476" s="0" t="n">
        <v>1255</v>
      </c>
      <c r="K476" s="0" t="n">
        <v>6.946933958935318</v>
      </c>
    </row>
    <row r="477">
      <c r="A477" s="0" t="n">
        <v>126</v>
      </c>
      <c r="B477" s="0" t="inlineStr">
        <is>
          <t>Strik3r</t>
        </is>
      </c>
      <c r="C477" s="0" t="inlineStr">
        <is>
          <t>Mafia</t>
        </is>
      </c>
      <c r="D477" s="0" t="inlineStr">
        <is>
          <t>Loss</t>
        </is>
      </c>
      <c r="E477" s="0" t="n">
        <v>-70</v>
      </c>
      <c r="F477" s="0" t="n">
        <v>24.75830428278713</v>
      </c>
      <c r="G477" s="0" t="n">
        <v>23.64687937455734</v>
      </c>
      <c r="H477" s="0" t="n">
        <v>6.936435616009941</v>
      </c>
      <c r="I477" s="0" t="n">
        <v>970</v>
      </c>
      <c r="J477" s="0" t="n">
        <v>900</v>
      </c>
      <c r="K477" s="0" t="n">
        <v>6.998298398644551</v>
      </c>
    </row>
    <row r="478">
      <c r="A478" s="0" t="n">
        <v>126</v>
      </c>
      <c r="B478" s="0" t="inlineStr">
        <is>
          <t>Badpants</t>
        </is>
      </c>
      <c r="C478" s="0" t="inlineStr">
        <is>
          <t>Mafia</t>
        </is>
      </c>
      <c r="D478" s="0" t="inlineStr">
        <is>
          <t>Loss</t>
        </is>
      </c>
      <c r="E478" s="0" t="n">
        <v>-55</v>
      </c>
      <c r="F478" s="0" t="n">
        <v>24.31222821325191</v>
      </c>
      <c r="G478" s="0" t="n">
        <v>23.43612621199681</v>
      </c>
      <c r="H478" s="0" t="n">
        <v>6.170286656953313</v>
      </c>
      <c r="I478" s="0" t="n">
        <v>1019</v>
      </c>
      <c r="J478" s="0" t="n">
        <v>964</v>
      </c>
      <c r="K478" s="0" t="n">
        <v>6.213235576164579</v>
      </c>
    </row>
    <row r="479">
      <c r="A479" s="0" t="n">
        <v>126</v>
      </c>
      <c r="B479" s="0" t="inlineStr">
        <is>
          <t>Noah</t>
        </is>
      </c>
      <c r="C479" s="0" t="inlineStr">
        <is>
          <t>Town</t>
        </is>
      </c>
      <c r="D479" s="0" t="inlineStr">
        <is>
          <t>Win</t>
        </is>
      </c>
      <c r="E479" s="0" t="n">
        <v>64</v>
      </c>
      <c r="F479" s="0" t="n">
        <v>30.05750233761042</v>
      </c>
      <c r="G479" s="0" t="n">
        <v>30.93222368097447</v>
      </c>
      <c r="H479" s="0" t="n">
        <v>6.165491973058397</v>
      </c>
      <c r="I479" s="0" t="n">
        <v>1411</v>
      </c>
      <c r="J479" s="0" t="n">
        <v>1475</v>
      </c>
      <c r="K479" s="0" t="n">
        <v>6.208336626649898</v>
      </c>
    </row>
    <row r="480">
      <c r="A480" s="0" t="n">
        <v>126</v>
      </c>
      <c r="B480" s="0" t="inlineStr">
        <is>
          <t>Plen</t>
        </is>
      </c>
      <c r="C480" s="0" t="inlineStr">
        <is>
          <t>Town</t>
        </is>
      </c>
      <c r="D480" s="0" t="inlineStr">
        <is>
          <t>Win</t>
        </is>
      </c>
      <c r="E480" s="0" t="n">
        <v>60</v>
      </c>
      <c r="F480" s="0" t="n">
        <v>19.33689134865082</v>
      </c>
      <c r="G480" s="0" t="n">
        <v>20.15853699177425</v>
      </c>
      <c r="H480" s="0" t="n">
        <v>5.978087899390045</v>
      </c>
      <c r="I480" s="0" t="n">
        <v>701</v>
      </c>
      <c r="J480" s="0" t="n">
        <v>761</v>
      </c>
      <c r="K480" s="0" t="n">
        <v>6.016986462174938</v>
      </c>
    </row>
    <row r="481">
      <c r="A481" s="0" t="n">
        <v>126</v>
      </c>
      <c r="B481" s="0" t="inlineStr">
        <is>
          <t>Carson</t>
        </is>
      </c>
      <c r="C481" s="0" t="inlineStr">
        <is>
          <t>Town</t>
        </is>
      </c>
      <c r="D481" s="0" t="inlineStr">
        <is>
          <t>Win</t>
        </is>
      </c>
      <c r="E481" s="0" t="n">
        <v>66</v>
      </c>
      <c r="F481" s="0" t="n">
        <v>29.13831480059634</v>
      </c>
      <c r="G481" s="0" t="n">
        <v>30.03173140053183</v>
      </c>
      <c r="H481" s="0" t="n">
        <v>6.230084345875852</v>
      </c>
      <c r="I481" s="0" t="n">
        <v>1341</v>
      </c>
      <c r="J481" s="0" t="n">
        <v>1407</v>
      </c>
      <c r="K481" s="0" t="n">
        <v>6.274347715127344</v>
      </c>
    </row>
    <row r="482">
      <c r="A482" s="0" t="n">
        <v>126</v>
      </c>
      <c r="B482" s="0" t="inlineStr">
        <is>
          <t>Mintt</t>
        </is>
      </c>
      <c r="C482" s="0" t="inlineStr">
        <is>
          <t>Town</t>
        </is>
      </c>
      <c r="D482" s="0" t="inlineStr">
        <is>
          <t>Win</t>
        </is>
      </c>
      <c r="E482" s="0" t="n">
        <v>76</v>
      </c>
      <c r="F482" s="0" t="n">
        <v>31.0666459888301</v>
      </c>
      <c r="G482" s="0" t="n">
        <v>32.10681531832985</v>
      </c>
      <c r="H482" s="0" t="n">
        <v>6.714296191293177</v>
      </c>
      <c r="I482" s="0" t="n">
        <v>1422</v>
      </c>
      <c r="J482" s="0" t="n">
        <v>1498</v>
      </c>
      <c r="K482" s="0" t="n">
        <v>6.770198125631174</v>
      </c>
    </row>
    <row r="483">
      <c r="A483" s="0" t="n">
        <v>126</v>
      </c>
      <c r="B483" s="0" t="inlineStr">
        <is>
          <t>Ken</t>
        </is>
      </c>
      <c r="C483" s="0" t="inlineStr">
        <is>
          <t>Town</t>
        </is>
      </c>
      <c r="D483" s="0" t="inlineStr">
        <is>
          <t>Win</t>
        </is>
      </c>
      <c r="E483" s="0" t="n">
        <v>101</v>
      </c>
      <c r="F483" s="0" t="n">
        <v>21.46772720740897</v>
      </c>
      <c r="G483" s="0" t="n">
        <v>22.81702551953992</v>
      </c>
      <c r="H483" s="0" t="n">
        <v>7.627923221313721</v>
      </c>
      <c r="I483" s="0" t="n">
        <v>673</v>
      </c>
      <c r="J483" s="0" t="n">
        <v>774</v>
      </c>
      <c r="K483" s="0" t="n">
        <v>7.711062058690817</v>
      </c>
    </row>
    <row r="484">
      <c r="A484" s="0" t="n">
        <v>126</v>
      </c>
      <c r="B484" s="0" t="inlineStr">
        <is>
          <t>Iln</t>
        </is>
      </c>
      <c r="C484" s="0" t="inlineStr">
        <is>
          <t>Town</t>
        </is>
      </c>
      <c r="D484" s="0" t="inlineStr">
        <is>
          <t>Win</t>
        </is>
      </c>
      <c r="E484" s="0" t="n">
        <v>64</v>
      </c>
      <c r="F484" s="0" t="n">
        <v>26.17251657842706</v>
      </c>
      <c r="G484" s="0" t="n">
        <v>27.06087210828218</v>
      </c>
      <c r="H484" s="0" t="n">
        <v>6.21266849116974</v>
      </c>
      <c r="I484" s="0" t="n">
        <v>1142</v>
      </c>
      <c r="J484" s="0" t="n">
        <v>1206</v>
      </c>
      <c r="K484" s="0" t="n">
        <v>6.256546332064635</v>
      </c>
    </row>
    <row r="485">
      <c r="A485" s="0" t="n">
        <v>126</v>
      </c>
      <c r="B485" s="0" t="inlineStr">
        <is>
          <t>Lou</t>
        </is>
      </c>
      <c r="C485" s="0" t="inlineStr">
        <is>
          <t>Town</t>
        </is>
      </c>
      <c r="D485" s="0" t="inlineStr">
        <is>
          <t>Win</t>
        </is>
      </c>
      <c r="E485" s="0" t="n">
        <v>66</v>
      </c>
      <c r="F485" s="0" t="n">
        <v>25.97859275397283</v>
      </c>
      <c r="G485" s="0" t="n">
        <v>26.87667989737226</v>
      </c>
      <c r="H485" s="0" t="n">
        <v>6.246110690974501</v>
      </c>
      <c r="I485" s="0" t="n">
        <v>1125</v>
      </c>
      <c r="J485" s="0" t="n">
        <v>1191</v>
      </c>
      <c r="K485" s="0" t="n">
        <v>6.29073079935113</v>
      </c>
    </row>
    <row r="486">
      <c r="A486" s="0" t="n">
        <v>126</v>
      </c>
      <c r="B486" s="0" t="inlineStr">
        <is>
          <t>TCP</t>
        </is>
      </c>
      <c r="C486" s="0" t="inlineStr">
        <is>
          <t>Town</t>
        </is>
      </c>
      <c r="D486" s="0" t="inlineStr">
        <is>
          <t>Win</t>
        </is>
      </c>
      <c r="E486" s="0" t="n">
        <v>105</v>
      </c>
      <c r="F486" s="0" t="n">
        <v>22.96184588621984</v>
      </c>
      <c r="G486" s="0" t="n">
        <v>24.37668460190935</v>
      </c>
      <c r="H486" s="0" t="n">
        <v>7.806793249928619</v>
      </c>
      <c r="I486" s="0" t="n">
        <v>756</v>
      </c>
      <c r="J486" s="0" t="n">
        <v>861</v>
      </c>
      <c r="K486" s="0" t="n">
        <v>7.896149624157716</v>
      </c>
    </row>
    <row r="487">
      <c r="A487" s="0" t="n">
        <v>126</v>
      </c>
      <c r="B487" s="0" t="inlineStr">
        <is>
          <t>Gilbert</t>
        </is>
      </c>
      <c r="C487" s="0" t="inlineStr">
        <is>
          <t>Town</t>
        </is>
      </c>
      <c r="D487" s="0" t="inlineStr">
        <is>
          <t>Win</t>
        </is>
      </c>
      <c r="E487" s="0" t="n">
        <v>88</v>
      </c>
      <c r="F487" s="0" t="n">
        <v>22.75441443749588</v>
      </c>
      <c r="G487" s="0" t="n">
        <v>23.93544165105964</v>
      </c>
      <c r="H487" s="0" t="n">
        <v>7.146273612901227</v>
      </c>
      <c r="I487" s="0" t="n">
        <v>811</v>
      </c>
      <c r="J487" s="0" t="n">
        <v>899</v>
      </c>
      <c r="K487" s="0" t="n">
        <v>7.214146524560887</v>
      </c>
    </row>
    <row r="488">
      <c r="A488" s="0" t="n">
        <v>126</v>
      </c>
      <c r="B488" s="0" t="inlineStr">
        <is>
          <t>Brownkow</t>
        </is>
      </c>
      <c r="C488" s="0" t="inlineStr">
        <is>
          <t>Town</t>
        </is>
      </c>
      <c r="D488" s="0" t="inlineStr">
        <is>
          <t>Win</t>
        </is>
      </c>
      <c r="E488" s="0" t="n">
        <v>61</v>
      </c>
      <c r="F488" s="0" t="n">
        <v>30.63471205807394</v>
      </c>
      <c r="G488" s="0" t="n">
        <v>31.47022323464696</v>
      </c>
      <c r="H488" s="0" t="n">
        <v>6.027639582237676</v>
      </c>
      <c r="I488" s="0" t="n">
        <v>1464</v>
      </c>
      <c r="J488" s="0" t="n">
        <v>1525</v>
      </c>
      <c r="K488" s="0" t="n">
        <v>6.067557256856497</v>
      </c>
    </row>
    <row r="489">
      <c r="A489" s="0" t="n">
        <v>125</v>
      </c>
      <c r="B489" s="0" t="inlineStr">
        <is>
          <t>Lofty</t>
        </is>
      </c>
      <c r="C489" s="0" t="inlineStr">
        <is>
          <t>Mafia</t>
        </is>
      </c>
      <c r="D489" s="0" t="inlineStr">
        <is>
          <t>Win</t>
        </is>
      </c>
      <c r="E489" s="0" t="n">
        <v>69</v>
      </c>
      <c r="F489" s="0" t="n">
        <v>22.07003703933147</v>
      </c>
      <c r="G489" s="0" t="n">
        <v>22.99425829926866</v>
      </c>
      <c r="H489" s="0" t="n">
        <v>7.531599405447444</v>
      </c>
      <c r="I489" s="0" t="n">
        <v>726</v>
      </c>
      <c r="J489" s="0" t="n">
        <v>795</v>
      </c>
      <c r="K489" s="0" t="n">
        <v>7.597540574898539</v>
      </c>
    </row>
    <row r="490">
      <c r="A490" s="0" t="n">
        <v>125</v>
      </c>
      <c r="B490" s="0" t="inlineStr">
        <is>
          <t>Carson</t>
        </is>
      </c>
      <c r="C490" s="0" t="inlineStr">
        <is>
          <t>Mafia</t>
        </is>
      </c>
      <c r="D490" s="0" t="inlineStr">
        <is>
          <t>Win</t>
        </is>
      </c>
      <c r="E490" s="0" t="n">
        <v>47</v>
      </c>
      <c r="F490" s="0" t="n">
        <v>28.50041080240702</v>
      </c>
      <c r="G490" s="0" t="n">
        <v>29.13831480059634</v>
      </c>
      <c r="H490" s="0" t="n">
        <v>6.274347715127344</v>
      </c>
      <c r="I490" s="0" t="n">
        <v>1294</v>
      </c>
      <c r="J490" s="0" t="n">
        <v>1341</v>
      </c>
      <c r="K490" s="0" t="n">
        <v>6.311692428745915</v>
      </c>
    </row>
    <row r="491">
      <c r="A491" s="0" t="n">
        <v>125</v>
      </c>
      <c r="B491" s="0" t="inlineStr">
        <is>
          <t>Rick</t>
        </is>
      </c>
      <c r="C491" s="0" t="inlineStr">
        <is>
          <t>Mafia</t>
        </is>
      </c>
      <c r="D491" s="0" t="inlineStr">
        <is>
          <t>Win</t>
        </is>
      </c>
      <c r="E491" s="0" t="n">
        <v>67</v>
      </c>
      <c r="F491" s="0" t="n">
        <v>27.23445074184692</v>
      </c>
      <c r="G491" s="0" t="n">
        <v>28.1231029995436</v>
      </c>
      <c r="H491" s="0" t="n">
        <v>7.387773263316832</v>
      </c>
      <c r="I491" s="0" t="n">
        <v>1092</v>
      </c>
      <c r="J491" s="0" t="n">
        <v>1159</v>
      </c>
      <c r="K491" s="0" t="n">
        <v>7.449883295746453</v>
      </c>
    </row>
    <row r="492">
      <c r="A492" s="0" t="n">
        <v>125</v>
      </c>
      <c r="B492" s="0" t="inlineStr">
        <is>
          <t>Chelsea</t>
        </is>
      </c>
      <c r="C492" s="0" t="inlineStr">
        <is>
          <t>Town</t>
        </is>
      </c>
      <c r="D492" s="0" t="inlineStr">
        <is>
          <t>Loss</t>
        </is>
      </c>
      <c r="E492" s="0" t="n">
        <v>-63</v>
      </c>
      <c r="F492" s="0" t="n">
        <v>20.65981602535518</v>
      </c>
      <c r="G492" s="0" t="n">
        <v>19.61839665577352</v>
      </c>
      <c r="H492" s="0" t="n">
        <v>7.985872571394657</v>
      </c>
      <c r="I492" s="0" t="n">
        <v>582</v>
      </c>
      <c r="J492" s="0" t="n">
        <v>519</v>
      </c>
      <c r="K492" s="0" t="n">
        <v>8.064957996977299</v>
      </c>
    </row>
    <row r="493">
      <c r="A493" s="0" t="n">
        <v>125</v>
      </c>
      <c r="B493" s="0" t="inlineStr">
        <is>
          <t>Noah</t>
        </is>
      </c>
      <c r="C493" s="0" t="inlineStr">
        <is>
          <t>Town</t>
        </is>
      </c>
      <c r="D493" s="0" t="inlineStr">
        <is>
          <t>Loss</t>
        </is>
      </c>
      <c r="E493" s="0" t="n">
        <v>-38</v>
      </c>
      <c r="F493" s="0" t="n">
        <v>30.68189315589484</v>
      </c>
      <c r="G493" s="0" t="n">
        <v>30.05750233761042</v>
      </c>
      <c r="H493" s="0" t="n">
        <v>6.208336626649898</v>
      </c>
      <c r="I493" s="0" t="n">
        <v>1449</v>
      </c>
      <c r="J493" s="0" t="n">
        <v>1411</v>
      </c>
      <c r="K493" s="0" t="n">
        <v>6.244465056200847</v>
      </c>
    </row>
    <row r="494">
      <c r="A494" s="0" t="n">
        <v>125</v>
      </c>
      <c r="B494" s="0" t="inlineStr">
        <is>
          <t>Smit</t>
        </is>
      </c>
      <c r="C494" s="0" t="inlineStr">
        <is>
          <t>Town</t>
        </is>
      </c>
      <c r="D494" s="0" t="inlineStr">
        <is>
          <t>Loss</t>
        </is>
      </c>
      <c r="E494" s="0" t="n">
        <v>-39</v>
      </c>
      <c r="F494" s="0" t="n">
        <v>24.84813441881743</v>
      </c>
      <c r="G494" s="0" t="n">
        <v>24.22719394816938</v>
      </c>
      <c r="H494" s="0" t="n">
        <v>6.191363513975672</v>
      </c>
      <c r="I494" s="0" t="n">
        <v>1055</v>
      </c>
      <c r="J494" s="0" t="n">
        <v>1016</v>
      </c>
      <c r="K494" s="0" t="n">
        <v>6.22718344120668</v>
      </c>
    </row>
    <row r="495">
      <c r="A495" s="0" t="n">
        <v>125</v>
      </c>
      <c r="B495" s="0" t="inlineStr">
        <is>
          <t>Rocker</t>
        </is>
      </c>
      <c r="C495" s="0" t="inlineStr">
        <is>
          <t>Town</t>
        </is>
      </c>
      <c r="D495" s="0" t="inlineStr">
        <is>
          <t>Loss</t>
        </is>
      </c>
      <c r="E495" s="0" t="n">
        <v>-37</v>
      </c>
      <c r="F495" s="0" t="n">
        <v>29.86946587432529</v>
      </c>
      <c r="G495" s="0" t="n">
        <v>29.28651155478662</v>
      </c>
      <c r="H495" s="0" t="n">
        <v>6.001172963870503</v>
      </c>
      <c r="I495" s="0" t="n">
        <v>1416</v>
      </c>
      <c r="J495" s="0" t="n">
        <v>1379</v>
      </c>
      <c r="K495" s="0" t="n">
        <v>6.033652438880202</v>
      </c>
    </row>
    <row r="496">
      <c r="A496" s="0" t="n">
        <v>125</v>
      </c>
      <c r="B496" s="0" t="inlineStr">
        <is>
          <t>Whyin</t>
        </is>
      </c>
      <c r="C496" s="0" t="inlineStr">
        <is>
          <t>Town</t>
        </is>
      </c>
      <c r="D496" s="0" t="inlineStr">
        <is>
          <t>Loss</t>
        </is>
      </c>
      <c r="E496" s="0" t="n">
        <v>-45</v>
      </c>
      <c r="F496" s="0" t="n">
        <v>25.55136863940394</v>
      </c>
      <c r="G496" s="0" t="n">
        <v>24.82596226086694</v>
      </c>
      <c r="H496" s="0" t="n">
        <v>6.685256952062897</v>
      </c>
      <c r="I496" s="0" t="n">
        <v>1051</v>
      </c>
      <c r="J496" s="0" t="n">
        <v>1006</v>
      </c>
      <c r="K496" s="0" t="n">
        <v>6.730780460256133</v>
      </c>
    </row>
    <row r="497">
      <c r="A497" s="0" t="n">
        <v>125</v>
      </c>
      <c r="B497" s="0" t="inlineStr">
        <is>
          <t>Chester</t>
        </is>
      </c>
      <c r="C497" s="0" t="inlineStr">
        <is>
          <t>Town</t>
        </is>
      </c>
      <c r="D497" s="0" t="inlineStr">
        <is>
          <t>Loss</t>
        </is>
      </c>
      <c r="E497" s="0" t="n">
        <v>-48</v>
      </c>
      <c r="F497" s="0" t="n">
        <v>30.65808726119445</v>
      </c>
      <c r="G497" s="0" t="n">
        <v>29.87389857523553</v>
      </c>
      <c r="H497" s="0" t="n">
        <v>6.946933958935318</v>
      </c>
      <c r="I497" s="0" t="n">
        <v>1371</v>
      </c>
      <c r="J497" s="0" t="n">
        <v>1323</v>
      </c>
      <c r="K497" s="0" t="n">
        <v>6.998236567670832</v>
      </c>
    </row>
    <row r="498">
      <c r="A498" s="0" t="n">
        <v>125</v>
      </c>
      <c r="B498" s="0" t="inlineStr">
        <is>
          <t>Strik3r</t>
        </is>
      </c>
      <c r="C498" s="0" t="inlineStr">
        <is>
          <t>Town</t>
        </is>
      </c>
      <c r="D498" s="0" t="inlineStr">
        <is>
          <t>Loss</t>
        </is>
      </c>
      <c r="E498" s="0" t="n">
        <v>-49</v>
      </c>
      <c r="F498" s="0" t="n">
        <v>25.55431249728289</v>
      </c>
      <c r="G498" s="0" t="n">
        <v>24.75830428278713</v>
      </c>
      <c r="H498" s="0" t="n">
        <v>6.998298398644551</v>
      </c>
      <c r="I498" s="0" t="n">
        <v>1019</v>
      </c>
      <c r="J498" s="0" t="n">
        <v>970</v>
      </c>
      <c r="K498" s="0" t="n">
        <v>7.050789779096637</v>
      </c>
    </row>
    <row r="499">
      <c r="A499" s="0" t="n">
        <v>125</v>
      </c>
      <c r="B499" s="0" t="inlineStr">
        <is>
          <t>Siggy</t>
        </is>
      </c>
      <c r="C499" s="0" t="inlineStr">
        <is>
          <t>Town</t>
        </is>
      </c>
      <c r="D499" s="0" t="inlineStr">
        <is>
          <t>Loss</t>
        </is>
      </c>
      <c r="E499" s="0" t="n">
        <v>-62</v>
      </c>
      <c r="F499" s="0" t="n">
        <v>27.52518932848987</v>
      </c>
      <c r="G499" s="0" t="n">
        <v>26.49443068954884</v>
      </c>
      <c r="H499" s="0" t="n">
        <v>7.945708554121977</v>
      </c>
      <c r="I499" s="0" t="n">
        <v>1053</v>
      </c>
      <c r="J499" s="0" t="n">
        <v>991</v>
      </c>
      <c r="K499" s="0" t="n">
        <v>8.023566026602413</v>
      </c>
    </row>
    <row r="500">
      <c r="A500" s="0" t="n">
        <v>125</v>
      </c>
      <c r="B500" s="0" t="inlineStr">
        <is>
          <t>Plen</t>
        </is>
      </c>
      <c r="C500" s="0" t="inlineStr">
        <is>
          <t>Town</t>
        </is>
      </c>
      <c r="D500" s="0" t="inlineStr">
        <is>
          <t>Loss</t>
        </is>
      </c>
      <c r="E500" s="0" t="n">
        <v>-37</v>
      </c>
      <c r="F500" s="0" t="n">
        <v>19.92295678007426</v>
      </c>
      <c r="G500" s="0" t="n">
        <v>19.33689134865082</v>
      </c>
      <c r="H500" s="0" t="n">
        <v>6.016986462174938</v>
      </c>
      <c r="I500" s="0" t="n">
        <v>738</v>
      </c>
      <c r="J500" s="0" t="n">
        <v>701</v>
      </c>
      <c r="K500" s="0" t="n">
        <v>6.049735630633998</v>
      </c>
    </row>
    <row r="501">
      <c r="A501" s="0" t="n">
        <v>125</v>
      </c>
      <c r="B501" s="0" t="inlineStr">
        <is>
          <t>Crispy</t>
        </is>
      </c>
      <c r="C501" s="0" t="inlineStr">
        <is>
          <t>Town</t>
        </is>
      </c>
      <c r="D501" s="0" t="inlineStr">
        <is>
          <t>Loss</t>
        </is>
      </c>
      <c r="E501" s="0" t="n">
        <v>-64</v>
      </c>
      <c r="F501" s="0" t="n">
        <v>27.20358376954072</v>
      </c>
      <c r="G501" s="0" t="n">
        <v>26.13379175641969</v>
      </c>
      <c r="H501" s="0" t="n">
        <v>8.091713760613784</v>
      </c>
      <c r="I501" s="0" t="n">
        <v>1016</v>
      </c>
      <c r="J501" s="0" t="n">
        <v>952</v>
      </c>
      <c r="K501" s="0" t="n">
        <v>8.174098098465052</v>
      </c>
    </row>
    <row r="502">
      <c r="A502" s="0" t="n">
        <v>124</v>
      </c>
      <c r="B502" s="0" t="inlineStr">
        <is>
          <t>Decode</t>
        </is>
      </c>
      <c r="C502" s="0" t="inlineStr">
        <is>
          <t>Mafia</t>
        </is>
      </c>
      <c r="D502" s="0" t="inlineStr">
        <is>
          <t>Loss</t>
        </is>
      </c>
      <c r="E502" s="0" t="n">
        <v>-87</v>
      </c>
      <c r="F502" s="0" t="n">
        <v>20.35569811435574</v>
      </c>
      <c r="G502" s="0" t="n">
        <v>18.95427132606613</v>
      </c>
      <c r="H502" s="0" t="n">
        <v>7.707084509948755</v>
      </c>
      <c r="I502" s="0" t="n">
        <v>590</v>
      </c>
      <c r="J502" s="0" t="n">
        <v>503</v>
      </c>
      <c r="K502" s="0" t="n">
        <v>7.790332672947926</v>
      </c>
    </row>
    <row r="503">
      <c r="A503" s="0" t="n">
        <v>124</v>
      </c>
      <c r="B503" s="0" t="inlineStr">
        <is>
          <t>Smit</t>
        </is>
      </c>
      <c r="C503" s="0" t="inlineStr">
        <is>
          <t>Mafia</t>
        </is>
      </c>
      <c r="D503" s="0" t="inlineStr">
        <is>
          <t>Loss</t>
        </is>
      </c>
      <c r="E503" s="0" t="n">
        <v>-57</v>
      </c>
      <c r="F503" s="0" t="n">
        <v>25.75603595739148</v>
      </c>
      <c r="G503" s="0" t="n">
        <v>24.84813441881743</v>
      </c>
      <c r="H503" s="0" t="n">
        <v>6.22718344120668</v>
      </c>
      <c r="I503" s="0" t="n">
        <v>1112</v>
      </c>
      <c r="J503" s="0" t="n">
        <v>1055</v>
      </c>
      <c r="K503" s="0" t="n">
        <v>6.270045926694094</v>
      </c>
    </row>
    <row r="504">
      <c r="A504" s="0" t="n">
        <v>124</v>
      </c>
      <c r="B504" s="0" t="inlineStr">
        <is>
          <t>Laur</t>
        </is>
      </c>
      <c r="C504" s="0" t="inlineStr">
        <is>
          <t>Mafia</t>
        </is>
      </c>
      <c r="D504" s="0" t="inlineStr">
        <is>
          <t>Loss</t>
        </is>
      </c>
      <c r="E504" s="0" t="n">
        <v>-60</v>
      </c>
      <c r="F504" s="0" t="n">
        <v>29.51267468656713</v>
      </c>
      <c r="G504" s="0" t="n">
        <v>28.55013332022643</v>
      </c>
      <c r="H504" s="0" t="n">
        <v>6.409114254620812</v>
      </c>
      <c r="I504" s="0" t="n">
        <v>1348</v>
      </c>
      <c r="J504" s="0" t="n">
        <v>1288</v>
      </c>
      <c r="K504" s="0" t="n">
        <v>6.456009827538238</v>
      </c>
    </row>
    <row r="505">
      <c r="A505" s="0" t="n">
        <v>124</v>
      </c>
      <c r="B505" s="0" t="inlineStr">
        <is>
          <t>Iln</t>
        </is>
      </c>
      <c r="C505" s="0" t="inlineStr">
        <is>
          <t>Town</t>
        </is>
      </c>
      <c r="D505" s="0" t="inlineStr">
        <is>
          <t>Win</t>
        </is>
      </c>
      <c r="E505" s="0" t="n">
        <v>67</v>
      </c>
      <c r="F505" s="0" t="n">
        <v>25.25590916085691</v>
      </c>
      <c r="G505" s="0" t="n">
        <v>26.17251657842706</v>
      </c>
      <c r="H505" s="0" t="n">
        <v>6.256546332064635</v>
      </c>
      <c r="I505" s="0" t="n">
        <v>1075</v>
      </c>
      <c r="J505" s="0" t="n">
        <v>1142</v>
      </c>
      <c r="K505" s="0" t="n">
        <v>6.300043588428309</v>
      </c>
    </row>
    <row r="506">
      <c r="A506" s="0" t="n">
        <v>124</v>
      </c>
      <c r="B506" s="0" t="inlineStr">
        <is>
          <t>TCP</t>
        </is>
      </c>
      <c r="C506" s="0" t="inlineStr">
        <is>
          <t>Town</t>
        </is>
      </c>
      <c r="D506" s="0" t="inlineStr">
        <is>
          <t>Win</t>
        </is>
      </c>
      <c r="E506" s="0" t="n">
        <v>109</v>
      </c>
      <c r="F506" s="0" t="n">
        <v>21.48917942023028</v>
      </c>
      <c r="G506" s="0" t="n">
        <v>22.96184588621984</v>
      </c>
      <c r="H506" s="0" t="n">
        <v>7.896149624157716</v>
      </c>
      <c r="I506" s="0" t="n">
        <v>647</v>
      </c>
      <c r="J506" s="0" t="n">
        <v>756</v>
      </c>
      <c r="K506" s="0" t="n">
        <v>7.985915786731519</v>
      </c>
    </row>
    <row r="507">
      <c r="A507" s="0" t="n">
        <v>124</v>
      </c>
      <c r="B507" s="0" t="inlineStr">
        <is>
          <t>Snazz</t>
        </is>
      </c>
      <c r="C507" s="0" t="inlineStr">
        <is>
          <t>Town</t>
        </is>
      </c>
      <c r="D507" s="0" t="inlineStr">
        <is>
          <t>Win</t>
        </is>
      </c>
      <c r="E507" s="0" t="n">
        <v>100</v>
      </c>
      <c r="F507" s="0" t="n">
        <v>25.55786779472388</v>
      </c>
      <c r="G507" s="0" t="n">
        <v>26.9111005954119</v>
      </c>
      <c r="H507" s="0" t="n">
        <v>7.576254585201926</v>
      </c>
      <c r="I507" s="0" t="n">
        <v>957</v>
      </c>
      <c r="J507" s="0" t="n">
        <v>1057</v>
      </c>
      <c r="K507" s="0" t="n">
        <v>7.655186579680628</v>
      </c>
    </row>
    <row r="508">
      <c r="A508" s="0" t="n">
        <v>124</v>
      </c>
      <c r="B508" s="0" t="inlineStr">
        <is>
          <t>Chester</t>
        </is>
      </c>
      <c r="C508" s="0" t="inlineStr">
        <is>
          <t>Town</t>
        </is>
      </c>
      <c r="D508" s="0" t="inlineStr">
        <is>
          <t>Win</t>
        </is>
      </c>
      <c r="E508" s="0" t="n">
        <v>85</v>
      </c>
      <c r="F508" s="0" t="n">
        <v>29.5070960069257</v>
      </c>
      <c r="G508" s="0" t="n">
        <v>30.65808726119445</v>
      </c>
      <c r="H508" s="0" t="n">
        <v>6.998236567670832</v>
      </c>
      <c r="I508" s="0" t="n">
        <v>1286</v>
      </c>
      <c r="J508" s="0" t="n">
        <v>1371</v>
      </c>
      <c r="K508" s="0" t="n">
        <v>7.059907697640112</v>
      </c>
    </row>
    <row r="509">
      <c r="A509" s="0" t="n">
        <v>124</v>
      </c>
      <c r="B509" s="0" t="inlineStr">
        <is>
          <t>Lou</t>
        </is>
      </c>
      <c r="C509" s="0" t="inlineStr">
        <is>
          <t>Town</t>
        </is>
      </c>
      <c r="D509" s="0" t="inlineStr">
        <is>
          <t>Win</t>
        </is>
      </c>
      <c r="E509" s="0" t="n">
        <v>68</v>
      </c>
      <c r="F509" s="0" t="n">
        <v>25.05179527488282</v>
      </c>
      <c r="G509" s="0" t="n">
        <v>25.97859275397283</v>
      </c>
      <c r="H509" s="0" t="n">
        <v>6.29073079935113</v>
      </c>
      <c r="I509" s="0" t="n">
        <v>1057</v>
      </c>
      <c r="J509" s="0" t="n">
        <v>1125</v>
      </c>
      <c r="K509" s="0" t="n">
        <v>6.334974834158686</v>
      </c>
    </row>
    <row r="510">
      <c r="A510" s="0" t="n">
        <v>124</v>
      </c>
      <c r="B510" s="0" t="inlineStr">
        <is>
          <t>Gilbert</t>
        </is>
      </c>
      <c r="C510" s="0" t="inlineStr">
        <is>
          <t>Town</t>
        </is>
      </c>
      <c r="D510" s="0" t="inlineStr">
        <is>
          <t>Win</t>
        </is>
      </c>
      <c r="E510" s="0" t="n">
        <v>90</v>
      </c>
      <c r="F510" s="0" t="n">
        <v>21.5299062055873</v>
      </c>
      <c r="G510" s="0" t="n">
        <v>22.75441443749588</v>
      </c>
      <c r="H510" s="0" t="n">
        <v>7.214146524560887</v>
      </c>
      <c r="I510" s="0" t="n">
        <v>721</v>
      </c>
      <c r="J510" s="0" t="n">
        <v>811</v>
      </c>
      <c r="K510" s="0" t="n">
        <v>7.281929691137253</v>
      </c>
    </row>
    <row r="511">
      <c r="A511" s="0" t="n">
        <v>124</v>
      </c>
      <c r="B511" s="0" t="inlineStr">
        <is>
          <t>Ken</t>
        </is>
      </c>
      <c r="C511" s="0" t="inlineStr">
        <is>
          <t>Town</t>
        </is>
      </c>
      <c r="D511" s="0" t="inlineStr">
        <is>
          <t>Win</t>
        </is>
      </c>
      <c r="E511" s="0" t="n">
        <v>104</v>
      </c>
      <c r="F511" s="0" t="n">
        <v>20.06482110791743</v>
      </c>
      <c r="G511" s="0" t="n">
        <v>21.46772720740897</v>
      </c>
      <c r="H511" s="0" t="n">
        <v>7.711062058690817</v>
      </c>
      <c r="I511" s="0" t="n">
        <v>569</v>
      </c>
      <c r="J511" s="0" t="n">
        <v>673</v>
      </c>
      <c r="K511" s="0" t="n">
        <v>7.794443906155801</v>
      </c>
    </row>
    <row r="512">
      <c r="A512" s="0" t="n">
        <v>124</v>
      </c>
      <c r="B512" s="0" t="inlineStr">
        <is>
          <t>Cyclone</t>
        </is>
      </c>
      <c r="C512" s="0" t="inlineStr">
        <is>
          <t>Town</t>
        </is>
      </c>
      <c r="D512" s="0" t="inlineStr">
        <is>
          <t>Win</t>
        </is>
      </c>
      <c r="E512" s="0" t="n">
        <v>108</v>
      </c>
      <c r="F512" s="0" t="n">
        <v>24.01869577036683</v>
      </c>
      <c r="G512" s="0" t="n">
        <v>25.48082493296115</v>
      </c>
      <c r="H512" s="0" t="n">
        <v>7.868497552816584</v>
      </c>
      <c r="I512" s="0" t="n">
        <v>822</v>
      </c>
      <c r="J512" s="0" t="n">
        <v>930</v>
      </c>
      <c r="K512" s="0" t="n">
        <v>7.957289369460745</v>
      </c>
    </row>
    <row r="513">
      <c r="A513" s="0" t="n">
        <v>124</v>
      </c>
      <c r="B513" s="0" t="inlineStr">
        <is>
          <t>Chipper</t>
        </is>
      </c>
      <c r="C513" s="0" t="inlineStr">
        <is>
          <t>Town</t>
        </is>
      </c>
      <c r="D513" s="0" t="inlineStr">
        <is>
          <t>Win</t>
        </is>
      </c>
      <c r="E513" s="0" t="n">
        <v>77</v>
      </c>
      <c r="F513" s="0" t="n">
        <v>21.98016529287177</v>
      </c>
      <c r="G513" s="0" t="n">
        <v>23.02264960727245</v>
      </c>
      <c r="H513" s="0" t="n">
        <v>6.665820730994365</v>
      </c>
      <c r="I513" s="0" t="n">
        <v>809</v>
      </c>
      <c r="J513" s="0" t="n">
        <v>886</v>
      </c>
      <c r="K513" s="0" t="n">
        <v>6.718823631972913</v>
      </c>
    </row>
    <row r="514">
      <c r="A514" s="0" t="n">
        <v>124</v>
      </c>
      <c r="B514" s="0" t="inlineStr">
        <is>
          <t>Mintt</t>
        </is>
      </c>
      <c r="C514" s="0" t="inlineStr">
        <is>
          <t>Town</t>
        </is>
      </c>
      <c r="D514" s="0" t="inlineStr">
        <is>
          <t>Win</t>
        </is>
      </c>
      <c r="E514" s="0" t="n">
        <v>79</v>
      </c>
      <c r="F514" s="0" t="n">
        <v>29.99069919660869</v>
      </c>
      <c r="G514" s="0" t="n">
        <v>31.0666459888301</v>
      </c>
      <c r="H514" s="0" t="n">
        <v>6.770198125631174</v>
      </c>
      <c r="I514" s="0" t="n">
        <v>1343</v>
      </c>
      <c r="J514" s="0" t="n">
        <v>1422</v>
      </c>
      <c r="K514" s="0" t="n">
        <v>6.82582846394901</v>
      </c>
    </row>
    <row r="515">
      <c r="A515" s="0" t="n">
        <v>123</v>
      </c>
      <c r="B515" s="0" t="inlineStr">
        <is>
          <t>Badpants</t>
        </is>
      </c>
      <c r="C515" s="0" t="inlineStr">
        <is>
          <t>Mafia</t>
        </is>
      </c>
      <c r="D515" s="0" t="inlineStr">
        <is>
          <t>Win</t>
        </is>
      </c>
      <c r="E515" s="0" t="n">
        <v>59</v>
      </c>
      <c r="F515" s="0" t="n">
        <v>23.50486269490743</v>
      </c>
      <c r="G515" s="0" t="n">
        <v>24.31222821325191</v>
      </c>
      <c r="H515" s="0" t="n">
        <v>6.213235576164579</v>
      </c>
      <c r="I515" s="0" t="n">
        <v>960</v>
      </c>
      <c r="J515" s="0" t="n">
        <v>1019</v>
      </c>
      <c r="K515" s="0" t="n">
        <v>6.253757676015535</v>
      </c>
    </row>
    <row r="516">
      <c r="A516" s="0" t="n">
        <v>123</v>
      </c>
      <c r="B516" s="0" t="inlineStr">
        <is>
          <t>Aipha</t>
        </is>
      </c>
      <c r="C516" s="0" t="inlineStr">
        <is>
          <t>Mafia</t>
        </is>
      </c>
      <c r="D516" s="0" t="inlineStr">
        <is>
          <t>Win</t>
        </is>
      </c>
      <c r="E516" s="0" t="n">
        <v>80</v>
      </c>
      <c r="F516" s="0" t="n">
        <v>18.39216833023126</v>
      </c>
      <c r="G516" s="0" t="n">
        <v>19.47282512128482</v>
      </c>
      <c r="H516" s="0" t="n">
        <v>7.172052450778148</v>
      </c>
      <c r="I516" s="0" t="n">
        <v>513</v>
      </c>
      <c r="J516" s="0" t="n">
        <v>593</v>
      </c>
      <c r="K516" s="0" t="n">
        <v>7.235422311681703</v>
      </c>
    </row>
    <row r="517">
      <c r="A517" s="0" t="n">
        <v>123</v>
      </c>
      <c r="B517" s="0" t="inlineStr">
        <is>
          <t>Chester</t>
        </is>
      </c>
      <c r="C517" s="0" t="inlineStr">
        <is>
          <t>Mafia</t>
        </is>
      </c>
      <c r="D517" s="0" t="inlineStr">
        <is>
          <t>Win</t>
        </is>
      </c>
      <c r="E517" s="0" t="n">
        <v>77</v>
      </c>
      <c r="F517" s="0" t="n">
        <v>28.4605630414651</v>
      </c>
      <c r="G517" s="0" t="n">
        <v>29.5070960069257</v>
      </c>
      <c r="H517" s="0" t="n">
        <v>7.059907697640112</v>
      </c>
      <c r="I517" s="0" t="n">
        <v>1209</v>
      </c>
      <c r="J517" s="0" t="n">
        <v>1286</v>
      </c>
      <c r="K517" s="0" t="n">
        <v>7.120247587072964</v>
      </c>
    </row>
    <row r="518">
      <c r="A518" s="0" t="n">
        <v>123</v>
      </c>
      <c r="B518" s="0" t="inlineStr">
        <is>
          <t>Gilbert</t>
        </is>
      </c>
      <c r="C518" s="0" t="inlineStr">
        <is>
          <t>Town</t>
        </is>
      </c>
      <c r="D518" s="0" t="inlineStr">
        <is>
          <t>Loss</t>
        </is>
      </c>
      <c r="E518" s="0" t="n">
        <v>-69</v>
      </c>
      <c r="F518" s="0" t="n">
        <v>22.64455756152629</v>
      </c>
      <c r="G518" s="0" t="n">
        <v>21.5299062055873</v>
      </c>
      <c r="H518" s="0" t="n">
        <v>7.281929691137253</v>
      </c>
      <c r="I518" s="0" t="n">
        <v>790</v>
      </c>
      <c r="J518" s="0" t="n">
        <v>721</v>
      </c>
      <c r="K518" s="0" t="n">
        <v>7.348366026123382</v>
      </c>
    </row>
    <row r="519">
      <c r="A519" s="0" t="n">
        <v>123</v>
      </c>
      <c r="B519" s="0" t="inlineStr">
        <is>
          <t>TCP</t>
        </is>
      </c>
      <c r="C519" s="0" t="inlineStr">
        <is>
          <t>Town</t>
        </is>
      </c>
      <c r="D519" s="0" t="inlineStr">
        <is>
          <t>Loss</t>
        </is>
      </c>
      <c r="E519" s="0" t="n">
        <v>-82</v>
      </c>
      <c r="F519" s="0" t="n">
        <v>22.83493516590156</v>
      </c>
      <c r="G519" s="0" t="n">
        <v>21.48917942023028</v>
      </c>
      <c r="H519" s="0" t="n">
        <v>7.985915786731519</v>
      </c>
      <c r="I519" s="0" t="n">
        <v>729</v>
      </c>
      <c r="J519" s="0" t="n">
        <v>647</v>
      </c>
      <c r="K519" s="0" t="n">
        <v>8.074419021324879</v>
      </c>
    </row>
    <row r="520">
      <c r="A520" s="0" t="n">
        <v>123</v>
      </c>
      <c r="B520" s="0" t="inlineStr">
        <is>
          <t>Carson</t>
        </is>
      </c>
      <c r="C520" s="0" t="inlineStr">
        <is>
          <t>Town</t>
        </is>
      </c>
      <c r="D520" s="0" t="inlineStr">
        <is>
          <t>Loss</t>
        </is>
      </c>
      <c r="E520" s="0" t="n">
        <v>-53</v>
      </c>
      <c r="F520" s="0" t="n">
        <v>29.33392687475177</v>
      </c>
      <c r="G520" s="0" t="n">
        <v>28.50041080240702</v>
      </c>
      <c r="H520" s="0" t="n">
        <v>6.311692428745915</v>
      </c>
      <c r="I520" s="0" t="n">
        <v>1347</v>
      </c>
      <c r="J520" s="0" t="n">
        <v>1294</v>
      </c>
      <c r="K520" s="0" t="n">
        <v>6.354255617947877</v>
      </c>
    </row>
    <row r="521">
      <c r="A521" s="0" t="n">
        <v>123</v>
      </c>
      <c r="B521" s="0" t="inlineStr">
        <is>
          <t>Lou</t>
        </is>
      </c>
      <c r="C521" s="0" t="inlineStr">
        <is>
          <t>Town</t>
        </is>
      </c>
      <c r="D521" s="0" t="inlineStr">
        <is>
          <t>Loss</t>
        </is>
      </c>
      <c r="E521" s="0" t="n">
        <v>-53</v>
      </c>
      <c r="F521" s="0" t="n">
        <v>25.89155875041379</v>
      </c>
      <c r="G521" s="0" t="n">
        <v>25.05179527488282</v>
      </c>
      <c r="H521" s="0" t="n">
        <v>6.334974834158686</v>
      </c>
      <c r="I521" s="0" t="n">
        <v>1110</v>
      </c>
      <c r="J521" s="0" t="n">
        <v>1057</v>
      </c>
      <c r="K521" s="0" t="n">
        <v>6.378030374679946</v>
      </c>
    </row>
    <row r="522">
      <c r="A522" s="0" t="n">
        <v>123</v>
      </c>
      <c r="B522" s="0" t="inlineStr">
        <is>
          <t>Decode</t>
        </is>
      </c>
      <c r="C522" s="0" t="inlineStr">
        <is>
          <t>Town</t>
        </is>
      </c>
      <c r="D522" s="0" t="inlineStr">
        <is>
          <t>Loss</t>
        </is>
      </c>
      <c r="E522" s="0" t="n">
        <v>-78</v>
      </c>
      <c r="F522" s="0" t="n">
        <v>21.63492382258195</v>
      </c>
      <c r="G522" s="0" t="n">
        <v>20.35569811435574</v>
      </c>
      <c r="H522" s="0" t="n">
        <v>7.790332672947926</v>
      </c>
      <c r="I522" s="0" t="n">
        <v>668</v>
      </c>
      <c r="J522" s="0" t="n">
        <v>590</v>
      </c>
      <c r="K522" s="0" t="n">
        <v>7.872270692078489</v>
      </c>
    </row>
    <row r="523">
      <c r="A523" s="0" t="n">
        <v>123</v>
      </c>
      <c r="B523" s="0" t="inlineStr">
        <is>
          <t>Laur</t>
        </is>
      </c>
      <c r="C523" s="0" t="inlineStr">
        <is>
          <t>Town</t>
        </is>
      </c>
      <c r="D523" s="0" t="inlineStr">
        <is>
          <t>Loss</t>
        </is>
      </c>
      <c r="E523" s="0" t="n">
        <v>-55</v>
      </c>
      <c r="F523" s="0" t="n">
        <v>30.38530784424242</v>
      </c>
      <c r="G523" s="0" t="n">
        <v>29.51267468656713</v>
      </c>
      <c r="H523" s="0" t="n">
        <v>6.456009827538238</v>
      </c>
      <c r="I523" s="0" t="n">
        <v>1403</v>
      </c>
      <c r="J523" s="0" t="n">
        <v>1348</v>
      </c>
      <c r="K523" s="0" t="n">
        <v>6.501685509058628</v>
      </c>
    </row>
    <row r="524">
      <c r="A524" s="0" t="n">
        <v>123</v>
      </c>
      <c r="B524" s="0" t="inlineStr">
        <is>
          <t>Snazz</t>
        </is>
      </c>
      <c r="C524" s="0" t="inlineStr">
        <is>
          <t>Town</t>
        </is>
      </c>
      <c r="D524" s="0" t="inlineStr">
        <is>
          <t>Loss</t>
        </is>
      </c>
      <c r="E524" s="0" t="n">
        <v>-76</v>
      </c>
      <c r="F524" s="0" t="n">
        <v>26.79217093231348</v>
      </c>
      <c r="G524" s="0" t="n">
        <v>25.55786779472388</v>
      </c>
      <c r="H524" s="0" t="n">
        <v>7.655186579680628</v>
      </c>
      <c r="I524" s="0" t="n">
        <v>1033</v>
      </c>
      <c r="J524" s="0" t="n">
        <v>957</v>
      </c>
      <c r="K524" s="0" t="n">
        <v>7.732787414978723</v>
      </c>
    </row>
    <row r="525">
      <c r="A525" s="0" t="n">
        <v>123</v>
      </c>
      <c r="B525" s="0" t="inlineStr">
        <is>
          <t>Chelsea</t>
        </is>
      </c>
      <c r="C525" s="0" t="inlineStr">
        <is>
          <t>Town</t>
        </is>
      </c>
      <c r="D525" s="0" t="inlineStr">
        <is>
          <t>Loss</t>
        </is>
      </c>
      <c r="E525" s="0" t="n">
        <v>-84</v>
      </c>
      <c r="F525" s="0" t="n">
        <v>22.03297086239246</v>
      </c>
      <c r="G525" s="0" t="n">
        <v>20.65981602535518</v>
      </c>
      <c r="H525" s="0" t="n">
        <v>8.064957996977299</v>
      </c>
      <c r="I525" s="0" t="n">
        <v>666</v>
      </c>
      <c r="J525" s="0" t="n">
        <v>582</v>
      </c>
      <c r="K525" s="0" t="n">
        <v>8.156213436128462</v>
      </c>
    </row>
    <row r="526">
      <c r="A526" s="0" t="n">
        <v>123</v>
      </c>
      <c r="B526" s="0" t="inlineStr">
        <is>
          <t>Smit</t>
        </is>
      </c>
      <c r="C526" s="0" t="inlineStr">
        <is>
          <t>Town</t>
        </is>
      </c>
      <c r="D526" s="0" t="inlineStr">
        <is>
          <t>Loss</t>
        </is>
      </c>
      <c r="E526" s="0" t="n">
        <v>-52</v>
      </c>
      <c r="F526" s="0" t="n">
        <v>26.57843757022166</v>
      </c>
      <c r="G526" s="0" t="n">
        <v>25.75603595739148</v>
      </c>
      <c r="H526" s="0" t="n">
        <v>6.270045926694094</v>
      </c>
      <c r="I526" s="0" t="n">
        <v>1164</v>
      </c>
      <c r="J526" s="0" t="n">
        <v>1112</v>
      </c>
      <c r="K526" s="0" t="n">
        <v>6.311737696419288</v>
      </c>
    </row>
    <row r="527">
      <c r="A527" s="0" t="n">
        <v>123</v>
      </c>
      <c r="B527" s="0" t="inlineStr">
        <is>
          <t>Happymeal</t>
        </is>
      </c>
      <c r="C527" s="0" t="inlineStr">
        <is>
          <t>Town</t>
        </is>
      </c>
      <c r="D527" s="0" t="inlineStr">
        <is>
          <t>Loss</t>
        </is>
      </c>
      <c r="E527" s="0" t="n">
        <v>-71</v>
      </c>
      <c r="F527" s="0" t="n">
        <v>22.52691090020113</v>
      </c>
      <c r="G527" s="0" t="n">
        <v>21.38605353107611</v>
      </c>
      <c r="H527" s="0" t="n">
        <v>7.365429381218733</v>
      </c>
      <c r="I527" s="0" t="n">
        <v>774</v>
      </c>
      <c r="J527" s="0" t="n">
        <v>703</v>
      </c>
      <c r="K527" s="0" t="n">
        <v>7.43426188802196</v>
      </c>
    </row>
    <row r="528">
      <c r="A528" s="0" t="n">
        <v>122</v>
      </c>
      <c r="B528" s="0" t="inlineStr">
        <is>
          <t>Whyin</t>
        </is>
      </c>
      <c r="C528" s="0" t="inlineStr">
        <is>
          <t>Mafia</t>
        </is>
      </c>
      <c r="D528" s="0" t="inlineStr">
        <is>
          <t>Loss</t>
        </is>
      </c>
      <c r="E528" s="0" t="n">
        <v>-86</v>
      </c>
      <c r="F528" s="0" t="n">
        <v>26.91294182144092</v>
      </c>
      <c r="G528" s="0" t="n">
        <v>25.55136863940394</v>
      </c>
      <c r="H528" s="0" t="n">
        <v>6.730780460256133</v>
      </c>
      <c r="I528" s="0" t="n">
        <v>1137</v>
      </c>
      <c r="J528" s="0" t="n">
        <v>1051</v>
      </c>
      <c r="K528" s="0" t="n">
        <v>6.790495004662312</v>
      </c>
    </row>
    <row r="529">
      <c r="A529" s="0" t="n">
        <v>122</v>
      </c>
      <c r="B529" s="0" t="inlineStr">
        <is>
          <t>Strik3r</t>
        </is>
      </c>
      <c r="C529" s="0" t="inlineStr">
        <is>
          <t>Mafia</t>
        </is>
      </c>
      <c r="D529" s="0" t="inlineStr">
        <is>
          <t>Loss</t>
        </is>
      </c>
      <c r="E529" s="0" t="n">
        <v>-94</v>
      </c>
      <c r="F529" s="0" t="n">
        <v>27.05111546508542</v>
      </c>
      <c r="G529" s="0" t="n">
        <v>25.55431249728289</v>
      </c>
      <c r="H529" s="0" t="n">
        <v>7.050789779096637</v>
      </c>
      <c r="I529" s="0" t="n">
        <v>1113</v>
      </c>
      <c r="J529" s="0" t="n">
        <v>1019</v>
      </c>
      <c r="K529" s="0" t="n">
        <v>7.119795374156596</v>
      </c>
    </row>
    <row r="530">
      <c r="A530" s="0" t="n">
        <v>122</v>
      </c>
      <c r="B530" s="0" t="inlineStr">
        <is>
          <t>TCP</t>
        </is>
      </c>
      <c r="C530" s="0" t="inlineStr">
        <is>
          <t>Mafia</t>
        </is>
      </c>
      <c r="D530" s="0" t="inlineStr">
        <is>
          <t>Loss</t>
        </is>
      </c>
      <c r="E530" s="0" t="n">
        <v>-124</v>
      </c>
      <c r="F530" s="0" t="n">
        <v>24.81045085352771</v>
      </c>
      <c r="G530" s="0" t="n">
        <v>22.83493516590156</v>
      </c>
      <c r="H530" s="0" t="n">
        <v>8.074419021324879</v>
      </c>
      <c r="I530" s="0" t="n">
        <v>853</v>
      </c>
      <c r="J530" s="0" t="n">
        <v>729</v>
      </c>
      <c r="K530" s="0" t="n">
        <v>8.179670619067005</v>
      </c>
    </row>
    <row r="531">
      <c r="A531" s="0" t="n">
        <v>122</v>
      </c>
      <c r="B531" s="0" t="inlineStr">
        <is>
          <t>Mintt</t>
        </is>
      </c>
      <c r="C531" s="0" t="inlineStr">
        <is>
          <t>Town</t>
        </is>
      </c>
      <c r="D531" s="0" t="inlineStr">
        <is>
          <t>Win</t>
        </is>
      </c>
      <c r="E531" s="0" t="n">
        <v>101</v>
      </c>
      <c r="F531" s="0" t="n">
        <v>28.58966728184113</v>
      </c>
      <c r="G531" s="0" t="n">
        <v>29.99069919660869</v>
      </c>
      <c r="H531" s="0" t="n">
        <v>6.82582846394901</v>
      </c>
      <c r="I531" s="0" t="n">
        <v>1242</v>
      </c>
      <c r="J531" s="0" t="n">
        <v>1343</v>
      </c>
      <c r="K531" s="0" t="n">
        <v>6.888208433511109</v>
      </c>
    </row>
    <row r="532">
      <c r="A532" s="0" t="n">
        <v>122</v>
      </c>
      <c r="B532" s="0" t="inlineStr">
        <is>
          <t>Iln</t>
        </is>
      </c>
      <c r="C532" s="0" t="inlineStr">
        <is>
          <t>Town</t>
        </is>
      </c>
      <c r="D532" s="0" t="inlineStr">
        <is>
          <t>Win</t>
        </is>
      </c>
      <c r="E532" s="0" t="n">
        <v>86</v>
      </c>
      <c r="F532" s="0" t="n">
        <v>24.06573103994564</v>
      </c>
      <c r="G532" s="0" t="n">
        <v>25.25590916085691</v>
      </c>
      <c r="H532" s="0" t="n">
        <v>6.300043588428309</v>
      </c>
      <c r="I532" s="0" t="n">
        <v>989</v>
      </c>
      <c r="J532" s="0" t="n">
        <v>1075</v>
      </c>
      <c r="K532" s="0" t="n">
        <v>6.348631783904936</v>
      </c>
    </row>
    <row r="533">
      <c r="A533" s="0" t="n">
        <v>122</v>
      </c>
      <c r="B533" s="0" t="inlineStr">
        <is>
          <t>Brownkow</t>
        </is>
      </c>
      <c r="C533" s="0" t="inlineStr">
        <is>
          <t>Town</t>
        </is>
      </c>
      <c r="D533" s="0" t="inlineStr">
        <is>
          <t>Win</t>
        </is>
      </c>
      <c r="E533" s="0" t="n">
        <v>79</v>
      </c>
      <c r="F533" s="0" t="n">
        <v>29.53202950659598</v>
      </c>
      <c r="G533" s="0" t="n">
        <v>30.63471205807394</v>
      </c>
      <c r="H533" s="0" t="n">
        <v>6.067557256856497</v>
      </c>
      <c r="I533" s="0" t="n">
        <v>1385</v>
      </c>
      <c r="J533" s="0" t="n">
        <v>1464</v>
      </c>
      <c r="K533" s="0" t="n">
        <v>6.110758691123506</v>
      </c>
    </row>
    <row r="534">
      <c r="A534" s="0" t="n">
        <v>122</v>
      </c>
      <c r="B534" s="0" t="inlineStr">
        <is>
          <t>Badpants</t>
        </is>
      </c>
      <c r="C534" s="0" t="inlineStr">
        <is>
          <t>Town</t>
        </is>
      </c>
      <c r="D534" s="0" t="inlineStr">
        <is>
          <t>Win</t>
        </is>
      </c>
      <c r="E534" s="0" t="n">
        <v>84</v>
      </c>
      <c r="F534" s="0" t="n">
        <v>22.3323829801648</v>
      </c>
      <c r="G534" s="0" t="n">
        <v>23.50486269490743</v>
      </c>
      <c r="H534" s="0" t="n">
        <v>6.253757676015535</v>
      </c>
      <c r="I534" s="0" t="n">
        <v>876</v>
      </c>
      <c r="J534" s="0" t="n">
        <v>960</v>
      </c>
      <c r="K534" s="0" t="n">
        <v>6.301239887011731</v>
      </c>
    </row>
    <row r="535">
      <c r="A535" s="0" t="n">
        <v>122</v>
      </c>
      <c r="B535" s="0" t="inlineStr">
        <is>
          <t>Chipper</t>
        </is>
      </c>
      <c r="C535" s="0" t="inlineStr">
        <is>
          <t>Town</t>
        </is>
      </c>
      <c r="D535" s="0" t="inlineStr">
        <is>
          <t>Win</t>
        </is>
      </c>
      <c r="E535" s="0" t="n">
        <v>98</v>
      </c>
      <c r="F535" s="0" t="n">
        <v>20.62351380234492</v>
      </c>
      <c r="G535" s="0" t="n">
        <v>21.98016529287177</v>
      </c>
      <c r="H535" s="0" t="n">
        <v>6.718823631972913</v>
      </c>
      <c r="I535" s="0" t="n">
        <v>711</v>
      </c>
      <c r="J535" s="0" t="n">
        <v>809</v>
      </c>
      <c r="K535" s="0" t="n">
        <v>6.778208394084513</v>
      </c>
    </row>
    <row r="536">
      <c r="A536" s="0" t="n">
        <v>122</v>
      </c>
      <c r="B536" s="0" t="inlineStr">
        <is>
          <t>Kden</t>
        </is>
      </c>
      <c r="C536" s="0" t="inlineStr">
        <is>
          <t>Town</t>
        </is>
      </c>
      <c r="D536" s="0" t="inlineStr">
        <is>
          <t>Win</t>
        </is>
      </c>
      <c r="E536" s="0" t="n">
        <v>93</v>
      </c>
      <c r="F536" s="0" t="n">
        <v>21.85489066982738</v>
      </c>
      <c r="G536" s="0" t="n">
        <v>23.13674958128242</v>
      </c>
      <c r="H536" s="0" t="n">
        <v>6.534228337294175</v>
      </c>
      <c r="I536" s="0" t="n">
        <v>814</v>
      </c>
      <c r="J536" s="0" t="n">
        <v>907</v>
      </c>
      <c r="K536" s="0" t="n">
        <v>6.588675591462836</v>
      </c>
    </row>
    <row r="537">
      <c r="A537" s="0" t="n">
        <v>122</v>
      </c>
      <c r="B537" s="0" t="inlineStr">
        <is>
          <t>Plen</t>
        </is>
      </c>
      <c r="C537" s="0" t="inlineStr">
        <is>
          <t>Town</t>
        </is>
      </c>
      <c r="D537" s="0" t="inlineStr">
        <is>
          <t>Win</t>
        </is>
      </c>
      <c r="E537" s="0" t="n">
        <v>79</v>
      </c>
      <c r="F537" s="0" t="n">
        <v>18.82683731880704</v>
      </c>
      <c r="G537" s="0" t="n">
        <v>19.92295678007426</v>
      </c>
      <c r="H537" s="0" t="n">
        <v>6.049735630633998</v>
      </c>
      <c r="I537" s="0" t="n">
        <v>659</v>
      </c>
      <c r="J537" s="0" t="n">
        <v>738</v>
      </c>
      <c r="K537" s="0" t="n">
        <v>6.092541259772625</v>
      </c>
    </row>
    <row r="538">
      <c r="A538" s="0" t="n">
        <v>122</v>
      </c>
      <c r="B538" s="0" t="inlineStr">
        <is>
          <t>Gilbert</t>
        </is>
      </c>
      <c r="C538" s="0" t="inlineStr">
        <is>
          <t>Town</t>
        </is>
      </c>
      <c r="D538" s="0" t="inlineStr">
        <is>
          <t>Win</t>
        </is>
      </c>
      <c r="E538" s="0" t="n">
        <v>118</v>
      </c>
      <c r="F538" s="0" t="n">
        <v>21.01589327427084</v>
      </c>
      <c r="G538" s="0" t="n">
        <v>22.64455756152629</v>
      </c>
      <c r="H538" s="0" t="n">
        <v>7.348366026123382</v>
      </c>
      <c r="I538" s="0" t="n">
        <v>672</v>
      </c>
      <c r="J538" s="0" t="n">
        <v>790</v>
      </c>
      <c r="K538" s="0" t="n">
        <v>7.426846520802465</v>
      </c>
    </row>
    <row r="539">
      <c r="A539" s="0" t="n">
        <v>122</v>
      </c>
      <c r="B539" s="0" t="inlineStr">
        <is>
          <t>Svaan</t>
        </is>
      </c>
      <c r="C539" s="0" t="inlineStr">
        <is>
          <t>Town</t>
        </is>
      </c>
      <c r="D539" s="0" t="inlineStr">
        <is>
          <t>Win</t>
        </is>
      </c>
      <c r="E539" s="0" t="n">
        <v>120</v>
      </c>
      <c r="F539" s="0" t="n">
        <v>27.2567822113026</v>
      </c>
      <c r="G539" s="0" t="n">
        <v>28.9065886912557</v>
      </c>
      <c r="H539" s="0" t="n">
        <v>7.394868126621073</v>
      </c>
      <c r="I539" s="0" t="n">
        <v>1091</v>
      </c>
      <c r="J539" s="0" t="n">
        <v>1211</v>
      </c>
      <c r="K539" s="0" t="n">
        <v>7.474904861004021</v>
      </c>
    </row>
    <row r="540">
      <c r="A540" s="0" t="n">
        <v>122</v>
      </c>
      <c r="B540" s="0" t="inlineStr">
        <is>
          <t>Smit</t>
        </is>
      </c>
      <c r="C540" s="0" t="inlineStr">
        <is>
          <t>Town</t>
        </is>
      </c>
      <c r="D540" s="0" t="inlineStr">
        <is>
          <t>Win</t>
        </is>
      </c>
      <c r="E540" s="0" t="n">
        <v>87</v>
      </c>
      <c r="F540" s="0" t="n">
        <v>25.38376596671581</v>
      </c>
      <c r="G540" s="0" t="n">
        <v>26.57843757022166</v>
      </c>
      <c r="H540" s="0" t="n">
        <v>6.311737696419288</v>
      </c>
      <c r="I540" s="0" t="n">
        <v>1077</v>
      </c>
      <c r="J540" s="0" t="n">
        <v>1164</v>
      </c>
      <c r="K540" s="0" t="n">
        <v>6.360607997812154</v>
      </c>
    </row>
    <row r="541">
      <c r="A541" s="0" t="n">
        <v>121</v>
      </c>
      <c r="B541" s="0" t="inlineStr">
        <is>
          <t>Noah</t>
        </is>
      </c>
      <c r="C541" s="0" t="inlineStr">
        <is>
          <t>Mafia</t>
        </is>
      </c>
      <c r="D541" s="0" t="inlineStr">
        <is>
          <t>Win</t>
        </is>
      </c>
      <c r="E541" s="0" t="n">
        <v>37</v>
      </c>
      <c r="F541" s="0" t="n">
        <v>30.17670209224122</v>
      </c>
      <c r="G541" s="0" t="n">
        <v>30.68189315589484</v>
      </c>
      <c r="H541" s="0" t="n">
        <v>6.244465056200847</v>
      </c>
      <c r="I541" s="0" t="n">
        <v>1412</v>
      </c>
      <c r="J541" s="0" t="n">
        <v>1449</v>
      </c>
      <c r="K541" s="0" t="n">
        <v>6.277465048256227</v>
      </c>
    </row>
    <row r="542">
      <c r="A542" s="0" t="n">
        <v>121</v>
      </c>
      <c r="B542" s="0" t="inlineStr">
        <is>
          <t>Kwix</t>
        </is>
      </c>
      <c r="C542" s="0" t="inlineStr">
        <is>
          <t>Mafia</t>
        </is>
      </c>
      <c r="D542" s="0" t="inlineStr">
        <is>
          <t>Win</t>
        </is>
      </c>
      <c r="E542" s="0" t="n">
        <v>43</v>
      </c>
      <c r="F542" s="0" t="n">
        <v>22.84275567406713</v>
      </c>
      <c r="G542" s="0" t="n">
        <v>23.4185177317293</v>
      </c>
      <c r="H542" s="0" t="n">
        <v>6.66130696436869</v>
      </c>
      <c r="I542" s="0" t="n">
        <v>870</v>
      </c>
      <c r="J542" s="0" t="n">
        <v>913</v>
      </c>
      <c r="K542" s="0" t="n">
        <v>6.701696381803641</v>
      </c>
    </row>
    <row r="543">
      <c r="A543" s="0" t="n">
        <v>121</v>
      </c>
      <c r="B543" s="0" t="inlineStr">
        <is>
          <t>Siggy</t>
        </is>
      </c>
      <c r="C543" s="0" t="inlineStr">
        <is>
          <t>Mafia</t>
        </is>
      </c>
      <c r="D543" s="0" t="inlineStr">
        <is>
          <t>Win</t>
        </is>
      </c>
      <c r="E543" s="0" t="n">
        <v>64</v>
      </c>
      <c r="F543" s="0" t="n">
        <v>26.68507899629397</v>
      </c>
      <c r="G543" s="0" t="n">
        <v>27.52518932848987</v>
      </c>
      <c r="H543" s="0" t="n">
        <v>8.023566026602413</v>
      </c>
      <c r="I543" s="0" t="n">
        <v>989</v>
      </c>
      <c r="J543" s="0" t="n">
        <v>1053</v>
      </c>
      <c r="K543" s="0" t="n">
        <v>8.095554545718839</v>
      </c>
    </row>
    <row r="544">
      <c r="A544" s="0" t="n">
        <v>121</v>
      </c>
      <c r="B544" s="0" t="inlineStr">
        <is>
          <t>Gilbert</t>
        </is>
      </c>
      <c r="C544" s="0" t="inlineStr">
        <is>
          <t>Town</t>
        </is>
      </c>
      <c r="D544" s="0" t="inlineStr">
        <is>
          <t>Loss</t>
        </is>
      </c>
      <c r="E544" s="0" t="n">
        <v>-43</v>
      </c>
      <c r="F544" s="0" t="n">
        <v>21.7337922150012</v>
      </c>
      <c r="G544" s="0" t="n">
        <v>21.01589327427084</v>
      </c>
      <c r="H544" s="0" t="n">
        <v>7.426846520802465</v>
      </c>
      <c r="I544" s="0" t="n">
        <v>715</v>
      </c>
      <c r="J544" s="0" t="n">
        <v>672</v>
      </c>
      <c r="K544" s="0" t="n">
        <v>7.483494711885459</v>
      </c>
    </row>
    <row r="545">
      <c r="A545" s="0" t="n">
        <v>121</v>
      </c>
      <c r="B545" s="0" t="inlineStr">
        <is>
          <t>Strik3r</t>
        </is>
      </c>
      <c r="C545" s="0" t="inlineStr">
        <is>
          <t>Town</t>
        </is>
      </c>
      <c r="D545" s="0" t="inlineStr">
        <is>
          <t>Loss</t>
        </is>
      </c>
      <c r="E545" s="0" t="n">
        <v>-40</v>
      </c>
      <c r="F545" s="0" t="n">
        <v>27.71004203202117</v>
      </c>
      <c r="G545" s="0" t="n">
        <v>27.05111546508542</v>
      </c>
      <c r="H545" s="0" t="n">
        <v>7.119795374156596</v>
      </c>
      <c r="I545" s="0" t="n">
        <v>1153</v>
      </c>
      <c r="J545" s="0" t="n">
        <v>1113</v>
      </c>
      <c r="K545" s="0" t="n">
        <v>7.169482988388002</v>
      </c>
    </row>
    <row r="546">
      <c r="A546" s="0" t="n">
        <v>121</v>
      </c>
      <c r="B546" s="0" t="inlineStr">
        <is>
          <t>Svaan</t>
        </is>
      </c>
      <c r="C546" s="0" t="inlineStr">
        <is>
          <t>Town</t>
        </is>
      </c>
      <c r="D546" s="0" t="inlineStr">
        <is>
          <t>Loss</t>
        </is>
      </c>
      <c r="E546" s="0" t="n">
        <v>-44</v>
      </c>
      <c r="F546" s="0" t="n">
        <v>27.98415077083883</v>
      </c>
      <c r="G546" s="0" t="n">
        <v>27.2567822113026</v>
      </c>
      <c r="H546" s="0" t="n">
        <v>7.474904861004021</v>
      </c>
      <c r="I546" s="0" t="n">
        <v>1135</v>
      </c>
      <c r="J546" s="0" t="n">
        <v>1091</v>
      </c>
      <c r="K546" s="0" t="n">
        <v>7.532698189611593</v>
      </c>
    </row>
    <row r="547">
      <c r="A547" s="0" t="n">
        <v>121</v>
      </c>
      <c r="B547" s="0" t="inlineStr">
        <is>
          <t>Aipha</t>
        </is>
      </c>
      <c r="C547" s="0" t="inlineStr">
        <is>
          <t>Town</t>
        </is>
      </c>
      <c r="D547" s="0" t="inlineStr">
        <is>
          <t>Loss</t>
        </is>
      </c>
      <c r="E547" s="0" t="n">
        <v>-41</v>
      </c>
      <c r="F547" s="0" t="n">
        <v>19.07299224688795</v>
      </c>
      <c r="G547" s="0" t="n">
        <v>18.39216833023126</v>
      </c>
      <c r="H547" s="0" t="n">
        <v>7.235422311681703</v>
      </c>
      <c r="I547" s="0" t="n">
        <v>554</v>
      </c>
      <c r="J547" s="0" t="n">
        <v>513</v>
      </c>
      <c r="K547" s="0" t="n">
        <v>7.28765978841778</v>
      </c>
    </row>
    <row r="548">
      <c r="A548" s="0" t="n">
        <v>121</v>
      </c>
      <c r="B548" s="0" t="inlineStr">
        <is>
          <t>Cj</t>
        </is>
      </c>
      <c r="C548" s="0" t="inlineStr">
        <is>
          <t>Town</t>
        </is>
      </c>
      <c r="D548" s="0" t="inlineStr">
        <is>
          <t>Loss</t>
        </is>
      </c>
      <c r="E548" s="0" t="n">
        <v>-43</v>
      </c>
      <c r="F548" s="0" t="n">
        <v>24.75868011165172</v>
      </c>
      <c r="G548" s="0" t="n">
        <v>24.03914175194608</v>
      </c>
      <c r="H548" s="0" t="n">
        <v>7.435190241730486</v>
      </c>
      <c r="I548" s="0" t="n">
        <v>919</v>
      </c>
      <c r="J548" s="0" t="n">
        <v>876</v>
      </c>
      <c r="K548" s="0" t="n">
        <v>7.492036147523075</v>
      </c>
    </row>
    <row r="549">
      <c r="A549" s="0" t="n">
        <v>121</v>
      </c>
      <c r="B549" s="0" t="inlineStr">
        <is>
          <t>Rocker</t>
        </is>
      </c>
      <c r="C549" s="0" t="inlineStr">
        <is>
          <t>Town</t>
        </is>
      </c>
      <c r="D549" s="0" t="inlineStr">
        <is>
          <t>Loss</t>
        </is>
      </c>
      <c r="E549" s="0" t="n">
        <v>-29</v>
      </c>
      <c r="F549" s="0" t="n">
        <v>30.34077926251999</v>
      </c>
      <c r="G549" s="0" t="n">
        <v>29.86946587432529</v>
      </c>
      <c r="H549" s="0" t="n">
        <v>6.033652438880202</v>
      </c>
      <c r="I549" s="0" t="n">
        <v>1445</v>
      </c>
      <c r="J549" s="0" t="n">
        <v>1416</v>
      </c>
      <c r="K549" s="0" t="n">
        <v>6.063276881127588</v>
      </c>
    </row>
    <row r="550">
      <c r="A550" s="0" t="n">
        <v>121</v>
      </c>
      <c r="B550" s="0" t="inlineStr">
        <is>
          <t>Laur</t>
        </is>
      </c>
      <c r="C550" s="0" t="inlineStr">
        <is>
          <t>Town</t>
        </is>
      </c>
      <c r="D550" s="0" t="inlineStr">
        <is>
          <t>Loss</t>
        </is>
      </c>
      <c r="E550" s="0" t="n">
        <v>-33</v>
      </c>
      <c r="F550" s="0" t="n">
        <v>30.93348172282259</v>
      </c>
      <c r="G550" s="0" t="n">
        <v>30.38530784424242</v>
      </c>
      <c r="H550" s="0" t="n">
        <v>6.501685509058628</v>
      </c>
      <c r="I550" s="0" t="n">
        <v>1436</v>
      </c>
      <c r="J550" s="0" t="n">
        <v>1403</v>
      </c>
      <c r="K550" s="0" t="n">
        <v>6.539129868413361</v>
      </c>
    </row>
    <row r="551">
      <c r="A551" s="0" t="n">
        <v>121</v>
      </c>
      <c r="B551" s="0" t="inlineStr">
        <is>
          <t>Plen</t>
        </is>
      </c>
      <c r="C551" s="0" t="inlineStr">
        <is>
          <t>Town</t>
        </is>
      </c>
      <c r="D551" s="0" t="inlineStr">
        <is>
          <t>Loss</t>
        </is>
      </c>
      <c r="E551" s="0" t="n">
        <v>-29</v>
      </c>
      <c r="F551" s="0" t="n">
        <v>19.30749209390298</v>
      </c>
      <c r="G551" s="0" t="n">
        <v>18.82683731880704</v>
      </c>
      <c r="H551" s="0" t="n">
        <v>6.092541259772625</v>
      </c>
      <c r="I551" s="0" t="n">
        <v>688</v>
      </c>
      <c r="J551" s="0" t="n">
        <v>659</v>
      </c>
      <c r="K551" s="0" t="n">
        <v>6.123085039491142</v>
      </c>
    </row>
    <row r="552">
      <c r="A552" s="0" t="n">
        <v>121</v>
      </c>
      <c r="B552" s="0" t="inlineStr">
        <is>
          <t>Whyin</t>
        </is>
      </c>
      <c r="C552" s="0" t="inlineStr">
        <is>
          <t>Town</t>
        </is>
      </c>
      <c r="D552" s="0" t="inlineStr">
        <is>
          <t>Loss</t>
        </is>
      </c>
      <c r="E552" s="0" t="n">
        <v>-37</v>
      </c>
      <c r="F552" s="0" t="n">
        <v>27.51154708571576</v>
      </c>
      <c r="G552" s="0" t="n">
        <v>26.91294182144092</v>
      </c>
      <c r="H552" s="0" t="n">
        <v>6.790495004662312</v>
      </c>
      <c r="I552" s="0" t="n">
        <v>1174</v>
      </c>
      <c r="J552" s="0" t="n">
        <v>1137</v>
      </c>
      <c r="K552" s="0" t="n">
        <v>6.8333763207852</v>
      </c>
    </row>
    <row r="553">
      <c r="A553" s="0" t="n">
        <v>121</v>
      </c>
      <c r="B553" s="0" t="inlineStr">
        <is>
          <t>Heckmuffins</t>
        </is>
      </c>
      <c r="C553" s="0" t="inlineStr">
        <is>
          <t>Town</t>
        </is>
      </c>
      <c r="D553" s="0" t="inlineStr">
        <is>
          <t>Loss</t>
        </is>
      </c>
      <c r="E553" s="0" t="n">
        <v>-48</v>
      </c>
      <c r="F553" s="0" t="n">
        <v>28.21548828026938</v>
      </c>
      <c r="G553" s="0" t="n">
        <v>27.39831564002566</v>
      </c>
      <c r="H553" s="0" t="n">
        <v>7.915237239772888</v>
      </c>
      <c r="I553" s="0" t="n">
        <v>1104</v>
      </c>
      <c r="J553" s="0" t="n">
        <v>1056</v>
      </c>
      <c r="K553" s="0" t="n">
        <v>7.984255370230027</v>
      </c>
    </row>
    <row r="554">
      <c r="A554" s="0" t="n">
        <v>120</v>
      </c>
      <c r="B554" s="0" t="inlineStr">
        <is>
          <t>Chipper</t>
        </is>
      </c>
      <c r="C554" s="0" t="inlineStr">
        <is>
          <t>Mafia</t>
        </is>
      </c>
      <c r="D554" s="0" t="inlineStr">
        <is>
          <t>Win</t>
        </is>
      </c>
      <c r="E554" s="0" t="n">
        <v>56</v>
      </c>
      <c r="F554" s="0" t="n">
        <v>19.86346477377996</v>
      </c>
      <c r="G554" s="0" t="n">
        <v>20.62351380234492</v>
      </c>
      <c r="H554" s="0" t="n">
        <v>6.778208394084513</v>
      </c>
      <c r="I554" s="0" t="n">
        <v>655</v>
      </c>
      <c r="J554" s="0" t="n">
        <v>711</v>
      </c>
      <c r="K554" s="0" t="n">
        <v>6.82452853524177</v>
      </c>
    </row>
    <row r="555">
      <c r="A555" s="0" t="n">
        <v>120</v>
      </c>
      <c r="B555" s="0" t="inlineStr">
        <is>
          <t>Chester</t>
        </is>
      </c>
      <c r="C555" s="0" t="inlineStr">
        <is>
          <t>Mafia</t>
        </is>
      </c>
      <c r="D555" s="0" t="inlineStr">
        <is>
          <t>Win</t>
        </is>
      </c>
      <c r="E555" s="0" t="n">
        <v>63</v>
      </c>
      <c r="F555" s="0" t="n">
        <v>27.62064239013218</v>
      </c>
      <c r="G555" s="0" t="n">
        <v>28.4605630414651</v>
      </c>
      <c r="H555" s="0" t="n">
        <v>7.120247587072964</v>
      </c>
      <c r="I555" s="0" t="n">
        <v>1146</v>
      </c>
      <c r="J555" s="0" t="n">
        <v>1209</v>
      </c>
      <c r="K555" s="0" t="n">
        <v>7.174231941957995</v>
      </c>
    </row>
    <row r="556">
      <c r="A556" s="0" t="n">
        <v>120</v>
      </c>
      <c r="B556" s="0" t="inlineStr">
        <is>
          <t>Heftyduck</t>
        </is>
      </c>
      <c r="C556" s="0" t="inlineStr">
        <is>
          <t>Mafia</t>
        </is>
      </c>
      <c r="D556" s="0" t="inlineStr">
        <is>
          <t>Win</t>
        </is>
      </c>
      <c r="E556" s="0" t="n">
        <v>86</v>
      </c>
      <c r="F556" s="0" t="n">
        <v>25</v>
      </c>
      <c r="G556" s="0" t="n">
        <v>26.13319096752297</v>
      </c>
      <c r="H556" s="0" t="n">
        <v>8.248127000928907</v>
      </c>
      <c r="I556" s="0" t="n">
        <v>850</v>
      </c>
      <c r="J556" s="0" t="n">
        <v>936</v>
      </c>
      <c r="K556" s="0" t="n">
        <v>8.333333333333334</v>
      </c>
    </row>
    <row r="557">
      <c r="A557" s="0" t="n">
        <v>120</v>
      </c>
      <c r="B557" s="0" t="inlineStr">
        <is>
          <t>TCP</t>
        </is>
      </c>
      <c r="C557" s="0" t="inlineStr">
        <is>
          <t>Town</t>
        </is>
      </c>
      <c r="D557" s="0" t="inlineStr">
        <is>
          <t>Loss</t>
        </is>
      </c>
      <c r="E557" s="0" t="n">
        <v>-67</v>
      </c>
      <c r="F557" s="0" t="n">
        <v>25.92451650863928</v>
      </c>
      <c r="G557" s="0" t="n">
        <v>24.81045085352771</v>
      </c>
      <c r="H557" s="0" t="n">
        <v>8.179670619067005</v>
      </c>
      <c r="I557" s="0" t="n">
        <v>920</v>
      </c>
      <c r="J557" s="0" t="n">
        <v>853</v>
      </c>
      <c r="K557" s="0" t="n">
        <v>8.262701392367816</v>
      </c>
    </row>
    <row r="558">
      <c r="A558" s="0" t="n">
        <v>120</v>
      </c>
      <c r="B558" s="0" t="inlineStr">
        <is>
          <t>Ken</t>
        </is>
      </c>
      <c r="C558" s="0" t="inlineStr">
        <is>
          <t>Town</t>
        </is>
      </c>
      <c r="D558" s="0" t="inlineStr">
        <is>
          <t>Loss</t>
        </is>
      </c>
      <c r="E558" s="0" t="n">
        <v>-62</v>
      </c>
      <c r="F558" s="0" t="n">
        <v>21.07447759293753</v>
      </c>
      <c r="G558" s="0" t="n">
        <v>20.06482110791743</v>
      </c>
      <c r="H558" s="0" t="n">
        <v>7.794443906155801</v>
      </c>
      <c r="I558" s="0" t="n">
        <v>631</v>
      </c>
      <c r="J558" s="0" t="n">
        <v>569</v>
      </c>
      <c r="K558" s="0" t="n">
        <v>7.865932141821063</v>
      </c>
    </row>
    <row r="559">
      <c r="A559" s="0" t="n">
        <v>120</v>
      </c>
      <c r="B559" s="0" t="inlineStr">
        <is>
          <t>Brownkow</t>
        </is>
      </c>
      <c r="C559" s="0" t="inlineStr">
        <is>
          <t>Town</t>
        </is>
      </c>
      <c r="D559" s="0" t="inlineStr">
        <is>
          <t>Loss</t>
        </is>
      </c>
      <c r="E559" s="0" t="n">
        <v>-38</v>
      </c>
      <c r="F559" s="0" t="n">
        <v>30.14813871448933</v>
      </c>
      <c r="G559" s="0" t="n">
        <v>29.53202950659598</v>
      </c>
      <c r="H559" s="0" t="n">
        <v>6.110758691123506</v>
      </c>
      <c r="I559" s="0" t="n">
        <v>1423</v>
      </c>
      <c r="J559" s="0" t="n">
        <v>1385</v>
      </c>
      <c r="K559" s="0" t="n">
        <v>6.144263137129568</v>
      </c>
    </row>
    <row r="560">
      <c r="A560" s="0" t="n">
        <v>120</v>
      </c>
      <c r="B560" s="0" t="inlineStr">
        <is>
          <t>Rick</t>
        </is>
      </c>
      <c r="C560" s="0" t="inlineStr">
        <is>
          <t>Town</t>
        </is>
      </c>
      <c r="D560" s="0" t="inlineStr">
        <is>
          <t>Loss</t>
        </is>
      </c>
      <c r="E560" s="0" t="n">
        <v>-56</v>
      </c>
      <c r="F560" s="0" t="n">
        <v>28.15530891325034</v>
      </c>
      <c r="G560" s="0" t="n">
        <v>27.23445074184692</v>
      </c>
      <c r="H560" s="0" t="n">
        <v>7.449883295746453</v>
      </c>
      <c r="I560" s="0" t="n">
        <v>1148</v>
      </c>
      <c r="J560" s="0" t="n">
        <v>1092</v>
      </c>
      <c r="K560" s="0" t="n">
        <v>7.512013587043531</v>
      </c>
    </row>
    <row r="561">
      <c r="A561" s="0" t="n">
        <v>120</v>
      </c>
      <c r="B561" s="0" t="inlineStr">
        <is>
          <t>Kden</t>
        </is>
      </c>
      <c r="C561" s="0" t="inlineStr">
        <is>
          <t>Town</t>
        </is>
      </c>
      <c r="D561" s="0" t="inlineStr">
        <is>
          <t>Loss</t>
        </is>
      </c>
      <c r="E561" s="0" t="n">
        <v>-45</v>
      </c>
      <c r="F561" s="0" t="n">
        <v>22.5724702494186</v>
      </c>
      <c r="G561" s="0" t="n">
        <v>21.85489066982738</v>
      </c>
      <c r="H561" s="0" t="n">
        <v>6.588675591462836</v>
      </c>
      <c r="I561" s="0" t="n">
        <v>859</v>
      </c>
      <c r="J561" s="0" t="n">
        <v>814</v>
      </c>
      <c r="K561" s="0" t="n">
        <v>6.631077842257213</v>
      </c>
    </row>
    <row r="562">
      <c r="A562" s="0" t="n">
        <v>120</v>
      </c>
      <c r="B562" s="0" t="inlineStr">
        <is>
          <t>Cyclone</t>
        </is>
      </c>
      <c r="C562" s="0" t="inlineStr">
        <is>
          <t>Town</t>
        </is>
      </c>
      <c r="D562" s="0" t="inlineStr">
        <is>
          <t>Loss</t>
        </is>
      </c>
      <c r="E562" s="0" t="n">
        <v>-63</v>
      </c>
      <c r="F562" s="0" t="n">
        <v>25.07182451557695</v>
      </c>
      <c r="G562" s="0" t="n">
        <v>24.01869577036683</v>
      </c>
      <c r="H562" s="0" t="n">
        <v>7.957289369460745</v>
      </c>
      <c r="I562" s="0" t="n">
        <v>885</v>
      </c>
      <c r="J562" s="0" t="n">
        <v>822</v>
      </c>
      <c r="K562" s="0" t="n">
        <v>8.033514061284642</v>
      </c>
    </row>
    <row r="563">
      <c r="A563" s="0" t="n">
        <v>120</v>
      </c>
      <c r="B563" s="0" t="inlineStr">
        <is>
          <t>Aipha</t>
        </is>
      </c>
      <c r="C563" s="0" t="inlineStr">
        <is>
          <t>Town</t>
        </is>
      </c>
      <c r="D563" s="0" t="inlineStr">
        <is>
          <t>Loss</t>
        </is>
      </c>
      <c r="E563" s="0" t="n">
        <v>-54</v>
      </c>
      <c r="F563" s="0" t="n">
        <v>19.95353041384386</v>
      </c>
      <c r="G563" s="0" t="n">
        <v>19.07299224688795</v>
      </c>
      <c r="H563" s="0" t="n">
        <v>7.28765978841778</v>
      </c>
      <c r="I563" s="0" t="n">
        <v>608</v>
      </c>
      <c r="J563" s="0" t="n">
        <v>554</v>
      </c>
      <c r="K563" s="0" t="n">
        <v>7.345685361355666</v>
      </c>
    </row>
    <row r="564">
      <c r="A564" s="0" t="n">
        <v>120</v>
      </c>
      <c r="B564" s="0" t="inlineStr">
        <is>
          <t>Iln</t>
        </is>
      </c>
      <c r="C564" s="0" t="inlineStr">
        <is>
          <t>Town</t>
        </is>
      </c>
      <c r="D564" s="0" t="inlineStr">
        <is>
          <t>Loss</t>
        </is>
      </c>
      <c r="E564" s="0" t="n">
        <v>-41</v>
      </c>
      <c r="F564" s="0" t="n">
        <v>24.73134269980972</v>
      </c>
      <c r="G564" s="0" t="n">
        <v>24.06573103994564</v>
      </c>
      <c r="H564" s="0" t="n">
        <v>6.348631783904936</v>
      </c>
      <c r="I564" s="0" t="n">
        <v>1030</v>
      </c>
      <c r="J564" s="0" t="n">
        <v>989</v>
      </c>
      <c r="K564" s="0" t="n">
        <v>6.386393809651995</v>
      </c>
    </row>
    <row r="565">
      <c r="A565" s="0" t="n">
        <v>120</v>
      </c>
      <c r="B565" s="0" t="inlineStr">
        <is>
          <t>Decode</t>
        </is>
      </c>
      <c r="C565" s="0" t="inlineStr">
        <is>
          <t>Town</t>
        </is>
      </c>
      <c r="D565" s="0" t="inlineStr">
        <is>
          <t>Loss</t>
        </is>
      </c>
      <c r="E565" s="0" t="n">
        <v>-63</v>
      </c>
      <c r="F565" s="0" t="n">
        <v>22.66523549751417</v>
      </c>
      <c r="G565" s="0" t="n">
        <v>21.63492382258195</v>
      </c>
      <c r="H565" s="0" t="n">
        <v>7.872270692078489</v>
      </c>
      <c r="I565" s="0" t="n">
        <v>731</v>
      </c>
      <c r="J565" s="0" t="n">
        <v>668</v>
      </c>
      <c r="K565" s="0" t="n">
        <v>7.945996877446649</v>
      </c>
    </row>
    <row r="566">
      <c r="A566" s="0" t="n">
        <v>120</v>
      </c>
      <c r="B566" s="0" t="inlineStr">
        <is>
          <t>Smit</t>
        </is>
      </c>
      <c r="C566" s="0" t="inlineStr">
        <is>
          <t>Town</t>
        </is>
      </c>
      <c r="D566" s="0" t="inlineStr">
        <is>
          <t>Loss</t>
        </is>
      </c>
      <c r="E566" s="0" t="n">
        <v>-42</v>
      </c>
      <c r="F566" s="0" t="n">
        <v>26.05192235970576</v>
      </c>
      <c r="G566" s="0" t="n">
        <v>25.38376596671581</v>
      </c>
      <c r="H566" s="0" t="n">
        <v>6.360607997812154</v>
      </c>
      <c r="I566" s="0" t="n">
        <v>1119</v>
      </c>
      <c r="J566" s="0" t="n">
        <v>1077</v>
      </c>
      <c r="K566" s="0" t="n">
        <v>6.398593221383827</v>
      </c>
    </row>
    <row r="567">
      <c r="A567" s="0" t="n">
        <v>119</v>
      </c>
      <c r="B567" s="0" t="inlineStr">
        <is>
          <t>Rick</t>
        </is>
      </c>
      <c r="C567" s="0" t="inlineStr">
        <is>
          <t>Mafia</t>
        </is>
      </c>
      <c r="D567" s="0" t="inlineStr">
        <is>
          <t>Win</t>
        </is>
      </c>
      <c r="E567" s="0" t="n">
        <v>57</v>
      </c>
      <c r="F567" s="0" t="n">
        <v>27.39347200056565</v>
      </c>
      <c r="G567" s="0" t="n">
        <v>28.15530891325034</v>
      </c>
      <c r="H567" s="0" t="n">
        <v>7.512013587043531</v>
      </c>
      <c r="I567" s="0" t="n">
        <v>1091</v>
      </c>
      <c r="J567" s="0" t="n">
        <v>1148</v>
      </c>
      <c r="K567" s="0" t="n">
        <v>7.564596146442656</v>
      </c>
    </row>
    <row r="568">
      <c r="A568" s="0" t="n">
        <v>119</v>
      </c>
      <c r="B568" s="0" t="inlineStr">
        <is>
          <t>TCP</t>
        </is>
      </c>
      <c r="C568" s="0" t="inlineStr">
        <is>
          <t>Mafia</t>
        </is>
      </c>
      <c r="D568" s="0" t="inlineStr">
        <is>
          <t>Win</t>
        </is>
      </c>
      <c r="E568" s="0" t="n">
        <v>70</v>
      </c>
      <c r="F568" s="0" t="n">
        <v>25</v>
      </c>
      <c r="G568" s="0" t="n">
        <v>25.92451650863928</v>
      </c>
      <c r="H568" s="0" t="n">
        <v>8.262701392367816</v>
      </c>
      <c r="I568" s="0" t="n">
        <v>850</v>
      </c>
      <c r="J568" s="0" t="n">
        <v>920</v>
      </c>
      <c r="K568" s="0" t="n">
        <v>8.333333333333334</v>
      </c>
    </row>
    <row r="569">
      <c r="A569" s="0" t="n">
        <v>119</v>
      </c>
      <c r="B569" s="0" t="inlineStr">
        <is>
          <t>Cyclone</t>
        </is>
      </c>
      <c r="C569" s="0" t="inlineStr">
        <is>
          <t>Mafia</t>
        </is>
      </c>
      <c r="D569" s="0" t="inlineStr">
        <is>
          <t>Win</t>
        </is>
      </c>
      <c r="E569" s="0" t="n">
        <v>66</v>
      </c>
      <c r="F569" s="0" t="n">
        <v>24.19872523770254</v>
      </c>
      <c r="G569" s="0" t="n">
        <v>25.07182451557695</v>
      </c>
      <c r="H569" s="0" t="n">
        <v>8.033514061284642</v>
      </c>
      <c r="I569" s="0" t="n">
        <v>819</v>
      </c>
      <c r="J569" s="0" t="n">
        <v>885</v>
      </c>
      <c r="K569" s="0" t="n">
        <v>8.098253953829797</v>
      </c>
    </row>
    <row r="570">
      <c r="A570" s="0" t="n">
        <v>119</v>
      </c>
      <c r="B570" s="0" t="inlineStr">
        <is>
          <t>Chester</t>
        </is>
      </c>
      <c r="C570" s="0" t="inlineStr">
        <is>
          <t>Town</t>
        </is>
      </c>
      <c r="D570" s="0" t="inlineStr">
        <is>
          <t>Loss</t>
        </is>
      </c>
      <c r="E570" s="0" t="n">
        <v>-43</v>
      </c>
      <c r="F570" s="0" t="n">
        <v>28.31462758729531</v>
      </c>
      <c r="G570" s="0" t="n">
        <v>27.62064239013218</v>
      </c>
      <c r="H570" s="0" t="n">
        <v>7.174231941957995</v>
      </c>
      <c r="I570" s="0" t="n">
        <v>1189</v>
      </c>
      <c r="J570" s="0" t="n">
        <v>1146</v>
      </c>
      <c r="K570" s="0" t="n">
        <v>7.219816086869295</v>
      </c>
    </row>
    <row r="571">
      <c r="A571" s="0" t="n">
        <v>119</v>
      </c>
      <c r="B571" s="0" t="inlineStr">
        <is>
          <t>Vert</t>
        </is>
      </c>
      <c r="C571" s="0" t="inlineStr">
        <is>
          <t>Town</t>
        </is>
      </c>
      <c r="D571" s="0" t="inlineStr">
        <is>
          <t>Loss</t>
        </is>
      </c>
      <c r="E571" s="0" t="n">
        <v>-53</v>
      </c>
      <c r="F571" s="0" t="n">
        <v>26.85872525452466</v>
      </c>
      <c r="G571" s="0" t="n">
        <v>25.97924677131327</v>
      </c>
      <c r="H571" s="0" t="n">
        <v>8.062327418381779</v>
      </c>
      <c r="I571" s="0" t="n">
        <v>997</v>
      </c>
      <c r="J571" s="0" t="n">
        <v>944</v>
      </c>
      <c r="K571" s="0" t="n">
        <v>8.127789113874879</v>
      </c>
    </row>
    <row r="572">
      <c r="A572" s="0" t="n">
        <v>119</v>
      </c>
      <c r="B572" s="0" t="inlineStr">
        <is>
          <t>Laur</t>
        </is>
      </c>
      <c r="C572" s="0" t="inlineStr">
        <is>
          <t>Town</t>
        </is>
      </c>
      <c r="D572" s="0" t="inlineStr">
        <is>
          <t>Loss</t>
        </is>
      </c>
      <c r="E572" s="0" t="n">
        <v>-36</v>
      </c>
      <c r="F572" s="0" t="n">
        <v>31.50876126780903</v>
      </c>
      <c r="G572" s="0" t="n">
        <v>30.93348172282259</v>
      </c>
      <c r="H572" s="0" t="n">
        <v>6.539129868413361</v>
      </c>
      <c r="I572" s="0" t="n">
        <v>1472</v>
      </c>
      <c r="J572" s="0" t="n">
        <v>1436</v>
      </c>
      <c r="K572" s="0" t="n">
        <v>6.573276504931428</v>
      </c>
    </row>
    <row r="573">
      <c r="A573" s="0" t="n">
        <v>119</v>
      </c>
      <c r="B573" s="0" t="inlineStr">
        <is>
          <t>Plen</t>
        </is>
      </c>
      <c r="C573" s="0" t="inlineStr">
        <is>
          <t>Town</t>
        </is>
      </c>
      <c r="D573" s="0" t="inlineStr">
        <is>
          <t>Loss</t>
        </is>
      </c>
      <c r="E573" s="0" t="n">
        <v>-32</v>
      </c>
      <c r="F573" s="0" t="n">
        <v>19.81122670027276</v>
      </c>
      <c r="G573" s="0" t="n">
        <v>19.30749209390298</v>
      </c>
      <c r="H573" s="0" t="n">
        <v>6.123085039491142</v>
      </c>
      <c r="I573" s="0" t="n">
        <v>720</v>
      </c>
      <c r="J573" s="0" t="n">
        <v>688</v>
      </c>
      <c r="K573" s="0" t="n">
        <v>6.150864941495387</v>
      </c>
    </row>
    <row r="574">
      <c r="A574" s="0" t="n">
        <v>119</v>
      </c>
      <c r="B574" s="0" t="inlineStr">
        <is>
          <t>Decode</t>
        </is>
      </c>
      <c r="C574" s="0" t="inlineStr">
        <is>
          <t>Town</t>
        </is>
      </c>
      <c r="D574" s="0" t="inlineStr">
        <is>
          <t>Loss</t>
        </is>
      </c>
      <c r="E574" s="0" t="n">
        <v>-51</v>
      </c>
      <c r="F574" s="0" t="n">
        <v>23.5191080937284</v>
      </c>
      <c r="G574" s="0" t="n">
        <v>22.66523549751417</v>
      </c>
      <c r="H574" s="0" t="n">
        <v>7.945996877446649</v>
      </c>
      <c r="I574" s="0" t="n">
        <v>782</v>
      </c>
      <c r="J574" s="0" t="n">
        <v>731</v>
      </c>
      <c r="K574" s="0" t="n">
        <v>8.008577257756384</v>
      </c>
    </row>
    <row r="575">
      <c r="A575" s="0" t="n">
        <v>119</v>
      </c>
      <c r="B575" s="0" t="inlineStr">
        <is>
          <t>Iln</t>
        </is>
      </c>
      <c r="C575" s="0" t="inlineStr">
        <is>
          <t>Town</t>
        </is>
      </c>
      <c r="D575" s="0" t="inlineStr">
        <is>
          <t>Loss</t>
        </is>
      </c>
      <c r="E575" s="0" t="n">
        <v>-34</v>
      </c>
      <c r="F575" s="0" t="n">
        <v>25.27978834857622</v>
      </c>
      <c r="G575" s="0" t="n">
        <v>24.73134269980972</v>
      </c>
      <c r="H575" s="0" t="n">
        <v>6.386393809651995</v>
      </c>
      <c r="I575" s="0" t="n">
        <v>1064</v>
      </c>
      <c r="J575" s="0" t="n">
        <v>1030</v>
      </c>
      <c r="K575" s="0" t="n">
        <v>6.418104349649727</v>
      </c>
    </row>
    <row r="576">
      <c r="A576" s="0" t="n">
        <v>119</v>
      </c>
      <c r="B576" s="0" t="inlineStr">
        <is>
          <t>Lou</t>
        </is>
      </c>
      <c r="C576" s="0" t="inlineStr">
        <is>
          <t>Town</t>
        </is>
      </c>
      <c r="D576" s="0" t="inlineStr">
        <is>
          <t>Loss</t>
        </is>
      </c>
      <c r="E576" s="0" t="n">
        <v>-34</v>
      </c>
      <c r="F576" s="0" t="n">
        <v>26.4385541285606</v>
      </c>
      <c r="G576" s="0" t="n">
        <v>25.89155875041379</v>
      </c>
      <c r="H576" s="0" t="n">
        <v>6.378030374679946</v>
      </c>
      <c r="I576" s="0" t="n">
        <v>1144</v>
      </c>
      <c r="J576" s="0" t="n">
        <v>1110</v>
      </c>
      <c r="K576" s="0" t="n">
        <v>6.409610880572571</v>
      </c>
    </row>
    <row r="577">
      <c r="A577" s="0" t="n">
        <v>119</v>
      </c>
      <c r="B577" s="0" t="inlineStr">
        <is>
          <t>Gilbert</t>
        </is>
      </c>
      <c r="C577" s="0" t="inlineStr">
        <is>
          <t>Town</t>
        </is>
      </c>
      <c r="D577" s="0" t="inlineStr">
        <is>
          <t>Loss</t>
        </is>
      </c>
      <c r="E577" s="0" t="n">
        <v>-46</v>
      </c>
      <c r="F577" s="0" t="n">
        <v>22.48977290958273</v>
      </c>
      <c r="G577" s="0" t="n">
        <v>21.7337922150012</v>
      </c>
      <c r="H577" s="0" t="n">
        <v>7.483494711885459</v>
      </c>
      <c r="I577" s="0" t="n">
        <v>761</v>
      </c>
      <c r="J577" s="0" t="n">
        <v>715</v>
      </c>
      <c r="K577" s="0" t="n">
        <v>7.535460541731187</v>
      </c>
    </row>
    <row r="578">
      <c r="A578" s="0" t="n">
        <v>119</v>
      </c>
      <c r="B578" s="0" t="inlineStr">
        <is>
          <t>Cj</t>
        </is>
      </c>
      <c r="C578" s="0" t="inlineStr">
        <is>
          <t>Town</t>
        </is>
      </c>
      <c r="D578" s="0" t="inlineStr">
        <is>
          <t>Loss</t>
        </is>
      </c>
      <c r="E578" s="0" t="n">
        <v>-47</v>
      </c>
      <c r="F578" s="0" t="n">
        <v>25.51641227741182</v>
      </c>
      <c r="G578" s="0" t="n">
        <v>24.75868011165172</v>
      </c>
      <c r="H578" s="0" t="n">
        <v>7.492036147523075</v>
      </c>
      <c r="I578" s="0" t="n">
        <v>966</v>
      </c>
      <c r="J578" s="0" t="n">
        <v>919</v>
      </c>
      <c r="K578" s="0" t="n">
        <v>7.544186179886244</v>
      </c>
    </row>
    <row r="579">
      <c r="A579" s="0" t="n">
        <v>119</v>
      </c>
      <c r="B579" s="0" t="inlineStr">
        <is>
          <t>Smit</t>
        </is>
      </c>
      <c r="C579" s="0" t="inlineStr">
        <is>
          <t>Town</t>
        </is>
      </c>
      <c r="D579" s="0" t="inlineStr">
        <is>
          <t>Loss</t>
        </is>
      </c>
      <c r="E579" s="0" t="n">
        <v>-34</v>
      </c>
      <c r="F579" s="0" t="n">
        <v>26.60248701085427</v>
      </c>
      <c r="G579" s="0" t="n">
        <v>26.05192235970576</v>
      </c>
      <c r="H579" s="0" t="n">
        <v>6.398593221383827</v>
      </c>
      <c r="I579" s="0" t="n">
        <v>1153</v>
      </c>
      <c r="J579" s="0" t="n">
        <v>1119</v>
      </c>
      <c r="K579" s="0" t="n">
        <v>6.430494057364109</v>
      </c>
    </row>
    <row r="580">
      <c r="A580" s="0" t="n">
        <v>119</v>
      </c>
      <c r="B580" s="0" t="inlineStr">
        <is>
          <t>Kden</t>
        </is>
      </c>
      <c r="C580" s="0" t="inlineStr">
        <is>
          <t>Town</t>
        </is>
      </c>
      <c r="D580" s="0" t="inlineStr">
        <is>
          <t>Loss</t>
        </is>
      </c>
      <c r="E580" s="0" t="n">
        <v>-36</v>
      </c>
      <c r="F580" s="0" t="n">
        <v>23.16422316748217</v>
      </c>
      <c r="G580" s="0" t="n">
        <v>22.5724702494186</v>
      </c>
      <c r="H580" s="0" t="n">
        <v>6.631077842257213</v>
      </c>
      <c r="I580" s="0" t="n">
        <v>895</v>
      </c>
      <c r="J580" s="0" t="n">
        <v>859</v>
      </c>
      <c r="K580" s="0" t="n">
        <v>6.666747984448717</v>
      </c>
    </row>
    <row r="581">
      <c r="A581" s="0" t="n">
        <v>118</v>
      </c>
      <c r="B581" s="0" t="inlineStr">
        <is>
          <t>Badpants</t>
        </is>
      </c>
      <c r="C581" s="0" t="inlineStr">
        <is>
          <t>Mafia</t>
        </is>
      </c>
      <c r="D581" s="0" t="inlineStr">
        <is>
          <t>Win</t>
        </is>
      </c>
      <c r="E581" s="0" t="n">
        <v>59</v>
      </c>
      <c r="F581" s="0" t="n">
        <v>21.53123769641771</v>
      </c>
      <c r="G581" s="0" t="n">
        <v>22.3323829801648</v>
      </c>
      <c r="H581" s="0" t="n">
        <v>6.301239887011731</v>
      </c>
      <c r="I581" s="0" t="n">
        <v>817</v>
      </c>
      <c r="J581" s="0" t="n">
        <v>876</v>
      </c>
      <c r="K581" s="0" t="n">
        <v>6.34424370953454</v>
      </c>
    </row>
    <row r="582">
      <c r="A582" s="0" t="n">
        <v>118</v>
      </c>
      <c r="B582" s="0" t="inlineStr">
        <is>
          <t>Noah</t>
        </is>
      </c>
      <c r="C582" s="0" t="inlineStr">
        <is>
          <t>Mafia</t>
        </is>
      </c>
      <c r="D582" s="0" t="inlineStr">
        <is>
          <t>Win</t>
        </is>
      </c>
      <c r="E582" s="0" t="n">
        <v>59</v>
      </c>
      <c r="F582" s="0" t="n">
        <v>29.38167560372252</v>
      </c>
      <c r="G582" s="0" t="n">
        <v>30.17670209224122</v>
      </c>
      <c r="H582" s="0" t="n">
        <v>6.277465048256227</v>
      </c>
      <c r="I582" s="0" t="n">
        <v>1353</v>
      </c>
      <c r="J582" s="0" t="n">
        <v>1412</v>
      </c>
      <c r="K582" s="0" t="n">
        <v>6.319963959106728</v>
      </c>
    </row>
    <row r="583">
      <c r="A583" s="0" t="n">
        <v>118</v>
      </c>
      <c r="B583" s="0" t="inlineStr">
        <is>
          <t>Strik3r</t>
        </is>
      </c>
      <c r="C583" s="0" t="inlineStr">
        <is>
          <t>Mafia</t>
        </is>
      </c>
      <c r="D583" s="0" t="inlineStr">
        <is>
          <t>Win</t>
        </is>
      </c>
      <c r="E583" s="0" t="n">
        <v>77</v>
      </c>
      <c r="F583" s="0" t="n">
        <v>26.66854989033087</v>
      </c>
      <c r="G583" s="0" t="n">
        <v>27.71004203202117</v>
      </c>
      <c r="H583" s="0" t="n">
        <v>7.169482988388002</v>
      </c>
      <c r="I583" s="0" t="n">
        <v>1076</v>
      </c>
      <c r="J583" s="0" t="n">
        <v>1153</v>
      </c>
      <c r="K583" s="0" t="n">
        <v>7.233769500515566</v>
      </c>
    </row>
    <row r="584">
      <c r="A584" s="0" t="n">
        <v>118</v>
      </c>
      <c r="B584" s="0" t="inlineStr">
        <is>
          <t>Plen</t>
        </is>
      </c>
      <c r="C584" s="0" t="inlineStr">
        <is>
          <t>Town</t>
        </is>
      </c>
      <c r="D584" s="0" t="inlineStr">
        <is>
          <t>Loss</t>
        </is>
      </c>
      <c r="E584" s="0" t="n">
        <v>-48</v>
      </c>
      <c r="F584" s="0" t="n">
        <v>20.57408209813563</v>
      </c>
      <c r="G584" s="0" t="n">
        <v>19.81122670027276</v>
      </c>
      <c r="H584" s="0" t="n">
        <v>6.150864941495387</v>
      </c>
      <c r="I584" s="0" t="n">
        <v>768</v>
      </c>
      <c r="J584" s="0" t="n">
        <v>720</v>
      </c>
      <c r="K584" s="0" t="n">
        <v>6.190740806705846</v>
      </c>
    </row>
    <row r="585">
      <c r="A585" s="0" t="n">
        <v>118</v>
      </c>
      <c r="B585" s="0" t="inlineStr">
        <is>
          <t>Chester</t>
        </is>
      </c>
      <c r="C585" s="0" t="inlineStr">
        <is>
          <t>Town</t>
        </is>
      </c>
      <c r="D585" s="0" t="inlineStr">
        <is>
          <t>Loss</t>
        </is>
      </c>
      <c r="E585" s="0" t="n">
        <v>-65</v>
      </c>
      <c r="F585" s="0" t="n">
        <v>29.37107071789188</v>
      </c>
      <c r="G585" s="0" t="n">
        <v>28.31462758729531</v>
      </c>
      <c r="H585" s="0" t="n">
        <v>7.219816086869295</v>
      </c>
      <c r="I585" s="0" t="n">
        <v>1254</v>
      </c>
      <c r="J585" s="0" t="n">
        <v>1189</v>
      </c>
      <c r="K585" s="0" t="n">
        <v>7.285516002419133</v>
      </c>
    </row>
    <row r="586">
      <c r="A586" s="0" t="n">
        <v>118</v>
      </c>
      <c r="B586" s="0" t="inlineStr">
        <is>
          <t>Kden</t>
        </is>
      </c>
      <c r="C586" s="0" t="inlineStr">
        <is>
          <t>Town</t>
        </is>
      </c>
      <c r="D586" s="0" t="inlineStr">
        <is>
          <t>Loss</t>
        </is>
      </c>
      <c r="E586" s="0" t="n">
        <v>-56</v>
      </c>
      <c r="F586" s="0" t="n">
        <v>24.06252555401545</v>
      </c>
      <c r="G586" s="0" t="n">
        <v>23.16422316748217</v>
      </c>
      <c r="H586" s="0" t="n">
        <v>6.666747984448717</v>
      </c>
      <c r="I586" s="0" t="n">
        <v>951</v>
      </c>
      <c r="J586" s="0" t="n">
        <v>895</v>
      </c>
      <c r="K586" s="0" t="n">
        <v>6.718020570034938</v>
      </c>
    </row>
    <row r="587">
      <c r="A587" s="0" t="n">
        <v>118</v>
      </c>
      <c r="B587" s="0" t="inlineStr">
        <is>
          <t>Brownkow</t>
        </is>
      </c>
      <c r="C587" s="0" t="inlineStr">
        <is>
          <t>Town</t>
        </is>
      </c>
      <c r="D587" s="0" t="inlineStr">
        <is>
          <t>Loss</t>
        </is>
      </c>
      <c r="E587" s="0" t="n">
        <v>-48</v>
      </c>
      <c r="F587" s="0" t="n">
        <v>30.90933545941785</v>
      </c>
      <c r="G587" s="0" t="n">
        <v>30.14813871448933</v>
      </c>
      <c r="H587" s="0" t="n">
        <v>6.144263137129568</v>
      </c>
      <c r="I587" s="0" t="n">
        <v>1471</v>
      </c>
      <c r="J587" s="0" t="n">
        <v>1423</v>
      </c>
      <c r="K587" s="0" t="n">
        <v>6.184005218164321</v>
      </c>
    </row>
    <row r="588">
      <c r="A588" s="0" t="n">
        <v>118</v>
      </c>
      <c r="B588" s="0" t="inlineStr">
        <is>
          <t>Brady</t>
        </is>
      </c>
      <c r="C588" s="0" t="inlineStr">
        <is>
          <t>Town</t>
        </is>
      </c>
      <c r="D588" s="0" t="inlineStr">
        <is>
          <t>Loss</t>
        </is>
      </c>
      <c r="E588" s="0" t="n">
        <v>-83</v>
      </c>
      <c r="F588" s="0" t="n">
        <v>24.37494242041033</v>
      </c>
      <c r="G588" s="0" t="n">
        <v>23.01271843397033</v>
      </c>
      <c r="H588" s="0" t="n">
        <v>8.17641749606104</v>
      </c>
      <c r="I588" s="0" t="n">
        <v>814</v>
      </c>
      <c r="J588" s="0" t="n">
        <v>731</v>
      </c>
      <c r="K588" s="0" t="n">
        <v>8.273146204552855</v>
      </c>
    </row>
    <row r="589">
      <c r="A589" s="0" t="n">
        <v>118</v>
      </c>
      <c r="B589" s="0" t="inlineStr">
        <is>
          <t>Rocker</t>
        </is>
      </c>
      <c r="C589" s="0" t="inlineStr">
        <is>
          <t>Town</t>
        </is>
      </c>
      <c r="D589" s="0" t="inlineStr">
        <is>
          <t>Loss</t>
        </is>
      </c>
      <c r="E589" s="0" t="n">
        <v>-46</v>
      </c>
      <c r="F589" s="0" t="n">
        <v>31.08178155938305</v>
      </c>
      <c r="G589" s="0" t="n">
        <v>30.34077926251999</v>
      </c>
      <c r="H589" s="0" t="n">
        <v>6.063276881127588</v>
      </c>
      <c r="I589" s="0" t="n">
        <v>1491</v>
      </c>
      <c r="J589" s="0" t="n">
        <v>1445</v>
      </c>
      <c r="K589" s="0" t="n">
        <v>6.101401657890578</v>
      </c>
    </row>
    <row r="590">
      <c r="A590" s="0" t="n">
        <v>118</v>
      </c>
      <c r="B590" s="0" t="inlineStr">
        <is>
          <t>Laur</t>
        </is>
      </c>
      <c r="C590" s="0" t="inlineStr">
        <is>
          <t>Town</t>
        </is>
      </c>
      <c r="D590" s="0" t="inlineStr">
        <is>
          <t>Loss</t>
        </is>
      </c>
      <c r="E590" s="0" t="n">
        <v>-54</v>
      </c>
      <c r="F590" s="0" t="n">
        <v>32.38166419982254</v>
      </c>
      <c r="G590" s="0" t="n">
        <v>31.50876126780903</v>
      </c>
      <c r="H590" s="0" t="n">
        <v>6.573276504931428</v>
      </c>
      <c r="I590" s="0" t="n">
        <v>1526</v>
      </c>
      <c r="J590" s="0" t="n">
        <v>1472</v>
      </c>
      <c r="K590" s="0" t="n">
        <v>6.622342354343224</v>
      </c>
    </row>
    <row r="591">
      <c r="A591" s="0" t="n">
        <v>118</v>
      </c>
      <c r="B591" s="0" t="inlineStr">
        <is>
          <t>Ken</t>
        </is>
      </c>
      <c r="C591" s="0" t="inlineStr">
        <is>
          <t>Town</t>
        </is>
      </c>
      <c r="D591" s="0" t="inlineStr">
        <is>
          <t>Loss</t>
        </is>
      </c>
      <c r="E591" s="0" t="n">
        <v>-77</v>
      </c>
      <c r="F591" s="0" t="n">
        <v>22.33291331615502</v>
      </c>
      <c r="G591" s="0" t="n">
        <v>21.07447759293753</v>
      </c>
      <c r="H591" s="0" t="n">
        <v>7.865932141821063</v>
      </c>
      <c r="I591" s="0" t="n">
        <v>708</v>
      </c>
      <c r="J591" s="0" t="n">
        <v>631</v>
      </c>
      <c r="K591" s="0" t="n">
        <v>7.951688162542209</v>
      </c>
    </row>
    <row r="592">
      <c r="A592" s="0" t="n">
        <v>118</v>
      </c>
      <c r="B592" s="0" t="inlineStr">
        <is>
          <t>Lou</t>
        </is>
      </c>
      <c r="C592" s="0" t="inlineStr">
        <is>
          <t>Town</t>
        </is>
      </c>
      <c r="D592" s="0" t="inlineStr">
        <is>
          <t>Loss</t>
        </is>
      </c>
      <c r="E592" s="0" t="n">
        <v>-52</v>
      </c>
      <c r="F592" s="0" t="n">
        <v>27.2679003335901</v>
      </c>
      <c r="G592" s="0" t="n">
        <v>26.4385541285606</v>
      </c>
      <c r="H592" s="0" t="n">
        <v>6.409610880572571</v>
      </c>
      <c r="I592" s="0" t="n">
        <v>1196</v>
      </c>
      <c r="J592" s="0" t="n">
        <v>1144</v>
      </c>
      <c r="K592" s="0" t="n">
        <v>6.454966354536578</v>
      </c>
    </row>
    <row r="593">
      <c r="A593" s="0" t="n">
        <v>118</v>
      </c>
      <c r="B593" s="0" t="inlineStr">
        <is>
          <t>Xcync</t>
        </is>
      </c>
      <c r="C593" s="0" t="inlineStr">
        <is>
          <t>Town</t>
        </is>
      </c>
      <c r="D593" s="0" t="inlineStr">
        <is>
          <t>Loss</t>
        </is>
      </c>
      <c r="E593" s="0" t="n">
        <v>-68</v>
      </c>
      <c r="F593" s="0" t="n">
        <v>30.04690688905535</v>
      </c>
      <c r="G593" s="0" t="n">
        <v>28.9365012046363</v>
      </c>
      <c r="H593" s="0" t="n">
        <v>7.398418587741194</v>
      </c>
      <c r="I593" s="0" t="n">
        <v>1281</v>
      </c>
      <c r="J593" s="0" t="n">
        <v>1213</v>
      </c>
      <c r="K593" s="0" t="n">
        <v>7.469303061827032</v>
      </c>
    </row>
    <row r="594">
      <c r="A594" s="0" t="n">
        <v>117</v>
      </c>
      <c r="B594" s="0" t="inlineStr">
        <is>
          <t>Chester</t>
        </is>
      </c>
      <c r="C594" s="0" t="inlineStr">
        <is>
          <t>Mafia</t>
        </is>
      </c>
      <c r="D594" s="0" t="inlineStr">
        <is>
          <t>Win</t>
        </is>
      </c>
      <c r="E594" s="0" t="n">
        <v>103</v>
      </c>
      <c r="F594" s="0" t="n">
        <v>27.965900254967</v>
      </c>
      <c r="G594" s="0" t="n">
        <v>29.37107071789188</v>
      </c>
      <c r="H594" s="0" t="n">
        <v>7.285516002419133</v>
      </c>
      <c r="I594" s="0" t="n">
        <v>1151</v>
      </c>
      <c r="J594" s="0" t="n">
        <v>1254</v>
      </c>
      <c r="K594" s="0" t="n">
        <v>7.359551755388708</v>
      </c>
    </row>
    <row r="595">
      <c r="A595" s="0" t="n">
        <v>117</v>
      </c>
      <c r="B595" s="0" t="inlineStr">
        <is>
          <t>Plen</t>
        </is>
      </c>
      <c r="C595" s="0" t="inlineStr">
        <is>
          <t>Mafia</t>
        </is>
      </c>
      <c r="D595" s="0" t="inlineStr">
        <is>
          <t>Win</t>
        </is>
      </c>
      <c r="E595" s="0" t="n">
        <v>74</v>
      </c>
      <c r="F595" s="0" t="n">
        <v>19.5653520818352</v>
      </c>
      <c r="G595" s="0" t="n">
        <v>20.57408209813563</v>
      </c>
      <c r="H595" s="0" t="n">
        <v>6.190740806705846</v>
      </c>
      <c r="I595" s="0" t="n">
        <v>694</v>
      </c>
      <c r="J595" s="0" t="n">
        <v>768</v>
      </c>
      <c r="K595" s="0" t="n">
        <v>6.235317505092366</v>
      </c>
    </row>
    <row r="596">
      <c r="A596" s="0" t="n">
        <v>117</v>
      </c>
      <c r="B596" s="0" t="inlineStr">
        <is>
          <t>Strik3r</t>
        </is>
      </c>
      <c r="C596" s="0" t="inlineStr">
        <is>
          <t>Mafia</t>
        </is>
      </c>
      <c r="D596" s="0" t="inlineStr">
        <is>
          <t>Win</t>
        </is>
      </c>
      <c r="E596" s="0" t="n">
        <v>102</v>
      </c>
      <c r="F596" s="0" t="n">
        <v>25.28368192396559</v>
      </c>
      <c r="G596" s="0" t="n">
        <v>26.66854989033087</v>
      </c>
      <c r="H596" s="0" t="n">
        <v>7.233769500515566</v>
      </c>
      <c r="I596" s="0" t="n">
        <v>974</v>
      </c>
      <c r="J596" s="0" t="n">
        <v>1076</v>
      </c>
      <c r="K596" s="0" t="n">
        <v>7.306181466240986</v>
      </c>
    </row>
    <row r="597">
      <c r="A597" s="0" t="n">
        <v>117</v>
      </c>
      <c r="B597" s="0" t="inlineStr">
        <is>
          <t>Laur</t>
        </is>
      </c>
      <c r="C597" s="0" t="inlineStr">
        <is>
          <t>Town</t>
        </is>
      </c>
      <c r="D597" s="0" t="inlineStr">
        <is>
          <t>Loss</t>
        </is>
      </c>
      <c r="E597" s="0" t="n">
        <v>-74</v>
      </c>
      <c r="F597" s="0" t="n">
        <v>33.53844711266437</v>
      </c>
      <c r="G597" s="0" t="n">
        <v>32.38166419982254</v>
      </c>
      <c r="H597" s="0" t="n">
        <v>6.622342354343224</v>
      </c>
      <c r="I597" s="0" t="n">
        <v>1600</v>
      </c>
      <c r="J597" s="0" t="n">
        <v>1526</v>
      </c>
      <c r="K597" s="0" t="n">
        <v>6.677350624296193</v>
      </c>
    </row>
    <row r="598">
      <c r="A598" s="0" t="n">
        <v>117</v>
      </c>
      <c r="B598" s="0" t="inlineStr">
        <is>
          <t>Noah</t>
        </is>
      </c>
      <c r="C598" s="0" t="inlineStr">
        <is>
          <t>Town</t>
        </is>
      </c>
      <c r="D598" s="0" t="inlineStr">
        <is>
          <t>Loss</t>
        </is>
      </c>
      <c r="E598" s="0" t="n">
        <v>-67</v>
      </c>
      <c r="F598" s="0" t="n">
        <v>30.43361990854518</v>
      </c>
      <c r="G598" s="0" t="n">
        <v>29.38167560372252</v>
      </c>
      <c r="H598" s="0" t="n">
        <v>6.319963959106728</v>
      </c>
      <c r="I598" s="0" t="n">
        <v>1420</v>
      </c>
      <c r="J598" s="0" t="n">
        <v>1353</v>
      </c>
      <c r="K598" s="0" t="n">
        <v>6.367511947933266</v>
      </c>
    </row>
    <row r="599">
      <c r="A599" s="0" t="n">
        <v>117</v>
      </c>
      <c r="B599" s="0" t="inlineStr">
        <is>
          <t>Iln</t>
        </is>
      </c>
      <c r="C599" s="0" t="inlineStr">
        <is>
          <t>Town</t>
        </is>
      </c>
      <c r="D599" s="0" t="inlineStr">
        <is>
          <t>Loss</t>
        </is>
      </c>
      <c r="E599" s="0" t="n">
        <v>-69</v>
      </c>
      <c r="F599" s="0" t="n">
        <v>26.36518681475007</v>
      </c>
      <c r="G599" s="0" t="n">
        <v>25.27978834857622</v>
      </c>
      <c r="H599" s="0" t="n">
        <v>6.418104349649727</v>
      </c>
      <c r="I599" s="0" t="n">
        <v>1133</v>
      </c>
      <c r="J599" s="0" t="n">
        <v>1064</v>
      </c>
      <c r="K599" s="0" t="n">
        <v>6.467994585401012</v>
      </c>
    </row>
    <row r="600">
      <c r="A600" s="0" t="n">
        <v>117</v>
      </c>
      <c r="B600" s="0" t="inlineStr">
        <is>
          <t>Brownkow</t>
        </is>
      </c>
      <c r="C600" s="0" t="inlineStr">
        <is>
          <t>Town</t>
        </is>
      </c>
      <c r="D600" s="0" t="inlineStr">
        <is>
          <t>Loss</t>
        </is>
      </c>
      <c r="E600" s="0" t="n">
        <v>-64</v>
      </c>
      <c r="F600" s="0" t="n">
        <v>31.91583896466133</v>
      </c>
      <c r="G600" s="0" t="n">
        <v>30.90933545941785</v>
      </c>
      <c r="H600" s="0" t="n">
        <v>6.184005218164321</v>
      </c>
      <c r="I600" s="0" t="n">
        <v>1535</v>
      </c>
      <c r="J600" s="0" t="n">
        <v>1471</v>
      </c>
      <c r="K600" s="0" t="n">
        <v>6.228430505027442</v>
      </c>
    </row>
    <row r="601">
      <c r="A601" s="0" t="n">
        <v>117</v>
      </c>
      <c r="B601" s="0" t="inlineStr">
        <is>
          <t>Motr</t>
        </is>
      </c>
      <c r="C601" s="0" t="inlineStr">
        <is>
          <t>Town</t>
        </is>
      </c>
      <c r="D601" s="0" t="inlineStr">
        <is>
          <t>Loss</t>
        </is>
      </c>
      <c r="E601" s="0" t="n">
        <v>-93</v>
      </c>
      <c r="F601" s="0" t="n">
        <v>25.97310351198695</v>
      </c>
      <c r="G601" s="0" t="n">
        <v>24.48296042758559</v>
      </c>
      <c r="H601" s="0" t="n">
        <v>7.497887461592909</v>
      </c>
      <c r="I601" s="0" t="n">
        <v>993</v>
      </c>
      <c r="J601" s="0" t="n">
        <v>900</v>
      </c>
      <c r="K601" s="0" t="n">
        <v>7.578846823554499</v>
      </c>
    </row>
    <row r="602">
      <c r="A602" s="0" t="n">
        <v>117</v>
      </c>
      <c r="B602" s="0" t="inlineStr">
        <is>
          <t>Kwix</t>
        </is>
      </c>
      <c r="C602" s="0" t="inlineStr">
        <is>
          <t>Town</t>
        </is>
      </c>
      <c r="D602" s="0" t="inlineStr">
        <is>
          <t>Loss</t>
        </is>
      </c>
      <c r="E602" s="0" t="n">
        <v>-75</v>
      </c>
      <c r="F602" s="0" t="n">
        <v>24.02791931176016</v>
      </c>
      <c r="G602" s="0" t="n">
        <v>22.84275567406713</v>
      </c>
      <c r="H602" s="0" t="n">
        <v>6.701696381803641</v>
      </c>
      <c r="I602" s="0" t="n">
        <v>945</v>
      </c>
      <c r="J602" s="0" t="n">
        <v>870</v>
      </c>
      <c r="K602" s="0" t="n">
        <v>6.758784109815235</v>
      </c>
    </row>
    <row r="603">
      <c r="A603" s="0" t="n">
        <v>117</v>
      </c>
      <c r="B603" s="0" t="inlineStr">
        <is>
          <t>Kden</t>
        </is>
      </c>
      <c r="C603" s="0" t="inlineStr">
        <is>
          <t>Town</t>
        </is>
      </c>
      <c r="D603" s="0" t="inlineStr">
        <is>
          <t>Loss</t>
        </is>
      </c>
      <c r="E603" s="0" t="n">
        <v>-75</v>
      </c>
      <c r="F603" s="0" t="n">
        <v>25.25357241038115</v>
      </c>
      <c r="G603" s="0" t="n">
        <v>24.06252555401545</v>
      </c>
      <c r="H603" s="0" t="n">
        <v>6.718020570034938</v>
      </c>
      <c r="I603" s="0" t="n">
        <v>1026</v>
      </c>
      <c r="J603" s="0" t="n">
        <v>951</v>
      </c>
      <c r="K603" s="0" t="n">
        <v>6.77554249734936</v>
      </c>
    </row>
    <row r="604">
      <c r="A604" s="0" t="n">
        <v>117</v>
      </c>
      <c r="B604" s="0" t="inlineStr">
        <is>
          <t>Smit</t>
        </is>
      </c>
      <c r="C604" s="0" t="inlineStr">
        <is>
          <t>Town</t>
        </is>
      </c>
      <c r="D604" s="0" t="inlineStr">
        <is>
          <t>Loss</t>
        </is>
      </c>
      <c r="E604" s="0" t="n">
        <v>-69</v>
      </c>
      <c r="F604" s="0" t="n">
        <v>27.69214792022054</v>
      </c>
      <c r="G604" s="0" t="n">
        <v>26.60248701085427</v>
      </c>
      <c r="H604" s="0" t="n">
        <v>6.430494057364109</v>
      </c>
      <c r="I604" s="0" t="n">
        <v>1222</v>
      </c>
      <c r="J604" s="0" t="n">
        <v>1153</v>
      </c>
      <c r="K604" s="0" t="n">
        <v>6.480685326943493</v>
      </c>
    </row>
    <row r="605">
      <c r="A605" s="0" t="n">
        <v>117</v>
      </c>
      <c r="B605" s="0" t="inlineStr">
        <is>
          <t>Cj</t>
        </is>
      </c>
      <c r="C605" s="0" t="inlineStr">
        <is>
          <t>Town</t>
        </is>
      </c>
      <c r="D605" s="0" t="inlineStr">
        <is>
          <t>Loss</t>
        </is>
      </c>
      <c r="E605" s="0" t="n">
        <v>-94</v>
      </c>
      <c r="F605" s="0" t="n">
        <v>27.02543362941491</v>
      </c>
      <c r="G605" s="0" t="n">
        <v>25.51641227741182</v>
      </c>
      <c r="H605" s="0" t="n">
        <v>7.544186179886244</v>
      </c>
      <c r="I605" s="0" t="n">
        <v>1060</v>
      </c>
      <c r="J605" s="0" t="n">
        <v>966</v>
      </c>
      <c r="K605" s="0" t="n">
        <v>7.626711338484091</v>
      </c>
    </row>
    <row r="606">
      <c r="A606" s="0" t="n">
        <v>117</v>
      </c>
      <c r="B606" s="0" t="inlineStr">
        <is>
          <t>Aipha</t>
        </is>
      </c>
      <c r="C606" s="0" t="inlineStr">
        <is>
          <t>Town</t>
        </is>
      </c>
      <c r="D606" s="0" t="inlineStr">
        <is>
          <t>Loss</t>
        </is>
      </c>
      <c r="E606" s="0" t="n">
        <v>-89</v>
      </c>
      <c r="F606" s="0" t="n">
        <v>21.38250573159853</v>
      </c>
      <c r="G606" s="0" t="n">
        <v>19.95353041384386</v>
      </c>
      <c r="H606" s="0" t="n">
        <v>7.345685361355666</v>
      </c>
      <c r="I606" s="0" t="n">
        <v>697</v>
      </c>
      <c r="J606" s="0" t="n">
        <v>608</v>
      </c>
      <c r="K606" s="0" t="n">
        <v>7.421640084793713</v>
      </c>
    </row>
    <row r="607">
      <c r="A607" s="0" t="n">
        <v>116</v>
      </c>
      <c r="B607" s="0" t="inlineStr">
        <is>
          <t>Ken</t>
        </is>
      </c>
      <c r="C607" s="0" t="inlineStr">
        <is>
          <t>Mafia</t>
        </is>
      </c>
      <c r="D607" s="0" t="inlineStr">
        <is>
          <t>Loss</t>
        </is>
      </c>
      <c r="E607" s="0" t="n">
        <v>-55</v>
      </c>
      <c r="F607" s="0" t="n">
        <v>23.24971394188093</v>
      </c>
      <c r="G607" s="0" t="n">
        <v>22.33291331615502</v>
      </c>
      <c r="H607" s="0" t="n">
        <v>7.951688162542209</v>
      </c>
      <c r="I607" s="0" t="n">
        <v>763</v>
      </c>
      <c r="J607" s="0" t="n">
        <v>708</v>
      </c>
      <c r="K607" s="0" t="n">
        <v>8.023381418082741</v>
      </c>
    </row>
    <row r="608">
      <c r="A608" s="0" t="n">
        <v>116</v>
      </c>
      <c r="B608" s="0" t="inlineStr">
        <is>
          <t>Kden</t>
        </is>
      </c>
      <c r="C608" s="0" t="inlineStr">
        <is>
          <t>Mafia</t>
        </is>
      </c>
      <c r="D608" s="0" t="inlineStr">
        <is>
          <t>Loss</t>
        </is>
      </c>
      <c r="E608" s="0" t="n">
        <v>-41</v>
      </c>
      <c r="F608" s="0" t="n">
        <v>25.91586062755315</v>
      </c>
      <c r="G608" s="0" t="n">
        <v>25.25357241038115</v>
      </c>
      <c r="H608" s="0" t="n">
        <v>6.77554249734936</v>
      </c>
      <c r="I608" s="0" t="n">
        <v>1067</v>
      </c>
      <c r="J608" s="0" t="n">
        <v>1026</v>
      </c>
      <c r="K608" s="0" t="n">
        <v>6.819154634258524</v>
      </c>
    </row>
    <row r="609">
      <c r="A609" s="0" t="n">
        <v>116</v>
      </c>
      <c r="B609" s="0" t="inlineStr">
        <is>
          <t>Decode</t>
        </is>
      </c>
      <c r="C609" s="0" t="inlineStr">
        <is>
          <t>Mafia</t>
        </is>
      </c>
      <c r="D609" s="0" t="inlineStr">
        <is>
          <t>Loss</t>
        </is>
      </c>
      <c r="E609" s="0" t="n">
        <v>-56</v>
      </c>
      <c r="F609" s="0" t="n">
        <v>24.4493225342289</v>
      </c>
      <c r="G609" s="0" t="n">
        <v>23.5191080937284</v>
      </c>
      <c r="H609" s="0" t="n">
        <v>8.008577257756384</v>
      </c>
      <c r="I609" s="0" t="n">
        <v>838</v>
      </c>
      <c r="J609" s="0" t="n">
        <v>782</v>
      </c>
      <c r="K609" s="0" t="n">
        <v>8.081872836560652</v>
      </c>
    </row>
    <row r="610">
      <c r="A610" s="0" t="n">
        <v>116</v>
      </c>
      <c r="B610" s="0" t="inlineStr">
        <is>
          <t>Brownkow</t>
        </is>
      </c>
      <c r="C610" s="0" t="inlineStr">
        <is>
          <t>Town</t>
        </is>
      </c>
      <c r="D610" s="0" t="inlineStr">
        <is>
          <t>Win</t>
        </is>
      </c>
      <c r="E610" s="0" t="n">
        <v>41</v>
      </c>
      <c r="F610" s="0" t="n">
        <v>31.35733886923952</v>
      </c>
      <c r="G610" s="0" t="n">
        <v>31.91583896466133</v>
      </c>
      <c r="H610" s="0" t="n">
        <v>6.228430505027442</v>
      </c>
      <c r="I610" s="0" t="n">
        <v>1494</v>
      </c>
      <c r="J610" s="0" t="n">
        <v>1535</v>
      </c>
      <c r="K610" s="0" t="n">
        <v>6.26195543104819</v>
      </c>
    </row>
    <row r="611">
      <c r="A611" s="0" t="n">
        <v>116</v>
      </c>
      <c r="B611" s="0" t="inlineStr">
        <is>
          <t>Iln</t>
        </is>
      </c>
      <c r="C611" s="0" t="inlineStr">
        <is>
          <t>Town</t>
        </is>
      </c>
      <c r="D611" s="0" t="inlineStr">
        <is>
          <t>Win</t>
        </is>
      </c>
      <c r="E611" s="0" t="n">
        <v>45</v>
      </c>
      <c r="F611" s="0" t="n">
        <v>25.76236863809282</v>
      </c>
      <c r="G611" s="0" t="n">
        <v>26.36518681475007</v>
      </c>
      <c r="H611" s="0" t="n">
        <v>6.467994585401012</v>
      </c>
      <c r="I611" s="0" t="n">
        <v>1088</v>
      </c>
      <c r="J611" s="0" t="n">
        <v>1133</v>
      </c>
      <c r="K611" s="0" t="n">
        <v>6.505723286978372</v>
      </c>
    </row>
    <row r="612">
      <c r="A612" s="0" t="n">
        <v>116</v>
      </c>
      <c r="B612" s="0" t="inlineStr">
        <is>
          <t>Badpants</t>
        </is>
      </c>
      <c r="C612" s="0" t="inlineStr">
        <is>
          <t>Town</t>
        </is>
      </c>
      <c r="D612" s="0" t="inlineStr">
        <is>
          <t>Win</t>
        </is>
      </c>
      <c r="E612" s="0" t="n">
        <v>43</v>
      </c>
      <c r="F612" s="0" t="n">
        <v>20.9515314154099</v>
      </c>
      <c r="G612" s="0" t="n">
        <v>21.53123769641771</v>
      </c>
      <c r="H612" s="0" t="n">
        <v>6.34424370953454</v>
      </c>
      <c r="I612" s="0" t="n">
        <v>774</v>
      </c>
      <c r="J612" s="0" t="n">
        <v>817</v>
      </c>
      <c r="K612" s="0" t="n">
        <v>6.379760496452159</v>
      </c>
    </row>
    <row r="613">
      <c r="A613" s="0" t="n">
        <v>116</v>
      </c>
      <c r="B613" s="0" t="inlineStr">
        <is>
          <t>Rocker</t>
        </is>
      </c>
      <c r="C613" s="0" t="inlineStr">
        <is>
          <t>Town</t>
        </is>
      </c>
      <c r="D613" s="0" t="inlineStr">
        <is>
          <t>Win</t>
        </is>
      </c>
      <c r="E613" s="0" t="n">
        <v>39</v>
      </c>
      <c r="F613" s="0" t="n">
        <v>30.54607197218938</v>
      </c>
      <c r="G613" s="0" t="n">
        <v>31.08178155938305</v>
      </c>
      <c r="H613" s="0" t="n">
        <v>6.101401657890578</v>
      </c>
      <c r="I613" s="0" t="n">
        <v>1452</v>
      </c>
      <c r="J613" s="0" t="n">
        <v>1491</v>
      </c>
      <c r="K613" s="0" t="n">
        <v>6.132826801128851</v>
      </c>
    </row>
    <row r="614">
      <c r="A614" s="0" t="n">
        <v>116</v>
      </c>
      <c r="B614" s="0" t="inlineStr">
        <is>
          <t>Gilbert</t>
        </is>
      </c>
      <c r="C614" s="0" t="inlineStr">
        <is>
          <t>Town</t>
        </is>
      </c>
      <c r="D614" s="0" t="inlineStr">
        <is>
          <t>Win</t>
        </is>
      </c>
      <c r="E614" s="0" t="n">
        <v>62</v>
      </c>
      <c r="F614" s="0" t="n">
        <v>21.66799562336579</v>
      </c>
      <c r="G614" s="0" t="n">
        <v>22.48977290958273</v>
      </c>
      <c r="H614" s="0" t="n">
        <v>7.535460541731187</v>
      </c>
      <c r="I614" s="0" t="n">
        <v>699</v>
      </c>
      <c r="J614" s="0" t="n">
        <v>761</v>
      </c>
      <c r="K614" s="0" t="n">
        <v>7.596143385893241</v>
      </c>
    </row>
    <row r="615">
      <c r="A615" s="0" t="n">
        <v>116</v>
      </c>
      <c r="B615" s="0" t="inlineStr">
        <is>
          <t>Chester</t>
        </is>
      </c>
      <c r="C615" s="0" t="inlineStr">
        <is>
          <t>Town</t>
        </is>
      </c>
      <c r="D615" s="0" t="inlineStr">
        <is>
          <t>Win</t>
        </is>
      </c>
      <c r="E615" s="0" t="n">
        <v>59</v>
      </c>
      <c r="F615" s="0" t="n">
        <v>27.1826426597871</v>
      </c>
      <c r="G615" s="0" t="n">
        <v>27.965900254967</v>
      </c>
      <c r="H615" s="0" t="n">
        <v>7.359551755388708</v>
      </c>
      <c r="I615" s="0" t="n">
        <v>1092</v>
      </c>
      <c r="J615" s="0" t="n">
        <v>1151</v>
      </c>
      <c r="K615" s="0" t="n">
        <v>7.415945747636185</v>
      </c>
    </row>
    <row r="616">
      <c r="A616" s="0" t="n">
        <v>116</v>
      </c>
      <c r="B616" s="0" t="inlineStr">
        <is>
          <t>Smit</t>
        </is>
      </c>
      <c r="C616" s="0" t="inlineStr">
        <is>
          <t>Town</t>
        </is>
      </c>
      <c r="D616" s="0" t="inlineStr">
        <is>
          <t>Win</t>
        </is>
      </c>
      <c r="E616" s="0" t="n">
        <v>45</v>
      </c>
      <c r="F616" s="0" t="n">
        <v>27.08693313673446</v>
      </c>
      <c r="G616" s="0" t="n">
        <v>27.69214792022054</v>
      </c>
      <c r="H616" s="0" t="n">
        <v>6.480685326943493</v>
      </c>
      <c r="I616" s="0" t="n">
        <v>1177</v>
      </c>
      <c r="J616" s="0" t="n">
        <v>1222</v>
      </c>
      <c r="K616" s="0" t="n">
        <v>6.518645816441587</v>
      </c>
    </row>
    <row r="617">
      <c r="A617" s="0" t="n">
        <v>116</v>
      </c>
      <c r="B617" s="0" t="inlineStr">
        <is>
          <t>Heckmuffins</t>
        </is>
      </c>
      <c r="C617" s="0" t="inlineStr">
        <is>
          <t>Town</t>
        </is>
      </c>
      <c r="D617" s="0" t="inlineStr">
        <is>
          <t>Win</t>
        </is>
      </c>
      <c r="E617" s="0" t="n">
        <v>70</v>
      </c>
      <c r="F617" s="0" t="n">
        <v>27.29102126660322</v>
      </c>
      <c r="G617" s="0" t="n">
        <v>28.21548828026938</v>
      </c>
      <c r="H617" s="0" t="n">
        <v>7.984255370230027</v>
      </c>
      <c r="I617" s="0" t="n">
        <v>1034</v>
      </c>
      <c r="J617" s="0" t="n">
        <v>1104</v>
      </c>
      <c r="K617" s="0" t="n">
        <v>8.056862970084163</v>
      </c>
    </row>
    <row r="618">
      <c r="A618" s="0" t="n">
        <v>116</v>
      </c>
      <c r="B618" s="0" t="inlineStr">
        <is>
          <t>Mintt</t>
        </is>
      </c>
      <c r="C618" s="0" t="inlineStr">
        <is>
          <t>Town</t>
        </is>
      </c>
      <c r="D618" s="0" t="inlineStr">
        <is>
          <t>Win</t>
        </is>
      </c>
      <c r="E618" s="0" t="n">
        <v>52</v>
      </c>
      <c r="F618" s="0" t="n">
        <v>27.90486472661026</v>
      </c>
      <c r="G618" s="0" t="n">
        <v>28.58966728184113</v>
      </c>
      <c r="H618" s="0" t="n">
        <v>6.888208433511109</v>
      </c>
      <c r="I618" s="0" t="n">
        <v>1190</v>
      </c>
      <c r="J618" s="0" t="n">
        <v>1242</v>
      </c>
      <c r="K618" s="0" t="n">
        <v>6.934118287358898</v>
      </c>
    </row>
    <row r="619">
      <c r="A619" s="0" t="n">
        <v>116</v>
      </c>
      <c r="B619" s="0" t="inlineStr">
        <is>
          <t>Rick</t>
        </is>
      </c>
      <c r="C619" s="0" t="inlineStr">
        <is>
          <t>Town</t>
        </is>
      </c>
      <c r="D619" s="0" t="inlineStr">
        <is>
          <t>Win</t>
        </is>
      </c>
      <c r="E619" s="0" t="n">
        <v>62</v>
      </c>
      <c r="F619" s="0" t="n">
        <v>26.56522102221375</v>
      </c>
      <c r="G619" s="0" t="n">
        <v>27.39347200056565</v>
      </c>
      <c r="H619" s="0" t="n">
        <v>7.564596146442656</v>
      </c>
      <c r="I619" s="0" t="n">
        <v>1029</v>
      </c>
      <c r="J619" s="0" t="n">
        <v>1091</v>
      </c>
      <c r="K619" s="0" t="n">
        <v>7.626009820971984</v>
      </c>
    </row>
    <row r="620">
      <c r="A620" s="0" t="n">
        <v>115</v>
      </c>
      <c r="B620" s="0" t="inlineStr">
        <is>
          <t>Iln</t>
        </is>
      </c>
      <c r="C620" s="0" t="inlineStr">
        <is>
          <t>Mafia</t>
        </is>
      </c>
      <c r="D620" s="0" t="inlineStr">
        <is>
          <t>Win</t>
        </is>
      </c>
      <c r="E620" s="0" t="n">
        <v>48</v>
      </c>
      <c r="F620" s="0" t="n">
        <v>25.11863550007253</v>
      </c>
      <c r="G620" s="0" t="n">
        <v>25.76236863809282</v>
      </c>
      <c r="H620" s="0" t="n">
        <v>6.505723286978372</v>
      </c>
      <c r="I620" s="0" t="n">
        <v>1040</v>
      </c>
      <c r="J620" s="0" t="n">
        <v>1088</v>
      </c>
      <c r="K620" s="0" t="n">
        <v>6.547238166051607</v>
      </c>
    </row>
    <row r="621">
      <c r="A621" s="0" t="n">
        <v>115</v>
      </c>
      <c r="B621" s="0" t="inlineStr">
        <is>
          <t>Rocker</t>
        </is>
      </c>
      <c r="C621" s="0" t="inlineStr">
        <is>
          <t>Mafia</t>
        </is>
      </c>
      <c r="D621" s="0" t="inlineStr">
        <is>
          <t>Win</t>
        </is>
      </c>
      <c r="E621" s="0" t="n">
        <v>43</v>
      </c>
      <c r="F621" s="0" t="n">
        <v>29.97485829729932</v>
      </c>
      <c r="G621" s="0" t="n">
        <v>30.54607197218938</v>
      </c>
      <c r="H621" s="0" t="n">
        <v>6.132826801128851</v>
      </c>
      <c r="I621" s="0" t="n">
        <v>1409</v>
      </c>
      <c r="J621" s="0" t="n">
        <v>1452</v>
      </c>
      <c r="K621" s="0" t="n">
        <v>6.167342577472168</v>
      </c>
    </row>
    <row r="622">
      <c r="A622" s="0" t="n">
        <v>115</v>
      </c>
      <c r="B622" s="0" t="inlineStr">
        <is>
          <t>Smit</t>
        </is>
      </c>
      <c r="C622" s="0" t="inlineStr">
        <is>
          <t>Mafia</t>
        </is>
      </c>
      <c r="D622" s="0" t="inlineStr">
        <is>
          <t>Win</t>
        </is>
      </c>
      <c r="E622" s="0" t="n">
        <v>48</v>
      </c>
      <c r="F622" s="0" t="n">
        <v>26.44060616402255</v>
      </c>
      <c r="G622" s="0" t="n">
        <v>27.08693313673446</v>
      </c>
      <c r="H622" s="0" t="n">
        <v>6.518645816441587</v>
      </c>
      <c r="I622" s="0" t="n">
        <v>1129</v>
      </c>
      <c r="J622" s="0" t="n">
        <v>1177</v>
      </c>
      <c r="K622" s="0" t="n">
        <v>6.560418576933155</v>
      </c>
    </row>
    <row r="623">
      <c r="A623" s="0" t="n">
        <v>115</v>
      </c>
      <c r="B623" s="0" t="inlineStr">
        <is>
          <t>Lofty</t>
        </is>
      </c>
      <c r="C623" s="0" t="inlineStr">
        <is>
          <t>Town</t>
        </is>
      </c>
      <c r="D623" s="0" t="inlineStr">
        <is>
          <t>Loss</t>
        </is>
      </c>
      <c r="E623" s="0" t="n">
        <v>-53</v>
      </c>
      <c r="F623" s="0" t="n">
        <v>22.95223001478333</v>
      </c>
      <c r="G623" s="0" t="n">
        <v>22.07003703933147</v>
      </c>
      <c r="H623" s="0" t="n">
        <v>7.597540574898539</v>
      </c>
      <c r="I623" s="0" t="n">
        <v>779</v>
      </c>
      <c r="J623" s="0" t="n">
        <v>726</v>
      </c>
      <c r="K623" s="0" t="n">
        <v>7.664797688354454</v>
      </c>
    </row>
    <row r="624">
      <c r="A624" s="0" t="n">
        <v>115</v>
      </c>
      <c r="B624" s="0" t="inlineStr">
        <is>
          <t>Cyclone</t>
        </is>
      </c>
      <c r="C624" s="0" t="inlineStr">
        <is>
          <t>Town</t>
        </is>
      </c>
      <c r="D624" s="0" t="inlineStr">
        <is>
          <t>Loss</t>
        </is>
      </c>
      <c r="E624" s="0" t="n">
        <v>-60</v>
      </c>
      <c r="F624" s="0" t="n">
        <v>25.20353911978681</v>
      </c>
      <c r="G624" s="0" t="n">
        <v>24.19872523770254</v>
      </c>
      <c r="H624" s="0" t="n">
        <v>8.098253953829797</v>
      </c>
      <c r="I624" s="0" t="n">
        <v>879</v>
      </c>
      <c r="J624" s="0" t="n">
        <v>819</v>
      </c>
      <c r="K624" s="0" t="n">
        <v>8.180243327220134</v>
      </c>
    </row>
    <row r="625">
      <c r="A625" s="0" t="n">
        <v>115</v>
      </c>
      <c r="B625" s="0" t="inlineStr">
        <is>
          <t>Laur</t>
        </is>
      </c>
      <c r="C625" s="0" t="inlineStr">
        <is>
          <t>Town</t>
        </is>
      </c>
      <c r="D625" s="0" t="inlineStr">
        <is>
          <t>Loss</t>
        </is>
      </c>
      <c r="E625" s="0" t="n">
        <v>-41</v>
      </c>
      <c r="F625" s="0" t="n">
        <v>34.21707252019608</v>
      </c>
      <c r="G625" s="0" t="n">
        <v>33.53844711266437</v>
      </c>
      <c r="H625" s="0" t="n">
        <v>6.677350624296193</v>
      </c>
      <c r="I625" s="0" t="n">
        <v>1641</v>
      </c>
      <c r="J625" s="0" t="n">
        <v>1600</v>
      </c>
      <c r="K625" s="0" t="n">
        <v>6.722377059990408</v>
      </c>
    </row>
    <row r="626">
      <c r="A626" s="0" t="n">
        <v>115</v>
      </c>
      <c r="B626" s="0" t="inlineStr">
        <is>
          <t>Decode</t>
        </is>
      </c>
      <c r="C626" s="0" t="inlineStr">
        <is>
          <t>Town</t>
        </is>
      </c>
      <c r="D626" s="0" t="inlineStr">
        <is>
          <t>Loss</t>
        </is>
      </c>
      <c r="E626" s="0" t="n">
        <v>-60</v>
      </c>
      <c r="F626" s="0" t="n">
        <v>25.44999081102127</v>
      </c>
      <c r="G626" s="0" t="n">
        <v>24.4493225342289</v>
      </c>
      <c r="H626" s="0" t="n">
        <v>8.081872836560652</v>
      </c>
      <c r="I626" s="0" t="n">
        <v>898</v>
      </c>
      <c r="J626" s="0" t="n">
        <v>838</v>
      </c>
      <c r="K626" s="0" t="n">
        <v>8.163348562223879</v>
      </c>
    </row>
    <row r="627">
      <c r="A627" s="0" t="n">
        <v>115</v>
      </c>
      <c r="B627" s="0" t="inlineStr">
        <is>
          <t>Creatchee</t>
        </is>
      </c>
      <c r="C627" s="0" t="inlineStr">
        <is>
          <t>Town</t>
        </is>
      </c>
      <c r="D627" s="0" t="inlineStr">
        <is>
          <t>Loss</t>
        </is>
      </c>
      <c r="E627" s="0" t="n">
        <v>-44</v>
      </c>
      <c r="F627" s="0" t="n">
        <v>35.23629929426358</v>
      </c>
      <c r="G627" s="0" t="n">
        <v>34.51678888278092</v>
      </c>
      <c r="H627" s="0" t="n">
        <v>6.872703809377864</v>
      </c>
      <c r="I627" s="0" t="n">
        <v>1690</v>
      </c>
      <c r="J627" s="0" t="n">
        <v>1646</v>
      </c>
      <c r="K627" s="0" t="n">
        <v>6.921959956132942</v>
      </c>
    </row>
    <row r="628">
      <c r="A628" s="0" t="n">
        <v>115</v>
      </c>
      <c r="B628" s="0" t="inlineStr">
        <is>
          <t>Cj</t>
        </is>
      </c>
      <c r="C628" s="0" t="inlineStr">
        <is>
          <t>Town</t>
        </is>
      </c>
      <c r="D628" s="0" t="inlineStr">
        <is>
          <t>Loss</t>
        </is>
      </c>
      <c r="E628" s="0" t="n">
        <v>-53</v>
      </c>
      <c r="F628" s="0" t="n">
        <v>27.91453906809963</v>
      </c>
      <c r="G628" s="0" t="n">
        <v>27.02543362941491</v>
      </c>
      <c r="H628" s="0" t="n">
        <v>7.626711338484091</v>
      </c>
      <c r="I628" s="0" t="n">
        <v>1113</v>
      </c>
      <c r="J628" s="0" t="n">
        <v>1060</v>
      </c>
      <c r="K628" s="0" t="n">
        <v>7.694773121554476</v>
      </c>
    </row>
    <row r="629">
      <c r="A629" s="0" t="n">
        <v>115</v>
      </c>
      <c r="B629" s="0" t="inlineStr">
        <is>
          <t>Plen</t>
        </is>
      </c>
      <c r="C629" s="0" t="inlineStr">
        <is>
          <t>Town</t>
        </is>
      </c>
      <c r="D629" s="0" t="inlineStr">
        <is>
          <t>Loss</t>
        </is>
      </c>
      <c r="E629" s="0" t="n">
        <v>-37</v>
      </c>
      <c r="F629" s="0" t="n">
        <v>20.15605012337138</v>
      </c>
      <c r="G629" s="0" t="n">
        <v>19.5653520818352</v>
      </c>
      <c r="H629" s="0" t="n">
        <v>6.235317505092366</v>
      </c>
      <c r="I629" s="0" t="n">
        <v>731</v>
      </c>
      <c r="J629" s="0" t="n">
        <v>694</v>
      </c>
      <c r="K629" s="0" t="n">
        <v>6.271673245296691</v>
      </c>
    </row>
    <row r="630">
      <c r="A630" s="0" t="n">
        <v>115</v>
      </c>
      <c r="B630" s="0" t="inlineStr">
        <is>
          <t>Carson</t>
        </is>
      </c>
      <c r="C630" s="0" t="inlineStr">
        <is>
          <t>Town</t>
        </is>
      </c>
      <c r="D630" s="0" t="inlineStr">
        <is>
          <t>Loss</t>
        </is>
      </c>
      <c r="E630" s="0" t="n">
        <v>-37</v>
      </c>
      <c r="F630" s="0" t="n">
        <v>29.94766093972853</v>
      </c>
      <c r="G630" s="0" t="n">
        <v>29.33392687475177</v>
      </c>
      <c r="H630" s="0" t="n">
        <v>6.354255617947877</v>
      </c>
      <c r="I630" s="0" t="n">
        <v>1384</v>
      </c>
      <c r="J630" s="0" t="n">
        <v>1347</v>
      </c>
      <c r="K630" s="0" t="n">
        <v>6.392825422570416</v>
      </c>
    </row>
    <row r="631">
      <c r="A631" s="0" t="n">
        <v>115</v>
      </c>
      <c r="B631" s="0" t="inlineStr">
        <is>
          <t>Gilbert</t>
        </is>
      </c>
      <c r="C631" s="0" t="inlineStr">
        <is>
          <t>Town</t>
        </is>
      </c>
      <c r="D631" s="0" t="inlineStr">
        <is>
          <t>Loss</t>
        </is>
      </c>
      <c r="E631" s="0" t="n">
        <v>-53</v>
      </c>
      <c r="F631" s="0" t="n">
        <v>22.54985822766195</v>
      </c>
      <c r="G631" s="0" t="n">
        <v>21.66799562336579</v>
      </c>
      <c r="H631" s="0" t="n">
        <v>7.596143385893241</v>
      </c>
      <c r="I631" s="0" t="n">
        <v>752</v>
      </c>
      <c r="J631" s="0" t="n">
        <v>699</v>
      </c>
      <c r="K631" s="0" t="n">
        <v>7.663362120194916</v>
      </c>
    </row>
    <row r="632">
      <c r="A632" s="0" t="n">
        <v>115</v>
      </c>
      <c r="B632" s="0" t="inlineStr">
        <is>
          <t>Lou</t>
        </is>
      </c>
      <c r="C632" s="0" t="inlineStr">
        <is>
          <t>Town</t>
        </is>
      </c>
      <c r="D632" s="0" t="inlineStr">
        <is>
          <t>Loss</t>
        </is>
      </c>
      <c r="E632" s="0" t="n">
        <v>-39</v>
      </c>
      <c r="F632" s="0" t="n">
        <v>27.90149790357536</v>
      </c>
      <c r="G632" s="0" t="n">
        <v>27.2679003335901</v>
      </c>
      <c r="H632" s="0" t="n">
        <v>6.454966354536578</v>
      </c>
      <c r="I632" s="0" t="n">
        <v>1235</v>
      </c>
      <c r="J632" s="0" t="n">
        <v>1196</v>
      </c>
      <c r="K632" s="0" t="n">
        <v>6.495478466272524</v>
      </c>
    </row>
    <row r="633">
      <c r="A633" s="0" t="n">
        <v>114</v>
      </c>
      <c r="B633" s="0" t="inlineStr">
        <is>
          <t>Brownkow</t>
        </is>
      </c>
      <c r="C633" s="0" t="inlineStr">
        <is>
          <t>Mafia</t>
        </is>
      </c>
      <c r="D633" s="0" t="inlineStr">
        <is>
          <t>Win</t>
        </is>
      </c>
      <c r="E633" s="0" t="n">
        <v>27</v>
      </c>
      <c r="F633" s="0" t="n">
        <v>31.01141800392621</v>
      </c>
      <c r="G633" s="0" t="n">
        <v>31.35733886923952</v>
      </c>
      <c r="H633" s="0" t="n">
        <v>6.26195543104819</v>
      </c>
      <c r="I633" s="0" t="n">
        <v>1467</v>
      </c>
      <c r="J633" s="0" t="n">
        <v>1494</v>
      </c>
      <c r="K633" s="0" t="n">
        <v>6.287370504446653</v>
      </c>
    </row>
    <row r="634">
      <c r="A634" s="0" t="n">
        <v>114</v>
      </c>
      <c r="B634" s="0" t="inlineStr">
        <is>
          <t>Strik3r</t>
        </is>
      </c>
      <c r="C634" s="0" t="inlineStr">
        <is>
          <t>Mafia</t>
        </is>
      </c>
      <c r="D634" s="0" t="inlineStr">
        <is>
          <t>Win</t>
        </is>
      </c>
      <c r="E634" s="0" t="n">
        <v>36</v>
      </c>
      <c r="F634" s="0" t="n">
        <v>24.81132379380316</v>
      </c>
      <c r="G634" s="0" t="n">
        <v>25.28368192396559</v>
      </c>
      <c r="H634" s="0" t="n">
        <v>7.306181466240986</v>
      </c>
      <c r="I634" s="0" t="n">
        <v>938</v>
      </c>
      <c r="J634" s="0" t="n">
        <v>974</v>
      </c>
      <c r="K634" s="0" t="n">
        <v>7.347355852168647</v>
      </c>
    </row>
    <row r="635">
      <c r="A635" s="0" t="n">
        <v>114</v>
      </c>
      <c r="B635" s="0" t="inlineStr">
        <is>
          <t>Lou</t>
        </is>
      </c>
      <c r="C635" s="0" t="inlineStr">
        <is>
          <t>Mafia</t>
        </is>
      </c>
      <c r="D635" s="0" t="inlineStr">
        <is>
          <t>Win</t>
        </is>
      </c>
      <c r="E635" s="0" t="n">
        <v>28</v>
      </c>
      <c r="F635" s="0" t="n">
        <v>27.52905601892963</v>
      </c>
      <c r="G635" s="0" t="n">
        <v>27.90149790357536</v>
      </c>
      <c r="H635" s="0" t="n">
        <v>6.495478466272524</v>
      </c>
      <c r="I635" s="0" t="n">
        <v>1207</v>
      </c>
      <c r="J635" s="0" t="n">
        <v>1235</v>
      </c>
      <c r="K635" s="0" t="n">
        <v>6.52399836239344</v>
      </c>
    </row>
    <row r="636">
      <c r="A636" s="0" t="n">
        <v>114</v>
      </c>
      <c r="B636" s="0" t="inlineStr">
        <is>
          <t>Kango</t>
        </is>
      </c>
      <c r="C636" s="0" t="inlineStr">
        <is>
          <t>Town</t>
        </is>
      </c>
      <c r="D636" s="0" t="inlineStr">
        <is>
          <t>Loss</t>
        </is>
      </c>
      <c r="E636" s="0" t="n">
        <v>-35</v>
      </c>
      <c r="F636" s="0" t="n">
        <v>25</v>
      </c>
      <c r="G636" s="0" t="n">
        <v>24.39238449726114</v>
      </c>
      <c r="H636" s="0" t="n">
        <v>8.272819575928471</v>
      </c>
      <c r="I636" s="0" t="n">
        <v>850</v>
      </c>
      <c r="J636" s="0" t="n">
        <v>815</v>
      </c>
      <c r="K636" s="0" t="n">
        <v>8.333333333333334</v>
      </c>
    </row>
    <row r="637">
      <c r="A637" s="0" t="n">
        <v>114</v>
      </c>
      <c r="B637" s="0" t="inlineStr">
        <is>
          <t>Chester</t>
        </is>
      </c>
      <c r="C637" s="0" t="inlineStr">
        <is>
          <t>Town</t>
        </is>
      </c>
      <c r="D637" s="0" t="inlineStr">
        <is>
          <t>Loss</t>
        </is>
      </c>
      <c r="E637" s="0" t="n">
        <v>-29</v>
      </c>
      <c r="F637" s="0" t="n">
        <v>27.66947169826895</v>
      </c>
      <c r="G637" s="0" t="n">
        <v>27.1826426597871</v>
      </c>
      <c r="H637" s="0" t="n">
        <v>7.415945747636185</v>
      </c>
      <c r="I637" s="0" t="n">
        <v>1121</v>
      </c>
      <c r="J637" s="0" t="n">
        <v>1092</v>
      </c>
      <c r="K637" s="0" t="n">
        <v>7.459072189209082</v>
      </c>
    </row>
    <row r="638">
      <c r="A638" s="0" t="n">
        <v>114</v>
      </c>
      <c r="B638" s="0" t="inlineStr">
        <is>
          <t>Plen</t>
        </is>
      </c>
      <c r="C638" s="0" t="inlineStr">
        <is>
          <t>Town</t>
        </is>
      </c>
      <c r="D638" s="0" t="inlineStr">
        <is>
          <t>Loss</t>
        </is>
      </c>
      <c r="E638" s="0" t="n">
        <v>-21</v>
      </c>
      <c r="F638" s="0" t="n">
        <v>20.50305459696272</v>
      </c>
      <c r="G638" s="0" t="n">
        <v>20.15605012337138</v>
      </c>
      <c r="H638" s="0" t="n">
        <v>6.271673245296691</v>
      </c>
      <c r="I638" s="0" t="n">
        <v>752</v>
      </c>
      <c r="J638" s="0" t="n">
        <v>731</v>
      </c>
      <c r="K638" s="0" t="n">
        <v>6.297212987224475</v>
      </c>
    </row>
    <row r="639">
      <c r="A639" s="0" t="n">
        <v>114</v>
      </c>
      <c r="B639" s="0" t="inlineStr">
        <is>
          <t>Mintt</t>
        </is>
      </c>
      <c r="C639" s="0" t="inlineStr">
        <is>
          <t>Town</t>
        </is>
      </c>
      <c r="D639" s="0" t="inlineStr">
        <is>
          <t>Loss</t>
        </is>
      </c>
      <c r="E639" s="0" t="n">
        <v>-26</v>
      </c>
      <c r="F639" s="0" t="n">
        <v>28.3298489352126</v>
      </c>
      <c r="G639" s="0" t="n">
        <v>27.90486472661026</v>
      </c>
      <c r="H639" s="0" t="n">
        <v>6.934118287358898</v>
      </c>
      <c r="I639" s="0" t="n">
        <v>1216</v>
      </c>
      <c r="J639" s="0" t="n">
        <v>1190</v>
      </c>
      <c r="K639" s="0" t="n">
        <v>6.969109520054852</v>
      </c>
    </row>
    <row r="640">
      <c r="A640" s="0" t="n">
        <v>114</v>
      </c>
      <c r="B640" s="0" t="inlineStr">
        <is>
          <t>Noah</t>
        </is>
      </c>
      <c r="C640" s="0" t="inlineStr">
        <is>
          <t>Town</t>
        </is>
      </c>
      <c r="D640" s="0" t="inlineStr">
        <is>
          <t>Loss</t>
        </is>
      </c>
      <c r="E640" s="0" t="n">
        <v>-22</v>
      </c>
      <c r="F640" s="0" t="n">
        <v>30.79140423724201</v>
      </c>
      <c r="G640" s="0" t="n">
        <v>30.43361990854518</v>
      </c>
      <c r="H640" s="0" t="n">
        <v>6.367511947933266</v>
      </c>
      <c r="I640" s="0" t="n">
        <v>1442</v>
      </c>
      <c r="J640" s="0" t="n">
        <v>1420</v>
      </c>
      <c r="K640" s="0" t="n">
        <v>6.394302125847116</v>
      </c>
    </row>
    <row r="641">
      <c r="A641" s="0" t="n">
        <v>114</v>
      </c>
      <c r="B641" s="0" t="inlineStr">
        <is>
          <t>Carson</t>
        </is>
      </c>
      <c r="C641" s="0" t="inlineStr">
        <is>
          <t>Town</t>
        </is>
      </c>
      <c r="D641" s="0" t="inlineStr">
        <is>
          <t>Loss</t>
        </is>
      </c>
      <c r="E641" s="0" t="n">
        <v>-22</v>
      </c>
      <c r="F641" s="0" t="n">
        <v>30.30832075896398</v>
      </c>
      <c r="G641" s="0" t="n">
        <v>29.94766093972853</v>
      </c>
      <c r="H641" s="0" t="n">
        <v>6.392825422570416</v>
      </c>
      <c r="I641" s="0" t="n">
        <v>1406</v>
      </c>
      <c r="J641" s="0" t="n">
        <v>1384</v>
      </c>
      <c r="K641" s="0" t="n">
        <v>6.419952269236003</v>
      </c>
    </row>
    <row r="642">
      <c r="A642" s="0" t="n">
        <v>114</v>
      </c>
      <c r="B642" s="0" t="inlineStr">
        <is>
          <t>Iln</t>
        </is>
      </c>
      <c r="C642" s="0" t="inlineStr">
        <is>
          <t>Town</t>
        </is>
      </c>
      <c r="D642" s="0" t="inlineStr">
        <is>
          <t>Loss</t>
        </is>
      </c>
      <c r="E642" s="0" t="n">
        <v>-23</v>
      </c>
      <c r="F642" s="0" t="n">
        <v>25.49709193124047</v>
      </c>
      <c r="G642" s="0" t="n">
        <v>25.11863550007253</v>
      </c>
      <c r="H642" s="0" t="n">
        <v>6.547238166051607</v>
      </c>
      <c r="I642" s="0" t="n">
        <v>1063</v>
      </c>
      <c r="J642" s="0" t="n">
        <v>1040</v>
      </c>
      <c r="K642" s="0" t="n">
        <v>6.576477538926205</v>
      </c>
    </row>
    <row r="643">
      <c r="A643" s="0" t="n">
        <v>114</v>
      </c>
      <c r="B643" s="0" t="inlineStr">
        <is>
          <t>Gilbert</t>
        </is>
      </c>
      <c r="C643" s="0" t="inlineStr">
        <is>
          <t>Town</t>
        </is>
      </c>
      <c r="D643" s="0" t="inlineStr">
        <is>
          <t>Loss</t>
        </is>
      </c>
      <c r="E643" s="0" t="n">
        <v>-30</v>
      </c>
      <c r="F643" s="0" t="n">
        <v>23.0701365360692</v>
      </c>
      <c r="G643" s="0" t="n">
        <v>22.54985822766195</v>
      </c>
      <c r="H643" s="0" t="n">
        <v>7.663362120194916</v>
      </c>
      <c r="I643" s="0" t="n">
        <v>782</v>
      </c>
      <c r="J643" s="0" t="n">
        <v>752</v>
      </c>
      <c r="K643" s="0" t="n">
        <v>7.711110767110384</v>
      </c>
    </row>
    <row r="644">
      <c r="A644" s="0" t="n">
        <v>114</v>
      </c>
      <c r="B644" s="0" t="inlineStr">
        <is>
          <t>Kden</t>
        </is>
      </c>
      <c r="C644" s="0" t="inlineStr">
        <is>
          <t>Town</t>
        </is>
      </c>
      <c r="D644" s="0" t="inlineStr">
        <is>
          <t>Loss</t>
        </is>
      </c>
      <c r="E644" s="0" t="n">
        <v>-24</v>
      </c>
      <c r="F644" s="0" t="n">
        <v>26.32672875192496</v>
      </c>
      <c r="G644" s="0" t="n">
        <v>25.91586062755315</v>
      </c>
      <c r="H644" s="0" t="n">
        <v>6.819154634258524</v>
      </c>
      <c r="I644" s="0" t="n">
        <v>1091</v>
      </c>
      <c r="J644" s="0" t="n">
        <v>1067</v>
      </c>
      <c r="K644" s="0" t="n">
        <v>6.852366476035845</v>
      </c>
    </row>
    <row r="645">
      <c r="A645" s="0" t="n">
        <v>114</v>
      </c>
      <c r="B645" s="0" t="inlineStr">
        <is>
          <t>Ken</t>
        </is>
      </c>
      <c r="C645" s="0" t="inlineStr">
        <is>
          <t>Town</t>
        </is>
      </c>
      <c r="D645" s="0" t="inlineStr">
        <is>
          <t>Loss</t>
        </is>
      </c>
      <c r="E645" s="0" t="n">
        <v>-33</v>
      </c>
      <c r="F645" s="0" t="n">
        <v>23.82073072632832</v>
      </c>
      <c r="G645" s="0" t="n">
        <v>23.24971394188093</v>
      </c>
      <c r="H645" s="0" t="n">
        <v>8.023381418082741</v>
      </c>
      <c r="I645" s="0" t="n">
        <v>796</v>
      </c>
      <c r="J645" s="0" t="n">
        <v>763</v>
      </c>
      <c r="K645" s="0" t="n">
        <v>8.078426236786065</v>
      </c>
    </row>
    <row r="646">
      <c r="A646" s="0" t="n">
        <v>114</v>
      </c>
      <c r="B646" s="0" t="inlineStr">
        <is>
          <t>Badpants</t>
        </is>
      </c>
      <c r="C646" s="0" t="inlineStr">
        <is>
          <t>Town</t>
        </is>
      </c>
      <c r="D646" s="0" t="inlineStr">
        <is>
          <t>Loss</t>
        </is>
      </c>
      <c r="E646" s="0" t="n">
        <v>-22</v>
      </c>
      <c r="F646" s="0" t="n">
        <v>21.31070564594759</v>
      </c>
      <c r="G646" s="0" t="n">
        <v>20.9515314154099</v>
      </c>
      <c r="H646" s="0" t="n">
        <v>6.379760496452159</v>
      </c>
      <c r="I646" s="0" t="n">
        <v>796</v>
      </c>
      <c r="J646" s="0" t="n">
        <v>774</v>
      </c>
      <c r="K646" s="0" t="n">
        <v>6.406713243910776</v>
      </c>
    </row>
    <row r="647">
      <c r="A647" s="0" t="n">
        <v>113</v>
      </c>
      <c r="B647" s="0" t="inlineStr">
        <is>
          <t>Plen</t>
        </is>
      </c>
      <c r="C647" s="0" t="inlineStr">
        <is>
          <t>Mafia</t>
        </is>
      </c>
      <c r="D647" s="0" t="inlineStr">
        <is>
          <t>Win</t>
        </is>
      </c>
      <c r="E647" s="0" t="n">
        <v>41</v>
      </c>
      <c r="F647" s="0" t="n">
        <v>19.95552173184961</v>
      </c>
      <c r="G647" s="0" t="n">
        <v>20.50305459696272</v>
      </c>
      <c r="H647" s="0" t="n">
        <v>6.297212987224475</v>
      </c>
      <c r="I647" s="0" t="n">
        <v>711</v>
      </c>
      <c r="J647" s="0" t="n">
        <v>752</v>
      </c>
      <c r="K647" s="0" t="n">
        <v>6.333060757499356</v>
      </c>
    </row>
    <row r="648">
      <c r="A648" s="0" t="n">
        <v>113</v>
      </c>
      <c r="B648" s="0" t="inlineStr">
        <is>
          <t>Noah</t>
        </is>
      </c>
      <c r="C648" s="0" t="inlineStr">
        <is>
          <t>Mafia</t>
        </is>
      </c>
      <c r="D648" s="0" t="inlineStr">
        <is>
          <t>Win</t>
        </is>
      </c>
      <c r="E648" s="0" t="n">
        <v>43</v>
      </c>
      <c r="F648" s="0" t="n">
        <v>30.22665043332031</v>
      </c>
      <c r="G648" s="0" t="n">
        <v>30.79140423724201</v>
      </c>
      <c r="H648" s="0" t="n">
        <v>6.394302125847116</v>
      </c>
      <c r="I648" s="0" t="n">
        <v>1399</v>
      </c>
      <c r="J648" s="0" t="n">
        <v>1442</v>
      </c>
      <c r="K648" s="0" t="n">
        <v>6.431907524405491</v>
      </c>
    </row>
    <row r="649">
      <c r="A649" s="0" t="n">
        <v>113</v>
      </c>
      <c r="B649" s="0" t="inlineStr">
        <is>
          <t>Brownkow</t>
        </is>
      </c>
      <c r="C649" s="0" t="inlineStr">
        <is>
          <t>Mafia</t>
        </is>
      </c>
      <c r="D649" s="0" t="inlineStr">
        <is>
          <t>Win</t>
        </is>
      </c>
      <c r="E649" s="0" t="n">
        <v>40</v>
      </c>
      <c r="F649" s="0" t="n">
        <v>30.46561550768267</v>
      </c>
      <c r="G649" s="0" t="n">
        <v>31.01141800392621</v>
      </c>
      <c r="H649" s="0" t="n">
        <v>6.287370504446653</v>
      </c>
      <c r="I649" s="0" t="n">
        <v>1427</v>
      </c>
      <c r="J649" s="0" t="n">
        <v>1467</v>
      </c>
      <c r="K649" s="0" t="n">
        <v>6.323043149184393</v>
      </c>
    </row>
    <row r="650">
      <c r="A650" s="0" t="n">
        <v>113</v>
      </c>
      <c r="B650" s="0" t="inlineStr">
        <is>
          <t>Motr</t>
        </is>
      </c>
      <c r="C650" s="0" t="inlineStr">
        <is>
          <t>Town</t>
        </is>
      </c>
      <c r="D650" s="0" t="inlineStr">
        <is>
          <t>Loss</t>
        </is>
      </c>
      <c r="E650" s="0" t="n">
        <v>-48</v>
      </c>
      <c r="F650" s="0" t="n">
        <v>26.77043345429392</v>
      </c>
      <c r="G650" s="0" t="n">
        <v>25.97310351198695</v>
      </c>
      <c r="H650" s="0" t="n">
        <v>7.578846823554499</v>
      </c>
      <c r="I650" s="0" t="n">
        <v>1041</v>
      </c>
      <c r="J650" s="0" t="n">
        <v>993</v>
      </c>
      <c r="K650" s="0" t="n">
        <v>7.642660297949799</v>
      </c>
    </row>
    <row r="651">
      <c r="A651" s="0" t="n">
        <v>113</v>
      </c>
      <c r="B651" s="0" t="inlineStr">
        <is>
          <t>Gilbert</t>
        </is>
      </c>
      <c r="C651" s="0" t="inlineStr">
        <is>
          <t>Town</t>
        </is>
      </c>
      <c r="D651" s="0" t="inlineStr">
        <is>
          <t>Loss</t>
        </is>
      </c>
      <c r="E651" s="0" t="n">
        <v>-50</v>
      </c>
      <c r="F651" s="0" t="n">
        <v>23.89604463425482</v>
      </c>
      <c r="G651" s="0" t="n">
        <v>23.0701365360692</v>
      </c>
      <c r="H651" s="0" t="n">
        <v>7.711110767110384</v>
      </c>
      <c r="I651" s="0" t="n">
        <v>832</v>
      </c>
      <c r="J651" s="0" t="n">
        <v>782</v>
      </c>
      <c r="K651" s="0" t="n">
        <v>7.778442904864683</v>
      </c>
    </row>
    <row r="652">
      <c r="A652" s="0" t="n">
        <v>113</v>
      </c>
      <c r="B652" s="0" t="inlineStr">
        <is>
          <t>Iln</t>
        </is>
      </c>
      <c r="C652" s="0" t="inlineStr">
        <is>
          <t>Town</t>
        </is>
      </c>
      <c r="D652" s="0" t="inlineStr">
        <is>
          <t>Loss</t>
        </is>
      </c>
      <c r="E652" s="0" t="n">
        <v>-36</v>
      </c>
      <c r="F652" s="0" t="n">
        <v>26.0949055099971</v>
      </c>
      <c r="G652" s="0" t="n">
        <v>25.49709193124047</v>
      </c>
      <c r="H652" s="0" t="n">
        <v>6.576477538926205</v>
      </c>
      <c r="I652" s="0" t="n">
        <v>1099</v>
      </c>
      <c r="J652" s="0" t="n">
        <v>1063</v>
      </c>
      <c r="K652" s="0" t="n">
        <v>6.617531232134595</v>
      </c>
    </row>
    <row r="653">
      <c r="A653" s="0" t="n">
        <v>113</v>
      </c>
      <c r="B653" s="0" t="inlineStr">
        <is>
          <t>Whyin</t>
        </is>
      </c>
      <c r="C653" s="0" t="inlineStr">
        <is>
          <t>Town</t>
        </is>
      </c>
      <c r="D653" s="0" t="inlineStr">
        <is>
          <t>Loss</t>
        </is>
      </c>
      <c r="E653" s="0" t="n">
        <v>-39</v>
      </c>
      <c r="F653" s="0" t="n">
        <v>28.15764360871983</v>
      </c>
      <c r="G653" s="0" t="n">
        <v>27.51154708571576</v>
      </c>
      <c r="H653" s="0" t="n">
        <v>6.8333763207852</v>
      </c>
      <c r="I653" s="0" t="n">
        <v>1213</v>
      </c>
      <c r="J653" s="0" t="n">
        <v>1174</v>
      </c>
      <c r="K653" s="0" t="n">
        <v>6.87963693565565</v>
      </c>
    </row>
    <row r="654">
      <c r="A654" s="0" t="n">
        <v>113</v>
      </c>
      <c r="B654" s="0" t="inlineStr">
        <is>
          <t>Rocker</t>
        </is>
      </c>
      <c r="C654" s="0" t="inlineStr">
        <is>
          <t>Town</t>
        </is>
      </c>
      <c r="D654" s="0" t="inlineStr">
        <is>
          <t>Loss</t>
        </is>
      </c>
      <c r="E654" s="0" t="n">
        <v>-32</v>
      </c>
      <c r="F654" s="0" t="n">
        <v>30.49978708700046</v>
      </c>
      <c r="G654" s="0" t="n">
        <v>29.97485829729932</v>
      </c>
      <c r="H654" s="0" t="n">
        <v>6.167342577472168</v>
      </c>
      <c r="I654" s="0" t="n">
        <v>1441</v>
      </c>
      <c r="J654" s="0" t="n">
        <v>1409</v>
      </c>
      <c r="K654" s="0" t="n">
        <v>6.200924207492797</v>
      </c>
    </row>
    <row r="655">
      <c r="A655" s="0" t="n">
        <v>113</v>
      </c>
      <c r="B655" s="0" t="inlineStr">
        <is>
          <t>Strik3r</t>
        </is>
      </c>
      <c r="C655" s="0" t="inlineStr">
        <is>
          <t>Town</t>
        </is>
      </c>
      <c r="D655" s="0" t="inlineStr">
        <is>
          <t>Loss</t>
        </is>
      </c>
      <c r="E655" s="0" t="n">
        <v>-45</v>
      </c>
      <c r="F655" s="0" t="n">
        <v>25.55990785465964</v>
      </c>
      <c r="G655" s="0" t="n">
        <v>24.81132379380316</v>
      </c>
      <c r="H655" s="0" t="n">
        <v>7.347355852168647</v>
      </c>
      <c r="I655" s="0" t="n">
        <v>983</v>
      </c>
      <c r="J655" s="0" t="n">
        <v>938</v>
      </c>
      <c r="K655" s="0" t="n">
        <v>7.405312439444658</v>
      </c>
    </row>
    <row r="656">
      <c r="A656" s="0" t="n">
        <v>113</v>
      </c>
      <c r="B656" s="0" t="inlineStr">
        <is>
          <t>Decode</t>
        </is>
      </c>
      <c r="C656" s="0" t="inlineStr">
        <is>
          <t>Town</t>
        </is>
      </c>
      <c r="D656" s="0" t="inlineStr">
        <is>
          <t>Loss</t>
        </is>
      </c>
      <c r="E656" s="0" t="n">
        <v>-55</v>
      </c>
      <c r="F656" s="0" t="n">
        <v>26.37763816983974</v>
      </c>
      <c r="G656" s="0" t="n">
        <v>25.44999081102127</v>
      </c>
      <c r="H656" s="0" t="n">
        <v>8.163348562223879</v>
      </c>
      <c r="I656" s="0" t="n">
        <v>953</v>
      </c>
      <c r="J656" s="0" t="n">
        <v>898</v>
      </c>
      <c r="K656" s="0" t="n">
        <v>8.243700371404252</v>
      </c>
    </row>
    <row r="657">
      <c r="A657" s="0" t="n">
        <v>113</v>
      </c>
      <c r="B657" s="0" t="inlineStr">
        <is>
          <t>Kden</t>
        </is>
      </c>
      <c r="C657" s="0" t="inlineStr">
        <is>
          <t>Town</t>
        </is>
      </c>
      <c r="D657" s="0" t="inlineStr">
        <is>
          <t>Loss</t>
        </is>
      </c>
      <c r="E657" s="0" t="n">
        <v>-40</v>
      </c>
      <c r="F657" s="0" t="n">
        <v>26.97647191364815</v>
      </c>
      <c r="G657" s="0" t="n">
        <v>26.32672875192496</v>
      </c>
      <c r="H657" s="0" t="n">
        <v>6.852366476035845</v>
      </c>
      <c r="I657" s="0" t="n">
        <v>1131</v>
      </c>
      <c r="J657" s="0" t="n">
        <v>1091</v>
      </c>
      <c r="K657" s="0" t="n">
        <v>6.899028416336372</v>
      </c>
    </row>
    <row r="658">
      <c r="A658" s="0" t="n">
        <v>113</v>
      </c>
      <c r="B658" s="0" t="inlineStr">
        <is>
          <t>Ken</t>
        </is>
      </c>
      <c r="C658" s="0" t="inlineStr">
        <is>
          <t>Town</t>
        </is>
      </c>
      <c r="D658" s="0" t="inlineStr">
        <is>
          <t>Loss</t>
        </is>
      </c>
      <c r="E658" s="0" t="n">
        <v>-54</v>
      </c>
      <c r="F658" s="0" t="n">
        <v>24.72879597976773</v>
      </c>
      <c r="G658" s="0" t="n">
        <v>23.82073072632832</v>
      </c>
      <c r="H658" s="0" t="n">
        <v>8.078426236786065</v>
      </c>
      <c r="I658" s="0" t="n">
        <v>850</v>
      </c>
      <c r="J658" s="0" t="n">
        <v>796</v>
      </c>
      <c r="K658" s="0" t="n">
        <v>8.156213436128462</v>
      </c>
    </row>
    <row r="659">
      <c r="A659" s="0" t="n">
        <v>113</v>
      </c>
      <c r="B659" s="0" t="inlineStr">
        <is>
          <t>Badpants</t>
        </is>
      </c>
      <c r="C659" s="0" t="inlineStr">
        <is>
          <t>Town</t>
        </is>
      </c>
      <c r="D659" s="0" t="inlineStr">
        <is>
          <t>Loss</t>
        </is>
      </c>
      <c r="E659" s="0" t="n">
        <v>-34</v>
      </c>
      <c r="F659" s="0" t="n">
        <v>21.8776807652586</v>
      </c>
      <c r="G659" s="0" t="n">
        <v>21.31070564594759</v>
      </c>
      <c r="H659" s="0" t="n">
        <v>6.406713243910776</v>
      </c>
      <c r="I659" s="0" t="n">
        <v>830</v>
      </c>
      <c r="J659" s="0" t="n">
        <v>796</v>
      </c>
      <c r="K659" s="0" t="n">
        <v>6.444547298217546</v>
      </c>
    </row>
    <row r="660">
      <c r="A660" s="0" t="n">
        <v>112</v>
      </c>
      <c r="B660" s="0" t="inlineStr">
        <is>
          <t>Gilbert</t>
        </is>
      </c>
      <c r="C660" s="0" t="inlineStr">
        <is>
          <t>Mafia</t>
        </is>
      </c>
      <c r="D660" s="0" t="inlineStr">
        <is>
          <t>Loss</t>
        </is>
      </c>
      <c r="E660" s="0" t="n">
        <v>-75</v>
      </c>
      <c r="F660" s="0" t="n">
        <v>25.11955582390869</v>
      </c>
      <c r="G660" s="0" t="n">
        <v>23.89604463425482</v>
      </c>
      <c r="H660" s="0" t="n">
        <v>7.778442904864683</v>
      </c>
      <c r="I660" s="0" t="n">
        <v>907</v>
      </c>
      <c r="J660" s="0" t="n">
        <v>832</v>
      </c>
      <c r="K660" s="0" t="n">
        <v>7.853282207691761</v>
      </c>
    </row>
    <row r="661">
      <c r="A661" s="0" t="n">
        <v>112</v>
      </c>
      <c r="B661" s="0" t="inlineStr">
        <is>
          <t>Chelsea</t>
        </is>
      </c>
      <c r="C661" s="0" t="inlineStr">
        <is>
          <t>Mafia</t>
        </is>
      </c>
      <c r="D661" s="0" t="inlineStr">
        <is>
          <t>Loss</t>
        </is>
      </c>
      <c r="E661" s="0" t="n">
        <v>-83</v>
      </c>
      <c r="F661" s="0" t="n">
        <v>23.3808834210801</v>
      </c>
      <c r="G661" s="0" t="n">
        <v>22.03297086239246</v>
      </c>
      <c r="H661" s="0" t="n">
        <v>8.156213436128462</v>
      </c>
      <c r="I661" s="0" t="n">
        <v>749</v>
      </c>
      <c r="J661" s="0" t="n">
        <v>666</v>
      </c>
      <c r="K661" s="0" t="n">
        <v>8.242924854005254</v>
      </c>
    </row>
    <row r="662">
      <c r="A662" s="0" t="n">
        <v>112</v>
      </c>
      <c r="B662" s="0" t="inlineStr">
        <is>
          <t>Levi</t>
        </is>
      </c>
      <c r="C662" s="0" t="inlineStr">
        <is>
          <t>Mafia</t>
        </is>
      </c>
      <c r="D662" s="0" t="inlineStr">
        <is>
          <t>Loss</t>
        </is>
      </c>
      <c r="E662" s="0" t="n">
        <v>-80</v>
      </c>
      <c r="F662" s="0" t="n">
        <v>28.45122154454261</v>
      </c>
      <c r="G662" s="0" t="n">
        <v>27.14613265934375</v>
      </c>
      <c r="H662" s="0" t="n">
        <v>8.028348597784191</v>
      </c>
      <c r="I662" s="0" t="n">
        <v>1107</v>
      </c>
      <c r="J662" s="0" t="n">
        <v>1027</v>
      </c>
      <c r="K662" s="0" t="n">
        <v>8.110908042945868</v>
      </c>
    </row>
    <row r="663">
      <c r="A663" s="0" t="n">
        <v>112</v>
      </c>
      <c r="B663" s="0" t="inlineStr">
        <is>
          <t>Lou</t>
        </is>
      </c>
      <c r="C663" s="0" t="inlineStr">
        <is>
          <t>Town</t>
        </is>
      </c>
      <c r="D663" s="0" t="inlineStr">
        <is>
          <t>Win</t>
        </is>
      </c>
      <c r="E663" s="0" t="n">
        <v>63</v>
      </c>
      <c r="F663" s="0" t="n">
        <v>26.67337549078677</v>
      </c>
      <c r="G663" s="0" t="n">
        <v>27.52905601892963</v>
      </c>
      <c r="H663" s="0" t="n">
        <v>6.52399836239344</v>
      </c>
      <c r="I663" s="0" t="n">
        <v>1144</v>
      </c>
      <c r="J663" s="0" t="n">
        <v>1207</v>
      </c>
      <c r="K663" s="0" t="n">
        <v>6.567316097990207</v>
      </c>
    </row>
    <row r="664">
      <c r="A664" s="0" t="n">
        <v>112</v>
      </c>
      <c r="B664" s="0" t="inlineStr">
        <is>
          <t>Iln</t>
        </is>
      </c>
      <c r="C664" s="0" t="inlineStr">
        <is>
          <t>Town</t>
        </is>
      </c>
      <c r="D664" s="0" t="inlineStr">
        <is>
          <t>Win</t>
        </is>
      </c>
      <c r="E664" s="0" t="n">
        <v>64</v>
      </c>
      <c r="F664" s="0" t="n">
        <v>25.21416402287162</v>
      </c>
      <c r="G664" s="0" t="n">
        <v>26.0949055099971</v>
      </c>
      <c r="H664" s="0" t="n">
        <v>6.617531232134595</v>
      </c>
      <c r="I664" s="0" t="n">
        <v>1035</v>
      </c>
      <c r="J664" s="0" t="n">
        <v>1099</v>
      </c>
      <c r="K664" s="0" t="n">
        <v>6.662815007496973</v>
      </c>
    </row>
    <row r="665">
      <c r="A665" s="0" t="n">
        <v>112</v>
      </c>
      <c r="B665" s="0" t="inlineStr">
        <is>
          <t>Smit</t>
        </is>
      </c>
      <c r="C665" s="0" t="inlineStr">
        <is>
          <t>Town</t>
        </is>
      </c>
      <c r="D665" s="0" t="inlineStr">
        <is>
          <t>Win</t>
        </is>
      </c>
      <c r="E665" s="0" t="n">
        <v>64</v>
      </c>
      <c r="F665" s="0" t="n">
        <v>25.57521210136312</v>
      </c>
      <c r="G665" s="0" t="n">
        <v>26.44060616402255</v>
      </c>
      <c r="H665" s="0" t="n">
        <v>6.560418576933155</v>
      </c>
      <c r="I665" s="0" t="n">
        <v>1065</v>
      </c>
      <c r="J665" s="0" t="n">
        <v>1129</v>
      </c>
      <c r="K665" s="0" t="n">
        <v>6.604495009299833</v>
      </c>
    </row>
    <row r="666">
      <c r="A666" s="0" t="n">
        <v>112</v>
      </c>
      <c r="B666" s="0" t="inlineStr">
        <is>
          <t>Vandy</t>
        </is>
      </c>
      <c r="C666" s="0" t="inlineStr">
        <is>
          <t>Town</t>
        </is>
      </c>
      <c r="D666" s="0" t="inlineStr">
        <is>
          <t>Win</t>
        </is>
      </c>
      <c r="E666" s="0" t="n">
        <v>100</v>
      </c>
      <c r="F666" s="0" t="n">
        <v>23.92302403775808</v>
      </c>
      <c r="G666" s="0" t="n">
        <v>25.27534340907548</v>
      </c>
      <c r="H666" s="0" t="n">
        <v>8.169247883251822</v>
      </c>
      <c r="I666" s="0" t="n">
        <v>785</v>
      </c>
      <c r="J666" s="0" t="n">
        <v>885</v>
      </c>
      <c r="K666" s="0" t="n">
        <v>8.256390386730793</v>
      </c>
    </row>
    <row r="667">
      <c r="A667" s="0" t="n">
        <v>112</v>
      </c>
      <c r="B667" s="0" t="inlineStr">
        <is>
          <t>Badpants</t>
        </is>
      </c>
      <c r="C667" s="0" t="inlineStr">
        <is>
          <t>Town</t>
        </is>
      </c>
      <c r="D667" s="0" t="inlineStr">
        <is>
          <t>Win</t>
        </is>
      </c>
      <c r="E667" s="0" t="n">
        <v>61</v>
      </c>
      <c r="F667" s="0" t="n">
        <v>21.04299240157088</v>
      </c>
      <c r="G667" s="0" t="n">
        <v>21.8776807652586</v>
      </c>
      <c r="H667" s="0" t="n">
        <v>6.444547298217546</v>
      </c>
      <c r="I667" s="0" t="n">
        <v>769</v>
      </c>
      <c r="J667" s="0" t="n">
        <v>830</v>
      </c>
      <c r="K667" s="0" t="n">
        <v>6.486239921878576</v>
      </c>
    </row>
    <row r="668">
      <c r="A668" s="0" t="n">
        <v>112</v>
      </c>
      <c r="B668" s="0" t="inlineStr">
        <is>
          <t>Cj</t>
        </is>
      </c>
      <c r="C668" s="0" t="inlineStr">
        <is>
          <t>Town</t>
        </is>
      </c>
      <c r="D668" s="0" t="inlineStr">
        <is>
          <t>Win</t>
        </is>
      </c>
      <c r="E668" s="0" t="n">
        <v>88</v>
      </c>
      <c r="F668" s="0" t="n">
        <v>26.71771711400344</v>
      </c>
      <c r="G668" s="0" t="n">
        <v>27.91453906809963</v>
      </c>
      <c r="H668" s="0" t="n">
        <v>7.694773121554476</v>
      </c>
      <c r="I668" s="0" t="n">
        <v>1025</v>
      </c>
      <c r="J668" s="0" t="n">
        <v>1113</v>
      </c>
      <c r="K668" s="0" t="n">
        <v>7.767141547076543</v>
      </c>
    </row>
    <row r="669">
      <c r="A669" s="0" t="n">
        <v>112</v>
      </c>
      <c r="B669" s="0" t="inlineStr">
        <is>
          <t>Carson</t>
        </is>
      </c>
      <c r="C669" s="0" t="inlineStr">
        <is>
          <t>Town</t>
        </is>
      </c>
      <c r="D669" s="0" t="inlineStr">
        <is>
          <t>Win</t>
        </is>
      </c>
      <c r="E669" s="0" t="n">
        <v>60</v>
      </c>
      <c r="F669" s="0" t="n">
        <v>29.48007579648214</v>
      </c>
      <c r="G669" s="0" t="n">
        <v>30.30832075896398</v>
      </c>
      <c r="H669" s="0" t="n">
        <v>6.419952269236003</v>
      </c>
      <c r="I669" s="0" t="n">
        <v>1346</v>
      </c>
      <c r="J669" s="0" t="n">
        <v>1406</v>
      </c>
      <c r="K669" s="0" t="n">
        <v>6.461150086115441</v>
      </c>
    </row>
    <row r="670">
      <c r="A670" s="0" t="n">
        <v>112</v>
      </c>
      <c r="B670" s="0" t="inlineStr">
        <is>
          <t>Ken</t>
        </is>
      </c>
      <c r="C670" s="0" t="inlineStr">
        <is>
          <t>Town</t>
        </is>
      </c>
      <c r="D670" s="0" t="inlineStr">
        <is>
          <t>Win</t>
        </is>
      </c>
      <c r="E670" s="0" t="n">
        <v>101</v>
      </c>
      <c r="F670" s="0" t="n">
        <v>23.3808834210801</v>
      </c>
      <c r="G670" s="0" t="n">
        <v>24.72879597976773</v>
      </c>
      <c r="H670" s="0" t="n">
        <v>8.156213436128462</v>
      </c>
      <c r="I670" s="0" t="n">
        <v>749</v>
      </c>
      <c r="J670" s="0" t="n">
        <v>850</v>
      </c>
      <c r="K670" s="0" t="n">
        <v>8.242924854005254</v>
      </c>
    </row>
    <row r="671">
      <c r="A671" s="0" t="n">
        <v>112</v>
      </c>
      <c r="B671" s="0" t="inlineStr">
        <is>
          <t>Rocker</t>
        </is>
      </c>
      <c r="C671" s="0" t="inlineStr">
        <is>
          <t>Town</t>
        </is>
      </c>
      <c r="D671" s="0" t="inlineStr">
        <is>
          <t>Win</t>
        </is>
      </c>
      <c r="E671" s="0" t="n">
        <v>56</v>
      </c>
      <c r="F671" s="0" t="n">
        <v>29.72777981837531</v>
      </c>
      <c r="G671" s="0" t="n">
        <v>30.49978708700046</v>
      </c>
      <c r="H671" s="0" t="n">
        <v>6.200924207492797</v>
      </c>
      <c r="I671" s="0" t="n">
        <v>1385</v>
      </c>
      <c r="J671" s="0" t="n">
        <v>1441</v>
      </c>
      <c r="K671" s="0" t="n">
        <v>6.237884560037221</v>
      </c>
    </row>
    <row r="672">
      <c r="A672" s="0" t="n">
        <v>112</v>
      </c>
      <c r="B672" s="0" t="inlineStr">
        <is>
          <t>Decode</t>
        </is>
      </c>
      <c r="C672" s="0" t="inlineStr">
        <is>
          <t>Town</t>
        </is>
      </c>
      <c r="D672" s="0" t="inlineStr">
        <is>
          <t>Win</t>
        </is>
      </c>
      <c r="E672" s="0" t="n">
        <v>103</v>
      </c>
      <c r="F672" s="0" t="n">
        <v>25</v>
      </c>
      <c r="G672" s="0" t="n">
        <v>26.37763816983974</v>
      </c>
      <c r="H672" s="0" t="n">
        <v>8.243700371404252</v>
      </c>
      <c r="I672" s="0" t="n">
        <v>850</v>
      </c>
      <c r="J672" s="0" t="n">
        <v>953</v>
      </c>
      <c r="K672" s="0" t="n">
        <v>8.333333333333334</v>
      </c>
    </row>
    <row r="673">
      <c r="A673" s="0" t="n">
        <v>111</v>
      </c>
      <c r="B673" s="0" t="inlineStr">
        <is>
          <t>Laur</t>
        </is>
      </c>
      <c r="C673" s="0" t="inlineStr">
        <is>
          <t>Mafia</t>
        </is>
      </c>
      <c r="D673" s="0" t="inlineStr">
        <is>
          <t>Win</t>
        </is>
      </c>
      <c r="E673" s="0" t="n">
        <v>16</v>
      </c>
      <c r="F673" s="0" t="n">
        <v>34.0090444356213</v>
      </c>
      <c r="G673" s="0" t="n">
        <v>34.21707252019608</v>
      </c>
      <c r="H673" s="0" t="n">
        <v>6.722377059990408</v>
      </c>
      <c r="I673" s="0" t="n">
        <v>1625</v>
      </c>
      <c r="J673" s="0" t="n">
        <v>1641</v>
      </c>
      <c r="K673" s="0" t="n">
        <v>6.744971413785749</v>
      </c>
    </row>
    <row r="674">
      <c r="A674" s="0" t="n">
        <v>111</v>
      </c>
      <c r="B674" s="0" t="inlineStr">
        <is>
          <t>Iln</t>
        </is>
      </c>
      <c r="C674" s="0" t="inlineStr">
        <is>
          <t>Mafia</t>
        </is>
      </c>
      <c r="D674" s="0" t="inlineStr">
        <is>
          <t>Win</t>
        </is>
      </c>
      <c r="E674" s="0" t="n">
        <v>16</v>
      </c>
      <c r="F674" s="0" t="n">
        <v>25.00983121885643</v>
      </c>
      <c r="G674" s="0" t="n">
        <v>25.21416402287162</v>
      </c>
      <c r="H674" s="0" t="n">
        <v>6.662815007496973</v>
      </c>
      <c r="I674" s="0" t="n">
        <v>1019</v>
      </c>
      <c r="J674" s="0" t="n">
        <v>1035</v>
      </c>
      <c r="K674" s="0" t="n">
        <v>6.684782978434263</v>
      </c>
    </row>
    <row r="675">
      <c r="A675" s="0" t="n">
        <v>111</v>
      </c>
      <c r="B675" s="0" t="inlineStr">
        <is>
          <t>Carson</t>
        </is>
      </c>
      <c r="C675" s="0" t="inlineStr">
        <is>
          <t>Mafia</t>
        </is>
      </c>
      <c r="D675" s="0" t="inlineStr">
        <is>
          <t>Win</t>
        </is>
      </c>
      <c r="E675" s="0" t="n">
        <v>15</v>
      </c>
      <c r="F675" s="0" t="n">
        <v>29.28800369580932</v>
      </c>
      <c r="G675" s="0" t="n">
        <v>29.48007579648214</v>
      </c>
      <c r="H675" s="0" t="n">
        <v>6.461150086115441</v>
      </c>
      <c r="I675" s="0" t="n">
        <v>1331</v>
      </c>
      <c r="J675" s="0" t="n">
        <v>1346</v>
      </c>
      <c r="K675" s="0" t="n">
        <v>6.481078865629565</v>
      </c>
    </row>
    <row r="676">
      <c r="A676" s="0" t="n">
        <v>111</v>
      </c>
      <c r="B676" s="0" t="inlineStr">
        <is>
          <t>Strik3r</t>
        </is>
      </c>
      <c r="C676" s="0" t="inlineStr">
        <is>
          <t>Town</t>
        </is>
      </c>
      <c r="D676" s="0" t="inlineStr">
        <is>
          <t>Loss</t>
        </is>
      </c>
      <c r="E676" s="0" t="n">
        <v>-14</v>
      </c>
      <c r="F676" s="0" t="n">
        <v>25.81272926862333</v>
      </c>
      <c r="G676" s="0" t="n">
        <v>25.55990785465964</v>
      </c>
      <c r="H676" s="0" t="n">
        <v>7.405312439444658</v>
      </c>
      <c r="I676" s="0" t="n">
        <v>997</v>
      </c>
      <c r="J676" s="0" t="n">
        <v>983</v>
      </c>
      <c r="K676" s="0" t="n">
        <v>7.43591664171678</v>
      </c>
    </row>
    <row r="677">
      <c r="A677" s="0" t="n">
        <v>111</v>
      </c>
      <c r="B677" s="0" t="inlineStr">
        <is>
          <t>Chester</t>
        </is>
      </c>
      <c r="C677" s="0" t="inlineStr">
        <is>
          <t>Town</t>
        </is>
      </c>
      <c r="D677" s="0" t="inlineStr">
        <is>
          <t>Loss</t>
        </is>
      </c>
      <c r="E677" s="0" t="n">
        <v>-14</v>
      </c>
      <c r="F677" s="0" t="n">
        <v>27.92600912899348</v>
      </c>
      <c r="G677" s="0" t="n">
        <v>27.66947169826895</v>
      </c>
      <c r="H677" s="0" t="n">
        <v>7.459072189209082</v>
      </c>
      <c r="I677" s="0" t="n">
        <v>1135</v>
      </c>
      <c r="J677" s="0" t="n">
        <v>1121</v>
      </c>
      <c r="K677" s="0" t="n">
        <v>7.49037436318627</v>
      </c>
    </row>
    <row r="678">
      <c r="A678" s="0" t="n">
        <v>111</v>
      </c>
      <c r="B678" s="0" t="inlineStr">
        <is>
          <t>Lou</t>
        </is>
      </c>
      <c r="C678" s="0" t="inlineStr">
        <is>
          <t>Town</t>
        </is>
      </c>
      <c r="D678" s="0" t="inlineStr">
        <is>
          <t>Loss</t>
        </is>
      </c>
      <c r="E678" s="0" t="n">
        <v>-11</v>
      </c>
      <c r="F678" s="0" t="n">
        <v>26.87185397919247</v>
      </c>
      <c r="G678" s="0" t="n">
        <v>26.67337549078677</v>
      </c>
      <c r="H678" s="0" t="n">
        <v>6.567316097990207</v>
      </c>
      <c r="I678" s="0" t="n">
        <v>1155</v>
      </c>
      <c r="J678" s="0" t="n">
        <v>1144</v>
      </c>
      <c r="K678" s="0" t="n">
        <v>6.588302835956995</v>
      </c>
    </row>
    <row r="679">
      <c r="A679" s="0" t="n">
        <v>111</v>
      </c>
      <c r="B679" s="0" t="inlineStr">
        <is>
          <t>Kwix</t>
        </is>
      </c>
      <c r="C679" s="0" t="inlineStr">
        <is>
          <t>Town</t>
        </is>
      </c>
      <c r="D679" s="0" t="inlineStr">
        <is>
          <t>Loss</t>
        </is>
      </c>
      <c r="E679" s="0" t="n">
        <v>-11</v>
      </c>
      <c r="F679" s="0" t="n">
        <v>24.23822277267464</v>
      </c>
      <c r="G679" s="0" t="n">
        <v>24.02791931176016</v>
      </c>
      <c r="H679" s="0" t="n">
        <v>6.758784109815235</v>
      </c>
      <c r="I679" s="0" t="n">
        <v>956</v>
      </c>
      <c r="J679" s="0" t="n">
        <v>945</v>
      </c>
      <c r="K679" s="0" t="n">
        <v>6.781766841701283</v>
      </c>
    </row>
    <row r="680">
      <c r="A680" s="0" t="n">
        <v>111</v>
      </c>
      <c r="B680" s="0" t="inlineStr">
        <is>
          <t>Aipha</t>
        </is>
      </c>
      <c r="C680" s="0" t="inlineStr">
        <is>
          <t>Town</t>
        </is>
      </c>
      <c r="D680" s="0" t="inlineStr">
        <is>
          <t>Loss</t>
        </is>
      </c>
      <c r="E680" s="0" t="n">
        <v>-14</v>
      </c>
      <c r="F680" s="0" t="n">
        <v>21.63645281520948</v>
      </c>
      <c r="G680" s="0" t="n">
        <v>21.38250573159853</v>
      </c>
      <c r="H680" s="0" t="n">
        <v>7.421640084793713</v>
      </c>
      <c r="I680" s="0" t="n">
        <v>711</v>
      </c>
      <c r="J680" s="0" t="n">
        <v>697</v>
      </c>
      <c r="K680" s="0" t="n">
        <v>7.452455192676173</v>
      </c>
    </row>
    <row r="681">
      <c r="A681" s="0" t="n">
        <v>111</v>
      </c>
      <c r="B681" s="0" t="inlineStr">
        <is>
          <t>Plen</t>
        </is>
      </c>
      <c r="C681" s="0" t="inlineStr">
        <is>
          <t>Town</t>
        </is>
      </c>
      <c r="D681" s="0" t="inlineStr">
        <is>
          <t>Loss</t>
        </is>
      </c>
      <c r="E681" s="0" t="n">
        <v>-11</v>
      </c>
      <c r="F681" s="0" t="n">
        <v>20.14000706963663</v>
      </c>
      <c r="G681" s="0" t="n">
        <v>19.95552173184961</v>
      </c>
      <c r="H681" s="0" t="n">
        <v>6.333060757499356</v>
      </c>
      <c r="I681" s="0" t="n">
        <v>722</v>
      </c>
      <c r="J681" s="0" t="n">
        <v>711</v>
      </c>
      <c r="K681" s="0" t="n">
        <v>6.351758318499848</v>
      </c>
    </row>
    <row r="682">
      <c r="A682" s="0" t="n">
        <v>111</v>
      </c>
      <c r="B682" s="0" t="inlineStr">
        <is>
          <t>Noah</t>
        </is>
      </c>
      <c r="C682" s="0" t="inlineStr">
        <is>
          <t>Town</t>
        </is>
      </c>
      <c r="D682" s="0" t="inlineStr">
        <is>
          <t>Loss</t>
        </is>
      </c>
      <c r="E682" s="0" t="n">
        <v>-11</v>
      </c>
      <c r="F682" s="0" t="n">
        <v>30.41697676533701</v>
      </c>
      <c r="G682" s="0" t="n">
        <v>30.22665043332031</v>
      </c>
      <c r="H682" s="0" t="n">
        <v>6.431907524405491</v>
      </c>
      <c r="I682" s="0" t="n">
        <v>1410</v>
      </c>
      <c r="J682" s="0" t="n">
        <v>1399</v>
      </c>
      <c r="K682" s="0" t="n">
        <v>6.45155089816418</v>
      </c>
    </row>
    <row r="683">
      <c r="A683" s="0" t="n">
        <v>111</v>
      </c>
      <c r="B683" s="0" t="inlineStr">
        <is>
          <t>Smit</t>
        </is>
      </c>
      <c r="C683" s="0" t="inlineStr">
        <is>
          <t>Town</t>
        </is>
      </c>
      <c r="D683" s="0" t="inlineStr">
        <is>
          <t>Loss</t>
        </is>
      </c>
      <c r="E683" s="0" t="n">
        <v>-12</v>
      </c>
      <c r="F683" s="0" t="n">
        <v>25.77595942698639</v>
      </c>
      <c r="G683" s="0" t="n">
        <v>25.57521210136312</v>
      </c>
      <c r="H683" s="0" t="n">
        <v>6.604495009299833</v>
      </c>
      <c r="I683" s="0" t="n">
        <v>1077</v>
      </c>
      <c r="J683" s="0" t="n">
        <v>1065</v>
      </c>
      <c r="K683" s="0" t="n">
        <v>6.625860396582763</v>
      </c>
    </row>
    <row r="684">
      <c r="A684" s="0" t="n">
        <v>111</v>
      </c>
      <c r="B684" s="0" t="inlineStr">
        <is>
          <t>Badpants</t>
        </is>
      </c>
      <c r="C684" s="0" t="inlineStr">
        <is>
          <t>Town</t>
        </is>
      </c>
      <c r="D684" s="0" t="inlineStr">
        <is>
          <t>Loss</t>
        </is>
      </c>
      <c r="E684" s="0" t="n">
        <v>-11</v>
      </c>
      <c r="F684" s="0" t="n">
        <v>21.23656883139066</v>
      </c>
      <c r="G684" s="0" t="n">
        <v>21.04299240157088</v>
      </c>
      <c r="H684" s="0" t="n">
        <v>6.486239921878576</v>
      </c>
      <c r="I684" s="0" t="n">
        <v>780</v>
      </c>
      <c r="J684" s="0" t="n">
        <v>769</v>
      </c>
      <c r="K684" s="0" t="n">
        <v>6.506415632780828</v>
      </c>
    </row>
    <row r="685">
      <c r="A685" s="0" t="n">
        <v>111</v>
      </c>
      <c r="B685" s="0" t="inlineStr">
        <is>
          <t>Lofty</t>
        </is>
      </c>
      <c r="C685" s="0" t="inlineStr">
        <is>
          <t>Town</t>
        </is>
      </c>
      <c r="D685" s="0" t="inlineStr">
        <is>
          <t>Loss</t>
        </is>
      </c>
      <c r="E685" s="0" t="n">
        <v>-15</v>
      </c>
      <c r="F685" s="0" t="n">
        <v>23.22324487544312</v>
      </c>
      <c r="G685" s="0" t="n">
        <v>22.95223001478333</v>
      </c>
      <c r="H685" s="0" t="n">
        <v>7.664797688354454</v>
      </c>
      <c r="I685" s="0" t="n">
        <v>794</v>
      </c>
      <c r="J685" s="0" t="n">
        <v>779</v>
      </c>
      <c r="K685" s="0" t="n">
        <v>7.698866229600843</v>
      </c>
    </row>
    <row r="686">
      <c r="A686" s="0" t="n">
        <v>110</v>
      </c>
      <c r="B686" s="0" t="inlineStr">
        <is>
          <t>Plen</t>
        </is>
      </c>
      <c r="C686" s="0" t="inlineStr">
        <is>
          <t>Mafia</t>
        </is>
      </c>
      <c r="D686" s="0" t="inlineStr">
        <is>
          <t>Win</t>
        </is>
      </c>
      <c r="E686" s="0" t="n">
        <v>90</v>
      </c>
      <c r="F686" s="0" t="n">
        <v>18.89827159484985</v>
      </c>
      <c r="G686" s="0" t="n">
        <v>20.14000706963663</v>
      </c>
      <c r="H686" s="0" t="n">
        <v>6.351758318499848</v>
      </c>
      <c r="I686" s="0" t="n">
        <v>632</v>
      </c>
      <c r="J686" s="0" t="n">
        <v>722</v>
      </c>
      <c r="K686" s="0" t="n">
        <v>6.397944129237115</v>
      </c>
    </row>
    <row r="687">
      <c r="A687" s="0" t="n">
        <v>110</v>
      </c>
      <c r="B687" s="0" t="inlineStr">
        <is>
          <t>Smit</t>
        </is>
      </c>
      <c r="C687" s="0" t="inlineStr">
        <is>
          <t>Mafia</t>
        </is>
      </c>
      <c r="D687" s="0" t="inlineStr">
        <is>
          <t>Win</t>
        </is>
      </c>
      <c r="E687" s="0" t="n">
        <v>97</v>
      </c>
      <c r="F687" s="0" t="n">
        <v>24.42294063618286</v>
      </c>
      <c r="G687" s="0" t="n">
        <v>25.77595942698639</v>
      </c>
      <c r="H687" s="0" t="n">
        <v>6.625860396582763</v>
      </c>
      <c r="I687" s="0" t="n">
        <v>980</v>
      </c>
      <c r="J687" s="0" t="n">
        <v>1077</v>
      </c>
      <c r="K687" s="0" t="n">
        <v>6.678549914095444</v>
      </c>
    </row>
    <row r="688">
      <c r="A688" s="0" t="n">
        <v>110</v>
      </c>
      <c r="B688" s="0" t="inlineStr">
        <is>
          <t>Snazz</t>
        </is>
      </c>
      <c r="C688" s="0" t="inlineStr">
        <is>
          <t>Mafia</t>
        </is>
      </c>
      <c r="D688" s="0" t="inlineStr">
        <is>
          <t>Win</t>
        </is>
      </c>
      <c r="E688" s="0" t="n">
        <v>135</v>
      </c>
      <c r="F688" s="0" t="n">
        <v>24.9381979865534</v>
      </c>
      <c r="G688" s="0" t="n">
        <v>26.79217093231348</v>
      </c>
      <c r="H688" s="0" t="n">
        <v>7.732787414978723</v>
      </c>
      <c r="I688" s="0" t="n">
        <v>898</v>
      </c>
      <c r="J688" s="0" t="n">
        <v>1033</v>
      </c>
      <c r="K688" s="0" t="n">
        <v>7.817990037533128</v>
      </c>
    </row>
    <row r="689">
      <c r="A689" s="0" t="n">
        <v>110</v>
      </c>
      <c r="B689" s="0" t="inlineStr">
        <is>
          <t>Doublea</t>
        </is>
      </c>
      <c r="C689" s="0" t="inlineStr">
        <is>
          <t>Town</t>
        </is>
      </c>
      <c r="D689" s="0" t="inlineStr">
        <is>
          <t>Loss</t>
        </is>
      </c>
      <c r="E689" s="0" t="n">
        <v>-103</v>
      </c>
      <c r="F689" s="0" t="n">
        <v>22.76495211071543</v>
      </c>
      <c r="G689" s="0" t="n">
        <v>21.1346354747301</v>
      </c>
      <c r="H689" s="0" t="n">
        <v>7.261133137008572</v>
      </c>
      <c r="I689" s="0" t="n">
        <v>800</v>
      </c>
      <c r="J689" s="0" t="n">
        <v>697</v>
      </c>
      <c r="K689" s="0" t="n">
        <v>7.331190802481059</v>
      </c>
    </row>
    <row r="690">
      <c r="A690" s="0" t="n">
        <v>110</v>
      </c>
      <c r="B690" s="0" t="inlineStr">
        <is>
          <t>Kwix</t>
        </is>
      </c>
      <c r="C690" s="0" t="inlineStr">
        <is>
          <t>Town</t>
        </is>
      </c>
      <c r="D690" s="0" t="inlineStr">
        <is>
          <t>Loss</t>
        </is>
      </c>
      <c r="E690" s="0" t="n">
        <v>-91</v>
      </c>
      <c r="F690" s="0" t="n">
        <v>25.65677648059684</v>
      </c>
      <c r="G690" s="0" t="n">
        <v>24.23822277267464</v>
      </c>
      <c r="H690" s="0" t="n">
        <v>6.781766841701283</v>
      </c>
      <c r="I690" s="0" t="n">
        <v>1047</v>
      </c>
      <c r="J690" s="0" t="n">
        <v>956</v>
      </c>
      <c r="K690" s="0" t="n">
        <v>6.838414208628813</v>
      </c>
    </row>
    <row r="691">
      <c r="A691" s="0" t="n">
        <v>110</v>
      </c>
      <c r="B691" s="0" t="inlineStr">
        <is>
          <t>Chester</t>
        </is>
      </c>
      <c r="C691" s="0" t="inlineStr">
        <is>
          <t>Town</t>
        </is>
      </c>
      <c r="D691" s="0" t="inlineStr">
        <is>
          <t>Loss</t>
        </is>
      </c>
      <c r="E691" s="0" t="n">
        <v>-110</v>
      </c>
      <c r="F691" s="0" t="n">
        <v>29.66312013320428</v>
      </c>
      <c r="G691" s="0" t="n">
        <v>27.92600912899348</v>
      </c>
      <c r="H691" s="0" t="n">
        <v>7.49037436318627</v>
      </c>
      <c r="I691" s="0" t="n">
        <v>1245</v>
      </c>
      <c r="J691" s="0" t="n">
        <v>1135</v>
      </c>
      <c r="K691" s="0" t="n">
        <v>7.567541514847172</v>
      </c>
    </row>
    <row r="692">
      <c r="A692" s="0" t="n">
        <v>110</v>
      </c>
      <c r="B692" s="0" t="inlineStr">
        <is>
          <t>Aipha</t>
        </is>
      </c>
      <c r="C692" s="0" t="inlineStr">
        <is>
          <t>Town</t>
        </is>
      </c>
      <c r="D692" s="0" t="inlineStr">
        <is>
          <t>Loss</t>
        </is>
      </c>
      <c r="E692" s="0" t="n">
        <v>-109</v>
      </c>
      <c r="F692" s="0" t="n">
        <v>23.35565014800419</v>
      </c>
      <c r="G692" s="0" t="n">
        <v>21.63645281520948</v>
      </c>
      <c r="H692" s="0" t="n">
        <v>7.452455192676173</v>
      </c>
      <c r="I692" s="0" t="n">
        <v>820</v>
      </c>
      <c r="J692" s="0" t="n">
        <v>711</v>
      </c>
      <c r="K692" s="0" t="n">
        <v>7.528414034899726</v>
      </c>
    </row>
    <row r="693">
      <c r="A693" s="0" t="n">
        <v>110</v>
      </c>
      <c r="B693" s="0" t="inlineStr">
        <is>
          <t>Strik3r</t>
        </is>
      </c>
      <c r="C693" s="0" t="inlineStr">
        <is>
          <t>Town</t>
        </is>
      </c>
      <c r="D693" s="0" t="inlineStr">
        <is>
          <t>Loss</t>
        </is>
      </c>
      <c r="E693" s="0" t="n">
        <v>-108</v>
      </c>
      <c r="F693" s="0" t="n">
        <v>27.52414443362608</v>
      </c>
      <c r="G693" s="0" t="n">
        <v>25.81272926862333</v>
      </c>
      <c r="H693" s="0" t="n">
        <v>7.43591664171678</v>
      </c>
      <c r="I693" s="0" t="n">
        <v>1105</v>
      </c>
      <c r="J693" s="0" t="n">
        <v>997</v>
      </c>
      <c r="K693" s="0" t="n">
        <v>7.511352528357906</v>
      </c>
    </row>
    <row r="694">
      <c r="A694" s="0" t="n">
        <v>110</v>
      </c>
      <c r="B694" s="0" t="inlineStr">
        <is>
          <t>Noah</t>
        </is>
      </c>
      <c r="C694" s="0" t="inlineStr">
        <is>
          <t>Town</t>
        </is>
      </c>
      <c r="D694" s="0" t="inlineStr">
        <is>
          <t>Loss</t>
        </is>
      </c>
      <c r="E694" s="0" t="n">
        <v>-83</v>
      </c>
      <c r="F694" s="0" t="n">
        <v>31.69864845332359</v>
      </c>
      <c r="G694" s="0" t="n">
        <v>30.41697676533701</v>
      </c>
      <c r="H694" s="0" t="n">
        <v>6.45155089816418</v>
      </c>
      <c r="I694" s="0" t="n">
        <v>1493</v>
      </c>
      <c r="J694" s="0" t="n">
        <v>1410</v>
      </c>
      <c r="K694" s="0" t="n">
        <v>6.500038775153103</v>
      </c>
    </row>
    <row r="695">
      <c r="A695" s="0" t="n">
        <v>110</v>
      </c>
      <c r="B695" s="0" t="inlineStr">
        <is>
          <t>Laur</t>
        </is>
      </c>
      <c r="C695" s="0" t="inlineStr">
        <is>
          <t>Town</t>
        </is>
      </c>
      <c r="D695" s="0" t="inlineStr">
        <is>
          <t>Loss</t>
        </is>
      </c>
      <c r="E695" s="0" t="n">
        <v>-89</v>
      </c>
      <c r="F695" s="0" t="n">
        <v>35.41198437367197</v>
      </c>
      <c r="G695" s="0" t="n">
        <v>34.0090444356213</v>
      </c>
      <c r="H695" s="0" t="n">
        <v>6.744971413785749</v>
      </c>
      <c r="I695" s="0" t="n">
        <v>1714</v>
      </c>
      <c r="J695" s="0" t="n">
        <v>1625</v>
      </c>
      <c r="K695" s="0" t="n">
        <v>6.800667374822651</v>
      </c>
    </row>
    <row r="696">
      <c r="A696" s="0" t="n">
        <v>110</v>
      </c>
      <c r="B696" s="0" t="inlineStr">
        <is>
          <t>Iln</t>
        </is>
      </c>
      <c r="C696" s="0" t="inlineStr">
        <is>
          <t>Town</t>
        </is>
      </c>
      <c r="D696" s="0" t="inlineStr">
        <is>
          <t>Loss</t>
        </is>
      </c>
      <c r="E696" s="0" t="n">
        <v>-88</v>
      </c>
      <c r="F696" s="0" t="n">
        <v>26.38742656624468</v>
      </c>
      <c r="G696" s="0" t="n">
        <v>25.00983121885643</v>
      </c>
      <c r="H696" s="0" t="n">
        <v>6.684782978434263</v>
      </c>
      <c r="I696" s="0" t="n">
        <v>1107</v>
      </c>
      <c r="J696" s="0" t="n">
        <v>1019</v>
      </c>
      <c r="K696" s="0" t="n">
        <v>6.738945813116773</v>
      </c>
    </row>
    <row r="697">
      <c r="A697" s="0" t="n">
        <v>110</v>
      </c>
      <c r="B697" s="0" t="inlineStr">
        <is>
          <t>Carson</t>
        </is>
      </c>
      <c r="C697" s="0" t="inlineStr">
        <is>
          <t>Town</t>
        </is>
      </c>
      <c r="D697" s="0" t="inlineStr">
        <is>
          <t>Loss</t>
        </is>
      </c>
      <c r="E697" s="0" t="n">
        <v>-82</v>
      </c>
      <c r="F697" s="0" t="n">
        <v>30.58161912559144</v>
      </c>
      <c r="G697" s="0" t="n">
        <v>29.28800369580932</v>
      </c>
      <c r="H697" s="0" t="n">
        <v>6.481078865629565</v>
      </c>
      <c r="I697" s="0" t="n">
        <v>1413</v>
      </c>
      <c r="J697" s="0" t="n">
        <v>1331</v>
      </c>
      <c r="K697" s="0" t="n">
        <v>6.53026221145059</v>
      </c>
    </row>
    <row r="698">
      <c r="A698" s="0" t="n">
        <v>110</v>
      </c>
      <c r="B698" s="0" t="inlineStr">
        <is>
          <t>Badpants</t>
        </is>
      </c>
      <c r="C698" s="0" t="inlineStr">
        <is>
          <t>Town</t>
        </is>
      </c>
      <c r="D698" s="0" t="inlineStr">
        <is>
          <t>Loss</t>
        </is>
      </c>
      <c r="E698" s="0" t="n">
        <v>-84</v>
      </c>
      <c r="F698" s="0" t="n">
        <v>22.54047896651034</v>
      </c>
      <c r="G698" s="0" t="n">
        <v>21.23656883139066</v>
      </c>
      <c r="H698" s="0" t="n">
        <v>6.506415632780828</v>
      </c>
      <c r="I698" s="0" t="n">
        <v>864</v>
      </c>
      <c r="J698" s="0" t="n">
        <v>780</v>
      </c>
      <c r="K698" s="0" t="n">
        <v>6.556200989571392</v>
      </c>
    </row>
    <row r="699">
      <c r="A699" s="0" t="n">
        <v>110</v>
      </c>
      <c r="B699" s="0" t="inlineStr">
        <is>
          <t>Lofty</t>
        </is>
      </c>
      <c r="C699" s="0" t="inlineStr">
        <is>
          <t>Town</t>
        </is>
      </c>
      <c r="D699" s="0" t="inlineStr">
        <is>
          <t>Loss</t>
        </is>
      </c>
      <c r="E699" s="0" t="n">
        <v>-116</v>
      </c>
      <c r="F699" s="0" t="n">
        <v>25.0606207439731</v>
      </c>
      <c r="G699" s="0" t="n">
        <v>23.22324487544312</v>
      </c>
      <c r="H699" s="0" t="n">
        <v>7.698866229600843</v>
      </c>
      <c r="I699" s="0" t="n">
        <v>910</v>
      </c>
      <c r="J699" s="0" t="n">
        <v>794</v>
      </c>
      <c r="K699" s="0" t="n">
        <v>7.782911635819415</v>
      </c>
    </row>
    <row r="700">
      <c r="A700" s="0" t="n">
        <v>109</v>
      </c>
      <c r="B700" s="0" t="inlineStr">
        <is>
          <t>Rick</t>
        </is>
      </c>
      <c r="C700" s="0" t="inlineStr">
        <is>
          <t>Mafia</t>
        </is>
      </c>
      <c r="D700" s="0" t="inlineStr">
        <is>
          <t>Win</t>
        </is>
      </c>
      <c r="E700" s="0" t="n">
        <v>80</v>
      </c>
      <c r="F700" s="0" t="n">
        <v>25.50564302968842</v>
      </c>
      <c r="G700" s="0" t="n">
        <v>26.56522102221375</v>
      </c>
      <c r="H700" s="0" t="n">
        <v>7.626009820971984</v>
      </c>
      <c r="I700" s="0" t="n">
        <v>949</v>
      </c>
      <c r="J700" s="0" t="n">
        <v>1029</v>
      </c>
      <c r="K700" s="0" t="n">
        <v>7.697432299435675</v>
      </c>
    </row>
    <row r="701">
      <c r="A701" s="0" t="n">
        <v>109</v>
      </c>
      <c r="B701" s="0" t="inlineStr">
        <is>
          <t>Mintt</t>
        </is>
      </c>
      <c r="C701" s="0" t="inlineStr">
        <is>
          <t>Mafia</t>
        </is>
      </c>
      <c r="D701" s="0" t="inlineStr">
        <is>
          <t>Win</t>
        </is>
      </c>
      <c r="E701" s="0" t="n">
        <v>66</v>
      </c>
      <c r="F701" s="0" t="n">
        <v>27.44775783997049</v>
      </c>
      <c r="G701" s="0" t="n">
        <v>28.3298489352126</v>
      </c>
      <c r="H701" s="0" t="n">
        <v>6.969109520054852</v>
      </c>
      <c r="I701" s="0" t="n">
        <v>1150</v>
      </c>
      <c r="J701" s="0" t="n">
        <v>1216</v>
      </c>
      <c r="K701" s="0" t="n">
        <v>7.023098472108821</v>
      </c>
    </row>
    <row r="702">
      <c r="A702" s="0" t="n">
        <v>109</v>
      </c>
      <c r="B702" s="0" t="inlineStr">
        <is>
          <t>Iln</t>
        </is>
      </c>
      <c r="C702" s="0" t="inlineStr">
        <is>
          <t>Mafia</t>
        </is>
      </c>
      <c r="D702" s="0" t="inlineStr">
        <is>
          <t>Win</t>
        </is>
      </c>
      <c r="E702" s="0" t="n">
        <v>61</v>
      </c>
      <c r="F702" s="0" t="n">
        <v>25.5634938319394</v>
      </c>
      <c r="G702" s="0" t="n">
        <v>26.38742656624468</v>
      </c>
      <c r="H702" s="0" t="n">
        <v>6.738945813116773</v>
      </c>
      <c r="I702" s="0" t="n">
        <v>1046</v>
      </c>
      <c r="J702" s="0" t="n">
        <v>1107</v>
      </c>
      <c r="K702" s="0" t="n">
        <v>6.787577634878026</v>
      </c>
    </row>
    <row r="703">
      <c r="A703" s="0" t="n">
        <v>109</v>
      </c>
      <c r="B703" s="0" t="inlineStr">
        <is>
          <t>Laur</t>
        </is>
      </c>
      <c r="C703" s="0" t="inlineStr">
        <is>
          <t>Town</t>
        </is>
      </c>
      <c r="D703" s="0" t="inlineStr">
        <is>
          <t>Loss</t>
        </is>
      </c>
      <c r="E703" s="0" t="n">
        <v>-52</v>
      </c>
      <c r="F703" s="0" t="n">
        <v>36.25130949487705</v>
      </c>
      <c r="G703" s="0" t="n">
        <v>35.41198437367197</v>
      </c>
      <c r="H703" s="0" t="n">
        <v>6.800667374822651</v>
      </c>
      <c r="I703" s="0" t="n">
        <v>1766</v>
      </c>
      <c r="J703" s="0" t="n">
        <v>1714</v>
      </c>
      <c r="K703" s="0" t="n">
        <v>6.850699319921381</v>
      </c>
    </row>
    <row r="704">
      <c r="A704" s="0" t="n">
        <v>109</v>
      </c>
      <c r="B704" s="0" t="inlineStr">
        <is>
          <t>Badpants</t>
        </is>
      </c>
      <c r="C704" s="0" t="inlineStr">
        <is>
          <t>Town</t>
        </is>
      </c>
      <c r="D704" s="0" t="inlineStr">
        <is>
          <t>Loss</t>
        </is>
      </c>
      <c r="E704" s="0" t="n">
        <v>-48</v>
      </c>
      <c r="F704" s="0" t="n">
        <v>23.31970955213571</v>
      </c>
      <c r="G704" s="0" t="n">
        <v>22.54047896651034</v>
      </c>
      <c r="H704" s="0" t="n">
        <v>6.556200989571392</v>
      </c>
      <c r="I704" s="0" t="n">
        <v>912</v>
      </c>
      <c r="J704" s="0" t="n">
        <v>864</v>
      </c>
      <c r="K704" s="0" t="n">
        <v>6.600840256489473</v>
      </c>
    </row>
    <row r="705">
      <c r="A705" s="0" t="n">
        <v>109</v>
      </c>
      <c r="B705" s="0" t="inlineStr">
        <is>
          <t>Hunterxp</t>
        </is>
      </c>
      <c r="C705" s="0" t="inlineStr">
        <is>
          <t>Town</t>
        </is>
      </c>
      <c r="D705" s="0" t="inlineStr">
        <is>
          <t>Loss</t>
        </is>
      </c>
      <c r="E705" s="0" t="n">
        <v>-68</v>
      </c>
      <c r="F705" s="0" t="n">
        <v>23.45684295790178</v>
      </c>
      <c r="G705" s="0" t="n">
        <v>22.33665713023014</v>
      </c>
      <c r="H705" s="0" t="n">
        <v>7.836820889586953</v>
      </c>
      <c r="I705" s="0" t="n">
        <v>788</v>
      </c>
      <c r="J705" s="0" t="n">
        <v>720</v>
      </c>
      <c r="K705" s="0" t="n">
        <v>7.914553751782043</v>
      </c>
    </row>
    <row r="706">
      <c r="A706" s="0" t="n">
        <v>109</v>
      </c>
      <c r="B706" s="0" t="inlineStr">
        <is>
          <t>Lou</t>
        </is>
      </c>
      <c r="C706" s="0" t="inlineStr">
        <is>
          <t>Town</t>
        </is>
      </c>
      <c r="D706" s="0" t="inlineStr">
        <is>
          <t>Loss</t>
        </is>
      </c>
      <c r="E706" s="0" t="n">
        <v>-49</v>
      </c>
      <c r="F706" s="0" t="n">
        <v>27.65884299914109</v>
      </c>
      <c r="G706" s="0" t="n">
        <v>26.87185397919247</v>
      </c>
      <c r="H706" s="0" t="n">
        <v>6.588302835956995</v>
      </c>
      <c r="I706" s="0" t="n">
        <v>1204</v>
      </c>
      <c r="J706" s="0" t="n">
        <v>1155</v>
      </c>
      <c r="K706" s="0" t="n">
        <v>6.633627109897732</v>
      </c>
    </row>
    <row r="707">
      <c r="A707" s="0" t="n">
        <v>109</v>
      </c>
      <c r="B707" s="0" t="inlineStr">
        <is>
          <t>Carson</t>
        </is>
      </c>
      <c r="C707" s="0" t="inlineStr">
        <is>
          <t>Town</t>
        </is>
      </c>
      <c r="D707" s="0" t="inlineStr">
        <is>
          <t>Loss</t>
        </is>
      </c>
      <c r="E707" s="0" t="n">
        <v>-49</v>
      </c>
      <c r="F707" s="0" t="n">
        <v>31.35461003956429</v>
      </c>
      <c r="G707" s="0" t="n">
        <v>30.58161912559144</v>
      </c>
      <c r="H707" s="0" t="n">
        <v>6.53026221145059</v>
      </c>
      <c r="I707" s="0" t="n">
        <v>1462</v>
      </c>
      <c r="J707" s="0" t="n">
        <v>1413</v>
      </c>
      <c r="K707" s="0" t="n">
        <v>6.574353007117553</v>
      </c>
    </row>
    <row r="708">
      <c r="A708" s="0" t="n">
        <v>109</v>
      </c>
      <c r="B708" s="0" t="inlineStr">
        <is>
          <t>Rocker</t>
        </is>
      </c>
      <c r="C708" s="0" t="inlineStr">
        <is>
          <t>Town</t>
        </is>
      </c>
      <c r="D708" s="0" t="inlineStr">
        <is>
          <t>Loss</t>
        </is>
      </c>
      <c r="E708" s="0" t="n">
        <v>-44</v>
      </c>
      <c r="F708" s="0" t="n">
        <v>30.43224160656628</v>
      </c>
      <c r="G708" s="0" t="n">
        <v>29.72777981837531</v>
      </c>
      <c r="H708" s="0" t="n">
        <v>6.237884560037221</v>
      </c>
      <c r="I708" s="0" t="n">
        <v>1429</v>
      </c>
      <c r="J708" s="0" t="n">
        <v>1385</v>
      </c>
      <c r="K708" s="0" t="n">
        <v>6.276097158911401</v>
      </c>
    </row>
    <row r="709">
      <c r="A709" s="0" t="n">
        <v>109</v>
      </c>
      <c r="B709" s="0" t="inlineStr">
        <is>
          <t>Plen</t>
        </is>
      </c>
      <c r="C709" s="0" t="inlineStr">
        <is>
          <t>Town</t>
        </is>
      </c>
      <c r="D709" s="0" t="inlineStr">
        <is>
          <t>Loss</t>
        </is>
      </c>
      <c r="E709" s="0" t="n">
        <v>-47</v>
      </c>
      <c r="F709" s="0" t="n">
        <v>19.63983921324582</v>
      </c>
      <c r="G709" s="0" t="n">
        <v>18.89827159484985</v>
      </c>
      <c r="H709" s="0" t="n">
        <v>6.397944129237115</v>
      </c>
      <c r="I709" s="0" t="n">
        <v>679</v>
      </c>
      <c r="J709" s="0" t="n">
        <v>632</v>
      </c>
      <c r="K709" s="0" t="n">
        <v>6.439306169041192</v>
      </c>
    </row>
    <row r="710">
      <c r="A710" s="0" t="n">
        <v>109</v>
      </c>
      <c r="B710" s="0" t="inlineStr">
        <is>
          <t>Chester</t>
        </is>
      </c>
      <c r="C710" s="0" t="inlineStr">
        <is>
          <t>Town</t>
        </is>
      </c>
      <c r="D710" s="0" t="inlineStr">
        <is>
          <t>Loss</t>
        </is>
      </c>
      <c r="E710" s="0" t="n">
        <v>-64</v>
      </c>
      <c r="F710" s="0" t="n">
        <v>30.70620457520873</v>
      </c>
      <c r="G710" s="0" t="n">
        <v>29.66312013320428</v>
      </c>
      <c r="H710" s="0" t="n">
        <v>7.567541514847172</v>
      </c>
      <c r="I710" s="0" t="n">
        <v>1309</v>
      </c>
      <c r="J710" s="0" t="n">
        <v>1245</v>
      </c>
      <c r="K710" s="0" t="n">
        <v>7.637277440405734</v>
      </c>
    </row>
    <row r="711">
      <c r="A711" s="0" t="n">
        <v>109</v>
      </c>
      <c r="B711" s="0" t="inlineStr">
        <is>
          <t>Raf</t>
        </is>
      </c>
      <c r="C711" s="0" t="inlineStr">
        <is>
          <t>Town</t>
        </is>
      </c>
      <c r="D711" s="0" t="inlineStr">
        <is>
          <t>Loss</t>
        </is>
      </c>
      <c r="E711" s="0" t="n">
        <v>-75</v>
      </c>
      <c r="F711" s="0" t="n">
        <v>25</v>
      </c>
      <c r="G711" s="0" t="n">
        <v>23.75815348305494</v>
      </c>
      <c r="H711" s="0" t="n">
        <v>8.242411916851013</v>
      </c>
      <c r="I711" s="0" t="n">
        <v>850</v>
      </c>
      <c r="J711" s="0" t="n">
        <v>775</v>
      </c>
      <c r="K711" s="0" t="n">
        <v>8.333333333333334</v>
      </c>
    </row>
    <row r="712">
      <c r="A712" s="0" t="n">
        <v>109</v>
      </c>
      <c r="B712" s="0" t="inlineStr">
        <is>
          <t>Aipha</t>
        </is>
      </c>
      <c r="C712" s="0" t="inlineStr">
        <is>
          <t>Town</t>
        </is>
      </c>
      <c r="D712" s="0" t="inlineStr">
        <is>
          <t>Loss</t>
        </is>
      </c>
      <c r="E712" s="0" t="n">
        <v>-63</v>
      </c>
      <c r="F712" s="0" t="n">
        <v>24.38777336459912</v>
      </c>
      <c r="G712" s="0" t="n">
        <v>23.35565014800419</v>
      </c>
      <c r="H712" s="0" t="n">
        <v>7.528414034899726</v>
      </c>
      <c r="I712" s="0" t="n">
        <v>883</v>
      </c>
      <c r="J712" s="0" t="n">
        <v>820</v>
      </c>
      <c r="K712" s="0" t="n">
        <v>7.597036480990425</v>
      </c>
    </row>
    <row r="713">
      <c r="A713" s="0" t="n">
        <v>108</v>
      </c>
      <c r="B713" s="0" t="inlineStr">
        <is>
          <t>Noah</t>
        </is>
      </c>
      <c r="C713" s="0" t="inlineStr">
        <is>
          <t>Mafia</t>
        </is>
      </c>
      <c r="D713" s="0" t="inlineStr">
        <is>
          <t>Win</t>
        </is>
      </c>
      <c r="E713" s="0" t="n">
        <v>29</v>
      </c>
      <c r="F713" s="0" t="n">
        <v>31.32632539499182</v>
      </c>
      <c r="G713" s="0" t="n">
        <v>31.69864845332359</v>
      </c>
      <c r="H713" s="0" t="n">
        <v>6.500038775153103</v>
      </c>
      <c r="I713" s="0" t="n">
        <v>1464</v>
      </c>
      <c r="J713" s="0" t="n">
        <v>1493</v>
      </c>
      <c r="K713" s="0" t="n">
        <v>6.53025585527029</v>
      </c>
    </row>
    <row r="714">
      <c r="A714" s="0" t="n">
        <v>108</v>
      </c>
      <c r="B714" s="0" t="inlineStr">
        <is>
          <t>Vert</t>
        </is>
      </c>
      <c r="C714" s="0" t="inlineStr">
        <is>
          <t>Mafia</t>
        </is>
      </c>
      <c r="D714" s="0" t="inlineStr">
        <is>
          <t>Win</t>
        </is>
      </c>
      <c r="E714" s="0" t="n">
        <v>46</v>
      </c>
      <c r="F714" s="0" t="n">
        <v>26.2733776482894</v>
      </c>
      <c r="G714" s="0" t="n">
        <v>26.85872525452466</v>
      </c>
      <c r="H714" s="0" t="n">
        <v>8.127789113874879</v>
      </c>
      <c r="I714" s="0" t="n">
        <v>951</v>
      </c>
      <c r="J714" s="0" t="n">
        <v>997</v>
      </c>
      <c r="K714" s="0" t="n">
        <v>8.188336554400857</v>
      </c>
    </row>
    <row r="715">
      <c r="A715" s="0" t="n">
        <v>108</v>
      </c>
      <c r="B715" s="0" t="inlineStr">
        <is>
          <t>Rocker</t>
        </is>
      </c>
      <c r="C715" s="0" t="inlineStr">
        <is>
          <t>Mafia</t>
        </is>
      </c>
      <c r="D715" s="0" t="inlineStr">
        <is>
          <t>Win</t>
        </is>
      </c>
      <c r="E715" s="0" t="n">
        <v>26</v>
      </c>
      <c r="F715" s="0" t="n">
        <v>30.08535790710585</v>
      </c>
      <c r="G715" s="0" t="n">
        <v>30.43224160656628</v>
      </c>
      <c r="H715" s="0" t="n">
        <v>6.276097158911401</v>
      </c>
      <c r="I715" s="0" t="n">
        <v>1403</v>
      </c>
      <c r="J715" s="0" t="n">
        <v>1429</v>
      </c>
      <c r="K715" s="0" t="n">
        <v>6.303161609185043</v>
      </c>
    </row>
    <row r="716">
      <c r="A716" s="0" t="n">
        <v>108</v>
      </c>
      <c r="B716" s="0" t="inlineStr">
        <is>
          <t>Rick</t>
        </is>
      </c>
      <c r="C716" s="0" t="inlineStr">
        <is>
          <t>Town</t>
        </is>
      </c>
      <c r="D716" s="0" t="inlineStr">
        <is>
          <t>Loss</t>
        </is>
      </c>
      <c r="E716" s="0" t="n">
        <v>-31</v>
      </c>
      <c r="F716" s="0" t="n">
        <v>26.02981728063352</v>
      </c>
      <c r="G716" s="0" t="n">
        <v>25.50564302968842</v>
      </c>
      <c r="H716" s="0" t="n">
        <v>7.697432299435675</v>
      </c>
      <c r="I716" s="0" t="n">
        <v>980</v>
      </c>
      <c r="J716" s="0" t="n">
        <v>949</v>
      </c>
      <c r="K716" s="0" t="n">
        <v>7.748592524278615</v>
      </c>
    </row>
    <row r="717">
      <c r="A717" s="0" t="n">
        <v>108</v>
      </c>
      <c r="B717" s="0" t="inlineStr">
        <is>
          <t>Laur</t>
        </is>
      </c>
      <c r="C717" s="0" t="inlineStr">
        <is>
          <t>Town</t>
        </is>
      </c>
      <c r="D717" s="0" t="inlineStr">
        <is>
          <t>Loss</t>
        </is>
      </c>
      <c r="E717" s="0" t="n">
        <v>-25</v>
      </c>
      <c r="F717" s="0" t="n">
        <v>36.66533098554952</v>
      </c>
      <c r="G717" s="0" t="n">
        <v>36.25130949487705</v>
      </c>
      <c r="H717" s="0" t="n">
        <v>6.850699319921381</v>
      </c>
      <c r="I717" s="0" t="n">
        <v>1791</v>
      </c>
      <c r="J717" s="0" t="n">
        <v>1766</v>
      </c>
      <c r="K717" s="0" t="n">
        <v>6.886313678660828</v>
      </c>
    </row>
    <row r="718">
      <c r="A718" s="0" t="n">
        <v>108</v>
      </c>
      <c r="B718" s="0" t="inlineStr">
        <is>
          <t>Cj</t>
        </is>
      </c>
      <c r="C718" s="0" t="inlineStr">
        <is>
          <t>Town</t>
        </is>
      </c>
      <c r="D718" s="0" t="inlineStr">
        <is>
          <t>Loss</t>
        </is>
      </c>
      <c r="E718" s="0" t="n">
        <v>-30</v>
      </c>
      <c r="F718" s="0" t="n">
        <v>27.25156138611701</v>
      </c>
      <c r="G718" s="0" t="n">
        <v>26.71771711400344</v>
      </c>
      <c r="H718" s="0" t="n">
        <v>7.767141547076543</v>
      </c>
      <c r="I718" s="0" t="n">
        <v>1055</v>
      </c>
      <c r="J718" s="0" t="n">
        <v>1025</v>
      </c>
      <c r="K718" s="0" t="n">
        <v>7.819751109737263</v>
      </c>
    </row>
    <row r="719">
      <c r="A719" s="0" t="n">
        <v>108</v>
      </c>
      <c r="B719" s="0" t="inlineStr">
        <is>
          <t>Brownkow</t>
        </is>
      </c>
      <c r="C719" s="0" t="inlineStr">
        <is>
          <t>Town</t>
        </is>
      </c>
      <c r="D719" s="0" t="inlineStr">
        <is>
          <t>Loss</t>
        </is>
      </c>
      <c r="E719" s="0" t="n">
        <v>-21</v>
      </c>
      <c r="F719" s="0" t="n">
        <v>30.81775555766647</v>
      </c>
      <c r="G719" s="0" t="n">
        <v>30.46561550768267</v>
      </c>
      <c r="H719" s="0" t="n">
        <v>6.323043149184393</v>
      </c>
      <c r="I719" s="0" t="n">
        <v>1448</v>
      </c>
      <c r="J719" s="0" t="n">
        <v>1427</v>
      </c>
      <c r="K719" s="0" t="n">
        <v>6.350750086598671</v>
      </c>
    </row>
    <row r="720">
      <c r="A720" s="0" t="n">
        <v>108</v>
      </c>
      <c r="B720" s="0" t="inlineStr">
        <is>
          <t>Carson</t>
        </is>
      </c>
      <c r="C720" s="0" t="inlineStr">
        <is>
          <t>Town</t>
        </is>
      </c>
      <c r="D720" s="0" t="inlineStr">
        <is>
          <t>Loss</t>
        </is>
      </c>
      <c r="E720" s="0" t="n">
        <v>-22</v>
      </c>
      <c r="F720" s="0" t="n">
        <v>31.73557976689457</v>
      </c>
      <c r="G720" s="0" t="n">
        <v>31.35461003956429</v>
      </c>
      <c r="H720" s="0" t="n">
        <v>6.574353007117553</v>
      </c>
      <c r="I720" s="0" t="n">
        <v>1484</v>
      </c>
      <c r="J720" s="0" t="n">
        <v>1462</v>
      </c>
      <c r="K720" s="0" t="n">
        <v>6.605666137114511</v>
      </c>
    </row>
    <row r="721">
      <c r="A721" s="0" t="n">
        <v>108</v>
      </c>
      <c r="B721" s="0" t="inlineStr">
        <is>
          <t>Plen</t>
        </is>
      </c>
      <c r="C721" s="0" t="inlineStr">
        <is>
          <t>Town</t>
        </is>
      </c>
      <c r="D721" s="0" t="inlineStr">
        <is>
          <t>Loss</t>
        </is>
      </c>
      <c r="E721" s="0" t="n">
        <v>-22</v>
      </c>
      <c r="F721" s="0" t="n">
        <v>20.00517168577282</v>
      </c>
      <c r="G721" s="0" t="n">
        <v>19.63983921324582</v>
      </c>
      <c r="H721" s="0" t="n">
        <v>6.439306169041192</v>
      </c>
      <c r="I721" s="0" t="n">
        <v>701</v>
      </c>
      <c r="J721" s="0" t="n">
        <v>679</v>
      </c>
      <c r="K721" s="0" t="n">
        <v>6.46864614140148</v>
      </c>
    </row>
    <row r="722">
      <c r="A722" s="0" t="n">
        <v>108</v>
      </c>
      <c r="B722" s="0" t="inlineStr">
        <is>
          <t>Badpants</t>
        </is>
      </c>
      <c r="C722" s="0" t="inlineStr">
        <is>
          <t>Town</t>
        </is>
      </c>
      <c r="D722" s="0" t="inlineStr">
        <is>
          <t>Loss</t>
        </is>
      </c>
      <c r="E722" s="0" t="n">
        <v>-23</v>
      </c>
      <c r="F722" s="0" t="n">
        <v>23.70378585215339</v>
      </c>
      <c r="G722" s="0" t="n">
        <v>23.31970955213571</v>
      </c>
      <c r="H722" s="0" t="n">
        <v>6.600840256489473</v>
      </c>
      <c r="I722" s="0" t="n">
        <v>935</v>
      </c>
      <c r="J722" s="0" t="n">
        <v>912</v>
      </c>
      <c r="K722" s="0" t="n">
        <v>6.63255016500962</v>
      </c>
    </row>
    <row r="723">
      <c r="A723" s="0" t="n">
        <v>108</v>
      </c>
      <c r="B723" s="0" t="inlineStr">
        <is>
          <t>Hunterxp</t>
        </is>
      </c>
      <c r="C723" s="0" t="inlineStr">
        <is>
          <t>Town</t>
        </is>
      </c>
      <c r="D723" s="0" t="inlineStr">
        <is>
          <t>Loss</t>
        </is>
      </c>
      <c r="E723" s="0" t="n">
        <v>-32</v>
      </c>
      <c r="F723" s="0" t="n">
        <v>24.01143974979296</v>
      </c>
      <c r="G723" s="0" t="n">
        <v>23.45684295790178</v>
      </c>
      <c r="H723" s="0" t="n">
        <v>7.914553751782043</v>
      </c>
      <c r="I723" s="0" t="n">
        <v>820</v>
      </c>
      <c r="J723" s="0" t="n">
        <v>788</v>
      </c>
      <c r="K723" s="0" t="n">
        <v>7.970317867904971</v>
      </c>
    </row>
    <row r="724">
      <c r="A724" s="0" t="n">
        <v>108</v>
      </c>
      <c r="B724" s="0" t="inlineStr">
        <is>
          <t>Doublea</t>
        </is>
      </c>
      <c r="C724" s="0" t="inlineStr">
        <is>
          <t>Town</t>
        </is>
      </c>
      <c r="D724" s="0" t="inlineStr">
        <is>
          <t>Loss</t>
        </is>
      </c>
      <c r="E724" s="0" t="n">
        <v>-28</v>
      </c>
      <c r="F724" s="0" t="n">
        <v>23.23982972436595</v>
      </c>
      <c r="G724" s="0" t="n">
        <v>22.76495211071543</v>
      </c>
      <c r="H724" s="0" t="n">
        <v>7.331190802481059</v>
      </c>
      <c r="I724" s="0" t="n">
        <v>828</v>
      </c>
      <c r="J724" s="0" t="n">
        <v>800</v>
      </c>
      <c r="K724" s="0" t="n">
        <v>7.375170682162674</v>
      </c>
    </row>
    <row r="725">
      <c r="A725" s="0" t="n">
        <v>108</v>
      </c>
      <c r="B725" s="0" t="inlineStr">
        <is>
          <t>Smit</t>
        </is>
      </c>
      <c r="C725" s="0" t="inlineStr">
        <is>
          <t>Town</t>
        </is>
      </c>
      <c r="D725" s="0" t="inlineStr">
        <is>
          <t>Loss</t>
        </is>
      </c>
      <c r="E725" s="0" t="n">
        <v>-23</v>
      </c>
      <c r="F725" s="0" t="n">
        <v>24.81620616917196</v>
      </c>
      <c r="G725" s="0" t="n">
        <v>24.42294063618286</v>
      </c>
      <c r="H725" s="0" t="n">
        <v>6.678549914095444</v>
      </c>
      <c r="I725" s="0" t="n">
        <v>1003</v>
      </c>
      <c r="J725" s="0" t="n">
        <v>980</v>
      </c>
      <c r="K725" s="0" t="n">
        <v>6.711442671199553</v>
      </c>
    </row>
    <row r="726">
      <c r="A726" s="0" t="n">
        <v>107</v>
      </c>
      <c r="B726" s="0" t="inlineStr">
        <is>
          <t>Brownkow</t>
        </is>
      </c>
      <c r="C726" s="0" t="inlineStr">
        <is>
          <t>Mafia</t>
        </is>
      </c>
      <c r="D726" s="0" t="inlineStr">
        <is>
          <t>Win</t>
        </is>
      </c>
      <c r="E726" s="0" t="n">
        <v>19</v>
      </c>
      <c r="F726" s="0" t="n">
        <v>30.57723100100567</v>
      </c>
      <c r="G726" s="0" t="n">
        <v>30.81775555766647</v>
      </c>
      <c r="H726" s="0" t="n">
        <v>6.350750086598671</v>
      </c>
      <c r="I726" s="0" t="n">
        <v>1429</v>
      </c>
      <c r="J726" s="0" t="n">
        <v>1448</v>
      </c>
      <c r="K726" s="0" t="n">
        <v>6.371202449056873</v>
      </c>
    </row>
    <row r="727">
      <c r="A727" s="0" t="n">
        <v>107</v>
      </c>
      <c r="B727" s="0" t="inlineStr">
        <is>
          <t>Laur</t>
        </is>
      </c>
      <c r="C727" s="0" t="inlineStr">
        <is>
          <t>Mafia</t>
        </is>
      </c>
      <c r="D727" s="0" t="inlineStr">
        <is>
          <t>Win</t>
        </is>
      </c>
      <c r="E727" s="0" t="n">
        <v>22</v>
      </c>
      <c r="F727" s="0" t="n">
        <v>36.38219259870915</v>
      </c>
      <c r="G727" s="0" t="n">
        <v>36.66533098554952</v>
      </c>
      <c r="H727" s="0" t="n">
        <v>6.886313678660828</v>
      </c>
      <c r="I727" s="0" t="n">
        <v>1769</v>
      </c>
      <c r="J727" s="0" t="n">
        <v>1791</v>
      </c>
      <c r="K727" s="0" t="n">
        <v>6.912722475774513</v>
      </c>
    </row>
    <row r="728">
      <c r="A728" s="0" t="n">
        <v>107</v>
      </c>
      <c r="B728" s="0" t="inlineStr">
        <is>
          <t>Gilbert</t>
        </is>
      </c>
      <c r="C728" s="0" t="inlineStr">
        <is>
          <t>Mafia</t>
        </is>
      </c>
      <c r="D728" s="0" t="inlineStr">
        <is>
          <t>Win</t>
        </is>
      </c>
      <c r="E728" s="0" t="n">
        <v>29</v>
      </c>
      <c r="F728" s="0" t="n">
        <v>24.75043365767322</v>
      </c>
      <c r="G728" s="0" t="n">
        <v>25.11955582390869</v>
      </c>
      <c r="H728" s="0" t="n">
        <v>7.853282207691761</v>
      </c>
      <c r="I728" s="0" t="n">
        <v>878</v>
      </c>
      <c r="J728" s="0" t="n">
        <v>907</v>
      </c>
      <c r="K728" s="0" t="n">
        <v>7.893059796292757</v>
      </c>
    </row>
    <row r="729">
      <c r="A729" s="0" t="n">
        <v>107</v>
      </c>
      <c r="B729" s="0" t="inlineStr">
        <is>
          <t>Kden</t>
        </is>
      </c>
      <c r="C729" s="0" t="inlineStr">
        <is>
          <t>Town</t>
        </is>
      </c>
      <c r="D729" s="0" t="inlineStr">
        <is>
          <t>Loss</t>
        </is>
      </c>
      <c r="E729" s="0" t="n">
        <v>-16</v>
      </c>
      <c r="F729" s="0" t="n">
        <v>27.26066518658768</v>
      </c>
      <c r="G729" s="0" t="n">
        <v>26.97647191364815</v>
      </c>
      <c r="H729" s="0" t="n">
        <v>6.899028416336372</v>
      </c>
      <c r="I729" s="0" t="n">
        <v>1147</v>
      </c>
      <c r="J729" s="0" t="n">
        <v>1131</v>
      </c>
      <c r="K729" s="0" t="n">
        <v>6.925590527088715</v>
      </c>
    </row>
    <row r="730">
      <c r="A730" s="0" t="n">
        <v>107</v>
      </c>
      <c r="B730" s="0" t="inlineStr">
        <is>
          <t>Strik3r</t>
        </is>
      </c>
      <c r="C730" s="0" t="inlineStr">
        <is>
          <t>Town</t>
        </is>
      </c>
      <c r="D730" s="0" t="inlineStr">
        <is>
          <t>Loss</t>
        </is>
      </c>
      <c r="E730" s="0" t="n">
        <v>-20</v>
      </c>
      <c r="F730" s="0" t="n">
        <v>27.86152404436305</v>
      </c>
      <c r="G730" s="0" t="n">
        <v>27.52414443362608</v>
      </c>
      <c r="H730" s="0" t="n">
        <v>7.511352528357906</v>
      </c>
      <c r="I730" s="0" t="n">
        <v>1125</v>
      </c>
      <c r="J730" s="0" t="n">
        <v>1105</v>
      </c>
      <c r="K730" s="0" t="n">
        <v>7.54599419974505</v>
      </c>
    </row>
    <row r="731">
      <c r="A731" s="0" t="n">
        <v>107</v>
      </c>
      <c r="B731" s="0" t="inlineStr">
        <is>
          <t>Lovekilling</t>
        </is>
      </c>
      <c r="C731" s="0" t="inlineStr">
        <is>
          <t>Town</t>
        </is>
      </c>
      <c r="D731" s="0" t="inlineStr">
        <is>
          <t>Loss</t>
        </is>
      </c>
      <c r="E731" s="0" t="n">
        <v>-20</v>
      </c>
      <c r="F731" s="0" t="n">
        <v>23.16655522691827</v>
      </c>
      <c r="G731" s="0" t="n">
        <v>22.82481222289527</v>
      </c>
      <c r="H731" s="0" t="n">
        <v>7.559308711840978</v>
      </c>
      <c r="I731" s="0" t="n">
        <v>801</v>
      </c>
      <c r="J731" s="0" t="n">
        <v>781</v>
      </c>
      <c r="K731" s="0" t="n">
        <v>7.594642825337811</v>
      </c>
    </row>
    <row r="732">
      <c r="A732" s="0" t="n">
        <v>107</v>
      </c>
      <c r="B732" s="0" t="inlineStr">
        <is>
          <t>Smit</t>
        </is>
      </c>
      <c r="C732" s="0" t="inlineStr">
        <is>
          <t>Town</t>
        </is>
      </c>
      <c r="D732" s="0" t="inlineStr">
        <is>
          <t>Loss</t>
        </is>
      </c>
      <c r="E732" s="0" t="n">
        <v>-16</v>
      </c>
      <c r="F732" s="0" t="n">
        <v>25.08503987344766</v>
      </c>
      <c r="G732" s="0" t="n">
        <v>24.81620616917196</v>
      </c>
      <c r="H732" s="0" t="n">
        <v>6.711442671199553</v>
      </c>
      <c r="I732" s="0" t="n">
        <v>1019</v>
      </c>
      <c r="J732" s="0" t="n">
        <v>1003</v>
      </c>
      <c r="K732" s="0" t="n">
        <v>6.735800024082434</v>
      </c>
    </row>
    <row r="733">
      <c r="A733" s="0" t="n">
        <v>107</v>
      </c>
      <c r="B733" s="0" t="inlineStr">
        <is>
          <t>Aipha</t>
        </is>
      </c>
      <c r="C733" s="0" t="inlineStr">
        <is>
          <t>Town</t>
        </is>
      </c>
      <c r="D733" s="0" t="inlineStr">
        <is>
          <t>Loss</t>
        </is>
      </c>
      <c r="E733" s="0" t="n">
        <v>-20</v>
      </c>
      <c r="F733" s="0" t="n">
        <v>24.73296938613607</v>
      </c>
      <c r="G733" s="0" t="n">
        <v>24.38777336459912</v>
      </c>
      <c r="H733" s="0" t="n">
        <v>7.597036480990425</v>
      </c>
      <c r="I733" s="0" t="n">
        <v>903</v>
      </c>
      <c r="J733" s="0" t="n">
        <v>883</v>
      </c>
      <c r="K733" s="0" t="n">
        <v>7.632921659126755</v>
      </c>
    </row>
    <row r="734">
      <c r="A734" s="0" t="n">
        <v>107</v>
      </c>
      <c r="B734" s="0" t="inlineStr">
        <is>
          <t>Vert</t>
        </is>
      </c>
      <c r="C734" s="0" t="inlineStr">
        <is>
          <t>Town</t>
        </is>
      </c>
      <c r="D734" s="0" t="inlineStr">
        <is>
          <t>Loss</t>
        </is>
      </c>
      <c r="E734" s="0" t="n">
        <v>-23</v>
      </c>
      <c r="F734" s="0" t="n">
        <v>26.6750336103668</v>
      </c>
      <c r="G734" s="0" t="n">
        <v>26.2733776482894</v>
      </c>
      <c r="H734" s="0" t="n">
        <v>8.188336554400857</v>
      </c>
      <c r="I734" s="0" t="n">
        <v>974</v>
      </c>
      <c r="J734" s="0" t="n">
        <v>951</v>
      </c>
      <c r="K734" s="0" t="n">
        <v>8.233609434192989</v>
      </c>
    </row>
    <row r="735">
      <c r="A735" s="0" t="n">
        <v>107</v>
      </c>
      <c r="B735" s="0" t="inlineStr">
        <is>
          <t>Noah</t>
        </is>
      </c>
      <c r="C735" s="0" t="inlineStr">
        <is>
          <t>Town</t>
        </is>
      </c>
      <c r="D735" s="0" t="inlineStr">
        <is>
          <t>Loss</t>
        </is>
      </c>
      <c r="E735" s="0" t="n">
        <v>-15</v>
      </c>
      <c r="F735" s="0" t="n">
        <v>31.58073751182475</v>
      </c>
      <c r="G735" s="0" t="n">
        <v>31.32632539499182</v>
      </c>
      <c r="H735" s="0" t="n">
        <v>6.53025585527029</v>
      </c>
      <c r="I735" s="0" t="n">
        <v>1479</v>
      </c>
      <c r="J735" s="0" t="n">
        <v>1464</v>
      </c>
      <c r="K735" s="0" t="n">
        <v>6.552597770655699</v>
      </c>
    </row>
    <row r="736">
      <c r="A736" s="0" t="n">
        <v>107</v>
      </c>
      <c r="B736" s="0" t="inlineStr">
        <is>
          <t>Badpants</t>
        </is>
      </c>
      <c r="C736" s="0" t="inlineStr">
        <is>
          <t>Town</t>
        </is>
      </c>
      <c r="D736" s="0" t="inlineStr">
        <is>
          <t>Loss</t>
        </is>
      </c>
      <c r="E736" s="0" t="n">
        <v>-16</v>
      </c>
      <c r="F736" s="0" t="n">
        <v>23.96629014970196</v>
      </c>
      <c r="G736" s="0" t="n">
        <v>23.70378585215339</v>
      </c>
      <c r="H736" s="0" t="n">
        <v>6.63255016500962</v>
      </c>
      <c r="I736" s="0" t="n">
        <v>951</v>
      </c>
      <c r="J736" s="0" t="n">
        <v>935</v>
      </c>
      <c r="K736" s="0" t="n">
        <v>6.656016377574782</v>
      </c>
    </row>
    <row r="737">
      <c r="A737" s="0" t="n">
        <v>107</v>
      </c>
      <c r="B737" s="0" t="inlineStr">
        <is>
          <t>Carson</t>
        </is>
      </c>
      <c r="C737" s="0" t="inlineStr">
        <is>
          <t>Town</t>
        </is>
      </c>
      <c r="D737" s="0" t="inlineStr">
        <is>
          <t>Loss</t>
        </is>
      </c>
      <c r="E737" s="0" t="n">
        <v>-16</v>
      </c>
      <c r="F737" s="0" t="n">
        <v>31.99594481218754</v>
      </c>
      <c r="G737" s="0" t="n">
        <v>31.73557976689457</v>
      </c>
      <c r="H737" s="0" t="n">
        <v>6.605666137114511</v>
      </c>
      <c r="I737" s="0" t="n">
        <v>1500</v>
      </c>
      <c r="J737" s="0" t="n">
        <v>1484</v>
      </c>
      <c r="K737" s="0" t="n">
        <v>6.628833482285636</v>
      </c>
    </row>
    <row r="738">
      <c r="A738" s="0" t="n">
        <v>107</v>
      </c>
      <c r="B738" s="0" t="inlineStr">
        <is>
          <t>Iln</t>
        </is>
      </c>
      <c r="C738" s="0" t="inlineStr">
        <is>
          <t>Town</t>
        </is>
      </c>
      <c r="D738" s="0" t="inlineStr">
        <is>
          <t>Loss</t>
        </is>
      </c>
      <c r="E738" s="0" t="n">
        <v>-16</v>
      </c>
      <c r="F738" s="0" t="n">
        <v>25.83850884504572</v>
      </c>
      <c r="G738" s="0" t="n">
        <v>25.5634938319394</v>
      </c>
      <c r="H738" s="0" t="n">
        <v>6.787577634878026</v>
      </c>
      <c r="I738" s="0" t="n">
        <v>1062</v>
      </c>
      <c r="J738" s="0" t="n">
        <v>1046</v>
      </c>
      <c r="K738" s="0" t="n">
        <v>6.81281512693081</v>
      </c>
    </row>
    <row r="739">
      <c r="A739" s="0" t="n">
        <v>107</v>
      </c>
      <c r="B739" s="0" t="inlineStr">
        <is>
          <t>Lou</t>
        </is>
      </c>
      <c r="C739" s="0" t="inlineStr">
        <is>
          <t>Town</t>
        </is>
      </c>
      <c r="D739" s="0" t="inlineStr">
        <is>
          <t>Loss</t>
        </is>
      </c>
      <c r="E739" s="0" t="n">
        <v>-16</v>
      </c>
      <c r="F739" s="0" t="n">
        <v>27.92143317917302</v>
      </c>
      <c r="G739" s="0" t="n">
        <v>27.65884299914109</v>
      </c>
      <c r="H739" s="0" t="n">
        <v>6.633627109897732</v>
      </c>
      <c r="I739" s="0" t="n">
        <v>1220</v>
      </c>
      <c r="J739" s="0" t="n">
        <v>1204</v>
      </c>
      <c r="K739" s="0" t="n">
        <v>6.657105345417702</v>
      </c>
    </row>
    <row r="740">
      <c r="A740" s="0" t="n">
        <v>106</v>
      </c>
      <c r="B740" s="0" t="inlineStr">
        <is>
          <t>Plen</t>
        </is>
      </c>
      <c r="C740" s="0" t="inlineStr">
        <is>
          <t>Mafia</t>
        </is>
      </c>
      <c r="D740" s="0" t="inlineStr">
        <is>
          <t>Loss</t>
        </is>
      </c>
      <c r="E740" s="0" t="n">
        <v>-44</v>
      </c>
      <c r="F740" s="0" t="n">
        <v>20.71860919190554</v>
      </c>
      <c r="G740" s="0" t="n">
        <v>20.00517168577282</v>
      </c>
      <c r="H740" s="0" t="n">
        <v>6.46864614140148</v>
      </c>
      <c r="I740" s="0" t="n">
        <v>745</v>
      </c>
      <c r="J740" s="0" t="n">
        <v>701</v>
      </c>
      <c r="K740" s="0" t="n">
        <v>6.511499549150981</v>
      </c>
    </row>
    <row r="741">
      <c r="A741" s="0" t="n">
        <v>106</v>
      </c>
      <c r="B741" s="0" t="inlineStr">
        <is>
          <t>Kwix</t>
        </is>
      </c>
      <c r="C741" s="0" t="inlineStr">
        <is>
          <t>Mafia</t>
        </is>
      </c>
      <c r="D741" s="0" t="inlineStr">
        <is>
          <t>Loss</t>
        </is>
      </c>
      <c r="E741" s="0" t="n">
        <v>-49</v>
      </c>
      <c r="F741" s="0" t="n">
        <v>26.45540029967498</v>
      </c>
      <c r="G741" s="0" t="n">
        <v>25.65677648059684</v>
      </c>
      <c r="H741" s="0" t="n">
        <v>6.838414208628813</v>
      </c>
      <c r="I741" s="0" t="n">
        <v>1096</v>
      </c>
      <c r="J741" s="0" t="n">
        <v>1047</v>
      </c>
      <c r="K741" s="0" t="n">
        <v>6.889372047492541</v>
      </c>
    </row>
    <row r="742">
      <c r="A742" s="0" t="n">
        <v>106</v>
      </c>
      <c r="B742" s="0" t="inlineStr">
        <is>
          <t>Rocker</t>
        </is>
      </c>
      <c r="C742" s="0" t="inlineStr">
        <is>
          <t>Mafia</t>
        </is>
      </c>
      <c r="D742" s="0" t="inlineStr">
        <is>
          <t>Loss</t>
        </is>
      </c>
      <c r="E742" s="0" t="n">
        <v>-42</v>
      </c>
      <c r="F742" s="0" t="n">
        <v>30.76229049418395</v>
      </c>
      <c r="G742" s="0" t="n">
        <v>30.08535790710585</v>
      </c>
      <c r="H742" s="0" t="n">
        <v>6.303161609185043</v>
      </c>
      <c r="I742" s="0" t="n">
        <v>1445</v>
      </c>
      <c r="J742" s="0" t="n">
        <v>1403</v>
      </c>
      <c r="K742" s="0" t="n">
        <v>6.342682835513729</v>
      </c>
    </row>
    <row r="743">
      <c r="A743" s="0" t="n">
        <v>106</v>
      </c>
      <c r="B743" s="0" t="inlineStr">
        <is>
          <t>Carson</t>
        </is>
      </c>
      <c r="C743" s="0" t="inlineStr">
        <is>
          <t>Town</t>
        </is>
      </c>
      <c r="D743" s="0" t="inlineStr">
        <is>
          <t>Win</t>
        </is>
      </c>
      <c r="E743" s="0" t="n">
        <v>56</v>
      </c>
      <c r="F743" s="0" t="n">
        <v>31.24621910783403</v>
      </c>
      <c r="G743" s="0" t="n">
        <v>31.99594481218754</v>
      </c>
      <c r="H743" s="0" t="n">
        <v>6.628833482285636</v>
      </c>
      <c r="I743" s="0" t="n">
        <v>1444</v>
      </c>
      <c r="J743" s="0" t="n">
        <v>1500</v>
      </c>
      <c r="K743" s="0" t="n">
        <v>6.675083852481745</v>
      </c>
    </row>
    <row r="744">
      <c r="A744" s="0" t="n">
        <v>106</v>
      </c>
      <c r="B744" s="0" t="inlineStr">
        <is>
          <t>Iln</t>
        </is>
      </c>
      <c r="C744" s="0" t="inlineStr">
        <is>
          <t>Town</t>
        </is>
      </c>
      <c r="D744" s="0" t="inlineStr">
        <is>
          <t>Win</t>
        </is>
      </c>
      <c r="E744" s="0" t="n">
        <v>59</v>
      </c>
      <c r="F744" s="0" t="n">
        <v>25.04594424699536</v>
      </c>
      <c r="G744" s="0" t="n">
        <v>25.83850884504572</v>
      </c>
      <c r="H744" s="0" t="n">
        <v>6.81281512693081</v>
      </c>
      <c r="I744" s="0" t="n">
        <v>1003</v>
      </c>
      <c r="J744" s="0" t="n">
        <v>1062</v>
      </c>
      <c r="K744" s="0" t="n">
        <v>6.86318165813662</v>
      </c>
    </row>
    <row r="745">
      <c r="A745" s="0" t="n">
        <v>106</v>
      </c>
      <c r="B745" s="0" t="inlineStr">
        <is>
          <t>Noah</t>
        </is>
      </c>
      <c r="C745" s="0" t="inlineStr">
        <is>
          <t>Town</t>
        </is>
      </c>
      <c r="D745" s="0" t="inlineStr">
        <is>
          <t>Win</t>
        </is>
      </c>
      <c r="E745" s="0" t="n">
        <v>54</v>
      </c>
      <c r="F745" s="0" t="n">
        <v>30.84839896082928</v>
      </c>
      <c r="G745" s="0" t="n">
        <v>31.58073751182475</v>
      </c>
      <c r="H745" s="0" t="n">
        <v>6.552597770655699</v>
      </c>
      <c r="I745" s="0" t="n">
        <v>1425</v>
      </c>
      <c r="J745" s="0" t="n">
        <v>1479</v>
      </c>
      <c r="K745" s="0" t="n">
        <v>6.59721011804063</v>
      </c>
    </row>
    <row r="746">
      <c r="A746" s="0" t="n">
        <v>106</v>
      </c>
      <c r="B746" s="0" t="inlineStr">
        <is>
          <t>Motr</t>
        </is>
      </c>
      <c r="C746" s="0" t="inlineStr">
        <is>
          <t>Town</t>
        </is>
      </c>
      <c r="D746" s="0" t="inlineStr">
        <is>
          <t>Win</t>
        </is>
      </c>
      <c r="E746" s="0" t="n">
        <v>76</v>
      </c>
      <c r="F746" s="0" t="n">
        <v>25.76905856322832</v>
      </c>
      <c r="G746" s="0" t="n">
        <v>26.77043345429392</v>
      </c>
      <c r="H746" s="0" t="n">
        <v>7.642660297949799</v>
      </c>
      <c r="I746" s="0" t="n">
        <v>965</v>
      </c>
      <c r="J746" s="0" t="n">
        <v>1041</v>
      </c>
      <c r="K746" s="0" t="n">
        <v>7.714648103699393</v>
      </c>
    </row>
    <row r="747">
      <c r="A747" s="0" t="n">
        <v>106</v>
      </c>
      <c r="B747" s="0" t="inlineStr">
        <is>
          <t>Badpants</t>
        </is>
      </c>
      <c r="C747" s="0" t="inlineStr">
        <is>
          <t>Town</t>
        </is>
      </c>
      <c r="D747" s="0" t="inlineStr">
        <is>
          <t>Win</t>
        </is>
      </c>
      <c r="E747" s="0" t="n">
        <v>56</v>
      </c>
      <c r="F747" s="0" t="n">
        <v>23.21031333061258</v>
      </c>
      <c r="G747" s="0" t="n">
        <v>23.96629014970196</v>
      </c>
      <c r="H747" s="0" t="n">
        <v>6.656016377574782</v>
      </c>
      <c r="I747" s="0" t="n">
        <v>895</v>
      </c>
      <c r="J747" s="0" t="n">
        <v>951</v>
      </c>
      <c r="K747" s="0" t="n">
        <v>6.702860293646852</v>
      </c>
    </row>
    <row r="748">
      <c r="A748" s="0" t="n">
        <v>106</v>
      </c>
      <c r="B748" s="0" t="inlineStr">
        <is>
          <t>Lovekilling</t>
        </is>
      </c>
      <c r="C748" s="0" t="inlineStr">
        <is>
          <t>Town</t>
        </is>
      </c>
      <c r="D748" s="0" t="inlineStr">
        <is>
          <t>Win</t>
        </is>
      </c>
      <c r="E748" s="0" t="n">
        <v>75</v>
      </c>
      <c r="F748" s="0" t="n">
        <v>22.17796477201762</v>
      </c>
      <c r="G748" s="0" t="n">
        <v>23.16655522691827</v>
      </c>
      <c r="H748" s="0" t="n">
        <v>7.594642825337811</v>
      </c>
      <c r="I748" s="0" t="n">
        <v>726</v>
      </c>
      <c r="J748" s="0" t="n">
        <v>801</v>
      </c>
      <c r="K748" s="0" t="n">
        <v>7.66523557978331</v>
      </c>
    </row>
    <row r="749">
      <c r="A749" s="0" t="n">
        <v>106</v>
      </c>
      <c r="B749" s="0" t="inlineStr">
        <is>
          <t>Cj</t>
        </is>
      </c>
      <c r="C749" s="0" t="inlineStr">
        <is>
          <t>Town</t>
        </is>
      </c>
      <c r="D749" s="0" t="inlineStr">
        <is>
          <t>Win</t>
        </is>
      </c>
      <c r="E749" s="0" t="n">
        <v>79</v>
      </c>
      <c r="F749" s="0" t="n">
        <v>26.20228378807359</v>
      </c>
      <c r="G749" s="0" t="n">
        <v>27.25156138611701</v>
      </c>
      <c r="H749" s="0" t="n">
        <v>7.819751109737263</v>
      </c>
      <c r="I749" s="0" t="n">
        <v>976</v>
      </c>
      <c r="J749" s="0" t="n">
        <v>1055</v>
      </c>
      <c r="K749" s="0" t="n">
        <v>7.897045463398112</v>
      </c>
    </row>
    <row r="750">
      <c r="A750" s="0" t="n">
        <v>106</v>
      </c>
      <c r="B750" s="0" t="inlineStr">
        <is>
          <t>Whyin</t>
        </is>
      </c>
      <c r="C750" s="0" t="inlineStr">
        <is>
          <t>Town</t>
        </is>
      </c>
      <c r="D750" s="0" t="inlineStr">
        <is>
          <t>Win</t>
        </is>
      </c>
      <c r="E750" s="0" t="n">
        <v>60</v>
      </c>
      <c r="F750" s="0" t="n">
        <v>27.34921173842793</v>
      </c>
      <c r="G750" s="0" t="n">
        <v>28.15764360871983</v>
      </c>
      <c r="H750" s="0" t="n">
        <v>6.87963693565565</v>
      </c>
      <c r="I750" s="0" t="n">
        <v>1153</v>
      </c>
      <c r="J750" s="0" t="n">
        <v>1213</v>
      </c>
      <c r="K750" s="0" t="n">
        <v>6.931556654524994</v>
      </c>
    </row>
    <row r="751">
      <c r="A751" s="0" t="n">
        <v>106</v>
      </c>
      <c r="B751" s="0" t="inlineStr">
        <is>
          <t>Laur</t>
        </is>
      </c>
      <c r="C751" s="0" t="inlineStr">
        <is>
          <t>Town</t>
        </is>
      </c>
      <c r="D751" s="0" t="inlineStr">
        <is>
          <t>Win</t>
        </is>
      </c>
      <c r="E751" s="0" t="n">
        <v>61</v>
      </c>
      <c r="F751" s="0" t="n">
        <v>35.56584339485443</v>
      </c>
      <c r="G751" s="0" t="n">
        <v>36.38219259870915</v>
      </c>
      <c r="H751" s="0" t="n">
        <v>6.912722475774513</v>
      </c>
      <c r="I751" s="0" t="n">
        <v>1708</v>
      </c>
      <c r="J751" s="0" t="n">
        <v>1769</v>
      </c>
      <c r="K751" s="0" t="n">
        <v>6.965422898554484</v>
      </c>
    </row>
    <row r="752">
      <c r="A752" s="0" t="n">
        <v>106</v>
      </c>
      <c r="B752" s="0" t="inlineStr">
        <is>
          <t>Aipha</t>
        </is>
      </c>
      <c r="C752" s="0" t="inlineStr">
        <is>
          <t>Town</t>
        </is>
      </c>
      <c r="D752" s="0" t="inlineStr">
        <is>
          <t>Win</t>
        </is>
      </c>
      <c r="E752" s="0" t="n">
        <v>75</v>
      </c>
      <c r="F752" s="0" t="n">
        <v>23.73419439232705</v>
      </c>
      <c r="G752" s="0" t="n">
        <v>24.73296938613607</v>
      </c>
      <c r="H752" s="0" t="n">
        <v>7.632921659126755</v>
      </c>
      <c r="I752" s="0" t="n">
        <v>828</v>
      </c>
      <c r="J752" s="0" t="n">
        <v>903</v>
      </c>
      <c r="K752" s="0" t="n">
        <v>7.704625033001544</v>
      </c>
    </row>
    <row r="753">
      <c r="A753" s="0" t="n">
        <v>105</v>
      </c>
      <c r="B753" s="0" t="inlineStr">
        <is>
          <t>Rollo</t>
        </is>
      </c>
      <c r="C753" s="0" t="inlineStr">
        <is>
          <t>Mafia</t>
        </is>
      </c>
      <c r="D753" s="0" t="inlineStr">
        <is>
          <t>Loss</t>
        </is>
      </c>
      <c r="E753" s="0" t="n">
        <v>-72</v>
      </c>
      <c r="F753" s="0" t="n">
        <v>32.3552272921232</v>
      </c>
      <c r="G753" s="0" t="n">
        <v>31.21195323292063</v>
      </c>
      <c r="H753" s="0" t="n">
        <v>6.828688321456953</v>
      </c>
      <c r="I753" s="0" t="n">
        <v>1498</v>
      </c>
      <c r="J753" s="0" t="n">
        <v>1426</v>
      </c>
      <c r="K753" s="0" t="n">
        <v>6.884424181484167</v>
      </c>
    </row>
    <row r="754">
      <c r="A754" s="0" t="n">
        <v>105</v>
      </c>
      <c r="B754" s="0" t="inlineStr">
        <is>
          <t>Maz</t>
        </is>
      </c>
      <c r="C754" s="0" t="inlineStr">
        <is>
          <t>Mafia</t>
        </is>
      </c>
      <c r="D754" s="0" t="inlineStr">
        <is>
          <t>Loss</t>
        </is>
      </c>
      <c r="E754" s="0" t="n">
        <v>-97</v>
      </c>
      <c r="F754" s="0" t="n">
        <v>24.42848429712572</v>
      </c>
      <c r="G754" s="0" t="n">
        <v>22.87335769888507</v>
      </c>
      <c r="H754" s="0" t="n">
        <v>7.940395891437891</v>
      </c>
      <c r="I754" s="0" t="n">
        <v>842</v>
      </c>
      <c r="J754" s="0" t="n">
        <v>745</v>
      </c>
      <c r="K754" s="0" t="n">
        <v>8.029480629999178</v>
      </c>
    </row>
    <row r="755">
      <c r="A755" s="0" t="n">
        <v>105</v>
      </c>
      <c r="B755" s="0" t="inlineStr">
        <is>
          <t>Motr</t>
        </is>
      </c>
      <c r="C755" s="0" t="inlineStr">
        <is>
          <t>Mafia</t>
        </is>
      </c>
      <c r="D755" s="0" t="inlineStr">
        <is>
          <t>Loss</t>
        </is>
      </c>
      <c r="E755" s="0" t="n">
        <v>-92</v>
      </c>
      <c r="F755" s="0" t="n">
        <v>27.23510859483826</v>
      </c>
      <c r="G755" s="0" t="n">
        <v>25.76905856322832</v>
      </c>
      <c r="H755" s="0" t="n">
        <v>7.714648103699393</v>
      </c>
      <c r="I755" s="0" t="n">
        <v>1057</v>
      </c>
      <c r="J755" s="0" t="n">
        <v>965</v>
      </c>
      <c r="K755" s="0" t="n">
        <v>7.796091532479552</v>
      </c>
    </row>
    <row r="756">
      <c r="A756" s="0" t="n">
        <v>105</v>
      </c>
      <c r="B756" s="0" t="inlineStr">
        <is>
          <t>Whyin</t>
        </is>
      </c>
      <c r="C756" s="0" t="inlineStr">
        <is>
          <t>Town</t>
        </is>
      </c>
      <c r="D756" s="0" t="inlineStr">
        <is>
          <t>Win</t>
        </is>
      </c>
      <c r="E756" s="0" t="n">
        <v>86</v>
      </c>
      <c r="F756" s="0" t="n">
        <v>26.17062893898693</v>
      </c>
      <c r="G756" s="0" t="n">
        <v>27.34921173842793</v>
      </c>
      <c r="H756" s="0" t="n">
        <v>6.931556654524994</v>
      </c>
      <c r="I756" s="0" t="n">
        <v>1067</v>
      </c>
      <c r="J756" s="0" t="n">
        <v>1153</v>
      </c>
      <c r="K756" s="0" t="n">
        <v>6.989946770236004</v>
      </c>
    </row>
    <row r="757">
      <c r="A757" s="0" t="n">
        <v>105</v>
      </c>
      <c r="B757" s="0" t="inlineStr">
        <is>
          <t>Chester</t>
        </is>
      </c>
      <c r="C757" s="0" t="inlineStr">
        <is>
          <t>Town</t>
        </is>
      </c>
      <c r="D757" s="0" t="inlineStr">
        <is>
          <t>Win</t>
        </is>
      </c>
      <c r="E757" s="0" t="n">
        <v>106</v>
      </c>
      <c r="F757" s="0" t="n">
        <v>29.27003960215758</v>
      </c>
      <c r="G757" s="0" t="n">
        <v>30.70620457520873</v>
      </c>
      <c r="H757" s="0" t="n">
        <v>7.637277440405734</v>
      </c>
      <c r="I757" s="0" t="n">
        <v>1203</v>
      </c>
      <c r="J757" s="0" t="n">
        <v>1309</v>
      </c>
      <c r="K757" s="0" t="n">
        <v>7.71620852068977</v>
      </c>
    </row>
    <row r="758">
      <c r="A758" s="0" t="n">
        <v>105</v>
      </c>
      <c r="B758" s="0" t="inlineStr">
        <is>
          <t>Svaan</t>
        </is>
      </c>
      <c r="C758" s="0" t="inlineStr">
        <is>
          <t>Town</t>
        </is>
      </c>
      <c r="D758" s="0" t="inlineStr">
        <is>
          <t>Win</t>
        </is>
      </c>
      <c r="E758" s="0" t="n">
        <v>103</v>
      </c>
      <c r="F758" s="0" t="n">
        <v>26.58786018458252</v>
      </c>
      <c r="G758" s="0" t="n">
        <v>27.98415077083883</v>
      </c>
      <c r="H758" s="0" t="n">
        <v>7.532698189611593</v>
      </c>
      <c r="I758" s="0" t="n">
        <v>1032</v>
      </c>
      <c r="J758" s="0" t="n">
        <v>1135</v>
      </c>
      <c r="K758" s="0" t="n">
        <v>7.608317955154535</v>
      </c>
    </row>
    <row r="759">
      <c r="A759" s="0" t="n">
        <v>105</v>
      </c>
      <c r="B759" s="0" t="inlineStr">
        <is>
          <t>Plen</t>
        </is>
      </c>
      <c r="C759" s="0" t="inlineStr">
        <is>
          <t>Town</t>
        </is>
      </c>
      <c r="D759" s="0" t="inlineStr">
        <is>
          <t>Win</t>
        </is>
      </c>
      <c r="E759" s="0" t="n">
        <v>76</v>
      </c>
      <c r="F759" s="0" t="n">
        <v>19.68066522783838</v>
      </c>
      <c r="G759" s="0" t="n">
        <v>20.71860919190554</v>
      </c>
      <c r="H759" s="0" t="n">
        <v>6.511499549150981</v>
      </c>
      <c r="I759" s="0" t="n">
        <v>669</v>
      </c>
      <c r="J759" s="0" t="n">
        <v>745</v>
      </c>
      <c r="K759" s="0" t="n">
        <v>6.559560636510778</v>
      </c>
    </row>
    <row r="760">
      <c r="A760" s="0" t="n">
        <v>105</v>
      </c>
      <c r="B760" s="0" t="inlineStr">
        <is>
          <t>Vert</t>
        </is>
      </c>
      <c r="C760" s="0" t="inlineStr">
        <is>
          <t>Town</t>
        </is>
      </c>
      <c r="D760" s="0" t="inlineStr">
        <is>
          <t>Win</t>
        </is>
      </c>
      <c r="E760" s="0" t="n">
        <v>124</v>
      </c>
      <c r="F760" s="0" t="n">
        <v>25</v>
      </c>
      <c r="G760" s="0" t="n">
        <v>26.6750336103668</v>
      </c>
      <c r="H760" s="0" t="n">
        <v>8.233609434192989</v>
      </c>
      <c r="I760" s="0" t="n">
        <v>850</v>
      </c>
      <c r="J760" s="0" t="n">
        <v>974</v>
      </c>
      <c r="K760" s="0" t="n">
        <v>8.333333333333334</v>
      </c>
    </row>
    <row r="761">
      <c r="A761" s="0" t="n">
        <v>105</v>
      </c>
      <c r="B761" s="0" t="inlineStr">
        <is>
          <t>Streety</t>
        </is>
      </c>
      <c r="C761" s="0" t="inlineStr">
        <is>
          <t>Town</t>
        </is>
      </c>
      <c r="D761" s="0" t="inlineStr">
        <is>
          <t>Win</t>
        </is>
      </c>
      <c r="E761" s="0" t="n">
        <v>90</v>
      </c>
      <c r="F761" s="0" t="n">
        <v>28.38810704988159</v>
      </c>
      <c r="G761" s="0" t="n">
        <v>29.61050532398203</v>
      </c>
      <c r="H761" s="0" t="n">
        <v>7.05697840109774</v>
      </c>
      <c r="I761" s="0" t="n">
        <v>1204</v>
      </c>
      <c r="J761" s="0" t="n">
        <v>1294</v>
      </c>
      <c r="K761" s="0" t="n">
        <v>7.118717788186551</v>
      </c>
    </row>
    <row r="762">
      <c r="A762" s="0" t="n">
        <v>105</v>
      </c>
      <c r="B762" s="0" t="inlineStr">
        <is>
          <t>Carson</t>
        </is>
      </c>
      <c r="C762" s="0" t="inlineStr">
        <is>
          <t>Town</t>
        </is>
      </c>
      <c r="D762" s="0" t="inlineStr">
        <is>
          <t>Win</t>
        </is>
      </c>
      <c r="E762" s="0" t="n">
        <v>80</v>
      </c>
      <c r="F762" s="0" t="n">
        <v>30.15461944854211</v>
      </c>
      <c r="G762" s="0" t="n">
        <v>31.24621910783403</v>
      </c>
      <c r="H762" s="0" t="n">
        <v>6.675083852481745</v>
      </c>
      <c r="I762" s="0" t="n">
        <v>1364</v>
      </c>
      <c r="J762" s="0" t="n">
        <v>1444</v>
      </c>
      <c r="K762" s="0" t="n">
        <v>6.72700845435616</v>
      </c>
    </row>
    <row r="763">
      <c r="A763" s="0" t="n">
        <v>105</v>
      </c>
      <c r="B763" s="0" t="inlineStr">
        <is>
          <t>Mintt</t>
        </is>
      </c>
      <c r="C763" s="0" t="inlineStr">
        <is>
          <t>Town</t>
        </is>
      </c>
      <c r="D763" s="0" t="inlineStr">
        <is>
          <t>Win</t>
        </is>
      </c>
      <c r="E763" s="0" t="n">
        <v>88</v>
      </c>
      <c r="F763" s="0" t="n">
        <v>26.2372784321302</v>
      </c>
      <c r="G763" s="0" t="n">
        <v>27.44775783997049</v>
      </c>
      <c r="H763" s="0" t="n">
        <v>7.023098472108821</v>
      </c>
      <c r="I763" s="0" t="n">
        <v>1062</v>
      </c>
      <c r="J763" s="0" t="n">
        <v>1150</v>
      </c>
      <c r="K763" s="0" t="n">
        <v>7.083920738059491</v>
      </c>
    </row>
    <row r="764">
      <c r="A764" s="0" t="n">
        <v>105</v>
      </c>
      <c r="B764" s="0" t="inlineStr">
        <is>
          <t>Lou</t>
        </is>
      </c>
      <c r="C764" s="0" t="inlineStr">
        <is>
          <t>Town</t>
        </is>
      </c>
      <c r="D764" s="0" t="inlineStr">
        <is>
          <t>Win</t>
        </is>
      </c>
      <c r="E764" s="0" t="n">
        <v>79</v>
      </c>
      <c r="F764" s="0" t="n">
        <v>26.83579978156185</v>
      </c>
      <c r="G764" s="0" t="n">
        <v>27.92143317917302</v>
      </c>
      <c r="H764" s="0" t="n">
        <v>6.657105345417702</v>
      </c>
      <c r="I764" s="0" t="n">
        <v>1141</v>
      </c>
      <c r="J764" s="0" t="n">
        <v>1220</v>
      </c>
      <c r="K764" s="0" t="n">
        <v>6.708595578816666</v>
      </c>
    </row>
    <row r="765">
      <c r="A765" s="0" t="n">
        <v>105</v>
      </c>
      <c r="B765" s="0" t="inlineStr">
        <is>
          <t>Noah</t>
        </is>
      </c>
      <c r="C765" s="0" t="inlineStr">
        <is>
          <t>Town</t>
        </is>
      </c>
      <c r="D765" s="0" t="inlineStr">
        <is>
          <t>Win</t>
        </is>
      </c>
      <c r="E765" s="0" t="n">
        <v>78</v>
      </c>
      <c r="F765" s="0" t="n">
        <v>29.78251851721866</v>
      </c>
      <c r="G765" s="0" t="n">
        <v>30.84839896082928</v>
      </c>
      <c r="H765" s="0" t="n">
        <v>6.59721011804063</v>
      </c>
      <c r="I765" s="0" t="n">
        <v>1347</v>
      </c>
      <c r="J765" s="0" t="n">
        <v>1425</v>
      </c>
      <c r="K765" s="0" t="n">
        <v>6.647270727301108</v>
      </c>
    </row>
    <row r="766">
      <c r="A766" s="0" t="n">
        <v>104</v>
      </c>
      <c r="B766" s="0" t="inlineStr">
        <is>
          <t>Streety</t>
        </is>
      </c>
      <c r="C766" s="0" t="inlineStr">
        <is>
          <t>Mafia</t>
        </is>
      </c>
      <c r="D766" s="0" t="inlineStr">
        <is>
          <t>Win</t>
        </is>
      </c>
      <c r="E766" s="0" t="n">
        <v>79</v>
      </c>
      <c r="F766" s="0" t="n">
        <v>27.30653180521167</v>
      </c>
      <c r="G766" s="0" t="n">
        <v>28.38810704988159</v>
      </c>
      <c r="H766" s="0" t="n">
        <v>7.118717788186551</v>
      </c>
      <c r="I766" s="0" t="n">
        <v>1125</v>
      </c>
      <c r="J766" s="0" t="n">
        <v>1204</v>
      </c>
      <c r="K766" s="0" t="n">
        <v>7.17515935198779</v>
      </c>
    </row>
    <row r="767">
      <c r="A767" s="0" t="n">
        <v>104</v>
      </c>
      <c r="B767" s="0" t="inlineStr">
        <is>
          <t>Noah</t>
        </is>
      </c>
      <c r="C767" s="0" t="inlineStr">
        <is>
          <t>Mafia</t>
        </is>
      </c>
      <c r="D767" s="0" t="inlineStr">
        <is>
          <t>Win</t>
        </is>
      </c>
      <c r="E767" s="0" t="n">
        <v>68</v>
      </c>
      <c r="F767" s="0" t="n">
        <v>28.84142736755375</v>
      </c>
      <c r="G767" s="0" t="n">
        <v>29.78251851721866</v>
      </c>
      <c r="H767" s="0" t="n">
        <v>6.647270727301108</v>
      </c>
      <c r="I767" s="0" t="n">
        <v>1279</v>
      </c>
      <c r="J767" s="0" t="n">
        <v>1347</v>
      </c>
      <c r="K767" s="0" t="n">
        <v>6.692875241762961</v>
      </c>
    </row>
    <row r="768">
      <c r="A768" s="0" t="n">
        <v>104</v>
      </c>
      <c r="B768" s="0" t="inlineStr">
        <is>
          <t>Lovekilling</t>
        </is>
      </c>
      <c r="C768" s="0" t="inlineStr">
        <is>
          <t>Mafia</t>
        </is>
      </c>
      <c r="D768" s="0" t="inlineStr">
        <is>
          <t>Win</t>
        </is>
      </c>
      <c r="E768" s="0" t="n">
        <v>92</v>
      </c>
      <c r="F768" s="0" t="n">
        <v>20.92065289337768</v>
      </c>
      <c r="G768" s="0" t="n">
        <v>22.17796477201762</v>
      </c>
      <c r="H768" s="0" t="n">
        <v>7.66523557978331</v>
      </c>
      <c r="I768" s="0" t="n">
        <v>634</v>
      </c>
      <c r="J768" s="0" t="n">
        <v>726</v>
      </c>
      <c r="K768" s="0" t="n">
        <v>7.736251609391924</v>
      </c>
    </row>
    <row r="769">
      <c r="A769" s="0" t="n">
        <v>104</v>
      </c>
      <c r="B769" s="0" t="inlineStr">
        <is>
          <t>Xcync</t>
        </is>
      </c>
      <c r="C769" s="0" t="inlineStr">
        <is>
          <t>Town</t>
        </is>
      </c>
      <c r="D769" s="0" t="inlineStr">
        <is>
          <t>Loss</t>
        </is>
      </c>
      <c r="E769" s="0" t="n">
        <v>-75</v>
      </c>
      <c r="F769" s="0" t="n">
        <v>31.23961219820557</v>
      </c>
      <c r="G769" s="0" t="n">
        <v>30.04690688905535</v>
      </c>
      <c r="H769" s="0" t="n">
        <v>7.469303061827032</v>
      </c>
      <c r="I769" s="0" t="n">
        <v>1356</v>
      </c>
      <c r="J769" s="0" t="n">
        <v>1281</v>
      </c>
      <c r="K769" s="0" t="n">
        <v>7.534833979256712</v>
      </c>
    </row>
    <row r="770">
      <c r="A770" s="0" t="n">
        <v>104</v>
      </c>
      <c r="B770" s="0" t="inlineStr">
        <is>
          <t>Maz</t>
        </is>
      </c>
      <c r="C770" s="0" t="inlineStr">
        <is>
          <t>Town</t>
        </is>
      </c>
      <c r="D770" s="0" t="inlineStr">
        <is>
          <t>Loss</t>
        </is>
      </c>
      <c r="E770" s="0" t="n">
        <v>-86</v>
      </c>
      <c r="F770" s="0" t="n">
        <v>25.81070754188336</v>
      </c>
      <c r="G770" s="0" t="n">
        <v>24.42848429712572</v>
      </c>
      <c r="H770" s="0" t="n">
        <v>8.029480629999178</v>
      </c>
      <c r="I770" s="0" t="n">
        <v>928</v>
      </c>
      <c r="J770" s="0" t="n">
        <v>842</v>
      </c>
      <c r="K770" s="0" t="n">
        <v>8.111505212855924</v>
      </c>
    </row>
    <row r="771">
      <c r="A771" s="0" t="n">
        <v>104</v>
      </c>
      <c r="B771" s="0" t="inlineStr">
        <is>
          <t>Rollo</t>
        </is>
      </c>
      <c r="C771" s="0" t="inlineStr">
        <is>
          <t>Town</t>
        </is>
      </c>
      <c r="D771" s="0" t="inlineStr">
        <is>
          <t>Loss</t>
        </is>
      </c>
      <c r="E771" s="0" t="n">
        <v>-63</v>
      </c>
      <c r="F771" s="0" t="n">
        <v>33.3657092716996</v>
      </c>
      <c r="G771" s="0" t="n">
        <v>32.3552272921232</v>
      </c>
      <c r="H771" s="0" t="n">
        <v>6.884424181484167</v>
      </c>
      <c r="I771" s="0" t="n">
        <v>1561</v>
      </c>
      <c r="J771" s="0" t="n">
        <v>1498</v>
      </c>
      <c r="K771" s="0" t="n">
        <v>6.935287996301336</v>
      </c>
    </row>
    <row r="772">
      <c r="A772" s="0" t="n">
        <v>104</v>
      </c>
      <c r="B772" s="0" t="inlineStr">
        <is>
          <t>Kwix</t>
        </is>
      </c>
      <c r="C772" s="0" t="inlineStr">
        <is>
          <t>Town</t>
        </is>
      </c>
      <c r="D772" s="0" t="inlineStr">
        <is>
          <t>Loss</t>
        </is>
      </c>
      <c r="E772" s="0" t="n">
        <v>-64</v>
      </c>
      <c r="F772" s="0" t="n">
        <v>27.46735749967065</v>
      </c>
      <c r="G772" s="0" t="n">
        <v>26.45540029967498</v>
      </c>
      <c r="H772" s="0" t="n">
        <v>6.889372047492541</v>
      </c>
      <c r="I772" s="0" t="n">
        <v>1160</v>
      </c>
      <c r="J772" s="0" t="n">
        <v>1096</v>
      </c>
      <c r="K772" s="0" t="n">
        <v>6.940349676189628</v>
      </c>
    </row>
    <row r="773">
      <c r="A773" s="0" t="n">
        <v>104</v>
      </c>
      <c r="B773" s="0" t="inlineStr">
        <is>
          <t>Plen</t>
        </is>
      </c>
      <c r="C773" s="0" t="inlineStr">
        <is>
          <t>Town</t>
        </is>
      </c>
      <c r="D773" s="0" t="inlineStr">
        <is>
          <t>Loss</t>
        </is>
      </c>
      <c r="E773" s="0" t="n">
        <v>-58</v>
      </c>
      <c r="F773" s="0" t="n">
        <v>20.59674428164843</v>
      </c>
      <c r="G773" s="0" t="n">
        <v>19.68066522783838</v>
      </c>
      <c r="H773" s="0" t="n">
        <v>6.559560636510778</v>
      </c>
      <c r="I773" s="0" t="n">
        <v>727</v>
      </c>
      <c r="J773" s="0" t="n">
        <v>669</v>
      </c>
      <c r="K773" s="0" t="n">
        <v>6.60331534911619</v>
      </c>
    </row>
    <row r="774">
      <c r="A774" s="0" t="n">
        <v>104</v>
      </c>
      <c r="B774" s="0" t="inlineStr">
        <is>
          <t>Motr</t>
        </is>
      </c>
      <c r="C774" s="0" t="inlineStr">
        <is>
          <t>Town</t>
        </is>
      </c>
      <c r="D774" s="0" t="inlineStr">
        <is>
          <t>Loss</t>
        </is>
      </c>
      <c r="E774" s="0" t="n">
        <v>-81</v>
      </c>
      <c r="F774" s="0" t="n">
        <v>28.53657348612048</v>
      </c>
      <c r="G774" s="0" t="n">
        <v>27.23510859483826</v>
      </c>
      <c r="H774" s="0" t="n">
        <v>7.796091532479552</v>
      </c>
      <c r="I774" s="0" t="n">
        <v>1138</v>
      </c>
      <c r="J774" s="0" t="n">
        <v>1057</v>
      </c>
      <c r="K774" s="0" t="n">
        <v>7.870938809317868</v>
      </c>
    </row>
    <row r="775">
      <c r="A775" s="0" t="n">
        <v>104</v>
      </c>
      <c r="B775" s="0" t="inlineStr">
        <is>
          <t>Whyin</t>
        </is>
      </c>
      <c r="C775" s="0" t="inlineStr">
        <is>
          <t>Town</t>
        </is>
      </c>
      <c r="D775" s="0" t="inlineStr">
        <is>
          <t>Loss</t>
        </is>
      </c>
      <c r="E775" s="0" t="n">
        <v>-65</v>
      </c>
      <c r="F775" s="0" t="n">
        <v>27.21281699810088</v>
      </c>
      <c r="G775" s="0" t="n">
        <v>26.17062893898693</v>
      </c>
      <c r="H775" s="0" t="n">
        <v>6.989946770236004</v>
      </c>
      <c r="I775" s="0" t="n">
        <v>1132</v>
      </c>
      <c r="J775" s="0" t="n">
        <v>1067</v>
      </c>
      <c r="K775" s="0" t="n">
        <v>7.043274811846026</v>
      </c>
    </row>
    <row r="776">
      <c r="A776" s="0" t="n">
        <v>104</v>
      </c>
      <c r="B776" s="0" t="inlineStr">
        <is>
          <t>Strik3r</t>
        </is>
      </c>
      <c r="C776" s="0" t="inlineStr">
        <is>
          <t>Town</t>
        </is>
      </c>
      <c r="D776" s="0" t="inlineStr">
        <is>
          <t>Loss</t>
        </is>
      </c>
      <c r="E776" s="0" t="n">
        <v>-76</v>
      </c>
      <c r="F776" s="0" t="n">
        <v>29.07930308647989</v>
      </c>
      <c r="G776" s="0" t="n">
        <v>27.86152404436305</v>
      </c>
      <c r="H776" s="0" t="n">
        <v>7.54599419974505</v>
      </c>
      <c r="I776" s="0" t="n">
        <v>1201</v>
      </c>
      <c r="J776" s="0" t="n">
        <v>1125</v>
      </c>
      <c r="K776" s="0" t="n">
        <v>7.61363664678778</v>
      </c>
    </row>
    <row r="777">
      <c r="A777" s="0" t="n">
        <v>104</v>
      </c>
      <c r="B777" s="0" t="inlineStr">
        <is>
          <t>Rocker</t>
        </is>
      </c>
      <c r="C777" s="0" t="inlineStr">
        <is>
          <t>Town</t>
        </is>
      </c>
      <c r="D777" s="0" t="inlineStr">
        <is>
          <t>Loss</t>
        </is>
      </c>
      <c r="E777" s="0" t="n">
        <v>-54</v>
      </c>
      <c r="F777" s="0" t="n">
        <v>31.61802698814228</v>
      </c>
      <c r="G777" s="0" t="n">
        <v>30.76229049418395</v>
      </c>
      <c r="H777" s="0" t="n">
        <v>6.342682835513729</v>
      </c>
      <c r="I777" s="0" t="n">
        <v>1499</v>
      </c>
      <c r="J777" s="0" t="n">
        <v>1445</v>
      </c>
      <c r="K777" s="0" t="n">
        <v>6.382077540911022</v>
      </c>
    </row>
    <row r="778">
      <c r="A778" s="0" t="n">
        <v>104</v>
      </c>
      <c r="B778" s="0" t="inlineStr">
        <is>
          <t>Aipha</t>
        </is>
      </c>
      <c r="C778" s="0" t="inlineStr">
        <is>
          <t>Town</t>
        </is>
      </c>
      <c r="D778" s="0" t="inlineStr">
        <is>
          <t>Loss</t>
        </is>
      </c>
      <c r="E778" s="0" t="n">
        <v>-79</v>
      </c>
      <c r="F778" s="0" t="n">
        <v>25.00471208653498</v>
      </c>
      <c r="G778" s="0" t="n">
        <v>23.73419439232705</v>
      </c>
      <c r="H778" s="0" t="n">
        <v>7.704625033001544</v>
      </c>
      <c r="I778" s="0" t="n">
        <v>907</v>
      </c>
      <c r="J778" s="0" t="n">
        <v>828</v>
      </c>
      <c r="K778" s="0" t="n">
        <v>7.776779991045816</v>
      </c>
    </row>
    <row r="779">
      <c r="A779" s="0" t="n">
        <v>104</v>
      </c>
      <c r="B779" s="0" t="inlineStr">
        <is>
          <t>Smit</t>
        </is>
      </c>
      <c r="C779" s="0" t="inlineStr">
        <is>
          <t>Town</t>
        </is>
      </c>
      <c r="D779" s="0" t="inlineStr">
        <is>
          <t>Loss</t>
        </is>
      </c>
      <c r="E779" s="0" t="n">
        <v>-61</v>
      </c>
      <c r="F779" s="0" t="n">
        <v>26.05173315910946</v>
      </c>
      <c r="G779" s="0" t="n">
        <v>25.08503987344766</v>
      </c>
      <c r="H779" s="0" t="n">
        <v>6.735800024082434</v>
      </c>
      <c r="I779" s="0" t="n">
        <v>1080</v>
      </c>
      <c r="J779" s="0" t="n">
        <v>1019</v>
      </c>
      <c r="K779" s="0" t="n">
        <v>6.783323354501698</v>
      </c>
    </row>
    <row r="780">
      <c r="A780" s="0" t="n">
        <v>103</v>
      </c>
      <c r="B780" s="0" t="inlineStr">
        <is>
          <t>Brady</t>
        </is>
      </c>
      <c r="C780" s="0" t="inlineStr">
        <is>
          <t>Mafia</t>
        </is>
      </c>
      <c r="D780" s="0" t="inlineStr">
        <is>
          <t>Loss</t>
        </is>
      </c>
      <c r="E780" s="0" t="n">
        <v>-36</v>
      </c>
      <c r="F780" s="0" t="n">
        <v>25</v>
      </c>
      <c r="G780" s="0" t="n">
        <v>24.37494242041033</v>
      </c>
      <c r="H780" s="0" t="n">
        <v>8.273146204552855</v>
      </c>
      <c r="I780" s="0" t="n">
        <v>850</v>
      </c>
      <c r="J780" s="0" t="n">
        <v>814</v>
      </c>
      <c r="K780" s="0" t="n">
        <v>8.333333333333334</v>
      </c>
    </row>
    <row r="781">
      <c r="A781" s="0" t="n">
        <v>103</v>
      </c>
      <c r="B781" s="0" t="inlineStr">
        <is>
          <t>Plen</t>
        </is>
      </c>
      <c r="C781" s="0" t="inlineStr">
        <is>
          <t>Mafia</t>
        </is>
      </c>
      <c r="D781" s="0" t="inlineStr">
        <is>
          <t>Loss</t>
        </is>
      </c>
      <c r="E781" s="0" t="n">
        <v>-24</v>
      </c>
      <c r="F781" s="0" t="n">
        <v>20.99280550821431</v>
      </c>
      <c r="G781" s="0" t="n">
        <v>20.59674428164843</v>
      </c>
      <c r="H781" s="0" t="n">
        <v>6.60331534911619</v>
      </c>
      <c r="I781" s="0" t="n">
        <v>751</v>
      </c>
      <c r="J781" s="0" t="n">
        <v>727</v>
      </c>
      <c r="K781" s="0" t="n">
        <v>6.633180646662206</v>
      </c>
    </row>
    <row r="782">
      <c r="A782" s="0" t="n">
        <v>103</v>
      </c>
      <c r="B782" s="0" t="inlineStr">
        <is>
          <t>Smit</t>
        </is>
      </c>
      <c r="C782" s="0" t="inlineStr">
        <is>
          <t>Mafia</t>
        </is>
      </c>
      <c r="D782" s="0" t="inlineStr">
        <is>
          <t>Loss</t>
        </is>
      </c>
      <c r="E782" s="0" t="n">
        <v>-25</v>
      </c>
      <c r="F782" s="0" t="n">
        <v>26.46989909901642</v>
      </c>
      <c r="G782" s="0" t="n">
        <v>26.05173315910946</v>
      </c>
      <c r="H782" s="0" t="n">
        <v>6.783323354501698</v>
      </c>
      <c r="I782" s="0" t="n">
        <v>1105</v>
      </c>
      <c r="J782" s="0" t="n">
        <v>1080</v>
      </c>
      <c r="K782" s="0" t="n">
        <v>6.815811921040257</v>
      </c>
    </row>
    <row r="783">
      <c r="A783" s="0" t="n">
        <v>103</v>
      </c>
      <c r="B783" s="0" t="inlineStr">
        <is>
          <t>Streety</t>
        </is>
      </c>
      <c r="C783" s="0" t="inlineStr">
        <is>
          <t>Town</t>
        </is>
      </c>
      <c r="D783" s="0" t="inlineStr">
        <is>
          <t>Win</t>
        </is>
      </c>
      <c r="E783" s="0" t="n">
        <v>36</v>
      </c>
      <c r="F783" s="0" t="n">
        <v>26.8381073571678</v>
      </c>
      <c r="G783" s="0" t="n">
        <v>27.30653180521167</v>
      </c>
      <c r="H783" s="0" t="n">
        <v>7.17515935198779</v>
      </c>
      <c r="I783" s="0" t="n">
        <v>1089</v>
      </c>
      <c r="J783" s="0" t="n">
        <v>1125</v>
      </c>
      <c r="K783" s="0" t="n">
        <v>7.21386584776565</v>
      </c>
    </row>
    <row r="784">
      <c r="A784" s="0" t="n">
        <v>103</v>
      </c>
      <c r="B784" s="0" t="inlineStr">
        <is>
          <t>Noah</t>
        </is>
      </c>
      <c r="C784" s="0" t="inlineStr">
        <is>
          <t>Town</t>
        </is>
      </c>
      <c r="D784" s="0" t="inlineStr">
        <is>
          <t>Win</t>
        </is>
      </c>
      <c r="E784" s="0" t="n">
        <v>31</v>
      </c>
      <c r="F784" s="0" t="n">
        <v>28.43444552310384</v>
      </c>
      <c r="G784" s="0" t="n">
        <v>28.84142736755375</v>
      </c>
      <c r="H784" s="0" t="n">
        <v>6.692875241762961</v>
      </c>
      <c r="I784" s="0" t="n">
        <v>1248</v>
      </c>
      <c r="J784" s="0" t="n">
        <v>1279</v>
      </c>
      <c r="K784" s="0" t="n">
        <v>6.724027841625567</v>
      </c>
    </row>
    <row r="785">
      <c r="A785" s="0" t="n">
        <v>103</v>
      </c>
      <c r="B785" s="0" t="inlineStr">
        <is>
          <t>Lovekilling</t>
        </is>
      </c>
      <c r="C785" s="0" t="inlineStr">
        <is>
          <t>Town</t>
        </is>
      </c>
      <c r="D785" s="0" t="inlineStr">
        <is>
          <t>Win</t>
        </is>
      </c>
      <c r="E785" s="0" t="n">
        <v>43</v>
      </c>
      <c r="F785" s="0" t="n">
        <v>20.37511405274751</v>
      </c>
      <c r="G785" s="0" t="n">
        <v>20.92065289337768</v>
      </c>
      <c r="H785" s="0" t="n">
        <v>7.736251609391924</v>
      </c>
      <c r="I785" s="0" t="n">
        <v>591</v>
      </c>
      <c r="J785" s="0" t="n">
        <v>634</v>
      </c>
      <c r="K785" s="0" t="n">
        <v>7.785150655591067</v>
      </c>
    </row>
    <row r="786">
      <c r="A786" s="0" t="n">
        <v>103</v>
      </c>
      <c r="B786" s="0" t="inlineStr">
        <is>
          <t>Lou</t>
        </is>
      </c>
      <c r="C786" s="0" t="inlineStr">
        <is>
          <t>Town</t>
        </is>
      </c>
      <c r="D786" s="0" t="inlineStr">
        <is>
          <t>Win</t>
        </is>
      </c>
      <c r="E786" s="0" t="n">
        <v>31</v>
      </c>
      <c r="F786" s="0" t="n">
        <v>26.42688528793523</v>
      </c>
      <c r="G786" s="0" t="n">
        <v>26.83579978156185</v>
      </c>
      <c r="H786" s="0" t="n">
        <v>6.708595578816666</v>
      </c>
      <c r="I786" s="0" t="n">
        <v>1110</v>
      </c>
      <c r="J786" s="0" t="n">
        <v>1141</v>
      </c>
      <c r="K786" s="0" t="n">
        <v>6.739977770765548</v>
      </c>
    </row>
    <row r="787">
      <c r="A787" s="0" t="n">
        <v>103</v>
      </c>
      <c r="B787" s="0" t="inlineStr">
        <is>
          <t>Brownkow</t>
        </is>
      </c>
      <c r="C787" s="0" t="inlineStr">
        <is>
          <t>Town</t>
        </is>
      </c>
      <c r="D787" s="0" t="inlineStr">
        <is>
          <t>Win</t>
        </is>
      </c>
      <c r="E787" s="0" t="n">
        <v>27</v>
      </c>
      <c r="F787" s="0" t="n">
        <v>30.20876289109061</v>
      </c>
      <c r="G787" s="0" t="n">
        <v>30.57723100100567</v>
      </c>
      <c r="H787" s="0" t="n">
        <v>6.371202449056873</v>
      </c>
      <c r="I787" s="0" t="n">
        <v>1402</v>
      </c>
      <c r="J787" s="0" t="n">
        <v>1429</v>
      </c>
      <c r="K787" s="0" t="n">
        <v>6.39789220129104</v>
      </c>
    </row>
    <row r="788">
      <c r="A788" s="0" t="n">
        <v>103</v>
      </c>
      <c r="B788" s="0" t="inlineStr">
        <is>
          <t>Laur</t>
        </is>
      </c>
      <c r="C788" s="0" t="inlineStr">
        <is>
          <t>Town</t>
        </is>
      </c>
      <c r="D788" s="0" t="inlineStr">
        <is>
          <t>Win</t>
        </is>
      </c>
      <c r="E788" s="0" t="n">
        <v>34</v>
      </c>
      <c r="F788" s="0" t="n">
        <v>35.12468645134665</v>
      </c>
      <c r="G788" s="0" t="n">
        <v>35.56584339485443</v>
      </c>
      <c r="H788" s="0" t="n">
        <v>6.965422898554484</v>
      </c>
      <c r="I788" s="0" t="n">
        <v>1674</v>
      </c>
      <c r="J788" s="0" t="n">
        <v>1708</v>
      </c>
      <c r="K788" s="0" t="n">
        <v>7.000712863561677</v>
      </c>
    </row>
    <row r="789">
      <c r="A789" s="0" t="n">
        <v>103</v>
      </c>
      <c r="B789" s="0" t="inlineStr">
        <is>
          <t>Carson</t>
        </is>
      </c>
      <c r="C789" s="0" t="inlineStr">
        <is>
          <t>Town</t>
        </is>
      </c>
      <c r="D789" s="0" t="inlineStr">
        <is>
          <t>Win</t>
        </is>
      </c>
      <c r="E789" s="0" t="n">
        <v>31</v>
      </c>
      <c r="F789" s="0" t="n">
        <v>29.7434352950276</v>
      </c>
      <c r="G789" s="0" t="n">
        <v>30.15461944854211</v>
      </c>
      <c r="H789" s="0" t="n">
        <v>6.72700845435616</v>
      </c>
      <c r="I789" s="0" t="n">
        <v>1333</v>
      </c>
      <c r="J789" s="0" t="n">
        <v>1364</v>
      </c>
      <c r="K789" s="0" t="n">
        <v>6.758660951895284</v>
      </c>
    </row>
    <row r="790">
      <c r="A790" s="0" t="n">
        <v>103</v>
      </c>
      <c r="B790" s="0" t="inlineStr">
        <is>
          <t>Iln</t>
        </is>
      </c>
      <c r="C790" s="0" t="inlineStr">
        <is>
          <t>Town</t>
        </is>
      </c>
      <c r="D790" s="0" t="inlineStr">
        <is>
          <t>Win</t>
        </is>
      </c>
      <c r="E790" s="0" t="n">
        <v>32</v>
      </c>
      <c r="F790" s="0" t="n">
        <v>24.61777384616308</v>
      </c>
      <c r="G790" s="0" t="n">
        <v>25.04594424699536</v>
      </c>
      <c r="H790" s="0" t="n">
        <v>6.86318165813662</v>
      </c>
      <c r="I790" s="0" t="n">
        <v>971</v>
      </c>
      <c r="J790" s="0" t="n">
        <v>1003</v>
      </c>
      <c r="K790" s="0" t="n">
        <v>6.896880205510292</v>
      </c>
    </row>
    <row r="791">
      <c r="A791" s="0" t="n">
        <v>103</v>
      </c>
      <c r="B791" s="0" t="inlineStr">
        <is>
          <t>Kwix</t>
        </is>
      </c>
      <c r="C791" s="0" t="inlineStr">
        <is>
          <t>Town</t>
        </is>
      </c>
      <c r="D791" s="0" t="inlineStr">
        <is>
          <t>Win</t>
        </is>
      </c>
      <c r="E791" s="0" t="n">
        <v>33</v>
      </c>
      <c r="F791" s="0" t="n">
        <v>27.02940383838332</v>
      </c>
      <c r="G791" s="0" t="n">
        <v>27.46735749967065</v>
      </c>
      <c r="H791" s="0" t="n">
        <v>6.940349676189628</v>
      </c>
      <c r="I791" s="0" t="n">
        <v>1127</v>
      </c>
      <c r="J791" s="0" t="n">
        <v>1160</v>
      </c>
      <c r="K791" s="0" t="n">
        <v>6.975244934086131</v>
      </c>
    </row>
    <row r="792">
      <c r="A792" s="0" t="n">
        <v>103</v>
      </c>
      <c r="B792" s="0" t="inlineStr">
        <is>
          <t>Mintt</t>
        </is>
      </c>
      <c r="C792" s="0" t="inlineStr">
        <is>
          <t>Town</t>
        </is>
      </c>
      <c r="D792" s="0" t="inlineStr">
        <is>
          <t>Win</t>
        </is>
      </c>
      <c r="E792" s="0" t="n">
        <v>35</v>
      </c>
      <c r="F792" s="0" t="n">
        <v>25.78081952312758</v>
      </c>
      <c r="G792" s="0" t="n">
        <v>26.2372784321302</v>
      </c>
      <c r="H792" s="0" t="n">
        <v>7.083920738059491</v>
      </c>
      <c r="I792" s="0" t="n">
        <v>1027</v>
      </c>
      <c r="J792" s="0" t="n">
        <v>1062</v>
      </c>
      <c r="K792" s="0" t="n">
        <v>7.121115584869821</v>
      </c>
    </row>
    <row r="793">
      <c r="A793" s="0" t="n">
        <v>103</v>
      </c>
      <c r="B793" s="0" t="inlineStr">
        <is>
          <t>Rollo</t>
        </is>
      </c>
      <c r="C793" s="0" t="inlineStr">
        <is>
          <t>Town</t>
        </is>
      </c>
      <c r="D793" s="0" t="inlineStr">
        <is>
          <t>Win</t>
        </is>
      </c>
      <c r="E793" s="0" t="n">
        <v>33</v>
      </c>
      <c r="F793" s="0" t="n">
        <v>32.9284008156452</v>
      </c>
      <c r="G793" s="0" t="n">
        <v>33.3657092716996</v>
      </c>
      <c r="H793" s="0" t="n">
        <v>6.935287996301336</v>
      </c>
      <c r="I793" s="0" t="n">
        <v>1528</v>
      </c>
      <c r="J793" s="0" t="n">
        <v>1561</v>
      </c>
      <c r="K793" s="0" t="n">
        <v>6.970103923313247</v>
      </c>
    </row>
    <row r="794">
      <c r="A794" s="0" t="n">
        <v>102</v>
      </c>
      <c r="B794" s="0" t="inlineStr">
        <is>
          <t>Cj</t>
        </is>
      </c>
      <c r="C794" s="0" t="inlineStr">
        <is>
          <t>Mafia</t>
        </is>
      </c>
      <c r="D794" s="0" t="inlineStr">
        <is>
          <t>Win</t>
        </is>
      </c>
      <c r="E794" s="0" t="n">
        <v>42</v>
      </c>
      <c r="F794" s="0" t="n">
        <v>25.65782011696066</v>
      </c>
      <c r="G794" s="0" t="n">
        <v>26.20228378807359</v>
      </c>
      <c r="H794" s="0" t="n">
        <v>7.897045463398112</v>
      </c>
      <c r="I794" s="0" t="n">
        <v>934</v>
      </c>
      <c r="J794" s="0" t="n">
        <v>976</v>
      </c>
      <c r="K794" s="0" t="n">
        <v>7.950616464335491</v>
      </c>
    </row>
    <row r="795">
      <c r="A795" s="0" t="n">
        <v>102</v>
      </c>
      <c r="B795" s="0" t="inlineStr">
        <is>
          <t>Laur</t>
        </is>
      </c>
      <c r="C795" s="0" t="inlineStr">
        <is>
          <t>Mafia</t>
        </is>
      </c>
      <c r="D795" s="0" t="inlineStr">
        <is>
          <t>Win</t>
        </is>
      </c>
      <c r="E795" s="0" t="n">
        <v>32</v>
      </c>
      <c r="F795" s="0" t="n">
        <v>34.69807621805032</v>
      </c>
      <c r="G795" s="0" t="n">
        <v>35.12468645134665</v>
      </c>
      <c r="H795" s="0" t="n">
        <v>7.000712863561677</v>
      </c>
      <c r="I795" s="0" t="n">
        <v>1642</v>
      </c>
      <c r="J795" s="0" t="n">
        <v>1674</v>
      </c>
      <c r="K795" s="0" t="n">
        <v>7.037566220888573</v>
      </c>
    </row>
    <row r="796">
      <c r="A796" s="0" t="n">
        <v>102</v>
      </c>
      <c r="B796" s="0" t="inlineStr">
        <is>
          <t>Kwix</t>
        </is>
      </c>
      <c r="C796" s="0" t="inlineStr">
        <is>
          <t>Mafia</t>
        </is>
      </c>
      <c r="D796" s="0" t="inlineStr">
        <is>
          <t>Win</t>
        </is>
      </c>
      <c r="E796" s="0" t="n">
        <v>33</v>
      </c>
      <c r="F796" s="0" t="n">
        <v>26.60592534512189</v>
      </c>
      <c r="G796" s="0" t="n">
        <v>27.02940383838332</v>
      </c>
      <c r="H796" s="0" t="n">
        <v>6.975244934086131</v>
      </c>
      <c r="I796" s="0" t="n">
        <v>1094</v>
      </c>
      <c r="J796" s="0" t="n">
        <v>1127</v>
      </c>
      <c r="K796" s="0" t="n">
        <v>7.011682064475363</v>
      </c>
    </row>
    <row r="797">
      <c r="A797" s="0" t="n">
        <v>102</v>
      </c>
      <c r="B797" s="0" t="inlineStr">
        <is>
          <t>Plen</t>
        </is>
      </c>
      <c r="C797" s="0" t="inlineStr">
        <is>
          <t>Town</t>
        </is>
      </c>
      <c r="D797" s="0" t="inlineStr">
        <is>
          <t>Loss</t>
        </is>
      </c>
      <c r="E797" s="0" t="n">
        <v>-23</v>
      </c>
      <c r="F797" s="0" t="n">
        <v>21.37537313069743</v>
      </c>
      <c r="G797" s="0" t="n">
        <v>20.99280550821431</v>
      </c>
      <c r="H797" s="0" t="n">
        <v>6.633180646662206</v>
      </c>
      <c r="I797" s="0" t="n">
        <v>774</v>
      </c>
      <c r="J797" s="0" t="n">
        <v>751</v>
      </c>
      <c r="K797" s="0" t="n">
        <v>6.664321167419572</v>
      </c>
    </row>
    <row r="798">
      <c r="A798" s="0" t="n">
        <v>102</v>
      </c>
      <c r="B798" s="0" t="inlineStr">
        <is>
          <t>Chester</t>
        </is>
      </c>
      <c r="C798" s="0" t="inlineStr">
        <is>
          <t>Town</t>
        </is>
      </c>
      <c r="D798" s="0" t="inlineStr">
        <is>
          <t>Loss</t>
        </is>
      </c>
      <c r="E798" s="0" t="n">
        <v>-31</v>
      </c>
      <c r="F798" s="0" t="n">
        <v>29.78952482432895</v>
      </c>
      <c r="G798" s="0" t="n">
        <v>29.27003960215758</v>
      </c>
      <c r="H798" s="0" t="n">
        <v>7.71620852068977</v>
      </c>
      <c r="I798" s="0" t="n">
        <v>1234</v>
      </c>
      <c r="J798" s="0" t="n">
        <v>1203</v>
      </c>
      <c r="K798" s="0" t="n">
        <v>7.766069936605661</v>
      </c>
    </row>
    <row r="799">
      <c r="A799" s="0" t="n">
        <v>102</v>
      </c>
      <c r="B799" s="0" t="inlineStr">
        <is>
          <t>Badpants</t>
        </is>
      </c>
      <c r="C799" s="0" t="inlineStr">
        <is>
          <t>Town</t>
        </is>
      </c>
      <c r="D799" s="0" t="inlineStr">
        <is>
          <t>Loss</t>
        </is>
      </c>
      <c r="E799" s="0" t="n">
        <v>-23</v>
      </c>
      <c r="F799" s="0" t="n">
        <v>23.6010410233719</v>
      </c>
      <c r="G799" s="0" t="n">
        <v>23.21031333061258</v>
      </c>
      <c r="H799" s="0" t="n">
        <v>6.702860293646852</v>
      </c>
      <c r="I799" s="0" t="n">
        <v>918</v>
      </c>
      <c r="J799" s="0" t="n">
        <v>895</v>
      </c>
      <c r="K799" s="0" t="n">
        <v>6.735036132304665</v>
      </c>
    </row>
    <row r="800">
      <c r="A800" s="0" t="n">
        <v>102</v>
      </c>
      <c r="B800" s="0" t="inlineStr">
        <is>
          <t>Smit</t>
        </is>
      </c>
      <c r="C800" s="0" t="inlineStr">
        <is>
          <t>Town</t>
        </is>
      </c>
      <c r="D800" s="0" t="inlineStr">
        <is>
          <t>Loss</t>
        </is>
      </c>
      <c r="E800" s="0" t="n">
        <v>-24</v>
      </c>
      <c r="F800" s="0" t="n">
        <v>26.8740428848926</v>
      </c>
      <c r="G800" s="0" t="n">
        <v>26.46989909901642</v>
      </c>
      <c r="H800" s="0" t="n">
        <v>6.815811921040257</v>
      </c>
      <c r="I800" s="0" t="n">
        <v>1129</v>
      </c>
      <c r="J800" s="0" t="n">
        <v>1105</v>
      </c>
      <c r="K800" s="0" t="n">
        <v>6.849713004732724</v>
      </c>
    </row>
    <row r="801">
      <c r="A801" s="0" t="n">
        <v>102</v>
      </c>
      <c r="B801" s="0" t="inlineStr">
        <is>
          <t>Carson</t>
        </is>
      </c>
      <c r="C801" s="0" t="inlineStr">
        <is>
          <t>Town</t>
        </is>
      </c>
      <c r="D801" s="0" t="inlineStr">
        <is>
          <t>Loss</t>
        </is>
      </c>
      <c r="E801" s="0" t="n">
        <v>-24</v>
      </c>
      <c r="F801" s="0" t="n">
        <v>30.14076167624839</v>
      </c>
      <c r="G801" s="0" t="n">
        <v>29.7434352950276</v>
      </c>
      <c r="H801" s="0" t="n">
        <v>6.758660951895284</v>
      </c>
      <c r="I801" s="0" t="n">
        <v>1357</v>
      </c>
      <c r="J801" s="0" t="n">
        <v>1333</v>
      </c>
      <c r="K801" s="0" t="n">
        <v>6.791681785660676</v>
      </c>
    </row>
    <row r="802">
      <c r="A802" s="0" t="n">
        <v>102</v>
      </c>
      <c r="B802" s="0" t="inlineStr">
        <is>
          <t>Daniel</t>
        </is>
      </c>
      <c r="C802" s="0" t="inlineStr">
        <is>
          <t>Town</t>
        </is>
      </c>
      <c r="D802" s="0" t="inlineStr">
        <is>
          <t>Loss</t>
        </is>
      </c>
      <c r="E802" s="0" t="n">
        <v>-34</v>
      </c>
      <c r="F802" s="0" t="n">
        <v>25</v>
      </c>
      <c r="G802" s="0" t="n">
        <v>24.40186578938776</v>
      </c>
      <c r="H802" s="0" t="n">
        <v>8.271503828618972</v>
      </c>
      <c r="I802" s="0" t="n">
        <v>850</v>
      </c>
      <c r="J802" s="0" t="n">
        <v>816</v>
      </c>
      <c r="K802" s="0" t="n">
        <v>8.333333333333334</v>
      </c>
    </row>
    <row r="803">
      <c r="A803" s="0" t="n">
        <v>102</v>
      </c>
      <c r="B803" s="0" t="inlineStr">
        <is>
          <t>Dani</t>
        </is>
      </c>
      <c r="C803" s="0" t="inlineStr">
        <is>
          <t>Town</t>
        </is>
      </c>
      <c r="D803" s="0" t="inlineStr">
        <is>
          <t>Loss</t>
        </is>
      </c>
      <c r="E803" s="0" t="n">
        <v>-32</v>
      </c>
      <c r="F803" s="0" t="n">
        <v>23.54641941431762</v>
      </c>
      <c r="G803" s="0" t="n">
        <v>23.0039004046292</v>
      </c>
      <c r="H803" s="0" t="n">
        <v>7.883123805906719</v>
      </c>
      <c r="I803" s="0" t="n">
        <v>792</v>
      </c>
      <c r="J803" s="0" t="n">
        <v>760</v>
      </c>
      <c r="K803" s="0" t="n">
        <v>7.936402900857364</v>
      </c>
    </row>
    <row r="804">
      <c r="A804" s="0" t="n">
        <v>102</v>
      </c>
      <c r="B804" s="0" t="inlineStr">
        <is>
          <t>Streety</t>
        </is>
      </c>
      <c r="C804" s="0" t="inlineStr">
        <is>
          <t>Town</t>
        </is>
      </c>
      <c r="D804" s="0" t="inlineStr">
        <is>
          <t>Loss</t>
        </is>
      </c>
      <c r="E804" s="0" t="n">
        <v>-27</v>
      </c>
      <c r="F804" s="0" t="n">
        <v>27.29139637818312</v>
      </c>
      <c r="G804" s="0" t="n">
        <v>26.8381073571678</v>
      </c>
      <c r="H804" s="0" t="n">
        <v>7.21386584776565</v>
      </c>
      <c r="I804" s="0" t="n">
        <v>1116</v>
      </c>
      <c r="J804" s="0" t="n">
        <v>1089</v>
      </c>
      <c r="K804" s="0" t="n">
        <v>7.254325536961447</v>
      </c>
    </row>
    <row r="805">
      <c r="A805" s="0" t="n">
        <v>102</v>
      </c>
      <c r="B805" s="0" t="inlineStr">
        <is>
          <t>Kden</t>
        </is>
      </c>
      <c r="C805" s="0" t="inlineStr">
        <is>
          <t>Town</t>
        </is>
      </c>
      <c r="D805" s="0" t="inlineStr">
        <is>
          <t>Loss</t>
        </is>
      </c>
      <c r="E805" s="0" t="n">
        <v>-25</v>
      </c>
      <c r="F805" s="0" t="n">
        <v>27.67807202190806</v>
      </c>
      <c r="G805" s="0" t="n">
        <v>27.26066518658768</v>
      </c>
      <c r="H805" s="0" t="n">
        <v>6.925590527088715</v>
      </c>
      <c r="I805" s="0" t="n">
        <v>1172</v>
      </c>
      <c r="J805" s="0" t="n">
        <v>1147</v>
      </c>
      <c r="K805" s="0" t="n">
        <v>6.961225006419252</v>
      </c>
    </row>
    <row r="806">
      <c r="A806" s="0" t="n">
        <v>102</v>
      </c>
      <c r="B806" s="0" t="inlineStr">
        <is>
          <t>Noah</t>
        </is>
      </c>
      <c r="C806" s="0" t="inlineStr">
        <is>
          <t>Town</t>
        </is>
      </c>
      <c r="D806" s="0" t="inlineStr">
        <is>
          <t>Loss</t>
        </is>
      </c>
      <c r="E806" s="0" t="n">
        <v>-23</v>
      </c>
      <c r="F806" s="0" t="n">
        <v>28.82766967658987</v>
      </c>
      <c r="G806" s="0" t="n">
        <v>28.43444552310384</v>
      </c>
      <c r="H806" s="0" t="n">
        <v>6.724027841625567</v>
      </c>
      <c r="I806" s="0" t="n">
        <v>1271</v>
      </c>
      <c r="J806" s="0" t="n">
        <v>1248</v>
      </c>
      <c r="K806" s="0" t="n">
        <v>6.756522549823962</v>
      </c>
    </row>
    <row r="807">
      <c r="A807" s="0" t="n">
        <v>101</v>
      </c>
      <c r="B807" s="0" t="inlineStr">
        <is>
          <t>Noah</t>
        </is>
      </c>
      <c r="C807" s="0" t="inlineStr">
        <is>
          <t>Mafia</t>
        </is>
      </c>
      <c r="D807" s="0" t="inlineStr">
        <is>
          <t>Loss</t>
        </is>
      </c>
      <c r="E807" s="0" t="n">
        <v>-36</v>
      </c>
      <c r="F807" s="0" t="n">
        <v>29.41406553456579</v>
      </c>
      <c r="G807" s="0" t="n">
        <v>28.82766967658987</v>
      </c>
      <c r="H807" s="0" t="n">
        <v>6.756522549823962</v>
      </c>
      <c r="I807" s="0" t="n">
        <v>1307</v>
      </c>
      <c r="J807" s="0" t="n">
        <v>1271</v>
      </c>
      <c r="K807" s="0" t="n">
        <v>6.795446307796224</v>
      </c>
    </row>
    <row r="808">
      <c r="A808" s="0" t="n">
        <v>101</v>
      </c>
      <c r="B808" s="0" t="inlineStr">
        <is>
          <t>Lou</t>
        </is>
      </c>
      <c r="C808" s="0" t="inlineStr">
        <is>
          <t>Mafia</t>
        </is>
      </c>
      <c r="D808" s="0" t="inlineStr">
        <is>
          <t>Loss</t>
        </is>
      </c>
      <c r="E808" s="0" t="n">
        <v>-35</v>
      </c>
      <c r="F808" s="0" t="n">
        <v>27.01037882973743</v>
      </c>
      <c r="G808" s="0" t="n">
        <v>26.42688528793523</v>
      </c>
      <c r="H808" s="0" t="n">
        <v>6.739977770765548</v>
      </c>
      <c r="I808" s="0" t="n">
        <v>1145</v>
      </c>
      <c r="J808" s="0" t="n">
        <v>1110</v>
      </c>
      <c r="K808" s="0" t="n">
        <v>6.778605056814919</v>
      </c>
    </row>
    <row r="809">
      <c r="A809" s="0" t="n">
        <v>101</v>
      </c>
      <c r="B809" s="0" t="inlineStr">
        <is>
          <t>Lovekilling</t>
        </is>
      </c>
      <c r="C809" s="0" t="inlineStr">
        <is>
          <t>Mafia</t>
        </is>
      </c>
      <c r="D809" s="0" t="inlineStr">
        <is>
          <t>Loss</t>
        </is>
      </c>
      <c r="E809" s="0" t="n">
        <v>-47</v>
      </c>
      <c r="F809" s="0" t="n">
        <v>21.15671307285238</v>
      </c>
      <c r="G809" s="0" t="n">
        <v>20.37511405274751</v>
      </c>
      <c r="H809" s="0" t="n">
        <v>7.785150655591067</v>
      </c>
      <c r="I809" s="0" t="n">
        <v>638</v>
      </c>
      <c r="J809" s="0" t="n">
        <v>591</v>
      </c>
      <c r="K809" s="0" t="n">
        <v>7.845602222431918</v>
      </c>
    </row>
    <row r="810">
      <c r="A810" s="0" t="n">
        <v>101</v>
      </c>
      <c r="B810" s="0" t="inlineStr">
        <is>
          <t>Streety</t>
        </is>
      </c>
      <c r="C810" s="0" t="inlineStr">
        <is>
          <t>Town</t>
        </is>
      </c>
      <c r="D810" s="0" t="inlineStr">
        <is>
          <t>Win</t>
        </is>
      </c>
      <c r="E810" s="0" t="n">
        <v>51</v>
      </c>
      <c r="F810" s="0" t="n">
        <v>26.61417407799111</v>
      </c>
      <c r="G810" s="0" t="n">
        <v>27.29139637818312</v>
      </c>
      <c r="H810" s="0" t="n">
        <v>7.254325536961447</v>
      </c>
      <c r="I810" s="0" t="n">
        <v>1065</v>
      </c>
      <c r="J810" s="0" t="n">
        <v>1116</v>
      </c>
      <c r="K810" s="0" t="n">
        <v>7.3028851417583</v>
      </c>
    </row>
    <row r="811">
      <c r="A811" s="0" t="n">
        <v>101</v>
      </c>
      <c r="B811" s="0" t="inlineStr">
        <is>
          <t>Laur</t>
        </is>
      </c>
      <c r="C811" s="0" t="inlineStr">
        <is>
          <t>Town</t>
        </is>
      </c>
      <c r="D811" s="0" t="inlineStr">
        <is>
          <t>Win</t>
        </is>
      </c>
      <c r="E811" s="0" t="n">
        <v>48</v>
      </c>
      <c r="F811" s="0" t="n">
        <v>34.06123742467088</v>
      </c>
      <c r="G811" s="0" t="n">
        <v>34.69807621805032</v>
      </c>
      <c r="H811" s="0" t="n">
        <v>7.037566220888573</v>
      </c>
      <c r="I811" s="0" t="n">
        <v>1594</v>
      </c>
      <c r="J811" s="0" t="n">
        <v>1642</v>
      </c>
      <c r="K811" s="0" t="n">
        <v>7.081756966244551</v>
      </c>
    </row>
    <row r="812">
      <c r="A812" s="0" t="n">
        <v>101</v>
      </c>
      <c r="B812" s="0" t="inlineStr">
        <is>
          <t>Carson</t>
        </is>
      </c>
      <c r="C812" s="0" t="inlineStr">
        <is>
          <t>Town</t>
        </is>
      </c>
      <c r="D812" s="0" t="inlineStr">
        <is>
          <t>Win</t>
        </is>
      </c>
      <c r="E812" s="0" t="n">
        <v>45</v>
      </c>
      <c r="F812" s="0" t="n">
        <v>29.54817334699202</v>
      </c>
      <c r="G812" s="0" t="n">
        <v>30.14076167624839</v>
      </c>
      <c r="H812" s="0" t="n">
        <v>6.791681785660676</v>
      </c>
      <c r="I812" s="0" t="n">
        <v>1312</v>
      </c>
      <c r="J812" s="0" t="n">
        <v>1357</v>
      </c>
      <c r="K812" s="0" t="n">
        <v>6.831240522628514</v>
      </c>
    </row>
    <row r="813">
      <c r="A813" s="0" t="n">
        <v>101</v>
      </c>
      <c r="B813" s="0" t="inlineStr">
        <is>
          <t>Brownkow</t>
        </is>
      </c>
      <c r="C813" s="0" t="inlineStr">
        <is>
          <t>Town</t>
        </is>
      </c>
      <c r="D813" s="0" t="inlineStr">
        <is>
          <t>Win</t>
        </is>
      </c>
      <c r="E813" s="0" t="n">
        <v>39</v>
      </c>
      <c r="F813" s="0" t="n">
        <v>29.68361147424426</v>
      </c>
      <c r="G813" s="0" t="n">
        <v>30.20876289109061</v>
      </c>
      <c r="H813" s="0" t="n">
        <v>6.39789220129104</v>
      </c>
      <c r="I813" s="0" t="n">
        <v>1363</v>
      </c>
      <c r="J813" s="0" t="n">
        <v>1402</v>
      </c>
      <c r="K813" s="0" t="n">
        <v>6.430715922987074</v>
      </c>
    </row>
    <row r="814">
      <c r="A814" s="0" t="n">
        <v>101</v>
      </c>
      <c r="B814" s="0" t="inlineStr">
        <is>
          <t>Rocker</t>
        </is>
      </c>
      <c r="C814" s="0" t="inlineStr">
        <is>
          <t>Town</t>
        </is>
      </c>
      <c r="D814" s="0" t="inlineStr">
        <is>
          <t>Win</t>
        </is>
      </c>
      <c r="E814" s="0" t="n">
        <v>39</v>
      </c>
      <c r="F814" s="0" t="n">
        <v>31.09549601796444</v>
      </c>
      <c r="G814" s="0" t="n">
        <v>31.61802698814228</v>
      </c>
      <c r="H814" s="0" t="n">
        <v>6.382077540911022</v>
      </c>
      <c r="I814" s="0" t="n">
        <v>1460</v>
      </c>
      <c r="J814" s="0" t="n">
        <v>1499</v>
      </c>
      <c r="K814" s="0" t="n">
        <v>6.414647693074422</v>
      </c>
    </row>
    <row r="815">
      <c r="A815" s="0" t="n">
        <v>101</v>
      </c>
      <c r="B815" s="0" t="inlineStr">
        <is>
          <t>Chester</t>
        </is>
      </c>
      <c r="C815" s="0" t="inlineStr">
        <is>
          <t>Town</t>
        </is>
      </c>
      <c r="D815" s="0" t="inlineStr">
        <is>
          <t>Win</t>
        </is>
      </c>
      <c r="E815" s="0" t="n">
        <v>59</v>
      </c>
      <c r="F815" s="0" t="n">
        <v>29.01181331405333</v>
      </c>
      <c r="G815" s="0" t="n">
        <v>29.78952482432895</v>
      </c>
      <c r="H815" s="0" t="n">
        <v>7.766069936605661</v>
      </c>
      <c r="I815" s="0" t="n">
        <v>1175</v>
      </c>
      <c r="J815" s="0" t="n">
        <v>1234</v>
      </c>
      <c r="K815" s="0" t="n">
        <v>7.826063531913255</v>
      </c>
    </row>
    <row r="816">
      <c r="A816" s="0" t="n">
        <v>101</v>
      </c>
      <c r="B816" s="0" t="inlineStr">
        <is>
          <t>Rollo</t>
        </is>
      </c>
      <c r="C816" s="0" t="inlineStr">
        <is>
          <t>Town</t>
        </is>
      </c>
      <c r="D816" s="0" t="inlineStr">
        <is>
          <t>Win</t>
        </is>
      </c>
      <c r="E816" s="0" t="n">
        <v>47</v>
      </c>
      <c r="F816" s="0" t="n">
        <v>32.30386747394434</v>
      </c>
      <c r="G816" s="0" t="n">
        <v>32.9284008156452</v>
      </c>
      <c r="H816" s="0" t="n">
        <v>6.970103923313247</v>
      </c>
      <c r="I816" s="0" t="n">
        <v>1481</v>
      </c>
      <c r="J816" s="0" t="n">
        <v>1528</v>
      </c>
      <c r="K816" s="0" t="n">
        <v>7.012990075618825</v>
      </c>
    </row>
    <row r="817">
      <c r="A817" s="0" t="n">
        <v>101</v>
      </c>
      <c r="B817" s="0" t="inlineStr">
        <is>
          <t>Iln</t>
        </is>
      </c>
      <c r="C817" s="0" t="inlineStr">
        <is>
          <t>Town</t>
        </is>
      </c>
      <c r="D817" s="0" t="inlineStr">
        <is>
          <t>Win</t>
        </is>
      </c>
      <c r="E817" s="0" t="n">
        <v>46</v>
      </c>
      <c r="F817" s="0" t="n">
        <v>24.00645585772794</v>
      </c>
      <c r="G817" s="0" t="n">
        <v>24.61777384616308</v>
      </c>
      <c r="H817" s="0" t="n">
        <v>6.896880205510292</v>
      </c>
      <c r="I817" s="0" t="n">
        <v>925</v>
      </c>
      <c r="J817" s="0" t="n">
        <v>971</v>
      </c>
      <c r="K817" s="0" t="n">
        <v>6.938379386481746</v>
      </c>
    </row>
    <row r="818">
      <c r="A818" s="0" t="n">
        <v>101</v>
      </c>
      <c r="B818" s="0" t="inlineStr">
        <is>
          <t>Plen</t>
        </is>
      </c>
      <c r="C818" s="0" t="inlineStr">
        <is>
          <t>Town</t>
        </is>
      </c>
      <c r="D818" s="0" t="inlineStr">
        <is>
          <t>Win</t>
        </is>
      </c>
      <c r="E818" s="0" t="n">
        <v>43</v>
      </c>
      <c r="F818" s="0" t="n">
        <v>20.80505644108947</v>
      </c>
      <c r="G818" s="0" t="n">
        <v>21.37537313069743</v>
      </c>
      <c r="H818" s="0" t="n">
        <v>6.664321167419572</v>
      </c>
      <c r="I818" s="0" t="n">
        <v>731</v>
      </c>
      <c r="J818" s="0" t="n">
        <v>774</v>
      </c>
      <c r="K818" s="0" t="n">
        <v>6.701611582593888</v>
      </c>
    </row>
    <row r="819">
      <c r="A819" s="0" t="n">
        <v>101</v>
      </c>
      <c r="B819" s="0" t="inlineStr">
        <is>
          <t>Mintt</t>
        </is>
      </c>
      <c r="C819" s="0" t="inlineStr">
        <is>
          <t>Town</t>
        </is>
      </c>
      <c r="D819" s="0" t="inlineStr">
        <is>
          <t>Win</t>
        </is>
      </c>
      <c r="E819" s="0" t="n">
        <v>49</v>
      </c>
      <c r="F819" s="0" t="n">
        <v>25.12856792807168</v>
      </c>
      <c r="G819" s="0" t="n">
        <v>25.78081952312758</v>
      </c>
      <c r="H819" s="0" t="n">
        <v>7.121115584869821</v>
      </c>
      <c r="I819" s="0" t="n">
        <v>978</v>
      </c>
      <c r="J819" s="0" t="n">
        <v>1027</v>
      </c>
      <c r="K819" s="0" t="n">
        <v>7.166958027591186</v>
      </c>
    </row>
    <row r="820">
      <c r="A820" s="0" t="n">
        <v>101</v>
      </c>
      <c r="B820" s="0" t="inlineStr">
        <is>
          <t>Kden</t>
        </is>
      </c>
      <c r="C820" s="0" t="inlineStr">
        <is>
          <t>Town</t>
        </is>
      </c>
      <c r="D820" s="0" t="inlineStr">
        <is>
          <t>Win</t>
        </is>
      </c>
      <c r="E820" s="0" t="n">
        <v>47</v>
      </c>
      <c r="F820" s="0" t="n">
        <v>27.05514895526709</v>
      </c>
      <c r="G820" s="0" t="n">
        <v>27.67807202190806</v>
      </c>
      <c r="H820" s="0" t="n">
        <v>6.961225006419252</v>
      </c>
      <c r="I820" s="0" t="n">
        <v>1125</v>
      </c>
      <c r="J820" s="0" t="n">
        <v>1172</v>
      </c>
      <c r="K820" s="0" t="n">
        <v>7.0039413747526</v>
      </c>
    </row>
    <row r="821">
      <c r="A821" s="0" t="n">
        <v>100</v>
      </c>
      <c r="B821" s="0" t="inlineStr">
        <is>
          <t>Rocker</t>
        </is>
      </c>
      <c r="C821" s="0" t="inlineStr">
        <is>
          <t>Mafia</t>
        </is>
      </c>
      <c r="D821" s="0" t="inlineStr">
        <is>
          <t>Loss</t>
        </is>
      </c>
      <c r="E821" s="0" t="n">
        <v>-91</v>
      </c>
      <c r="F821" s="0" t="n">
        <v>32.50547404568002</v>
      </c>
      <c r="G821" s="0" t="n">
        <v>31.09549601796444</v>
      </c>
      <c r="H821" s="0" t="n">
        <v>6.414647693074422</v>
      </c>
      <c r="I821" s="0" t="n">
        <v>1551</v>
      </c>
      <c r="J821" s="0" t="n">
        <v>1460</v>
      </c>
      <c r="K821" s="0" t="n">
        <v>6.467295859611522</v>
      </c>
    </row>
    <row r="822">
      <c r="A822" s="0" t="n">
        <v>100</v>
      </c>
      <c r="B822" s="0" t="inlineStr">
        <is>
          <t>Kden</t>
        </is>
      </c>
      <c r="C822" s="0" t="inlineStr">
        <is>
          <t>Mafia</t>
        </is>
      </c>
      <c r="D822" s="0" t="inlineStr">
        <is>
          <t>Loss</t>
        </is>
      </c>
      <c r="E822" s="0" t="n">
        <v>-108</v>
      </c>
      <c r="F822" s="0" t="n">
        <v>28.74161834882152</v>
      </c>
      <c r="G822" s="0" t="n">
        <v>27.05514895526709</v>
      </c>
      <c r="H822" s="0" t="n">
        <v>7.0039413747526</v>
      </c>
      <c r="I822" s="0" t="n">
        <v>1233</v>
      </c>
      <c r="J822" s="0" t="n">
        <v>1125</v>
      </c>
      <c r="K822" s="0" t="n">
        <v>7.073173318954514</v>
      </c>
    </row>
    <row r="823">
      <c r="A823" s="0" t="n">
        <v>100</v>
      </c>
      <c r="B823" s="0" t="inlineStr">
        <is>
          <t>Keegan</t>
        </is>
      </c>
      <c r="C823" s="0" t="inlineStr">
        <is>
          <t>Mafia</t>
        </is>
      </c>
      <c r="D823" s="0" t="inlineStr">
        <is>
          <t>Loss</t>
        </is>
      </c>
      <c r="E823" s="0" t="n">
        <v>-131</v>
      </c>
      <c r="F823" s="0" t="n">
        <v>27.72790871955893</v>
      </c>
      <c r="G823" s="0" t="n">
        <v>25.65694973522627</v>
      </c>
      <c r="H823" s="0" t="n">
        <v>7.743603344243956</v>
      </c>
      <c r="I823" s="0" t="n">
        <v>1086</v>
      </c>
      <c r="J823" s="0" t="n">
        <v>955</v>
      </c>
      <c r="K823" s="0" t="n">
        <v>7.838245738194625</v>
      </c>
    </row>
    <row r="824">
      <c r="A824" s="0" t="n">
        <v>100</v>
      </c>
      <c r="B824" s="0" t="inlineStr">
        <is>
          <t>Kwix</t>
        </is>
      </c>
      <c r="C824" s="0" t="inlineStr">
        <is>
          <t>Town</t>
        </is>
      </c>
      <c r="D824" s="0" t="inlineStr">
        <is>
          <t>Win</t>
        </is>
      </c>
      <c r="E824" s="0" t="n">
        <v>122</v>
      </c>
      <c r="F824" s="0" t="n">
        <v>24.91564958158976</v>
      </c>
      <c r="G824" s="0" t="n">
        <v>26.60592534512189</v>
      </c>
      <c r="H824" s="0" t="n">
        <v>7.011682064475363</v>
      </c>
      <c r="I824" s="0" t="n">
        <v>972</v>
      </c>
      <c r="J824" s="0" t="n">
        <v>1094</v>
      </c>
      <c r="K824" s="0" t="n">
        <v>7.081152507827851</v>
      </c>
    </row>
    <row r="825">
      <c r="A825" s="0" t="n">
        <v>100</v>
      </c>
      <c r="B825" s="0" t="inlineStr">
        <is>
          <t>Xcync</t>
        </is>
      </c>
      <c r="C825" s="0" t="inlineStr">
        <is>
          <t>Town</t>
        </is>
      </c>
      <c r="D825" s="0" t="inlineStr">
        <is>
          <t>Win</t>
        </is>
      </c>
      <c r="E825" s="0" t="n">
        <v>142</v>
      </c>
      <c r="F825" s="0" t="n">
        <v>29.28145589059045</v>
      </c>
      <c r="G825" s="0" t="n">
        <v>31.23961219820557</v>
      </c>
      <c r="H825" s="0" t="n">
        <v>7.534833979256712</v>
      </c>
      <c r="I825" s="0" t="n">
        <v>1214</v>
      </c>
      <c r="J825" s="0" t="n">
        <v>1356</v>
      </c>
      <c r="K825" s="0" t="n">
        <v>7.621751204019227</v>
      </c>
    </row>
    <row r="826">
      <c r="A826" s="0" t="n">
        <v>100</v>
      </c>
      <c r="B826" s="0" t="inlineStr">
        <is>
          <t>Carson</t>
        </is>
      </c>
      <c r="C826" s="0" t="inlineStr">
        <is>
          <t>Town</t>
        </is>
      </c>
      <c r="D826" s="0" t="inlineStr">
        <is>
          <t>Win</t>
        </is>
      </c>
      <c r="E826" s="0" t="n">
        <v>115</v>
      </c>
      <c r="F826" s="0" t="n">
        <v>27.94544468124443</v>
      </c>
      <c r="G826" s="0" t="n">
        <v>29.54817334699202</v>
      </c>
      <c r="H826" s="0" t="n">
        <v>6.831240522628514</v>
      </c>
      <c r="I826" s="0" t="n">
        <v>1197</v>
      </c>
      <c r="J826" s="0" t="n">
        <v>1312</v>
      </c>
      <c r="K826" s="0" t="n">
        <v>6.89529422745537</v>
      </c>
    </row>
    <row r="827">
      <c r="A827" s="0" t="n">
        <v>100</v>
      </c>
      <c r="B827" s="0" t="inlineStr">
        <is>
          <t>Noah</t>
        </is>
      </c>
      <c r="C827" s="0" t="inlineStr">
        <is>
          <t>Town</t>
        </is>
      </c>
      <c r="D827" s="0" t="inlineStr">
        <is>
          <t>Win</t>
        </is>
      </c>
      <c r="E827" s="0" t="n">
        <v>114</v>
      </c>
      <c r="F827" s="0" t="n">
        <v>27.82841064614619</v>
      </c>
      <c r="G827" s="0" t="n">
        <v>29.41406553456579</v>
      </c>
      <c r="H827" s="0" t="n">
        <v>6.795446307796224</v>
      </c>
      <c r="I827" s="0" t="n">
        <v>1193</v>
      </c>
      <c r="J827" s="0" t="n">
        <v>1307</v>
      </c>
      <c r="K827" s="0" t="n">
        <v>6.858460533820565</v>
      </c>
    </row>
    <row r="828">
      <c r="A828" s="0" t="n">
        <v>100</v>
      </c>
      <c r="B828" s="0" t="inlineStr">
        <is>
          <t>Plen</t>
        </is>
      </c>
      <c r="C828" s="0" t="inlineStr">
        <is>
          <t>Town</t>
        </is>
      </c>
      <c r="D828" s="0" t="inlineStr">
        <is>
          <t>Win</t>
        </is>
      </c>
      <c r="E828" s="0" t="n">
        <v>111</v>
      </c>
      <c r="F828" s="0" t="n">
        <v>19.26370181750861</v>
      </c>
      <c r="G828" s="0" t="n">
        <v>20.80505644108947</v>
      </c>
      <c r="H828" s="0" t="n">
        <v>6.701611582593888</v>
      </c>
      <c r="I828" s="0" t="n">
        <v>620</v>
      </c>
      <c r="J828" s="0" t="n">
        <v>731</v>
      </c>
      <c r="K828" s="0" t="n">
        <v>6.761954847245494</v>
      </c>
    </row>
    <row r="829">
      <c r="A829" s="0" t="n">
        <v>100</v>
      </c>
      <c r="B829" s="0" t="inlineStr">
        <is>
          <t>Lovekilling</t>
        </is>
      </c>
      <c r="C829" s="0" t="inlineStr">
        <is>
          <t>Town</t>
        </is>
      </c>
      <c r="D829" s="0" t="inlineStr">
        <is>
          <t>Win</t>
        </is>
      </c>
      <c r="E829" s="0" t="n">
        <v>154</v>
      </c>
      <c r="F829" s="0" t="n">
        <v>19.02940415999581</v>
      </c>
      <c r="G829" s="0" t="n">
        <v>21.15671307285238</v>
      </c>
      <c r="H829" s="0" t="n">
        <v>7.845602222431918</v>
      </c>
      <c r="I829" s="0" t="n">
        <v>484</v>
      </c>
      <c r="J829" s="0" t="n">
        <v>638</v>
      </c>
      <c r="K829" s="0" t="n">
        <v>7.944184871502376</v>
      </c>
    </row>
    <row r="830">
      <c r="A830" s="0" t="n">
        <v>100</v>
      </c>
      <c r="B830" s="0" t="inlineStr">
        <is>
          <t>Laur</t>
        </is>
      </c>
      <c r="C830" s="0" t="inlineStr">
        <is>
          <t>Town</t>
        </is>
      </c>
      <c r="D830" s="0" t="inlineStr">
        <is>
          <t>Win</t>
        </is>
      </c>
      <c r="E830" s="0" t="n">
        <v>125</v>
      </c>
      <c r="F830" s="0" t="n">
        <v>32.33629584930551</v>
      </c>
      <c r="G830" s="0" t="n">
        <v>34.06123742467088</v>
      </c>
      <c r="H830" s="0" t="n">
        <v>7.081756966244551</v>
      </c>
      <c r="I830" s="0" t="n">
        <v>1469</v>
      </c>
      <c r="J830" s="0" t="n">
        <v>1594</v>
      </c>
      <c r="K830" s="0" t="n">
        <v>7.153411870880761</v>
      </c>
    </row>
    <row r="831">
      <c r="A831" s="0" t="n">
        <v>100</v>
      </c>
      <c r="B831" s="0" t="inlineStr">
        <is>
          <t>Smit</t>
        </is>
      </c>
      <c r="C831" s="0" t="inlineStr">
        <is>
          <t>Town</t>
        </is>
      </c>
      <c r="D831" s="0" t="inlineStr">
        <is>
          <t>Win</t>
        </is>
      </c>
      <c r="E831" s="0" t="n">
        <v>116</v>
      </c>
      <c r="F831" s="0" t="n">
        <v>25.26246500783103</v>
      </c>
      <c r="G831" s="0" t="n">
        <v>26.8740428848926</v>
      </c>
      <c r="H831" s="0" t="n">
        <v>6.849713004732724</v>
      </c>
      <c r="I831" s="0" t="n">
        <v>1013</v>
      </c>
      <c r="J831" s="0" t="n">
        <v>1129</v>
      </c>
      <c r="K831" s="0" t="n">
        <v>6.914307651855572</v>
      </c>
    </row>
    <row r="832">
      <c r="A832" s="0" t="n">
        <v>100</v>
      </c>
      <c r="B832" s="0" t="inlineStr">
        <is>
          <t>Rollo</t>
        </is>
      </c>
      <c r="C832" s="0" t="inlineStr">
        <is>
          <t>Town</t>
        </is>
      </c>
      <c r="D832" s="0" t="inlineStr">
        <is>
          <t>Win</t>
        </is>
      </c>
      <c r="E832" s="0" t="n">
        <v>122</v>
      </c>
      <c r="F832" s="0" t="n">
        <v>30.61294806518448</v>
      </c>
      <c r="G832" s="0" t="n">
        <v>32.30386747394434</v>
      </c>
      <c r="H832" s="0" t="n">
        <v>7.012990075618825</v>
      </c>
      <c r="I832" s="0" t="n">
        <v>1359</v>
      </c>
      <c r="J832" s="0" t="n">
        <v>1481</v>
      </c>
      <c r="K832" s="0" t="n">
        <v>7.082500875086022</v>
      </c>
    </row>
    <row r="833">
      <c r="A833" s="0" t="n">
        <v>100</v>
      </c>
      <c r="B833" s="0" t="inlineStr">
        <is>
          <t>Streety</t>
        </is>
      </c>
      <c r="C833" s="0" t="inlineStr">
        <is>
          <t>Town</t>
        </is>
      </c>
      <c r="D833" s="0" t="inlineStr">
        <is>
          <t>Win</t>
        </is>
      </c>
      <c r="E833" s="0" t="n">
        <v>133</v>
      </c>
      <c r="F833" s="0" t="n">
        <v>24.77738174617066</v>
      </c>
      <c r="G833" s="0" t="n">
        <v>26.61417407799111</v>
      </c>
      <c r="H833" s="0" t="n">
        <v>7.3028851417583</v>
      </c>
      <c r="I833" s="0" t="n">
        <v>932</v>
      </c>
      <c r="J833" s="0" t="n">
        <v>1065</v>
      </c>
      <c r="K833" s="0" t="n">
        <v>7.381738378980726</v>
      </c>
    </row>
    <row r="834">
      <c r="A834" s="0" t="n">
        <v>99</v>
      </c>
      <c r="B834" s="0" t="inlineStr">
        <is>
          <t>Chester</t>
        </is>
      </c>
      <c r="C834" s="0" t="inlineStr">
        <is>
          <t>Mafia</t>
        </is>
      </c>
      <c r="D834" s="0" t="inlineStr">
        <is>
          <t>Win</t>
        </is>
      </c>
      <c r="E834" s="0" t="n">
        <v>69</v>
      </c>
      <c r="F834" s="0" t="n">
        <v>28.10555273887658</v>
      </c>
      <c r="G834" s="0" t="n">
        <v>29.01181331405333</v>
      </c>
      <c r="H834" s="0" t="n">
        <v>7.826063531913255</v>
      </c>
      <c r="I834" s="0" t="n">
        <v>1106</v>
      </c>
      <c r="J834" s="0" t="n">
        <v>1175</v>
      </c>
      <c r="K834" s="0" t="n">
        <v>7.889996635253748</v>
      </c>
    </row>
    <row r="835">
      <c r="A835" s="0" t="n">
        <v>99</v>
      </c>
      <c r="B835" s="0" t="inlineStr">
        <is>
          <t>Streety</t>
        </is>
      </c>
      <c r="C835" s="0" t="inlineStr">
        <is>
          <t>Mafia</t>
        </is>
      </c>
      <c r="D835" s="0" t="inlineStr">
        <is>
          <t>Win</t>
        </is>
      </c>
      <c r="E835" s="0" t="n">
        <v>60</v>
      </c>
      <c r="F835" s="0" t="n">
        <v>23.9725989753618</v>
      </c>
      <c r="G835" s="0" t="n">
        <v>24.77738174617066</v>
      </c>
      <c r="H835" s="0" t="n">
        <v>7.381738378980726</v>
      </c>
      <c r="I835" s="0" t="n">
        <v>872</v>
      </c>
      <c r="J835" s="0" t="n">
        <v>932</v>
      </c>
      <c r="K835" s="0" t="n">
        <v>7.435072555852202</v>
      </c>
    </row>
    <row r="836">
      <c r="A836" s="0" t="n">
        <v>99</v>
      </c>
      <c r="B836" s="0" t="inlineStr">
        <is>
          <t>Carson</t>
        </is>
      </c>
      <c r="C836" s="0" t="inlineStr">
        <is>
          <t>Mafia</t>
        </is>
      </c>
      <c r="D836" s="0" t="inlineStr">
        <is>
          <t>Win</t>
        </is>
      </c>
      <c r="E836" s="0" t="n">
        <v>52</v>
      </c>
      <c r="F836" s="0" t="n">
        <v>27.2445636349267</v>
      </c>
      <c r="G836" s="0" t="n">
        <v>27.94544468124443</v>
      </c>
      <c r="H836" s="0" t="n">
        <v>6.89529422745537</v>
      </c>
      <c r="I836" s="0" t="n">
        <v>1145</v>
      </c>
      <c r="J836" s="0" t="n">
        <v>1197</v>
      </c>
      <c r="K836" s="0" t="n">
        <v>6.938445964448673</v>
      </c>
    </row>
    <row r="837">
      <c r="A837" s="0" t="n">
        <v>99</v>
      </c>
      <c r="B837" s="0" t="inlineStr">
        <is>
          <t>Laur</t>
        </is>
      </c>
      <c r="C837" s="0" t="inlineStr">
        <is>
          <t>Town</t>
        </is>
      </c>
      <c r="D837" s="0" t="inlineStr">
        <is>
          <t>Loss</t>
        </is>
      </c>
      <c r="E837" s="0" t="n">
        <v>-47</v>
      </c>
      <c r="F837" s="0" t="n">
        <v>33.09137786182854</v>
      </c>
      <c r="G837" s="0" t="n">
        <v>32.33629584930551</v>
      </c>
      <c r="H837" s="0" t="n">
        <v>7.153411870880761</v>
      </c>
      <c r="I837" s="0" t="n">
        <v>1516</v>
      </c>
      <c r="J837" s="0" t="n">
        <v>1469</v>
      </c>
      <c r="K837" s="0" t="n">
        <v>7.2017883284857</v>
      </c>
    </row>
    <row r="838">
      <c r="A838" s="0" t="n">
        <v>99</v>
      </c>
      <c r="B838" s="0" t="inlineStr">
        <is>
          <t>Kden</t>
        </is>
      </c>
      <c r="C838" s="0" t="inlineStr">
        <is>
          <t>Town</t>
        </is>
      </c>
      <c r="D838" s="0" t="inlineStr">
        <is>
          <t>Loss</t>
        </is>
      </c>
      <c r="E838" s="0" t="n">
        <v>-45</v>
      </c>
      <c r="F838" s="0" t="n">
        <v>29.47962638637657</v>
      </c>
      <c r="G838" s="0" t="n">
        <v>28.74161834882152</v>
      </c>
      <c r="H838" s="0" t="n">
        <v>7.073173318954514</v>
      </c>
      <c r="I838" s="0" t="n">
        <v>1278</v>
      </c>
      <c r="J838" s="0" t="n">
        <v>1233</v>
      </c>
      <c r="K838" s="0" t="n">
        <v>7.119883172975218</v>
      </c>
    </row>
    <row r="839">
      <c r="A839" s="0" t="n">
        <v>99</v>
      </c>
      <c r="B839" s="0" t="inlineStr">
        <is>
          <t>Noah</t>
        </is>
      </c>
      <c r="C839" s="0" t="inlineStr">
        <is>
          <t>Town</t>
        </is>
      </c>
      <c r="D839" s="0" t="inlineStr">
        <is>
          <t>Loss</t>
        </is>
      </c>
      <c r="E839" s="0" t="n">
        <v>-43</v>
      </c>
      <c r="F839" s="0" t="n">
        <v>28.521728163786</v>
      </c>
      <c r="G839" s="0" t="n">
        <v>27.82841064614619</v>
      </c>
      <c r="H839" s="0" t="n">
        <v>6.858460533820565</v>
      </c>
      <c r="I839" s="0" t="n">
        <v>1236</v>
      </c>
      <c r="J839" s="0" t="n">
        <v>1193</v>
      </c>
      <c r="K839" s="0" t="n">
        <v>6.900898618690182</v>
      </c>
    </row>
    <row r="840">
      <c r="A840" s="0" t="n">
        <v>99</v>
      </c>
      <c r="B840" s="0" t="inlineStr">
        <is>
          <t>Rollo</t>
        </is>
      </c>
      <c r="C840" s="0" t="inlineStr">
        <is>
          <t>Town</t>
        </is>
      </c>
      <c r="D840" s="0" t="inlineStr">
        <is>
          <t>Loss</t>
        </is>
      </c>
      <c r="E840" s="0" t="n">
        <v>-46</v>
      </c>
      <c r="F840" s="0" t="n">
        <v>31.35293047093391</v>
      </c>
      <c r="G840" s="0" t="n">
        <v>30.61294806518448</v>
      </c>
      <c r="H840" s="0" t="n">
        <v>7.082500875086022</v>
      </c>
      <c r="I840" s="0" t="n">
        <v>1405</v>
      </c>
      <c r="J840" s="0" t="n">
        <v>1359</v>
      </c>
      <c r="K840" s="0" t="n">
        <v>7.129402480571063</v>
      </c>
    </row>
    <row r="841">
      <c r="A841" s="0" t="n">
        <v>99</v>
      </c>
      <c r="B841" s="0" t="inlineStr">
        <is>
          <t>Chipper</t>
        </is>
      </c>
      <c r="C841" s="0" t="inlineStr">
        <is>
          <t>Town</t>
        </is>
      </c>
      <c r="D841" s="0" t="inlineStr">
        <is>
          <t>Loss</t>
        </is>
      </c>
      <c r="E841" s="0" t="n">
        <v>-42</v>
      </c>
      <c r="F841" s="0" t="n">
        <v>20.54985230740319</v>
      </c>
      <c r="G841" s="0" t="n">
        <v>19.86346477377996</v>
      </c>
      <c r="H841" s="0" t="n">
        <v>6.82452853524177</v>
      </c>
      <c r="I841" s="0" t="n">
        <v>697</v>
      </c>
      <c r="J841" s="0" t="n">
        <v>655</v>
      </c>
      <c r="K841" s="0" t="n">
        <v>6.86631611328199</v>
      </c>
    </row>
    <row r="842">
      <c r="A842" s="0" t="n">
        <v>99</v>
      </c>
      <c r="B842" s="0" t="inlineStr">
        <is>
          <t>Gilbert</t>
        </is>
      </c>
      <c r="C842" s="0" t="inlineStr">
        <is>
          <t>Town</t>
        </is>
      </c>
      <c r="D842" s="0" t="inlineStr">
        <is>
          <t>Loss</t>
        </is>
      </c>
      <c r="E842" s="0" t="n">
        <v>-56</v>
      </c>
      <c r="F842" s="0" t="n">
        <v>25.67254422813985</v>
      </c>
      <c r="G842" s="0" t="n">
        <v>24.75043365767322</v>
      </c>
      <c r="H842" s="0" t="n">
        <v>7.893059796292757</v>
      </c>
      <c r="I842" s="0" t="n">
        <v>934</v>
      </c>
      <c r="J842" s="0" t="n">
        <v>878</v>
      </c>
      <c r="K842" s="0" t="n">
        <v>7.958704392331494</v>
      </c>
    </row>
    <row r="843">
      <c r="A843" s="0" t="n">
        <v>99</v>
      </c>
      <c r="B843" s="0" t="inlineStr">
        <is>
          <t>Plen</t>
        </is>
      </c>
      <c r="C843" s="0" t="inlineStr">
        <is>
          <t>Town</t>
        </is>
      </c>
      <c r="D843" s="0" t="inlineStr">
        <is>
          <t>Loss</t>
        </is>
      </c>
      <c r="E843" s="0" t="n">
        <v>-42</v>
      </c>
      <c r="F843" s="0" t="n">
        <v>19.93740455311112</v>
      </c>
      <c r="G843" s="0" t="n">
        <v>19.26370181750861</v>
      </c>
      <c r="H843" s="0" t="n">
        <v>6.761954847245494</v>
      </c>
      <c r="I843" s="0" t="n">
        <v>662</v>
      </c>
      <c r="J843" s="0" t="n">
        <v>620</v>
      </c>
      <c r="K843" s="0" t="n">
        <v>6.802560114703496</v>
      </c>
    </row>
    <row r="844">
      <c r="A844" s="0" t="n">
        <v>99</v>
      </c>
      <c r="B844" s="0" t="inlineStr">
        <is>
          <t>Relm</t>
        </is>
      </c>
      <c r="C844" s="0" t="inlineStr">
        <is>
          <t>Town</t>
        </is>
      </c>
      <c r="D844" s="0" t="inlineStr">
        <is>
          <t>Loss</t>
        </is>
      </c>
      <c r="E844" s="0" t="n">
        <v>-61</v>
      </c>
      <c r="F844" s="0" t="n">
        <v>25</v>
      </c>
      <c r="G844" s="0" t="n">
        <v>23.98904986423692</v>
      </c>
      <c r="H844" s="0" t="n">
        <v>8.257825141776841</v>
      </c>
      <c r="I844" s="0" t="n">
        <v>850</v>
      </c>
      <c r="J844" s="0" t="n">
        <v>789</v>
      </c>
      <c r="K844" s="0" t="n">
        <v>8.333333333333334</v>
      </c>
    </row>
    <row r="845">
      <c r="A845" s="0" t="n">
        <v>99</v>
      </c>
      <c r="B845" s="0" t="inlineStr">
        <is>
          <t>Badpants</t>
        </is>
      </c>
      <c r="C845" s="0" t="inlineStr">
        <is>
          <t>Town</t>
        </is>
      </c>
      <c r="D845" s="0" t="inlineStr">
        <is>
          <t>Loss</t>
        </is>
      </c>
      <c r="E845" s="0" t="n">
        <v>-41</v>
      </c>
      <c r="F845" s="0" t="n">
        <v>24.26932460986092</v>
      </c>
      <c r="G845" s="0" t="n">
        <v>23.6010410233719</v>
      </c>
      <c r="H845" s="0" t="n">
        <v>6.735036132304665</v>
      </c>
      <c r="I845" s="0" t="n">
        <v>959</v>
      </c>
      <c r="J845" s="0" t="n">
        <v>918</v>
      </c>
      <c r="K845" s="0" t="n">
        <v>6.775139624926452</v>
      </c>
    </row>
    <row r="846">
      <c r="A846" s="0" t="n">
        <v>99</v>
      </c>
      <c r="B846" s="0" t="inlineStr">
        <is>
          <t>Lou</t>
        </is>
      </c>
      <c r="C846" s="0" t="inlineStr">
        <is>
          <t>Town</t>
        </is>
      </c>
      <c r="D846" s="0" t="inlineStr">
        <is>
          <t>Loss</t>
        </is>
      </c>
      <c r="E846" s="0" t="n">
        <v>-42</v>
      </c>
      <c r="F846" s="0" t="n">
        <v>27.6874448718242</v>
      </c>
      <c r="G846" s="0" t="n">
        <v>27.01037882973743</v>
      </c>
      <c r="H846" s="0" t="n">
        <v>6.778605056814919</v>
      </c>
      <c r="I846" s="0" t="n">
        <v>1187</v>
      </c>
      <c r="J846" s="0" t="n">
        <v>1145</v>
      </c>
      <c r="K846" s="0" t="n">
        <v>6.819522746449106</v>
      </c>
    </row>
    <row r="847">
      <c r="A847" s="0" t="n">
        <v>99</v>
      </c>
      <c r="B847" s="0" t="inlineStr">
        <is>
          <t>Whyin</t>
        </is>
      </c>
      <c r="C847" s="0" t="inlineStr">
        <is>
          <t>Town</t>
        </is>
      </c>
      <c r="D847" s="0" t="inlineStr">
        <is>
          <t>Loss</t>
        </is>
      </c>
      <c r="E847" s="0" t="n">
        <v>-45</v>
      </c>
      <c r="F847" s="0" t="n">
        <v>27.94451490736061</v>
      </c>
      <c r="G847" s="0" t="n">
        <v>27.21281699810088</v>
      </c>
      <c r="H847" s="0" t="n">
        <v>7.043274811846026</v>
      </c>
      <c r="I847" s="0" t="n">
        <v>1177</v>
      </c>
      <c r="J847" s="0" t="n">
        <v>1132</v>
      </c>
      <c r="K847" s="0" t="n">
        <v>7.089373529271273</v>
      </c>
    </row>
    <row r="848">
      <c r="A848" s="0" t="n">
        <v>98</v>
      </c>
      <c r="B848" s="0" t="inlineStr">
        <is>
          <t>Machop</t>
        </is>
      </c>
      <c r="C848" s="0" t="inlineStr">
        <is>
          <t>Mafia</t>
        </is>
      </c>
      <c r="D848" s="0" t="inlineStr">
        <is>
          <t>Loss</t>
        </is>
      </c>
      <c r="E848" s="0" t="n">
        <v>-41</v>
      </c>
      <c r="F848" s="0" t="n">
        <v>22.05305878406827</v>
      </c>
      <c r="G848" s="0" t="n">
        <v>21.38848720072472</v>
      </c>
      <c r="H848" s="0" t="n">
        <v>6.565556360480751</v>
      </c>
      <c r="I848" s="0" t="n">
        <v>826</v>
      </c>
      <c r="J848" s="0" t="n">
        <v>785</v>
      </c>
      <c r="K848" s="0" t="n">
        <v>6.606603301469449</v>
      </c>
    </row>
    <row r="849">
      <c r="A849" s="0" t="n">
        <v>98</v>
      </c>
      <c r="B849" s="0" t="inlineStr">
        <is>
          <t>Kwix</t>
        </is>
      </c>
      <c r="C849" s="0" t="inlineStr">
        <is>
          <t>Mafia</t>
        </is>
      </c>
      <c r="D849" s="0" t="inlineStr">
        <is>
          <t>Loss</t>
        </is>
      </c>
      <c r="E849" s="0" t="n">
        <v>-47</v>
      </c>
      <c r="F849" s="0" t="n">
        <v>25.69033762191359</v>
      </c>
      <c r="G849" s="0" t="n">
        <v>24.91564958158976</v>
      </c>
      <c r="H849" s="0" t="n">
        <v>7.081152507827851</v>
      </c>
      <c r="I849" s="0" t="n">
        <v>1019</v>
      </c>
      <c r="J849" s="0" t="n">
        <v>972</v>
      </c>
      <c r="K849" s="0" t="n">
        <v>7.133092300265618</v>
      </c>
    </row>
    <row r="850">
      <c r="A850" s="0" t="n">
        <v>98</v>
      </c>
      <c r="B850" s="0" t="inlineStr">
        <is>
          <t>Cj</t>
        </is>
      </c>
      <c r="C850" s="0" t="inlineStr">
        <is>
          <t>Mafia</t>
        </is>
      </c>
      <c r="D850" s="0" t="inlineStr">
        <is>
          <t>Loss</t>
        </is>
      </c>
      <c r="E850" s="0" t="n">
        <v>-59</v>
      </c>
      <c r="F850" s="0" t="n">
        <v>26.63831598564255</v>
      </c>
      <c r="G850" s="0" t="n">
        <v>25.65782011696066</v>
      </c>
      <c r="H850" s="0" t="n">
        <v>7.950616464335491</v>
      </c>
      <c r="I850" s="0" t="n">
        <v>993</v>
      </c>
      <c r="J850" s="0" t="n">
        <v>934</v>
      </c>
      <c r="K850" s="0" t="n">
        <v>8.025022523153172</v>
      </c>
    </row>
    <row r="851">
      <c r="A851" s="0" t="n">
        <v>98</v>
      </c>
      <c r="B851" s="0" t="inlineStr">
        <is>
          <t>Kden</t>
        </is>
      </c>
      <c r="C851" s="0" t="inlineStr">
        <is>
          <t>Town</t>
        </is>
      </c>
      <c r="D851" s="0" t="inlineStr">
        <is>
          <t>Win</t>
        </is>
      </c>
      <c r="E851" s="0" t="n">
        <v>58</v>
      </c>
      <c r="F851" s="0" t="n">
        <v>28.69631060554819</v>
      </c>
      <c r="G851" s="0" t="n">
        <v>29.47962638637657</v>
      </c>
      <c r="H851" s="0" t="n">
        <v>7.119883172975218</v>
      </c>
      <c r="I851" s="0" t="n">
        <v>1220</v>
      </c>
      <c r="J851" s="0" t="n">
        <v>1278</v>
      </c>
      <c r="K851" s="0" t="n">
        <v>7.172710889881207</v>
      </c>
    </row>
    <row r="852">
      <c r="A852" s="0" t="n">
        <v>98</v>
      </c>
      <c r="B852" s="0" t="inlineStr">
        <is>
          <t>Smit</t>
        </is>
      </c>
      <c r="C852" s="0" t="inlineStr">
        <is>
          <t>Town</t>
        </is>
      </c>
      <c r="D852" s="0" t="inlineStr">
        <is>
          <t>Win</t>
        </is>
      </c>
      <c r="E852" s="0" t="n">
        <v>56</v>
      </c>
      <c r="F852" s="0" t="n">
        <v>24.52437334793256</v>
      </c>
      <c r="G852" s="0" t="n">
        <v>25.26246500783103</v>
      </c>
      <c r="H852" s="0" t="n">
        <v>6.914307651855572</v>
      </c>
      <c r="I852" s="0" t="n">
        <v>957</v>
      </c>
      <c r="J852" s="0" t="n">
        <v>1013</v>
      </c>
      <c r="K852" s="0" t="n">
        <v>6.962535956065956</v>
      </c>
    </row>
    <row r="853">
      <c r="A853" s="0" t="n">
        <v>98</v>
      </c>
      <c r="B853" s="0" t="inlineStr">
        <is>
          <t>Rollo</t>
        </is>
      </c>
      <c r="C853" s="0" t="inlineStr">
        <is>
          <t>Town</t>
        </is>
      </c>
      <c r="D853" s="0" t="inlineStr">
        <is>
          <t>Win</t>
        </is>
      </c>
      <c r="E853" s="0" t="n">
        <v>59</v>
      </c>
      <c r="F853" s="0" t="n">
        <v>30.56748649262083</v>
      </c>
      <c r="G853" s="0" t="n">
        <v>31.35293047093391</v>
      </c>
      <c r="H853" s="0" t="n">
        <v>7.129402480571063</v>
      </c>
      <c r="I853" s="0" t="n">
        <v>1346</v>
      </c>
      <c r="J853" s="0" t="n">
        <v>1405</v>
      </c>
      <c r="K853" s="0" t="n">
        <v>7.182449972378843</v>
      </c>
    </row>
    <row r="854">
      <c r="A854" s="0" t="n">
        <v>98</v>
      </c>
      <c r="B854" s="0" t="inlineStr">
        <is>
          <t>Carson</t>
        </is>
      </c>
      <c r="C854" s="0" t="inlineStr">
        <is>
          <t>Town</t>
        </is>
      </c>
      <c r="D854" s="0" t="inlineStr">
        <is>
          <t>Win</t>
        </is>
      </c>
      <c r="E854" s="0" t="n">
        <v>56</v>
      </c>
      <c r="F854" s="0" t="n">
        <v>26.50123458284085</v>
      </c>
      <c r="G854" s="0" t="n">
        <v>27.2445636349267</v>
      </c>
      <c r="H854" s="0" t="n">
        <v>6.938445964448673</v>
      </c>
      <c r="I854" s="0" t="n">
        <v>1089</v>
      </c>
      <c r="J854" s="0" t="n">
        <v>1145</v>
      </c>
      <c r="K854" s="0" t="n">
        <v>6.987199943652878</v>
      </c>
    </row>
    <row r="855">
      <c r="A855" s="0" t="n">
        <v>98</v>
      </c>
      <c r="B855" s="0" t="inlineStr">
        <is>
          <t>Streety</t>
        </is>
      </c>
      <c r="C855" s="0" t="inlineStr">
        <is>
          <t>Town</t>
        </is>
      </c>
      <c r="D855" s="0" t="inlineStr">
        <is>
          <t>Win</t>
        </is>
      </c>
      <c r="E855" s="0" t="n">
        <v>65</v>
      </c>
      <c r="F855" s="0" t="n">
        <v>23.11720720395246</v>
      </c>
      <c r="G855" s="0" t="n">
        <v>23.9725989753618</v>
      </c>
      <c r="H855" s="0" t="n">
        <v>7.435072555852202</v>
      </c>
      <c r="I855" s="0" t="n">
        <v>807</v>
      </c>
      <c r="J855" s="0" t="n">
        <v>872</v>
      </c>
      <c r="K855" s="0" t="n">
        <v>7.495506387133188</v>
      </c>
    </row>
    <row r="856">
      <c r="A856" s="0" t="n">
        <v>98</v>
      </c>
      <c r="B856" s="0" t="inlineStr">
        <is>
          <t>Nick</t>
        </is>
      </c>
      <c r="C856" s="0" t="inlineStr">
        <is>
          <t>Town</t>
        </is>
      </c>
      <c r="D856" s="0" t="inlineStr">
        <is>
          <t>Win</t>
        </is>
      </c>
      <c r="E856" s="0" t="n">
        <v>72</v>
      </c>
      <c r="F856" s="0" t="n">
        <v>24.85982416470682</v>
      </c>
      <c r="G856" s="0" t="n">
        <v>25.81939143390686</v>
      </c>
      <c r="H856" s="0" t="n">
        <v>7.866897783054014</v>
      </c>
      <c r="I856" s="0" t="n">
        <v>881</v>
      </c>
      <c r="J856" s="0" t="n">
        <v>953</v>
      </c>
      <c r="K856" s="0" t="n">
        <v>7.938900400140338</v>
      </c>
    </row>
    <row r="857">
      <c r="A857" s="0" t="n">
        <v>98</v>
      </c>
      <c r="B857" s="0" t="inlineStr">
        <is>
          <t>Laur</t>
        </is>
      </c>
      <c r="C857" s="0" t="inlineStr">
        <is>
          <t>Town</t>
        </is>
      </c>
      <c r="D857" s="0" t="inlineStr">
        <is>
          <t>Win</t>
        </is>
      </c>
      <c r="E857" s="0" t="n">
        <v>60</v>
      </c>
      <c r="F857" s="0" t="n">
        <v>32.28965195453168</v>
      </c>
      <c r="G857" s="0" t="n">
        <v>33.09137786182854</v>
      </c>
      <c r="H857" s="0" t="n">
        <v>7.2017883284857</v>
      </c>
      <c r="I857" s="0" t="n">
        <v>1456</v>
      </c>
      <c r="J857" s="0" t="n">
        <v>1516</v>
      </c>
      <c r="K857" s="0" t="n">
        <v>7.256527011414732</v>
      </c>
    </row>
    <row r="858">
      <c r="A858" s="0" t="n">
        <v>98</v>
      </c>
      <c r="B858" s="0" t="inlineStr">
        <is>
          <t>Motr</t>
        </is>
      </c>
      <c r="C858" s="0" t="inlineStr">
        <is>
          <t>Town</t>
        </is>
      </c>
      <c r="D858" s="0" t="inlineStr">
        <is>
          <t>Win</t>
        </is>
      </c>
      <c r="E858" s="0" t="n">
        <v>73</v>
      </c>
      <c r="F858" s="0" t="n">
        <v>27.57600149522237</v>
      </c>
      <c r="G858" s="0" t="n">
        <v>28.53657348612048</v>
      </c>
      <c r="H858" s="0" t="n">
        <v>7.870938809317868</v>
      </c>
      <c r="I858" s="0" t="n">
        <v>1065</v>
      </c>
      <c r="J858" s="0" t="n">
        <v>1138</v>
      </c>
      <c r="K858" s="0" t="n">
        <v>7.943056212771876</v>
      </c>
    </row>
    <row r="859">
      <c r="A859" s="0" t="n">
        <v>98</v>
      </c>
      <c r="B859" s="0" t="inlineStr">
        <is>
          <t>Plen</t>
        </is>
      </c>
      <c r="C859" s="0" t="inlineStr">
        <is>
          <t>Town</t>
        </is>
      </c>
      <c r="D859" s="0" t="inlineStr">
        <is>
          <t>Win</t>
        </is>
      </c>
      <c r="E859" s="0" t="n">
        <v>53</v>
      </c>
      <c r="F859" s="0" t="n">
        <v>19.22330769301654</v>
      </c>
      <c r="G859" s="0" t="n">
        <v>19.93740455311112</v>
      </c>
      <c r="H859" s="0" t="n">
        <v>6.802560114703496</v>
      </c>
      <c r="I859" s="0" t="n">
        <v>609</v>
      </c>
      <c r="J859" s="0" t="n">
        <v>662</v>
      </c>
      <c r="K859" s="0" t="n">
        <v>6.848403783837133</v>
      </c>
    </row>
    <row r="860">
      <c r="A860" s="0" t="n">
        <v>98</v>
      </c>
      <c r="B860" s="0" t="inlineStr">
        <is>
          <t>Noah</t>
        </is>
      </c>
      <c r="C860" s="0" t="inlineStr">
        <is>
          <t>Town</t>
        </is>
      </c>
      <c r="D860" s="0" t="inlineStr">
        <is>
          <t>Win</t>
        </is>
      </c>
      <c r="E860" s="0" t="n">
        <v>55</v>
      </c>
      <c r="F860" s="0" t="n">
        <v>27.78653757181051</v>
      </c>
      <c r="G860" s="0" t="n">
        <v>28.521728163786</v>
      </c>
      <c r="H860" s="0" t="n">
        <v>6.900898618690182</v>
      </c>
      <c r="I860" s="0" t="n">
        <v>1181</v>
      </c>
      <c r="J860" s="0" t="n">
        <v>1236</v>
      </c>
      <c r="K860" s="0" t="n">
        <v>6.948836538602965</v>
      </c>
    </row>
    <row r="861">
      <c r="A861" s="0" t="n">
        <v>97</v>
      </c>
      <c r="B861" s="0" t="inlineStr">
        <is>
          <t>Machop</t>
        </is>
      </c>
      <c r="C861" s="0" t="inlineStr">
        <is>
          <t>Mafia</t>
        </is>
      </c>
      <c r="D861" s="0" t="inlineStr">
        <is>
          <t>Loss</t>
        </is>
      </c>
      <c r="E861" s="0" t="n">
        <v>-65</v>
      </c>
      <c r="F861" s="0" t="n">
        <v>23.084923523839</v>
      </c>
      <c r="G861" s="0" t="n">
        <v>22.05305878406827</v>
      </c>
      <c r="H861" s="0" t="n">
        <v>6.606603301469449</v>
      </c>
      <c r="I861" s="0" t="n">
        <v>891</v>
      </c>
      <c r="J861" s="0" t="n">
        <v>826</v>
      </c>
      <c r="K861" s="0" t="n">
        <v>6.656377882917307</v>
      </c>
    </row>
    <row r="862">
      <c r="A862" s="0" t="n">
        <v>97</v>
      </c>
      <c r="B862" s="0" t="inlineStr">
        <is>
          <t>Happymeal</t>
        </is>
      </c>
      <c r="C862" s="0" t="inlineStr">
        <is>
          <t>Mafia</t>
        </is>
      </c>
      <c r="D862" s="0" t="inlineStr">
        <is>
          <t>Loss</t>
        </is>
      </c>
      <c r="E862" s="0" t="n">
        <v>-81</v>
      </c>
      <c r="F862" s="0" t="n">
        <v>23.83897953780988</v>
      </c>
      <c r="G862" s="0" t="n">
        <v>22.52691090020113</v>
      </c>
      <c r="H862" s="0" t="n">
        <v>7.43426188802196</v>
      </c>
      <c r="I862" s="0" t="n">
        <v>855</v>
      </c>
      <c r="J862" s="0" t="n">
        <v>774</v>
      </c>
      <c r="K862" s="0" t="n">
        <v>7.506116941503921</v>
      </c>
    </row>
    <row r="863">
      <c r="A863" s="0" t="n">
        <v>97</v>
      </c>
      <c r="B863" s="0" t="inlineStr">
        <is>
          <t>Motr</t>
        </is>
      </c>
      <c r="C863" s="0" t="inlineStr">
        <is>
          <t>Mafia</t>
        </is>
      </c>
      <c r="D863" s="0" t="inlineStr">
        <is>
          <t>Loss</t>
        </is>
      </c>
      <c r="E863" s="0" t="n">
        <v>-93</v>
      </c>
      <c r="F863" s="0" t="n">
        <v>29.07807387082233</v>
      </c>
      <c r="G863" s="0" t="n">
        <v>27.57600149522237</v>
      </c>
      <c r="H863" s="0" t="n">
        <v>7.943056212771876</v>
      </c>
      <c r="I863" s="0" t="n">
        <v>1158</v>
      </c>
      <c r="J863" s="0" t="n">
        <v>1065</v>
      </c>
      <c r="K863" s="0" t="n">
        <v>8.031327828802137</v>
      </c>
    </row>
    <row r="864">
      <c r="A864" s="0" t="n">
        <v>97</v>
      </c>
      <c r="B864" s="0" t="inlineStr">
        <is>
          <t>Cj</t>
        </is>
      </c>
      <c r="C864" s="0" t="inlineStr">
        <is>
          <t>Town</t>
        </is>
      </c>
      <c r="D864" s="0" t="inlineStr">
        <is>
          <t>Win</t>
        </is>
      </c>
      <c r="E864" s="0" t="n">
        <v>114</v>
      </c>
      <c r="F864" s="0" t="n">
        <v>25.10435006008025</v>
      </c>
      <c r="G864" s="0" t="n">
        <v>26.63831598564255</v>
      </c>
      <c r="H864" s="0" t="n">
        <v>8.025022523153172</v>
      </c>
      <c r="I864" s="0" t="n">
        <v>879</v>
      </c>
      <c r="J864" s="0" t="n">
        <v>993</v>
      </c>
      <c r="K864" s="0" t="n">
        <v>8.116157762805351</v>
      </c>
    </row>
    <row r="865">
      <c r="A865" s="0" t="n">
        <v>97</v>
      </c>
      <c r="B865" s="0" t="inlineStr">
        <is>
          <t>Smit</t>
        </is>
      </c>
      <c r="C865" s="0" t="inlineStr">
        <is>
          <t>Town</t>
        </is>
      </c>
      <c r="D865" s="0" t="inlineStr">
        <is>
          <t>Win</t>
        </is>
      </c>
      <c r="E865" s="0" t="n">
        <v>84</v>
      </c>
      <c r="F865" s="0" t="n">
        <v>23.37634519152656</v>
      </c>
      <c r="G865" s="0" t="n">
        <v>24.52437334793256</v>
      </c>
      <c r="H865" s="0" t="n">
        <v>6.962535956065956</v>
      </c>
      <c r="I865" s="0" t="n">
        <v>873</v>
      </c>
      <c r="J865" s="0" t="n">
        <v>957</v>
      </c>
      <c r="K865" s="0" t="n">
        <v>7.021142888835016</v>
      </c>
    </row>
    <row r="866">
      <c r="A866" s="0" t="n">
        <v>97</v>
      </c>
      <c r="B866" s="0" t="inlineStr">
        <is>
          <t>Kden</t>
        </is>
      </c>
      <c r="C866" s="0" t="inlineStr">
        <is>
          <t>Town</t>
        </is>
      </c>
      <c r="D866" s="0" t="inlineStr">
        <is>
          <t>Win</t>
        </is>
      </c>
      <c r="E866" s="0" t="n">
        <v>90</v>
      </c>
      <c r="F866" s="0" t="n">
        <v>27.47662354430103</v>
      </c>
      <c r="G866" s="0" t="n">
        <v>28.69631060554819</v>
      </c>
      <c r="H866" s="0" t="n">
        <v>7.172710889881207</v>
      </c>
      <c r="I866" s="0" t="n">
        <v>1130</v>
      </c>
      <c r="J866" s="0" t="n">
        <v>1220</v>
      </c>
      <c r="K866" s="0" t="n">
        <v>7.236996091110833</v>
      </c>
    </row>
    <row r="867">
      <c r="A867" s="0" t="n">
        <v>97</v>
      </c>
      <c r="B867" s="0" t="inlineStr">
        <is>
          <t>Chester</t>
        </is>
      </c>
      <c r="C867" s="0" t="inlineStr">
        <is>
          <t>Town</t>
        </is>
      </c>
      <c r="D867" s="0" t="inlineStr">
        <is>
          <t>Win</t>
        </is>
      </c>
      <c r="E867" s="0" t="n">
        <v>109</v>
      </c>
      <c r="F867" s="0" t="n">
        <v>26.62393513857858</v>
      </c>
      <c r="G867" s="0" t="n">
        <v>28.10555273887658</v>
      </c>
      <c r="H867" s="0" t="n">
        <v>7.889996635253748</v>
      </c>
      <c r="I867" s="0" t="n">
        <v>997</v>
      </c>
      <c r="J867" s="0" t="n">
        <v>1106</v>
      </c>
      <c r="K867" s="0" t="n">
        <v>7.976447728094148</v>
      </c>
    </row>
    <row r="868">
      <c r="A868" s="0" t="n">
        <v>97</v>
      </c>
      <c r="B868" s="0" t="inlineStr">
        <is>
          <t>Lou</t>
        </is>
      </c>
      <c r="C868" s="0" t="inlineStr">
        <is>
          <t>Town</t>
        </is>
      </c>
      <c r="D868" s="0" t="inlineStr">
        <is>
          <t>Win</t>
        </is>
      </c>
      <c r="E868" s="0" t="n">
        <v>80</v>
      </c>
      <c r="F868" s="0" t="n">
        <v>26.58687275025209</v>
      </c>
      <c r="G868" s="0" t="n">
        <v>27.6874448718242</v>
      </c>
      <c r="H868" s="0" t="n">
        <v>6.819522746449106</v>
      </c>
      <c r="I868" s="0" t="n">
        <v>1107</v>
      </c>
      <c r="J868" s="0" t="n">
        <v>1187</v>
      </c>
      <c r="K868" s="0" t="n">
        <v>6.874464856568919</v>
      </c>
    </row>
    <row r="869">
      <c r="A869" s="0" t="n">
        <v>97</v>
      </c>
      <c r="B869" s="0" t="inlineStr">
        <is>
          <t>Badpants</t>
        </is>
      </c>
      <c r="C869" s="0" t="inlineStr">
        <is>
          <t>Town</t>
        </is>
      </c>
      <c r="D869" s="0" t="inlineStr">
        <is>
          <t>Win</t>
        </is>
      </c>
      <c r="E869" s="0" t="n">
        <v>79</v>
      </c>
      <c r="F869" s="0" t="n">
        <v>23.18326624411792</v>
      </c>
      <c r="G869" s="0" t="n">
        <v>24.26932460986092</v>
      </c>
      <c r="H869" s="0" t="n">
        <v>6.775139624926452</v>
      </c>
      <c r="I869" s="0" t="n">
        <v>880</v>
      </c>
      <c r="J869" s="0" t="n">
        <v>959</v>
      </c>
      <c r="K869" s="0" t="n">
        <v>6.828976385105743</v>
      </c>
    </row>
    <row r="870">
      <c r="A870" s="0" t="n">
        <v>97</v>
      </c>
      <c r="B870" s="0" t="inlineStr">
        <is>
          <t>Chipper</t>
        </is>
      </c>
      <c r="C870" s="0" t="inlineStr">
        <is>
          <t>Town</t>
        </is>
      </c>
      <c r="D870" s="0" t="inlineStr">
        <is>
          <t>Win</t>
        </is>
      </c>
      <c r="E870" s="0" t="n">
        <v>82</v>
      </c>
      <c r="F870" s="0" t="n">
        <v>19.43386864471188</v>
      </c>
      <c r="G870" s="0" t="n">
        <v>20.54985230740319</v>
      </c>
      <c r="H870" s="0" t="n">
        <v>6.86631611328199</v>
      </c>
      <c r="I870" s="0" t="n">
        <v>615</v>
      </c>
      <c r="J870" s="0" t="n">
        <v>697</v>
      </c>
      <c r="K870" s="0" t="n">
        <v>6.922439921969645</v>
      </c>
    </row>
    <row r="871">
      <c r="A871" s="0" t="n">
        <v>97</v>
      </c>
      <c r="B871" s="0" t="inlineStr">
        <is>
          <t>Kwix</t>
        </is>
      </c>
      <c r="C871" s="0" t="inlineStr">
        <is>
          <t>Town</t>
        </is>
      </c>
      <c r="D871" s="0" t="inlineStr">
        <is>
          <t>Win</t>
        </is>
      </c>
      <c r="E871" s="0" t="n">
        <v>88</v>
      </c>
      <c r="F871" s="0" t="n">
        <v>24.48433350399834</v>
      </c>
      <c r="G871" s="0" t="n">
        <v>25.69033762191359</v>
      </c>
      <c r="H871" s="0" t="n">
        <v>7.133092300265618</v>
      </c>
      <c r="I871" s="0" t="n">
        <v>931</v>
      </c>
      <c r="J871" s="0" t="n">
        <v>1019</v>
      </c>
      <c r="K871" s="0" t="n">
        <v>7.196280027770202</v>
      </c>
    </row>
    <row r="872">
      <c r="A872" s="0" t="n">
        <v>97</v>
      </c>
      <c r="B872" s="0" t="inlineStr">
        <is>
          <t>Svaan</t>
        </is>
      </c>
      <c r="C872" s="0" t="inlineStr">
        <is>
          <t>Town</t>
        </is>
      </c>
      <c r="D872" s="0" t="inlineStr">
        <is>
          <t>Win</t>
        </is>
      </c>
      <c r="E872" s="0" t="n">
        <v>101</v>
      </c>
      <c r="F872" s="0" t="n">
        <v>25.21232986645595</v>
      </c>
      <c r="G872" s="0" t="n">
        <v>26.58786018458252</v>
      </c>
      <c r="H872" s="0" t="n">
        <v>7.608317955154535</v>
      </c>
      <c r="I872" s="0" t="n">
        <v>931</v>
      </c>
      <c r="J872" s="0" t="n">
        <v>1032</v>
      </c>
      <c r="K872" s="0" t="n">
        <v>7.685531564969657</v>
      </c>
    </row>
    <row r="873">
      <c r="A873" s="0" t="n">
        <v>97</v>
      </c>
      <c r="B873" s="0" t="inlineStr">
        <is>
          <t>Iln</t>
        </is>
      </c>
      <c r="C873" s="0" t="inlineStr">
        <is>
          <t>Town</t>
        </is>
      </c>
      <c r="D873" s="0" t="inlineStr">
        <is>
          <t>Win</t>
        </is>
      </c>
      <c r="E873" s="0" t="n">
        <v>84</v>
      </c>
      <c r="F873" s="0" t="n">
        <v>22.86651752434424</v>
      </c>
      <c r="G873" s="0" t="n">
        <v>24.00645585772794</v>
      </c>
      <c r="H873" s="0" t="n">
        <v>6.938379386481746</v>
      </c>
      <c r="I873" s="0" t="n">
        <v>841</v>
      </c>
      <c r="J873" s="0" t="n">
        <v>925</v>
      </c>
      <c r="K873" s="0" t="n">
        <v>6.996356134675376</v>
      </c>
    </row>
    <row r="874">
      <c r="A874" s="0" t="n">
        <v>96</v>
      </c>
      <c r="B874" s="0" t="inlineStr">
        <is>
          <t>Chipper</t>
        </is>
      </c>
      <c r="C874" s="0" t="inlineStr">
        <is>
          <t>Mafia</t>
        </is>
      </c>
      <c r="D874" s="0" t="inlineStr">
        <is>
          <t>Loss</t>
        </is>
      </c>
      <c r="E874" s="0" t="n">
        <v>-32</v>
      </c>
      <c r="F874" s="0" t="n">
        <v>19.9542328930599</v>
      </c>
      <c r="G874" s="0" t="n">
        <v>19.43386864471188</v>
      </c>
      <c r="H874" s="0" t="n">
        <v>6.922439921969645</v>
      </c>
      <c r="I874" s="0" t="n">
        <v>647</v>
      </c>
      <c r="J874" s="0" t="n">
        <v>615</v>
      </c>
      <c r="K874" s="0" t="n">
        <v>6.962542340861225</v>
      </c>
    </row>
    <row r="875">
      <c r="A875" s="0" t="n">
        <v>96</v>
      </c>
      <c r="B875" s="0" t="inlineStr">
        <is>
          <t>Pie</t>
        </is>
      </c>
      <c r="C875" s="0" t="inlineStr">
        <is>
          <t>Mafia</t>
        </is>
      </c>
      <c r="D875" s="0" t="inlineStr">
        <is>
          <t>Loss</t>
        </is>
      </c>
      <c r="E875" s="0" t="n">
        <v>-44</v>
      </c>
      <c r="F875" s="0" t="n">
        <v>25</v>
      </c>
      <c r="G875" s="0" t="n">
        <v>24.25461231108546</v>
      </c>
      <c r="H875" s="0" t="n">
        <v>8.26386117414877</v>
      </c>
      <c r="I875" s="0" t="n">
        <v>850</v>
      </c>
      <c r="J875" s="0" t="n">
        <v>806</v>
      </c>
      <c r="K875" s="0" t="n">
        <v>8.333333333333334</v>
      </c>
    </row>
    <row r="876">
      <c r="A876" s="0" t="n">
        <v>96</v>
      </c>
      <c r="B876" s="0" t="inlineStr">
        <is>
          <t>Brownkow</t>
        </is>
      </c>
      <c r="C876" s="0" t="inlineStr">
        <is>
          <t>Mafia</t>
        </is>
      </c>
      <c r="D876" s="0" t="inlineStr">
        <is>
          <t>Loss</t>
        </is>
      </c>
      <c r="E876" s="0" t="n">
        <v>-27</v>
      </c>
      <c r="F876" s="0" t="n">
        <v>30.1319408169054</v>
      </c>
      <c r="G876" s="0" t="n">
        <v>29.68361147424426</v>
      </c>
      <c r="H876" s="0" t="n">
        <v>6.430715922987074</v>
      </c>
      <c r="I876" s="0" t="n">
        <v>1390</v>
      </c>
      <c r="J876" s="0" t="n">
        <v>1363</v>
      </c>
      <c r="K876" s="0" t="n">
        <v>6.462573694414668</v>
      </c>
    </row>
    <row r="877">
      <c r="A877" s="0" t="n">
        <v>96</v>
      </c>
      <c r="B877" s="0" t="inlineStr">
        <is>
          <t>Whyin</t>
        </is>
      </c>
      <c r="C877" s="0" t="inlineStr">
        <is>
          <t>Town</t>
        </is>
      </c>
      <c r="D877" s="0" t="inlineStr">
        <is>
          <t>Win</t>
        </is>
      </c>
      <c r="E877" s="0" t="n">
        <v>41</v>
      </c>
      <c r="F877" s="0" t="n">
        <v>27.39843179096646</v>
      </c>
      <c r="G877" s="0" t="n">
        <v>27.94451490736061</v>
      </c>
      <c r="H877" s="0" t="n">
        <v>7.089373529271273</v>
      </c>
      <c r="I877" s="0" t="n">
        <v>1136</v>
      </c>
      <c r="J877" s="0" t="n">
        <v>1177</v>
      </c>
      <c r="K877" s="0" t="n">
        <v>7.132562866571449</v>
      </c>
    </row>
    <row r="878">
      <c r="A878" s="0" t="n">
        <v>96</v>
      </c>
      <c r="B878" s="0" t="inlineStr">
        <is>
          <t>Rollo</t>
        </is>
      </c>
      <c r="C878" s="0" t="inlineStr">
        <is>
          <t>Town</t>
        </is>
      </c>
      <c r="D878" s="0" t="inlineStr">
        <is>
          <t>Win</t>
        </is>
      </c>
      <c r="E878" s="0" t="n">
        <v>43</v>
      </c>
      <c r="F878" s="0" t="n">
        <v>30.00678374614522</v>
      </c>
      <c r="G878" s="0" t="n">
        <v>30.56748649262083</v>
      </c>
      <c r="H878" s="0" t="n">
        <v>7.182449972378843</v>
      </c>
      <c r="I878" s="0" t="n">
        <v>1303</v>
      </c>
      <c r="J878" s="0" t="n">
        <v>1346</v>
      </c>
      <c r="K878" s="0" t="n">
        <v>7.227426573136049</v>
      </c>
    </row>
    <row r="879">
      <c r="A879" s="0" t="n">
        <v>96</v>
      </c>
      <c r="B879" s="0" t="inlineStr">
        <is>
          <t>Chester</t>
        </is>
      </c>
      <c r="C879" s="0" t="inlineStr">
        <is>
          <t>Town</t>
        </is>
      </c>
      <c r="D879" s="0" t="inlineStr">
        <is>
          <t>Win</t>
        </is>
      </c>
      <c r="E879" s="0" t="n">
        <v>54</v>
      </c>
      <c r="F879" s="0" t="n">
        <v>25.93031472364786</v>
      </c>
      <c r="G879" s="0" t="n">
        <v>26.62393513857858</v>
      </c>
      <c r="H879" s="0" t="n">
        <v>7.976447728094148</v>
      </c>
      <c r="I879" s="0" t="n">
        <v>943</v>
      </c>
      <c r="J879" s="0" t="n">
        <v>997</v>
      </c>
      <c r="K879" s="0" t="n">
        <v>8.038707859731838</v>
      </c>
    </row>
    <row r="880">
      <c r="A880" s="0" t="n">
        <v>96</v>
      </c>
      <c r="B880" s="0" t="inlineStr">
        <is>
          <t>Rocker</t>
        </is>
      </c>
      <c r="C880" s="0" t="inlineStr">
        <is>
          <t>Town</t>
        </is>
      </c>
      <c r="D880" s="0" t="inlineStr">
        <is>
          <t>Win</t>
        </is>
      </c>
      <c r="E880" s="0" t="n">
        <v>34</v>
      </c>
      <c r="F880" s="0" t="n">
        <v>32.05197653059111</v>
      </c>
      <c r="G880" s="0" t="n">
        <v>32.50547404568002</v>
      </c>
      <c r="H880" s="0" t="n">
        <v>6.467295859611522</v>
      </c>
      <c r="I880" s="0" t="n">
        <v>1517</v>
      </c>
      <c r="J880" s="0" t="n">
        <v>1551</v>
      </c>
      <c r="K880" s="0" t="n">
        <v>6.49972489045255</v>
      </c>
    </row>
    <row r="881">
      <c r="A881" s="0" t="n">
        <v>96</v>
      </c>
      <c r="B881" s="0" t="inlineStr">
        <is>
          <t>Laur</t>
        </is>
      </c>
      <c r="C881" s="0" t="inlineStr">
        <is>
          <t>Town</t>
        </is>
      </c>
      <c r="D881" s="0" t="inlineStr">
        <is>
          <t>Win</t>
        </is>
      </c>
      <c r="E881" s="0" t="n">
        <v>44</v>
      </c>
      <c r="F881" s="0" t="n">
        <v>31.71717039892775</v>
      </c>
      <c r="G881" s="0" t="n">
        <v>32.28965195453168</v>
      </c>
      <c r="H881" s="0" t="n">
        <v>7.256527011414732</v>
      </c>
      <c r="I881" s="0" t="n">
        <v>1412</v>
      </c>
      <c r="J881" s="0" t="n">
        <v>1456</v>
      </c>
      <c r="K881" s="0" t="n">
        <v>7.302960493692392</v>
      </c>
    </row>
    <row r="882">
      <c r="A882" s="0" t="n">
        <v>96</v>
      </c>
      <c r="B882" s="0" t="inlineStr">
        <is>
          <t>Mintt</t>
        </is>
      </c>
      <c r="C882" s="0" t="inlineStr">
        <is>
          <t>Town</t>
        </is>
      </c>
      <c r="D882" s="0" t="inlineStr">
        <is>
          <t>Win</t>
        </is>
      </c>
      <c r="E882" s="0" t="n">
        <v>43</v>
      </c>
      <c r="F882" s="0" t="n">
        <v>24.57031243459845</v>
      </c>
      <c r="G882" s="0" t="n">
        <v>25.12856792807168</v>
      </c>
      <c r="H882" s="0" t="n">
        <v>7.166958027591186</v>
      </c>
      <c r="I882" s="0" t="n">
        <v>935</v>
      </c>
      <c r="J882" s="0" t="n">
        <v>978</v>
      </c>
      <c r="K882" s="0" t="n">
        <v>7.211633823035164</v>
      </c>
    </row>
    <row r="883">
      <c r="A883" s="0" t="n">
        <v>96</v>
      </c>
      <c r="B883" s="0" t="inlineStr">
        <is>
          <t>Creatchee</t>
        </is>
      </c>
      <c r="C883" s="0" t="inlineStr">
        <is>
          <t>Town</t>
        </is>
      </c>
      <c r="D883" s="0" t="inlineStr">
        <is>
          <t>Win</t>
        </is>
      </c>
      <c r="E883" s="0" t="n">
        <v>39</v>
      </c>
      <c r="F883" s="0" t="n">
        <v>34.71600806568296</v>
      </c>
      <c r="G883" s="0" t="n">
        <v>35.23629929426358</v>
      </c>
      <c r="H883" s="0" t="n">
        <v>6.921959956132942</v>
      </c>
      <c r="I883" s="0" t="n">
        <v>1651</v>
      </c>
      <c r="J883" s="0" t="n">
        <v>1690</v>
      </c>
      <c r="K883" s="0" t="n">
        <v>6.962053715880807</v>
      </c>
    </row>
    <row r="884">
      <c r="A884" s="0" t="n">
        <v>96</v>
      </c>
      <c r="B884" s="0" t="inlineStr">
        <is>
          <t>Streety</t>
        </is>
      </c>
      <c r="C884" s="0" t="inlineStr">
        <is>
          <t>Town</t>
        </is>
      </c>
      <c r="D884" s="0" t="inlineStr">
        <is>
          <t>Win</t>
        </is>
      </c>
      <c r="E884" s="0" t="n">
        <v>46</v>
      </c>
      <c r="F884" s="0" t="n">
        <v>22.50585685962458</v>
      </c>
      <c r="G884" s="0" t="n">
        <v>23.11720720395246</v>
      </c>
      <c r="H884" s="0" t="n">
        <v>7.495506387133188</v>
      </c>
      <c r="I884" s="0" t="n">
        <v>761</v>
      </c>
      <c r="J884" s="0" t="n">
        <v>807</v>
      </c>
      <c r="K884" s="0" t="n">
        <v>7.546852655958534</v>
      </c>
    </row>
    <row r="885">
      <c r="A885" s="0" t="n">
        <v>96</v>
      </c>
      <c r="B885" s="0" t="inlineStr">
        <is>
          <t>Maz</t>
        </is>
      </c>
      <c r="C885" s="0" t="inlineStr">
        <is>
          <t>Town</t>
        </is>
      </c>
      <c r="D885" s="0" t="inlineStr">
        <is>
          <t>Win</t>
        </is>
      </c>
      <c r="E885" s="0" t="n">
        <v>56</v>
      </c>
      <c r="F885" s="0" t="n">
        <v>25.09300502857122</v>
      </c>
      <c r="G885" s="0" t="n">
        <v>25.81070754188336</v>
      </c>
      <c r="H885" s="0" t="n">
        <v>8.111505212855924</v>
      </c>
      <c r="I885" s="0" t="n">
        <v>872</v>
      </c>
      <c r="J885" s="0" t="n">
        <v>928</v>
      </c>
      <c r="K885" s="0" t="n">
        <v>8.177088037176482</v>
      </c>
    </row>
    <row r="886">
      <c r="A886" s="0" t="n">
        <v>96</v>
      </c>
      <c r="B886" s="0" t="inlineStr">
        <is>
          <t>Motr</t>
        </is>
      </c>
      <c r="C886" s="0" t="inlineStr">
        <is>
          <t>Town</t>
        </is>
      </c>
      <c r="D886" s="0" t="inlineStr">
        <is>
          <t>Win</t>
        </is>
      </c>
      <c r="E886" s="0" t="n">
        <v>54</v>
      </c>
      <c r="F886" s="0" t="n">
        <v>28.37471979490378</v>
      </c>
      <c r="G886" s="0" t="n">
        <v>29.07807387082233</v>
      </c>
      <c r="H886" s="0" t="n">
        <v>8.031327828802137</v>
      </c>
      <c r="I886" s="0" t="n">
        <v>1104</v>
      </c>
      <c r="J886" s="0" t="n">
        <v>1158</v>
      </c>
      <c r="K886" s="0" t="n">
        <v>8.094924112922707</v>
      </c>
    </row>
    <row r="887">
      <c r="A887" s="0" t="n">
        <v>95</v>
      </c>
      <c r="B887" s="0" t="inlineStr">
        <is>
          <t>Doublea</t>
        </is>
      </c>
      <c r="C887" s="0" t="inlineStr">
        <is>
          <t>Mafia</t>
        </is>
      </c>
      <c r="D887" s="0" t="inlineStr">
        <is>
          <t>Loss</t>
        </is>
      </c>
      <c r="E887" s="0" t="n">
        <v>-60</v>
      </c>
      <c r="F887" s="0" t="n">
        <v>24.21802428888375</v>
      </c>
      <c r="G887" s="0" t="n">
        <v>23.23982972436595</v>
      </c>
      <c r="H887" s="0" t="n">
        <v>7.375170682162674</v>
      </c>
      <c r="I887" s="0" t="n">
        <v>888</v>
      </c>
      <c r="J887" s="0" t="n">
        <v>828</v>
      </c>
      <c r="K887" s="0" t="n">
        <v>7.437870438151617</v>
      </c>
    </row>
    <row r="888">
      <c r="A888" s="0" t="n">
        <v>95</v>
      </c>
      <c r="B888" s="0" t="inlineStr">
        <is>
          <t>Machop</t>
        </is>
      </c>
      <c r="C888" s="0" t="inlineStr">
        <is>
          <t>Mafia</t>
        </is>
      </c>
      <c r="D888" s="0" t="inlineStr">
        <is>
          <t>Loss</t>
        </is>
      </c>
      <c r="E888" s="0" t="n">
        <v>-49</v>
      </c>
      <c r="F888" s="0" t="n">
        <v>23.87915979455896</v>
      </c>
      <c r="G888" s="0" t="n">
        <v>23.084923523839</v>
      </c>
      <c r="H888" s="0" t="n">
        <v>6.656377882917307</v>
      </c>
      <c r="I888" s="0" t="n">
        <v>940</v>
      </c>
      <c r="J888" s="0" t="n">
        <v>891</v>
      </c>
      <c r="K888" s="0" t="n">
        <v>6.701958789542501</v>
      </c>
    </row>
    <row r="889">
      <c r="A889" s="0" t="n">
        <v>95</v>
      </c>
      <c r="B889" s="0" t="inlineStr">
        <is>
          <t>Josh</t>
        </is>
      </c>
      <c r="C889" s="0" t="inlineStr">
        <is>
          <t>Mafia</t>
        </is>
      </c>
      <c r="D889" s="0" t="inlineStr">
        <is>
          <t>Loss</t>
        </is>
      </c>
      <c r="E889" s="0" t="n">
        <v>-62</v>
      </c>
      <c r="F889" s="0" t="n">
        <v>29.99257510595868</v>
      </c>
      <c r="G889" s="0" t="n">
        <v>28.98212716334476</v>
      </c>
      <c r="H889" s="0" t="n">
        <v>7.493639861563507</v>
      </c>
      <c r="I889" s="0" t="n">
        <v>1268</v>
      </c>
      <c r="J889" s="0" t="n">
        <v>1206</v>
      </c>
      <c r="K889" s="0" t="n">
        <v>7.55951984149978</v>
      </c>
    </row>
    <row r="890">
      <c r="A890" s="0" t="n">
        <v>95</v>
      </c>
      <c r="B890" s="0" t="inlineStr">
        <is>
          <t>Brownkow</t>
        </is>
      </c>
      <c r="C890" s="0" t="inlineStr">
        <is>
          <t>Town</t>
        </is>
      </c>
      <c r="D890" s="0" t="inlineStr">
        <is>
          <t>Win</t>
        </is>
      </c>
      <c r="E890" s="0" t="n">
        <v>55</v>
      </c>
      <c r="F890" s="0" t="n">
        <v>29.38388811227028</v>
      </c>
      <c r="G890" s="0" t="n">
        <v>30.1319408169054</v>
      </c>
      <c r="H890" s="0" t="n">
        <v>6.462573694414668</v>
      </c>
      <c r="I890" s="0" t="n">
        <v>1335</v>
      </c>
      <c r="J890" s="0" t="n">
        <v>1390</v>
      </c>
      <c r="K890" s="0" t="n">
        <v>6.504141918512901</v>
      </c>
    </row>
    <row r="891">
      <c r="A891" s="0" t="n">
        <v>95</v>
      </c>
      <c r="B891" s="0" t="inlineStr">
        <is>
          <t>Creatchee</t>
        </is>
      </c>
      <c r="C891" s="0" t="inlineStr">
        <is>
          <t>Town</t>
        </is>
      </c>
      <c r="D891" s="0" t="inlineStr">
        <is>
          <t>Win</t>
        </is>
      </c>
      <c r="E891" s="0" t="n">
        <v>65</v>
      </c>
      <c r="F891" s="0" t="n">
        <v>33.84599113913697</v>
      </c>
      <c r="G891" s="0" t="n">
        <v>34.71600806568296</v>
      </c>
      <c r="H891" s="0" t="n">
        <v>6.962053715880807</v>
      </c>
      <c r="I891" s="0" t="n">
        <v>1586</v>
      </c>
      <c r="J891" s="0" t="n">
        <v>1651</v>
      </c>
      <c r="K891" s="0" t="n">
        <v>7.014471529595502</v>
      </c>
    </row>
    <row r="892">
      <c r="A892" s="0" t="n">
        <v>95</v>
      </c>
      <c r="B892" s="0" t="inlineStr">
        <is>
          <t>Heckmuffins</t>
        </is>
      </c>
      <c r="C892" s="0" t="inlineStr">
        <is>
          <t>Town</t>
        </is>
      </c>
      <c r="D892" s="0" t="inlineStr">
        <is>
          <t>Win</t>
        </is>
      </c>
      <c r="E892" s="0" t="n">
        <v>88</v>
      </c>
      <c r="F892" s="0" t="n">
        <v>26.11964656916496</v>
      </c>
      <c r="G892" s="0" t="n">
        <v>27.29102126660322</v>
      </c>
      <c r="H892" s="0" t="n">
        <v>8.056862970084163</v>
      </c>
      <c r="I892" s="0" t="n">
        <v>946</v>
      </c>
      <c r="J892" s="0" t="n">
        <v>1034</v>
      </c>
      <c r="K892" s="0" t="n">
        <v>8.139362274681874</v>
      </c>
    </row>
    <row r="893">
      <c r="A893" s="0" t="n">
        <v>95</v>
      </c>
      <c r="B893" s="0" t="inlineStr">
        <is>
          <t>Rocker</t>
        </is>
      </c>
      <c r="C893" s="0" t="inlineStr">
        <is>
          <t>Town</t>
        </is>
      </c>
      <c r="D893" s="0" t="inlineStr">
        <is>
          <t>Win</t>
        </is>
      </c>
      <c r="E893" s="0" t="n">
        <v>56</v>
      </c>
      <c r="F893" s="0" t="n">
        <v>31.29518223849798</v>
      </c>
      <c r="G893" s="0" t="n">
        <v>32.05197653059111</v>
      </c>
      <c r="H893" s="0" t="n">
        <v>6.49972489045255</v>
      </c>
      <c r="I893" s="0" t="n">
        <v>1461</v>
      </c>
      <c r="J893" s="0" t="n">
        <v>1517</v>
      </c>
      <c r="K893" s="0" t="n">
        <v>6.542043491070408</v>
      </c>
    </row>
    <row r="894">
      <c r="A894" s="0" t="n">
        <v>95</v>
      </c>
      <c r="B894" s="0" t="inlineStr">
        <is>
          <t>Kwix</t>
        </is>
      </c>
      <c r="C894" s="0" t="inlineStr">
        <is>
          <t>Town</t>
        </is>
      </c>
      <c r="D894" s="0" t="inlineStr">
        <is>
          <t>Win</t>
        </is>
      </c>
      <c r="E894" s="0" t="n">
        <v>69</v>
      </c>
      <c r="F894" s="0" t="n">
        <v>23.55379970635489</v>
      </c>
      <c r="G894" s="0" t="n">
        <v>24.48433350399834</v>
      </c>
      <c r="H894" s="0" t="n">
        <v>7.196280027770202</v>
      </c>
      <c r="I894" s="0" t="n">
        <v>862</v>
      </c>
      <c r="J894" s="0" t="n">
        <v>931</v>
      </c>
      <c r="K894" s="0" t="n">
        <v>7.25437583506515</v>
      </c>
    </row>
    <row r="895">
      <c r="A895" s="0" t="n">
        <v>95</v>
      </c>
      <c r="B895" s="0" t="inlineStr">
        <is>
          <t>Xcync</t>
        </is>
      </c>
      <c r="C895" s="0" t="inlineStr">
        <is>
          <t>Town</t>
        </is>
      </c>
      <c r="D895" s="0" t="inlineStr">
        <is>
          <t>Win</t>
        </is>
      </c>
      <c r="E895" s="0" t="n">
        <v>78</v>
      </c>
      <c r="F895" s="0" t="n">
        <v>28.23550785562756</v>
      </c>
      <c r="G895" s="0" t="n">
        <v>29.28145589059045</v>
      </c>
      <c r="H895" s="0" t="n">
        <v>7.621751204019227</v>
      </c>
      <c r="I895" s="0" t="n">
        <v>1136</v>
      </c>
      <c r="J895" s="0" t="n">
        <v>1214</v>
      </c>
      <c r="K895" s="0" t="n">
        <v>7.69119076198373</v>
      </c>
    </row>
    <row r="896">
      <c r="A896" s="0" t="n">
        <v>95</v>
      </c>
      <c r="B896" s="0" t="inlineStr">
        <is>
          <t>Svaan</t>
        </is>
      </c>
      <c r="C896" s="0" t="inlineStr">
        <is>
          <t>Town</t>
        </is>
      </c>
      <c r="D896" s="0" t="inlineStr">
        <is>
          <t>Win</t>
        </is>
      </c>
      <c r="E896" s="0" t="n">
        <v>80</v>
      </c>
      <c r="F896" s="0" t="n">
        <v>24.14846649253397</v>
      </c>
      <c r="G896" s="0" t="n">
        <v>25.21232986645595</v>
      </c>
      <c r="H896" s="0" t="n">
        <v>7.685531564969657</v>
      </c>
      <c r="I896" s="0" t="n">
        <v>851</v>
      </c>
      <c r="J896" s="0" t="n">
        <v>931</v>
      </c>
      <c r="K896" s="0" t="n">
        <v>7.756790749583382</v>
      </c>
    </row>
    <row r="897">
      <c r="A897" s="0" t="n">
        <v>95</v>
      </c>
      <c r="B897" s="0" t="inlineStr">
        <is>
          <t>Gilbert</t>
        </is>
      </c>
      <c r="C897" s="0" t="inlineStr">
        <is>
          <t>Town</t>
        </is>
      </c>
      <c r="D897" s="0" t="inlineStr">
        <is>
          <t>Win</t>
        </is>
      </c>
      <c r="E897" s="0" t="n">
        <v>86</v>
      </c>
      <c r="F897" s="0" t="n">
        <v>24.53012351695997</v>
      </c>
      <c r="G897" s="0" t="n">
        <v>25.67254422813985</v>
      </c>
      <c r="H897" s="0" t="n">
        <v>7.958704392331494</v>
      </c>
      <c r="I897" s="0" t="n">
        <v>848</v>
      </c>
      <c r="J897" s="0" t="n">
        <v>934</v>
      </c>
      <c r="K897" s="0" t="n">
        <v>8.038123282773846</v>
      </c>
    </row>
    <row r="898">
      <c r="A898" s="0" t="n">
        <v>95</v>
      </c>
      <c r="B898" s="0" t="inlineStr">
        <is>
          <t>Badpants</t>
        </is>
      </c>
      <c r="C898" s="0" t="inlineStr">
        <is>
          <t>Town</t>
        </is>
      </c>
      <c r="D898" s="0" t="inlineStr">
        <is>
          <t>Win</t>
        </is>
      </c>
      <c r="E898" s="0" t="n">
        <v>62</v>
      </c>
      <c r="F898" s="0" t="n">
        <v>22.34668417902248</v>
      </c>
      <c r="G898" s="0" t="n">
        <v>23.18326624411792</v>
      </c>
      <c r="H898" s="0" t="n">
        <v>6.828976385105743</v>
      </c>
      <c r="I898" s="0" t="n">
        <v>818</v>
      </c>
      <c r="J898" s="0" t="n">
        <v>880</v>
      </c>
      <c r="K898" s="0" t="n">
        <v>6.878339642839737</v>
      </c>
    </row>
    <row r="899">
      <c r="A899" s="0" t="n">
        <v>95</v>
      </c>
      <c r="B899" s="0" t="inlineStr">
        <is>
          <t>Pinkee</t>
        </is>
      </c>
      <c r="C899" s="0" t="inlineStr">
        <is>
          <t>Town</t>
        </is>
      </c>
      <c r="D899" s="0" t="inlineStr">
        <is>
          <t>Win</t>
        </is>
      </c>
      <c r="E899" s="0" t="n">
        <v>89</v>
      </c>
      <c r="F899" s="0" t="n">
        <v>25.13167272867374</v>
      </c>
      <c r="G899" s="0" t="n">
        <v>26.31299137164727</v>
      </c>
      <c r="H899" s="0" t="n">
        <v>8.090276319104749</v>
      </c>
      <c r="I899" s="0" t="n">
        <v>875</v>
      </c>
      <c r="J899" s="0" t="n">
        <v>964</v>
      </c>
      <c r="K899" s="0" t="n">
        <v>8.173842485963227</v>
      </c>
    </row>
    <row r="900">
      <c r="A900" s="0" t="n">
        <v>94</v>
      </c>
      <c r="B900" s="0" t="inlineStr">
        <is>
          <t>Josh</t>
        </is>
      </c>
      <c r="C900" s="0" t="inlineStr">
        <is>
          <t>Mafia</t>
        </is>
      </c>
      <c r="D900" s="0" t="inlineStr">
        <is>
          <t>Win</t>
        </is>
      </c>
      <c r="E900" s="0" t="n">
        <v>40</v>
      </c>
      <c r="F900" s="0" t="n">
        <v>29.46966224631715</v>
      </c>
      <c r="G900" s="0" t="n">
        <v>29.99257510595868</v>
      </c>
      <c r="H900" s="0" t="n">
        <v>7.55951984149978</v>
      </c>
      <c r="I900" s="0" t="n">
        <v>1228</v>
      </c>
      <c r="J900" s="0" t="n">
        <v>1268</v>
      </c>
      <c r="K900" s="0" t="n">
        <v>7.606509750925988</v>
      </c>
    </row>
    <row r="901">
      <c r="A901" s="0" t="n">
        <v>94</v>
      </c>
      <c r="B901" s="0" t="inlineStr">
        <is>
          <t>Motr</t>
        </is>
      </c>
      <c r="C901" s="0" t="inlineStr">
        <is>
          <t>Mafia</t>
        </is>
      </c>
      <c r="D901" s="0" t="inlineStr">
        <is>
          <t>Win</t>
        </is>
      </c>
      <c r="E901" s="0" t="n">
        <v>47</v>
      </c>
      <c r="F901" s="0" t="n">
        <v>27.77398250867351</v>
      </c>
      <c r="G901" s="0" t="n">
        <v>28.37471979490378</v>
      </c>
      <c r="H901" s="0" t="n">
        <v>8.094924112922707</v>
      </c>
      <c r="I901" s="0" t="n">
        <v>1057</v>
      </c>
      <c r="J901" s="0" t="n">
        <v>1104</v>
      </c>
      <c r="K901" s="0" t="n">
        <v>8.153008991989491</v>
      </c>
    </row>
    <row r="902">
      <c r="A902" s="0" t="n">
        <v>94</v>
      </c>
      <c r="B902" s="0" t="inlineStr">
        <is>
          <t>Rollo</t>
        </is>
      </c>
      <c r="C902" s="0" t="inlineStr">
        <is>
          <t>Mafia</t>
        </is>
      </c>
      <c r="D902" s="0" t="inlineStr">
        <is>
          <t>Win</t>
        </is>
      </c>
      <c r="E902" s="0" t="n">
        <v>36</v>
      </c>
      <c r="F902" s="0" t="n">
        <v>29.52933022639052</v>
      </c>
      <c r="G902" s="0" t="n">
        <v>30.00678374614522</v>
      </c>
      <c r="H902" s="0" t="n">
        <v>7.227426573136049</v>
      </c>
      <c r="I902" s="0" t="n">
        <v>1267</v>
      </c>
      <c r="J902" s="0" t="n">
        <v>1303</v>
      </c>
      <c r="K902" s="0" t="n">
        <v>7.268298274416434</v>
      </c>
    </row>
    <row r="903">
      <c r="A903" s="0" t="n">
        <v>94</v>
      </c>
      <c r="B903" s="0" t="inlineStr">
        <is>
          <t>Streety</t>
        </is>
      </c>
      <c r="C903" s="0" t="inlineStr">
        <is>
          <t>Town</t>
        </is>
      </c>
      <c r="D903" s="0" t="inlineStr">
        <is>
          <t>Loss</t>
        </is>
      </c>
      <c r="E903" s="0" t="n">
        <v>-30</v>
      </c>
      <c r="F903" s="0" t="n">
        <v>23.02699639034428</v>
      </c>
      <c r="G903" s="0" t="n">
        <v>22.50585685962458</v>
      </c>
      <c r="H903" s="0" t="n">
        <v>7.546852655958534</v>
      </c>
      <c r="I903" s="0" t="n">
        <v>791</v>
      </c>
      <c r="J903" s="0" t="n">
        <v>761</v>
      </c>
      <c r="K903" s="0" t="n">
        <v>7.593598771373855</v>
      </c>
    </row>
    <row r="904">
      <c r="A904" s="0" t="n">
        <v>94</v>
      </c>
      <c r="B904" s="0" t="inlineStr">
        <is>
          <t>Iln</t>
        </is>
      </c>
      <c r="C904" s="0" t="inlineStr">
        <is>
          <t>Town</t>
        </is>
      </c>
      <c r="D904" s="0" t="inlineStr">
        <is>
          <t>Loss</t>
        </is>
      </c>
      <c r="E904" s="0" t="n">
        <v>-27</v>
      </c>
      <c r="F904" s="0" t="n">
        <v>23.31360144230931</v>
      </c>
      <c r="G904" s="0" t="n">
        <v>22.86651752434424</v>
      </c>
      <c r="H904" s="0" t="n">
        <v>6.996356134675376</v>
      </c>
      <c r="I904" s="0" t="n">
        <v>868</v>
      </c>
      <c r="J904" s="0" t="n">
        <v>841</v>
      </c>
      <c r="K904" s="0" t="n">
        <v>7.033296460255418</v>
      </c>
    </row>
    <row r="905">
      <c r="A905" s="0" t="n">
        <v>94</v>
      </c>
      <c r="B905" s="0" t="inlineStr">
        <is>
          <t>Lou</t>
        </is>
      </c>
      <c r="C905" s="0" t="inlineStr">
        <is>
          <t>Town</t>
        </is>
      </c>
      <c r="D905" s="0" t="inlineStr">
        <is>
          <t>Loss</t>
        </is>
      </c>
      <c r="E905" s="0" t="n">
        <v>-25</v>
      </c>
      <c r="F905" s="0" t="n">
        <v>27.01835154925314</v>
      </c>
      <c r="G905" s="0" t="n">
        <v>26.58687275025209</v>
      </c>
      <c r="H905" s="0" t="n">
        <v>6.874464856568919</v>
      </c>
      <c r="I905" s="0" t="n">
        <v>1132</v>
      </c>
      <c r="J905" s="0" t="n">
        <v>1107</v>
      </c>
      <c r="K905" s="0" t="n">
        <v>6.909435112244619</v>
      </c>
    </row>
    <row r="906">
      <c r="A906" s="0" t="n">
        <v>94</v>
      </c>
      <c r="B906" s="0" t="inlineStr">
        <is>
          <t>Cj</t>
        </is>
      </c>
      <c r="C906" s="0" t="inlineStr">
        <is>
          <t>Town</t>
        </is>
      </c>
      <c r="D906" s="0" t="inlineStr">
        <is>
          <t>Loss</t>
        </is>
      </c>
      <c r="E906" s="0" t="n">
        <v>-35</v>
      </c>
      <c r="F906" s="0" t="n">
        <v>25.70828990795422</v>
      </c>
      <c r="G906" s="0" t="n">
        <v>25.10435006008025</v>
      </c>
      <c r="H906" s="0" t="n">
        <v>8.116157762805351</v>
      </c>
      <c r="I906" s="0" t="n">
        <v>914</v>
      </c>
      <c r="J906" s="0" t="n">
        <v>879</v>
      </c>
      <c r="K906" s="0" t="n">
        <v>8.174715422940247</v>
      </c>
    </row>
    <row r="907">
      <c r="A907" s="0" t="n">
        <v>94</v>
      </c>
      <c r="B907" s="0" t="inlineStr">
        <is>
          <t>Brownkow</t>
        </is>
      </c>
      <c r="C907" s="0" t="inlineStr">
        <is>
          <t>Town</t>
        </is>
      </c>
      <c r="D907" s="0" t="inlineStr">
        <is>
          <t>Loss</t>
        </is>
      </c>
      <c r="E907" s="0" t="n">
        <v>-23</v>
      </c>
      <c r="F907" s="0" t="n">
        <v>29.76970698020206</v>
      </c>
      <c r="G907" s="0" t="n">
        <v>29.38388811227028</v>
      </c>
      <c r="H907" s="0" t="n">
        <v>6.504141918512901</v>
      </c>
      <c r="I907" s="0" t="n">
        <v>1358</v>
      </c>
      <c r="J907" s="0" t="n">
        <v>1335</v>
      </c>
      <c r="K907" s="0" t="n">
        <v>6.533549115161985</v>
      </c>
    </row>
    <row r="908">
      <c r="A908" s="0" t="n">
        <v>94</v>
      </c>
      <c r="B908" s="0" t="inlineStr">
        <is>
          <t>Laur</t>
        </is>
      </c>
      <c r="C908" s="0" t="inlineStr">
        <is>
          <t>Town</t>
        </is>
      </c>
      <c r="D908" s="0" t="inlineStr">
        <is>
          <t>Loss</t>
        </is>
      </c>
      <c r="E908" s="0" t="n">
        <v>-29</v>
      </c>
      <c r="F908" s="0" t="n">
        <v>32.20477538485332</v>
      </c>
      <c r="G908" s="0" t="n">
        <v>31.71717039892775</v>
      </c>
      <c r="H908" s="0" t="n">
        <v>7.302960493692392</v>
      </c>
      <c r="I908" s="0" t="n">
        <v>1441</v>
      </c>
      <c r="J908" s="0" t="n">
        <v>1412</v>
      </c>
      <c r="K908" s="0" t="n">
        <v>7.345174476963358</v>
      </c>
    </row>
    <row r="909">
      <c r="A909" s="0" t="n">
        <v>94</v>
      </c>
      <c r="B909" s="0" t="inlineStr">
        <is>
          <t>Kden</t>
        </is>
      </c>
      <c r="C909" s="0" t="inlineStr">
        <is>
          <t>Town</t>
        </is>
      </c>
      <c r="D909" s="0" t="inlineStr">
        <is>
          <t>Loss</t>
        </is>
      </c>
      <c r="E909" s="0" t="n">
        <v>-29</v>
      </c>
      <c r="F909" s="0" t="n">
        <v>27.95535705399933</v>
      </c>
      <c r="G909" s="0" t="n">
        <v>27.47662354430103</v>
      </c>
      <c r="H909" s="0" t="n">
        <v>7.236996091110833</v>
      </c>
      <c r="I909" s="0" t="n">
        <v>1159</v>
      </c>
      <c r="J909" s="0" t="n">
        <v>1130</v>
      </c>
      <c r="K909" s="0" t="n">
        <v>7.278036269946239</v>
      </c>
    </row>
    <row r="910">
      <c r="A910" s="0" t="n">
        <v>94</v>
      </c>
      <c r="B910" s="0" t="inlineStr">
        <is>
          <t>Noah</t>
        </is>
      </c>
      <c r="C910" s="0" t="inlineStr">
        <is>
          <t>Town</t>
        </is>
      </c>
      <c r="D910" s="0" t="inlineStr">
        <is>
          <t>Loss</t>
        </is>
      </c>
      <c r="E910" s="0" t="n">
        <v>-26</v>
      </c>
      <c r="F910" s="0" t="n">
        <v>28.22750376319461</v>
      </c>
      <c r="G910" s="0" t="n">
        <v>27.78653757181051</v>
      </c>
      <c r="H910" s="0" t="n">
        <v>6.948836538602965</v>
      </c>
      <c r="I910" s="0" t="n">
        <v>1207</v>
      </c>
      <c r="J910" s="0" t="n">
        <v>1181</v>
      </c>
      <c r="K910" s="0" t="n">
        <v>6.985000434522272</v>
      </c>
    </row>
    <row r="911">
      <c r="A911" s="0" t="n">
        <v>94</v>
      </c>
      <c r="B911" s="0" t="inlineStr">
        <is>
          <t>Gilbert</t>
        </is>
      </c>
      <c r="C911" s="0" t="inlineStr">
        <is>
          <t>Town</t>
        </is>
      </c>
      <c r="D911" s="0" t="inlineStr">
        <is>
          <t>Loss</t>
        </is>
      </c>
      <c r="E911" s="0" t="n">
        <v>-35</v>
      </c>
      <c r="F911" s="0" t="n">
        <v>25.12233752346796</v>
      </c>
      <c r="G911" s="0" t="n">
        <v>24.53012351695997</v>
      </c>
      <c r="H911" s="0" t="n">
        <v>8.038123282773846</v>
      </c>
      <c r="I911" s="0" t="n">
        <v>883</v>
      </c>
      <c r="J911" s="0" t="n">
        <v>848</v>
      </c>
      <c r="K911" s="0" t="n">
        <v>8.094956034343999</v>
      </c>
    </row>
    <row r="912">
      <c r="A912" s="0" t="n">
        <v>94</v>
      </c>
      <c r="B912" s="0" t="inlineStr">
        <is>
          <t>Mintt</t>
        </is>
      </c>
      <c r="C912" s="0" t="inlineStr">
        <is>
          <t>Town</t>
        </is>
      </c>
      <c r="D912" s="0" t="inlineStr">
        <is>
          <t>Loss</t>
        </is>
      </c>
      <c r="E912" s="0" t="n">
        <v>-28</v>
      </c>
      <c r="F912" s="0" t="n">
        <v>25.04565744212382</v>
      </c>
      <c r="G912" s="0" t="n">
        <v>24.57031243459845</v>
      </c>
      <c r="H912" s="0" t="n">
        <v>7.211633823035164</v>
      </c>
      <c r="I912" s="0" t="n">
        <v>963</v>
      </c>
      <c r="J912" s="0" t="n">
        <v>935</v>
      </c>
      <c r="K912" s="0" t="n">
        <v>7.252228479375225</v>
      </c>
    </row>
    <row r="913">
      <c r="A913" s="0" t="n">
        <v>93</v>
      </c>
      <c r="B913" s="0" t="inlineStr">
        <is>
          <t>Sam</t>
        </is>
      </c>
      <c r="C913" s="0" t="inlineStr">
        <is>
          <t>Mafia</t>
        </is>
      </c>
      <c r="D913" s="0" t="inlineStr">
        <is>
          <t>Loss</t>
        </is>
      </c>
      <c r="E913" s="0" t="n">
        <v>-81</v>
      </c>
      <c r="F913" s="0" t="n">
        <v>27.02708835477818</v>
      </c>
      <c r="G913" s="0" t="n">
        <v>25.71348776282876</v>
      </c>
      <c r="H913" s="0" t="n">
        <v>7.672830308979782</v>
      </c>
      <c r="I913" s="0" t="n">
        <v>1047</v>
      </c>
      <c r="J913" s="0" t="n">
        <v>966</v>
      </c>
      <c r="K913" s="0" t="n">
        <v>7.748637017784283</v>
      </c>
    </row>
    <row r="914">
      <c r="A914" s="0" t="n">
        <v>93</v>
      </c>
      <c r="B914" s="0" t="inlineStr">
        <is>
          <t>Doublea</t>
        </is>
      </c>
      <c r="C914" s="0" t="inlineStr">
        <is>
          <t>Mafia</t>
        </is>
      </c>
      <c r="D914" s="0" t="inlineStr">
        <is>
          <t>Loss</t>
        </is>
      </c>
      <c r="E914" s="0" t="n">
        <v>-77</v>
      </c>
      <c r="F914" s="0" t="n">
        <v>25.45088812692616</v>
      </c>
      <c r="G914" s="0" t="n">
        <v>24.21802428888375</v>
      </c>
      <c r="H914" s="0" t="n">
        <v>7.437870438151617</v>
      </c>
      <c r="I914" s="0" t="n">
        <v>965</v>
      </c>
      <c r="J914" s="0" t="n">
        <v>888</v>
      </c>
      <c r="K914" s="0" t="n">
        <v>7.506696162229181</v>
      </c>
    </row>
    <row r="915">
      <c r="A915" s="0" t="n">
        <v>93</v>
      </c>
      <c r="B915" s="0" t="inlineStr">
        <is>
          <t>Carson</t>
        </is>
      </c>
      <c r="C915" s="0" t="inlineStr">
        <is>
          <t>Mafia</t>
        </is>
      </c>
      <c r="D915" s="0" t="inlineStr">
        <is>
          <t>Loss</t>
        </is>
      </c>
      <c r="E915" s="0" t="n">
        <v>-68</v>
      </c>
      <c r="F915" s="0" t="n">
        <v>27.58678786125314</v>
      </c>
      <c r="G915" s="0" t="n">
        <v>26.50123458284085</v>
      </c>
      <c r="H915" s="0" t="n">
        <v>6.987199943652878</v>
      </c>
      <c r="I915" s="0" t="n">
        <v>1157</v>
      </c>
      <c r="J915" s="0" t="n">
        <v>1089</v>
      </c>
      <c r="K915" s="0" t="n">
        <v>7.043874719830257</v>
      </c>
    </row>
    <row r="916">
      <c r="A916" s="0" t="n">
        <v>93</v>
      </c>
      <c r="B916" s="0" t="inlineStr">
        <is>
          <t>Noah</t>
        </is>
      </c>
      <c r="C916" s="0" t="inlineStr">
        <is>
          <t>Town</t>
        </is>
      </c>
      <c r="D916" s="0" t="inlineStr">
        <is>
          <t>Win</t>
        </is>
      </c>
      <c r="E916" s="0" t="n">
        <v>80</v>
      </c>
      <c r="F916" s="0" t="n">
        <v>27.14264527435824</v>
      </c>
      <c r="G916" s="0" t="n">
        <v>28.22750376319461</v>
      </c>
      <c r="H916" s="0" t="n">
        <v>6.985000434522272</v>
      </c>
      <c r="I916" s="0" t="n">
        <v>1127</v>
      </c>
      <c r="J916" s="0" t="n">
        <v>1207</v>
      </c>
      <c r="K916" s="0" t="n">
        <v>7.041619749554254</v>
      </c>
    </row>
    <row r="917">
      <c r="A917" s="0" t="n">
        <v>93</v>
      </c>
      <c r="B917" s="0" t="inlineStr">
        <is>
          <t>Cj</t>
        </is>
      </c>
      <c r="C917" s="0" t="inlineStr">
        <is>
          <t>Town</t>
        </is>
      </c>
      <c r="D917" s="0" t="inlineStr">
        <is>
          <t>Win</t>
        </is>
      </c>
      <c r="E917" s="0" t="n">
        <v>111</v>
      </c>
      <c r="F917" s="0" t="n">
        <v>24.21308203293042</v>
      </c>
      <c r="G917" s="0" t="n">
        <v>25.70828990795422</v>
      </c>
      <c r="H917" s="0" t="n">
        <v>8.174715422940247</v>
      </c>
      <c r="I917" s="0" t="n">
        <v>803</v>
      </c>
      <c r="J917" s="0" t="n">
        <v>914</v>
      </c>
      <c r="K917" s="0" t="n">
        <v>8.267016983256298</v>
      </c>
    </row>
    <row r="918">
      <c r="A918" s="0" t="n">
        <v>93</v>
      </c>
      <c r="B918" s="0" t="inlineStr">
        <is>
          <t>Snazz</t>
        </is>
      </c>
      <c r="C918" s="0" t="inlineStr">
        <is>
          <t>Town</t>
        </is>
      </c>
      <c r="D918" s="0" t="inlineStr">
        <is>
          <t>Win</t>
        </is>
      </c>
      <c r="E918" s="0" t="n">
        <v>101</v>
      </c>
      <c r="F918" s="0" t="n">
        <v>23.57335787421301</v>
      </c>
      <c r="G918" s="0" t="n">
        <v>24.9381979865534</v>
      </c>
      <c r="H918" s="0" t="n">
        <v>7.817990037533128</v>
      </c>
      <c r="I918" s="0" t="n">
        <v>797</v>
      </c>
      <c r="J918" s="0" t="n">
        <v>898</v>
      </c>
      <c r="K918" s="0" t="n">
        <v>7.89834129214718</v>
      </c>
    </row>
    <row r="919">
      <c r="A919" s="0" t="n">
        <v>93</v>
      </c>
      <c r="B919" s="0" t="inlineStr">
        <is>
          <t>Levi</t>
        </is>
      </c>
      <c r="C919" s="0" t="inlineStr">
        <is>
          <t>Town</t>
        </is>
      </c>
      <c r="D919" s="0" t="inlineStr">
        <is>
          <t>Win</t>
        </is>
      </c>
      <c r="E919" s="0" t="n">
        <v>109</v>
      </c>
      <c r="F919" s="0" t="n">
        <v>26.97979920391624</v>
      </c>
      <c r="G919" s="0" t="n">
        <v>28.45122154454261</v>
      </c>
      <c r="H919" s="0" t="n">
        <v>8.110908042945868</v>
      </c>
      <c r="I919" s="0" t="n">
        <v>998</v>
      </c>
      <c r="J919" s="0" t="n">
        <v>1107</v>
      </c>
      <c r="K919" s="0" t="n">
        <v>8.200988467302059</v>
      </c>
    </row>
    <row r="920">
      <c r="A920" s="0" t="n">
        <v>93</v>
      </c>
      <c r="B920" s="0" t="inlineStr">
        <is>
          <t>Josh</t>
        </is>
      </c>
      <c r="C920" s="0" t="inlineStr">
        <is>
          <t>Town</t>
        </is>
      </c>
      <c r="D920" s="0" t="inlineStr">
        <is>
          <t>Win</t>
        </is>
      </c>
      <c r="E920" s="0" t="n">
        <v>95</v>
      </c>
      <c r="F920" s="0" t="n">
        <v>28.17912567991895</v>
      </c>
      <c r="G920" s="0" t="n">
        <v>29.46966224631715</v>
      </c>
      <c r="H920" s="0" t="n">
        <v>7.606509750925988</v>
      </c>
      <c r="I920" s="0" t="n">
        <v>1133</v>
      </c>
      <c r="J920" s="0" t="n">
        <v>1228</v>
      </c>
      <c r="K920" s="0" t="n">
        <v>7.680299572157153</v>
      </c>
    </row>
    <row r="921">
      <c r="A921" s="0" t="n">
        <v>93</v>
      </c>
      <c r="B921" s="0" t="inlineStr">
        <is>
          <t>Rollo</t>
        </is>
      </c>
      <c r="C921" s="0" t="inlineStr">
        <is>
          <t>Town</t>
        </is>
      </c>
      <c r="D921" s="0" t="inlineStr">
        <is>
          <t>Win</t>
        </is>
      </c>
      <c r="E921" s="0" t="n">
        <v>87</v>
      </c>
      <c r="F921" s="0" t="n">
        <v>28.35305400407256</v>
      </c>
      <c r="G921" s="0" t="n">
        <v>29.52933022639052</v>
      </c>
      <c r="H921" s="0" t="n">
        <v>7.268298274416434</v>
      </c>
      <c r="I921" s="0" t="n">
        <v>1180</v>
      </c>
      <c r="J921" s="0" t="n">
        <v>1267</v>
      </c>
      <c r="K921" s="0" t="n">
        <v>7.332365174541048</v>
      </c>
    </row>
    <row r="922">
      <c r="A922" s="0" t="n">
        <v>93</v>
      </c>
      <c r="B922" s="0" t="inlineStr">
        <is>
          <t>Creatchee</t>
        </is>
      </c>
      <c r="C922" s="0" t="inlineStr">
        <is>
          <t>Town</t>
        </is>
      </c>
      <c r="D922" s="0" t="inlineStr">
        <is>
          <t>Win</t>
        </is>
      </c>
      <c r="E922" s="0" t="n">
        <v>80</v>
      </c>
      <c r="F922" s="0" t="n">
        <v>32.75180379026342</v>
      </c>
      <c r="G922" s="0" t="n">
        <v>33.84599113913697</v>
      </c>
      <c r="H922" s="0" t="n">
        <v>7.014471529595502</v>
      </c>
      <c r="I922" s="0" t="n">
        <v>1506</v>
      </c>
      <c r="J922" s="0" t="n">
        <v>1586</v>
      </c>
      <c r="K922" s="0" t="n">
        <v>7.071836990386176</v>
      </c>
    </row>
    <row r="923">
      <c r="A923" s="0" t="n">
        <v>93</v>
      </c>
      <c r="B923" s="0" t="inlineStr">
        <is>
          <t>Whyin</t>
        </is>
      </c>
      <c r="C923" s="0" t="inlineStr">
        <is>
          <t>Town</t>
        </is>
      </c>
      <c r="D923" s="0" t="inlineStr">
        <is>
          <t>Win</t>
        </is>
      </c>
      <c r="E923" s="0" t="n">
        <v>84</v>
      </c>
      <c r="F923" s="0" t="n">
        <v>26.26644194787109</v>
      </c>
      <c r="G923" s="0" t="n">
        <v>27.39843179096646</v>
      </c>
      <c r="H923" s="0" t="n">
        <v>7.132562866571449</v>
      </c>
      <c r="I923" s="0" t="n">
        <v>1052</v>
      </c>
      <c r="J923" s="0" t="n">
        <v>1136</v>
      </c>
      <c r="K923" s="0" t="n">
        <v>7.192984292132206</v>
      </c>
    </row>
    <row r="924">
      <c r="A924" s="0" t="n">
        <v>93</v>
      </c>
      <c r="B924" s="0" t="inlineStr">
        <is>
          <t>Plen</t>
        </is>
      </c>
      <c r="C924" s="0" t="inlineStr">
        <is>
          <t>Town</t>
        </is>
      </c>
      <c r="D924" s="0" t="inlineStr">
        <is>
          <t>Win</t>
        </is>
      </c>
      <c r="E924" s="0" t="n">
        <v>77</v>
      </c>
      <c r="F924" s="0" t="n">
        <v>18.18114064970485</v>
      </c>
      <c r="G924" s="0" t="n">
        <v>19.22330769301654</v>
      </c>
      <c r="H924" s="0" t="n">
        <v>6.848403783837133</v>
      </c>
      <c r="I924" s="0" t="n">
        <v>532</v>
      </c>
      <c r="J924" s="0" t="n">
        <v>609</v>
      </c>
      <c r="K924" s="0" t="n">
        <v>6.901649456224383</v>
      </c>
    </row>
    <row r="925">
      <c r="A925" s="0" t="n">
        <v>93</v>
      </c>
      <c r="B925" s="0" t="inlineStr">
        <is>
          <t>Motr</t>
        </is>
      </c>
      <c r="C925" s="0" t="inlineStr">
        <is>
          <t>Town</t>
        </is>
      </c>
      <c r="D925" s="0" t="inlineStr">
        <is>
          <t>Win</t>
        </is>
      </c>
      <c r="E925" s="0" t="n">
        <v>110</v>
      </c>
      <c r="F925" s="0" t="n">
        <v>26.28688906616513</v>
      </c>
      <c r="G925" s="0" t="n">
        <v>27.77398250867351</v>
      </c>
      <c r="H925" s="0" t="n">
        <v>8.153008991989491</v>
      </c>
      <c r="I925" s="0" t="n">
        <v>947</v>
      </c>
      <c r="J925" s="0" t="n">
        <v>1057</v>
      </c>
      <c r="K925" s="0" t="n">
        <v>8.244550791249385</v>
      </c>
    </row>
    <row r="926">
      <c r="A926" s="0" t="n">
        <v>92</v>
      </c>
      <c r="B926" s="0" t="inlineStr">
        <is>
          <t>Happymeal</t>
        </is>
      </c>
      <c r="C926" s="0" t="inlineStr">
        <is>
          <t>Mafia</t>
        </is>
      </c>
      <c r="D926" s="0" t="inlineStr">
        <is>
          <t>Loss</t>
        </is>
      </c>
      <c r="E926" s="0" t="n">
        <v>-39</v>
      </c>
      <c r="F926" s="0" t="n">
        <v>24.48583586265493</v>
      </c>
      <c r="G926" s="0" t="n">
        <v>23.83897953780988</v>
      </c>
      <c r="H926" s="0" t="n">
        <v>7.506116941503921</v>
      </c>
      <c r="I926" s="0" t="n">
        <v>894</v>
      </c>
      <c r="J926" s="0" t="n">
        <v>855</v>
      </c>
      <c r="K926" s="0" t="n">
        <v>7.555290491006285</v>
      </c>
    </row>
    <row r="927">
      <c r="A927" s="0" t="n">
        <v>92</v>
      </c>
      <c r="B927" s="0" t="inlineStr">
        <is>
          <t>Chipper</t>
        </is>
      </c>
      <c r="C927" s="0" t="inlineStr">
        <is>
          <t>Mafia</t>
        </is>
      </c>
      <c r="D927" s="0" t="inlineStr">
        <is>
          <t>Loss</t>
        </is>
      </c>
      <c r="E927" s="0" t="n">
        <v>-34</v>
      </c>
      <c r="F927" s="0" t="n">
        <v>20.50974896454152</v>
      </c>
      <c r="G927" s="0" t="n">
        <v>19.9542328930599</v>
      </c>
      <c r="H927" s="0" t="n">
        <v>6.962542340861225</v>
      </c>
      <c r="I927" s="0" t="n">
        <v>681</v>
      </c>
      <c r="J927" s="0" t="n">
        <v>647</v>
      </c>
      <c r="K927" s="0" t="n">
        <v>7.001471278356517</v>
      </c>
    </row>
    <row r="928">
      <c r="A928" s="0" t="n">
        <v>92</v>
      </c>
      <c r="B928" s="0" t="inlineStr">
        <is>
          <t>Cj</t>
        </is>
      </c>
      <c r="C928" s="0" t="inlineStr">
        <is>
          <t>Mafia</t>
        </is>
      </c>
      <c r="D928" s="0" t="inlineStr">
        <is>
          <t>Loss</t>
        </is>
      </c>
      <c r="E928" s="0" t="n">
        <v>-47</v>
      </c>
      <c r="F928" s="0" t="n">
        <v>25</v>
      </c>
      <c r="G928" s="0" t="n">
        <v>24.21308203293042</v>
      </c>
      <c r="H928" s="0" t="n">
        <v>8.267016983256298</v>
      </c>
      <c r="I928" s="0" t="n">
        <v>850</v>
      </c>
      <c r="J928" s="0" t="n">
        <v>803</v>
      </c>
      <c r="K928" s="0" t="n">
        <v>8.333333333333334</v>
      </c>
    </row>
    <row r="929">
      <c r="A929" s="0" t="n">
        <v>92</v>
      </c>
      <c r="B929" s="0" t="inlineStr">
        <is>
          <t>Laur</t>
        </is>
      </c>
      <c r="C929" s="0" t="inlineStr">
        <is>
          <t>Town</t>
        </is>
      </c>
      <c r="D929" s="0" t="inlineStr">
        <is>
          <t>Win</t>
        </is>
      </c>
      <c r="E929" s="0" t="n">
        <v>47</v>
      </c>
      <c r="F929" s="0" t="n">
        <v>31.58571523126801</v>
      </c>
      <c r="G929" s="0" t="n">
        <v>32.20477538485332</v>
      </c>
      <c r="H929" s="0" t="n">
        <v>7.345174476963358</v>
      </c>
      <c r="I929" s="0" t="n">
        <v>1394</v>
      </c>
      <c r="J929" s="0" t="n">
        <v>1441</v>
      </c>
      <c r="K929" s="0" t="n">
        <v>7.391149215170416</v>
      </c>
    </row>
    <row r="930">
      <c r="A930" s="0" t="n">
        <v>92</v>
      </c>
      <c r="B930" s="0" t="inlineStr">
        <is>
          <t>Creatchee</t>
        </is>
      </c>
      <c r="C930" s="0" t="inlineStr">
        <is>
          <t>Town</t>
        </is>
      </c>
      <c r="D930" s="0" t="inlineStr">
        <is>
          <t>Win</t>
        </is>
      </c>
      <c r="E930" s="0" t="n">
        <v>43</v>
      </c>
      <c r="F930" s="0" t="n">
        <v>32.1785007534233</v>
      </c>
      <c r="G930" s="0" t="n">
        <v>32.75180379026342</v>
      </c>
      <c r="H930" s="0" t="n">
        <v>7.071836990386176</v>
      </c>
      <c r="I930" s="0" t="n">
        <v>1463</v>
      </c>
      <c r="J930" s="0" t="n">
        <v>1506</v>
      </c>
      <c r="K930" s="0" t="n">
        <v>7.112700028069379</v>
      </c>
    </row>
    <row r="931">
      <c r="A931" s="0" t="n">
        <v>92</v>
      </c>
      <c r="B931" s="0" t="inlineStr">
        <is>
          <t>Plen</t>
        </is>
      </c>
      <c r="C931" s="0" t="inlineStr">
        <is>
          <t>Town</t>
        </is>
      </c>
      <c r="D931" s="0" t="inlineStr">
        <is>
          <t>Win</t>
        </is>
      </c>
      <c r="E931" s="0" t="n">
        <v>41</v>
      </c>
      <c r="F931" s="0" t="n">
        <v>17.63540869967976</v>
      </c>
      <c r="G931" s="0" t="n">
        <v>18.18114064970485</v>
      </c>
      <c r="H931" s="0" t="n">
        <v>6.901649456224383</v>
      </c>
      <c r="I931" s="0" t="n">
        <v>491</v>
      </c>
      <c r="J931" s="0" t="n">
        <v>532</v>
      </c>
      <c r="K931" s="0" t="n">
        <v>6.939527380473745</v>
      </c>
    </row>
    <row r="932">
      <c r="A932" s="0" t="n">
        <v>92</v>
      </c>
      <c r="B932" s="0" t="inlineStr">
        <is>
          <t>Brownkow</t>
        </is>
      </c>
      <c r="C932" s="0" t="inlineStr">
        <is>
          <t>Town</t>
        </is>
      </c>
      <c r="D932" s="0" t="inlineStr">
        <is>
          <t>Win</t>
        </is>
      </c>
      <c r="E932" s="0" t="n">
        <v>37</v>
      </c>
      <c r="F932" s="0" t="n">
        <v>29.28121064111488</v>
      </c>
      <c r="G932" s="0" t="n">
        <v>29.76970698020206</v>
      </c>
      <c r="H932" s="0" t="n">
        <v>6.533549115161985</v>
      </c>
      <c r="I932" s="0" t="n">
        <v>1321</v>
      </c>
      <c r="J932" s="0" t="n">
        <v>1358</v>
      </c>
      <c r="K932" s="0" t="n">
        <v>6.565466305244518</v>
      </c>
    </row>
    <row r="933">
      <c r="A933" s="0" t="n">
        <v>92</v>
      </c>
      <c r="B933" s="0" t="inlineStr">
        <is>
          <t>Doublea</t>
        </is>
      </c>
      <c r="C933" s="0" t="inlineStr">
        <is>
          <t>Town</t>
        </is>
      </c>
      <c r="D933" s="0" t="inlineStr">
        <is>
          <t>Win</t>
        </is>
      </c>
      <c r="E933" s="0" t="n">
        <v>49</v>
      </c>
      <c r="F933" s="0" t="n">
        <v>24.80393061871733</v>
      </c>
      <c r="G933" s="0" t="n">
        <v>25.45088812692616</v>
      </c>
      <c r="H933" s="0" t="n">
        <v>7.506696162229181</v>
      </c>
      <c r="I933" s="0" t="n">
        <v>916</v>
      </c>
      <c r="J933" s="0" t="n">
        <v>965</v>
      </c>
      <c r="K933" s="0" t="n">
        <v>7.555881482929385</v>
      </c>
    </row>
    <row r="934">
      <c r="A934" s="0" t="n">
        <v>92</v>
      </c>
      <c r="B934" s="0" t="inlineStr">
        <is>
          <t>Carson</t>
        </is>
      </c>
      <c r="C934" s="0" t="inlineStr">
        <is>
          <t>Town</t>
        </is>
      </c>
      <c r="D934" s="0" t="inlineStr">
        <is>
          <t>Win</t>
        </is>
      </c>
      <c r="E934" s="0" t="n">
        <v>42</v>
      </c>
      <c r="F934" s="0" t="n">
        <v>27.01806312506871</v>
      </c>
      <c r="G934" s="0" t="n">
        <v>27.58678786125314</v>
      </c>
      <c r="H934" s="0" t="n">
        <v>7.043874719830257</v>
      </c>
      <c r="I934" s="0" t="n">
        <v>1115</v>
      </c>
      <c r="J934" s="0" t="n">
        <v>1157</v>
      </c>
      <c r="K934" s="0" t="n">
        <v>7.084237056956497</v>
      </c>
    </row>
    <row r="935">
      <c r="A935" s="0" t="n">
        <v>92</v>
      </c>
      <c r="B935" s="0" t="inlineStr">
        <is>
          <t>Machop</t>
        </is>
      </c>
      <c r="C935" s="0" t="inlineStr">
        <is>
          <t>Town</t>
        </is>
      </c>
      <c r="D935" s="0" t="inlineStr">
        <is>
          <t>Win</t>
        </is>
      </c>
      <c r="E935" s="0" t="n">
        <v>38</v>
      </c>
      <c r="F935" s="0" t="n">
        <v>23.36488362083263</v>
      </c>
      <c r="G935" s="0" t="n">
        <v>23.87915979455896</v>
      </c>
      <c r="H935" s="0" t="n">
        <v>6.701958789542501</v>
      </c>
      <c r="I935" s="0" t="n">
        <v>902</v>
      </c>
      <c r="J935" s="0" t="n">
        <v>940</v>
      </c>
      <c r="K935" s="0" t="n">
        <v>6.736520681309736</v>
      </c>
    </row>
    <row r="936">
      <c r="A936" s="0" t="n">
        <v>92</v>
      </c>
      <c r="B936" s="0" t="inlineStr">
        <is>
          <t>Iln</t>
        </is>
      </c>
      <c r="C936" s="0" t="inlineStr">
        <is>
          <t>Town</t>
        </is>
      </c>
      <c r="D936" s="0" t="inlineStr">
        <is>
          <t>Win</t>
        </is>
      </c>
      <c r="E936" s="0" t="n">
        <v>43</v>
      </c>
      <c r="F936" s="0" t="n">
        <v>22.7466037434757</v>
      </c>
      <c r="G936" s="0" t="n">
        <v>23.31360144230931</v>
      </c>
      <c r="H936" s="0" t="n">
        <v>7.033296460255418</v>
      </c>
      <c r="I936" s="0" t="n">
        <v>825</v>
      </c>
      <c r="J936" s="0" t="n">
        <v>868</v>
      </c>
      <c r="K936" s="0" t="n">
        <v>7.073470437200878</v>
      </c>
    </row>
    <row r="937">
      <c r="A937" s="0" t="n">
        <v>92</v>
      </c>
      <c r="B937" s="0" t="inlineStr">
        <is>
          <t>Rick</t>
        </is>
      </c>
      <c r="C937" s="0" t="inlineStr">
        <is>
          <t>Town</t>
        </is>
      </c>
      <c r="D937" s="0" t="inlineStr">
        <is>
          <t>Win</t>
        </is>
      </c>
      <c r="E937" s="0" t="n">
        <v>53</v>
      </c>
      <c r="F937" s="0" t="n">
        <v>25.33988204783435</v>
      </c>
      <c r="G937" s="0" t="n">
        <v>26.02981728063352</v>
      </c>
      <c r="H937" s="0" t="n">
        <v>7.748592524278615</v>
      </c>
      <c r="I937" s="0" t="n">
        <v>927</v>
      </c>
      <c r="J937" s="0" t="n">
        <v>980</v>
      </c>
      <c r="K937" s="0" t="n">
        <v>7.802859546582205</v>
      </c>
    </row>
    <row r="938">
      <c r="A938" s="0" t="n">
        <v>92</v>
      </c>
      <c r="B938" s="0" t="inlineStr">
        <is>
          <t>Kwix</t>
        </is>
      </c>
      <c r="C938" s="0" t="inlineStr">
        <is>
          <t>Town</t>
        </is>
      </c>
      <c r="D938" s="0" t="inlineStr">
        <is>
          <t>Win</t>
        </is>
      </c>
      <c r="E938" s="0" t="n">
        <v>46</v>
      </c>
      <c r="F938" s="0" t="n">
        <v>22.95014157452599</v>
      </c>
      <c r="G938" s="0" t="n">
        <v>23.55379970635489</v>
      </c>
      <c r="H938" s="0" t="n">
        <v>7.25437583506515</v>
      </c>
      <c r="I938" s="0" t="n">
        <v>816</v>
      </c>
      <c r="J938" s="0" t="n">
        <v>862</v>
      </c>
      <c r="K938" s="0" t="n">
        <v>7.298608322298715</v>
      </c>
    </row>
    <row r="939">
      <c r="A939" s="0" t="n">
        <v>92</v>
      </c>
      <c r="B939" s="0" t="inlineStr">
        <is>
          <t>Rocker</t>
        </is>
      </c>
      <c r="C939" s="0" t="inlineStr">
        <is>
          <t>Town</t>
        </is>
      </c>
      <c r="D939" s="0" t="inlineStr">
        <is>
          <t>Win</t>
        </is>
      </c>
      <c r="E939" s="0" t="n">
        <v>37</v>
      </c>
      <c r="F939" s="0" t="n">
        <v>30.80540195959965</v>
      </c>
      <c r="G939" s="0" t="n">
        <v>31.29518223849798</v>
      </c>
      <c r="H939" s="0" t="n">
        <v>6.542043491070408</v>
      </c>
      <c r="I939" s="0" t="n">
        <v>1424</v>
      </c>
      <c r="J939" s="0" t="n">
        <v>1461</v>
      </c>
      <c r="K939" s="0" t="n">
        <v>6.574090816999369</v>
      </c>
    </row>
    <row r="940">
      <c r="A940" s="0" t="n">
        <v>91</v>
      </c>
      <c r="B940" s="0" t="inlineStr">
        <is>
          <t>Noah</t>
        </is>
      </c>
      <c r="C940" s="0" t="inlineStr">
        <is>
          <t>Mafia</t>
        </is>
      </c>
      <c r="D940" s="0" t="inlineStr">
        <is>
          <t>Loss</t>
        </is>
      </c>
      <c r="E940" s="0" t="n">
        <v>-92</v>
      </c>
      <c r="F940" s="0" t="n">
        <v>28.59134054351328</v>
      </c>
      <c r="G940" s="0" t="n">
        <v>27.14264527435824</v>
      </c>
      <c r="H940" s="0" t="n">
        <v>7.041619749554254</v>
      </c>
      <c r="I940" s="0" t="n">
        <v>1219</v>
      </c>
      <c r="J940" s="0" t="n">
        <v>1127</v>
      </c>
      <c r="K940" s="0" t="n">
        <v>7.106760330248601</v>
      </c>
    </row>
    <row r="941">
      <c r="A941" s="0" t="n">
        <v>91</v>
      </c>
      <c r="B941" s="0" t="inlineStr">
        <is>
          <t>Streety</t>
        </is>
      </c>
      <c r="C941" s="0" t="inlineStr">
        <is>
          <t>Mafia</t>
        </is>
      </c>
      <c r="D941" s="0" t="inlineStr">
        <is>
          <t>Loss</t>
        </is>
      </c>
      <c r="E941" s="0" t="n">
        <v>-107</v>
      </c>
      <c r="F941" s="0" t="n">
        <v>24.71700351478558</v>
      </c>
      <c r="G941" s="0" t="n">
        <v>23.02699639034428</v>
      </c>
      <c r="H941" s="0" t="n">
        <v>7.593598771373855</v>
      </c>
      <c r="I941" s="0" t="n">
        <v>898</v>
      </c>
      <c r="J941" s="0" t="n">
        <v>791</v>
      </c>
      <c r="K941" s="0" t="n">
        <v>7.675975063435485</v>
      </c>
    </row>
    <row r="942">
      <c r="A942" s="0" t="n">
        <v>91</v>
      </c>
      <c r="B942" s="0" t="inlineStr">
        <is>
          <t>Kden</t>
        </is>
      </c>
      <c r="C942" s="0" t="inlineStr">
        <is>
          <t>Mafia</t>
        </is>
      </c>
      <c r="D942" s="0" t="inlineStr">
        <is>
          <t>Loss</t>
        </is>
      </c>
      <c r="E942" s="0" t="n">
        <v>-98</v>
      </c>
      <c r="F942" s="0" t="n">
        <v>29.5049914756661</v>
      </c>
      <c r="G942" s="0" t="n">
        <v>27.95535705399933</v>
      </c>
      <c r="H942" s="0" t="n">
        <v>7.278036269946239</v>
      </c>
      <c r="I942" s="0" t="n">
        <v>1257</v>
      </c>
      <c r="J942" s="0" t="n">
        <v>1159</v>
      </c>
      <c r="K942" s="0" t="n">
        <v>7.350224031427811</v>
      </c>
    </row>
    <row r="943">
      <c r="A943" s="0" t="n">
        <v>91</v>
      </c>
      <c r="B943" s="0" t="inlineStr">
        <is>
          <t>Strik3r</t>
        </is>
      </c>
      <c r="C943" s="0" t="inlineStr">
        <is>
          <t>Town</t>
        </is>
      </c>
      <c r="D943" s="0" t="inlineStr">
        <is>
          <t>Win</t>
        </is>
      </c>
      <c r="E943" s="0" t="n">
        <v>124</v>
      </c>
      <c r="F943" s="0" t="n">
        <v>27.38016317190848</v>
      </c>
      <c r="G943" s="0" t="n">
        <v>29.07930308647989</v>
      </c>
      <c r="H943" s="0" t="n">
        <v>7.61363664678778</v>
      </c>
      <c r="I943" s="0" t="n">
        <v>1077</v>
      </c>
      <c r="J943" s="0" t="n">
        <v>1201</v>
      </c>
      <c r="K943" s="0" t="n">
        <v>7.696691094757777</v>
      </c>
    </row>
    <row r="944">
      <c r="A944" s="0" t="n">
        <v>91</v>
      </c>
      <c r="B944" s="0" t="inlineStr">
        <is>
          <t>Rollo</t>
        </is>
      </c>
      <c r="C944" s="0" t="inlineStr">
        <is>
          <t>Town</t>
        </is>
      </c>
      <c r="D944" s="0" t="inlineStr">
        <is>
          <t>Win</t>
        </is>
      </c>
      <c r="E944" s="0" t="n">
        <v>114</v>
      </c>
      <c r="F944" s="0" t="n">
        <v>26.77971352070381</v>
      </c>
      <c r="G944" s="0" t="n">
        <v>28.35305400407256</v>
      </c>
      <c r="H944" s="0" t="n">
        <v>7.332365174541048</v>
      </c>
      <c r="I944" s="0" t="n">
        <v>1066</v>
      </c>
      <c r="J944" s="0" t="n">
        <v>1180</v>
      </c>
      <c r="K944" s="0" t="n">
        <v>7.406242253084735</v>
      </c>
    </row>
    <row r="945">
      <c r="A945" s="0" t="n">
        <v>91</v>
      </c>
      <c r="B945" s="0" t="inlineStr">
        <is>
          <t>Josh</t>
        </is>
      </c>
      <c r="C945" s="0" t="inlineStr">
        <is>
          <t>Town</t>
        </is>
      </c>
      <c r="D945" s="0" t="inlineStr">
        <is>
          <t>Win</t>
        </is>
      </c>
      <c r="E945" s="0" t="n">
        <v>127</v>
      </c>
      <c r="F945" s="0" t="n">
        <v>26.44941300456896</v>
      </c>
      <c r="G945" s="0" t="n">
        <v>28.17912567991895</v>
      </c>
      <c r="H945" s="0" t="n">
        <v>7.680299572157153</v>
      </c>
      <c r="I945" s="0" t="n">
        <v>1006</v>
      </c>
      <c r="J945" s="0" t="n">
        <v>1133</v>
      </c>
      <c r="K945" s="0" t="n">
        <v>7.765637564677355</v>
      </c>
    </row>
    <row r="946">
      <c r="A946" s="0" t="n">
        <v>91</v>
      </c>
      <c r="B946" s="0" t="inlineStr">
        <is>
          <t>Sam</t>
        </is>
      </c>
      <c r="C946" s="0" t="inlineStr">
        <is>
          <t>Town</t>
        </is>
      </c>
      <c r="D946" s="0" t="inlineStr">
        <is>
          <t>Win</t>
        </is>
      </c>
      <c r="E946" s="0" t="n">
        <v>128</v>
      </c>
      <c r="F946" s="0" t="n">
        <v>25.26573210204863</v>
      </c>
      <c r="G946" s="0" t="n">
        <v>27.02708835477818</v>
      </c>
      <c r="H946" s="0" t="n">
        <v>7.748637017784283</v>
      </c>
      <c r="I946" s="0" t="n">
        <v>919</v>
      </c>
      <c r="J946" s="0" t="n">
        <v>1047</v>
      </c>
      <c r="K946" s="0" t="n">
        <v>7.836360071293246</v>
      </c>
    </row>
    <row r="947">
      <c r="A947" s="0" t="n">
        <v>91</v>
      </c>
      <c r="B947" s="0" t="inlineStr">
        <is>
          <t>Mintt</t>
        </is>
      </c>
      <c r="C947" s="0" t="inlineStr">
        <is>
          <t>Town</t>
        </is>
      </c>
      <c r="D947" s="0" t="inlineStr">
        <is>
          <t>Win</t>
        </is>
      </c>
      <c r="E947" s="0" t="n">
        <v>112</v>
      </c>
      <c r="F947" s="0" t="n">
        <v>23.50721713563377</v>
      </c>
      <c r="G947" s="0" t="n">
        <v>25.04565744212382</v>
      </c>
      <c r="H947" s="0" t="n">
        <v>7.252228479375225</v>
      </c>
      <c r="I947" s="0" t="n">
        <v>851</v>
      </c>
      <c r="J947" s="0" t="n">
        <v>963</v>
      </c>
      <c r="K947" s="0" t="n">
        <v>7.323623025496882</v>
      </c>
    </row>
    <row r="948">
      <c r="A948" s="0" t="n">
        <v>91</v>
      </c>
      <c r="B948" s="0" t="inlineStr">
        <is>
          <t>Brownkow</t>
        </is>
      </c>
      <c r="C948" s="0" t="inlineStr">
        <is>
          <t>Town</t>
        </is>
      </c>
      <c r="D948" s="0" t="inlineStr">
        <is>
          <t>Win</t>
        </is>
      </c>
      <c r="E948" s="0" t="n">
        <v>90</v>
      </c>
      <c r="F948" s="0" t="n">
        <v>28.02494779303633</v>
      </c>
      <c r="G948" s="0" t="n">
        <v>29.28121064111488</v>
      </c>
      <c r="H948" s="0" t="n">
        <v>6.565466305244518</v>
      </c>
      <c r="I948" s="0" t="n">
        <v>1231</v>
      </c>
      <c r="J948" s="0" t="n">
        <v>1321</v>
      </c>
      <c r="K948" s="0" t="n">
        <v>6.617848500362539</v>
      </c>
    </row>
    <row r="949">
      <c r="A949" s="0" t="n">
        <v>91</v>
      </c>
      <c r="B949" s="0" t="inlineStr">
        <is>
          <t>Plen</t>
        </is>
      </c>
      <c r="C949" s="0" t="inlineStr">
        <is>
          <t>Town</t>
        </is>
      </c>
      <c r="D949" s="0" t="inlineStr">
        <is>
          <t>Win</t>
        </is>
      </c>
      <c r="E949" s="0" t="n">
        <v>102</v>
      </c>
      <c r="F949" s="0" t="n">
        <v>16.22919120366407</v>
      </c>
      <c r="G949" s="0" t="n">
        <v>17.63540869967976</v>
      </c>
      <c r="H949" s="0" t="n">
        <v>6.939527380473745</v>
      </c>
      <c r="I949" s="0" t="n">
        <v>389</v>
      </c>
      <c r="J949" s="0" t="n">
        <v>491</v>
      </c>
      <c r="K949" s="0" t="n">
        <v>7.001774154995986</v>
      </c>
    </row>
    <row r="950">
      <c r="A950" s="0" t="n">
        <v>91</v>
      </c>
      <c r="B950" s="0" t="inlineStr">
        <is>
          <t>Lou</t>
        </is>
      </c>
      <c r="C950" s="0" t="inlineStr">
        <is>
          <t>Town</t>
        </is>
      </c>
      <c r="D950" s="0" t="inlineStr">
        <is>
          <t>Win</t>
        </is>
      </c>
      <c r="E950" s="0" t="n">
        <v>101</v>
      </c>
      <c r="F950" s="0" t="n">
        <v>25.62452724370193</v>
      </c>
      <c r="G950" s="0" t="n">
        <v>27.01835154925314</v>
      </c>
      <c r="H950" s="0" t="n">
        <v>6.909435112244619</v>
      </c>
      <c r="I950" s="0" t="n">
        <v>1031</v>
      </c>
      <c r="J950" s="0" t="n">
        <v>1132</v>
      </c>
      <c r="K950" s="0" t="n">
        <v>6.970845747679915</v>
      </c>
    </row>
    <row r="951">
      <c r="A951" s="0" t="n">
        <v>91</v>
      </c>
      <c r="B951" s="0" t="inlineStr">
        <is>
          <t>Rocker</t>
        </is>
      </c>
      <c r="C951" s="0" t="inlineStr">
        <is>
          <t>Town</t>
        </is>
      </c>
      <c r="D951" s="0" t="inlineStr">
        <is>
          <t>Win</t>
        </is>
      </c>
      <c r="E951" s="0" t="n">
        <v>91</v>
      </c>
      <c r="F951" s="0" t="n">
        <v>29.54578173417399</v>
      </c>
      <c r="G951" s="0" t="n">
        <v>30.80540195959965</v>
      </c>
      <c r="H951" s="0" t="n">
        <v>6.574090816999369</v>
      </c>
      <c r="I951" s="0" t="n">
        <v>1333</v>
      </c>
      <c r="J951" s="0" t="n">
        <v>1424</v>
      </c>
      <c r="K951" s="0" t="n">
        <v>6.626687755638971</v>
      </c>
    </row>
    <row r="952">
      <c r="A952" s="0" t="n">
        <v>91</v>
      </c>
      <c r="B952" s="0" t="inlineStr">
        <is>
          <t>Gilbert</t>
        </is>
      </c>
      <c r="C952" s="0" t="inlineStr">
        <is>
          <t>Town</t>
        </is>
      </c>
      <c r="D952" s="0" t="inlineStr">
        <is>
          <t>Win</t>
        </is>
      </c>
      <c r="E952" s="0" t="n">
        <v>142</v>
      </c>
      <c r="F952" s="0" t="n">
        <v>23.19587608677397</v>
      </c>
      <c r="G952" s="0" t="n">
        <v>25.12233752346796</v>
      </c>
      <c r="H952" s="0" t="n">
        <v>8.094956034343999</v>
      </c>
      <c r="I952" s="0" t="n">
        <v>741</v>
      </c>
      <c r="J952" s="0" t="n">
        <v>883</v>
      </c>
      <c r="K952" s="0" t="n">
        <v>8.195472000024239</v>
      </c>
    </row>
    <row r="953">
      <c r="A953" s="0" t="n">
        <v>90</v>
      </c>
      <c r="B953" s="0" t="inlineStr">
        <is>
          <t>Justice</t>
        </is>
      </c>
      <c r="C953" s="0" t="inlineStr">
        <is>
          <t>Mafia</t>
        </is>
      </c>
      <c r="D953" s="0" t="inlineStr">
        <is>
          <t>Loss</t>
        </is>
      </c>
      <c r="E953" s="0" t="n">
        <v>-103</v>
      </c>
      <c r="F953" s="0" t="n">
        <v>25</v>
      </c>
      <c r="G953" s="0" t="n">
        <v>23.36056569583015</v>
      </c>
      <c r="H953" s="0" t="n">
        <v>8.245825509665863</v>
      </c>
      <c r="I953" s="0" t="n">
        <v>850</v>
      </c>
      <c r="J953" s="0" t="n">
        <v>747</v>
      </c>
      <c r="K953" s="0" t="n">
        <v>8.333333333333334</v>
      </c>
    </row>
    <row r="954">
      <c r="A954" s="0" t="n">
        <v>90</v>
      </c>
      <c r="B954" s="0" t="inlineStr">
        <is>
          <t>Sam</t>
        </is>
      </c>
      <c r="C954" s="0" t="inlineStr">
        <is>
          <t>Mafia</t>
        </is>
      </c>
      <c r="D954" s="0" t="inlineStr">
        <is>
          <t>Loss</t>
        </is>
      </c>
      <c r="E954" s="0" t="n">
        <v>-93</v>
      </c>
      <c r="F954" s="0" t="n">
        <v>26.74325419051018</v>
      </c>
      <c r="G954" s="0" t="n">
        <v>25.26573210204863</v>
      </c>
      <c r="H954" s="0" t="n">
        <v>7.836360071293246</v>
      </c>
      <c r="I954" s="0" t="n">
        <v>1012</v>
      </c>
      <c r="J954" s="0" t="n">
        <v>919</v>
      </c>
      <c r="K954" s="0" t="n">
        <v>7.911071493540694</v>
      </c>
    </row>
    <row r="955">
      <c r="A955" s="0" t="n">
        <v>90</v>
      </c>
      <c r="B955" s="0" t="inlineStr">
        <is>
          <t>Streety</t>
        </is>
      </c>
      <c r="C955" s="0" t="inlineStr">
        <is>
          <t>Mafia</t>
        </is>
      </c>
      <c r="D955" s="0" t="inlineStr">
        <is>
          <t>Loss</t>
        </is>
      </c>
      <c r="E955" s="0" t="n">
        <v>-89</v>
      </c>
      <c r="F955" s="0" t="n">
        <v>26.13353449843991</v>
      </c>
      <c r="G955" s="0" t="n">
        <v>24.71700351478558</v>
      </c>
      <c r="H955" s="0" t="n">
        <v>7.675975063435485</v>
      </c>
      <c r="I955" s="0" t="n">
        <v>987</v>
      </c>
      <c r="J955" s="0" t="n">
        <v>898</v>
      </c>
      <c r="K955" s="0" t="n">
        <v>7.74604228517495</v>
      </c>
    </row>
    <row r="956">
      <c r="A956" s="0" t="n">
        <v>90</v>
      </c>
      <c r="B956" s="0" t="inlineStr">
        <is>
          <t>Noah</t>
        </is>
      </c>
      <c r="C956" s="0" t="inlineStr">
        <is>
          <t>Town</t>
        </is>
      </c>
      <c r="D956" s="0" t="inlineStr">
        <is>
          <t>Win</t>
        </is>
      </c>
      <c r="E956" s="0" t="n">
        <v>88</v>
      </c>
      <c r="F956" s="0" t="n">
        <v>27.38035927857164</v>
      </c>
      <c r="G956" s="0" t="n">
        <v>28.59134054351328</v>
      </c>
      <c r="H956" s="0" t="n">
        <v>7.106760330248601</v>
      </c>
      <c r="I956" s="0" t="n">
        <v>1131</v>
      </c>
      <c r="J956" s="0" t="n">
        <v>1219</v>
      </c>
      <c r="K956" s="0" t="n">
        <v>7.161918810889146</v>
      </c>
    </row>
    <row r="957">
      <c r="A957" s="0" t="n">
        <v>90</v>
      </c>
      <c r="B957" s="0" t="inlineStr">
        <is>
          <t>Rollo</t>
        </is>
      </c>
      <c r="C957" s="0" t="inlineStr">
        <is>
          <t>Town</t>
        </is>
      </c>
      <c r="D957" s="0" t="inlineStr">
        <is>
          <t>Win</t>
        </is>
      </c>
      <c r="E957" s="0" t="n">
        <v>96</v>
      </c>
      <c r="F957" s="0" t="n">
        <v>25.46269941408109</v>
      </c>
      <c r="G957" s="0" t="n">
        <v>26.77971352070381</v>
      </c>
      <c r="H957" s="0" t="n">
        <v>7.406242253084735</v>
      </c>
      <c r="I957" s="0" t="n">
        <v>970</v>
      </c>
      <c r="J957" s="0" t="n">
        <v>1066</v>
      </c>
      <c r="K957" s="0" t="n">
        <v>7.468945716273875</v>
      </c>
    </row>
    <row r="958">
      <c r="A958" s="0" t="n">
        <v>90</v>
      </c>
      <c r="B958" s="0" t="inlineStr">
        <is>
          <t>Josh</t>
        </is>
      </c>
      <c r="C958" s="0" t="inlineStr">
        <is>
          <t>Town</t>
        </is>
      </c>
      <c r="D958" s="0" t="inlineStr">
        <is>
          <t>Win</t>
        </is>
      </c>
      <c r="E958" s="0" t="n">
        <v>106</v>
      </c>
      <c r="F958" s="0" t="n">
        <v>24.99895290920667</v>
      </c>
      <c r="G958" s="0" t="n">
        <v>26.44941300456896</v>
      </c>
      <c r="H958" s="0" t="n">
        <v>7.765637564677355</v>
      </c>
      <c r="I958" s="0" t="n">
        <v>900</v>
      </c>
      <c r="J958" s="0" t="n">
        <v>1006</v>
      </c>
      <c r="K958" s="0" t="n">
        <v>7.838276211778159</v>
      </c>
    </row>
    <row r="959">
      <c r="A959" s="0" t="n">
        <v>90</v>
      </c>
      <c r="B959" s="0" t="inlineStr">
        <is>
          <t>Jerm</t>
        </is>
      </c>
      <c r="C959" s="0" t="inlineStr">
        <is>
          <t>Town</t>
        </is>
      </c>
      <c r="D959" s="0" t="inlineStr">
        <is>
          <t>Win</t>
        </is>
      </c>
      <c r="E959" s="0" t="n">
        <v>120</v>
      </c>
      <c r="F959" s="0" t="n">
        <v>25</v>
      </c>
      <c r="G959" s="0" t="n">
        <v>26.63943430416985</v>
      </c>
      <c r="H959" s="0" t="n">
        <v>8.245825509665863</v>
      </c>
      <c r="I959" s="0" t="n">
        <v>850</v>
      </c>
      <c r="J959" s="0" t="n">
        <v>970</v>
      </c>
      <c r="K959" s="0" t="n">
        <v>8.333333333333334</v>
      </c>
    </row>
    <row r="960">
      <c r="A960" s="0" t="n">
        <v>90</v>
      </c>
      <c r="B960" s="0" t="inlineStr">
        <is>
          <t>Carson</t>
        </is>
      </c>
      <c r="C960" s="0" t="inlineStr">
        <is>
          <t>Town</t>
        </is>
      </c>
      <c r="D960" s="0" t="inlineStr">
        <is>
          <t>Win</t>
        </is>
      </c>
      <c r="E960" s="0" t="n">
        <v>88</v>
      </c>
      <c r="F960" s="0" t="n">
        <v>25.81486763825484</v>
      </c>
      <c r="G960" s="0" t="n">
        <v>27.01806312506871</v>
      </c>
      <c r="H960" s="0" t="n">
        <v>7.084237056956497</v>
      </c>
      <c r="I960" s="0" t="n">
        <v>1027</v>
      </c>
      <c r="J960" s="0" t="n">
        <v>1115</v>
      </c>
      <c r="K960" s="0" t="n">
        <v>7.13885407225853</v>
      </c>
    </row>
    <row r="961">
      <c r="A961" s="0" t="n">
        <v>90</v>
      </c>
      <c r="B961" s="0" t="inlineStr">
        <is>
          <t>23flash</t>
        </is>
      </c>
      <c r="C961" s="0" t="inlineStr">
        <is>
          <t>Town</t>
        </is>
      </c>
      <c r="D961" s="0" t="inlineStr">
        <is>
          <t>Win</t>
        </is>
      </c>
      <c r="E961" s="0" t="n">
        <v>108</v>
      </c>
      <c r="F961" s="0" t="n">
        <v>22.91986830023366</v>
      </c>
      <c r="G961" s="0" t="n">
        <v>24.38812562935202</v>
      </c>
      <c r="H961" s="0" t="n">
        <v>7.812225806306625</v>
      </c>
      <c r="I961" s="0" t="n">
        <v>754</v>
      </c>
      <c r="J961" s="0" t="n">
        <v>862</v>
      </c>
      <c r="K961" s="0" t="n">
        <v>7.886225441821137</v>
      </c>
    </row>
    <row r="962">
      <c r="A962" s="0" t="n">
        <v>90</v>
      </c>
      <c r="B962" s="0" t="inlineStr">
        <is>
          <t>Kwix</t>
        </is>
      </c>
      <c r="C962" s="0" t="inlineStr">
        <is>
          <t>Town</t>
        </is>
      </c>
      <c r="D962" s="0" t="inlineStr">
        <is>
          <t>Win</t>
        </is>
      </c>
      <c r="E962" s="0" t="n">
        <v>93</v>
      </c>
      <c r="F962" s="0" t="n">
        <v>21.67177400117751</v>
      </c>
      <c r="G962" s="0" t="n">
        <v>22.95014157452599</v>
      </c>
      <c r="H962" s="0" t="n">
        <v>7.298608322298715</v>
      </c>
      <c r="I962" s="0" t="n">
        <v>723</v>
      </c>
      <c r="J962" s="0" t="n">
        <v>816</v>
      </c>
      <c r="K962" s="0" t="n">
        <v>7.358525273848986</v>
      </c>
    </row>
    <row r="963">
      <c r="A963" s="0" t="n">
        <v>90</v>
      </c>
      <c r="B963" s="0" t="inlineStr">
        <is>
          <t>Siggy</t>
        </is>
      </c>
      <c r="C963" s="0" t="inlineStr">
        <is>
          <t>Town</t>
        </is>
      </c>
      <c r="D963" s="0" t="inlineStr">
        <is>
          <t>Win</t>
        </is>
      </c>
      <c r="E963" s="0" t="n">
        <v>116</v>
      </c>
      <c r="F963" s="0" t="n">
        <v>25.10610499199137</v>
      </c>
      <c r="G963" s="0" t="n">
        <v>26.68507899629397</v>
      </c>
      <c r="H963" s="0" t="n">
        <v>8.095554545718839</v>
      </c>
      <c r="I963" s="0" t="n">
        <v>873</v>
      </c>
      <c r="J963" s="0" t="n">
        <v>989</v>
      </c>
      <c r="K963" s="0" t="n">
        <v>8.178205844931039</v>
      </c>
    </row>
    <row r="964">
      <c r="A964" s="0" t="n">
        <v>90</v>
      </c>
      <c r="B964" s="0" t="inlineStr">
        <is>
          <t>Rocker</t>
        </is>
      </c>
      <c r="C964" s="0" t="inlineStr">
        <is>
          <t>Town</t>
        </is>
      </c>
      <c r="D964" s="0" t="inlineStr">
        <is>
          <t>Win</t>
        </is>
      </c>
      <c r="E964" s="0" t="n">
        <v>76</v>
      </c>
      <c r="F964" s="0" t="n">
        <v>28.49507635747075</v>
      </c>
      <c r="G964" s="0" t="n">
        <v>29.54578173417399</v>
      </c>
      <c r="H964" s="0" t="n">
        <v>6.626687755638971</v>
      </c>
      <c r="I964" s="0" t="n">
        <v>1257</v>
      </c>
      <c r="J964" s="0" t="n">
        <v>1333</v>
      </c>
      <c r="K964" s="0" t="n">
        <v>6.671057757882594</v>
      </c>
    </row>
    <row r="965">
      <c r="A965" s="0" t="n">
        <v>90</v>
      </c>
      <c r="B965" s="0" t="inlineStr">
        <is>
          <t>Smit</t>
        </is>
      </c>
      <c r="C965" s="0" t="inlineStr">
        <is>
          <t>Town</t>
        </is>
      </c>
      <c r="D965" s="0" t="inlineStr">
        <is>
          <t>Win</t>
        </is>
      </c>
      <c r="E965" s="0" t="n">
        <v>85</v>
      </c>
      <c r="F965" s="0" t="n">
        <v>22.1948198725057</v>
      </c>
      <c r="G965" s="0" t="n">
        <v>23.37634519152656</v>
      </c>
      <c r="H965" s="0" t="n">
        <v>7.021142888835016</v>
      </c>
      <c r="I965" s="0" t="n">
        <v>788</v>
      </c>
      <c r="J965" s="0" t="n">
        <v>873</v>
      </c>
      <c r="K965" s="0" t="n">
        <v>7.074262033309616</v>
      </c>
    </row>
    <row r="966">
      <c r="A966" s="0" t="n">
        <v>90</v>
      </c>
      <c r="B966" s="0" t="inlineStr">
        <is>
          <t>Badpants</t>
        </is>
      </c>
      <c r="C966" s="0" t="inlineStr">
        <is>
          <t>Town</t>
        </is>
      </c>
      <c r="D966" s="0" t="inlineStr">
        <is>
          <t>Win</t>
        </is>
      </c>
      <c r="E966" s="0" t="n">
        <v>82</v>
      </c>
      <c r="F966" s="0" t="n">
        <v>21.21344506694588</v>
      </c>
      <c r="G966" s="0" t="n">
        <v>22.34668417902248</v>
      </c>
      <c r="H966" s="0" t="n">
        <v>6.878339642839737</v>
      </c>
      <c r="I966" s="0" t="n">
        <v>736</v>
      </c>
      <c r="J966" s="0" t="n">
        <v>818</v>
      </c>
      <c r="K966" s="0" t="n">
        <v>6.928170303220676</v>
      </c>
    </row>
    <row r="967">
      <c r="A967" s="0" t="n">
        <v>89</v>
      </c>
      <c r="B967" s="0" t="inlineStr">
        <is>
          <t>Machop</t>
        </is>
      </c>
      <c r="C967" s="0" t="inlineStr">
        <is>
          <t>Mafia</t>
        </is>
      </c>
      <c r="D967" s="0" t="inlineStr">
        <is>
          <t>Loss</t>
        </is>
      </c>
      <c r="E967" s="0" t="n">
        <v>-88</v>
      </c>
      <c r="F967" s="0" t="n">
        <v>24.75798989698752</v>
      </c>
      <c r="G967" s="0" t="n">
        <v>23.36488362083263</v>
      </c>
      <c r="H967" s="0" t="n">
        <v>6.736520681309736</v>
      </c>
      <c r="I967" s="0" t="n">
        <v>990</v>
      </c>
      <c r="J967" s="0" t="n">
        <v>902</v>
      </c>
      <c r="K967" s="0" t="n">
        <v>6.796455298870786</v>
      </c>
    </row>
    <row r="968">
      <c r="A968" s="0" t="n">
        <v>89</v>
      </c>
      <c r="B968" s="0" t="inlineStr">
        <is>
          <t>Rocker</t>
        </is>
      </c>
      <c r="C968" s="0" t="inlineStr">
        <is>
          <t>Mafia</t>
        </is>
      </c>
      <c r="D968" s="0" t="inlineStr">
        <is>
          <t>Loss</t>
        </is>
      </c>
      <c r="E968" s="0" t="n">
        <v>-87</v>
      </c>
      <c r="F968" s="0" t="n">
        <v>29.86075230593566</v>
      </c>
      <c r="G968" s="0" t="n">
        <v>28.49507635747075</v>
      </c>
      <c r="H968" s="0" t="n">
        <v>6.671057757882594</v>
      </c>
      <c r="I968" s="0" t="n">
        <v>1344</v>
      </c>
      <c r="J968" s="0" t="n">
        <v>1257</v>
      </c>
      <c r="K968" s="0" t="n">
        <v>6.729196752730854</v>
      </c>
    </row>
    <row r="969">
      <c r="A969" s="0" t="n">
        <v>89</v>
      </c>
      <c r="B969" s="0" t="inlineStr">
        <is>
          <t>Badpants</t>
        </is>
      </c>
      <c r="C969" s="0" t="inlineStr">
        <is>
          <t>Mafia</t>
        </is>
      </c>
      <c r="D969" s="0" t="inlineStr">
        <is>
          <t>Loss</t>
        </is>
      </c>
      <c r="E969" s="0" t="n">
        <v>-93</v>
      </c>
      <c r="F969" s="0" t="n">
        <v>22.68851506570136</v>
      </c>
      <c r="G969" s="0" t="n">
        <v>21.21344506694588</v>
      </c>
      <c r="H969" s="0" t="n">
        <v>6.928170303220676</v>
      </c>
      <c r="I969" s="0" t="n">
        <v>829</v>
      </c>
      <c r="J969" s="0" t="n">
        <v>736</v>
      </c>
      <c r="K969" s="0" t="n">
        <v>6.993575498024535</v>
      </c>
    </row>
    <row r="970">
      <c r="A970" s="0" t="n">
        <v>89</v>
      </c>
      <c r="B970" s="0" t="inlineStr">
        <is>
          <t>Creatchee</t>
        </is>
      </c>
      <c r="C970" s="0" t="inlineStr">
        <is>
          <t>Town</t>
        </is>
      </c>
      <c r="D970" s="0" t="inlineStr">
        <is>
          <t>Win</t>
        </is>
      </c>
      <c r="E970" s="0" t="n">
        <v>113</v>
      </c>
      <c r="F970" s="0" t="n">
        <v>30.62216380364706</v>
      </c>
      <c r="G970" s="0" t="n">
        <v>32.1785007534233</v>
      </c>
      <c r="H970" s="0" t="n">
        <v>7.112700028069379</v>
      </c>
      <c r="I970" s="0" t="n">
        <v>1350</v>
      </c>
      <c r="J970" s="0" t="n">
        <v>1463</v>
      </c>
      <c r="K970" s="0" t="n">
        <v>7.183681766110127</v>
      </c>
    </row>
    <row r="971">
      <c r="A971" s="0" t="n">
        <v>89</v>
      </c>
      <c r="B971" s="0" t="inlineStr">
        <is>
          <t>Plen</t>
        </is>
      </c>
      <c r="C971" s="0" t="inlineStr">
        <is>
          <t>Town</t>
        </is>
      </c>
      <c r="D971" s="0" t="inlineStr">
        <is>
          <t>Win</t>
        </is>
      </c>
      <c r="E971" s="0" t="n">
        <v>109</v>
      </c>
      <c r="F971" s="0" t="n">
        <v>14.72198308370933</v>
      </c>
      <c r="G971" s="0" t="n">
        <v>16.22919120366407</v>
      </c>
      <c r="H971" s="0" t="n">
        <v>7.001774154995986</v>
      </c>
      <c r="I971" s="0" t="n">
        <v>280</v>
      </c>
      <c r="J971" s="0" t="n">
        <v>389</v>
      </c>
      <c r="K971" s="0" t="n">
        <v>7.069366732706194</v>
      </c>
    </row>
    <row r="972">
      <c r="A972" s="0" t="n">
        <v>89</v>
      </c>
      <c r="B972" s="0" t="inlineStr">
        <is>
          <t>Rick</t>
        </is>
      </c>
      <c r="C972" s="0" t="inlineStr">
        <is>
          <t>Town</t>
        </is>
      </c>
      <c r="D972" s="0" t="inlineStr">
        <is>
          <t>Win</t>
        </is>
      </c>
      <c r="E972" s="0" t="n">
        <v>137</v>
      </c>
      <c r="F972" s="0" t="n">
        <v>23.45891542499185</v>
      </c>
      <c r="G972" s="0" t="n">
        <v>25.33988204783435</v>
      </c>
      <c r="H972" s="0" t="n">
        <v>7.802859546582205</v>
      </c>
      <c r="I972" s="0" t="n">
        <v>790</v>
      </c>
      <c r="J972" s="0" t="n">
        <v>927</v>
      </c>
      <c r="K972" s="0" t="n">
        <v>7.897562608803065</v>
      </c>
    </row>
    <row r="973">
      <c r="A973" s="0" t="n">
        <v>89</v>
      </c>
      <c r="B973" s="0" t="inlineStr">
        <is>
          <t>Rollo</t>
        </is>
      </c>
      <c r="C973" s="0" t="inlineStr">
        <is>
          <t>Town</t>
        </is>
      </c>
      <c r="D973" s="0" t="inlineStr">
        <is>
          <t>Win</t>
        </is>
      </c>
      <c r="E973" s="0" t="n">
        <v>126</v>
      </c>
      <c r="F973" s="0" t="n">
        <v>23.74289832674728</v>
      </c>
      <c r="G973" s="0" t="n">
        <v>25.46269941408109</v>
      </c>
      <c r="H973" s="0" t="n">
        <v>7.468945716273875</v>
      </c>
      <c r="I973" s="0" t="n">
        <v>844</v>
      </c>
      <c r="J973" s="0" t="n">
        <v>970</v>
      </c>
      <c r="K973" s="0" t="n">
        <v>7.551589603566481</v>
      </c>
    </row>
    <row r="974">
      <c r="A974" s="0" t="n">
        <v>89</v>
      </c>
      <c r="B974" s="0" t="inlineStr">
        <is>
          <t>Kwix</t>
        </is>
      </c>
      <c r="C974" s="0" t="inlineStr">
        <is>
          <t>Town</t>
        </is>
      </c>
      <c r="D974" s="0" t="inlineStr">
        <is>
          <t>Win</t>
        </is>
      </c>
      <c r="E974" s="0" t="n">
        <v>121</v>
      </c>
      <c r="F974" s="0" t="n">
        <v>20.00357059482054</v>
      </c>
      <c r="G974" s="0" t="n">
        <v>21.67177400117751</v>
      </c>
      <c r="H974" s="0" t="n">
        <v>7.358525273848986</v>
      </c>
      <c r="I974" s="0" t="n">
        <v>602</v>
      </c>
      <c r="J974" s="0" t="n">
        <v>723</v>
      </c>
      <c r="K974" s="0" t="n">
        <v>7.437424915802359</v>
      </c>
    </row>
    <row r="975">
      <c r="A975" s="0" t="n">
        <v>89</v>
      </c>
      <c r="B975" s="0" t="inlineStr">
        <is>
          <t>Chipper</t>
        </is>
      </c>
      <c r="C975" s="0" t="inlineStr">
        <is>
          <t>Town</t>
        </is>
      </c>
      <c r="D975" s="0" t="inlineStr">
        <is>
          <t>Win</t>
        </is>
      </c>
      <c r="E975" s="0" t="n">
        <v>110</v>
      </c>
      <c r="F975" s="0" t="n">
        <v>19.00267384390241</v>
      </c>
      <c r="G975" s="0" t="n">
        <v>20.50974896454152</v>
      </c>
      <c r="H975" s="0" t="n">
        <v>7.001471278356517</v>
      </c>
      <c r="I975" s="0" t="n">
        <v>571</v>
      </c>
      <c r="J975" s="0" t="n">
        <v>681</v>
      </c>
      <c r="K975" s="0" t="n">
        <v>7.069054755278948</v>
      </c>
    </row>
    <row r="976">
      <c r="A976" s="0" t="n">
        <v>89</v>
      </c>
      <c r="B976" s="0" t="inlineStr">
        <is>
          <t>Iln</t>
        </is>
      </c>
      <c r="C976" s="0" t="inlineStr">
        <is>
          <t>Town</t>
        </is>
      </c>
      <c r="D976" s="0" t="inlineStr">
        <is>
          <t>Win</t>
        </is>
      </c>
      <c r="E976" s="0" t="n">
        <v>111</v>
      </c>
      <c r="F976" s="0" t="n">
        <v>21.20773709453988</v>
      </c>
      <c r="G976" s="0" t="n">
        <v>22.7466037434757</v>
      </c>
      <c r="H976" s="0" t="n">
        <v>7.073470437200878</v>
      </c>
      <c r="I976" s="0" t="n">
        <v>714</v>
      </c>
      <c r="J976" s="0" t="n">
        <v>825</v>
      </c>
      <c r="K976" s="0" t="n">
        <v>7.143240740379247</v>
      </c>
    </row>
    <row r="977">
      <c r="A977" s="0" t="n">
        <v>89</v>
      </c>
      <c r="B977" s="0" t="inlineStr">
        <is>
          <t>Brownkow</t>
        </is>
      </c>
      <c r="C977" s="0" t="inlineStr">
        <is>
          <t>Town</t>
        </is>
      </c>
      <c r="D977" s="0" t="inlineStr">
        <is>
          <t>Win</t>
        </is>
      </c>
      <c r="E977" s="0" t="n">
        <v>97</v>
      </c>
      <c r="F977" s="0" t="n">
        <v>26.68135582999892</v>
      </c>
      <c r="G977" s="0" t="n">
        <v>28.02494779303633</v>
      </c>
      <c r="H977" s="0" t="n">
        <v>6.617848500362539</v>
      </c>
      <c r="I977" s="0" t="n">
        <v>1134</v>
      </c>
      <c r="J977" s="0" t="n">
        <v>1231</v>
      </c>
      <c r="K977" s="0" t="n">
        <v>6.674554855354228</v>
      </c>
    </row>
    <row r="978">
      <c r="A978" s="0" t="n">
        <v>89</v>
      </c>
      <c r="B978" s="0" t="inlineStr">
        <is>
          <t>Kden</t>
        </is>
      </c>
      <c r="C978" s="0" t="inlineStr">
        <is>
          <t>Town</t>
        </is>
      </c>
      <c r="D978" s="0" t="inlineStr">
        <is>
          <t>Win</t>
        </is>
      </c>
      <c r="E978" s="0" t="n">
        <v>122</v>
      </c>
      <c r="F978" s="0" t="n">
        <v>27.84063320377842</v>
      </c>
      <c r="G978" s="0" t="n">
        <v>29.5049914756661</v>
      </c>
      <c r="H978" s="0" t="n">
        <v>7.350224031427811</v>
      </c>
      <c r="I978" s="0" t="n">
        <v>1135</v>
      </c>
      <c r="J978" s="0" t="n">
        <v>1257</v>
      </c>
      <c r="K978" s="0" t="n">
        <v>7.428846953130884</v>
      </c>
    </row>
    <row r="979">
      <c r="A979" s="0" t="n">
        <v>89</v>
      </c>
      <c r="B979" s="0" t="inlineStr">
        <is>
          <t>Carson</t>
        </is>
      </c>
      <c r="C979" s="0" t="inlineStr">
        <is>
          <t>Town</t>
        </is>
      </c>
      <c r="D979" s="0" t="inlineStr">
        <is>
          <t>Win</t>
        </is>
      </c>
      <c r="E979" s="0" t="n">
        <v>114</v>
      </c>
      <c r="F979" s="0" t="n">
        <v>24.24682516527459</v>
      </c>
      <c r="G979" s="0" t="n">
        <v>25.81486763825484</v>
      </c>
      <c r="H979" s="0" t="n">
        <v>7.13885407225853</v>
      </c>
      <c r="I979" s="0" t="n">
        <v>913</v>
      </c>
      <c r="J979" s="0" t="n">
        <v>1027</v>
      </c>
      <c r="K979" s="0" t="n">
        <v>7.210651333010927</v>
      </c>
    </row>
    <row r="980">
      <c r="A980" s="0" t="n">
        <v>88</v>
      </c>
      <c r="B980" s="0" t="inlineStr">
        <is>
          <t>Mintt</t>
        </is>
      </c>
      <c r="C980" s="0" t="inlineStr">
        <is>
          <t>Mafia</t>
        </is>
      </c>
      <c r="D980" s="0" t="inlineStr">
        <is>
          <t>Loss</t>
        </is>
      </c>
      <c r="E980" s="0" t="n">
        <v>-53</v>
      </c>
      <c r="F980" s="0" t="n">
        <v>24.36572639676978</v>
      </c>
      <c r="G980" s="0" t="n">
        <v>23.50721713563377</v>
      </c>
      <c r="H980" s="0" t="n">
        <v>7.323623025496882</v>
      </c>
      <c r="I980" s="0" t="n">
        <v>904</v>
      </c>
      <c r="J980" s="0" t="n">
        <v>851</v>
      </c>
      <c r="K980" s="0" t="n">
        <v>7.381132848487133</v>
      </c>
    </row>
    <row r="981">
      <c r="A981" s="0" t="n">
        <v>88</v>
      </c>
      <c r="B981" s="0" t="inlineStr">
        <is>
          <t>Lovekilling</t>
        </is>
      </c>
      <c r="C981" s="0" t="inlineStr">
        <is>
          <t>Mafia</t>
        </is>
      </c>
      <c r="D981" s="0" t="inlineStr">
        <is>
          <t>Loss</t>
        </is>
      </c>
      <c r="E981" s="0" t="n">
        <v>-61</v>
      </c>
      <c r="F981" s="0" t="n">
        <v>20.04247750258484</v>
      </c>
      <c r="G981" s="0" t="n">
        <v>19.02940415999581</v>
      </c>
      <c r="H981" s="0" t="n">
        <v>7.944184871502376</v>
      </c>
      <c r="I981" s="0" t="n">
        <v>545</v>
      </c>
      <c r="J981" s="0" t="n">
        <v>484</v>
      </c>
      <c r="K981" s="0" t="n">
        <v>8.018203134932849</v>
      </c>
    </row>
    <row r="982">
      <c r="A982" s="0" t="n">
        <v>88</v>
      </c>
      <c r="B982" s="0" t="inlineStr">
        <is>
          <t>Rollo</t>
        </is>
      </c>
      <c r="C982" s="0" t="inlineStr">
        <is>
          <t>Mafia</t>
        </is>
      </c>
      <c r="D982" s="0" t="inlineStr">
        <is>
          <t>Loss</t>
        </is>
      </c>
      <c r="E982" s="0" t="n">
        <v>-56</v>
      </c>
      <c r="F982" s="0" t="n">
        <v>24.65662356888485</v>
      </c>
      <c r="G982" s="0" t="n">
        <v>23.74289832674728</v>
      </c>
      <c r="H982" s="0" t="n">
        <v>7.551589603566481</v>
      </c>
      <c r="I982" s="0" t="n">
        <v>900</v>
      </c>
      <c r="J982" s="0" t="n">
        <v>844</v>
      </c>
      <c r="K982" s="0" t="n">
        <v>7.614839423418137</v>
      </c>
    </row>
    <row r="983">
      <c r="A983" s="0" t="n">
        <v>88</v>
      </c>
      <c r="B983" s="0" t="inlineStr">
        <is>
          <t>Noah</t>
        </is>
      </c>
      <c r="C983" s="0" t="inlineStr">
        <is>
          <t>Town</t>
        </is>
      </c>
      <c r="D983" s="0" t="inlineStr">
        <is>
          <t>Win</t>
        </is>
      </c>
      <c r="E983" s="0" t="n">
        <v>61</v>
      </c>
      <c r="F983" s="0" t="n">
        <v>26.55992338628523</v>
      </c>
      <c r="G983" s="0" t="n">
        <v>27.38035927857164</v>
      </c>
      <c r="H983" s="0" t="n">
        <v>7.161918810889146</v>
      </c>
      <c r="I983" s="0" t="n">
        <v>1070</v>
      </c>
      <c r="J983" s="0" t="n">
        <v>1131</v>
      </c>
      <c r="K983" s="0" t="n">
        <v>7.215576008877585</v>
      </c>
    </row>
    <row r="984">
      <c r="A984" s="0" t="n">
        <v>88</v>
      </c>
      <c r="B984" s="0" t="inlineStr">
        <is>
          <t>Lou</t>
        </is>
      </c>
      <c r="C984" s="0" t="inlineStr">
        <is>
          <t>Town</t>
        </is>
      </c>
      <c r="D984" s="0" t="inlineStr">
        <is>
          <t>Win</t>
        </is>
      </c>
      <c r="E984" s="0" t="n">
        <v>57</v>
      </c>
      <c r="F984" s="0" t="n">
        <v>24.84791627316372</v>
      </c>
      <c r="G984" s="0" t="n">
        <v>25.62452724370193</v>
      </c>
      <c r="H984" s="0" t="n">
        <v>6.970845747679915</v>
      </c>
      <c r="I984" s="0" t="n">
        <v>974</v>
      </c>
      <c r="J984" s="0" t="n">
        <v>1031</v>
      </c>
      <c r="K984" s="0" t="n">
        <v>7.020177403573956</v>
      </c>
    </row>
    <row r="985">
      <c r="A985" s="0" t="n">
        <v>88</v>
      </c>
      <c r="B985" s="0" t="inlineStr">
        <is>
          <t>Plen</t>
        </is>
      </c>
      <c r="C985" s="0" t="inlineStr">
        <is>
          <t>Town</t>
        </is>
      </c>
      <c r="D985" s="0" t="inlineStr">
        <is>
          <t>Win</t>
        </is>
      </c>
      <c r="E985" s="0" t="n">
        <v>60</v>
      </c>
      <c r="F985" s="0" t="n">
        <v>13.92293215544844</v>
      </c>
      <c r="G985" s="0" t="n">
        <v>14.72198308370933</v>
      </c>
      <c r="H985" s="0" t="n">
        <v>7.069366732706194</v>
      </c>
      <c r="I985" s="0" t="n">
        <v>220</v>
      </c>
      <c r="J985" s="0" t="n">
        <v>280</v>
      </c>
      <c r="K985" s="0" t="n">
        <v>7.120898477689468</v>
      </c>
    </row>
    <row r="986">
      <c r="A986" s="0" t="n">
        <v>88</v>
      </c>
      <c r="B986" s="0" t="inlineStr">
        <is>
          <t>Doublea</t>
        </is>
      </c>
      <c r="C986" s="0" t="inlineStr">
        <is>
          <t>Town</t>
        </is>
      </c>
      <c r="D986" s="0" t="inlineStr">
        <is>
          <t>Win</t>
        </is>
      </c>
      <c r="E986" s="0" t="n">
        <v>69</v>
      </c>
      <c r="F986" s="0" t="n">
        <v>23.88914848134413</v>
      </c>
      <c r="G986" s="0" t="n">
        <v>24.80393061871733</v>
      </c>
      <c r="H986" s="0" t="n">
        <v>7.555881482929385</v>
      </c>
      <c r="I986" s="0" t="n">
        <v>847</v>
      </c>
      <c r="J986" s="0" t="n">
        <v>916</v>
      </c>
      <c r="K986" s="0" t="n">
        <v>7.61924290727635</v>
      </c>
    </row>
    <row r="987">
      <c r="A987" s="0" t="n">
        <v>88</v>
      </c>
      <c r="B987" s="0" t="inlineStr">
        <is>
          <t>Machop</t>
        </is>
      </c>
      <c r="C987" s="0" t="inlineStr">
        <is>
          <t>Town</t>
        </is>
      </c>
      <c r="D987" s="0" t="inlineStr">
        <is>
          <t>Win</t>
        </is>
      </c>
      <c r="E987" s="0" t="n">
        <v>55</v>
      </c>
      <c r="F987" s="0" t="n">
        <v>24.02028251398093</v>
      </c>
      <c r="G987" s="0" t="n">
        <v>24.75798989698752</v>
      </c>
      <c r="H987" s="0" t="n">
        <v>6.796455298870786</v>
      </c>
      <c r="I987" s="0" t="n">
        <v>935</v>
      </c>
      <c r="J987" s="0" t="n">
        <v>990</v>
      </c>
      <c r="K987" s="0" t="n">
        <v>6.842047231799705</v>
      </c>
    </row>
    <row r="988">
      <c r="A988" s="0" t="n">
        <v>88</v>
      </c>
      <c r="B988" s="0" t="inlineStr">
        <is>
          <t>Chipper</t>
        </is>
      </c>
      <c r="C988" s="0" t="inlineStr">
        <is>
          <t>Town</t>
        </is>
      </c>
      <c r="D988" s="0" t="inlineStr">
        <is>
          <t>Win</t>
        </is>
      </c>
      <c r="E988" s="0" t="n">
        <v>59</v>
      </c>
      <c r="F988" s="0" t="n">
        <v>18.2036945014119</v>
      </c>
      <c r="G988" s="0" t="n">
        <v>19.00267384390241</v>
      </c>
      <c r="H988" s="0" t="n">
        <v>7.069054755278948</v>
      </c>
      <c r="I988" s="0" t="n">
        <v>512</v>
      </c>
      <c r="J988" s="0" t="n">
        <v>571</v>
      </c>
      <c r="K988" s="0" t="n">
        <v>7.120579432346799</v>
      </c>
    </row>
    <row r="989">
      <c r="A989" s="0" t="n">
        <v>88</v>
      </c>
      <c r="B989" s="0" t="inlineStr">
        <is>
          <t>Creatchee</t>
        </is>
      </c>
      <c r="C989" s="0" t="inlineStr">
        <is>
          <t>Town</t>
        </is>
      </c>
      <c r="D989" s="0" t="inlineStr">
        <is>
          <t>Win</t>
        </is>
      </c>
      <c r="E989" s="0" t="n">
        <v>62</v>
      </c>
      <c r="F989" s="0" t="n">
        <v>29.79665646952729</v>
      </c>
      <c r="G989" s="0" t="n">
        <v>30.62216380364706</v>
      </c>
      <c r="H989" s="0" t="n">
        <v>7.183681766110127</v>
      </c>
      <c r="I989" s="0" t="n">
        <v>1288</v>
      </c>
      <c r="J989" s="0" t="n">
        <v>1350</v>
      </c>
      <c r="K989" s="0" t="n">
        <v>7.237847100225361</v>
      </c>
    </row>
    <row r="990">
      <c r="A990" s="0" t="n">
        <v>88</v>
      </c>
      <c r="B990" s="0" t="inlineStr">
        <is>
          <t>Laur</t>
        </is>
      </c>
      <c r="C990" s="0" t="inlineStr">
        <is>
          <t>Town</t>
        </is>
      </c>
      <c r="D990" s="0" t="inlineStr">
        <is>
          <t>Win</t>
        </is>
      </c>
      <c r="E990" s="0" t="n">
        <v>66</v>
      </c>
      <c r="F990" s="0" t="n">
        <v>30.71103873493462</v>
      </c>
      <c r="G990" s="0" t="n">
        <v>31.58571523126801</v>
      </c>
      <c r="H990" s="0" t="n">
        <v>7.391149215170416</v>
      </c>
      <c r="I990" s="0" t="n">
        <v>1328</v>
      </c>
      <c r="J990" s="0" t="n">
        <v>1394</v>
      </c>
      <c r="K990" s="0" t="n">
        <v>7.450321169798062</v>
      </c>
    </row>
    <row r="991">
      <c r="A991" s="0" t="n">
        <v>88</v>
      </c>
      <c r="B991" s="0" t="inlineStr">
        <is>
          <t>Kden</t>
        </is>
      </c>
      <c r="C991" s="0" t="inlineStr">
        <is>
          <t>Town</t>
        </is>
      </c>
      <c r="D991" s="0" t="inlineStr">
        <is>
          <t>Win</t>
        </is>
      </c>
      <c r="E991" s="0" t="n">
        <v>66</v>
      </c>
      <c r="F991" s="0" t="n">
        <v>26.95686216949068</v>
      </c>
      <c r="G991" s="0" t="n">
        <v>27.84063320377842</v>
      </c>
      <c r="H991" s="0" t="n">
        <v>7.428846953130884</v>
      </c>
      <c r="I991" s="0" t="n">
        <v>1069</v>
      </c>
      <c r="J991" s="0" t="n">
        <v>1135</v>
      </c>
      <c r="K991" s="0" t="n">
        <v>7.488960686488809</v>
      </c>
    </row>
    <row r="992">
      <c r="A992" s="0" t="n">
        <v>88</v>
      </c>
      <c r="B992" s="0" t="inlineStr">
        <is>
          <t>Brownkow</t>
        </is>
      </c>
      <c r="C992" s="0" t="inlineStr">
        <is>
          <t>Town</t>
        </is>
      </c>
      <c r="D992" s="0" t="inlineStr">
        <is>
          <t>Win</t>
        </is>
      </c>
      <c r="E992" s="0" t="n">
        <v>53</v>
      </c>
      <c r="F992" s="0" t="n">
        <v>25.97022440711282</v>
      </c>
      <c r="G992" s="0" t="n">
        <v>26.68135582999892</v>
      </c>
      <c r="H992" s="0" t="n">
        <v>6.674554855354228</v>
      </c>
      <c r="I992" s="0" t="n">
        <v>1081</v>
      </c>
      <c r="J992" s="0" t="n">
        <v>1134</v>
      </c>
      <c r="K992" s="0" t="n">
        <v>6.717647391918617</v>
      </c>
    </row>
    <row r="993">
      <c r="A993" s="0" t="n">
        <v>87</v>
      </c>
      <c r="B993" s="0" t="inlineStr">
        <is>
          <t>Crispy</t>
        </is>
      </c>
      <c r="C993" s="0" t="inlineStr">
        <is>
          <t>Mafia</t>
        </is>
      </c>
      <c r="D993" s="0" t="inlineStr">
        <is>
          <t>Win</t>
        </is>
      </c>
      <c r="E993" s="0" t="n">
        <v>69</v>
      </c>
      <c r="F993" s="0" t="n">
        <v>26.29570658958965</v>
      </c>
      <c r="G993" s="0" t="n">
        <v>27.20358376954072</v>
      </c>
      <c r="H993" s="0" t="n">
        <v>8.174098098465052</v>
      </c>
      <c r="I993" s="0" t="n">
        <v>947</v>
      </c>
      <c r="J993" s="0" t="n">
        <v>1016</v>
      </c>
      <c r="K993" s="0" t="n">
        <v>8.247471649275173</v>
      </c>
    </row>
    <row r="994">
      <c r="A994" s="0" t="n">
        <v>87</v>
      </c>
      <c r="B994" s="0" t="inlineStr">
        <is>
          <t>Lofty</t>
        </is>
      </c>
      <c r="C994" s="0" t="inlineStr">
        <is>
          <t>Mafia</t>
        </is>
      </c>
      <c r="D994" s="0" t="inlineStr">
        <is>
          <t>Win</t>
        </is>
      </c>
      <c r="E994" s="0" t="n">
        <v>62</v>
      </c>
      <c r="F994" s="0" t="n">
        <v>24.23897961410954</v>
      </c>
      <c r="G994" s="0" t="n">
        <v>25.0606207439731</v>
      </c>
      <c r="H994" s="0" t="n">
        <v>7.782911635819415</v>
      </c>
      <c r="I994" s="0" t="n">
        <v>848</v>
      </c>
      <c r="J994" s="0" t="n">
        <v>910</v>
      </c>
      <c r="K994" s="0" t="n">
        <v>7.845940608171804</v>
      </c>
    </row>
    <row r="995">
      <c r="A995" s="0" t="n">
        <v>87</v>
      </c>
      <c r="B995" s="0" t="inlineStr">
        <is>
          <t>Noah</t>
        </is>
      </c>
      <c r="C995" s="0" t="inlineStr">
        <is>
          <t>Mafia</t>
        </is>
      </c>
      <c r="D995" s="0" t="inlineStr">
        <is>
          <t>Win</t>
        </is>
      </c>
      <c r="E995" s="0" t="n">
        <v>53</v>
      </c>
      <c r="F995" s="0" t="n">
        <v>25.85535257867213</v>
      </c>
      <c r="G995" s="0" t="n">
        <v>26.55992338628523</v>
      </c>
      <c r="H995" s="0" t="n">
        <v>7.215576008877585</v>
      </c>
      <c r="I995" s="0" t="n">
        <v>1017</v>
      </c>
      <c r="J995" s="0" t="n">
        <v>1070</v>
      </c>
      <c r="K995" s="0" t="n">
        <v>7.265414428303353</v>
      </c>
    </row>
    <row r="996">
      <c r="A996" s="0" t="n">
        <v>87</v>
      </c>
      <c r="B996" s="0" t="inlineStr">
        <is>
          <t>Streety</t>
        </is>
      </c>
      <c r="C996" s="0" t="inlineStr">
        <is>
          <t>Town</t>
        </is>
      </c>
      <c r="D996" s="0" t="inlineStr">
        <is>
          <t>Loss</t>
        </is>
      </c>
      <c r="E996" s="0" t="n">
        <v>-49</v>
      </c>
      <c r="F996" s="0" t="n">
        <v>26.94728103857324</v>
      </c>
      <c r="G996" s="0" t="n">
        <v>26.13353449843991</v>
      </c>
      <c r="H996" s="0" t="n">
        <v>7.74604228517495</v>
      </c>
      <c r="I996" s="0" t="n">
        <v>1036</v>
      </c>
      <c r="J996" s="0" t="n">
        <v>987</v>
      </c>
      <c r="K996" s="0" t="n">
        <v>7.808150327429606</v>
      </c>
    </row>
    <row r="997">
      <c r="A997" s="0" t="n">
        <v>87</v>
      </c>
      <c r="B997" s="0" t="inlineStr">
        <is>
          <t>Rollo</t>
        </is>
      </c>
      <c r="C997" s="0" t="inlineStr">
        <is>
          <t>Town</t>
        </is>
      </c>
      <c r="D997" s="0" t="inlineStr">
        <is>
          <t>Loss</t>
        </is>
      </c>
      <c r="E997" s="0" t="n">
        <v>-47</v>
      </c>
      <c r="F997" s="0" t="n">
        <v>25.44260069928805</v>
      </c>
      <c r="G997" s="0" t="n">
        <v>24.65662356888485</v>
      </c>
      <c r="H997" s="0" t="n">
        <v>7.614839423418137</v>
      </c>
      <c r="I997" s="0" t="n">
        <v>947</v>
      </c>
      <c r="J997" s="0" t="n">
        <v>900</v>
      </c>
      <c r="K997" s="0" t="n">
        <v>7.673743612729073</v>
      </c>
    </row>
    <row r="998">
      <c r="A998" s="0" t="n">
        <v>87</v>
      </c>
      <c r="B998" s="0" t="inlineStr">
        <is>
          <t>Doublea</t>
        </is>
      </c>
      <c r="C998" s="0" t="inlineStr">
        <is>
          <t>Town</t>
        </is>
      </c>
      <c r="D998" s="0" t="inlineStr">
        <is>
          <t>Loss</t>
        </is>
      </c>
      <c r="E998" s="0" t="n">
        <v>-48</v>
      </c>
      <c r="F998" s="0" t="n">
        <v>24.67604942286069</v>
      </c>
      <c r="G998" s="0" t="n">
        <v>23.88914848134413</v>
      </c>
      <c r="H998" s="0" t="n">
        <v>7.61924290727635</v>
      </c>
      <c r="I998" s="0" t="n">
        <v>895</v>
      </c>
      <c r="J998" s="0" t="n">
        <v>847</v>
      </c>
      <c r="K998" s="0" t="n">
        <v>7.678252783965139</v>
      </c>
    </row>
    <row r="999">
      <c r="A999" s="0" t="n">
        <v>87</v>
      </c>
      <c r="B999" s="0" t="inlineStr">
        <is>
          <t>Iln</t>
        </is>
      </c>
      <c r="C999" s="0" t="inlineStr">
        <is>
          <t>Town</t>
        </is>
      </c>
      <c r="D999" s="0" t="inlineStr">
        <is>
          <t>Loss</t>
        </is>
      </c>
      <c r="E999" s="0" t="n">
        <v>-42</v>
      </c>
      <c r="F999" s="0" t="n">
        <v>21.89805599425916</v>
      </c>
      <c r="G999" s="0" t="n">
        <v>21.20773709453988</v>
      </c>
      <c r="H999" s="0" t="n">
        <v>7.143240740379247</v>
      </c>
      <c r="I999" s="0" t="n">
        <v>756</v>
      </c>
      <c r="J999" s="0" t="n">
        <v>714</v>
      </c>
      <c r="K999" s="0" t="n">
        <v>7.191543339553655</v>
      </c>
    </row>
    <row r="1000">
      <c r="A1000" s="0" t="n">
        <v>87</v>
      </c>
      <c r="B1000" s="0" t="inlineStr">
        <is>
          <t>Rocker</t>
        </is>
      </c>
      <c r="C1000" s="0" t="inlineStr">
        <is>
          <t>Town</t>
        </is>
      </c>
      <c r="D1000" s="0" t="inlineStr">
        <is>
          <t>Loss</t>
        </is>
      </c>
      <c r="E1000" s="0" t="n">
        <v>-38</v>
      </c>
      <c r="F1000" s="0" t="n">
        <v>30.47240501586363</v>
      </c>
      <c r="G1000" s="0" t="n">
        <v>29.86075230593566</v>
      </c>
      <c r="H1000" s="0" t="n">
        <v>6.729196752730854</v>
      </c>
      <c r="I1000" s="0" t="n">
        <v>1382</v>
      </c>
      <c r="J1000" s="0" t="n">
        <v>1344</v>
      </c>
      <c r="K1000" s="0" t="n">
        <v>6.769307960970893</v>
      </c>
    </row>
    <row r="1001">
      <c r="A1001" s="0" t="n">
        <v>87</v>
      </c>
      <c r="B1001" s="0" t="inlineStr">
        <is>
          <t>Smit</t>
        </is>
      </c>
      <c r="C1001" s="0" t="inlineStr">
        <is>
          <t>Town</t>
        </is>
      </c>
      <c r="D1001" s="0" t="inlineStr">
        <is>
          <t>Loss</t>
        </is>
      </c>
      <c r="E1001" s="0" t="n">
        <v>-41</v>
      </c>
      <c r="F1001" s="0" t="n">
        <v>22.87168948166202</v>
      </c>
      <c r="G1001" s="0" t="n">
        <v>22.1948198725057</v>
      </c>
      <c r="H1001" s="0" t="n">
        <v>7.074262033309616</v>
      </c>
      <c r="I1001" s="0" t="n">
        <v>829</v>
      </c>
      <c r="J1001" s="0" t="n">
        <v>788</v>
      </c>
      <c r="K1001" s="0" t="n">
        <v>7.12112966113571</v>
      </c>
    </row>
    <row r="1002">
      <c r="A1002" s="0" t="n">
        <v>87</v>
      </c>
      <c r="B1002" s="0" t="inlineStr">
        <is>
          <t>Strik3r</t>
        </is>
      </c>
      <c r="C1002" s="0" t="inlineStr">
        <is>
          <t>Town</t>
        </is>
      </c>
      <c r="D1002" s="0" t="inlineStr">
        <is>
          <t>Loss</t>
        </is>
      </c>
      <c r="E1002" s="0" t="n">
        <v>-48</v>
      </c>
      <c r="F1002" s="0" t="n">
        <v>28.18340506877761</v>
      </c>
      <c r="G1002" s="0" t="n">
        <v>27.38016317190848</v>
      </c>
      <c r="H1002" s="0" t="n">
        <v>7.696691094757777</v>
      </c>
      <c r="I1002" s="0" t="n">
        <v>1125</v>
      </c>
      <c r="J1002" s="0" t="n">
        <v>1077</v>
      </c>
      <c r="K1002" s="0" t="n">
        <v>7.757580648822663</v>
      </c>
    </row>
    <row r="1003">
      <c r="A1003" s="0" t="n">
        <v>87</v>
      </c>
      <c r="B1003" s="0" t="inlineStr">
        <is>
          <t>Carson</t>
        </is>
      </c>
      <c r="C1003" s="0" t="inlineStr">
        <is>
          <t>Town</t>
        </is>
      </c>
      <c r="D1003" s="0" t="inlineStr">
        <is>
          <t>Loss</t>
        </is>
      </c>
      <c r="E1003" s="0" t="n">
        <v>-43</v>
      </c>
      <c r="F1003" s="0" t="n">
        <v>24.95042086804198</v>
      </c>
      <c r="G1003" s="0" t="n">
        <v>24.24682516527459</v>
      </c>
      <c r="H1003" s="0" t="n">
        <v>7.210651333010927</v>
      </c>
      <c r="I1003" s="0" t="n">
        <v>956</v>
      </c>
      <c r="J1003" s="0" t="n">
        <v>913</v>
      </c>
      <c r="K1003" s="0" t="n">
        <v>7.260384176778164</v>
      </c>
    </row>
    <row r="1004">
      <c r="A1004" s="0" t="n">
        <v>87</v>
      </c>
      <c r="B1004" s="0" t="inlineStr">
        <is>
          <t>Machop</t>
        </is>
      </c>
      <c r="C1004" s="0" t="inlineStr">
        <is>
          <t>Town</t>
        </is>
      </c>
      <c r="D1004" s="0" t="inlineStr">
        <is>
          <t>Loss</t>
        </is>
      </c>
      <c r="E1004" s="0" t="n">
        <v>-39</v>
      </c>
      <c r="F1004" s="0" t="n">
        <v>24.6528862942143</v>
      </c>
      <c r="G1004" s="0" t="n">
        <v>24.02028251398093</v>
      </c>
      <c r="H1004" s="0" t="n">
        <v>6.842047231799705</v>
      </c>
      <c r="I1004" s="0" t="n">
        <v>974</v>
      </c>
      <c r="J1004" s="0" t="n">
        <v>935</v>
      </c>
      <c r="K1004" s="0" t="n">
        <v>6.884291969886326</v>
      </c>
    </row>
    <row r="1005">
      <c r="A1005" s="0" t="n">
        <v>87</v>
      </c>
      <c r="B1005" s="0" t="inlineStr">
        <is>
          <t>Kwix</t>
        </is>
      </c>
      <c r="C1005" s="0" t="inlineStr">
        <is>
          <t>Town</t>
        </is>
      </c>
      <c r="D1005" s="0" t="inlineStr">
        <is>
          <t>Loss</t>
        </is>
      </c>
      <c r="E1005" s="0" t="n">
        <v>-45</v>
      </c>
      <c r="F1005" s="0" t="n">
        <v>20.75280008308063</v>
      </c>
      <c r="G1005" s="0" t="n">
        <v>20.00357059482054</v>
      </c>
      <c r="H1005" s="0" t="n">
        <v>7.437424915802359</v>
      </c>
      <c r="I1005" s="0" t="n">
        <v>647</v>
      </c>
      <c r="J1005" s="0" t="n">
        <v>602</v>
      </c>
      <c r="K1005" s="0" t="n">
        <v>7.492175682372698</v>
      </c>
    </row>
    <row r="1006">
      <c r="A1006" s="0" t="n">
        <v>86</v>
      </c>
      <c r="B1006" s="0" t="inlineStr">
        <is>
          <t>Machop</t>
        </is>
      </c>
      <c r="C1006" s="0" t="inlineStr">
        <is>
          <t>Mafia</t>
        </is>
      </c>
      <c r="D1006" s="0" t="inlineStr">
        <is>
          <t>Win</t>
        </is>
      </c>
      <c r="E1006" s="0" t="n">
        <v>66</v>
      </c>
      <c r="F1006" s="0" t="n">
        <v>23.76158402096525</v>
      </c>
      <c r="G1006" s="0" t="n">
        <v>24.6528862942143</v>
      </c>
      <c r="H1006" s="0" t="n">
        <v>6.884291969886326</v>
      </c>
      <c r="I1006" s="0" t="n">
        <v>908</v>
      </c>
      <c r="J1006" s="0" t="n">
        <v>974</v>
      </c>
      <c r="K1006" s="0" t="n">
        <v>6.935005772358052</v>
      </c>
    </row>
    <row r="1007">
      <c r="A1007" s="0" t="n">
        <v>86</v>
      </c>
      <c r="B1007" s="0" t="inlineStr">
        <is>
          <t>Badpants</t>
        </is>
      </c>
      <c r="C1007" s="0" t="inlineStr">
        <is>
          <t>Mafia</t>
        </is>
      </c>
      <c r="D1007" s="0" t="inlineStr">
        <is>
          <t>Win</t>
        </is>
      </c>
      <c r="E1007" s="0" t="n">
        <v>68</v>
      </c>
      <c r="F1007" s="0" t="n">
        <v>21.76824189253112</v>
      </c>
      <c r="G1007" s="0" t="n">
        <v>22.68851506570136</v>
      </c>
      <c r="H1007" s="0" t="n">
        <v>6.993575498024535</v>
      </c>
      <c r="I1007" s="0" t="n">
        <v>761</v>
      </c>
      <c r="J1007" s="0" t="n">
        <v>829</v>
      </c>
      <c r="K1007" s="0" t="n">
        <v>7.046835316578661</v>
      </c>
    </row>
    <row r="1008">
      <c r="A1008" s="0" t="n">
        <v>86</v>
      </c>
      <c r="B1008" s="0" t="inlineStr">
        <is>
          <t>Motr</t>
        </is>
      </c>
      <c r="C1008" s="0" t="inlineStr">
        <is>
          <t>Mafia</t>
        </is>
      </c>
      <c r="D1008" s="0" t="inlineStr">
        <is>
          <t>Win</t>
        </is>
      </c>
      <c r="E1008" s="0" t="n">
        <v>97</v>
      </c>
      <c r="F1008" s="0" t="n">
        <v>25</v>
      </c>
      <c r="G1008" s="0" t="n">
        <v>26.28688906616513</v>
      </c>
      <c r="H1008" s="0" t="n">
        <v>8.244550791249385</v>
      </c>
      <c r="I1008" s="0" t="n">
        <v>850</v>
      </c>
      <c r="J1008" s="0" t="n">
        <v>947</v>
      </c>
      <c r="K1008" s="0" t="n">
        <v>8.333333333333334</v>
      </c>
    </row>
    <row r="1009">
      <c r="A1009" s="0" t="n">
        <v>86</v>
      </c>
      <c r="B1009" s="0" t="inlineStr">
        <is>
          <t>Brownkow</t>
        </is>
      </c>
      <c r="C1009" s="0" t="inlineStr">
        <is>
          <t>Town</t>
        </is>
      </c>
      <c r="D1009" s="0" t="inlineStr">
        <is>
          <t>Loss</t>
        </is>
      </c>
      <c r="E1009" s="0" t="n">
        <v>-53</v>
      </c>
      <c r="F1009" s="0" t="n">
        <v>26.81828118983791</v>
      </c>
      <c r="G1009" s="0" t="n">
        <v>25.97022440711282</v>
      </c>
      <c r="H1009" s="0" t="n">
        <v>6.717647391918617</v>
      </c>
      <c r="I1009" s="0" t="n">
        <v>1134</v>
      </c>
      <c r="J1009" s="0" t="n">
        <v>1081</v>
      </c>
      <c r="K1009" s="0" t="n">
        <v>6.764636792787075</v>
      </c>
    </row>
    <row r="1010">
      <c r="A1010" s="0" t="n">
        <v>86</v>
      </c>
      <c r="B1010" s="0" t="inlineStr">
        <is>
          <t>Lofty</t>
        </is>
      </c>
      <c r="C1010" s="0" t="inlineStr">
        <is>
          <t>Town</t>
        </is>
      </c>
      <c r="D1010" s="0" t="inlineStr">
        <is>
          <t>Loss</t>
        </is>
      </c>
      <c r="E1010" s="0" t="n">
        <v>-71</v>
      </c>
      <c r="F1010" s="0" t="n">
        <v>25.40199852822206</v>
      </c>
      <c r="G1010" s="0" t="n">
        <v>24.23897961410954</v>
      </c>
      <c r="H1010" s="0" t="n">
        <v>7.845940608171804</v>
      </c>
      <c r="I1010" s="0" t="n">
        <v>919</v>
      </c>
      <c r="J1010" s="0" t="n">
        <v>848</v>
      </c>
      <c r="K1010" s="0" t="n">
        <v>7.922062363038523</v>
      </c>
    </row>
    <row r="1011">
      <c r="A1011" s="0" t="n">
        <v>86</v>
      </c>
      <c r="B1011" s="0" t="inlineStr">
        <is>
          <t>Mintt</t>
        </is>
      </c>
      <c r="C1011" s="0" t="inlineStr">
        <is>
          <t>Town</t>
        </is>
      </c>
      <c r="D1011" s="0" t="inlineStr">
        <is>
          <t>Loss</t>
        </is>
      </c>
      <c r="E1011" s="0" t="n">
        <v>-63</v>
      </c>
      <c r="F1011" s="0" t="n">
        <v>25.3926659552192</v>
      </c>
      <c r="G1011" s="0" t="n">
        <v>24.36572639676978</v>
      </c>
      <c r="H1011" s="0" t="n">
        <v>7.381132848487133</v>
      </c>
      <c r="I1011" s="0" t="n">
        <v>967</v>
      </c>
      <c r="J1011" s="0" t="n">
        <v>904</v>
      </c>
      <c r="K1011" s="0" t="n">
        <v>7.44410902142925</v>
      </c>
    </row>
    <row r="1012">
      <c r="A1012" s="0" t="n">
        <v>86</v>
      </c>
      <c r="B1012" s="0" t="inlineStr">
        <is>
          <t>Chipper</t>
        </is>
      </c>
      <c r="C1012" s="0" t="inlineStr">
        <is>
          <t>Town</t>
        </is>
      </c>
      <c r="D1012" s="0" t="inlineStr">
        <is>
          <t>Loss</t>
        </is>
      </c>
      <c r="E1012" s="0" t="n">
        <v>-59</v>
      </c>
      <c r="F1012" s="0" t="n">
        <v>19.15824653374343</v>
      </c>
      <c r="G1012" s="0" t="n">
        <v>18.2036945014119</v>
      </c>
      <c r="H1012" s="0" t="n">
        <v>7.120579432346799</v>
      </c>
      <c r="I1012" s="0" t="n">
        <v>571</v>
      </c>
      <c r="J1012" s="0" t="n">
        <v>512</v>
      </c>
      <c r="K1012" s="0" t="n">
        <v>7.176903632591578</v>
      </c>
    </row>
    <row r="1013">
      <c r="A1013" s="0" t="n">
        <v>86</v>
      </c>
      <c r="B1013" s="0" t="inlineStr">
        <is>
          <t>Rick</t>
        </is>
      </c>
      <c r="C1013" s="0" t="inlineStr">
        <is>
          <t>Town</t>
        </is>
      </c>
      <c r="D1013" s="0" t="inlineStr">
        <is>
          <t>Loss</t>
        </is>
      </c>
      <c r="E1013" s="0" t="n">
        <v>-72</v>
      </c>
      <c r="F1013" s="0" t="n">
        <v>24.63760090744469</v>
      </c>
      <c r="G1013" s="0" t="n">
        <v>23.45891542499185</v>
      </c>
      <c r="H1013" s="0" t="n">
        <v>7.897562608803065</v>
      </c>
      <c r="I1013" s="0" t="n">
        <v>862</v>
      </c>
      <c r="J1013" s="0" t="n">
        <v>790</v>
      </c>
      <c r="K1013" s="0" t="n">
        <v>7.97524980529978</v>
      </c>
    </row>
    <row r="1014">
      <c r="A1014" s="0" t="n">
        <v>86</v>
      </c>
      <c r="B1014" s="0" t="inlineStr">
        <is>
          <t>Heckmuffins</t>
        </is>
      </c>
      <c r="C1014" s="0" t="inlineStr">
        <is>
          <t>Town</t>
        </is>
      </c>
      <c r="D1014" s="0" t="inlineStr">
        <is>
          <t>Loss</t>
        </is>
      </c>
      <c r="E1014" s="0" t="n">
        <v>-76</v>
      </c>
      <c r="F1014" s="0" t="n">
        <v>27.37319952491506</v>
      </c>
      <c r="G1014" s="0" t="n">
        <v>26.11964656916496</v>
      </c>
      <c r="H1014" s="0" t="n">
        <v>8.139362274681874</v>
      </c>
      <c r="I1014" s="0" t="n">
        <v>1022</v>
      </c>
      <c r="J1014" s="0" t="n">
        <v>946</v>
      </c>
      <c r="K1014" s="0" t="n">
        <v>8.224674314814399</v>
      </c>
    </row>
    <row r="1015">
      <c r="A1015" s="0" t="n">
        <v>86</v>
      </c>
      <c r="B1015" s="0" t="inlineStr">
        <is>
          <t>Plen</t>
        </is>
      </c>
      <c r="C1015" s="0" t="inlineStr">
        <is>
          <t>Town</t>
        </is>
      </c>
      <c r="D1015" s="0" t="inlineStr">
        <is>
          <t>Loss</t>
        </is>
      </c>
      <c r="E1015" s="0" t="n">
        <v>-60</v>
      </c>
      <c r="F1015" s="0" t="n">
        <v>14.8775711272975</v>
      </c>
      <c r="G1015" s="0" t="n">
        <v>13.92293215544844</v>
      </c>
      <c r="H1015" s="0" t="n">
        <v>7.120898477689468</v>
      </c>
      <c r="I1015" s="0" t="n">
        <v>280</v>
      </c>
      <c r="J1015" s="0" t="n">
        <v>220</v>
      </c>
      <c r="K1015" s="0" t="n">
        <v>7.177230520725331</v>
      </c>
    </row>
    <row r="1016">
      <c r="A1016" s="0" t="n">
        <v>86</v>
      </c>
      <c r="B1016" s="0" t="inlineStr">
        <is>
          <t>Kden</t>
        </is>
      </c>
      <c r="C1016" s="0" t="inlineStr">
        <is>
          <t>Town</t>
        </is>
      </c>
      <c r="D1016" s="0" t="inlineStr">
        <is>
          <t>Loss</t>
        </is>
      </c>
      <c r="E1016" s="0" t="n">
        <v>-65</v>
      </c>
      <c r="F1016" s="0" t="n">
        <v>28.01457409830437</v>
      </c>
      <c r="G1016" s="0" t="n">
        <v>26.95686216949068</v>
      </c>
      <c r="H1016" s="0" t="n">
        <v>7.488960686488809</v>
      </c>
      <c r="I1016" s="0" t="n">
        <v>1134</v>
      </c>
      <c r="J1016" s="0" t="n">
        <v>1069</v>
      </c>
      <c r="K1016" s="0" t="n">
        <v>7.554837447430458</v>
      </c>
    </row>
    <row r="1017">
      <c r="A1017" s="0" t="n">
        <v>86</v>
      </c>
      <c r="B1017" s="0" t="inlineStr">
        <is>
          <t>Laur</t>
        </is>
      </c>
      <c r="C1017" s="0" t="inlineStr">
        <is>
          <t>Town</t>
        </is>
      </c>
      <c r="D1017" s="0" t="inlineStr">
        <is>
          <t>Loss</t>
        </is>
      </c>
      <c r="E1017" s="0" t="n">
        <v>-65</v>
      </c>
      <c r="F1017" s="0" t="n">
        <v>31.75766849824248</v>
      </c>
      <c r="G1017" s="0" t="n">
        <v>30.71103873493462</v>
      </c>
      <c r="H1017" s="0" t="n">
        <v>7.450321169798062</v>
      </c>
      <c r="I1017" s="0" t="n">
        <v>1393</v>
      </c>
      <c r="J1017" s="0" t="n">
        <v>1328</v>
      </c>
      <c r="K1017" s="0" t="n">
        <v>7.51514839609959</v>
      </c>
    </row>
    <row r="1018">
      <c r="A1018" s="0" t="n">
        <v>86</v>
      </c>
      <c r="B1018" s="0" t="inlineStr">
        <is>
          <t>Happymeal</t>
        </is>
      </c>
      <c r="C1018" s="0" t="inlineStr">
        <is>
          <t>Town</t>
        </is>
      </c>
      <c r="D1018" s="0" t="inlineStr">
        <is>
          <t>Loss</t>
        </is>
      </c>
      <c r="E1018" s="0" t="n">
        <v>-67</v>
      </c>
      <c r="F1018" s="0" t="n">
        <v>25.56271541420238</v>
      </c>
      <c r="G1018" s="0" t="n">
        <v>24.48583586265493</v>
      </c>
      <c r="H1018" s="0" t="n">
        <v>7.555290491006285</v>
      </c>
      <c r="I1018" s="0" t="n">
        <v>961</v>
      </c>
      <c r="J1018" s="0" t="n">
        <v>894</v>
      </c>
      <c r="K1018" s="0" t="n">
        <v>7.622995537802177</v>
      </c>
    </row>
    <row r="1019">
      <c r="A1019" s="0" t="n">
        <v>85</v>
      </c>
      <c r="B1019" s="0" t="inlineStr">
        <is>
          <t>Rocker</t>
        </is>
      </c>
      <c r="C1019" s="0" t="inlineStr">
        <is>
          <t>Mafia</t>
        </is>
      </c>
      <c r="D1019" s="0" t="inlineStr">
        <is>
          <t>Win</t>
        </is>
      </c>
      <c r="E1019" s="0" t="n">
        <v>28</v>
      </c>
      <c r="F1019" s="0" t="n">
        <v>30.11496521067602</v>
      </c>
      <c r="G1019" s="0" t="n">
        <v>30.47240501586363</v>
      </c>
      <c r="H1019" s="0" t="n">
        <v>6.769307960970893</v>
      </c>
      <c r="I1019" s="0" t="n">
        <v>1354</v>
      </c>
      <c r="J1019" s="0" t="n">
        <v>1382</v>
      </c>
      <c r="K1019" s="0" t="n">
        <v>6.800492047249138</v>
      </c>
    </row>
    <row r="1020">
      <c r="A1020" s="0" t="n">
        <v>85</v>
      </c>
      <c r="B1020" s="0" t="inlineStr">
        <is>
          <t>Creatchee</t>
        </is>
      </c>
      <c r="C1020" s="0" t="inlineStr">
        <is>
          <t>Mafia</t>
        </is>
      </c>
      <c r="D1020" s="0" t="inlineStr">
        <is>
          <t>Win</t>
        </is>
      </c>
      <c r="E1020" s="0" t="n">
        <v>32</v>
      </c>
      <c r="F1020" s="0" t="n">
        <v>29.38746366727114</v>
      </c>
      <c r="G1020" s="0" t="n">
        <v>29.79665646952729</v>
      </c>
      <c r="H1020" s="0" t="n">
        <v>7.237847100225361</v>
      </c>
      <c r="I1020" s="0" t="n">
        <v>1256</v>
      </c>
      <c r="J1020" s="0" t="n">
        <v>1288</v>
      </c>
      <c r="K1020" s="0" t="n">
        <v>7.276270084934147</v>
      </c>
    </row>
    <row r="1021">
      <c r="A1021" s="0" t="n">
        <v>85</v>
      </c>
      <c r="B1021" s="0" t="inlineStr">
        <is>
          <t>Lou</t>
        </is>
      </c>
      <c r="C1021" s="0" t="inlineStr">
        <is>
          <t>Mafia</t>
        </is>
      </c>
      <c r="D1021" s="0" t="inlineStr">
        <is>
          <t>Win</t>
        </is>
      </c>
      <c r="E1021" s="0" t="n">
        <v>30</v>
      </c>
      <c r="F1021" s="0" t="n">
        <v>24.4632148742782</v>
      </c>
      <c r="G1021" s="0" t="n">
        <v>24.84791627316372</v>
      </c>
      <c r="H1021" s="0" t="n">
        <v>7.020177403573956</v>
      </c>
      <c r="I1021" s="0" t="n">
        <v>944</v>
      </c>
      <c r="J1021" s="0" t="n">
        <v>974</v>
      </c>
      <c r="K1021" s="0" t="n">
        <v>7.055114879196857</v>
      </c>
    </row>
    <row r="1022">
      <c r="A1022" s="0" t="n">
        <v>85</v>
      </c>
      <c r="B1022" s="0" t="inlineStr">
        <is>
          <t>Laur</t>
        </is>
      </c>
      <c r="C1022" s="0" t="inlineStr">
        <is>
          <t>Town</t>
        </is>
      </c>
      <c r="D1022" s="0" t="inlineStr">
        <is>
          <t>Loss</t>
        </is>
      </c>
      <c r="E1022" s="0" t="n">
        <v>-26</v>
      </c>
      <c r="F1022" s="0" t="n">
        <v>32.19919454035293</v>
      </c>
      <c r="G1022" s="0" t="n">
        <v>31.75766849824248</v>
      </c>
      <c r="H1022" s="0" t="n">
        <v>7.51514839609959</v>
      </c>
      <c r="I1022" s="0" t="n">
        <v>1419</v>
      </c>
      <c r="J1022" s="0" t="n">
        <v>1393</v>
      </c>
      <c r="K1022" s="0" t="n">
        <v>7.558332337581897</v>
      </c>
    </row>
    <row r="1023">
      <c r="A1023" s="0" t="n">
        <v>85</v>
      </c>
      <c r="B1023" s="0" t="inlineStr">
        <is>
          <t>Rick</t>
        </is>
      </c>
      <c r="C1023" s="0" t="inlineStr">
        <is>
          <t>Town</t>
        </is>
      </c>
      <c r="D1023" s="0" t="inlineStr">
        <is>
          <t>Loss</t>
        </is>
      </c>
      <c r="E1023" s="0" t="n">
        <v>-28</v>
      </c>
      <c r="F1023" s="0" t="n">
        <v>25.13559045416716</v>
      </c>
      <c r="G1023" s="0" t="n">
        <v>24.63760090744469</v>
      </c>
      <c r="H1023" s="0" t="n">
        <v>7.97524980529978</v>
      </c>
      <c r="I1023" s="0" t="n">
        <v>890</v>
      </c>
      <c r="J1023" s="0" t="n">
        <v>862</v>
      </c>
      <c r="K1023" s="0" t="n">
        <v>8.027166008810468</v>
      </c>
    </row>
    <row r="1024">
      <c r="A1024" s="0" t="n">
        <v>85</v>
      </c>
      <c r="B1024" s="0" t="inlineStr">
        <is>
          <t>Iln</t>
        </is>
      </c>
      <c r="C1024" s="0" t="inlineStr">
        <is>
          <t>Town</t>
        </is>
      </c>
      <c r="D1024" s="0" t="inlineStr">
        <is>
          <t>Loss</t>
        </is>
      </c>
      <c r="E1024" s="0" t="n">
        <v>-23</v>
      </c>
      <c r="F1024" s="0" t="n">
        <v>22.30197353577696</v>
      </c>
      <c r="G1024" s="0" t="n">
        <v>21.89805599425916</v>
      </c>
      <c r="H1024" s="0" t="n">
        <v>7.191543339553655</v>
      </c>
      <c r="I1024" s="0" t="n">
        <v>779</v>
      </c>
      <c r="J1024" s="0" t="n">
        <v>756</v>
      </c>
      <c r="K1024" s="0" t="n">
        <v>7.229206654371394</v>
      </c>
    </row>
    <row r="1025">
      <c r="A1025" s="0" t="n">
        <v>85</v>
      </c>
      <c r="B1025" s="0" t="inlineStr">
        <is>
          <t>Badpants</t>
        </is>
      </c>
      <c r="C1025" s="0" t="inlineStr">
        <is>
          <t>Town</t>
        </is>
      </c>
      <c r="D1025" s="0" t="inlineStr">
        <is>
          <t>Loss</t>
        </is>
      </c>
      <c r="E1025" s="0" t="n">
        <v>-23</v>
      </c>
      <c r="F1025" s="0" t="n">
        <v>22.1559008559521</v>
      </c>
      <c r="G1025" s="0" t="n">
        <v>21.76824189253112</v>
      </c>
      <c r="H1025" s="0" t="n">
        <v>7.046835316578661</v>
      </c>
      <c r="I1025" s="0" t="n">
        <v>784</v>
      </c>
      <c r="J1025" s="0" t="n">
        <v>761</v>
      </c>
      <c r="K1025" s="0" t="n">
        <v>7.08218806245457</v>
      </c>
    </row>
    <row r="1026">
      <c r="A1026" s="0" t="n">
        <v>85</v>
      </c>
      <c r="B1026" s="0" t="inlineStr">
        <is>
          <t>Plen</t>
        </is>
      </c>
      <c r="C1026" s="0" t="inlineStr">
        <is>
          <t>Town</t>
        </is>
      </c>
      <c r="D1026" s="0" t="inlineStr">
        <is>
          <t>Loss</t>
        </is>
      </c>
      <c r="E1026" s="0" t="n">
        <v>-23</v>
      </c>
      <c r="F1026" s="0" t="n">
        <v>15.27986519842886</v>
      </c>
      <c r="G1026" s="0" t="n">
        <v>14.8775711272975</v>
      </c>
      <c r="H1026" s="0" t="n">
        <v>7.177230520725331</v>
      </c>
      <c r="I1026" s="0" t="n">
        <v>303</v>
      </c>
      <c r="J1026" s="0" t="n">
        <v>280</v>
      </c>
      <c r="K1026" s="0" t="n">
        <v>7.214661024663807</v>
      </c>
    </row>
    <row r="1027">
      <c r="A1027" s="0" t="n">
        <v>85</v>
      </c>
      <c r="B1027" s="0" t="inlineStr">
        <is>
          <t>Brownkow</t>
        </is>
      </c>
      <c r="C1027" s="0" t="inlineStr">
        <is>
          <t>Town</t>
        </is>
      </c>
      <c r="D1027" s="0" t="inlineStr">
        <is>
          <t>Loss</t>
        </is>
      </c>
      <c r="E1027" s="0" t="n">
        <v>-21</v>
      </c>
      <c r="F1027" s="0" t="n">
        <v>27.1752231624194</v>
      </c>
      <c r="G1027" s="0" t="n">
        <v>26.81828118983791</v>
      </c>
      <c r="H1027" s="0" t="n">
        <v>6.764636792787075</v>
      </c>
      <c r="I1027" s="0" t="n">
        <v>1155</v>
      </c>
      <c r="J1027" s="0" t="n">
        <v>1134</v>
      </c>
      <c r="K1027" s="0" t="n">
        <v>6.795753600626332</v>
      </c>
    </row>
    <row r="1028">
      <c r="A1028" s="0" t="n">
        <v>85</v>
      </c>
      <c r="B1028" s="0" t="inlineStr">
        <is>
          <t>Keegan</t>
        </is>
      </c>
      <c r="C1028" s="0" t="inlineStr">
        <is>
          <t>Town</t>
        </is>
      </c>
      <c r="D1028" s="0" t="inlineStr">
        <is>
          <t>Loss</t>
        </is>
      </c>
      <c r="E1028" s="0" t="n">
        <v>-28</v>
      </c>
      <c r="F1028" s="0" t="n">
        <v>28.20871635458866</v>
      </c>
      <c r="G1028" s="0" t="n">
        <v>27.72790871955893</v>
      </c>
      <c r="H1028" s="0" t="n">
        <v>7.838245738194625</v>
      </c>
      <c r="I1028" s="0" t="n">
        <v>1114</v>
      </c>
      <c r="J1028" s="0" t="n">
        <v>1086</v>
      </c>
      <c r="K1028" s="0" t="n">
        <v>7.887449738770702</v>
      </c>
    </row>
    <row r="1029">
      <c r="A1029" s="0" t="n">
        <v>85</v>
      </c>
      <c r="B1029" s="0" t="inlineStr">
        <is>
          <t>Kden</t>
        </is>
      </c>
      <c r="C1029" s="0" t="inlineStr">
        <is>
          <t>Town</t>
        </is>
      </c>
      <c r="D1029" s="0" t="inlineStr">
        <is>
          <t>Loss</t>
        </is>
      </c>
      <c r="E1029" s="0" t="n">
        <v>-26</v>
      </c>
      <c r="F1029" s="0" t="n">
        <v>28.4608320040808</v>
      </c>
      <c r="G1029" s="0" t="n">
        <v>28.01457409830437</v>
      </c>
      <c r="H1029" s="0" t="n">
        <v>7.554837447430458</v>
      </c>
      <c r="I1029" s="0" t="n">
        <v>1160</v>
      </c>
      <c r="J1029" s="0" t="n">
        <v>1134</v>
      </c>
      <c r="K1029" s="0" t="n">
        <v>7.59873302524291</v>
      </c>
    </row>
    <row r="1030">
      <c r="A1030" s="0" t="n">
        <v>85</v>
      </c>
      <c r="B1030" s="0" t="inlineStr">
        <is>
          <t>Lofty</t>
        </is>
      </c>
      <c r="C1030" s="0" t="inlineStr">
        <is>
          <t>Town</t>
        </is>
      </c>
      <c r="D1030" s="0" t="inlineStr">
        <is>
          <t>Loss</t>
        </is>
      </c>
      <c r="E1030" s="0" t="n">
        <v>-29</v>
      </c>
      <c r="F1030" s="0" t="n">
        <v>25.89328050393781</v>
      </c>
      <c r="G1030" s="0" t="n">
        <v>25.40199852822206</v>
      </c>
      <c r="H1030" s="0" t="n">
        <v>7.922062363038523</v>
      </c>
      <c r="I1030" s="0" t="n">
        <v>948</v>
      </c>
      <c r="J1030" s="0" t="n">
        <v>919</v>
      </c>
      <c r="K1030" s="0" t="n">
        <v>7.972914130566609</v>
      </c>
    </row>
    <row r="1031">
      <c r="A1031" s="0" t="n">
        <v>85</v>
      </c>
      <c r="B1031" s="0" t="inlineStr">
        <is>
          <t>Machop</t>
        </is>
      </c>
      <c r="C1031" s="0" t="inlineStr">
        <is>
          <t>Town</t>
        </is>
      </c>
      <c r="D1031" s="0" t="inlineStr">
        <is>
          <t>Loss</t>
        </is>
      </c>
      <c r="E1031" s="0" t="n">
        <v>-23</v>
      </c>
      <c r="F1031" s="0" t="n">
        <v>24.13691425531792</v>
      </c>
      <c r="G1031" s="0" t="n">
        <v>23.76158402096525</v>
      </c>
      <c r="H1031" s="0" t="n">
        <v>6.935005772358052</v>
      </c>
      <c r="I1031" s="0" t="n">
        <v>931</v>
      </c>
      <c r="J1031" s="0" t="n">
        <v>908</v>
      </c>
      <c r="K1031" s="0" t="n">
        <v>6.968637807255142</v>
      </c>
    </row>
    <row r="1032">
      <c r="A1032" s="0" t="n">
        <v>84</v>
      </c>
      <c r="B1032" s="0" t="inlineStr">
        <is>
          <t>Chipper</t>
        </is>
      </c>
      <c r="C1032" s="0" t="inlineStr">
        <is>
          <t>Mafia</t>
        </is>
      </c>
      <c r="D1032" s="0" t="inlineStr">
        <is>
          <t>Win</t>
        </is>
      </c>
      <c r="E1032" s="0" t="n">
        <v>86</v>
      </c>
      <c r="F1032" s="0" t="n">
        <v>17.98899591324814</v>
      </c>
      <c r="G1032" s="0" t="n">
        <v>19.15824653374343</v>
      </c>
      <c r="H1032" s="0" t="n">
        <v>7.176903632591578</v>
      </c>
      <c r="I1032" s="0" t="n">
        <v>485</v>
      </c>
      <c r="J1032" s="0" t="n">
        <v>571</v>
      </c>
      <c r="K1032" s="0" t="n">
        <v>7.234624599710608</v>
      </c>
    </row>
    <row r="1033">
      <c r="A1033" s="0" t="n">
        <v>84</v>
      </c>
      <c r="B1033" s="0" t="inlineStr">
        <is>
          <t>Doublea</t>
        </is>
      </c>
      <c r="C1033" s="0" t="inlineStr">
        <is>
          <t>Mafia</t>
        </is>
      </c>
      <c r="D1033" s="0" t="inlineStr">
        <is>
          <t>Win</t>
        </is>
      </c>
      <c r="E1033" s="0" t="n">
        <v>99</v>
      </c>
      <c r="F1033" s="0" t="n">
        <v>23.33450395645825</v>
      </c>
      <c r="G1033" s="0" t="n">
        <v>24.67604942286069</v>
      </c>
      <c r="H1033" s="0" t="n">
        <v>7.678252783965139</v>
      </c>
      <c r="I1033" s="0" t="n">
        <v>796</v>
      </c>
      <c r="J1033" s="0" t="n">
        <v>895</v>
      </c>
      <c r="K1033" s="0" t="n">
        <v>7.749438257799953</v>
      </c>
    </row>
    <row r="1034">
      <c r="A1034" s="0" t="n">
        <v>84</v>
      </c>
      <c r="B1034" s="0" t="inlineStr">
        <is>
          <t>Kden</t>
        </is>
      </c>
      <c r="C1034" s="0" t="inlineStr">
        <is>
          <t>Mafia</t>
        </is>
      </c>
      <c r="D1034" s="0" t="inlineStr">
        <is>
          <t>Win</t>
        </is>
      </c>
      <c r="E1034" s="0" t="n">
        <v>96</v>
      </c>
      <c r="F1034" s="0" t="n">
        <v>27.14744831904966</v>
      </c>
      <c r="G1034" s="0" t="n">
        <v>28.4608320040808</v>
      </c>
      <c r="H1034" s="0" t="n">
        <v>7.59873302524291</v>
      </c>
      <c r="I1034" s="0" t="n">
        <v>1064</v>
      </c>
      <c r="J1034" s="0" t="n">
        <v>1160</v>
      </c>
      <c r="K1034" s="0" t="n">
        <v>7.667654890731993</v>
      </c>
    </row>
    <row r="1035">
      <c r="A1035" s="0" t="n">
        <v>84</v>
      </c>
      <c r="B1035" s="0" t="inlineStr">
        <is>
          <t>Badpants</t>
        </is>
      </c>
      <c r="C1035" s="0" t="inlineStr">
        <is>
          <t>Town</t>
        </is>
      </c>
      <c r="D1035" s="0" t="inlineStr">
        <is>
          <t>Loss</t>
        </is>
      </c>
      <c r="E1035" s="0" t="n">
        <v>-72</v>
      </c>
      <c r="F1035" s="0" t="n">
        <v>23.29399766677077</v>
      </c>
      <c r="G1035" s="0" t="n">
        <v>22.1559008559521</v>
      </c>
      <c r="H1035" s="0" t="n">
        <v>7.08218806245457</v>
      </c>
      <c r="I1035" s="0" t="n">
        <v>856</v>
      </c>
      <c r="J1035" s="0" t="n">
        <v>784</v>
      </c>
      <c r="K1035" s="0" t="n">
        <v>7.137574654770535</v>
      </c>
    </row>
    <row r="1036">
      <c r="A1036" s="0" t="n">
        <v>84</v>
      </c>
      <c r="B1036" s="0" t="inlineStr">
        <is>
          <t>Creatchee</t>
        </is>
      </c>
      <c r="C1036" s="0" t="inlineStr">
        <is>
          <t>Town</t>
        </is>
      </c>
      <c r="D1036" s="0" t="inlineStr">
        <is>
          <t>Loss</t>
        </is>
      </c>
      <c r="E1036" s="0" t="n">
        <v>-76</v>
      </c>
      <c r="F1036" s="0" t="n">
        <v>30.58987301423361</v>
      </c>
      <c r="G1036" s="0" t="n">
        <v>29.38746366727114</v>
      </c>
      <c r="H1036" s="0" t="n">
        <v>7.276270084934147</v>
      </c>
      <c r="I1036" s="0" t="n">
        <v>1332</v>
      </c>
      <c r="J1036" s="0" t="n">
        <v>1256</v>
      </c>
      <c r="K1036" s="0" t="n">
        <v>7.336509971265162</v>
      </c>
    </row>
    <row r="1037">
      <c r="A1037" s="0" t="n">
        <v>84</v>
      </c>
      <c r="B1037" s="0" t="inlineStr">
        <is>
          <t>Iln</t>
        </is>
      </c>
      <c r="C1037" s="0" t="inlineStr">
        <is>
          <t>Town</t>
        </is>
      </c>
      <c r="D1037" s="0" t="inlineStr">
        <is>
          <t>Loss</t>
        </is>
      </c>
      <c r="E1037" s="0" t="n">
        <v>-75</v>
      </c>
      <c r="F1037" s="0" t="n">
        <v>23.48861701688406</v>
      </c>
      <c r="G1037" s="0" t="n">
        <v>22.30197353577696</v>
      </c>
      <c r="H1037" s="0" t="n">
        <v>7.229206654371394</v>
      </c>
      <c r="I1037" s="0" t="n">
        <v>854</v>
      </c>
      <c r="J1037" s="0" t="n">
        <v>779</v>
      </c>
      <c r="K1037" s="0" t="n">
        <v>7.28824449410155</v>
      </c>
    </row>
    <row r="1038">
      <c r="A1038" s="0" t="n">
        <v>84</v>
      </c>
      <c r="B1038" s="0" t="inlineStr">
        <is>
          <t>Lou</t>
        </is>
      </c>
      <c r="C1038" s="0" t="inlineStr">
        <is>
          <t>Town</t>
        </is>
      </c>
      <c r="D1038" s="0" t="inlineStr">
        <is>
          <t>Loss</t>
        </is>
      </c>
      <c r="E1038" s="0" t="n">
        <v>-71</v>
      </c>
      <c r="F1038" s="0" t="n">
        <v>25.59248785237709</v>
      </c>
      <c r="G1038" s="0" t="n">
        <v>24.4632148742782</v>
      </c>
      <c r="H1038" s="0" t="n">
        <v>7.055114879196857</v>
      </c>
      <c r="I1038" s="0" t="n">
        <v>1015</v>
      </c>
      <c r="J1038" s="0" t="n">
        <v>944</v>
      </c>
      <c r="K1038" s="0" t="n">
        <v>7.109846026929839</v>
      </c>
    </row>
    <row r="1039">
      <c r="A1039" s="0" t="n">
        <v>84</v>
      </c>
      <c r="B1039" s="0" t="inlineStr">
        <is>
          <t>Machop</t>
        </is>
      </c>
      <c r="C1039" s="0" t="inlineStr">
        <is>
          <t>Town</t>
        </is>
      </c>
      <c r="D1039" s="0" t="inlineStr">
        <is>
          <t>Loss</t>
        </is>
      </c>
      <c r="E1039" s="0" t="n">
        <v>-69</v>
      </c>
      <c r="F1039" s="0" t="n">
        <v>25.23824314328518</v>
      </c>
      <c r="G1039" s="0" t="n">
        <v>24.13691425531792</v>
      </c>
      <c r="H1039" s="0" t="n">
        <v>6.968637807255142</v>
      </c>
      <c r="I1039" s="0" t="n">
        <v>1000</v>
      </c>
      <c r="J1039" s="0" t="n">
        <v>931</v>
      </c>
      <c r="K1039" s="0" t="n">
        <v>7.021310079334746</v>
      </c>
    </row>
    <row r="1040">
      <c r="A1040" s="0" t="n">
        <v>84</v>
      </c>
      <c r="B1040" s="0" t="inlineStr">
        <is>
          <t>Mintt</t>
        </is>
      </c>
      <c r="C1040" s="0" t="inlineStr">
        <is>
          <t>Town</t>
        </is>
      </c>
      <c r="D1040" s="0" t="inlineStr">
        <is>
          <t>Loss</t>
        </is>
      </c>
      <c r="E1040" s="0" t="n">
        <v>-79</v>
      </c>
      <c r="F1040" s="0" t="n">
        <v>26.65219216001739</v>
      </c>
      <c r="G1040" s="0" t="n">
        <v>25.3926659552192</v>
      </c>
      <c r="H1040" s="0" t="n">
        <v>7.44410902142925</v>
      </c>
      <c r="I1040" s="0" t="n">
        <v>1046</v>
      </c>
      <c r="J1040" s="0" t="n">
        <v>967</v>
      </c>
      <c r="K1040" s="0" t="n">
        <v>7.508769513930516</v>
      </c>
    </row>
    <row r="1041">
      <c r="A1041" s="0" t="n">
        <v>84</v>
      </c>
      <c r="B1041" s="0" t="inlineStr">
        <is>
          <t>Plen</t>
        </is>
      </c>
      <c r="C1041" s="0" t="inlineStr">
        <is>
          <t>Town</t>
        </is>
      </c>
      <c r="D1041" s="0" t="inlineStr">
        <is>
          <t>Loss</t>
        </is>
      </c>
      <c r="E1041" s="0" t="n">
        <v>-75</v>
      </c>
      <c r="F1041" s="0" t="n">
        <v>16.46165812981885</v>
      </c>
      <c r="G1041" s="0" t="n">
        <v>15.27986519842886</v>
      </c>
      <c r="H1041" s="0" t="n">
        <v>7.214661024663807</v>
      </c>
      <c r="I1041" s="0" t="n">
        <v>378</v>
      </c>
      <c r="J1041" s="0" t="n">
        <v>303</v>
      </c>
      <c r="K1041" s="0" t="n">
        <v>7.273330637411727</v>
      </c>
    </row>
    <row r="1042">
      <c r="A1042" s="0" t="n">
        <v>84</v>
      </c>
      <c r="B1042" s="0" t="inlineStr">
        <is>
          <t>Rocker</t>
        </is>
      </c>
      <c r="C1042" s="0" t="inlineStr">
        <is>
          <t>Town</t>
        </is>
      </c>
      <c r="D1042" s="0" t="inlineStr">
        <is>
          <t>Loss</t>
        </is>
      </c>
      <c r="E1042" s="0" t="n">
        <v>-66</v>
      </c>
      <c r="F1042" s="0" t="n">
        <v>31.16300763387569</v>
      </c>
      <c r="G1042" s="0" t="n">
        <v>30.11496521067602</v>
      </c>
      <c r="H1042" s="0" t="n">
        <v>6.800492047249138</v>
      </c>
      <c r="I1042" s="0" t="n">
        <v>1420</v>
      </c>
      <c r="J1042" s="0" t="n">
        <v>1354</v>
      </c>
      <c r="K1042" s="0" t="n">
        <v>6.849310102155844</v>
      </c>
    </row>
    <row r="1043">
      <c r="A1043" s="0" t="n">
        <v>84</v>
      </c>
      <c r="B1043" s="0" t="inlineStr">
        <is>
          <t>Rollo</t>
        </is>
      </c>
      <c r="C1043" s="0" t="inlineStr">
        <is>
          <t>Town</t>
        </is>
      </c>
      <c r="D1043" s="0" t="inlineStr">
        <is>
          <t>Loss</t>
        </is>
      </c>
      <c r="E1043" s="0" t="n">
        <v>-84</v>
      </c>
      <c r="F1043" s="0" t="n">
        <v>26.78254080122157</v>
      </c>
      <c r="G1043" s="0" t="n">
        <v>25.44260069928805</v>
      </c>
      <c r="H1043" s="0" t="n">
        <v>7.673743612729073</v>
      </c>
      <c r="I1043" s="0" t="n">
        <v>1031</v>
      </c>
      <c r="J1043" s="0" t="n">
        <v>947</v>
      </c>
      <c r="K1043" s="0" t="n">
        <v>7.744799402839504</v>
      </c>
    </row>
    <row r="1044">
      <c r="A1044" s="0" t="n">
        <v>84</v>
      </c>
      <c r="B1044" s="0" t="inlineStr">
        <is>
          <t>Smit</t>
        </is>
      </c>
      <c r="C1044" s="0" t="inlineStr">
        <is>
          <t>Town</t>
        </is>
      </c>
      <c r="D1044" s="0" t="inlineStr">
        <is>
          <t>Loss</t>
        </is>
      </c>
      <c r="E1044" s="0" t="n">
        <v>-72</v>
      </c>
      <c r="F1044" s="0" t="n">
        <v>24.02254151441229</v>
      </c>
      <c r="G1044" s="0" t="n">
        <v>22.87168948166202</v>
      </c>
      <c r="H1044" s="0" t="n">
        <v>7.12112966113571</v>
      </c>
      <c r="I1044" s="0" t="n">
        <v>901</v>
      </c>
      <c r="J1044" s="0" t="n">
        <v>829</v>
      </c>
      <c r="K1044" s="0" t="n">
        <v>7.177468208688706</v>
      </c>
    </row>
    <row r="1045">
      <c r="A1045" s="0" t="n">
        <v>84</v>
      </c>
      <c r="B1045" s="0" t="inlineStr">
        <is>
          <t>Wyz</t>
        </is>
      </c>
      <c r="C1045" s="0" t="inlineStr">
        <is>
          <t>Town</t>
        </is>
      </c>
      <c r="D1045" s="0" t="inlineStr">
        <is>
          <t>Loss</t>
        </is>
      </c>
      <c r="E1045" s="0" t="n">
        <v>-95</v>
      </c>
      <c r="F1045" s="0" t="n">
        <v>26.25002139110835</v>
      </c>
      <c r="G1045" s="0" t="n">
        <v>24.7278128896186</v>
      </c>
      <c r="H1045" s="0" t="n">
        <v>8.168576616835843</v>
      </c>
      <c r="I1045" s="0" t="n">
        <v>943</v>
      </c>
      <c r="J1045" s="0" t="n">
        <v>848</v>
      </c>
      <c r="K1045" s="0" t="n">
        <v>8.254844325408769</v>
      </c>
    </row>
    <row r="1046">
      <c r="A1046" s="0" t="n">
        <v>83</v>
      </c>
      <c r="B1046" s="0" t="inlineStr">
        <is>
          <t>Whyin</t>
        </is>
      </c>
      <c r="C1046" s="0" t="inlineStr">
        <is>
          <t>Mafia</t>
        </is>
      </c>
      <c r="D1046" s="0" t="inlineStr">
        <is>
          <t>Loss</t>
        </is>
      </c>
      <c r="E1046" s="0" t="n">
        <v>-69</v>
      </c>
      <c r="F1046" s="0" t="n">
        <v>27.37103575075577</v>
      </c>
      <c r="G1046" s="0" t="n">
        <v>26.26644194787109</v>
      </c>
      <c r="H1046" s="0" t="n">
        <v>7.192984292132206</v>
      </c>
      <c r="I1046" s="0" t="n">
        <v>1121</v>
      </c>
      <c r="J1046" s="0" t="n">
        <v>1052</v>
      </c>
      <c r="K1046" s="0" t="n">
        <v>7.253825033929803</v>
      </c>
    </row>
    <row r="1047">
      <c r="A1047" s="0" t="n">
        <v>83</v>
      </c>
      <c r="B1047" s="0" t="inlineStr">
        <is>
          <t>Noah</t>
        </is>
      </c>
      <c r="C1047" s="0" t="inlineStr">
        <is>
          <t>Mafia</t>
        </is>
      </c>
      <c r="D1047" s="0" t="inlineStr">
        <is>
          <t>Loss</t>
        </is>
      </c>
      <c r="E1047" s="0" t="n">
        <v>-70</v>
      </c>
      <c r="F1047" s="0" t="n">
        <v>26.98270296197196</v>
      </c>
      <c r="G1047" s="0" t="n">
        <v>25.85535257867213</v>
      </c>
      <c r="H1047" s="0" t="n">
        <v>7.265414428303353</v>
      </c>
      <c r="I1047" s="0" t="n">
        <v>1087</v>
      </c>
      <c r="J1047" s="0" t="n">
        <v>1017</v>
      </c>
      <c r="K1047" s="0" t="n">
        <v>7.328178953687655</v>
      </c>
    </row>
    <row r="1048">
      <c r="A1048" s="0" t="n">
        <v>83</v>
      </c>
      <c r="B1048" s="0" t="inlineStr">
        <is>
          <t>23flash</t>
        </is>
      </c>
      <c r="C1048" s="0" t="inlineStr">
        <is>
          <t>Mafia</t>
        </is>
      </c>
      <c r="D1048" s="0" t="inlineStr">
        <is>
          <t>Loss</t>
        </is>
      </c>
      <c r="E1048" s="0" t="n">
        <v>-83</v>
      </c>
      <c r="F1048" s="0" t="n">
        <v>24.25236153641641</v>
      </c>
      <c r="G1048" s="0" t="n">
        <v>22.91986830023366</v>
      </c>
      <c r="H1048" s="0" t="n">
        <v>7.886225441821137</v>
      </c>
      <c r="I1048" s="0" t="n">
        <v>837</v>
      </c>
      <c r="J1048" s="0" t="n">
        <v>754</v>
      </c>
      <c r="K1048" s="0" t="n">
        <v>7.967193031962815</v>
      </c>
    </row>
    <row r="1049">
      <c r="A1049" s="0" t="n">
        <v>83</v>
      </c>
      <c r="B1049" s="0" t="inlineStr">
        <is>
          <t>Brownkow</t>
        </is>
      </c>
      <c r="C1049" s="0" t="inlineStr">
        <is>
          <t>Town</t>
        </is>
      </c>
      <c r="D1049" s="0" t="inlineStr">
        <is>
          <t>Win</t>
        </is>
      </c>
      <c r="E1049" s="0" t="n">
        <v>72</v>
      </c>
      <c r="F1049" s="0" t="n">
        <v>26.19110662275068</v>
      </c>
      <c r="G1049" s="0" t="n">
        <v>27.1752231624194</v>
      </c>
      <c r="H1049" s="0" t="n">
        <v>6.795753600626332</v>
      </c>
      <c r="I1049" s="0" t="n">
        <v>1083</v>
      </c>
      <c r="J1049" s="0" t="n">
        <v>1155</v>
      </c>
      <c r="K1049" s="0" t="n">
        <v>6.846742393492635</v>
      </c>
    </row>
    <row r="1050">
      <c r="A1050" s="0" t="n">
        <v>83</v>
      </c>
      <c r="B1050" s="0" t="inlineStr">
        <is>
          <t>Machop</t>
        </is>
      </c>
      <c r="C1050" s="0" t="inlineStr">
        <is>
          <t>Town</t>
        </is>
      </c>
      <c r="D1050" s="0" t="inlineStr">
        <is>
          <t>Win</t>
        </is>
      </c>
      <c r="E1050" s="0" t="n">
        <v>77</v>
      </c>
      <c r="F1050" s="0" t="n">
        <v>24.18661294620423</v>
      </c>
      <c r="G1050" s="0" t="n">
        <v>25.23824314328518</v>
      </c>
      <c r="H1050" s="0" t="n">
        <v>7.021310079334746</v>
      </c>
      <c r="I1050" s="0" t="n">
        <v>923</v>
      </c>
      <c r="J1050" s="0" t="n">
        <v>1000</v>
      </c>
      <c r="K1050" s="0" t="n">
        <v>7.077750032432315</v>
      </c>
    </row>
    <row r="1051">
      <c r="A1051" s="0" t="n">
        <v>83</v>
      </c>
      <c r="B1051" s="0" t="inlineStr">
        <is>
          <t>Streety</t>
        </is>
      </c>
      <c r="C1051" s="0" t="inlineStr">
        <is>
          <t>Town</t>
        </is>
      </c>
      <c r="D1051" s="0" t="inlineStr">
        <is>
          <t>Win</t>
        </is>
      </c>
      <c r="E1051" s="0" t="n">
        <v>97</v>
      </c>
      <c r="F1051" s="0" t="n">
        <v>25.6415872883446</v>
      </c>
      <c r="G1051" s="0" t="n">
        <v>26.94728103857324</v>
      </c>
      <c r="H1051" s="0" t="n">
        <v>7.808150327429606</v>
      </c>
      <c r="I1051" s="0" t="n">
        <v>939</v>
      </c>
      <c r="J1051" s="0" t="n">
        <v>1036</v>
      </c>
      <c r="K1051" s="0" t="n">
        <v>7.886654098047265</v>
      </c>
    </row>
    <row r="1052">
      <c r="A1052" s="0" t="n">
        <v>83</v>
      </c>
      <c r="B1052" s="0" t="inlineStr">
        <is>
          <t>Rollo</t>
        </is>
      </c>
      <c r="C1052" s="0" t="inlineStr">
        <is>
          <t>Town</t>
        </is>
      </c>
      <c r="D1052" s="0" t="inlineStr">
        <is>
          <t>Win</t>
        </is>
      </c>
      <c r="E1052" s="0" t="n">
        <v>95</v>
      </c>
      <c r="F1052" s="0" t="n">
        <v>25.49837988367381</v>
      </c>
      <c r="G1052" s="0" t="n">
        <v>26.78254080122157</v>
      </c>
      <c r="H1052" s="0" t="n">
        <v>7.744799402839504</v>
      </c>
      <c r="I1052" s="0" t="n">
        <v>936</v>
      </c>
      <c r="J1052" s="0" t="n">
        <v>1031</v>
      </c>
      <c r="K1052" s="0" t="n">
        <v>7.821341875408027</v>
      </c>
    </row>
    <row r="1053">
      <c r="A1053" s="0" t="n">
        <v>83</v>
      </c>
      <c r="B1053" s="0" t="inlineStr">
        <is>
          <t>Rocker</t>
        </is>
      </c>
      <c r="C1053" s="0" t="inlineStr">
        <is>
          <t>Town</t>
        </is>
      </c>
      <c r="D1053" s="0" t="inlineStr">
        <is>
          <t>Win</t>
        </is>
      </c>
      <c r="E1053" s="0" t="n">
        <v>73</v>
      </c>
      <c r="F1053" s="0" t="n">
        <v>30.16307300092546</v>
      </c>
      <c r="G1053" s="0" t="n">
        <v>31.16300763387569</v>
      </c>
      <c r="H1053" s="0" t="n">
        <v>6.849310102155844</v>
      </c>
      <c r="I1053" s="0" t="n">
        <v>1347</v>
      </c>
      <c r="J1053" s="0" t="n">
        <v>1420</v>
      </c>
      <c r="K1053" s="0" t="n">
        <v>6.901559882620795</v>
      </c>
    </row>
    <row r="1054">
      <c r="A1054" s="0" t="n">
        <v>83</v>
      </c>
      <c r="B1054" s="0" t="inlineStr">
        <is>
          <t>Doublea</t>
        </is>
      </c>
      <c r="C1054" s="0" t="inlineStr">
        <is>
          <t>Town</t>
        </is>
      </c>
      <c r="D1054" s="0" t="inlineStr">
        <is>
          <t>Win</t>
        </is>
      </c>
      <c r="E1054" s="0" t="n">
        <v>95</v>
      </c>
      <c r="F1054" s="0" t="n">
        <v>22.04877275410904</v>
      </c>
      <c r="G1054" s="0" t="n">
        <v>23.33450395645825</v>
      </c>
      <c r="H1054" s="0" t="n">
        <v>7.749438257799953</v>
      </c>
      <c r="I1054" s="0" t="n">
        <v>701</v>
      </c>
      <c r="J1054" s="0" t="n">
        <v>796</v>
      </c>
      <c r="K1054" s="0" t="n">
        <v>7.826123203164123</v>
      </c>
    </row>
    <row r="1055">
      <c r="A1055" s="0" t="n">
        <v>83</v>
      </c>
      <c r="B1055" s="0" t="inlineStr">
        <is>
          <t>Keegan</t>
        </is>
      </c>
      <c r="C1055" s="0" t="inlineStr">
        <is>
          <t>Town</t>
        </is>
      </c>
      <c r="D1055" s="0" t="inlineStr">
        <is>
          <t>Win</t>
        </is>
      </c>
      <c r="E1055" s="0" t="n">
        <v>99</v>
      </c>
      <c r="F1055" s="0" t="n">
        <v>26.87580056862994</v>
      </c>
      <c r="G1055" s="0" t="n">
        <v>28.20871635458866</v>
      </c>
      <c r="H1055" s="0" t="n">
        <v>7.887449738770702</v>
      </c>
      <c r="I1055" s="0" t="n">
        <v>1015</v>
      </c>
      <c r="J1055" s="0" t="n">
        <v>1114</v>
      </c>
      <c r="K1055" s="0" t="n">
        <v>7.968456377609709</v>
      </c>
    </row>
    <row r="1056">
      <c r="A1056" s="0" t="n">
        <v>83</v>
      </c>
      <c r="B1056" s="0" t="inlineStr">
        <is>
          <t>Laur</t>
        </is>
      </c>
      <c r="C1056" s="0" t="inlineStr">
        <is>
          <t>Town</t>
        </is>
      </c>
      <c r="D1056" s="0" t="inlineStr">
        <is>
          <t>Win</t>
        </is>
      </c>
      <c r="E1056" s="0" t="n">
        <v>91</v>
      </c>
      <c r="F1056" s="0" t="n">
        <v>30.97731220546106</v>
      </c>
      <c r="G1056" s="0" t="n">
        <v>32.19919454035293</v>
      </c>
      <c r="H1056" s="0" t="n">
        <v>7.558332337581897</v>
      </c>
      <c r="I1056" s="0" t="n">
        <v>1328</v>
      </c>
      <c r="J1056" s="0" t="n">
        <v>1419</v>
      </c>
      <c r="K1056" s="0" t="n">
        <v>7.629295372586697</v>
      </c>
    </row>
    <row r="1057">
      <c r="A1057" s="0" t="n">
        <v>83</v>
      </c>
      <c r="B1057" s="0" t="inlineStr">
        <is>
          <t>Gunny</t>
        </is>
      </c>
      <c r="C1057" s="0" t="inlineStr">
        <is>
          <t>Town</t>
        </is>
      </c>
      <c r="D1057" s="0" t="inlineStr">
        <is>
          <t>Win</t>
        </is>
      </c>
      <c r="E1057" s="0" t="n">
        <v>109</v>
      </c>
      <c r="F1057" s="0" t="n">
        <v>25</v>
      </c>
      <c r="G1057" s="0" t="n">
        <v>26.45775977686052</v>
      </c>
      <c r="H1057" s="0" t="n">
        <v>8.240520363678602</v>
      </c>
      <c r="I1057" s="0" t="n">
        <v>850</v>
      </c>
      <c r="J1057" s="0" t="n">
        <v>959</v>
      </c>
      <c r="K1057" s="0" t="n">
        <v>8.333333333333334</v>
      </c>
    </row>
    <row r="1058">
      <c r="A1058" s="0" t="n">
        <v>83</v>
      </c>
      <c r="B1058" s="0" t="inlineStr">
        <is>
          <t>Smit</t>
        </is>
      </c>
      <c r="C1058" s="0" t="inlineStr">
        <is>
          <t>Town</t>
        </is>
      </c>
      <c r="D1058" s="0" t="inlineStr">
        <is>
          <t>Win</t>
        </is>
      </c>
      <c r="E1058" s="0" t="n">
        <v>81</v>
      </c>
      <c r="F1058" s="0" t="n">
        <v>22.92279088832537</v>
      </c>
      <c r="G1058" s="0" t="n">
        <v>24.02254151441229</v>
      </c>
      <c r="H1058" s="0" t="n">
        <v>7.177468208688706</v>
      </c>
      <c r="I1058" s="0" t="n">
        <v>820</v>
      </c>
      <c r="J1058" s="0" t="n">
        <v>901</v>
      </c>
      <c r="K1058" s="0" t="n">
        <v>7.237902057389844</v>
      </c>
    </row>
    <row r="1059">
      <c r="A1059" s="0" t="n">
        <v>82</v>
      </c>
      <c r="B1059" s="0" t="inlineStr">
        <is>
          <t>Iln</t>
        </is>
      </c>
      <c r="C1059" s="0" t="inlineStr">
        <is>
          <t>Mafia</t>
        </is>
      </c>
      <c r="D1059" s="0" t="inlineStr">
        <is>
          <t>Loss</t>
        </is>
      </c>
      <c r="E1059" s="0" t="n">
        <v>-83</v>
      </c>
      <c r="F1059" s="0" t="n">
        <v>24.8088660059427</v>
      </c>
      <c r="G1059" s="0" t="n">
        <v>23.48861701688406</v>
      </c>
      <c r="H1059" s="0" t="n">
        <v>7.28824449410155</v>
      </c>
      <c r="I1059" s="0" t="n">
        <v>937</v>
      </c>
      <c r="J1059" s="0" t="n">
        <v>854</v>
      </c>
      <c r="K1059" s="0" t="n">
        <v>7.356430157006161</v>
      </c>
    </row>
    <row r="1060">
      <c r="A1060" s="0" t="n">
        <v>82</v>
      </c>
      <c r="B1060" s="0" t="inlineStr">
        <is>
          <t>Smit</t>
        </is>
      </c>
      <c r="C1060" s="0" t="inlineStr">
        <is>
          <t>Mafia</t>
        </is>
      </c>
      <c r="D1060" s="0" t="inlineStr">
        <is>
          <t>Loss</t>
        </is>
      </c>
      <c r="E1060" s="0" t="n">
        <v>-82</v>
      </c>
      <c r="F1060" s="0" t="n">
        <v>24.2245172784489</v>
      </c>
      <c r="G1060" s="0" t="n">
        <v>22.92279088832537</v>
      </c>
      <c r="H1060" s="0" t="n">
        <v>7.237902057389844</v>
      </c>
      <c r="I1060" s="0" t="n">
        <v>902</v>
      </c>
      <c r="J1060" s="0" t="n">
        <v>820</v>
      </c>
      <c r="K1060" s="0" t="n">
        <v>7.304634296544961</v>
      </c>
    </row>
    <row r="1061">
      <c r="A1061" s="0" t="n">
        <v>82</v>
      </c>
      <c r="B1061" s="0" t="inlineStr">
        <is>
          <t>Whyin</t>
        </is>
      </c>
      <c r="C1061" s="0" t="inlineStr">
        <is>
          <t>Mafia</t>
        </is>
      </c>
      <c r="D1061" s="0" t="inlineStr">
        <is>
          <t>Loss</t>
        </is>
      </c>
      <c r="E1061" s="0" t="n">
        <v>-82</v>
      </c>
      <c r="F1061" s="0" t="n">
        <v>28.67860574757858</v>
      </c>
      <c r="G1061" s="0" t="n">
        <v>27.37103575075577</v>
      </c>
      <c r="H1061" s="0" t="n">
        <v>7.253825033929803</v>
      </c>
      <c r="I1061" s="0" t="n">
        <v>1203</v>
      </c>
      <c r="J1061" s="0" t="n">
        <v>1121</v>
      </c>
      <c r="K1061" s="0" t="n">
        <v>7.321014695081929</v>
      </c>
    </row>
    <row r="1062">
      <c r="A1062" s="0" t="n">
        <v>82</v>
      </c>
      <c r="B1062" s="0" t="inlineStr">
        <is>
          <t>Badpants</t>
        </is>
      </c>
      <c r="C1062" s="0" t="inlineStr">
        <is>
          <t>Town</t>
        </is>
      </c>
      <c r="D1062" s="0" t="inlineStr">
        <is>
          <t>Win</t>
        </is>
      </c>
      <c r="E1062" s="0" t="n">
        <v>93</v>
      </c>
      <c r="F1062" s="0" t="n">
        <v>22.02877263391916</v>
      </c>
      <c r="G1062" s="0" t="n">
        <v>23.29399766677077</v>
      </c>
      <c r="H1062" s="0" t="n">
        <v>7.137574654770535</v>
      </c>
      <c r="I1062" s="0" t="n">
        <v>763</v>
      </c>
      <c r="J1062" s="0" t="n">
        <v>856</v>
      </c>
      <c r="K1062" s="0" t="n">
        <v>7.20147300754859</v>
      </c>
    </row>
    <row r="1063">
      <c r="A1063" s="0" t="n">
        <v>82</v>
      </c>
      <c r="B1063" s="0" t="inlineStr">
        <is>
          <t>Happymeal</t>
        </is>
      </c>
      <c r="C1063" s="0" t="inlineStr">
        <is>
          <t>Town</t>
        </is>
      </c>
      <c r="D1063" s="0" t="inlineStr">
        <is>
          <t>Win</t>
        </is>
      </c>
      <c r="E1063" s="0" t="n">
        <v>107</v>
      </c>
      <c r="F1063" s="0" t="n">
        <v>24.11576593856916</v>
      </c>
      <c r="G1063" s="0" t="n">
        <v>25.56271541420238</v>
      </c>
      <c r="H1063" s="0" t="n">
        <v>7.622995537802177</v>
      </c>
      <c r="I1063" s="0" t="n">
        <v>854</v>
      </c>
      <c r="J1063" s="0" t="n">
        <v>961</v>
      </c>
      <c r="K1063" s="0" t="n">
        <v>7.701394866762212</v>
      </c>
    </row>
    <row r="1064">
      <c r="A1064" s="0" t="n">
        <v>82</v>
      </c>
      <c r="B1064" s="0" t="inlineStr">
        <is>
          <t>Brownkow</t>
        </is>
      </c>
      <c r="C1064" s="0" t="inlineStr">
        <is>
          <t>Town</t>
        </is>
      </c>
      <c r="D1064" s="0" t="inlineStr">
        <is>
          <t>Win</t>
        </is>
      </c>
      <c r="E1064" s="0" t="n">
        <v>85</v>
      </c>
      <c r="F1064" s="0" t="n">
        <v>25.02860430778319</v>
      </c>
      <c r="G1064" s="0" t="n">
        <v>26.19110662275068</v>
      </c>
      <c r="H1064" s="0" t="n">
        <v>6.846742393492635</v>
      </c>
      <c r="I1064" s="0" t="n">
        <v>998</v>
      </c>
      <c r="J1064" s="0" t="n">
        <v>1083</v>
      </c>
      <c r="K1064" s="0" t="n">
        <v>6.90288538640499</v>
      </c>
    </row>
    <row r="1065">
      <c r="A1065" s="0" t="n">
        <v>82</v>
      </c>
      <c r="B1065" s="0" t="inlineStr">
        <is>
          <t>Carson</t>
        </is>
      </c>
      <c r="C1065" s="0" t="inlineStr">
        <is>
          <t>Town</t>
        </is>
      </c>
      <c r="D1065" s="0" t="inlineStr">
        <is>
          <t>Win</t>
        </is>
      </c>
      <c r="E1065" s="0" t="n">
        <v>96</v>
      </c>
      <c r="F1065" s="0" t="n">
        <v>23.64043969151978</v>
      </c>
      <c r="G1065" s="0" t="n">
        <v>24.95042086804198</v>
      </c>
      <c r="H1065" s="0" t="n">
        <v>7.260384176778164</v>
      </c>
      <c r="I1065" s="0" t="n">
        <v>860</v>
      </c>
      <c r="J1065" s="0" t="n">
        <v>956</v>
      </c>
      <c r="K1065" s="0" t="n">
        <v>7.327762877683845</v>
      </c>
    </row>
    <row r="1066">
      <c r="A1066" s="0" t="n">
        <v>82</v>
      </c>
      <c r="B1066" s="0" t="inlineStr">
        <is>
          <t>Chipper</t>
        </is>
      </c>
      <c r="C1066" s="0" t="inlineStr">
        <is>
          <t>Town</t>
        </is>
      </c>
      <c r="D1066" s="0" t="inlineStr">
        <is>
          <t>Win</t>
        </is>
      </c>
      <c r="E1066" s="0" t="n">
        <v>95</v>
      </c>
      <c r="F1066" s="0" t="n">
        <v>16.68847060661939</v>
      </c>
      <c r="G1066" s="0" t="n">
        <v>17.98899591324814</v>
      </c>
      <c r="H1066" s="0" t="n">
        <v>7.234624599710608</v>
      </c>
      <c r="I1066" s="0" t="n">
        <v>390</v>
      </c>
      <c r="J1066" s="0" t="n">
        <v>485</v>
      </c>
      <c r="K1066" s="0" t="n">
        <v>7.30126294849761</v>
      </c>
    </row>
    <row r="1067">
      <c r="A1067" s="0" t="n">
        <v>82</v>
      </c>
      <c r="B1067" s="0" t="inlineStr">
        <is>
          <t>Jake</t>
        </is>
      </c>
      <c r="C1067" s="0" t="inlineStr">
        <is>
          <t>Town</t>
        </is>
      </c>
      <c r="D1067" s="0" t="inlineStr">
        <is>
          <t>Win</t>
        </is>
      </c>
      <c r="E1067" s="0" t="n">
        <v>120</v>
      </c>
      <c r="F1067" s="0" t="n">
        <v>26.37979009363164</v>
      </c>
      <c r="G1067" s="0" t="n">
        <v>28.00284903935691</v>
      </c>
      <c r="H1067" s="0" t="n">
        <v>8.063330454480932</v>
      </c>
      <c r="I1067" s="0" t="n">
        <v>962</v>
      </c>
      <c r="J1067" s="0" t="n">
        <v>1082</v>
      </c>
      <c r="K1067" s="0" t="n">
        <v>8.156687550699795</v>
      </c>
    </row>
    <row r="1068">
      <c r="A1068" s="0" t="n">
        <v>82</v>
      </c>
      <c r="B1068" s="0" t="inlineStr">
        <is>
          <t>Laur</t>
        </is>
      </c>
      <c r="C1068" s="0" t="inlineStr">
        <is>
          <t>Town</t>
        </is>
      </c>
      <c r="D1068" s="0" t="inlineStr">
        <is>
          <t>Win</t>
        </is>
      </c>
      <c r="E1068" s="0" t="n">
        <v>106</v>
      </c>
      <c r="F1068" s="0" t="n">
        <v>29.52791912292082</v>
      </c>
      <c r="G1068" s="0" t="n">
        <v>30.97731220546106</v>
      </c>
      <c r="H1068" s="0" t="n">
        <v>7.629295372586697</v>
      </c>
      <c r="I1068" s="0" t="n">
        <v>1222</v>
      </c>
      <c r="J1068" s="0" t="n">
        <v>1328</v>
      </c>
      <c r="K1068" s="0" t="n">
        <v>7.707896273176038</v>
      </c>
    </row>
    <row r="1069">
      <c r="A1069" s="0" t="n">
        <v>82</v>
      </c>
      <c r="B1069" s="0" t="inlineStr">
        <is>
          <t>Rocker</t>
        </is>
      </c>
      <c r="C1069" s="0" t="inlineStr">
        <is>
          <t>Town</t>
        </is>
      </c>
      <c r="D1069" s="0" t="inlineStr">
        <is>
          <t>Win</t>
        </is>
      </c>
      <c r="E1069" s="0" t="n">
        <v>86</v>
      </c>
      <c r="F1069" s="0" t="n">
        <v>28.98155903214239</v>
      </c>
      <c r="G1069" s="0" t="n">
        <v>30.16307300092546</v>
      </c>
      <c r="H1069" s="0" t="n">
        <v>6.901559882620795</v>
      </c>
      <c r="I1069" s="0" t="n">
        <v>1261</v>
      </c>
      <c r="J1069" s="0" t="n">
        <v>1347</v>
      </c>
      <c r="K1069" s="0" t="n">
        <v>6.959113391230954</v>
      </c>
    </row>
    <row r="1070">
      <c r="A1070" s="0" t="n">
        <v>82</v>
      </c>
      <c r="B1070" s="0" t="inlineStr">
        <is>
          <t>Sam</t>
        </is>
      </c>
      <c r="C1070" s="0" t="inlineStr">
        <is>
          <t>Town</t>
        </is>
      </c>
      <c r="D1070" s="0" t="inlineStr">
        <is>
          <t>Win</t>
        </is>
      </c>
      <c r="E1070" s="0" t="n">
        <v>116</v>
      </c>
      <c r="F1070" s="0" t="n">
        <v>25.1823131457933</v>
      </c>
      <c r="G1070" s="0" t="n">
        <v>26.74325419051018</v>
      </c>
      <c r="H1070" s="0" t="n">
        <v>7.911071493540694</v>
      </c>
      <c r="I1070" s="0" t="n">
        <v>896</v>
      </c>
      <c r="J1070" s="0" t="n">
        <v>1012</v>
      </c>
      <c r="K1070" s="0" t="n">
        <v>7.999054055272456</v>
      </c>
    </row>
    <row r="1071">
      <c r="A1071" s="0" t="n">
        <v>82</v>
      </c>
      <c r="B1071" s="0" t="inlineStr">
        <is>
          <t>Mintt</t>
        </is>
      </c>
      <c r="C1071" s="0" t="inlineStr">
        <is>
          <t>Town</t>
        </is>
      </c>
      <c r="D1071" s="0" t="inlineStr">
        <is>
          <t>Win</t>
        </is>
      </c>
      <c r="E1071" s="0" t="n">
        <v>103</v>
      </c>
      <c r="F1071" s="0" t="n">
        <v>25.24916907537071</v>
      </c>
      <c r="G1071" s="0" t="n">
        <v>26.65219216001739</v>
      </c>
      <c r="H1071" s="0" t="n">
        <v>7.508769513930516</v>
      </c>
      <c r="I1071" s="0" t="n">
        <v>943</v>
      </c>
      <c r="J1071" s="0" t="n">
        <v>1046</v>
      </c>
      <c r="K1071" s="0" t="n">
        <v>7.58357471545211</v>
      </c>
    </row>
    <row r="1072">
      <c r="A1072" s="0" t="n">
        <v>81</v>
      </c>
      <c r="B1072" s="0" t="inlineStr">
        <is>
          <t>Brownkow</t>
        </is>
      </c>
      <c r="C1072" s="0" t="inlineStr">
        <is>
          <t>Mafia</t>
        </is>
      </c>
      <c r="D1072" s="0" t="inlineStr">
        <is>
          <t>Loss</t>
        </is>
      </c>
      <c r="E1072" s="0" t="n">
        <v>-106</v>
      </c>
      <c r="F1072" s="0" t="n">
        <v>26.68694368076291</v>
      </c>
      <c r="G1072" s="0" t="n">
        <v>25.02860430778319</v>
      </c>
      <c r="H1072" s="0" t="n">
        <v>6.90288538640499</v>
      </c>
      <c r="I1072" s="0" t="n">
        <v>1104</v>
      </c>
      <c r="J1072" s="0" t="n">
        <v>998</v>
      </c>
      <c r="K1072" s="0" t="n">
        <v>6.965861800257425</v>
      </c>
    </row>
    <row r="1073">
      <c r="A1073" s="0" t="n">
        <v>81</v>
      </c>
      <c r="B1073" s="0" t="inlineStr">
        <is>
          <t>Carson</t>
        </is>
      </c>
      <c r="C1073" s="0" t="inlineStr">
        <is>
          <t>Mafia</t>
        </is>
      </c>
      <c r="D1073" s="0" t="inlineStr">
        <is>
          <t>Loss</t>
        </is>
      </c>
      <c r="E1073" s="0" t="n">
        <v>-120</v>
      </c>
      <c r="F1073" s="0" t="n">
        <v>25.51370667291212</v>
      </c>
      <c r="G1073" s="0" t="n">
        <v>23.64043969151978</v>
      </c>
      <c r="H1073" s="0" t="n">
        <v>7.327762877683845</v>
      </c>
      <c r="I1073" s="0" t="n">
        <v>980</v>
      </c>
      <c r="J1073" s="0" t="n">
        <v>860</v>
      </c>
      <c r="K1073" s="0" t="n">
        <v>7.40360297895401</v>
      </c>
    </row>
    <row r="1074">
      <c r="A1074" s="0" t="n">
        <v>81</v>
      </c>
      <c r="B1074" s="0" t="inlineStr">
        <is>
          <t>Laur</t>
        </is>
      </c>
      <c r="C1074" s="0" t="inlineStr">
        <is>
          <t>Mafia</t>
        </is>
      </c>
      <c r="D1074" s="0" t="inlineStr">
        <is>
          <t>Loss</t>
        </is>
      </c>
      <c r="E1074" s="0" t="n">
        <v>-132</v>
      </c>
      <c r="F1074" s="0" t="n">
        <v>31.60533428358157</v>
      </c>
      <c r="G1074" s="0" t="n">
        <v>29.52791912292082</v>
      </c>
      <c r="H1074" s="0" t="n">
        <v>7.707896273176038</v>
      </c>
      <c r="I1074" s="0" t="n">
        <v>1354</v>
      </c>
      <c r="J1074" s="0" t="n">
        <v>1222</v>
      </c>
      <c r="K1074" s="0" t="n">
        <v>7.796664093562546</v>
      </c>
    </row>
    <row r="1075">
      <c r="A1075" s="0" t="n">
        <v>81</v>
      </c>
      <c r="B1075" s="0" t="inlineStr">
        <is>
          <t>Badpants</t>
        </is>
      </c>
      <c r="C1075" s="0" t="inlineStr">
        <is>
          <t>Town</t>
        </is>
      </c>
      <c r="D1075" s="0" t="inlineStr">
        <is>
          <t>Win</t>
        </is>
      </c>
      <c r="E1075" s="0" t="n">
        <v>130</v>
      </c>
      <c r="F1075" s="0" t="n">
        <v>20.22084240667657</v>
      </c>
      <c r="G1075" s="0" t="n">
        <v>22.02877263391916</v>
      </c>
      <c r="H1075" s="0" t="n">
        <v>7.20147300754859</v>
      </c>
      <c r="I1075" s="0" t="n">
        <v>633</v>
      </c>
      <c r="J1075" s="0" t="n">
        <v>763</v>
      </c>
      <c r="K1075" s="0" t="n">
        <v>7.273319803529779</v>
      </c>
    </row>
    <row r="1076">
      <c r="A1076" s="0" t="n">
        <v>81</v>
      </c>
      <c r="B1076" s="0" t="inlineStr">
        <is>
          <t>Heckmuffins</t>
        </is>
      </c>
      <c r="C1076" s="0" t="inlineStr">
        <is>
          <t>Town</t>
        </is>
      </c>
      <c r="D1076" s="0" t="inlineStr">
        <is>
          <t>Win</t>
        </is>
      </c>
      <c r="E1076" s="0" t="n">
        <v>172</v>
      </c>
      <c r="F1076" s="0" t="n">
        <v>25</v>
      </c>
      <c r="G1076" s="0" t="n">
        <v>27.37319952491506</v>
      </c>
      <c r="H1076" s="0" t="n">
        <v>8.224674314814399</v>
      </c>
      <c r="I1076" s="0" t="n">
        <v>850</v>
      </c>
      <c r="J1076" s="0" t="n">
        <v>1022</v>
      </c>
      <c r="K1076" s="0" t="n">
        <v>8.333333333333334</v>
      </c>
    </row>
    <row r="1077">
      <c r="A1077" s="0" t="n">
        <v>81</v>
      </c>
      <c r="B1077" s="0" t="inlineStr">
        <is>
          <t>Kden</t>
        </is>
      </c>
      <c r="C1077" s="0" t="inlineStr">
        <is>
          <t>Town</t>
        </is>
      </c>
      <c r="D1077" s="0" t="inlineStr">
        <is>
          <t>Win</t>
        </is>
      </c>
      <c r="E1077" s="0" t="n">
        <v>149</v>
      </c>
      <c r="F1077" s="0" t="n">
        <v>25.0921793191599</v>
      </c>
      <c r="G1077" s="0" t="n">
        <v>27.14744831904966</v>
      </c>
      <c r="H1077" s="0" t="n">
        <v>7.667654890731993</v>
      </c>
      <c r="I1077" s="0" t="n">
        <v>915</v>
      </c>
      <c r="J1077" s="0" t="n">
        <v>1064</v>
      </c>
      <c r="K1077" s="0" t="n">
        <v>7.75498793254661</v>
      </c>
    </row>
    <row r="1078">
      <c r="A1078" s="0" t="n">
        <v>81</v>
      </c>
      <c r="B1078" s="0" t="inlineStr">
        <is>
          <t>Rocker</t>
        </is>
      </c>
      <c r="C1078" s="0" t="inlineStr">
        <is>
          <t>Town</t>
        </is>
      </c>
      <c r="D1078" s="0" t="inlineStr">
        <is>
          <t>Win</t>
        </is>
      </c>
      <c r="E1078" s="0" t="n">
        <v>121</v>
      </c>
      <c r="F1078" s="0" t="n">
        <v>27.29557224091715</v>
      </c>
      <c r="G1078" s="0" t="n">
        <v>28.98155903214239</v>
      </c>
      <c r="H1078" s="0" t="n">
        <v>6.959113391230954</v>
      </c>
      <c r="I1078" s="0" t="n">
        <v>1140</v>
      </c>
      <c r="J1078" s="0" t="n">
        <v>1261</v>
      </c>
      <c r="K1078" s="0" t="n">
        <v>7.023700198106308</v>
      </c>
    </row>
    <row r="1079">
      <c r="A1079" s="0" t="n">
        <v>81</v>
      </c>
      <c r="B1079" s="0" t="inlineStr">
        <is>
          <t>Lofty</t>
        </is>
      </c>
      <c r="C1079" s="0" t="inlineStr">
        <is>
          <t>Town</t>
        </is>
      </c>
      <c r="D1079" s="0" t="inlineStr">
        <is>
          <t>Win</t>
        </is>
      </c>
      <c r="E1079" s="0" t="n">
        <v>162</v>
      </c>
      <c r="F1079" s="0" t="n">
        <v>23.66682833466422</v>
      </c>
      <c r="G1079" s="0" t="n">
        <v>25.89328050393781</v>
      </c>
      <c r="H1079" s="0" t="n">
        <v>7.972914130566609</v>
      </c>
      <c r="I1079" s="0" t="n">
        <v>786</v>
      </c>
      <c r="J1079" s="0" t="n">
        <v>948</v>
      </c>
      <c r="K1079" s="0" t="n">
        <v>8.071537176699094</v>
      </c>
    </row>
    <row r="1080">
      <c r="A1080" s="0" t="n">
        <v>81</v>
      </c>
      <c r="B1080" s="0" t="inlineStr">
        <is>
          <t>Jake</t>
        </is>
      </c>
      <c r="C1080" s="0" t="inlineStr">
        <is>
          <t>Town</t>
        </is>
      </c>
      <c r="D1080" s="0" t="inlineStr">
        <is>
          <t>Win</t>
        </is>
      </c>
      <c r="E1080" s="0" t="n">
        <v>170</v>
      </c>
      <c r="F1080" s="0" t="n">
        <v>24.0467181372256</v>
      </c>
      <c r="G1080" s="0" t="n">
        <v>26.37979009363164</v>
      </c>
      <c r="H1080" s="0" t="n">
        <v>8.156687550699795</v>
      </c>
      <c r="I1080" s="0" t="n">
        <v>792</v>
      </c>
      <c r="J1080" s="0" t="n">
        <v>962</v>
      </c>
      <c r="K1080" s="0" t="n">
        <v>8.26257008916174</v>
      </c>
    </row>
    <row r="1081">
      <c r="A1081" s="0" t="n">
        <v>81</v>
      </c>
      <c r="B1081" s="0" t="inlineStr">
        <is>
          <t>Iln</t>
        </is>
      </c>
      <c r="C1081" s="0" t="inlineStr">
        <is>
          <t>Town</t>
        </is>
      </c>
      <c r="D1081" s="0" t="inlineStr">
        <is>
          <t>Win</t>
        </is>
      </c>
      <c r="E1081" s="0" t="n">
        <v>137</v>
      </c>
      <c r="F1081" s="0" t="n">
        <v>22.9205958865546</v>
      </c>
      <c r="G1081" s="0" t="n">
        <v>24.8088660059427</v>
      </c>
      <c r="H1081" s="0" t="n">
        <v>7.356430157006161</v>
      </c>
      <c r="I1081" s="0" t="n">
        <v>800</v>
      </c>
      <c r="J1081" s="0" t="n">
        <v>937</v>
      </c>
      <c r="K1081" s="0" t="n">
        <v>7.433197249775811</v>
      </c>
    </row>
    <row r="1082">
      <c r="A1082" s="0" t="n">
        <v>81</v>
      </c>
      <c r="B1082" s="0" t="inlineStr">
        <is>
          <t>Dani</t>
        </is>
      </c>
      <c r="C1082" s="0" t="inlineStr">
        <is>
          <t>Town</t>
        </is>
      </c>
      <c r="D1082" s="0" t="inlineStr">
        <is>
          <t>Win</t>
        </is>
      </c>
      <c r="E1082" s="0" t="n">
        <v>160</v>
      </c>
      <c r="F1082" s="0" t="n">
        <v>21.3408299316528</v>
      </c>
      <c r="G1082" s="0" t="n">
        <v>23.54641941431762</v>
      </c>
      <c r="H1082" s="0" t="n">
        <v>7.936402900857364</v>
      </c>
      <c r="I1082" s="0" t="n">
        <v>632</v>
      </c>
      <c r="J1082" s="0" t="n">
        <v>792</v>
      </c>
      <c r="K1082" s="0" t="n">
        <v>8.033625682413939</v>
      </c>
    </row>
    <row r="1083">
      <c r="A1083" s="0" t="n">
        <v>81</v>
      </c>
      <c r="B1083" s="0" t="inlineStr">
        <is>
          <t>Whyin</t>
        </is>
      </c>
      <c r="C1083" s="0" t="inlineStr">
        <is>
          <t>Town</t>
        </is>
      </c>
      <c r="D1083" s="0" t="inlineStr">
        <is>
          <t>Win</t>
        </is>
      </c>
      <c r="E1083" s="0" t="n">
        <v>134</v>
      </c>
      <c r="F1083" s="0" t="n">
        <v>26.8088611903332</v>
      </c>
      <c r="G1083" s="0" t="n">
        <v>28.67860574757858</v>
      </c>
      <c r="H1083" s="0" t="n">
        <v>7.321014695081929</v>
      </c>
      <c r="I1083" s="0" t="n">
        <v>1069</v>
      </c>
      <c r="J1083" s="0" t="n">
        <v>1203</v>
      </c>
      <c r="K1083" s="0" t="n">
        <v>7.396637697647938</v>
      </c>
    </row>
    <row r="1084">
      <c r="A1084" s="0" t="n">
        <v>81</v>
      </c>
      <c r="B1084" s="0" t="inlineStr">
        <is>
          <t>Happymeal</t>
        </is>
      </c>
      <c r="C1084" s="0" t="inlineStr">
        <is>
          <t>Town</t>
        </is>
      </c>
      <c r="D1084" s="0" t="inlineStr">
        <is>
          <t>Win</t>
        </is>
      </c>
      <c r="E1084" s="0" t="n">
        <v>150</v>
      </c>
      <c r="F1084" s="0" t="n">
        <v>22.0419373331477</v>
      </c>
      <c r="G1084" s="0" t="n">
        <v>24.11576593856916</v>
      </c>
      <c r="H1084" s="0" t="n">
        <v>7.701394866762212</v>
      </c>
      <c r="I1084" s="0" t="n">
        <v>704</v>
      </c>
      <c r="J1084" s="0" t="n">
        <v>854</v>
      </c>
      <c r="K1084" s="0" t="n">
        <v>7.789929799242556</v>
      </c>
    </row>
    <row r="1085">
      <c r="A1085" s="0" t="n">
        <v>80</v>
      </c>
      <c r="B1085" s="0" t="inlineStr">
        <is>
          <t>Lofty</t>
        </is>
      </c>
      <c r="C1085" s="0" t="inlineStr">
        <is>
          <t>Mafia</t>
        </is>
      </c>
      <c r="D1085" s="0" t="inlineStr">
        <is>
          <t>Win</t>
        </is>
      </c>
      <c r="E1085" s="0" t="n">
        <v>103</v>
      </c>
      <c r="F1085" s="0" t="n">
        <v>22.27969582321283</v>
      </c>
      <c r="G1085" s="0" t="n">
        <v>23.66682833466422</v>
      </c>
      <c r="H1085" s="0" t="n">
        <v>8.071537176699094</v>
      </c>
      <c r="I1085" s="0" t="n">
        <v>683</v>
      </c>
      <c r="J1085" s="0" t="n">
        <v>786</v>
      </c>
      <c r="K1085" s="0" t="n">
        <v>8.156560724370248</v>
      </c>
    </row>
    <row r="1086">
      <c r="A1086" s="0" t="n">
        <v>80</v>
      </c>
      <c r="B1086" s="0" t="inlineStr">
        <is>
          <t>Laur</t>
        </is>
      </c>
      <c r="C1086" s="0" t="inlineStr">
        <is>
          <t>Mafia</t>
        </is>
      </c>
      <c r="D1086" s="0" t="inlineStr">
        <is>
          <t>Win</t>
        </is>
      </c>
      <c r="E1086" s="0" t="n">
        <v>96</v>
      </c>
      <c r="F1086" s="0" t="n">
        <v>30.3129527756997</v>
      </c>
      <c r="G1086" s="0" t="n">
        <v>31.60533428358157</v>
      </c>
      <c r="H1086" s="0" t="n">
        <v>7.796664093562546</v>
      </c>
      <c r="I1086" s="0" t="n">
        <v>1258</v>
      </c>
      <c r="J1086" s="0" t="n">
        <v>1354</v>
      </c>
      <c r="K1086" s="0" t="n">
        <v>7.873014894589866</v>
      </c>
    </row>
    <row r="1087">
      <c r="A1087" s="0" t="n">
        <v>80</v>
      </c>
      <c r="B1087" s="0" t="inlineStr">
        <is>
          <t>Badpants</t>
        </is>
      </c>
      <c r="C1087" s="0" t="inlineStr">
        <is>
          <t>Mafia</t>
        </is>
      </c>
      <c r="D1087" s="0" t="inlineStr">
        <is>
          <t>Win</t>
        </is>
      </c>
      <c r="E1087" s="0" t="n">
        <v>82</v>
      </c>
      <c r="F1087" s="0" t="n">
        <v>19.09907686549489</v>
      </c>
      <c r="G1087" s="0" t="n">
        <v>20.22084240667657</v>
      </c>
      <c r="H1087" s="0" t="n">
        <v>7.273319803529779</v>
      </c>
      <c r="I1087" s="0" t="n">
        <v>551</v>
      </c>
      <c r="J1087" s="0" t="n">
        <v>633</v>
      </c>
      <c r="K1087" s="0" t="n">
        <v>7.334853171309018</v>
      </c>
    </row>
    <row r="1088">
      <c r="A1088" s="0" t="n">
        <v>80</v>
      </c>
      <c r="B1088" s="0" t="inlineStr">
        <is>
          <t>Noah</t>
        </is>
      </c>
      <c r="C1088" s="0" t="inlineStr">
        <is>
          <t>Town</t>
        </is>
      </c>
      <c r="D1088" s="0" t="inlineStr">
        <is>
          <t>Loss</t>
        </is>
      </c>
      <c r="E1088" s="0" t="n">
        <v>-71</v>
      </c>
      <c r="F1088" s="0" t="n">
        <v>28.12175578319027</v>
      </c>
      <c r="G1088" s="0" t="n">
        <v>26.98270296197196</v>
      </c>
      <c r="H1088" s="0" t="n">
        <v>7.328178953687655</v>
      </c>
      <c r="I1088" s="0" t="n">
        <v>1158</v>
      </c>
      <c r="J1088" s="0" t="n">
        <v>1087</v>
      </c>
      <c r="K1088" s="0" t="n">
        <v>7.391165410050728</v>
      </c>
    </row>
    <row r="1089">
      <c r="A1089" s="0" t="n">
        <v>80</v>
      </c>
      <c r="B1089" s="0" t="inlineStr">
        <is>
          <t>Brownkow</t>
        </is>
      </c>
      <c r="C1089" s="0" t="inlineStr">
        <is>
          <t>Town</t>
        </is>
      </c>
      <c r="D1089" s="0" t="inlineStr">
        <is>
          <t>Loss</t>
        </is>
      </c>
      <c r="E1089" s="0" t="n">
        <v>-65</v>
      </c>
      <c r="F1089" s="0" t="n">
        <v>27.71439089177594</v>
      </c>
      <c r="G1089" s="0" t="n">
        <v>26.68694368076291</v>
      </c>
      <c r="H1089" s="0" t="n">
        <v>6.965861800257425</v>
      </c>
      <c r="I1089" s="0" t="n">
        <v>1169</v>
      </c>
      <c r="J1089" s="0" t="n">
        <v>1104</v>
      </c>
      <c r="K1089" s="0" t="n">
        <v>7.019665709534649</v>
      </c>
    </row>
    <row r="1090">
      <c r="A1090" s="0" t="n">
        <v>80</v>
      </c>
      <c r="B1090" s="0" t="inlineStr">
        <is>
          <t>Plen</t>
        </is>
      </c>
      <c r="C1090" s="0" t="inlineStr">
        <is>
          <t>Town</t>
        </is>
      </c>
      <c r="D1090" s="0" t="inlineStr">
        <is>
          <t>Loss</t>
        </is>
      </c>
      <c r="E1090" s="0" t="n">
        <v>-70</v>
      </c>
      <c r="F1090" s="0" t="n">
        <v>17.58342707124597</v>
      </c>
      <c r="G1090" s="0" t="n">
        <v>16.46165812981885</v>
      </c>
      <c r="H1090" s="0" t="n">
        <v>7.273330637411727</v>
      </c>
      <c r="I1090" s="0" t="n">
        <v>448</v>
      </c>
      <c r="J1090" s="0" t="n">
        <v>378</v>
      </c>
      <c r="K1090" s="0" t="n">
        <v>7.334864289905962</v>
      </c>
    </row>
    <row r="1091">
      <c r="A1091" s="0" t="n">
        <v>80</v>
      </c>
      <c r="B1091" s="0" t="inlineStr">
        <is>
          <t>Carson</t>
        </is>
      </c>
      <c r="C1091" s="0" t="inlineStr">
        <is>
          <t>Town</t>
        </is>
      </c>
      <c r="D1091" s="0" t="inlineStr">
        <is>
          <t>Loss</t>
        </is>
      </c>
      <c r="E1091" s="0" t="n">
        <v>-72</v>
      </c>
      <c r="F1091" s="0" t="n">
        <v>26.67675471242672</v>
      </c>
      <c r="G1091" s="0" t="n">
        <v>25.51370667291212</v>
      </c>
      <c r="H1091" s="0" t="n">
        <v>7.40360297895401</v>
      </c>
      <c r="I1091" s="0" t="n">
        <v>1052</v>
      </c>
      <c r="J1091" s="0" t="n">
        <v>980</v>
      </c>
      <c r="K1091" s="0" t="n">
        <v>7.468624698025653</v>
      </c>
    </row>
    <row r="1092">
      <c r="A1092" s="0" t="n">
        <v>80</v>
      </c>
      <c r="B1092" s="0" t="inlineStr">
        <is>
          <t>Mintt</t>
        </is>
      </c>
      <c r="C1092" s="0" t="inlineStr">
        <is>
          <t>Town</t>
        </is>
      </c>
      <c r="D1092" s="0" t="inlineStr">
        <is>
          <t>Loss</t>
        </is>
      </c>
      <c r="E1092" s="0" t="n">
        <v>-76</v>
      </c>
      <c r="F1092" s="0" t="n">
        <v>26.47054038581475</v>
      </c>
      <c r="G1092" s="0" t="n">
        <v>25.24916907537071</v>
      </c>
      <c r="H1092" s="0" t="n">
        <v>7.58357471545211</v>
      </c>
      <c r="I1092" s="0" t="n">
        <v>1019</v>
      </c>
      <c r="J1092" s="0" t="n">
        <v>943</v>
      </c>
      <c r="K1092" s="0" t="n">
        <v>7.653631102424436</v>
      </c>
    </row>
    <row r="1093">
      <c r="A1093" s="0" t="n">
        <v>80</v>
      </c>
      <c r="B1093" s="0" t="inlineStr">
        <is>
          <t>Hunterxp</t>
        </is>
      </c>
      <c r="C1093" s="0" t="inlineStr">
        <is>
          <t>Town</t>
        </is>
      </c>
      <c r="D1093" s="0" t="inlineStr">
        <is>
          <t>Loss</t>
        </is>
      </c>
      <c r="E1093" s="0" t="n">
        <v>-83</v>
      </c>
      <c r="F1093" s="0" t="n">
        <v>25.36326637481806</v>
      </c>
      <c r="G1093" s="0" t="n">
        <v>24.01143974979296</v>
      </c>
      <c r="H1093" s="0" t="n">
        <v>7.970317867904971</v>
      </c>
      <c r="I1093" s="0" t="n">
        <v>903</v>
      </c>
      <c r="J1093" s="0" t="n">
        <v>820</v>
      </c>
      <c r="K1093" s="0" t="n">
        <v>8.052073748004895</v>
      </c>
    </row>
    <row r="1094">
      <c r="A1094" s="0" t="n">
        <v>80</v>
      </c>
      <c r="B1094" s="0" t="inlineStr">
        <is>
          <t>Sam</t>
        </is>
      </c>
      <c r="C1094" s="0" t="inlineStr">
        <is>
          <t>Town</t>
        </is>
      </c>
      <c r="D1094" s="0" t="inlineStr">
        <is>
          <t>Loss</t>
        </is>
      </c>
      <c r="E1094" s="0" t="n">
        <v>-85</v>
      </c>
      <c r="F1094" s="0" t="n">
        <v>26.54411386361047</v>
      </c>
      <c r="G1094" s="0" t="n">
        <v>25.1823131457933</v>
      </c>
      <c r="H1094" s="0" t="n">
        <v>7.999054055272456</v>
      </c>
      <c r="I1094" s="0" t="n">
        <v>981</v>
      </c>
      <c r="J1094" s="0" t="n">
        <v>896</v>
      </c>
      <c r="K1094" s="0" t="n">
        <v>8.081728762326414</v>
      </c>
    </row>
    <row r="1095">
      <c r="A1095" s="0" t="n">
        <v>80</v>
      </c>
      <c r="B1095" s="0" t="inlineStr">
        <is>
          <t>Rollo</t>
        </is>
      </c>
      <c r="C1095" s="0" t="inlineStr">
        <is>
          <t>Town</t>
        </is>
      </c>
      <c r="D1095" s="0" t="inlineStr">
        <is>
          <t>Loss</t>
        </is>
      </c>
      <c r="E1095" s="0" t="n">
        <v>-81</v>
      </c>
      <c r="F1095" s="0" t="n">
        <v>26.79912256687509</v>
      </c>
      <c r="G1095" s="0" t="n">
        <v>25.49837988367381</v>
      </c>
      <c r="H1095" s="0" t="n">
        <v>7.821341875408027</v>
      </c>
      <c r="I1095" s="0" t="n">
        <v>1017</v>
      </c>
      <c r="J1095" s="0" t="n">
        <v>936</v>
      </c>
      <c r="K1095" s="0" t="n">
        <v>7.898445511187384</v>
      </c>
    </row>
    <row r="1096">
      <c r="A1096" s="0" t="n">
        <v>80</v>
      </c>
      <c r="B1096" s="0" t="inlineStr">
        <is>
          <t>Rocker</t>
        </is>
      </c>
      <c r="C1096" s="0" t="inlineStr">
        <is>
          <t>Town</t>
        </is>
      </c>
      <c r="D1096" s="0" t="inlineStr">
        <is>
          <t>Loss</t>
        </is>
      </c>
      <c r="E1096" s="0" t="n">
        <v>-65</v>
      </c>
      <c r="F1096" s="0" t="n">
        <v>28.34043055221288</v>
      </c>
      <c r="G1096" s="0" t="n">
        <v>27.29557224091715</v>
      </c>
      <c r="H1096" s="0" t="n">
        <v>7.023700198106308</v>
      </c>
      <c r="I1096" s="0" t="n">
        <v>1205</v>
      </c>
      <c r="J1096" s="0" t="n">
        <v>1140</v>
      </c>
      <c r="K1096" s="0" t="n">
        <v>7.078905373861438</v>
      </c>
    </row>
    <row r="1097">
      <c r="A1097" s="0" t="n">
        <v>80</v>
      </c>
      <c r="B1097" s="0" t="inlineStr">
        <is>
          <t>Steep</t>
        </is>
      </c>
      <c r="C1097" s="0" t="inlineStr">
        <is>
          <t>Town</t>
        </is>
      </c>
      <c r="D1097" s="0" t="inlineStr">
        <is>
          <t>Loss</t>
        </is>
      </c>
      <c r="E1097" s="0" t="n">
        <v>-89</v>
      </c>
      <c r="F1097" s="0" t="n">
        <v>25</v>
      </c>
      <c r="G1097" s="0" t="n">
        <v>23.55209998895877</v>
      </c>
      <c r="H1097" s="0" t="n">
        <v>8.242587014919346</v>
      </c>
      <c r="I1097" s="0" t="n">
        <v>850</v>
      </c>
      <c r="J1097" s="0" t="n">
        <v>761</v>
      </c>
      <c r="K1097" s="0" t="n">
        <v>8.333333333333334</v>
      </c>
    </row>
    <row r="1098">
      <c r="A1098" s="0" t="n">
        <v>79</v>
      </c>
      <c r="B1098" s="0" t="inlineStr">
        <is>
          <t>Whyin</t>
        </is>
      </c>
      <c r="C1098" s="0" t="inlineStr">
        <is>
          <t>Mafia</t>
        </is>
      </c>
      <c r="D1098" s="0" t="inlineStr">
        <is>
          <t>Win</t>
        </is>
      </c>
      <c r="E1098" s="0" t="n">
        <v>73</v>
      </c>
      <c r="F1098" s="0" t="n">
        <v>25.82926055546467</v>
      </c>
      <c r="G1098" s="0" t="n">
        <v>26.8088611903332</v>
      </c>
      <c r="H1098" s="0" t="n">
        <v>7.396637697647938</v>
      </c>
      <c r="I1098" s="0" t="n">
        <v>996</v>
      </c>
      <c r="J1098" s="0" t="n">
        <v>1069</v>
      </c>
      <c r="K1098" s="0" t="n">
        <v>7.45649394776227</v>
      </c>
    </row>
    <row r="1099">
      <c r="A1099" s="0" t="n">
        <v>79</v>
      </c>
      <c r="B1099" s="0" t="inlineStr">
        <is>
          <t>Doublea</t>
        </is>
      </c>
      <c r="C1099" s="0" t="inlineStr">
        <is>
          <t>Mafia</t>
        </is>
      </c>
      <c r="D1099" s="0" t="inlineStr">
        <is>
          <t>Win</t>
        </is>
      </c>
      <c r="E1099" s="0" t="n">
        <v>82</v>
      </c>
      <c r="F1099" s="0" t="n">
        <v>20.94990996970977</v>
      </c>
      <c r="G1099" s="0" t="n">
        <v>22.04877275410904</v>
      </c>
      <c r="H1099" s="0" t="n">
        <v>7.826123203164123</v>
      </c>
      <c r="I1099" s="0" t="n">
        <v>619</v>
      </c>
      <c r="J1099" s="0" t="n">
        <v>701</v>
      </c>
      <c r="K1099" s="0" t="n">
        <v>7.897435945407052</v>
      </c>
    </row>
    <row r="1100">
      <c r="A1100" s="0" t="n">
        <v>79</v>
      </c>
      <c r="B1100" s="0" t="inlineStr">
        <is>
          <t>Strik3r</t>
        </is>
      </c>
      <c r="C1100" s="0" t="inlineStr">
        <is>
          <t>Mafia</t>
        </is>
      </c>
      <c r="D1100" s="0" t="inlineStr">
        <is>
          <t>Win</t>
        </is>
      </c>
      <c r="E1100" s="0" t="n">
        <v>80</v>
      </c>
      <c r="F1100" s="0" t="n">
        <v>27.10406016327419</v>
      </c>
      <c r="G1100" s="0" t="n">
        <v>28.18340506877761</v>
      </c>
      <c r="H1100" s="0" t="n">
        <v>7.757580648822663</v>
      </c>
      <c r="I1100" s="0" t="n">
        <v>1045</v>
      </c>
      <c r="J1100" s="0" t="n">
        <v>1125</v>
      </c>
      <c r="K1100" s="0" t="n">
        <v>7.826973671166071</v>
      </c>
    </row>
    <row r="1101">
      <c r="A1101" s="0" t="n">
        <v>79</v>
      </c>
      <c r="B1101" s="0" t="inlineStr">
        <is>
          <t>Carson</t>
        </is>
      </c>
      <c r="C1101" s="0" t="inlineStr">
        <is>
          <t>Town</t>
        </is>
      </c>
      <c r="D1101" s="0" t="inlineStr">
        <is>
          <t>Loss</t>
        </is>
      </c>
      <c r="E1101" s="0" t="n">
        <v>-62</v>
      </c>
      <c r="F1101" s="0" t="n">
        <v>27.67584245714018</v>
      </c>
      <c r="G1101" s="0" t="n">
        <v>26.67675471242672</v>
      </c>
      <c r="H1101" s="0" t="n">
        <v>7.468624698025653</v>
      </c>
      <c r="I1101" s="0" t="n">
        <v>1114</v>
      </c>
      <c r="J1101" s="0" t="n">
        <v>1052</v>
      </c>
      <c r="K1101" s="0" t="n">
        <v>7.530307628454438</v>
      </c>
    </row>
    <row r="1102">
      <c r="A1102" s="0" t="n">
        <v>79</v>
      </c>
      <c r="B1102" s="0" t="inlineStr">
        <is>
          <t>Sam</t>
        </is>
      </c>
      <c r="C1102" s="0" t="inlineStr">
        <is>
          <t>Town</t>
        </is>
      </c>
      <c r="D1102" s="0" t="inlineStr">
        <is>
          <t>Loss</t>
        </is>
      </c>
      <c r="E1102" s="0" t="n">
        <v>-71</v>
      </c>
      <c r="F1102" s="0" t="n">
        <v>27.7173954118607</v>
      </c>
      <c r="G1102" s="0" t="n">
        <v>26.54411386361047</v>
      </c>
      <c r="H1102" s="0" t="n">
        <v>8.081728762326414</v>
      </c>
      <c r="I1102" s="0" t="n">
        <v>1052</v>
      </c>
      <c r="J1102" s="0" t="n">
        <v>981</v>
      </c>
      <c r="K1102" s="0" t="n">
        <v>8.160517645268328</v>
      </c>
    </row>
    <row r="1103">
      <c r="A1103" s="0" t="n">
        <v>79</v>
      </c>
      <c r="B1103" s="0" t="inlineStr">
        <is>
          <t>23flash</t>
        </is>
      </c>
      <c r="C1103" s="0" t="inlineStr">
        <is>
          <t>Town</t>
        </is>
      </c>
      <c r="D1103" s="0" t="inlineStr">
        <is>
          <t>Loss</t>
        </is>
      </c>
      <c r="E1103" s="0" t="n">
        <v>-69</v>
      </c>
      <c r="F1103" s="0" t="n">
        <v>25.39197712088996</v>
      </c>
      <c r="G1103" s="0" t="n">
        <v>24.25236153641641</v>
      </c>
      <c r="H1103" s="0" t="n">
        <v>7.967193031962815</v>
      </c>
      <c r="I1103" s="0" t="n">
        <v>906</v>
      </c>
      <c r="J1103" s="0" t="n">
        <v>837</v>
      </c>
      <c r="K1103" s="0" t="n">
        <v>8.042569348449391</v>
      </c>
    </row>
    <row r="1104">
      <c r="A1104" s="0" t="n">
        <v>79</v>
      </c>
      <c r="B1104" s="0" t="inlineStr">
        <is>
          <t>Pinkee</t>
        </is>
      </c>
      <c r="C1104" s="0" t="inlineStr">
        <is>
          <t>Town</t>
        </is>
      </c>
      <c r="D1104" s="0" t="inlineStr">
        <is>
          <t>Loss</t>
        </is>
      </c>
      <c r="E1104" s="0" t="n">
        <v>-74</v>
      </c>
      <c r="F1104" s="0" t="n">
        <v>26.33240706610367</v>
      </c>
      <c r="G1104" s="0" t="n">
        <v>25.13167272867374</v>
      </c>
      <c r="H1104" s="0" t="n">
        <v>8.173842485963227</v>
      </c>
      <c r="I1104" s="0" t="n">
        <v>949</v>
      </c>
      <c r="J1104" s="0" t="n">
        <v>875</v>
      </c>
      <c r="K1104" s="0" t="n">
        <v>8.255450895429567</v>
      </c>
    </row>
    <row r="1105">
      <c r="A1105" s="0" t="n">
        <v>79</v>
      </c>
      <c r="B1105" s="0" t="inlineStr">
        <is>
          <t>Streety</t>
        </is>
      </c>
      <c r="C1105" s="0" t="inlineStr">
        <is>
          <t>Town</t>
        </is>
      </c>
      <c r="D1105" s="0" t="inlineStr">
        <is>
          <t>Loss</t>
        </is>
      </c>
      <c r="E1105" s="0" t="n">
        <v>-69</v>
      </c>
      <c r="F1105" s="0" t="n">
        <v>26.75784033738538</v>
      </c>
      <c r="G1105" s="0" t="n">
        <v>25.6415872883446</v>
      </c>
      <c r="H1105" s="0" t="n">
        <v>7.886654098047265</v>
      </c>
      <c r="I1105" s="0" t="n">
        <v>1008</v>
      </c>
      <c r="J1105" s="0" t="n">
        <v>939</v>
      </c>
      <c r="K1105" s="0" t="n">
        <v>7.959691779009817</v>
      </c>
    </row>
    <row r="1106">
      <c r="A1106" s="0" t="n">
        <v>79</v>
      </c>
      <c r="B1106" s="0" t="inlineStr">
        <is>
          <t>Rick</t>
        </is>
      </c>
      <c r="C1106" s="0" t="inlineStr">
        <is>
          <t>Town</t>
        </is>
      </c>
      <c r="D1106" s="0" t="inlineStr">
        <is>
          <t>Loss</t>
        </is>
      </c>
      <c r="E1106" s="0" t="n">
        <v>-71</v>
      </c>
      <c r="F1106" s="0" t="n">
        <v>26.29276936079681</v>
      </c>
      <c r="G1106" s="0" t="n">
        <v>25.13559045416716</v>
      </c>
      <c r="H1106" s="0" t="n">
        <v>8.027166008810468</v>
      </c>
      <c r="I1106" s="0" t="n">
        <v>961</v>
      </c>
      <c r="J1106" s="0" t="n">
        <v>890</v>
      </c>
      <c r="K1106" s="0" t="n">
        <v>8.104316407990845</v>
      </c>
    </row>
    <row r="1107">
      <c r="A1107" s="0" t="n">
        <v>79</v>
      </c>
      <c r="B1107" s="0" t="inlineStr">
        <is>
          <t>Rollo</t>
        </is>
      </c>
      <c r="C1107" s="0" t="inlineStr">
        <is>
          <t>Town</t>
        </is>
      </c>
      <c r="D1107" s="0" t="inlineStr">
        <is>
          <t>Loss</t>
        </is>
      </c>
      <c r="E1107" s="0" t="n">
        <v>-68</v>
      </c>
      <c r="F1107" s="0" t="n">
        <v>27.91878004314368</v>
      </c>
      <c r="G1107" s="0" t="n">
        <v>26.79912256687509</v>
      </c>
      <c r="H1107" s="0" t="n">
        <v>7.898445511187384</v>
      </c>
      <c r="I1107" s="0" t="n">
        <v>1085</v>
      </c>
      <c r="J1107" s="0" t="n">
        <v>1017</v>
      </c>
      <c r="K1107" s="0" t="n">
        <v>7.971822465672219</v>
      </c>
    </row>
    <row r="1108">
      <c r="A1108" s="0" t="n">
        <v>79</v>
      </c>
      <c r="B1108" s="0" t="inlineStr">
        <is>
          <t>Plen</t>
        </is>
      </c>
      <c r="C1108" s="0" t="inlineStr">
        <is>
          <t>Town</t>
        </is>
      </c>
      <c r="D1108" s="0" t="inlineStr">
        <is>
          <t>Loss</t>
        </is>
      </c>
      <c r="E1108" s="0" t="n">
        <v>-59</v>
      </c>
      <c r="F1108" s="0" t="n">
        <v>18.54646610417694</v>
      </c>
      <c r="G1108" s="0" t="n">
        <v>17.58342707124597</v>
      </c>
      <c r="H1108" s="0" t="n">
        <v>7.334864289905962</v>
      </c>
      <c r="I1108" s="0" t="n">
        <v>507</v>
      </c>
      <c r="J1108" s="0" t="n">
        <v>448</v>
      </c>
      <c r="K1108" s="0" t="n">
        <v>7.393182281552698</v>
      </c>
    </row>
    <row r="1109">
      <c r="A1109" s="0" t="n">
        <v>79</v>
      </c>
      <c r="B1109" s="0" t="inlineStr">
        <is>
          <t>Nick</t>
        </is>
      </c>
      <c r="C1109" s="0" t="inlineStr">
        <is>
          <t>Town</t>
        </is>
      </c>
      <c r="D1109" s="0" t="inlineStr">
        <is>
          <t>Loss</t>
        </is>
      </c>
      <c r="E1109" s="0" t="n">
        <v>-69</v>
      </c>
      <c r="F1109" s="0" t="n">
        <v>25.99120351030925</v>
      </c>
      <c r="G1109" s="0" t="n">
        <v>24.85982416470682</v>
      </c>
      <c r="H1109" s="0" t="n">
        <v>7.938900400140338</v>
      </c>
      <c r="I1109" s="0" t="n">
        <v>950</v>
      </c>
      <c r="J1109" s="0" t="n">
        <v>881</v>
      </c>
      <c r="K1109" s="0" t="n">
        <v>8.0134494771645</v>
      </c>
    </row>
    <row r="1110">
      <c r="A1110" s="0" t="n">
        <v>79</v>
      </c>
      <c r="B1110" s="0" t="inlineStr">
        <is>
          <t>Machop</t>
        </is>
      </c>
      <c r="C1110" s="0" t="inlineStr">
        <is>
          <t>Town</t>
        </is>
      </c>
      <c r="D1110" s="0" t="inlineStr">
        <is>
          <t>Loss</t>
        </is>
      </c>
      <c r="E1110" s="0" t="n">
        <v>-55</v>
      </c>
      <c r="F1110" s="0" t="n">
        <v>25.08230753105762</v>
      </c>
      <c r="G1110" s="0" t="n">
        <v>24.18661294620423</v>
      </c>
      <c r="H1110" s="0" t="n">
        <v>7.077750032432315</v>
      </c>
      <c r="I1110" s="0" t="n">
        <v>978</v>
      </c>
      <c r="J1110" s="0" t="n">
        <v>923</v>
      </c>
      <c r="K1110" s="0" t="n">
        <v>7.129949541436807</v>
      </c>
    </row>
    <row r="1111">
      <c r="A1111" s="0" t="n">
        <v>78</v>
      </c>
      <c r="B1111" s="0" t="inlineStr">
        <is>
          <t>Badpants</t>
        </is>
      </c>
      <c r="C1111" s="0" t="inlineStr">
        <is>
          <t>Mafia</t>
        </is>
      </c>
      <c r="D1111" s="0" t="inlineStr">
        <is>
          <t>Win</t>
        </is>
      </c>
      <c r="E1111" s="0" t="n">
        <v>86</v>
      </c>
      <c r="F1111" s="0" t="n">
        <v>17.93732798783582</v>
      </c>
      <c r="G1111" s="0" t="n">
        <v>19.09907686549489</v>
      </c>
      <c r="H1111" s="0" t="n">
        <v>7.334853171309018</v>
      </c>
      <c r="I1111" s="0" t="n">
        <v>465</v>
      </c>
      <c r="J1111" s="0" t="n">
        <v>551</v>
      </c>
      <c r="K1111" s="0" t="n">
        <v>7.399915603829386</v>
      </c>
    </row>
    <row r="1112">
      <c r="A1112" s="0" t="n">
        <v>78</v>
      </c>
      <c r="B1112" s="0" t="inlineStr">
        <is>
          <t>Brownkow</t>
        </is>
      </c>
      <c r="C1112" s="0" t="inlineStr">
        <is>
          <t>Mafia</t>
        </is>
      </c>
      <c r="D1112" s="0" t="inlineStr">
        <is>
          <t>Win</t>
        </is>
      </c>
      <c r="E1112" s="0" t="n">
        <v>78</v>
      </c>
      <c r="F1112" s="0" t="n">
        <v>26.65197590841708</v>
      </c>
      <c r="G1112" s="0" t="n">
        <v>27.71439089177594</v>
      </c>
      <c r="H1112" s="0" t="n">
        <v>7.019665709534649</v>
      </c>
      <c r="I1112" s="0" t="n">
        <v>1091</v>
      </c>
      <c r="J1112" s="0" t="n">
        <v>1169</v>
      </c>
      <c r="K1112" s="0" t="n">
        <v>7.076426848702818</v>
      </c>
    </row>
    <row r="1113">
      <c r="A1113" s="0" t="n">
        <v>78</v>
      </c>
      <c r="B1113" s="0" t="inlineStr">
        <is>
          <t>Iln</t>
        </is>
      </c>
      <c r="C1113" s="0" t="inlineStr">
        <is>
          <t>Mafia</t>
        </is>
      </c>
      <c r="D1113" s="0" t="inlineStr">
        <is>
          <t>Win</t>
        </is>
      </c>
      <c r="E1113" s="0" t="n">
        <v>88</v>
      </c>
      <c r="F1113" s="0" t="n">
        <v>21.7268940805606</v>
      </c>
      <c r="G1113" s="0" t="n">
        <v>22.9205958865546</v>
      </c>
      <c r="H1113" s="0" t="n">
        <v>7.433197249775811</v>
      </c>
      <c r="I1113" s="0" t="n">
        <v>712</v>
      </c>
      <c r="J1113" s="0" t="n">
        <v>800</v>
      </c>
      <c r="K1113" s="0" t="n">
        <v>7.501007898620864</v>
      </c>
    </row>
    <row r="1114">
      <c r="A1114" s="0" t="n">
        <v>78</v>
      </c>
      <c r="B1114" s="0" t="inlineStr">
        <is>
          <t>Lofty</t>
        </is>
      </c>
      <c r="C1114" s="0" t="inlineStr">
        <is>
          <t>Town</t>
        </is>
      </c>
      <c r="D1114" s="0" t="inlineStr">
        <is>
          <t>Loss</t>
        </is>
      </c>
      <c r="E1114" s="0" t="n">
        <v>-89</v>
      </c>
      <c r="F1114" s="0" t="n">
        <v>23.72260889382646</v>
      </c>
      <c r="G1114" s="0" t="n">
        <v>22.27969582321283</v>
      </c>
      <c r="H1114" s="0" t="n">
        <v>8.156560724370248</v>
      </c>
      <c r="I1114" s="0" t="n">
        <v>772</v>
      </c>
      <c r="J1114" s="0" t="n">
        <v>683</v>
      </c>
      <c r="K1114" s="0" t="n">
        <v>8.247046562991015</v>
      </c>
    </row>
    <row r="1115">
      <c r="A1115" s="0" t="n">
        <v>78</v>
      </c>
      <c r="B1115" s="0" t="inlineStr">
        <is>
          <t>Kden</t>
        </is>
      </c>
      <c r="C1115" s="0" t="inlineStr">
        <is>
          <t>Town</t>
        </is>
      </c>
      <c r="D1115" s="0" t="inlineStr">
        <is>
          <t>Loss</t>
        </is>
      </c>
      <c r="E1115" s="0" t="n">
        <v>-81</v>
      </c>
      <c r="F1115" s="0" t="n">
        <v>26.39364615087477</v>
      </c>
      <c r="G1115" s="0" t="n">
        <v>25.0921793191599</v>
      </c>
      <c r="H1115" s="0" t="n">
        <v>7.75498793254661</v>
      </c>
      <c r="I1115" s="0" t="n">
        <v>996</v>
      </c>
      <c r="J1115" s="0" t="n">
        <v>915</v>
      </c>
      <c r="K1115" s="0" t="n">
        <v>7.832338437318981</v>
      </c>
    </row>
    <row r="1116">
      <c r="A1116" s="0" t="n">
        <v>78</v>
      </c>
      <c r="B1116" s="0" t="inlineStr">
        <is>
          <t>Snazz</t>
        </is>
      </c>
      <c r="C1116" s="0" t="inlineStr">
        <is>
          <t>Town</t>
        </is>
      </c>
      <c r="D1116" s="0" t="inlineStr">
        <is>
          <t>Loss</t>
        </is>
      </c>
      <c r="E1116" s="0" t="n">
        <v>-84</v>
      </c>
      <c r="F1116" s="0" t="n">
        <v>24.92442634109382</v>
      </c>
      <c r="G1116" s="0" t="n">
        <v>23.57335787421301</v>
      </c>
      <c r="H1116" s="0" t="n">
        <v>7.89834129214718</v>
      </c>
      <c r="I1116" s="0" t="n">
        <v>881</v>
      </c>
      <c r="J1116" s="0" t="n">
        <v>797</v>
      </c>
      <c r="K1116" s="0" t="n">
        <v>7.980220132890948</v>
      </c>
    </row>
    <row r="1117">
      <c r="A1117" s="0" t="n">
        <v>78</v>
      </c>
      <c r="B1117" s="0" t="inlineStr">
        <is>
          <t>Chipper</t>
        </is>
      </c>
      <c r="C1117" s="0" t="inlineStr">
        <is>
          <t>Town</t>
        </is>
      </c>
      <c r="D1117" s="0" t="inlineStr">
        <is>
          <t>Loss</t>
        </is>
      </c>
      <c r="E1117" s="0" t="n">
        <v>-72</v>
      </c>
      <c r="F1117" s="0" t="n">
        <v>17.8394105005062</v>
      </c>
      <c r="G1117" s="0" t="n">
        <v>16.68847060661939</v>
      </c>
      <c r="H1117" s="0" t="n">
        <v>7.30126294849761</v>
      </c>
      <c r="I1117" s="0" t="n">
        <v>462</v>
      </c>
      <c r="J1117" s="0" t="n">
        <v>390</v>
      </c>
      <c r="K1117" s="0" t="n">
        <v>7.365404203475874</v>
      </c>
    </row>
    <row r="1118">
      <c r="A1118" s="0" t="n">
        <v>78</v>
      </c>
      <c r="B1118" s="0" t="inlineStr">
        <is>
          <t>Doublea</t>
        </is>
      </c>
      <c r="C1118" s="0" t="inlineStr">
        <is>
          <t>Town</t>
        </is>
      </c>
      <c r="D1118" s="0" t="inlineStr">
        <is>
          <t>Loss</t>
        </is>
      </c>
      <c r="E1118" s="0" t="n">
        <v>-84</v>
      </c>
      <c r="F1118" s="0" t="n">
        <v>22.30066207987982</v>
      </c>
      <c r="G1118" s="0" t="n">
        <v>20.94990996970977</v>
      </c>
      <c r="H1118" s="0" t="n">
        <v>7.897435945407052</v>
      </c>
      <c r="I1118" s="0" t="n">
        <v>703</v>
      </c>
      <c r="J1118" s="0" t="n">
        <v>619</v>
      </c>
      <c r="K1118" s="0" t="n">
        <v>7.979285635295342</v>
      </c>
    </row>
    <row r="1119">
      <c r="A1119" s="0" t="n">
        <v>78</v>
      </c>
      <c r="B1119" s="0" t="inlineStr">
        <is>
          <t>Kwix</t>
        </is>
      </c>
      <c r="C1119" s="0" t="inlineStr">
        <is>
          <t>Town</t>
        </is>
      </c>
      <c r="D1119" s="0" t="inlineStr">
        <is>
          <t>Loss</t>
        </is>
      </c>
      <c r="E1119" s="0" t="n">
        <v>-75</v>
      </c>
      <c r="F1119" s="0" t="n">
        <v>21.96588439334282</v>
      </c>
      <c r="G1119" s="0" t="n">
        <v>20.75280008308063</v>
      </c>
      <c r="H1119" s="0" t="n">
        <v>7.492175682372698</v>
      </c>
      <c r="I1119" s="0" t="n">
        <v>722</v>
      </c>
      <c r="J1119" s="0" t="n">
        <v>647</v>
      </c>
      <c r="K1119" s="0" t="n">
        <v>7.561671505775656</v>
      </c>
    </row>
    <row r="1120">
      <c r="A1120" s="0" t="n">
        <v>78</v>
      </c>
      <c r="B1120" s="0" t="inlineStr">
        <is>
          <t>Machop</t>
        </is>
      </c>
      <c r="C1120" s="0" t="inlineStr">
        <is>
          <t>Town</t>
        </is>
      </c>
      <c r="D1120" s="0" t="inlineStr">
        <is>
          <t>Loss</t>
        </is>
      </c>
      <c r="E1120" s="0" t="n">
        <v>-69</v>
      </c>
      <c r="F1120" s="0" t="n">
        <v>26.1789481108259</v>
      </c>
      <c r="G1120" s="0" t="n">
        <v>25.08230753105762</v>
      </c>
      <c r="H1120" s="0" t="n">
        <v>7.129949541436807</v>
      </c>
      <c r="I1120" s="0" t="n">
        <v>1047</v>
      </c>
      <c r="J1120" s="0" t="n">
        <v>978</v>
      </c>
      <c r="K1120" s="0" t="n">
        <v>7.18952896343886</v>
      </c>
    </row>
    <row r="1121">
      <c r="A1121" s="0" t="n">
        <v>78</v>
      </c>
      <c r="B1121" s="0" t="inlineStr">
        <is>
          <t>Mintt</t>
        </is>
      </c>
      <c r="C1121" s="0" t="inlineStr">
        <is>
          <t>Town</t>
        </is>
      </c>
      <c r="D1121" s="0" t="inlineStr">
        <is>
          <t>Loss</t>
        </is>
      </c>
      <c r="E1121" s="0" t="n">
        <v>-79</v>
      </c>
      <c r="F1121" s="0" t="n">
        <v>27.73753103089889</v>
      </c>
      <c r="G1121" s="0" t="n">
        <v>26.47054038581475</v>
      </c>
      <c r="H1121" s="0" t="n">
        <v>7.653631102424436</v>
      </c>
      <c r="I1121" s="0" t="n">
        <v>1098</v>
      </c>
      <c r="J1121" s="0" t="n">
        <v>1019</v>
      </c>
      <c r="K1121" s="0" t="n">
        <v>7.72788470148486</v>
      </c>
    </row>
    <row r="1122">
      <c r="A1122" s="0" t="n">
        <v>78</v>
      </c>
      <c r="B1122" s="0" t="inlineStr">
        <is>
          <t>Svaan</t>
        </is>
      </c>
      <c r="C1122" s="0" t="inlineStr">
        <is>
          <t>Town</t>
        </is>
      </c>
      <c r="D1122" s="0" t="inlineStr">
        <is>
          <t>Loss</t>
        </is>
      </c>
      <c r="E1122" s="0" t="n">
        <v>-81</v>
      </c>
      <c r="F1122" s="0" t="n">
        <v>25.45055099534885</v>
      </c>
      <c r="G1122" s="0" t="n">
        <v>24.14846649253397</v>
      </c>
      <c r="H1122" s="0" t="n">
        <v>7.756790749583382</v>
      </c>
      <c r="I1122" s="0" t="n">
        <v>932</v>
      </c>
      <c r="J1122" s="0" t="n">
        <v>851</v>
      </c>
      <c r="K1122" s="0" t="n">
        <v>7.834197118441116</v>
      </c>
    </row>
    <row r="1123">
      <c r="A1123" s="0" t="n">
        <v>78</v>
      </c>
      <c r="B1123" s="0" t="inlineStr">
        <is>
          <t>Smit</t>
        </is>
      </c>
      <c r="C1123" s="0" t="inlineStr">
        <is>
          <t>Town</t>
        </is>
      </c>
      <c r="D1123" s="0" t="inlineStr">
        <is>
          <t>Loss</t>
        </is>
      </c>
      <c r="E1123" s="0" t="n">
        <v>-72</v>
      </c>
      <c r="F1123" s="0" t="n">
        <v>25.37653963098055</v>
      </c>
      <c r="G1123" s="0" t="n">
        <v>24.2245172784489</v>
      </c>
      <c r="H1123" s="0" t="n">
        <v>7.304634296544961</v>
      </c>
      <c r="I1123" s="0" t="n">
        <v>974</v>
      </c>
      <c r="J1123" s="0" t="n">
        <v>902</v>
      </c>
      <c r="K1123" s="0" t="n">
        <v>7.368867607927708</v>
      </c>
    </row>
    <row r="1124">
      <c r="A1124" s="0" t="n">
        <v>77</v>
      </c>
      <c r="B1124" s="0" t="inlineStr">
        <is>
          <t>Iln</t>
        </is>
      </c>
      <c r="C1124" s="0" t="inlineStr">
        <is>
          <t>Mafia</t>
        </is>
      </c>
      <c r="D1124" s="0" t="inlineStr">
        <is>
          <t>Win</t>
        </is>
      </c>
      <c r="E1124" s="0" t="n">
        <v>78</v>
      </c>
      <c r="F1124" s="0" t="n">
        <v>20.67407937770981</v>
      </c>
      <c r="G1124" s="0" t="n">
        <v>21.7268940805606</v>
      </c>
      <c r="H1124" s="0" t="n">
        <v>7.501007898620864</v>
      </c>
      <c r="I1124" s="0" t="n">
        <v>634</v>
      </c>
      <c r="J1124" s="0" t="n">
        <v>712</v>
      </c>
      <c r="K1124" s="0" t="n">
        <v>7.565299232033657</v>
      </c>
    </row>
    <row r="1125">
      <c r="A1125" s="0" t="n">
        <v>77</v>
      </c>
      <c r="B1125" s="0" t="inlineStr">
        <is>
          <t>Kden</t>
        </is>
      </c>
      <c r="C1125" s="0" t="inlineStr">
        <is>
          <t>Mafia</t>
        </is>
      </c>
      <c r="D1125" s="0" t="inlineStr">
        <is>
          <t>Win</t>
        </is>
      </c>
      <c r="E1125" s="0" t="n">
        <v>86</v>
      </c>
      <c r="F1125" s="0" t="n">
        <v>25.24392793662648</v>
      </c>
      <c r="G1125" s="0" t="n">
        <v>26.39364615087477</v>
      </c>
      <c r="H1125" s="0" t="n">
        <v>7.832338437318981</v>
      </c>
      <c r="I1125" s="0" t="n">
        <v>910</v>
      </c>
      <c r="J1125" s="0" t="n">
        <v>996</v>
      </c>
      <c r="K1125" s="0" t="n">
        <v>7.905858615592406</v>
      </c>
    </row>
    <row r="1126">
      <c r="A1126" s="0" t="n">
        <v>77</v>
      </c>
      <c r="B1126" s="0" t="inlineStr">
        <is>
          <t>Snazz</t>
        </is>
      </c>
      <c r="C1126" s="0" t="inlineStr">
        <is>
          <t>Mafia</t>
        </is>
      </c>
      <c r="D1126" s="0" t="inlineStr">
        <is>
          <t>Win</t>
        </is>
      </c>
      <c r="E1126" s="0" t="n">
        <v>89</v>
      </c>
      <c r="F1126" s="0" t="n">
        <v>23.72999916048023</v>
      </c>
      <c r="G1126" s="0" t="n">
        <v>24.92442634109382</v>
      </c>
      <c r="H1126" s="0" t="n">
        <v>7.980220132890948</v>
      </c>
      <c r="I1126" s="0" t="n">
        <v>792</v>
      </c>
      <c r="J1126" s="0" t="n">
        <v>881</v>
      </c>
      <c r="K1126" s="0" t="n">
        <v>8.05813384734118</v>
      </c>
    </row>
    <row r="1127">
      <c r="A1127" s="0" t="n">
        <v>77</v>
      </c>
      <c r="B1127" s="0" t="inlineStr">
        <is>
          <t>Kwix</t>
        </is>
      </c>
      <c r="C1127" s="0" t="inlineStr">
        <is>
          <t>Town</t>
        </is>
      </c>
      <c r="D1127" s="0" t="inlineStr">
        <is>
          <t>Loss</t>
        </is>
      </c>
      <c r="E1127" s="0" t="n">
        <v>-66</v>
      </c>
      <c r="F1127" s="0" t="n">
        <v>23.03610475738611</v>
      </c>
      <c r="G1127" s="0" t="n">
        <v>21.96588439334282</v>
      </c>
      <c r="H1127" s="0" t="n">
        <v>7.561671505775656</v>
      </c>
      <c r="I1127" s="0" t="n">
        <v>788</v>
      </c>
      <c r="J1127" s="0" t="n">
        <v>722</v>
      </c>
      <c r="K1127" s="0" t="n">
        <v>7.627590374624376</v>
      </c>
    </row>
    <row r="1128">
      <c r="A1128" s="0" t="n">
        <v>77</v>
      </c>
      <c r="B1128" s="0" t="inlineStr">
        <is>
          <t>Badpants</t>
        </is>
      </c>
      <c r="C1128" s="0" t="inlineStr">
        <is>
          <t>Town</t>
        </is>
      </c>
      <c r="D1128" s="0" t="inlineStr">
        <is>
          <t>Loss</t>
        </is>
      </c>
      <c r="E1128" s="0" t="n">
        <v>-63</v>
      </c>
      <c r="F1128" s="0" t="n">
        <v>18.96147089563797</v>
      </c>
      <c r="G1128" s="0" t="n">
        <v>17.93732798783582</v>
      </c>
      <c r="H1128" s="0" t="n">
        <v>7.399915603829386</v>
      </c>
      <c r="I1128" s="0" t="n">
        <v>528</v>
      </c>
      <c r="J1128" s="0" t="n">
        <v>465</v>
      </c>
      <c r="K1128" s="0" t="n">
        <v>7.461555239676328</v>
      </c>
    </row>
    <row r="1129">
      <c r="A1129" s="0" t="n">
        <v>77</v>
      </c>
      <c r="B1129" s="0" t="inlineStr">
        <is>
          <t>Lofty</t>
        </is>
      </c>
      <c r="C1129" s="0" t="inlineStr">
        <is>
          <t>Town</t>
        </is>
      </c>
      <c r="D1129" s="0" t="inlineStr">
        <is>
          <t>Loss</t>
        </is>
      </c>
      <c r="E1129" s="0" t="n">
        <v>-78</v>
      </c>
      <c r="F1129" s="0" t="n">
        <v>25</v>
      </c>
      <c r="G1129" s="0" t="n">
        <v>23.72260889382646</v>
      </c>
      <c r="H1129" s="0" t="n">
        <v>8.247046562991015</v>
      </c>
      <c r="I1129" s="0" t="n">
        <v>850</v>
      </c>
      <c r="J1129" s="0" t="n">
        <v>772</v>
      </c>
      <c r="K1129" s="0" t="n">
        <v>8.333333333333334</v>
      </c>
    </row>
    <row r="1130">
      <c r="A1130" s="0" t="n">
        <v>77</v>
      </c>
      <c r="B1130" s="0" t="inlineStr">
        <is>
          <t>Rocker</t>
        </is>
      </c>
      <c r="C1130" s="0" t="inlineStr">
        <is>
          <t>Town</t>
        </is>
      </c>
      <c r="D1130" s="0" t="inlineStr">
        <is>
          <t>Loss</t>
        </is>
      </c>
      <c r="E1130" s="0" t="n">
        <v>-58</v>
      </c>
      <c r="F1130" s="0" t="n">
        <v>29.27628114406524</v>
      </c>
      <c r="G1130" s="0" t="n">
        <v>28.34043055221288</v>
      </c>
      <c r="H1130" s="0" t="n">
        <v>7.078905373861438</v>
      </c>
      <c r="I1130" s="0" t="n">
        <v>1263</v>
      </c>
      <c r="J1130" s="0" t="n">
        <v>1205</v>
      </c>
      <c r="K1130" s="0" t="n">
        <v>7.132612946574547</v>
      </c>
    </row>
    <row r="1131">
      <c r="A1131" s="0" t="n">
        <v>77</v>
      </c>
      <c r="B1131" s="0" t="inlineStr">
        <is>
          <t>Brownkow</t>
        </is>
      </c>
      <c r="C1131" s="0" t="inlineStr">
        <is>
          <t>Town</t>
        </is>
      </c>
      <c r="D1131" s="0" t="inlineStr">
        <is>
          <t>Loss</t>
        </is>
      </c>
      <c r="E1131" s="0" t="n">
        <v>-58</v>
      </c>
      <c r="F1131" s="0" t="n">
        <v>27.58716101760242</v>
      </c>
      <c r="G1131" s="0" t="n">
        <v>26.65197590841708</v>
      </c>
      <c r="H1131" s="0" t="n">
        <v>7.076426848702818</v>
      </c>
      <c r="I1131" s="0" t="n">
        <v>1149</v>
      </c>
      <c r="J1131" s="0" t="n">
        <v>1091</v>
      </c>
      <c r="K1131" s="0" t="n">
        <v>7.130075999007779</v>
      </c>
    </row>
    <row r="1132">
      <c r="A1132" s="0" t="n">
        <v>77</v>
      </c>
      <c r="B1132" s="0" t="inlineStr">
        <is>
          <t>Chipper</t>
        </is>
      </c>
      <c r="C1132" s="0" t="inlineStr">
        <is>
          <t>Town</t>
        </is>
      </c>
      <c r="D1132" s="0" t="inlineStr">
        <is>
          <t>Loss</t>
        </is>
      </c>
      <c r="E1132" s="0" t="n">
        <v>-63</v>
      </c>
      <c r="F1132" s="0" t="n">
        <v>18.85386061000719</v>
      </c>
      <c r="G1132" s="0" t="n">
        <v>17.8394105005062</v>
      </c>
      <c r="H1132" s="0" t="n">
        <v>7.365404203475874</v>
      </c>
      <c r="I1132" s="0" t="n">
        <v>525</v>
      </c>
      <c r="J1132" s="0" t="n">
        <v>462</v>
      </c>
      <c r="K1132" s="0" t="n">
        <v>7.426155717426675</v>
      </c>
    </row>
    <row r="1133">
      <c r="A1133" s="0" t="n">
        <v>77</v>
      </c>
      <c r="B1133" s="0" t="inlineStr">
        <is>
          <t>Doublea</t>
        </is>
      </c>
      <c r="C1133" s="0" t="inlineStr">
        <is>
          <t>Town</t>
        </is>
      </c>
      <c r="D1133" s="0" t="inlineStr">
        <is>
          <t>Loss</t>
        </is>
      </c>
      <c r="E1133" s="0" t="n">
        <v>-73</v>
      </c>
      <c r="F1133" s="0" t="n">
        <v>23.49480389497808</v>
      </c>
      <c r="G1133" s="0" t="n">
        <v>22.30066207987982</v>
      </c>
      <c r="H1133" s="0" t="n">
        <v>7.979285635295342</v>
      </c>
      <c r="I1133" s="0" t="n">
        <v>776</v>
      </c>
      <c r="J1133" s="0" t="n">
        <v>703</v>
      </c>
      <c r="K1133" s="0" t="n">
        <v>8.057171040610838</v>
      </c>
    </row>
    <row r="1134">
      <c r="A1134" s="0" t="n">
        <v>77</v>
      </c>
      <c r="B1134" s="0" t="inlineStr">
        <is>
          <t>Machop</t>
        </is>
      </c>
      <c r="C1134" s="0" t="inlineStr">
        <is>
          <t>Town</t>
        </is>
      </c>
      <c r="D1134" s="0" t="inlineStr">
        <is>
          <t>Loss</t>
        </is>
      </c>
      <c r="E1134" s="0" t="n">
        <v>-60</v>
      </c>
      <c r="F1134" s="0" t="n">
        <v>27.14475376194815</v>
      </c>
      <c r="G1134" s="0" t="n">
        <v>26.1789481108259</v>
      </c>
      <c r="H1134" s="0" t="n">
        <v>7.18952896343886</v>
      </c>
      <c r="I1134" s="0" t="n">
        <v>1107</v>
      </c>
      <c r="J1134" s="0" t="n">
        <v>1047</v>
      </c>
      <c r="K1134" s="0" t="n">
        <v>7.245887599127521</v>
      </c>
    </row>
    <row r="1135">
      <c r="A1135" s="0" t="n">
        <v>77</v>
      </c>
      <c r="B1135" s="0" t="inlineStr">
        <is>
          <t>Smit</t>
        </is>
      </c>
      <c r="C1135" s="0" t="inlineStr">
        <is>
          <t>Town</t>
        </is>
      </c>
      <c r="D1135" s="0" t="inlineStr">
        <is>
          <t>Loss</t>
        </is>
      </c>
      <c r="E1135" s="0" t="n">
        <v>-63</v>
      </c>
      <c r="F1135" s="0" t="n">
        <v>26.39196027729117</v>
      </c>
      <c r="G1135" s="0" t="n">
        <v>25.37653963098055</v>
      </c>
      <c r="H1135" s="0" t="n">
        <v>7.368867607927708</v>
      </c>
      <c r="I1135" s="0" t="n">
        <v>1037</v>
      </c>
      <c r="J1135" s="0" t="n">
        <v>974</v>
      </c>
      <c r="K1135" s="0" t="n">
        <v>7.429707858968588</v>
      </c>
    </row>
    <row r="1136">
      <c r="A1136" s="0" t="n">
        <v>77</v>
      </c>
      <c r="B1136" s="0" t="inlineStr">
        <is>
          <t>Svaan</t>
        </is>
      </c>
      <c r="C1136" s="0" t="inlineStr">
        <is>
          <t>Town</t>
        </is>
      </c>
      <c r="D1136" s="0" t="inlineStr">
        <is>
          <t>Loss</t>
        </is>
      </c>
      <c r="E1136" s="0" t="n">
        <v>-70</v>
      </c>
      <c r="F1136" s="0" t="n">
        <v>26.60082553942299</v>
      </c>
      <c r="G1136" s="0" t="n">
        <v>25.45055099534885</v>
      </c>
      <c r="H1136" s="0" t="n">
        <v>7.834197118441116</v>
      </c>
      <c r="I1136" s="0" t="n">
        <v>1002</v>
      </c>
      <c r="J1136" s="0" t="n">
        <v>932</v>
      </c>
      <c r="K1136" s="0" t="n">
        <v>7.907771448007233</v>
      </c>
    </row>
    <row r="1137">
      <c r="A1137" s="0" t="n">
        <v>76</v>
      </c>
      <c r="B1137" s="0" t="inlineStr">
        <is>
          <t>Noah</t>
        </is>
      </c>
      <c r="C1137" s="0" t="inlineStr">
        <is>
          <t>Mafia</t>
        </is>
      </c>
      <c r="D1137" s="0" t="inlineStr">
        <is>
          <t>Win</t>
        </is>
      </c>
      <c r="E1137" s="0" t="n">
        <v>67</v>
      </c>
      <c r="F1137" s="0" t="n">
        <v>27.21829997751944</v>
      </c>
      <c r="G1137" s="0" t="n">
        <v>28.12175578319027</v>
      </c>
      <c r="H1137" s="0" t="n">
        <v>7.391165410050728</v>
      </c>
      <c r="I1137" s="0" t="n">
        <v>1091</v>
      </c>
      <c r="J1137" s="0" t="n">
        <v>1158</v>
      </c>
      <c r="K1137" s="0" t="n">
        <v>7.44944120364504</v>
      </c>
    </row>
    <row r="1138">
      <c r="A1138" s="0" t="n">
        <v>76</v>
      </c>
      <c r="B1138" s="0" t="inlineStr">
        <is>
          <t>Strik3r</t>
        </is>
      </c>
      <c r="C1138" s="0" t="inlineStr">
        <is>
          <t>Mafia</t>
        </is>
      </c>
      <c r="D1138" s="0" t="inlineStr">
        <is>
          <t>Win</t>
        </is>
      </c>
      <c r="E1138" s="0" t="n">
        <v>76</v>
      </c>
      <c r="F1138" s="0" t="n">
        <v>26.08891186923921</v>
      </c>
      <c r="G1138" s="0" t="n">
        <v>27.10406016327419</v>
      </c>
      <c r="H1138" s="0" t="n">
        <v>7.826973671166071</v>
      </c>
      <c r="I1138" s="0" t="n">
        <v>969</v>
      </c>
      <c r="J1138" s="0" t="n">
        <v>1045</v>
      </c>
      <c r="K1138" s="0" t="n">
        <v>7.896584554039846</v>
      </c>
    </row>
    <row r="1139">
      <c r="A1139" s="0" t="n">
        <v>76</v>
      </c>
      <c r="B1139" s="0" t="inlineStr">
        <is>
          <t>Snazz</t>
        </is>
      </c>
      <c r="C1139" s="0" t="inlineStr">
        <is>
          <t>Mafia</t>
        </is>
      </c>
      <c r="D1139" s="0" t="inlineStr">
        <is>
          <t>Win</t>
        </is>
      </c>
      <c r="E1139" s="0" t="n">
        <v>81</v>
      </c>
      <c r="F1139" s="0" t="n">
        <v>22.65281624290965</v>
      </c>
      <c r="G1139" s="0" t="n">
        <v>23.72999916048023</v>
      </c>
      <c r="H1139" s="0" t="n">
        <v>8.05813384734118</v>
      </c>
      <c r="I1139" s="0" t="n">
        <v>711</v>
      </c>
      <c r="J1139" s="0" t="n">
        <v>792</v>
      </c>
      <c r="K1139" s="0" t="n">
        <v>8.134320494275224</v>
      </c>
    </row>
    <row r="1140">
      <c r="A1140" s="0" t="n">
        <v>76</v>
      </c>
      <c r="B1140" s="0" t="inlineStr">
        <is>
          <t>Rocker</t>
        </is>
      </c>
      <c r="C1140" s="0" t="inlineStr">
        <is>
          <t>Town</t>
        </is>
      </c>
      <c r="D1140" s="0" t="inlineStr">
        <is>
          <t>Loss</t>
        </is>
      </c>
      <c r="E1140" s="0" t="n">
        <v>-52</v>
      </c>
      <c r="F1140" s="0" t="n">
        <v>30.11669529025404</v>
      </c>
      <c r="G1140" s="0" t="n">
        <v>29.27628114406524</v>
      </c>
      <c r="H1140" s="0" t="n">
        <v>7.132612946574547</v>
      </c>
      <c r="I1140" s="0" t="n">
        <v>1315</v>
      </c>
      <c r="J1140" s="0" t="n">
        <v>1263</v>
      </c>
      <c r="K1140" s="0" t="n">
        <v>7.184788396315327</v>
      </c>
    </row>
    <row r="1141">
      <c r="A1141" s="0" t="n">
        <v>76</v>
      </c>
      <c r="B1141" s="0" t="inlineStr">
        <is>
          <t>Brownkow</t>
        </is>
      </c>
      <c r="C1141" s="0" t="inlineStr">
        <is>
          <t>Town</t>
        </is>
      </c>
      <c r="D1141" s="0" t="inlineStr">
        <is>
          <t>Loss</t>
        </is>
      </c>
      <c r="E1141" s="0" t="n">
        <v>-51</v>
      </c>
      <c r="F1141" s="0" t="n">
        <v>28.42696840629738</v>
      </c>
      <c r="G1141" s="0" t="n">
        <v>27.58716101760242</v>
      </c>
      <c r="H1141" s="0" t="n">
        <v>7.130075999007779</v>
      </c>
      <c r="I1141" s="0" t="n">
        <v>1200</v>
      </c>
      <c r="J1141" s="0" t="n">
        <v>1149</v>
      </c>
      <c r="K1141" s="0" t="n">
        <v>7.182193808777031</v>
      </c>
    </row>
    <row r="1142">
      <c r="A1142" s="0" t="n">
        <v>76</v>
      </c>
      <c r="B1142" s="0" t="inlineStr">
        <is>
          <t>Creatchee</t>
        </is>
      </c>
      <c r="C1142" s="0" t="inlineStr">
        <is>
          <t>Town</t>
        </is>
      </c>
      <c r="D1142" s="0" t="inlineStr">
        <is>
          <t>Loss</t>
        </is>
      </c>
      <c r="E1142" s="0" t="n">
        <v>-54</v>
      </c>
      <c r="F1142" s="0" t="n">
        <v>31.47980329744144</v>
      </c>
      <c r="G1142" s="0" t="n">
        <v>30.58987301423361</v>
      </c>
      <c r="H1142" s="0" t="n">
        <v>7.336509971265162</v>
      </c>
      <c r="I1142" s="0" t="n">
        <v>1386</v>
      </c>
      <c r="J1142" s="0" t="n">
        <v>1332</v>
      </c>
      <c r="K1142" s="0" t="n">
        <v>7.393458479112163</v>
      </c>
    </row>
    <row r="1143">
      <c r="A1143" s="0" t="n">
        <v>76</v>
      </c>
      <c r="B1143" s="0" t="inlineStr">
        <is>
          <t>Lou</t>
        </is>
      </c>
      <c r="C1143" s="0" t="inlineStr">
        <is>
          <t>Town</t>
        </is>
      </c>
      <c r="D1143" s="0" t="inlineStr">
        <is>
          <t>Loss</t>
        </is>
      </c>
      <c r="E1143" s="0" t="n">
        <v>-52</v>
      </c>
      <c r="F1143" s="0" t="n">
        <v>26.42746506786142</v>
      </c>
      <c r="G1143" s="0" t="n">
        <v>25.59248785237709</v>
      </c>
      <c r="H1143" s="0" t="n">
        <v>7.109846026929839</v>
      </c>
      <c r="I1143" s="0" t="n">
        <v>1067</v>
      </c>
      <c r="J1143" s="0" t="n">
        <v>1015</v>
      </c>
      <c r="K1143" s="0" t="n">
        <v>7.161505725367485</v>
      </c>
    </row>
    <row r="1144">
      <c r="A1144" s="0" t="n">
        <v>76</v>
      </c>
      <c r="B1144" s="0" t="inlineStr">
        <is>
          <t>Aipha</t>
        </is>
      </c>
      <c r="C1144" s="0" t="inlineStr">
        <is>
          <t>Town</t>
        </is>
      </c>
      <c r="D1144" s="0" t="inlineStr">
        <is>
          <t>Loss</t>
        </is>
      </c>
      <c r="E1144" s="0" t="n">
        <v>-61</v>
      </c>
      <c r="F1144" s="0" t="n">
        <v>26.00664688376839</v>
      </c>
      <c r="G1144" s="0" t="n">
        <v>25.00471208653498</v>
      </c>
      <c r="H1144" s="0" t="n">
        <v>7.776779991045816</v>
      </c>
      <c r="I1144" s="0" t="n">
        <v>968</v>
      </c>
      <c r="J1144" s="0" t="n">
        <v>907</v>
      </c>
      <c r="K1144" s="0" t="n">
        <v>7.845015683737771</v>
      </c>
    </row>
    <row r="1145">
      <c r="A1145" s="0" t="n">
        <v>76</v>
      </c>
      <c r="B1145" s="0" t="inlineStr">
        <is>
          <t>Kwix</t>
        </is>
      </c>
      <c r="C1145" s="0" t="inlineStr">
        <is>
          <t>Town</t>
        </is>
      </c>
      <c r="D1145" s="0" t="inlineStr">
        <is>
          <t>Loss</t>
        </is>
      </c>
      <c r="E1145" s="0" t="n">
        <v>-59</v>
      </c>
      <c r="F1145" s="0" t="n">
        <v>23.99930358650988</v>
      </c>
      <c r="G1145" s="0" t="n">
        <v>23.03610475738611</v>
      </c>
      <c r="H1145" s="0" t="n">
        <v>7.627590374624376</v>
      </c>
      <c r="I1145" s="0" t="n">
        <v>847</v>
      </c>
      <c r="J1145" s="0" t="n">
        <v>788</v>
      </c>
      <c r="K1145" s="0" t="n">
        <v>7.691847057080926</v>
      </c>
    </row>
    <row r="1146">
      <c r="A1146" s="0" t="n">
        <v>76</v>
      </c>
      <c r="B1146" s="0" t="inlineStr">
        <is>
          <t>Mintt</t>
        </is>
      </c>
      <c r="C1146" s="0" t="inlineStr">
        <is>
          <t>Town</t>
        </is>
      </c>
      <c r="D1146" s="0" t="inlineStr">
        <is>
          <t>Loss</t>
        </is>
      </c>
      <c r="E1146" s="0" t="n">
        <v>-60</v>
      </c>
      <c r="F1146" s="0" t="n">
        <v>28.72668188213419</v>
      </c>
      <c r="G1146" s="0" t="n">
        <v>27.73753103089889</v>
      </c>
      <c r="H1146" s="0" t="n">
        <v>7.72788470148486</v>
      </c>
      <c r="I1146" s="0" t="n">
        <v>1158</v>
      </c>
      <c r="J1146" s="0" t="n">
        <v>1098</v>
      </c>
      <c r="K1146" s="0" t="n">
        <v>7.79479853268212</v>
      </c>
    </row>
    <row r="1147">
      <c r="A1147" s="0" t="n">
        <v>76</v>
      </c>
      <c r="B1147" s="0" t="inlineStr">
        <is>
          <t>Dani</t>
        </is>
      </c>
      <c r="C1147" s="0" t="inlineStr">
        <is>
          <t>Town</t>
        </is>
      </c>
      <c r="D1147" s="0" t="inlineStr">
        <is>
          <t>Loss</t>
        </is>
      </c>
      <c r="E1147" s="0" t="n">
        <v>-65</v>
      </c>
      <c r="F1147" s="0" t="n">
        <v>22.41134353920828</v>
      </c>
      <c r="G1147" s="0" t="n">
        <v>21.3408299316528</v>
      </c>
      <c r="H1147" s="0" t="n">
        <v>8.033625682413939</v>
      </c>
      <c r="I1147" s="0" t="n">
        <v>697</v>
      </c>
      <c r="J1147" s="0" t="n">
        <v>632</v>
      </c>
      <c r="K1147" s="0" t="n">
        <v>8.109096012189333</v>
      </c>
    </row>
    <row r="1148">
      <c r="A1148" s="0" t="n">
        <v>76</v>
      </c>
      <c r="B1148" s="0" t="inlineStr">
        <is>
          <t>Happymeal</t>
        </is>
      </c>
      <c r="C1148" s="0" t="inlineStr">
        <is>
          <t>Town</t>
        </is>
      </c>
      <c r="D1148" s="0" t="inlineStr">
        <is>
          <t>Loss</t>
        </is>
      </c>
      <c r="E1148" s="0" t="n">
        <v>-62</v>
      </c>
      <c r="F1148" s="0" t="n">
        <v>23.04732499254771</v>
      </c>
      <c r="G1148" s="0" t="n">
        <v>22.0419373331477</v>
      </c>
      <c r="H1148" s="0" t="n">
        <v>7.789929799242556</v>
      </c>
      <c r="I1148" s="0" t="n">
        <v>766</v>
      </c>
      <c r="J1148" s="0" t="n">
        <v>704</v>
      </c>
      <c r="K1148" s="0" t="n">
        <v>7.858523975101402</v>
      </c>
    </row>
    <row r="1149">
      <c r="A1149" s="0" t="n">
        <v>76</v>
      </c>
      <c r="B1149" s="0" t="inlineStr">
        <is>
          <t>Plen</t>
        </is>
      </c>
      <c r="C1149" s="0" t="inlineStr">
        <is>
          <t>Town</t>
        </is>
      </c>
      <c r="D1149" s="0" t="inlineStr">
        <is>
          <t>Loss</t>
        </is>
      </c>
      <c r="E1149" s="0" t="n">
        <v>-56</v>
      </c>
      <c r="F1149" s="0" t="n">
        <v>19.45042307005727</v>
      </c>
      <c r="G1149" s="0" t="n">
        <v>18.54646610417694</v>
      </c>
      <c r="H1149" s="0" t="n">
        <v>7.393182281552698</v>
      </c>
      <c r="I1149" s="0" t="n">
        <v>563</v>
      </c>
      <c r="J1149" s="0" t="n">
        <v>507</v>
      </c>
      <c r="K1149" s="0" t="n">
        <v>7.45150744665249</v>
      </c>
    </row>
    <row r="1150">
      <c r="A1150" s="0" t="n">
        <v>75</v>
      </c>
      <c r="B1150" s="0" t="inlineStr">
        <is>
          <t>Strik3r</t>
        </is>
      </c>
      <c r="C1150" s="0" t="inlineStr">
        <is>
          <t>Mafia</t>
        </is>
      </c>
      <c r="D1150" s="0" t="inlineStr">
        <is>
          <t>Win</t>
        </is>
      </c>
      <c r="E1150" s="0" t="n">
        <v>69</v>
      </c>
      <c r="F1150" s="0" t="n">
        <v>25.17614370162561</v>
      </c>
      <c r="G1150" s="0" t="n">
        <v>26.08891186923921</v>
      </c>
      <c r="H1150" s="0" t="n">
        <v>7.896584554039846</v>
      </c>
      <c r="I1150" s="0" t="n">
        <v>900</v>
      </c>
      <c r="J1150" s="0" t="n">
        <v>969</v>
      </c>
      <c r="K1150" s="0" t="n">
        <v>7.963781465749489</v>
      </c>
    </row>
    <row r="1151">
      <c r="A1151" s="0" t="n">
        <v>75</v>
      </c>
      <c r="B1151" s="0" t="inlineStr">
        <is>
          <t>Kwix</t>
        </is>
      </c>
      <c r="C1151" s="0" t="inlineStr">
        <is>
          <t>Mafia</t>
        </is>
      </c>
      <c r="D1151" s="0" t="inlineStr">
        <is>
          <t>Win</t>
        </is>
      </c>
      <c r="E1151" s="0" t="n">
        <v>65</v>
      </c>
      <c r="F1151" s="0" t="n">
        <v>23.13402988774995</v>
      </c>
      <c r="G1151" s="0" t="n">
        <v>23.99930358650988</v>
      </c>
      <c r="H1151" s="0" t="n">
        <v>7.691847057080926</v>
      </c>
      <c r="I1151" s="0" t="n">
        <v>782</v>
      </c>
      <c r="J1151" s="0" t="n">
        <v>847</v>
      </c>
      <c r="K1151" s="0" t="n">
        <v>7.753788725572152</v>
      </c>
    </row>
    <row r="1152">
      <c r="A1152" s="0" t="n">
        <v>75</v>
      </c>
      <c r="B1152" s="0" t="inlineStr">
        <is>
          <t>Creatchee</t>
        </is>
      </c>
      <c r="C1152" s="0" t="inlineStr">
        <is>
          <t>Mafia</t>
        </is>
      </c>
      <c r="D1152" s="0" t="inlineStr">
        <is>
          <t>Win</t>
        </is>
      </c>
      <c r="E1152" s="0" t="n">
        <v>59</v>
      </c>
      <c r="F1152" s="0" t="n">
        <v>30.68136806412101</v>
      </c>
      <c r="G1152" s="0" t="n">
        <v>31.47980329744144</v>
      </c>
      <c r="H1152" s="0" t="n">
        <v>7.393458479112163</v>
      </c>
      <c r="I1152" s="0" t="n">
        <v>1327</v>
      </c>
      <c r="J1152" s="0" t="n">
        <v>1386</v>
      </c>
      <c r="K1152" s="0" t="n">
        <v>7.448246390866294</v>
      </c>
    </row>
    <row r="1153">
      <c r="A1153" s="0" t="n">
        <v>75</v>
      </c>
      <c r="B1153" s="0" t="inlineStr">
        <is>
          <t>Brownkow</t>
        </is>
      </c>
      <c r="C1153" s="0" t="inlineStr">
        <is>
          <t>Town</t>
        </is>
      </c>
      <c r="D1153" s="0" t="inlineStr">
        <is>
          <t>Loss</t>
        </is>
      </c>
      <c r="E1153" s="0" t="n">
        <v>-47</v>
      </c>
      <c r="F1153" s="0" t="n">
        <v>29.17977793387254</v>
      </c>
      <c r="G1153" s="0" t="n">
        <v>28.42696840629738</v>
      </c>
      <c r="H1153" s="0" t="n">
        <v>7.182193808777031</v>
      </c>
      <c r="I1153" s="0" t="n">
        <v>1247</v>
      </c>
      <c r="J1153" s="0" t="n">
        <v>1200</v>
      </c>
      <c r="K1153" s="0" t="n">
        <v>7.23226564037537</v>
      </c>
    </row>
    <row r="1154">
      <c r="A1154" s="0" t="n">
        <v>75</v>
      </c>
      <c r="B1154" s="0" t="inlineStr">
        <is>
          <t>Nick</t>
        </is>
      </c>
      <c r="C1154" s="0" t="inlineStr">
        <is>
          <t>Town</t>
        </is>
      </c>
      <c r="D1154" s="0" t="inlineStr">
        <is>
          <t>Loss</t>
        </is>
      </c>
      <c r="E1154" s="0" t="n">
        <v>-57</v>
      </c>
      <c r="F1154" s="0" t="n">
        <v>26.93168104066229</v>
      </c>
      <c r="G1154" s="0" t="n">
        <v>25.99120351030925</v>
      </c>
      <c r="H1154" s="0" t="n">
        <v>8.0134494771645</v>
      </c>
      <c r="I1154" s="0" t="n">
        <v>1007</v>
      </c>
      <c r="J1154" s="0" t="n">
        <v>950</v>
      </c>
      <c r="K1154" s="0" t="n">
        <v>8.083776764607013</v>
      </c>
    </row>
    <row r="1155">
      <c r="A1155" s="0" t="n">
        <v>75</v>
      </c>
      <c r="B1155" s="0" t="inlineStr">
        <is>
          <t>Smit</t>
        </is>
      </c>
      <c r="C1155" s="0" t="inlineStr">
        <is>
          <t>Town</t>
        </is>
      </c>
      <c r="D1155" s="0" t="inlineStr">
        <is>
          <t>Loss</t>
        </is>
      </c>
      <c r="E1155" s="0" t="n">
        <v>-49</v>
      </c>
      <c r="F1155" s="0" t="n">
        <v>27.19836520784439</v>
      </c>
      <c r="G1155" s="0" t="n">
        <v>26.39196027729117</v>
      </c>
      <c r="H1155" s="0" t="n">
        <v>7.429707858968588</v>
      </c>
      <c r="I1155" s="0" t="n">
        <v>1086</v>
      </c>
      <c r="J1155" s="0" t="n">
        <v>1037</v>
      </c>
      <c r="K1155" s="0" t="n">
        <v>7.485333633314811</v>
      </c>
    </row>
    <row r="1156">
      <c r="A1156" s="0" t="n">
        <v>75</v>
      </c>
      <c r="B1156" s="0" t="inlineStr">
        <is>
          <t>Happymeal</t>
        </is>
      </c>
      <c r="C1156" s="0" t="inlineStr">
        <is>
          <t>Town</t>
        </is>
      </c>
      <c r="D1156" s="0" t="inlineStr">
        <is>
          <t>Loss</t>
        </is>
      </c>
      <c r="E1156" s="0" t="n">
        <v>-54</v>
      </c>
      <c r="F1156" s="0" t="n">
        <v>23.95116294444094</v>
      </c>
      <c r="G1156" s="0" t="n">
        <v>23.04732499254771</v>
      </c>
      <c r="H1156" s="0" t="n">
        <v>7.858523975101402</v>
      </c>
      <c r="I1156" s="0" t="n">
        <v>820</v>
      </c>
      <c r="J1156" s="0" t="n">
        <v>766</v>
      </c>
      <c r="K1156" s="0" t="n">
        <v>7.924722062020589</v>
      </c>
    </row>
    <row r="1157">
      <c r="A1157" s="0" t="n">
        <v>75</v>
      </c>
      <c r="B1157" s="0" t="inlineStr">
        <is>
          <t>Streety</t>
        </is>
      </c>
      <c r="C1157" s="0" t="inlineStr">
        <is>
          <t>Town</t>
        </is>
      </c>
      <c r="D1157" s="0" t="inlineStr">
        <is>
          <t>Loss</t>
        </is>
      </c>
      <c r="E1157" s="0" t="n">
        <v>-56</v>
      </c>
      <c r="F1157" s="0" t="n">
        <v>27.68551736990544</v>
      </c>
      <c r="G1157" s="0" t="n">
        <v>26.75784033738538</v>
      </c>
      <c r="H1157" s="0" t="n">
        <v>7.959691779009817</v>
      </c>
      <c r="I1157" s="0" t="n">
        <v>1064</v>
      </c>
      <c r="J1157" s="0" t="n">
        <v>1008</v>
      </c>
      <c r="K1157" s="0" t="n">
        <v>8.028567140353307</v>
      </c>
    </row>
    <row r="1158">
      <c r="A1158" s="0" t="n">
        <v>75</v>
      </c>
      <c r="B1158" s="0" t="inlineStr">
        <is>
          <t>Noah</t>
        </is>
      </c>
      <c r="C1158" s="0" t="inlineStr">
        <is>
          <t>Town</t>
        </is>
      </c>
      <c r="D1158" s="0" t="inlineStr">
        <is>
          <t>Loss</t>
        </is>
      </c>
      <c r="E1158" s="0" t="n">
        <v>-49</v>
      </c>
      <c r="F1158" s="0" t="n">
        <v>28.02906084501342</v>
      </c>
      <c r="G1158" s="0" t="n">
        <v>27.21829997751944</v>
      </c>
      <c r="H1158" s="0" t="n">
        <v>7.44944120364504</v>
      </c>
      <c r="I1158" s="0" t="n">
        <v>1140</v>
      </c>
      <c r="J1158" s="0" t="n">
        <v>1091</v>
      </c>
      <c r="K1158" s="0" t="n">
        <v>7.50552667216548</v>
      </c>
    </row>
    <row r="1159">
      <c r="A1159" s="0" t="n">
        <v>75</v>
      </c>
      <c r="B1159" s="0" t="inlineStr">
        <is>
          <t>Snazz</t>
        </is>
      </c>
      <c r="C1159" s="0" t="inlineStr">
        <is>
          <t>Town</t>
        </is>
      </c>
      <c r="D1159" s="0" t="inlineStr">
        <is>
          <t>Loss</t>
        </is>
      </c>
      <c r="E1159" s="0" t="n">
        <v>-58</v>
      </c>
      <c r="F1159" s="0" t="n">
        <v>23.62241308880212</v>
      </c>
      <c r="G1159" s="0" t="n">
        <v>22.65281624290965</v>
      </c>
      <c r="H1159" s="0" t="n">
        <v>8.134320494275224</v>
      </c>
      <c r="I1159" s="0" t="n">
        <v>769</v>
      </c>
      <c r="J1159" s="0" t="n">
        <v>711</v>
      </c>
      <c r="K1159" s="0" t="n">
        <v>8.20798766066796</v>
      </c>
    </row>
    <row r="1160">
      <c r="A1160" s="0" t="n">
        <v>75</v>
      </c>
      <c r="B1160" s="0" t="inlineStr">
        <is>
          <t>Zesta</t>
        </is>
      </c>
      <c r="C1160" s="0" t="inlineStr">
        <is>
          <t>Town</t>
        </is>
      </c>
      <c r="D1160" s="0" t="inlineStr">
        <is>
          <t>Loss</t>
        </is>
      </c>
      <c r="E1160" s="0" t="n">
        <v>-60</v>
      </c>
      <c r="F1160" s="0" t="n">
        <v>25</v>
      </c>
      <c r="G1160" s="0" t="n">
        <v>24.00056768430646</v>
      </c>
      <c r="H1160" s="0" t="n">
        <v>8.256191507311712</v>
      </c>
      <c r="I1160" s="0" t="n">
        <v>850</v>
      </c>
      <c r="J1160" s="0" t="n">
        <v>790</v>
      </c>
      <c r="K1160" s="0" t="n">
        <v>8.333333333333334</v>
      </c>
    </row>
    <row r="1161">
      <c r="A1161" s="0" t="n">
        <v>75</v>
      </c>
      <c r="B1161" s="0" t="inlineStr">
        <is>
          <t>Plen</t>
        </is>
      </c>
      <c r="C1161" s="0" t="inlineStr">
        <is>
          <t>Town</t>
        </is>
      </c>
      <c r="D1161" s="0" t="inlineStr">
        <is>
          <t>Loss</t>
        </is>
      </c>
      <c r="E1161" s="0" t="n">
        <v>-49</v>
      </c>
      <c r="F1161" s="0" t="n">
        <v>20.26164075022355</v>
      </c>
      <c r="G1161" s="0" t="n">
        <v>19.45042307005727</v>
      </c>
      <c r="H1161" s="0" t="n">
        <v>7.45150744665249</v>
      </c>
      <c r="I1161" s="0" t="n">
        <v>612</v>
      </c>
      <c r="J1161" s="0" t="n">
        <v>563</v>
      </c>
      <c r="K1161" s="0" t="n">
        <v>7.507641195374728</v>
      </c>
    </row>
    <row r="1162">
      <c r="A1162" s="0" t="n">
        <v>75</v>
      </c>
      <c r="B1162" s="0" t="inlineStr">
        <is>
          <t>Rocker</t>
        </is>
      </c>
      <c r="C1162" s="0" t="inlineStr">
        <is>
          <t>Town</t>
        </is>
      </c>
      <c r="D1162" s="0" t="inlineStr">
        <is>
          <t>Loss</t>
        </is>
      </c>
      <c r="E1162" s="0" t="n">
        <v>-46</v>
      </c>
      <c r="F1162" s="0" t="n">
        <v>30.87005665919826</v>
      </c>
      <c r="G1162" s="0" t="n">
        <v>30.11669529025404</v>
      </c>
      <c r="H1162" s="0" t="n">
        <v>7.184788396315327</v>
      </c>
      <c r="I1162" s="0" t="n">
        <v>1361</v>
      </c>
      <c r="J1162" s="0" t="n">
        <v>1315</v>
      </c>
      <c r="K1162" s="0" t="n">
        <v>7.23491644036983</v>
      </c>
    </row>
    <row r="1163">
      <c r="A1163" s="0" t="n">
        <v>74</v>
      </c>
      <c r="B1163" s="0" t="inlineStr">
        <is>
          <t>Brownkow</t>
        </is>
      </c>
      <c r="C1163" s="0" t="inlineStr">
        <is>
          <t>Mafia</t>
        </is>
      </c>
      <c r="D1163" s="0" t="inlineStr">
        <is>
          <t>Win</t>
        </is>
      </c>
      <c r="E1163" s="0" t="n">
        <v>49</v>
      </c>
      <c r="F1163" s="0" t="n">
        <v>28.53262283760978</v>
      </c>
      <c r="G1163" s="0" t="n">
        <v>29.17977793387254</v>
      </c>
      <c r="H1163" s="0" t="n">
        <v>7.23226564037537</v>
      </c>
      <c r="I1163" s="0" t="n">
        <v>1198</v>
      </c>
      <c r="J1163" s="0" t="n">
        <v>1247</v>
      </c>
      <c r="K1163" s="0" t="n">
        <v>7.279577071651778</v>
      </c>
    </row>
    <row r="1164">
      <c r="A1164" s="0" t="n">
        <v>74</v>
      </c>
      <c r="B1164" s="0" t="inlineStr">
        <is>
          <t>Svaan</t>
        </is>
      </c>
      <c r="C1164" s="0" t="inlineStr">
        <is>
          <t>Mafia</t>
        </is>
      </c>
      <c r="D1164" s="0" t="inlineStr">
        <is>
          <t>Win</t>
        </is>
      </c>
      <c r="E1164" s="0" t="n">
        <v>59</v>
      </c>
      <c r="F1164" s="0" t="n">
        <v>25.82508124558954</v>
      </c>
      <c r="G1164" s="0" t="n">
        <v>26.60082553942299</v>
      </c>
      <c r="H1164" s="0" t="n">
        <v>7.907771448007233</v>
      </c>
      <c r="I1164" s="0" t="n">
        <v>943</v>
      </c>
      <c r="J1164" s="0" t="n">
        <v>1002</v>
      </c>
      <c r="K1164" s="0" t="n">
        <v>7.970178498795295</v>
      </c>
    </row>
    <row r="1165">
      <c r="A1165" s="0" t="n">
        <v>74</v>
      </c>
      <c r="B1165" s="0" t="inlineStr">
        <is>
          <t>Lombax</t>
        </is>
      </c>
      <c r="C1165" s="0" t="inlineStr">
        <is>
          <t>Mafia</t>
        </is>
      </c>
      <c r="D1165" s="0" t="inlineStr">
        <is>
          <t>Win</t>
        </is>
      </c>
      <c r="E1165" s="0" t="n">
        <v>58</v>
      </c>
      <c r="F1165" s="0" t="n">
        <v>23.11211854437209</v>
      </c>
      <c r="G1165" s="0" t="n">
        <v>23.87787948172179</v>
      </c>
      <c r="H1165" s="0" t="n">
        <v>7.85753172127599</v>
      </c>
      <c r="I1165" s="0" t="n">
        <v>764</v>
      </c>
      <c r="J1165" s="0" t="n">
        <v>822</v>
      </c>
      <c r="K1165" s="0" t="n">
        <v>7.918718627714815</v>
      </c>
    </row>
    <row r="1166">
      <c r="A1166" s="0" t="n">
        <v>74</v>
      </c>
      <c r="B1166" s="0" t="inlineStr">
        <is>
          <t>Rocker</t>
        </is>
      </c>
      <c r="C1166" s="0" t="inlineStr">
        <is>
          <t>Town</t>
        </is>
      </c>
      <c r="D1166" s="0" t="inlineStr">
        <is>
          <t>Loss</t>
        </is>
      </c>
      <c r="E1166" s="0" t="n">
        <v>-39</v>
      </c>
      <c r="F1166" s="0" t="n">
        <v>31.51769264733257</v>
      </c>
      <c r="G1166" s="0" t="n">
        <v>30.87005665919826</v>
      </c>
      <c r="H1166" s="0" t="n">
        <v>7.23491644036983</v>
      </c>
      <c r="I1166" s="0" t="n">
        <v>1400</v>
      </c>
      <c r="J1166" s="0" t="n">
        <v>1361</v>
      </c>
      <c r="K1166" s="0" t="n">
        <v>7.282281755377723</v>
      </c>
    </row>
    <row r="1167">
      <c r="A1167" s="0" t="n">
        <v>74</v>
      </c>
      <c r="B1167" s="0" t="inlineStr">
        <is>
          <t>Kden</t>
        </is>
      </c>
      <c r="C1167" s="0" t="inlineStr">
        <is>
          <t>Town</t>
        </is>
      </c>
      <c r="D1167" s="0" t="inlineStr">
        <is>
          <t>Loss</t>
        </is>
      </c>
      <c r="E1167" s="0" t="n">
        <v>-47</v>
      </c>
      <c r="F1167" s="0" t="n">
        <v>26.01929088119536</v>
      </c>
      <c r="G1167" s="0" t="n">
        <v>25.24392793662648</v>
      </c>
      <c r="H1167" s="0" t="n">
        <v>7.905858615592406</v>
      </c>
      <c r="I1167" s="0" t="n">
        <v>957</v>
      </c>
      <c r="J1167" s="0" t="n">
        <v>910</v>
      </c>
      <c r="K1167" s="0" t="n">
        <v>7.96821891369016</v>
      </c>
    </row>
    <row r="1168">
      <c r="A1168" s="0" t="n">
        <v>74</v>
      </c>
      <c r="B1168" s="0" t="inlineStr">
        <is>
          <t>Badpants</t>
        </is>
      </c>
      <c r="C1168" s="0" t="inlineStr">
        <is>
          <t>Town</t>
        </is>
      </c>
      <c r="D1168" s="0" t="inlineStr">
        <is>
          <t>Loss</t>
        </is>
      </c>
      <c r="E1168" s="0" t="n">
        <v>-42</v>
      </c>
      <c r="F1168" s="0" t="n">
        <v>19.6509108075279</v>
      </c>
      <c r="G1168" s="0" t="n">
        <v>18.96147089563797</v>
      </c>
      <c r="H1168" s="0" t="n">
        <v>7.461555239676328</v>
      </c>
      <c r="I1168" s="0" t="n">
        <v>570</v>
      </c>
      <c r="J1168" s="0" t="n">
        <v>528</v>
      </c>
      <c r="K1168" s="0" t="n">
        <v>7.51367981888641</v>
      </c>
    </row>
    <row r="1169">
      <c r="A1169" s="0" t="n">
        <v>74</v>
      </c>
      <c r="B1169" s="0" t="inlineStr">
        <is>
          <t>Machop</t>
        </is>
      </c>
      <c r="C1169" s="0" t="inlineStr">
        <is>
          <t>Town</t>
        </is>
      </c>
      <c r="D1169" s="0" t="inlineStr">
        <is>
          <t>Loss</t>
        </is>
      </c>
      <c r="E1169" s="0" t="n">
        <v>-39</v>
      </c>
      <c r="F1169" s="0" t="n">
        <v>27.79438204719784</v>
      </c>
      <c r="G1169" s="0" t="n">
        <v>27.14475376194815</v>
      </c>
      <c r="H1169" s="0" t="n">
        <v>7.245887599127521</v>
      </c>
      <c r="I1169" s="0" t="n">
        <v>1146</v>
      </c>
      <c r="J1169" s="0" t="n">
        <v>1107</v>
      </c>
      <c r="K1169" s="0" t="n">
        <v>7.293476361597386</v>
      </c>
    </row>
    <row r="1170">
      <c r="A1170" s="0" t="n">
        <v>74</v>
      </c>
      <c r="B1170" s="0" t="inlineStr">
        <is>
          <t>Iln</t>
        </is>
      </c>
      <c r="C1170" s="0" t="inlineStr">
        <is>
          <t>Town</t>
        </is>
      </c>
      <c r="D1170" s="0" t="inlineStr">
        <is>
          <t>Loss</t>
        </is>
      </c>
      <c r="E1170" s="0" t="n">
        <v>-43</v>
      </c>
      <c r="F1170" s="0" t="n">
        <v>21.38311033867764</v>
      </c>
      <c r="G1170" s="0" t="n">
        <v>20.67407937770981</v>
      </c>
      <c r="H1170" s="0" t="n">
        <v>7.565299232033657</v>
      </c>
      <c r="I1170" s="0" t="n">
        <v>677</v>
      </c>
      <c r="J1170" s="0" t="n">
        <v>634</v>
      </c>
      <c r="K1170" s="0" t="n">
        <v>7.61970462710817</v>
      </c>
    </row>
    <row r="1171">
      <c r="A1171" s="0" t="n">
        <v>74</v>
      </c>
      <c r="B1171" s="0" t="inlineStr">
        <is>
          <t>Plen</t>
        </is>
      </c>
      <c r="C1171" s="0" t="inlineStr">
        <is>
          <t>Town</t>
        </is>
      </c>
      <c r="D1171" s="0" t="inlineStr">
        <is>
          <t>Loss</t>
        </is>
      </c>
      <c r="E1171" s="0" t="n">
        <v>-42</v>
      </c>
      <c r="F1171" s="0" t="n">
        <v>20.95974817696573</v>
      </c>
      <c r="G1171" s="0" t="n">
        <v>20.26164075022355</v>
      </c>
      <c r="H1171" s="0" t="n">
        <v>7.507641195374728</v>
      </c>
      <c r="I1171" s="0" t="n">
        <v>654</v>
      </c>
      <c r="J1171" s="0" t="n">
        <v>612</v>
      </c>
      <c r="K1171" s="0" t="n">
        <v>7.560770932977827</v>
      </c>
    </row>
    <row r="1172">
      <c r="A1172" s="0" t="n">
        <v>74</v>
      </c>
      <c r="B1172" s="0" t="inlineStr">
        <is>
          <t>Snazz</t>
        </is>
      </c>
      <c r="C1172" s="0" t="inlineStr">
        <is>
          <t>Town</t>
        </is>
      </c>
      <c r="D1172" s="0" t="inlineStr">
        <is>
          <t>Loss</t>
        </is>
      </c>
      <c r="E1172" s="0" t="n">
        <v>-50</v>
      </c>
      <c r="F1172" s="0" t="n">
        <v>24.45923179979514</v>
      </c>
      <c r="G1172" s="0" t="n">
        <v>23.62241308880212</v>
      </c>
      <c r="H1172" s="0" t="n">
        <v>8.20798766066796</v>
      </c>
      <c r="I1172" s="0" t="n">
        <v>819</v>
      </c>
      <c r="J1172" s="0" t="n">
        <v>769</v>
      </c>
      <c r="K1172" s="0" t="n">
        <v>8.27802891477006</v>
      </c>
    </row>
    <row r="1173">
      <c r="A1173" s="0" t="n">
        <v>74</v>
      </c>
      <c r="B1173" s="0" t="inlineStr">
        <is>
          <t>Hunterxp</t>
        </is>
      </c>
      <c r="C1173" s="0" t="inlineStr">
        <is>
          <t>Town</t>
        </is>
      </c>
      <c r="D1173" s="0" t="inlineStr">
        <is>
          <t>Loss</t>
        </is>
      </c>
      <c r="E1173" s="0" t="n">
        <v>-48</v>
      </c>
      <c r="F1173" s="0" t="n">
        <v>26.16806323257784</v>
      </c>
      <c r="G1173" s="0" t="n">
        <v>25.36326637481806</v>
      </c>
      <c r="H1173" s="0" t="n">
        <v>8.052073748004895</v>
      </c>
      <c r="I1173" s="0" t="n">
        <v>951</v>
      </c>
      <c r="J1173" s="0" t="n">
        <v>903</v>
      </c>
      <c r="K1173" s="0" t="n">
        <v>8.118076192091641</v>
      </c>
    </row>
    <row r="1174">
      <c r="A1174" s="0" t="n">
        <v>74</v>
      </c>
      <c r="B1174" s="0" t="inlineStr">
        <is>
          <t>Lou</t>
        </is>
      </c>
      <c r="C1174" s="0" t="inlineStr">
        <is>
          <t>Town</t>
        </is>
      </c>
      <c r="D1174" s="0" t="inlineStr">
        <is>
          <t>Loss</t>
        </is>
      </c>
      <c r="E1174" s="0" t="n">
        <v>-38</v>
      </c>
      <c r="F1174" s="0" t="n">
        <v>27.06185200049405</v>
      </c>
      <c r="G1174" s="0" t="n">
        <v>26.42746506786142</v>
      </c>
      <c r="H1174" s="0" t="n">
        <v>7.161505725367485</v>
      </c>
      <c r="I1174" s="0" t="n">
        <v>1105</v>
      </c>
      <c r="J1174" s="0" t="n">
        <v>1067</v>
      </c>
      <c r="K1174" s="0" t="n">
        <v>7.207393773515647</v>
      </c>
    </row>
    <row r="1175">
      <c r="A1175" s="0" t="n">
        <v>74</v>
      </c>
      <c r="B1175" s="0" t="inlineStr">
        <is>
          <t>Happymeal</t>
        </is>
      </c>
      <c r="C1175" s="0" t="inlineStr">
        <is>
          <t>Town</t>
        </is>
      </c>
      <c r="D1175" s="0" t="inlineStr">
        <is>
          <t>Loss</t>
        </is>
      </c>
      <c r="E1175" s="0" t="n">
        <v>-47</v>
      </c>
      <c r="F1175" s="0" t="n">
        <v>24.73029087286384</v>
      </c>
      <c r="G1175" s="0" t="n">
        <v>23.95116294444094</v>
      </c>
      <c r="H1175" s="0" t="n">
        <v>7.924722062020589</v>
      </c>
      <c r="I1175" s="0" t="n">
        <v>867</v>
      </c>
      <c r="J1175" s="0" t="n">
        <v>820</v>
      </c>
      <c r="K1175" s="0" t="n">
        <v>7.98754444307825</v>
      </c>
    </row>
    <row r="1176">
      <c r="A1176" s="0" t="n">
        <v>73</v>
      </c>
      <c r="B1176" s="0" t="inlineStr">
        <is>
          <t>Hunterxp</t>
        </is>
      </c>
      <c r="C1176" s="0" t="inlineStr">
        <is>
          <t>Mafia</t>
        </is>
      </c>
      <c r="D1176" s="0" t="inlineStr">
        <is>
          <t>Win</t>
        </is>
      </c>
      <c r="E1176" s="0" t="n">
        <v>40</v>
      </c>
      <c r="F1176" s="0" t="n">
        <v>25.64826434674107</v>
      </c>
      <c r="G1176" s="0" t="n">
        <v>26.16806323257784</v>
      </c>
      <c r="H1176" s="0" t="n">
        <v>8.118076192091641</v>
      </c>
      <c r="I1176" s="0" t="n">
        <v>911</v>
      </c>
      <c r="J1176" s="0" t="n">
        <v>951</v>
      </c>
      <c r="K1176" s="0" t="n">
        <v>8.170141761601085</v>
      </c>
    </row>
    <row r="1177">
      <c r="A1177" s="0" t="n">
        <v>73</v>
      </c>
      <c r="B1177" s="0" t="inlineStr">
        <is>
          <t>Rocker</t>
        </is>
      </c>
      <c r="C1177" s="0" t="inlineStr">
        <is>
          <t>Mafia</t>
        </is>
      </c>
      <c r="D1177" s="0" t="inlineStr">
        <is>
          <t>Win</t>
        </is>
      </c>
      <c r="E1177" s="0" t="n">
        <v>32</v>
      </c>
      <c r="F1177" s="0" t="n">
        <v>31.10048770386026</v>
      </c>
      <c r="G1177" s="0" t="n">
        <v>31.51769264733257</v>
      </c>
      <c r="H1177" s="0" t="n">
        <v>7.282281755377723</v>
      </c>
      <c r="I1177" s="0" t="n">
        <v>1368</v>
      </c>
      <c r="J1177" s="0" t="n">
        <v>1400</v>
      </c>
      <c r="K1177" s="0" t="n">
        <v>7.319453281558982</v>
      </c>
    </row>
    <row r="1178">
      <c r="A1178" s="0" t="n">
        <v>73</v>
      </c>
      <c r="B1178" s="0" t="inlineStr">
        <is>
          <t>Svaan</t>
        </is>
      </c>
      <c r="C1178" s="0" t="inlineStr">
        <is>
          <t>Mafia</t>
        </is>
      </c>
      <c r="D1178" s="0" t="inlineStr">
        <is>
          <t>Win</t>
        </is>
      </c>
      <c r="E1178" s="0" t="n">
        <v>39</v>
      </c>
      <c r="F1178" s="0" t="n">
        <v>25.32428796172625</v>
      </c>
      <c r="G1178" s="0" t="n">
        <v>25.82508124558954</v>
      </c>
      <c r="H1178" s="0" t="n">
        <v>7.970178498795295</v>
      </c>
      <c r="I1178" s="0" t="n">
        <v>904</v>
      </c>
      <c r="J1178" s="0" t="n">
        <v>943</v>
      </c>
      <c r="K1178" s="0" t="n">
        <v>8.019364124680795</v>
      </c>
    </row>
    <row r="1179">
      <c r="A1179" s="0" t="n">
        <v>73</v>
      </c>
      <c r="B1179" s="0" t="inlineStr">
        <is>
          <t>Badpants</t>
        </is>
      </c>
      <c r="C1179" s="0" t="inlineStr">
        <is>
          <t>Town</t>
        </is>
      </c>
      <c r="D1179" s="0" t="inlineStr">
        <is>
          <t>Loss</t>
        </is>
      </c>
      <c r="E1179" s="0" t="n">
        <v>-26</v>
      </c>
      <c r="F1179" s="0" t="n">
        <v>20.09535321880601</v>
      </c>
      <c r="G1179" s="0" t="n">
        <v>19.6509108075279</v>
      </c>
      <c r="H1179" s="0" t="n">
        <v>7.51367981888641</v>
      </c>
      <c r="I1179" s="0" t="n">
        <v>596</v>
      </c>
      <c r="J1179" s="0" t="n">
        <v>570</v>
      </c>
      <c r="K1179" s="0" t="n">
        <v>7.554646575140839</v>
      </c>
    </row>
    <row r="1180">
      <c r="A1180" s="0" t="n">
        <v>73</v>
      </c>
      <c r="B1180" s="0" t="inlineStr">
        <is>
          <t>Lou</t>
        </is>
      </c>
      <c r="C1180" s="0" t="inlineStr">
        <is>
          <t>Town</t>
        </is>
      </c>
      <c r="D1180" s="0" t="inlineStr">
        <is>
          <t>Loss</t>
        </is>
      </c>
      <c r="E1180" s="0" t="n">
        <v>-24</v>
      </c>
      <c r="F1180" s="0" t="n">
        <v>27.47043229763527</v>
      </c>
      <c r="G1180" s="0" t="n">
        <v>27.06185200049405</v>
      </c>
      <c r="H1180" s="0" t="n">
        <v>7.207393773515647</v>
      </c>
      <c r="I1180" s="0" t="n">
        <v>1129</v>
      </c>
      <c r="J1180" s="0" t="n">
        <v>1105</v>
      </c>
      <c r="K1180" s="0" t="n">
        <v>7.243388422830261</v>
      </c>
    </row>
    <row r="1181">
      <c r="A1181" s="0" t="n">
        <v>73</v>
      </c>
      <c r="B1181" s="0" t="inlineStr">
        <is>
          <t>Chipper</t>
        </is>
      </c>
      <c r="C1181" s="0" t="inlineStr">
        <is>
          <t>Town</t>
        </is>
      </c>
      <c r="D1181" s="0" t="inlineStr">
        <is>
          <t>Loss</t>
        </is>
      </c>
      <c r="E1181" s="0" t="n">
        <v>-25</v>
      </c>
      <c r="F1181" s="0" t="n">
        <v>19.28789610647329</v>
      </c>
      <c r="G1181" s="0" t="n">
        <v>18.85386061000719</v>
      </c>
      <c r="H1181" s="0" t="n">
        <v>7.426155717426675</v>
      </c>
      <c r="I1181" s="0" t="n">
        <v>550</v>
      </c>
      <c r="J1181" s="0" t="n">
        <v>525</v>
      </c>
      <c r="K1181" s="0" t="n">
        <v>7.465658432017414</v>
      </c>
    </row>
    <row r="1182">
      <c r="A1182" s="0" t="n">
        <v>73</v>
      </c>
      <c r="B1182" s="0" t="inlineStr">
        <is>
          <t>Keegan</t>
        </is>
      </c>
      <c r="C1182" s="0" t="inlineStr">
        <is>
          <t>Town</t>
        </is>
      </c>
      <c r="D1182" s="0" t="inlineStr">
        <is>
          <t>Loss</t>
        </is>
      </c>
      <c r="E1182" s="0" t="n">
        <v>-29</v>
      </c>
      <c r="F1182" s="0" t="n">
        <v>27.37637471615937</v>
      </c>
      <c r="G1182" s="0" t="n">
        <v>26.87580056862994</v>
      </c>
      <c r="H1182" s="0" t="n">
        <v>7.968456377609709</v>
      </c>
      <c r="I1182" s="0" t="n">
        <v>1044</v>
      </c>
      <c r="J1182" s="0" t="n">
        <v>1015</v>
      </c>
      <c r="K1182" s="0" t="n">
        <v>8.01760910947327</v>
      </c>
    </row>
    <row r="1183">
      <c r="A1183" s="0" t="n">
        <v>73</v>
      </c>
      <c r="B1183" s="0" t="inlineStr">
        <is>
          <t>Lombax</t>
        </is>
      </c>
      <c r="C1183" s="0" t="inlineStr">
        <is>
          <t>Town</t>
        </is>
      </c>
      <c r="D1183" s="0" t="inlineStr">
        <is>
          <t>Loss</t>
        </is>
      </c>
      <c r="E1183" s="0" t="n">
        <v>-29</v>
      </c>
      <c r="F1183" s="0" t="n">
        <v>23.60638514462461</v>
      </c>
      <c r="G1183" s="0" t="n">
        <v>23.11211854437209</v>
      </c>
      <c r="H1183" s="0" t="n">
        <v>7.918718627714815</v>
      </c>
      <c r="I1183" s="0" t="n">
        <v>793</v>
      </c>
      <c r="J1183" s="0" t="n">
        <v>764</v>
      </c>
      <c r="K1183" s="0" t="n">
        <v>7.966927621476128</v>
      </c>
    </row>
    <row r="1184">
      <c r="A1184" s="0" t="n">
        <v>73</v>
      </c>
      <c r="B1184" s="0" t="inlineStr">
        <is>
          <t>Kden</t>
        </is>
      </c>
      <c r="C1184" s="0" t="inlineStr">
        <is>
          <t>Town</t>
        </is>
      </c>
      <c r="D1184" s="0" t="inlineStr">
        <is>
          <t>Loss</t>
        </is>
      </c>
      <c r="E1184" s="0" t="n">
        <v>-29</v>
      </c>
      <c r="F1184" s="0" t="n">
        <v>26.51983481584166</v>
      </c>
      <c r="G1184" s="0" t="n">
        <v>26.01929088119536</v>
      </c>
      <c r="H1184" s="0" t="n">
        <v>7.96821891369016</v>
      </c>
      <c r="I1184" s="0" t="n">
        <v>986</v>
      </c>
      <c r="J1184" s="0" t="n">
        <v>957</v>
      </c>
      <c r="K1184" s="0" t="n">
        <v>8.017367110932517</v>
      </c>
    </row>
    <row r="1185">
      <c r="A1185" s="0" t="n">
        <v>73</v>
      </c>
      <c r="B1185" s="0" t="inlineStr">
        <is>
          <t>Plen</t>
        </is>
      </c>
      <c r="C1185" s="0" t="inlineStr">
        <is>
          <t>Town</t>
        </is>
      </c>
      <c r="D1185" s="0" t="inlineStr">
        <is>
          <t>Loss</t>
        </is>
      </c>
      <c r="E1185" s="0" t="n">
        <v>-26</v>
      </c>
      <c r="F1185" s="0" t="n">
        <v>21.4098426291575</v>
      </c>
      <c r="G1185" s="0" t="n">
        <v>20.95974817696573</v>
      </c>
      <c r="H1185" s="0" t="n">
        <v>7.560770932977827</v>
      </c>
      <c r="I1185" s="0" t="n">
        <v>680</v>
      </c>
      <c r="J1185" s="0" t="n">
        <v>654</v>
      </c>
      <c r="K1185" s="0" t="n">
        <v>7.602539967306163</v>
      </c>
    </row>
    <row r="1186">
      <c r="A1186" s="0" t="n">
        <v>73</v>
      </c>
      <c r="B1186" s="0" t="inlineStr">
        <is>
          <t>Brownkow</t>
        </is>
      </c>
      <c r="C1186" s="0" t="inlineStr">
        <is>
          <t>Town</t>
        </is>
      </c>
      <c r="D1186" s="0" t="inlineStr">
        <is>
          <t>Loss</t>
        </is>
      </c>
      <c r="E1186" s="0" t="n">
        <v>-24</v>
      </c>
      <c r="F1186" s="0" t="n">
        <v>28.94951467252655</v>
      </c>
      <c r="G1186" s="0" t="n">
        <v>28.53262283760978</v>
      </c>
      <c r="H1186" s="0" t="n">
        <v>7.279577071651778</v>
      </c>
      <c r="I1186" s="0" t="n">
        <v>1222</v>
      </c>
      <c r="J1186" s="0" t="n">
        <v>1198</v>
      </c>
      <c r="K1186" s="0" t="n">
        <v>7.316705661272099</v>
      </c>
    </row>
    <row r="1187">
      <c r="A1187" s="0" t="n">
        <v>73</v>
      </c>
      <c r="B1187" s="0" t="inlineStr">
        <is>
          <t>Snazz</t>
        </is>
      </c>
      <c r="C1187" s="0" t="inlineStr">
        <is>
          <t>Town</t>
        </is>
      </c>
      <c r="D1187" s="0" t="inlineStr">
        <is>
          <t>Loss</t>
        </is>
      </c>
      <c r="E1187" s="0" t="n">
        <v>-31</v>
      </c>
      <c r="F1187" s="0" t="n">
        <v>25</v>
      </c>
      <c r="G1187" s="0" t="n">
        <v>24.45923179979514</v>
      </c>
      <c r="H1187" s="0" t="n">
        <v>8.27802891477006</v>
      </c>
      <c r="I1187" s="0" t="n">
        <v>850</v>
      </c>
      <c r="J1187" s="0" t="n">
        <v>819</v>
      </c>
      <c r="K1187" s="0" t="n">
        <v>8.333333333333334</v>
      </c>
    </row>
    <row r="1188">
      <c r="A1188" s="0" t="n">
        <v>73</v>
      </c>
      <c r="B1188" s="0" t="inlineStr">
        <is>
          <t>Happymeal</t>
        </is>
      </c>
      <c r="C1188" s="0" t="inlineStr">
        <is>
          <t>Town</t>
        </is>
      </c>
      <c r="D1188" s="0" t="inlineStr">
        <is>
          <t>Loss</t>
        </is>
      </c>
      <c r="E1188" s="0" t="n">
        <v>-29</v>
      </c>
      <c r="F1188" s="0" t="n">
        <v>25.23329671980362</v>
      </c>
      <c r="G1188" s="0" t="n">
        <v>24.73029087286384</v>
      </c>
      <c r="H1188" s="0" t="n">
        <v>7.98754444307825</v>
      </c>
      <c r="I1188" s="0" t="n">
        <v>896</v>
      </c>
      <c r="J1188" s="0" t="n">
        <v>867</v>
      </c>
      <c r="K1188" s="0" t="n">
        <v>8.0370625919017</v>
      </c>
    </row>
    <row r="1189">
      <c r="A1189" s="0" t="n">
        <v>72</v>
      </c>
      <c r="B1189" s="0" t="inlineStr">
        <is>
          <t>Sam</t>
        </is>
      </c>
      <c r="C1189" s="0" t="inlineStr">
        <is>
          <t>Mafia</t>
        </is>
      </c>
      <c r="D1189" s="0" t="inlineStr">
        <is>
          <t>Win</t>
        </is>
      </c>
      <c r="E1189" s="0" t="n">
        <v>105</v>
      </c>
      <c r="F1189" s="0" t="n">
        <v>26.29570658958965</v>
      </c>
      <c r="G1189" s="0" t="n">
        <v>27.7173954118607</v>
      </c>
      <c r="H1189" s="0" t="n">
        <v>8.160517645268328</v>
      </c>
      <c r="I1189" s="0" t="n">
        <v>947</v>
      </c>
      <c r="J1189" s="0" t="n">
        <v>1052</v>
      </c>
      <c r="K1189" s="0" t="n">
        <v>8.247471649275173</v>
      </c>
    </row>
    <row r="1190">
      <c r="A1190" s="0" t="n">
        <v>72</v>
      </c>
      <c r="B1190" s="0" t="inlineStr">
        <is>
          <t>Whyin</t>
        </is>
      </c>
      <c r="C1190" s="0" t="inlineStr">
        <is>
          <t>Mafia</t>
        </is>
      </c>
      <c r="D1190" s="0" t="inlineStr">
        <is>
          <t>Win</t>
        </is>
      </c>
      <c r="E1190" s="0" t="n">
        <v>87</v>
      </c>
      <c r="F1190" s="0" t="n">
        <v>24.64658370013854</v>
      </c>
      <c r="G1190" s="0" t="n">
        <v>25.82926055546467</v>
      </c>
      <c r="H1190" s="0" t="n">
        <v>7.45649394776227</v>
      </c>
      <c r="I1190" s="0" t="n">
        <v>909</v>
      </c>
      <c r="J1190" s="0" t="n">
        <v>996</v>
      </c>
      <c r="K1190" s="0" t="n">
        <v>7.522204813320364</v>
      </c>
    </row>
    <row r="1191">
      <c r="A1191" s="0" t="n">
        <v>72</v>
      </c>
      <c r="B1191" s="0" t="inlineStr">
        <is>
          <t>Kwix</t>
        </is>
      </c>
      <c r="C1191" s="0" t="inlineStr">
        <is>
          <t>Mafia</t>
        </is>
      </c>
      <c r="D1191" s="0" t="inlineStr">
        <is>
          <t>Win</t>
        </is>
      </c>
      <c r="E1191" s="0" t="n">
        <v>94</v>
      </c>
      <c r="F1191" s="0" t="n">
        <v>21.85326539257506</v>
      </c>
      <c r="G1191" s="0" t="n">
        <v>23.13402988774995</v>
      </c>
      <c r="H1191" s="0" t="n">
        <v>7.753788725572152</v>
      </c>
      <c r="I1191" s="0" t="n">
        <v>688</v>
      </c>
      <c r="J1191" s="0" t="n">
        <v>782</v>
      </c>
      <c r="K1191" s="0" t="n">
        <v>7.827979580671874</v>
      </c>
    </row>
    <row r="1192">
      <c r="A1192" s="0" t="n">
        <v>72</v>
      </c>
      <c r="B1192" s="0" t="inlineStr">
        <is>
          <t>Aipha</t>
        </is>
      </c>
      <c r="C1192" s="0" t="inlineStr">
        <is>
          <t>Town</t>
        </is>
      </c>
      <c r="D1192" s="0" t="inlineStr">
        <is>
          <t>Loss</t>
        </is>
      </c>
      <c r="E1192" s="0" t="n">
        <v>-82</v>
      </c>
      <c r="F1192" s="0" t="n">
        <v>27.31834060397804</v>
      </c>
      <c r="G1192" s="0" t="n">
        <v>26.00664688376839</v>
      </c>
      <c r="H1192" s="0" t="n">
        <v>7.845015683737771</v>
      </c>
      <c r="I1192" s="0" t="n">
        <v>1050</v>
      </c>
      <c r="J1192" s="0" t="n">
        <v>968</v>
      </c>
      <c r="K1192" s="0" t="n">
        <v>7.921950045950189</v>
      </c>
    </row>
    <row r="1193">
      <c r="A1193" s="0" t="n">
        <v>72</v>
      </c>
      <c r="B1193" s="0" t="inlineStr">
        <is>
          <t>Brownkow</t>
        </is>
      </c>
      <c r="C1193" s="0" t="inlineStr">
        <is>
          <t>Town</t>
        </is>
      </c>
      <c r="D1193" s="0" t="inlineStr">
        <is>
          <t>Loss</t>
        </is>
      </c>
      <c r="E1193" s="0" t="n">
        <v>-71</v>
      </c>
      <c r="F1193" s="0" t="n">
        <v>30.08749436378237</v>
      </c>
      <c r="G1193" s="0" t="n">
        <v>28.94951467252655</v>
      </c>
      <c r="H1193" s="0" t="n">
        <v>7.316705661272099</v>
      </c>
      <c r="I1193" s="0" t="n">
        <v>1293</v>
      </c>
      <c r="J1193" s="0" t="n">
        <v>1222</v>
      </c>
      <c r="K1193" s="0" t="n">
        <v>7.378666025205995</v>
      </c>
    </row>
    <row r="1194">
      <c r="A1194" s="0" t="n">
        <v>72</v>
      </c>
      <c r="B1194" s="0" t="inlineStr">
        <is>
          <t>Plen</t>
        </is>
      </c>
      <c r="C1194" s="0" t="inlineStr">
        <is>
          <t>Town</t>
        </is>
      </c>
      <c r="D1194" s="0" t="inlineStr">
        <is>
          <t>Loss</t>
        </is>
      </c>
      <c r="E1194" s="0" t="n">
        <v>-77</v>
      </c>
      <c r="F1194" s="0" t="n">
        <v>22.64018881623403</v>
      </c>
      <c r="G1194" s="0" t="n">
        <v>21.4098426291575</v>
      </c>
      <c r="H1194" s="0" t="n">
        <v>7.602539967306163</v>
      </c>
      <c r="I1194" s="0" t="n">
        <v>757</v>
      </c>
      <c r="J1194" s="0" t="n">
        <v>680</v>
      </c>
      <c r="K1194" s="0" t="n">
        <v>7.672329675253717</v>
      </c>
    </row>
    <row r="1195">
      <c r="A1195" s="0" t="n">
        <v>72</v>
      </c>
      <c r="B1195" s="0" t="inlineStr">
        <is>
          <t>Doublea</t>
        </is>
      </c>
      <c r="C1195" s="0" t="inlineStr">
        <is>
          <t>Town</t>
        </is>
      </c>
      <c r="D1195" s="0" t="inlineStr">
        <is>
          <t>Loss</t>
        </is>
      </c>
      <c r="E1195" s="0" t="n">
        <v>-85</v>
      </c>
      <c r="F1195" s="0" t="n">
        <v>24.87994329922473</v>
      </c>
      <c r="G1195" s="0" t="n">
        <v>23.49480389497808</v>
      </c>
      <c r="H1195" s="0" t="n">
        <v>8.057171040610838</v>
      </c>
      <c r="I1195" s="0" t="n">
        <v>861</v>
      </c>
      <c r="J1195" s="0" t="n">
        <v>776</v>
      </c>
      <c r="K1195" s="0" t="n">
        <v>8.140750725918169</v>
      </c>
    </row>
    <row r="1196">
      <c r="A1196" s="0" t="n">
        <v>72</v>
      </c>
      <c r="B1196" s="0" t="inlineStr">
        <is>
          <t>Machop</t>
        </is>
      </c>
      <c r="C1196" s="0" t="inlineStr">
        <is>
          <t>Town</t>
        </is>
      </c>
      <c r="D1196" s="0" t="inlineStr">
        <is>
          <t>Loss</t>
        </is>
      </c>
      <c r="E1196" s="0" t="n">
        <v>-71</v>
      </c>
      <c r="F1196" s="0" t="n">
        <v>28.92502203001153</v>
      </c>
      <c r="G1196" s="0" t="n">
        <v>27.79438204719784</v>
      </c>
      <c r="H1196" s="0" t="n">
        <v>7.293476361597386</v>
      </c>
      <c r="I1196" s="0" t="n">
        <v>1217</v>
      </c>
      <c r="J1196" s="0" t="n">
        <v>1146</v>
      </c>
      <c r="K1196" s="0" t="n">
        <v>7.354827794433478</v>
      </c>
    </row>
    <row r="1197">
      <c r="A1197" s="0" t="n">
        <v>72</v>
      </c>
      <c r="B1197" s="0" t="inlineStr">
        <is>
          <t>Keegan</t>
        </is>
      </c>
      <c r="C1197" s="0" t="inlineStr">
        <is>
          <t>Town</t>
        </is>
      </c>
      <c r="D1197" s="0" t="inlineStr">
        <is>
          <t>Loss</t>
        </is>
      </c>
      <c r="E1197" s="0" t="n">
        <v>-85</v>
      </c>
      <c r="F1197" s="0" t="n">
        <v>28.74765682072817</v>
      </c>
      <c r="G1197" s="0" t="n">
        <v>27.37637471615937</v>
      </c>
      <c r="H1197" s="0" t="n">
        <v>8.01760910947327</v>
      </c>
      <c r="I1197" s="0" t="n">
        <v>1129</v>
      </c>
      <c r="J1197" s="0" t="n">
        <v>1044</v>
      </c>
      <c r="K1197" s="0" t="n">
        <v>8.099921083609189</v>
      </c>
    </row>
    <row r="1198">
      <c r="A1198" s="0" t="n">
        <v>72</v>
      </c>
      <c r="B1198" s="0" t="inlineStr">
        <is>
          <t>Rocker</t>
        </is>
      </c>
      <c r="C1198" s="0" t="inlineStr">
        <is>
          <t>Town</t>
        </is>
      </c>
      <c r="D1198" s="0" t="inlineStr">
        <is>
          <t>Loss</t>
        </is>
      </c>
      <c r="E1198" s="0" t="n">
        <v>-71</v>
      </c>
      <c r="F1198" s="0" t="n">
        <v>32.23933720774689</v>
      </c>
      <c r="G1198" s="0" t="n">
        <v>31.10048770386026</v>
      </c>
      <c r="H1198" s="0" t="n">
        <v>7.319453281558982</v>
      </c>
      <c r="I1198" s="0" t="n">
        <v>1439</v>
      </c>
      <c r="J1198" s="0" t="n">
        <v>1368</v>
      </c>
      <c r="K1198" s="0" t="n">
        <v>7.381485939035889</v>
      </c>
    </row>
    <row r="1199">
      <c r="A1199" s="0" t="n">
        <v>72</v>
      </c>
      <c r="B1199" s="0" t="inlineStr">
        <is>
          <t>Chipper</t>
        </is>
      </c>
      <c r="C1199" s="0" t="inlineStr">
        <is>
          <t>Town</t>
        </is>
      </c>
      <c r="D1199" s="0" t="inlineStr">
        <is>
          <t>Loss</t>
        </is>
      </c>
      <c r="E1199" s="0" t="n">
        <v>-74</v>
      </c>
      <c r="F1199" s="0" t="n">
        <v>20.4735350138372</v>
      </c>
      <c r="G1199" s="0" t="n">
        <v>19.28789610647329</v>
      </c>
      <c r="H1199" s="0" t="n">
        <v>7.465658432017414</v>
      </c>
      <c r="I1199" s="0" t="n">
        <v>624</v>
      </c>
      <c r="J1199" s="0" t="n">
        <v>550</v>
      </c>
      <c r="K1199" s="0" t="n">
        <v>7.531620386682498</v>
      </c>
    </row>
    <row r="1200">
      <c r="A1200" s="0" t="n">
        <v>72</v>
      </c>
      <c r="B1200" s="0" t="inlineStr">
        <is>
          <t>Antfrost</t>
        </is>
      </c>
      <c r="C1200" s="0" t="inlineStr">
        <is>
          <t>Town</t>
        </is>
      </c>
      <c r="D1200" s="0" t="inlineStr">
        <is>
          <t>Loss</t>
        </is>
      </c>
      <c r="E1200" s="0" t="n">
        <v>-85</v>
      </c>
      <c r="F1200" s="0" t="n">
        <v>23.58897071153358</v>
      </c>
      <c r="G1200" s="0" t="n">
        <v>22.21855900387497</v>
      </c>
      <c r="H1200" s="0" t="n">
        <v>8.015117081347052</v>
      </c>
      <c r="I1200" s="0" t="n">
        <v>778</v>
      </c>
      <c r="J1200" s="0" t="n">
        <v>693</v>
      </c>
      <c r="K1200" s="0" t="n">
        <v>8.097349643250482</v>
      </c>
    </row>
    <row r="1201">
      <c r="A1201" s="0" t="n">
        <v>72</v>
      </c>
      <c r="B1201" s="0" t="inlineStr">
        <is>
          <t>23flash</t>
        </is>
      </c>
      <c r="C1201" s="0" t="inlineStr">
        <is>
          <t>Town</t>
        </is>
      </c>
      <c r="D1201" s="0" t="inlineStr">
        <is>
          <t>Loss</t>
        </is>
      </c>
      <c r="E1201" s="0" t="n">
        <v>-86</v>
      </c>
      <c r="F1201" s="0" t="n">
        <v>26.77199337712927</v>
      </c>
      <c r="G1201" s="0" t="n">
        <v>25.39197712088996</v>
      </c>
      <c r="H1201" s="0" t="n">
        <v>8.042569348449391</v>
      </c>
      <c r="I1201" s="0" t="n">
        <v>992</v>
      </c>
      <c r="J1201" s="0" t="n">
        <v>906</v>
      </c>
      <c r="K1201" s="0" t="n">
        <v>8.12567960335087</v>
      </c>
    </row>
    <row r="1202">
      <c r="A1202" s="0" t="n">
        <v>71</v>
      </c>
      <c r="B1202" s="0" t="inlineStr">
        <is>
          <t>Brownkow</t>
        </is>
      </c>
      <c r="C1202" s="0" t="inlineStr">
        <is>
          <t>Mafia</t>
        </is>
      </c>
      <c r="D1202" s="0" t="inlineStr">
        <is>
          <t>Loss</t>
        </is>
      </c>
      <c r="E1202" s="0" t="n">
        <v>-64</v>
      </c>
      <c r="F1202" s="0" t="n">
        <v>31.12017620360428</v>
      </c>
      <c r="G1202" s="0" t="n">
        <v>30.08749436378237</v>
      </c>
      <c r="H1202" s="0" t="n">
        <v>7.378666025205995</v>
      </c>
      <c r="I1202" s="0" t="n">
        <v>1357</v>
      </c>
      <c r="J1202" s="0" t="n">
        <v>1293</v>
      </c>
      <c r="K1202" s="0" t="n">
        <v>7.439448226023827</v>
      </c>
    </row>
    <row r="1203">
      <c r="A1203" s="0" t="n">
        <v>71</v>
      </c>
      <c r="B1203" s="0" t="inlineStr">
        <is>
          <t>Whyin</t>
        </is>
      </c>
      <c r="C1203" s="0" t="inlineStr">
        <is>
          <t>Mafia</t>
        </is>
      </c>
      <c r="D1203" s="0" t="inlineStr">
        <is>
          <t>Loss</t>
        </is>
      </c>
      <c r="E1203" s="0" t="n">
        <v>-66</v>
      </c>
      <c r="F1203" s="0" t="n">
        <v>25.72055250493808</v>
      </c>
      <c r="G1203" s="0" t="n">
        <v>24.64658370013854</v>
      </c>
      <c r="H1203" s="0" t="n">
        <v>7.522204813320364</v>
      </c>
      <c r="I1203" s="0" t="n">
        <v>975</v>
      </c>
      <c r="J1203" s="0" t="n">
        <v>909</v>
      </c>
      <c r="K1203" s="0" t="n">
        <v>7.586732952369601</v>
      </c>
    </row>
    <row r="1204">
      <c r="A1204" s="0" t="n">
        <v>71</v>
      </c>
      <c r="B1204" s="0" t="inlineStr">
        <is>
          <t>Lovekilling</t>
        </is>
      </c>
      <c r="C1204" s="0" t="inlineStr">
        <is>
          <t>Mafia</t>
        </is>
      </c>
      <c r="D1204" s="0" t="inlineStr">
        <is>
          <t>Loss</t>
        </is>
      </c>
      <c r="E1204" s="0" t="n">
        <v>-75</v>
      </c>
      <c r="F1204" s="0" t="n">
        <v>21.26570543806729</v>
      </c>
      <c r="G1204" s="0" t="n">
        <v>20.04247750258484</v>
      </c>
      <c r="H1204" s="0" t="n">
        <v>8.018203134932849</v>
      </c>
      <c r="I1204" s="0" t="n">
        <v>620</v>
      </c>
      <c r="J1204" s="0" t="n">
        <v>545</v>
      </c>
      <c r="K1204" s="0" t="n">
        <v>8.096871795958473</v>
      </c>
    </row>
    <row r="1205">
      <c r="A1205" s="0" t="n">
        <v>71</v>
      </c>
      <c r="B1205" s="0" t="inlineStr">
        <is>
          <t>Nick</t>
        </is>
      </c>
      <c r="C1205" s="0" t="inlineStr">
        <is>
          <t>Town</t>
        </is>
      </c>
      <c r="D1205" s="0" t="inlineStr">
        <is>
          <t>Win</t>
        </is>
      </c>
      <c r="E1205" s="0" t="n">
        <v>93</v>
      </c>
      <c r="F1205" s="0" t="n">
        <v>25.68794962175689</v>
      </c>
      <c r="G1205" s="0" t="n">
        <v>26.93168104066229</v>
      </c>
      <c r="H1205" s="0" t="n">
        <v>8.083776764607013</v>
      </c>
      <c r="I1205" s="0" t="n">
        <v>914</v>
      </c>
      <c r="J1205" s="0" t="n">
        <v>1007</v>
      </c>
      <c r="K1205" s="0" t="n">
        <v>8.164459071352111</v>
      </c>
    </row>
    <row r="1206">
      <c r="A1206" s="0" t="n">
        <v>71</v>
      </c>
      <c r="B1206" s="0" t="inlineStr">
        <is>
          <t>Sam</t>
        </is>
      </c>
      <c r="C1206" s="0" t="inlineStr">
        <is>
          <t>Town</t>
        </is>
      </c>
      <c r="D1206" s="0" t="inlineStr">
        <is>
          <t>Win</t>
        </is>
      </c>
      <c r="E1206" s="0" t="n">
        <v>97</v>
      </c>
      <c r="F1206" s="0" t="n">
        <v>25</v>
      </c>
      <c r="G1206" s="0" t="n">
        <v>26.29570658958965</v>
      </c>
      <c r="H1206" s="0" t="n">
        <v>8.247471649275173</v>
      </c>
      <c r="I1206" s="0" t="n">
        <v>850</v>
      </c>
      <c r="J1206" s="0" t="n">
        <v>947</v>
      </c>
      <c r="K1206" s="0" t="n">
        <v>8.333333333333334</v>
      </c>
    </row>
    <row r="1207">
      <c r="A1207" s="0" t="n">
        <v>71</v>
      </c>
      <c r="B1207" s="0" t="inlineStr">
        <is>
          <t>Crispy</t>
        </is>
      </c>
      <c r="C1207" s="0" t="inlineStr">
        <is>
          <t>Town</t>
        </is>
      </c>
      <c r="D1207" s="0" t="inlineStr">
        <is>
          <t>Win</t>
        </is>
      </c>
      <c r="E1207" s="0" t="n">
        <v>97</v>
      </c>
      <c r="F1207" s="0" t="n">
        <v>25</v>
      </c>
      <c r="G1207" s="0" t="n">
        <v>26.29570658958965</v>
      </c>
      <c r="H1207" s="0" t="n">
        <v>8.247471649275173</v>
      </c>
      <c r="I1207" s="0" t="n">
        <v>850</v>
      </c>
      <c r="J1207" s="0" t="n">
        <v>947</v>
      </c>
      <c r="K1207" s="0" t="n">
        <v>8.333333333333334</v>
      </c>
    </row>
    <row r="1208">
      <c r="A1208" s="0" t="n">
        <v>71</v>
      </c>
      <c r="B1208" s="0" t="inlineStr">
        <is>
          <t>Creatchee</t>
        </is>
      </c>
      <c r="C1208" s="0" t="inlineStr">
        <is>
          <t>Town</t>
        </is>
      </c>
      <c r="D1208" s="0" t="inlineStr">
        <is>
          <t>Win</t>
        </is>
      </c>
      <c r="E1208" s="0" t="n">
        <v>78</v>
      </c>
      <c r="F1208" s="0" t="n">
        <v>29.62877873755759</v>
      </c>
      <c r="G1208" s="0" t="n">
        <v>30.68136806412101</v>
      </c>
      <c r="H1208" s="0" t="n">
        <v>7.448246390866294</v>
      </c>
      <c r="I1208" s="0" t="n">
        <v>1249</v>
      </c>
      <c r="J1208" s="0" t="n">
        <v>1327</v>
      </c>
      <c r="K1208" s="0" t="n">
        <v>7.510825615768698</v>
      </c>
    </row>
    <row r="1209">
      <c r="A1209" s="0" t="n">
        <v>71</v>
      </c>
      <c r="B1209" s="0" t="inlineStr">
        <is>
          <t>Cody</t>
        </is>
      </c>
      <c r="C1209" s="0" t="inlineStr">
        <is>
          <t>Town</t>
        </is>
      </c>
      <c r="D1209" s="0" t="inlineStr">
        <is>
          <t>Win</t>
        </is>
      </c>
      <c r="E1209" s="0" t="n">
        <v>93</v>
      </c>
      <c r="F1209" s="0" t="n">
        <v>27.93321135756675</v>
      </c>
      <c r="G1209" s="0" t="n">
        <v>29.17609998997966</v>
      </c>
      <c r="H1209" s="0" t="n">
        <v>8.081092751687144</v>
      </c>
      <c r="I1209" s="0" t="n">
        <v>1067</v>
      </c>
      <c r="J1209" s="0" t="n">
        <v>1160</v>
      </c>
      <c r="K1209" s="0" t="n">
        <v>8.161691956845829</v>
      </c>
    </row>
    <row r="1210">
      <c r="A1210" s="0" t="n">
        <v>71</v>
      </c>
      <c r="B1210" s="0" t="inlineStr">
        <is>
          <t>Strik3r</t>
        </is>
      </c>
      <c r="C1210" s="0" t="inlineStr">
        <is>
          <t>Town</t>
        </is>
      </c>
      <c r="D1210" s="0" t="inlineStr">
        <is>
          <t>Win</t>
        </is>
      </c>
      <c r="E1210" s="0" t="n">
        <v>90</v>
      </c>
      <c r="F1210" s="0" t="n">
        <v>23.96979499407577</v>
      </c>
      <c r="G1210" s="0" t="n">
        <v>25.17614370162561</v>
      </c>
      <c r="H1210" s="0" t="n">
        <v>7.963781465749489</v>
      </c>
      <c r="I1210" s="0" t="n">
        <v>810</v>
      </c>
      <c r="J1210" s="0" t="n">
        <v>900</v>
      </c>
      <c r="K1210" s="0" t="n">
        <v>8.040805103546569</v>
      </c>
    </row>
    <row r="1211">
      <c r="A1211" s="0" t="n">
        <v>71</v>
      </c>
      <c r="B1211" s="0" t="inlineStr">
        <is>
          <t>Lou</t>
        </is>
      </c>
      <c r="C1211" s="0" t="inlineStr">
        <is>
          <t>Town</t>
        </is>
      </c>
      <c r="D1211" s="0" t="inlineStr">
        <is>
          <t>Win</t>
        </is>
      </c>
      <c r="E1211" s="0" t="n">
        <v>73</v>
      </c>
      <c r="F1211" s="0" t="n">
        <v>26.47588320897554</v>
      </c>
      <c r="G1211" s="0" t="n">
        <v>27.47043229763527</v>
      </c>
      <c r="H1211" s="0" t="n">
        <v>7.243388422830261</v>
      </c>
      <c r="I1211" s="0" t="n">
        <v>1056</v>
      </c>
      <c r="J1211" s="0" t="n">
        <v>1129</v>
      </c>
      <c r="K1211" s="0" t="n">
        <v>7.300776665078602</v>
      </c>
    </row>
    <row r="1212">
      <c r="A1212" s="0" t="n">
        <v>71</v>
      </c>
      <c r="B1212" s="0" t="inlineStr">
        <is>
          <t>Smit</t>
        </is>
      </c>
      <c r="C1212" s="0" t="inlineStr">
        <is>
          <t>Town</t>
        </is>
      </c>
      <c r="D1212" s="0" t="inlineStr">
        <is>
          <t>Win</t>
        </is>
      </c>
      <c r="E1212" s="0" t="n">
        <v>79</v>
      </c>
      <c r="F1212" s="0" t="n">
        <v>26.13508320237128</v>
      </c>
      <c r="G1212" s="0" t="n">
        <v>27.19836520784439</v>
      </c>
      <c r="H1212" s="0" t="n">
        <v>7.485333633314811</v>
      </c>
      <c r="I1212" s="0" t="n">
        <v>1007</v>
      </c>
      <c r="J1212" s="0" t="n">
        <v>1086</v>
      </c>
      <c r="K1212" s="0" t="n">
        <v>7.548885132503486</v>
      </c>
    </row>
    <row r="1213">
      <c r="A1213" s="0" t="n">
        <v>71</v>
      </c>
      <c r="B1213" s="0" t="inlineStr">
        <is>
          <t>Noah</t>
        </is>
      </c>
      <c r="C1213" s="0" t="inlineStr">
        <is>
          <t>Town</t>
        </is>
      </c>
      <c r="D1213" s="0" t="inlineStr">
        <is>
          <t>Win</t>
        </is>
      </c>
      <c r="E1213" s="0" t="n">
        <v>79</v>
      </c>
      <c r="F1213" s="0" t="n">
        <v>26.95993302923356</v>
      </c>
      <c r="G1213" s="0" t="n">
        <v>28.02906084501342</v>
      </c>
      <c r="H1213" s="0" t="n">
        <v>7.50552667216548</v>
      </c>
      <c r="I1213" s="0" t="n">
        <v>1061</v>
      </c>
      <c r="J1213" s="0" t="n">
        <v>1140</v>
      </c>
      <c r="K1213" s="0" t="n">
        <v>7.569611799831314</v>
      </c>
    </row>
    <row r="1214">
      <c r="A1214" s="0" t="n">
        <v>71</v>
      </c>
      <c r="B1214" s="0" t="inlineStr">
        <is>
          <t>Kden</t>
        </is>
      </c>
      <c r="C1214" s="0" t="inlineStr">
        <is>
          <t>Town</t>
        </is>
      </c>
      <c r="D1214" s="0" t="inlineStr">
        <is>
          <t>Win</t>
        </is>
      </c>
      <c r="E1214" s="0" t="n">
        <v>92</v>
      </c>
      <c r="F1214" s="0" t="n">
        <v>25.29686711960587</v>
      </c>
      <c r="G1214" s="0" t="n">
        <v>26.51983481584166</v>
      </c>
      <c r="H1214" s="0" t="n">
        <v>8.017367110932517</v>
      </c>
      <c r="I1214" s="0" t="n">
        <v>894</v>
      </c>
      <c r="J1214" s="0" t="n">
        <v>986</v>
      </c>
      <c r="K1214" s="0" t="n">
        <v>8.09601032227884</v>
      </c>
    </row>
    <row r="1215">
      <c r="A1215" s="0" t="n">
        <v>70</v>
      </c>
      <c r="B1215" s="0" t="inlineStr">
        <is>
          <t>Rocker</t>
        </is>
      </c>
      <c r="C1215" s="0" t="inlineStr">
        <is>
          <t>Mafia</t>
        </is>
      </c>
      <c r="D1215" s="0" t="inlineStr">
        <is>
          <t>Win</t>
        </is>
      </c>
      <c r="E1215" s="0" t="n">
        <v>23</v>
      </c>
      <c r="F1215" s="0" t="n">
        <v>31.94771791004139</v>
      </c>
      <c r="G1215" s="0" t="n">
        <v>32.23933720774689</v>
      </c>
      <c r="H1215" s="0" t="n">
        <v>7.381485939035889</v>
      </c>
      <c r="I1215" s="0" t="n">
        <v>1416</v>
      </c>
      <c r="J1215" s="0" t="n">
        <v>1439</v>
      </c>
      <c r="K1215" s="0" t="n">
        <v>7.411724891249589</v>
      </c>
    </row>
    <row r="1216">
      <c r="A1216" s="0" t="n">
        <v>70</v>
      </c>
      <c r="B1216" s="0" t="inlineStr">
        <is>
          <t>Levi</t>
        </is>
      </c>
      <c r="C1216" s="0" t="inlineStr">
        <is>
          <t>Mafia</t>
        </is>
      </c>
      <c r="D1216" s="0" t="inlineStr">
        <is>
          <t>Win</t>
        </is>
      </c>
      <c r="E1216" s="0" t="n">
        <v>29</v>
      </c>
      <c r="F1216" s="0" t="n">
        <v>26.61911657891989</v>
      </c>
      <c r="G1216" s="0" t="n">
        <v>26.97979920391624</v>
      </c>
      <c r="H1216" s="0" t="n">
        <v>8.200988467302059</v>
      </c>
      <c r="I1216" s="0" t="n">
        <v>969</v>
      </c>
      <c r="J1216" s="0" t="n">
        <v>998</v>
      </c>
      <c r="K1216" s="0" t="n">
        <v>8.242924854005254</v>
      </c>
    </row>
    <row r="1217">
      <c r="A1217" s="0" t="n">
        <v>70</v>
      </c>
      <c r="B1217" s="0" t="inlineStr">
        <is>
          <t>Mintt</t>
        </is>
      </c>
      <c r="C1217" s="0" t="inlineStr">
        <is>
          <t>Mafia</t>
        </is>
      </c>
      <c r="D1217" s="0" t="inlineStr">
        <is>
          <t>Win</t>
        </is>
      </c>
      <c r="E1217" s="0" t="n">
        <v>25</v>
      </c>
      <c r="F1217" s="0" t="n">
        <v>28.40117342389206</v>
      </c>
      <c r="G1217" s="0" t="n">
        <v>28.72668188213419</v>
      </c>
      <c r="H1217" s="0" t="n">
        <v>7.79479853268212</v>
      </c>
      <c r="I1217" s="0" t="n">
        <v>1133</v>
      </c>
      <c r="J1217" s="0" t="n">
        <v>1158</v>
      </c>
      <c r="K1217" s="0" t="n">
        <v>7.83062479714964</v>
      </c>
    </row>
    <row r="1218">
      <c r="A1218" s="0" t="n">
        <v>70</v>
      </c>
      <c r="B1218" s="0" t="inlineStr">
        <is>
          <t>Lombax</t>
        </is>
      </c>
      <c r="C1218" s="0" t="inlineStr">
        <is>
          <t>Town</t>
        </is>
      </c>
      <c r="D1218" s="0" t="inlineStr">
        <is>
          <t>Loss</t>
        </is>
      </c>
      <c r="E1218" s="0" t="n">
        <v>-19</v>
      </c>
      <c r="F1218" s="0" t="n">
        <v>23.94657231779577</v>
      </c>
      <c r="G1218" s="0" t="n">
        <v>23.60638514462461</v>
      </c>
      <c r="H1218" s="0" t="n">
        <v>7.966927621476128</v>
      </c>
      <c r="I1218" s="0" t="n">
        <v>812</v>
      </c>
      <c r="J1218" s="0" t="n">
        <v>793</v>
      </c>
      <c r="K1218" s="0" t="n">
        <v>8.005266078237369</v>
      </c>
    </row>
    <row r="1219">
      <c r="A1219" s="0" t="n">
        <v>70</v>
      </c>
      <c r="B1219" s="0" t="inlineStr">
        <is>
          <t>Machop</t>
        </is>
      </c>
      <c r="C1219" s="0" t="inlineStr">
        <is>
          <t>Town</t>
        </is>
      </c>
      <c r="D1219" s="0" t="inlineStr">
        <is>
          <t>Loss</t>
        </is>
      </c>
      <c r="E1219" s="0" t="n">
        <v>-16</v>
      </c>
      <c r="F1219" s="0" t="n">
        <v>29.2145211056299</v>
      </c>
      <c r="G1219" s="0" t="n">
        <v>28.92502203001153</v>
      </c>
      <c r="H1219" s="0" t="n">
        <v>7.354827794433478</v>
      </c>
      <c r="I1219" s="0" t="n">
        <v>1233</v>
      </c>
      <c r="J1219" s="0" t="n">
        <v>1217</v>
      </c>
      <c r="K1219" s="0" t="n">
        <v>7.384727292896188</v>
      </c>
    </row>
    <row r="1220">
      <c r="A1220" s="0" t="n">
        <v>70</v>
      </c>
      <c r="B1220" s="0" t="inlineStr">
        <is>
          <t>Torharo</t>
        </is>
      </c>
      <c r="C1220" s="0" t="inlineStr">
        <is>
          <t>Town</t>
        </is>
      </c>
      <c r="D1220" s="0" t="inlineStr">
        <is>
          <t>Loss</t>
        </is>
      </c>
      <c r="E1220" s="0" t="n">
        <v>-19</v>
      </c>
      <c r="F1220" s="0" t="n">
        <v>25.95132836640024</v>
      </c>
      <c r="G1220" s="0" t="n">
        <v>25.60859174180371</v>
      </c>
      <c r="H1220" s="0" t="n">
        <v>7.996431202088655</v>
      </c>
      <c r="I1220" s="0" t="n">
        <v>945</v>
      </c>
      <c r="J1220" s="0" t="n">
        <v>926</v>
      </c>
      <c r="K1220" s="0" t="n">
        <v>8.035211526541204</v>
      </c>
    </row>
    <row r="1221">
      <c r="A1221" s="0" t="n">
        <v>70</v>
      </c>
      <c r="B1221" s="0" t="inlineStr">
        <is>
          <t>Plen</t>
        </is>
      </c>
      <c r="C1221" s="0" t="inlineStr">
        <is>
          <t>Town</t>
        </is>
      </c>
      <c r="D1221" s="0" t="inlineStr">
        <is>
          <t>Loss</t>
        </is>
      </c>
      <c r="E1221" s="0" t="n">
        <v>-18</v>
      </c>
      <c r="F1221" s="0" t="n">
        <v>22.95545608115519</v>
      </c>
      <c r="G1221" s="0" t="n">
        <v>22.64018881623403</v>
      </c>
      <c r="H1221" s="0" t="n">
        <v>7.672329675253717</v>
      </c>
      <c r="I1221" s="0" t="n">
        <v>775</v>
      </c>
      <c r="J1221" s="0" t="n">
        <v>757</v>
      </c>
      <c r="K1221" s="0" t="n">
        <v>7.706435812314264</v>
      </c>
    </row>
    <row r="1222">
      <c r="A1222" s="0" t="n">
        <v>70</v>
      </c>
      <c r="B1222" s="0" t="inlineStr">
        <is>
          <t>Kden</t>
        </is>
      </c>
      <c r="C1222" s="0" t="inlineStr">
        <is>
          <t>Town</t>
        </is>
      </c>
      <c r="D1222" s="0" t="inlineStr">
        <is>
          <t>Loss</t>
        </is>
      </c>
      <c r="E1222" s="0" t="n">
        <v>-20</v>
      </c>
      <c r="F1222" s="0" t="n">
        <v>25.64828095044193</v>
      </c>
      <c r="G1222" s="0" t="n">
        <v>25.29686711960587</v>
      </c>
      <c r="H1222" s="0" t="n">
        <v>8.09601032227884</v>
      </c>
      <c r="I1222" s="0" t="n">
        <v>914</v>
      </c>
      <c r="J1222" s="0" t="n">
        <v>894</v>
      </c>
      <c r="K1222" s="0" t="n">
        <v>8.136306717616227</v>
      </c>
    </row>
    <row r="1223">
      <c r="A1223" s="0" t="n">
        <v>70</v>
      </c>
      <c r="B1223" s="0" t="inlineStr">
        <is>
          <t>Dani</t>
        </is>
      </c>
      <c r="C1223" s="0" t="inlineStr">
        <is>
          <t>Town</t>
        </is>
      </c>
      <c r="D1223" s="0" t="inlineStr">
        <is>
          <t>Loss</t>
        </is>
      </c>
      <c r="E1223" s="0" t="n">
        <v>-20</v>
      </c>
      <c r="F1223" s="0" t="n">
        <v>22.76390595331214</v>
      </c>
      <c r="G1223" s="0" t="n">
        <v>22.41134353920828</v>
      </c>
      <c r="H1223" s="0" t="n">
        <v>8.109096012189333</v>
      </c>
      <c r="I1223" s="0" t="n">
        <v>717</v>
      </c>
      <c r="J1223" s="0" t="n">
        <v>697</v>
      </c>
      <c r="K1223" s="0" t="n">
        <v>8.149594486387056</v>
      </c>
    </row>
    <row r="1224">
      <c r="A1224" s="0" t="n">
        <v>70</v>
      </c>
      <c r="B1224" s="0" t="inlineStr">
        <is>
          <t>Chipper</t>
        </is>
      </c>
      <c r="C1224" s="0" t="inlineStr">
        <is>
          <t>Town</t>
        </is>
      </c>
      <c r="D1224" s="0" t="inlineStr">
        <is>
          <t>Loss</t>
        </is>
      </c>
      <c r="E1224" s="0" t="n">
        <v>-17</v>
      </c>
      <c r="F1224" s="0" t="n">
        <v>20.7772433062061</v>
      </c>
      <c r="G1224" s="0" t="n">
        <v>20.4735350138372</v>
      </c>
      <c r="H1224" s="0" t="n">
        <v>7.531620386682498</v>
      </c>
      <c r="I1224" s="0" t="n">
        <v>641</v>
      </c>
      <c r="J1224" s="0" t="n">
        <v>624</v>
      </c>
      <c r="K1224" s="0" t="n">
        <v>7.563817808035455</v>
      </c>
    </row>
    <row r="1225">
      <c r="A1225" s="0" t="n">
        <v>70</v>
      </c>
      <c r="B1225" s="0" t="inlineStr">
        <is>
          <t>Doublea</t>
        </is>
      </c>
      <c r="C1225" s="0" t="inlineStr">
        <is>
          <t>Town</t>
        </is>
      </c>
      <c r="D1225" s="0" t="inlineStr">
        <is>
          <t>Loss</t>
        </is>
      </c>
      <c r="E1225" s="0" t="n">
        <v>-20</v>
      </c>
      <c r="F1225" s="0" t="n">
        <v>25.23529216437006</v>
      </c>
      <c r="G1225" s="0" t="n">
        <v>24.87994329922473</v>
      </c>
      <c r="H1225" s="0" t="n">
        <v>8.140750725918169</v>
      </c>
      <c r="I1225" s="0" t="n">
        <v>881</v>
      </c>
      <c r="J1225" s="0" t="n">
        <v>861</v>
      </c>
      <c r="K1225" s="0" t="n">
        <v>8.181740793874312</v>
      </c>
    </row>
    <row r="1226">
      <c r="A1226" s="0" t="n">
        <v>70</v>
      </c>
      <c r="B1226" s="0" t="inlineStr">
        <is>
          <t>Matt</t>
        </is>
      </c>
      <c r="C1226" s="0" t="inlineStr">
        <is>
          <t>Town</t>
        </is>
      </c>
      <c r="D1226" s="0" t="inlineStr">
        <is>
          <t>Loss</t>
        </is>
      </c>
      <c r="E1226" s="0" t="n">
        <v>-20</v>
      </c>
      <c r="F1226" s="0" t="n">
        <v>23.85219328313252</v>
      </c>
      <c r="G1226" s="0" t="n">
        <v>23.49040024973913</v>
      </c>
      <c r="H1226" s="0" t="n">
        <v>8.213471154505447</v>
      </c>
      <c r="I1226" s="0" t="n">
        <v>780</v>
      </c>
      <c r="J1226" s="0" t="n">
        <v>760</v>
      </c>
      <c r="K1226" s="0" t="n">
        <v>8.255605426222679</v>
      </c>
    </row>
    <row r="1227">
      <c r="A1227" s="0" t="n">
        <v>70</v>
      </c>
      <c r="B1227" s="0" t="inlineStr">
        <is>
          <t>Lou</t>
        </is>
      </c>
      <c r="C1227" s="0" t="inlineStr">
        <is>
          <t>Town</t>
        </is>
      </c>
      <c r="D1227" s="0" t="inlineStr">
        <is>
          <t>Loss</t>
        </is>
      </c>
      <c r="E1227" s="0" t="n">
        <v>-16</v>
      </c>
      <c r="F1227" s="0" t="n">
        <v>26.76110773377295</v>
      </c>
      <c r="G1227" s="0" t="n">
        <v>26.47588320897554</v>
      </c>
      <c r="H1227" s="0" t="n">
        <v>7.300776665078602</v>
      </c>
      <c r="I1227" s="0" t="n">
        <v>1072</v>
      </c>
      <c r="J1227" s="0" t="n">
        <v>1056</v>
      </c>
      <c r="K1227" s="0" t="n">
        <v>7.329995487653479</v>
      </c>
    </row>
    <row r="1228">
      <c r="A1228" s="0" t="n">
        <v>69</v>
      </c>
      <c r="B1228" s="0" t="inlineStr">
        <is>
          <t>Rocker</t>
        </is>
      </c>
      <c r="C1228" s="0" t="inlineStr">
        <is>
          <t>Mafia</t>
        </is>
      </c>
      <c r="D1228" s="0" t="inlineStr">
        <is>
          <t>Loss</t>
        </is>
      </c>
      <c r="E1228" s="0" t="n">
        <v>-63</v>
      </c>
      <c r="F1228" s="0" t="n">
        <v>32.95162855649379</v>
      </c>
      <c r="G1228" s="0" t="n">
        <v>31.94771791004139</v>
      </c>
      <c r="H1228" s="0" t="n">
        <v>7.411724891249589</v>
      </c>
      <c r="I1228" s="0" t="n">
        <v>1479</v>
      </c>
      <c r="J1228" s="0" t="n">
        <v>1416</v>
      </c>
      <c r="K1228" s="0" t="n">
        <v>7.467924103927925</v>
      </c>
    </row>
    <row r="1229">
      <c r="A1229" s="0" t="n">
        <v>69</v>
      </c>
      <c r="B1229" s="0" t="inlineStr">
        <is>
          <t>Lombax</t>
        </is>
      </c>
      <c r="C1229" s="0" t="inlineStr">
        <is>
          <t>Mafia</t>
        </is>
      </c>
      <c r="D1229" s="0" t="inlineStr">
        <is>
          <t>Loss</t>
        </is>
      </c>
      <c r="E1229" s="0" t="n">
        <v>-72</v>
      </c>
      <c r="F1229" s="0" t="n">
        <v>25.12077849179042</v>
      </c>
      <c r="G1229" s="0" t="n">
        <v>23.94657231779577</v>
      </c>
      <c r="H1229" s="0" t="n">
        <v>8.005266078237369</v>
      </c>
      <c r="I1229" s="0" t="n">
        <v>884</v>
      </c>
      <c r="J1229" s="0" t="n">
        <v>812</v>
      </c>
      <c r="K1229" s="0" t="n">
        <v>8.07663008341167</v>
      </c>
    </row>
    <row r="1230">
      <c r="A1230" s="0" t="n">
        <v>69</v>
      </c>
      <c r="B1230" s="0" t="inlineStr">
        <is>
          <t>Badpants</t>
        </is>
      </c>
      <c r="C1230" s="0" t="inlineStr">
        <is>
          <t>Mafia</t>
        </is>
      </c>
      <c r="D1230" s="0" t="inlineStr">
        <is>
          <t>Loss</t>
        </is>
      </c>
      <c r="E1230" s="0" t="n">
        <v>-65</v>
      </c>
      <c r="F1230" s="0" t="n">
        <v>21.13899054161135</v>
      </c>
      <c r="G1230" s="0" t="n">
        <v>20.09535321880601</v>
      </c>
      <c r="H1230" s="0" t="n">
        <v>7.554646575140839</v>
      </c>
      <c r="I1230" s="0" t="n">
        <v>661</v>
      </c>
      <c r="J1230" s="0" t="n">
        <v>596</v>
      </c>
      <c r="K1230" s="0" t="n">
        <v>7.614276593152226</v>
      </c>
    </row>
    <row r="1231">
      <c r="A1231" s="0" t="n">
        <v>69</v>
      </c>
      <c r="B1231" s="0" t="inlineStr">
        <is>
          <t>Keegan</t>
        </is>
      </c>
      <c r="C1231" s="0" t="inlineStr">
        <is>
          <t>Town</t>
        </is>
      </c>
      <c r="D1231" s="0" t="inlineStr">
        <is>
          <t>Win</t>
        </is>
      </c>
      <c r="E1231" s="0" t="n">
        <v>90</v>
      </c>
      <c r="F1231" s="0" t="n">
        <v>27.54499207983338</v>
      </c>
      <c r="G1231" s="0" t="n">
        <v>28.74765682072817</v>
      </c>
      <c r="H1231" s="0" t="n">
        <v>8.099921083609189</v>
      </c>
      <c r="I1231" s="0" t="n">
        <v>1039</v>
      </c>
      <c r="J1231" s="0" t="n">
        <v>1129</v>
      </c>
      <c r="K1231" s="0" t="n">
        <v>8.173933300915332</v>
      </c>
    </row>
    <row r="1232">
      <c r="A1232" s="0" t="n">
        <v>69</v>
      </c>
      <c r="B1232" s="0" t="inlineStr">
        <is>
          <t>Brownkow</t>
        </is>
      </c>
      <c r="C1232" s="0" t="inlineStr">
        <is>
          <t>Town</t>
        </is>
      </c>
      <c r="D1232" s="0" t="inlineStr">
        <is>
          <t>Win</t>
        </is>
      </c>
      <c r="E1232" s="0" t="n">
        <v>74</v>
      </c>
      <c r="F1232" s="0" t="n">
        <v>30.10862268517097</v>
      </c>
      <c r="G1232" s="0" t="n">
        <v>31.12017620360428</v>
      </c>
      <c r="H1232" s="0" t="n">
        <v>7.439448226023827</v>
      </c>
      <c r="I1232" s="0" t="n">
        <v>1283</v>
      </c>
      <c r="J1232" s="0" t="n">
        <v>1357</v>
      </c>
      <c r="K1232" s="0" t="n">
        <v>7.496302308259819</v>
      </c>
    </row>
    <row r="1233">
      <c r="A1233" s="0" t="n">
        <v>69</v>
      </c>
      <c r="B1233" s="0" t="inlineStr">
        <is>
          <t>Kden</t>
        </is>
      </c>
      <c r="C1233" s="0" t="inlineStr">
        <is>
          <t>Town</t>
        </is>
      </c>
      <c r="D1233" s="0" t="inlineStr">
        <is>
          <t>Win</t>
        </is>
      </c>
      <c r="E1233" s="0" t="n">
        <v>90</v>
      </c>
      <c r="F1233" s="0" t="n">
        <v>24.43458081959471</v>
      </c>
      <c r="G1233" s="0" t="n">
        <v>25.64828095044193</v>
      </c>
      <c r="H1233" s="0" t="n">
        <v>8.136306717616227</v>
      </c>
      <c r="I1233" s="0" t="n">
        <v>824</v>
      </c>
      <c r="J1233" s="0" t="n">
        <v>914</v>
      </c>
      <c r="K1233" s="0" t="n">
        <v>8.211354371701386</v>
      </c>
    </row>
    <row r="1234">
      <c r="A1234" s="0" t="n">
        <v>69</v>
      </c>
      <c r="B1234" s="0" t="inlineStr">
        <is>
          <t>Machop</t>
        </is>
      </c>
      <c r="C1234" s="0" t="inlineStr">
        <is>
          <t>Town</t>
        </is>
      </c>
      <c r="D1234" s="0" t="inlineStr">
        <is>
          <t>Win</t>
        </is>
      </c>
      <c r="E1234" s="0" t="n">
        <v>73</v>
      </c>
      <c r="F1234" s="0" t="n">
        <v>28.2180240937514</v>
      </c>
      <c r="G1234" s="0" t="n">
        <v>29.2145211056299</v>
      </c>
      <c r="H1234" s="0" t="n">
        <v>7.384727292896188</v>
      </c>
      <c r="I1234" s="0" t="n">
        <v>1160</v>
      </c>
      <c r="J1234" s="0" t="n">
        <v>1233</v>
      </c>
      <c r="K1234" s="0" t="n">
        <v>7.440293648416504</v>
      </c>
    </row>
    <row r="1235">
      <c r="A1235" s="0" t="n">
        <v>69</v>
      </c>
      <c r="B1235" s="0" t="inlineStr">
        <is>
          <t>Smit</t>
        </is>
      </c>
      <c r="C1235" s="0" t="inlineStr">
        <is>
          <t>Town</t>
        </is>
      </c>
      <c r="D1235" s="0" t="inlineStr">
        <is>
          <t>Win</t>
        </is>
      </c>
      <c r="E1235" s="0" t="n">
        <v>77</v>
      </c>
      <c r="F1235" s="0" t="n">
        <v>25.09306297449213</v>
      </c>
      <c r="G1235" s="0" t="n">
        <v>26.13508320237128</v>
      </c>
      <c r="H1235" s="0" t="n">
        <v>7.548885132503486</v>
      </c>
      <c r="I1235" s="0" t="n">
        <v>930</v>
      </c>
      <c r="J1235" s="0" t="n">
        <v>1007</v>
      </c>
      <c r="K1235" s="0" t="n">
        <v>7.608374204181123</v>
      </c>
    </row>
    <row r="1236">
      <c r="A1236" s="0" t="n">
        <v>69</v>
      </c>
      <c r="B1236" s="0" t="inlineStr">
        <is>
          <t>Mintt</t>
        </is>
      </c>
      <c r="C1236" s="0" t="inlineStr">
        <is>
          <t>Town</t>
        </is>
      </c>
      <c r="D1236" s="0" t="inlineStr">
        <is>
          <t>Win</t>
        </is>
      </c>
      <c r="E1236" s="0" t="n">
        <v>84</v>
      </c>
      <c r="F1236" s="0" t="n">
        <v>27.27853149520852</v>
      </c>
      <c r="G1236" s="0" t="n">
        <v>28.40117342389206</v>
      </c>
      <c r="H1236" s="0" t="n">
        <v>7.83062479714964</v>
      </c>
      <c r="I1236" s="0" t="n">
        <v>1049</v>
      </c>
      <c r="J1236" s="0" t="n">
        <v>1133</v>
      </c>
      <c r="K1236" s="0" t="n">
        <v>7.89727229645889</v>
      </c>
    </row>
    <row r="1237">
      <c r="A1237" s="0" t="n">
        <v>69</v>
      </c>
      <c r="B1237" s="0" t="inlineStr">
        <is>
          <t>Wyz</t>
        </is>
      </c>
      <c r="C1237" s="0" t="inlineStr">
        <is>
          <t>Town</t>
        </is>
      </c>
      <c r="D1237" s="0" t="inlineStr">
        <is>
          <t>Win</t>
        </is>
      </c>
      <c r="E1237" s="0" t="n">
        <v>93</v>
      </c>
      <c r="F1237" s="0" t="n">
        <v>25</v>
      </c>
      <c r="G1237" s="0" t="n">
        <v>26.25002139110835</v>
      </c>
      <c r="H1237" s="0" t="n">
        <v>8.254844325408769</v>
      </c>
      <c r="I1237" s="0" t="n">
        <v>850</v>
      </c>
      <c r="J1237" s="0" t="n">
        <v>943</v>
      </c>
      <c r="K1237" s="0" t="n">
        <v>8.333333333333334</v>
      </c>
    </row>
    <row r="1238">
      <c r="A1238" s="0" t="n">
        <v>69</v>
      </c>
      <c r="B1238" s="0" t="inlineStr">
        <is>
          <t>Creatchee</t>
        </is>
      </c>
      <c r="C1238" s="0" t="inlineStr">
        <is>
          <t>Town</t>
        </is>
      </c>
      <c r="D1238" s="0" t="inlineStr">
        <is>
          <t>Win</t>
        </is>
      </c>
      <c r="E1238" s="0" t="n">
        <v>76</v>
      </c>
      <c r="F1238" s="0" t="n">
        <v>28.5974078460498</v>
      </c>
      <c r="G1238" s="0" t="n">
        <v>29.62877873755759</v>
      </c>
      <c r="H1238" s="0" t="n">
        <v>7.510825615768698</v>
      </c>
      <c r="I1238" s="0" t="n">
        <v>1173</v>
      </c>
      <c r="J1238" s="0" t="n">
        <v>1249</v>
      </c>
      <c r="K1238" s="0" t="n">
        <v>7.569389219978544</v>
      </c>
    </row>
    <row r="1239">
      <c r="A1239" s="0" t="n">
        <v>69</v>
      </c>
      <c r="B1239" s="0" t="inlineStr">
        <is>
          <t>Doublea</t>
        </is>
      </c>
      <c r="C1239" s="0" t="inlineStr">
        <is>
          <t>Town</t>
        </is>
      </c>
      <c r="D1239" s="0" t="inlineStr">
        <is>
          <t>Win</t>
        </is>
      </c>
      <c r="E1239" s="0" t="n">
        <v>91</v>
      </c>
      <c r="F1239" s="0" t="n">
        <v>24.0077374947631</v>
      </c>
      <c r="G1239" s="0" t="n">
        <v>25.23529216437006</v>
      </c>
      <c r="H1239" s="0" t="n">
        <v>8.181740793874312</v>
      </c>
      <c r="I1239" s="0" t="n">
        <v>790</v>
      </c>
      <c r="J1239" s="0" t="n">
        <v>881</v>
      </c>
      <c r="K1239" s="0" t="n">
        <v>8.258095111969281</v>
      </c>
    </row>
    <row r="1240">
      <c r="A1240" s="0" t="n">
        <v>69</v>
      </c>
      <c r="B1240" s="0" t="inlineStr">
        <is>
          <t>Lou</t>
        </is>
      </c>
      <c r="C1240" s="0" t="inlineStr">
        <is>
          <t>Town</t>
        </is>
      </c>
      <c r="D1240" s="0" t="inlineStr">
        <is>
          <t>Win</t>
        </is>
      </c>
      <c r="E1240" s="0" t="n">
        <v>72</v>
      </c>
      <c r="F1240" s="0" t="n">
        <v>25.77955204457177</v>
      </c>
      <c r="G1240" s="0" t="n">
        <v>26.76110773377295</v>
      </c>
      <c r="H1240" s="0" t="n">
        <v>7.329995487653479</v>
      </c>
      <c r="I1240" s="0" t="n">
        <v>1000</v>
      </c>
      <c r="J1240" s="0" t="n">
        <v>1072</v>
      </c>
      <c r="K1240" s="0" t="n">
        <v>7.384293518595284</v>
      </c>
    </row>
    <row r="1241">
      <c r="A1241" s="0" t="n">
        <v>69</v>
      </c>
      <c r="B1241" s="0" t="inlineStr">
        <is>
          <t>Torharo</t>
        </is>
      </c>
      <c r="C1241" s="0" t="inlineStr">
        <is>
          <t>Town</t>
        </is>
      </c>
      <c r="D1241" s="0" t="inlineStr">
        <is>
          <t>Win</t>
        </is>
      </c>
      <c r="E1241" s="0" t="n">
        <v>88</v>
      </c>
      <c r="F1241" s="0" t="n">
        <v>24.76815783641588</v>
      </c>
      <c r="G1241" s="0" t="n">
        <v>25.95132836640024</v>
      </c>
      <c r="H1241" s="0" t="n">
        <v>8.035211526541204</v>
      </c>
      <c r="I1241" s="0" t="n">
        <v>857</v>
      </c>
      <c r="J1241" s="0" t="n">
        <v>945</v>
      </c>
      <c r="K1241" s="0" t="n">
        <v>8.107406272827816</v>
      </c>
    </row>
    <row r="1242">
      <c r="A1242" s="0" t="n">
        <v>68</v>
      </c>
      <c r="B1242" s="0" t="inlineStr">
        <is>
          <t>Kny</t>
        </is>
      </c>
      <c r="C1242" s="0" t="inlineStr">
        <is>
          <t>Mafia</t>
        </is>
      </c>
      <c r="D1242" s="0" t="inlineStr">
        <is>
          <t>Win</t>
        </is>
      </c>
      <c r="E1242" s="0" t="n">
        <v>82</v>
      </c>
      <c r="F1242" s="0" t="n">
        <v>27.10680505305719</v>
      </c>
      <c r="G1242" s="0" t="n">
        <v>28.20135098476656</v>
      </c>
      <c r="H1242" s="0" t="n">
        <v>7.899776439543287</v>
      </c>
      <c r="I1242" s="0" t="n">
        <v>1030</v>
      </c>
      <c r="J1242" s="0" t="n">
        <v>1112</v>
      </c>
      <c r="K1242" s="0" t="n">
        <v>7.972329011357192</v>
      </c>
    </row>
    <row r="1243">
      <c r="A1243" s="0" t="n">
        <v>68</v>
      </c>
      <c r="B1243" s="0" t="inlineStr">
        <is>
          <t>Mintt</t>
        </is>
      </c>
      <c r="C1243" s="0" t="inlineStr">
        <is>
          <t>Mafia</t>
        </is>
      </c>
      <c r="D1243" s="0" t="inlineStr">
        <is>
          <t>Win</t>
        </is>
      </c>
      <c r="E1243" s="0" t="n">
        <v>81</v>
      </c>
      <c r="F1243" s="0" t="n">
        <v>26.18469252180141</v>
      </c>
      <c r="G1243" s="0" t="n">
        <v>27.27853149520852</v>
      </c>
      <c r="H1243" s="0" t="n">
        <v>7.89727229645889</v>
      </c>
      <c r="I1243" s="0" t="n">
        <v>968</v>
      </c>
      <c r="J1243" s="0" t="n">
        <v>1049</v>
      </c>
      <c r="K1243" s="0" t="n">
        <v>7.969753559088045</v>
      </c>
    </row>
    <row r="1244">
      <c r="A1244" s="0" t="n">
        <v>68</v>
      </c>
      <c r="B1244" s="0" t="inlineStr">
        <is>
          <t>Smit</t>
        </is>
      </c>
      <c r="C1244" s="0" t="inlineStr">
        <is>
          <t>Mafia</t>
        </is>
      </c>
      <c r="D1244" s="0" t="inlineStr">
        <is>
          <t>Win</t>
        </is>
      </c>
      <c r="E1244" s="0" t="n">
        <v>75</v>
      </c>
      <c r="F1244" s="0" t="n">
        <v>24.0791681644658</v>
      </c>
      <c r="G1244" s="0" t="n">
        <v>25.09306297449213</v>
      </c>
      <c r="H1244" s="0" t="n">
        <v>7.608374204181123</v>
      </c>
      <c r="I1244" s="0" t="n">
        <v>855</v>
      </c>
      <c r="J1244" s="0" t="n">
        <v>930</v>
      </c>
      <c r="K1244" s="0" t="n">
        <v>7.672942613494861</v>
      </c>
    </row>
    <row r="1245">
      <c r="A1245" s="0" t="n">
        <v>68</v>
      </c>
      <c r="B1245" s="0" t="inlineStr">
        <is>
          <t>Aipha</t>
        </is>
      </c>
      <c r="C1245" s="0" t="inlineStr">
        <is>
          <t>Town</t>
        </is>
      </c>
      <c r="D1245" s="0" t="inlineStr">
        <is>
          <t>Loss</t>
        </is>
      </c>
      <c r="E1245" s="0" t="n">
        <v>-67</v>
      </c>
      <c r="F1245" s="0" t="n">
        <v>28.41915702478638</v>
      </c>
      <c r="G1245" s="0" t="n">
        <v>27.31834060397804</v>
      </c>
      <c r="H1245" s="0" t="n">
        <v>7.921950045950189</v>
      </c>
      <c r="I1245" s="0" t="n">
        <v>1117</v>
      </c>
      <c r="J1245" s="0" t="n">
        <v>1050</v>
      </c>
      <c r="K1245" s="0" t="n">
        <v>7.995136118428662</v>
      </c>
    </row>
    <row r="1246">
      <c r="A1246" s="0" t="n">
        <v>68</v>
      </c>
      <c r="B1246" s="0" t="inlineStr">
        <is>
          <t>Brownkow</t>
        </is>
      </c>
      <c r="C1246" s="0" t="inlineStr">
        <is>
          <t>Town</t>
        </is>
      </c>
      <c r="D1246" s="0" t="inlineStr">
        <is>
          <t>Loss</t>
        </is>
      </c>
      <c r="E1246" s="0" t="n">
        <v>-60</v>
      </c>
      <c r="F1246" s="0" t="n">
        <v>31.09236426824744</v>
      </c>
      <c r="G1246" s="0" t="n">
        <v>30.10862268517097</v>
      </c>
      <c r="H1246" s="0" t="n">
        <v>7.496302308259819</v>
      </c>
      <c r="I1246" s="0" t="n">
        <v>1343</v>
      </c>
      <c r="J1246" s="0" t="n">
        <v>1283</v>
      </c>
      <c r="K1246" s="0" t="n">
        <v>7.557965137855336</v>
      </c>
    </row>
    <row r="1247">
      <c r="A1247" s="0" t="n">
        <v>68</v>
      </c>
      <c r="B1247" s="0" t="inlineStr">
        <is>
          <t>Chipper</t>
        </is>
      </c>
      <c r="C1247" s="0" t="inlineStr">
        <is>
          <t>Town</t>
        </is>
      </c>
      <c r="D1247" s="0" t="inlineStr">
        <is>
          <t>Loss</t>
        </is>
      </c>
      <c r="E1247" s="0" t="n">
        <v>-62</v>
      </c>
      <c r="F1247" s="0" t="n">
        <v>21.77909275376904</v>
      </c>
      <c r="G1247" s="0" t="n">
        <v>20.7772433062061</v>
      </c>
      <c r="H1247" s="0" t="n">
        <v>7.563817808035455</v>
      </c>
      <c r="I1247" s="0" t="n">
        <v>703</v>
      </c>
      <c r="J1247" s="0" t="n">
        <v>641</v>
      </c>
      <c r="K1247" s="0" t="n">
        <v>7.627220259707641</v>
      </c>
    </row>
    <row r="1248">
      <c r="A1248" s="0" t="n">
        <v>68</v>
      </c>
      <c r="B1248" s="0" t="inlineStr">
        <is>
          <t>Creatchee</t>
        </is>
      </c>
      <c r="C1248" s="0" t="inlineStr">
        <is>
          <t>Town</t>
        </is>
      </c>
      <c r="D1248" s="0" t="inlineStr">
        <is>
          <t>Loss</t>
        </is>
      </c>
      <c r="E1248" s="0" t="n">
        <v>-61</v>
      </c>
      <c r="F1248" s="0" t="n">
        <v>29.6007593237057</v>
      </c>
      <c r="G1248" s="0" t="n">
        <v>28.5974078460498</v>
      </c>
      <c r="H1248" s="0" t="n">
        <v>7.569389219978544</v>
      </c>
      <c r="I1248" s="0" t="n">
        <v>1234</v>
      </c>
      <c r="J1248" s="0" t="n">
        <v>1173</v>
      </c>
      <c r="K1248" s="0" t="n">
        <v>7.632936683186317</v>
      </c>
    </row>
    <row r="1249">
      <c r="A1249" s="0" t="n">
        <v>68</v>
      </c>
      <c r="B1249" s="0" t="inlineStr">
        <is>
          <t>Kwix</t>
        </is>
      </c>
      <c r="C1249" s="0" t="inlineStr">
        <is>
          <t>Town</t>
        </is>
      </c>
      <c r="D1249" s="0" t="inlineStr">
        <is>
          <t>Loss</t>
        </is>
      </c>
      <c r="E1249" s="0" t="n">
        <v>-65</v>
      </c>
      <c r="F1249" s="0" t="n">
        <v>22.92763767611505</v>
      </c>
      <c r="G1249" s="0" t="n">
        <v>21.85326539257506</v>
      </c>
      <c r="H1249" s="0" t="n">
        <v>7.827979580671874</v>
      </c>
      <c r="I1249" s="0" t="n">
        <v>753</v>
      </c>
      <c r="J1249" s="0" t="n">
        <v>688</v>
      </c>
      <c r="K1249" s="0" t="n">
        <v>7.898506398009887</v>
      </c>
    </row>
    <row r="1250">
      <c r="A1250" s="0" t="n">
        <v>68</v>
      </c>
      <c r="B1250" s="0" t="inlineStr">
        <is>
          <t>Lovekilling</t>
        </is>
      </c>
      <c r="C1250" s="0" t="inlineStr">
        <is>
          <t>Town</t>
        </is>
      </c>
      <c r="D1250" s="0" t="inlineStr">
        <is>
          <t>Loss</t>
        </is>
      </c>
      <c r="E1250" s="0" t="n">
        <v>-70</v>
      </c>
      <c r="F1250" s="0" t="n">
        <v>22.4166533115514</v>
      </c>
      <c r="G1250" s="0" t="n">
        <v>21.26570543806729</v>
      </c>
      <c r="H1250" s="0" t="n">
        <v>8.096871795958473</v>
      </c>
      <c r="I1250" s="0" t="n">
        <v>690</v>
      </c>
      <c r="J1250" s="0" t="n">
        <v>620</v>
      </c>
      <c r="K1250" s="0" t="n">
        <v>8.175187450970624</v>
      </c>
    </row>
    <row r="1251">
      <c r="A1251" s="0" t="n">
        <v>68</v>
      </c>
      <c r="B1251" s="0" t="inlineStr">
        <is>
          <t>Noah</t>
        </is>
      </c>
      <c r="C1251" s="0" t="inlineStr">
        <is>
          <t>Town</t>
        </is>
      </c>
      <c r="D1251" s="0" t="inlineStr">
        <is>
          <t>Loss</t>
        </is>
      </c>
      <c r="E1251" s="0" t="n">
        <v>-62</v>
      </c>
      <c r="F1251" s="0" t="n">
        <v>27.96334453811041</v>
      </c>
      <c r="G1251" s="0" t="n">
        <v>26.95993302923356</v>
      </c>
      <c r="H1251" s="0" t="n">
        <v>7.569611799831314</v>
      </c>
      <c r="I1251" s="0" t="n">
        <v>1123</v>
      </c>
      <c r="J1251" s="0" t="n">
        <v>1061</v>
      </c>
      <c r="K1251" s="0" t="n">
        <v>7.633165060933462</v>
      </c>
    </row>
    <row r="1252">
      <c r="A1252" s="0" t="n">
        <v>68</v>
      </c>
      <c r="B1252" s="0" t="inlineStr">
        <is>
          <t>Plen</t>
        </is>
      </c>
      <c r="C1252" s="0" t="inlineStr">
        <is>
          <t>Town</t>
        </is>
      </c>
      <c r="D1252" s="0" t="inlineStr">
        <is>
          <t>Loss</t>
        </is>
      </c>
      <c r="E1252" s="0" t="n">
        <v>-64</v>
      </c>
      <c r="F1252" s="0" t="n">
        <v>23.99612798768379</v>
      </c>
      <c r="G1252" s="0" t="n">
        <v>22.95545608115519</v>
      </c>
      <c r="H1252" s="0" t="n">
        <v>7.706435812314264</v>
      </c>
      <c r="I1252" s="0" t="n">
        <v>839</v>
      </c>
      <c r="J1252" s="0" t="n">
        <v>775</v>
      </c>
      <c r="K1252" s="0" t="n">
        <v>7.773621027700639</v>
      </c>
    </row>
    <row r="1253">
      <c r="A1253" s="0" t="n">
        <v>68</v>
      </c>
      <c r="B1253" s="0" t="inlineStr">
        <is>
          <t>Rocker</t>
        </is>
      </c>
      <c r="C1253" s="0" t="inlineStr">
        <is>
          <t>Town</t>
        </is>
      </c>
      <c r="D1253" s="0" t="inlineStr">
        <is>
          <t>Loss</t>
        </is>
      </c>
      <c r="E1253" s="0" t="n">
        <v>-60</v>
      </c>
      <c r="F1253" s="0" t="n">
        <v>33.92781083117011</v>
      </c>
      <c r="G1253" s="0" t="n">
        <v>32.95162855649379</v>
      </c>
      <c r="H1253" s="0" t="n">
        <v>7.467924103927925</v>
      </c>
      <c r="I1253" s="0" t="n">
        <v>1539</v>
      </c>
      <c r="J1253" s="0" t="n">
        <v>1479</v>
      </c>
      <c r="K1253" s="0" t="n">
        <v>7.528865417749909</v>
      </c>
    </row>
    <row r="1254">
      <c r="A1254" s="0" t="n">
        <v>68</v>
      </c>
      <c r="B1254" s="0" t="inlineStr">
        <is>
          <t>Whyin</t>
        </is>
      </c>
      <c r="C1254" s="0" t="inlineStr">
        <is>
          <t>Town</t>
        </is>
      </c>
      <c r="D1254" s="0" t="inlineStr">
        <is>
          <t>Loss</t>
        </is>
      </c>
      <c r="E1254" s="0" t="n">
        <v>-62</v>
      </c>
      <c r="F1254" s="0" t="n">
        <v>26.72858736319176</v>
      </c>
      <c r="G1254" s="0" t="n">
        <v>25.72055250493808</v>
      </c>
      <c r="H1254" s="0" t="n">
        <v>7.586732952369601</v>
      </c>
      <c r="I1254" s="0" t="n">
        <v>1037</v>
      </c>
      <c r="J1254" s="0" t="n">
        <v>975</v>
      </c>
      <c r="K1254" s="0" t="n">
        <v>7.65073326365433</v>
      </c>
    </row>
    <row r="1255">
      <c r="A1255" s="0" t="n">
        <v>67</v>
      </c>
      <c r="B1255" s="0" t="inlineStr">
        <is>
          <t>Brownkow</t>
        </is>
      </c>
      <c r="C1255" s="0" t="inlineStr">
        <is>
          <t>Mafia</t>
        </is>
      </c>
      <c r="D1255" s="0" t="inlineStr">
        <is>
          <t>Loss</t>
        </is>
      </c>
      <c r="E1255" s="0" t="n">
        <v>-77</v>
      </c>
      <c r="F1255" s="0" t="n">
        <v>32.31572007131312</v>
      </c>
      <c r="G1255" s="0" t="n">
        <v>31.09236426824744</v>
      </c>
      <c r="H1255" s="0" t="n">
        <v>7.557965137855336</v>
      </c>
      <c r="I1255" s="0" t="n">
        <v>1420</v>
      </c>
      <c r="J1255" s="0" t="n">
        <v>1343</v>
      </c>
      <c r="K1255" s="0" t="n">
        <v>7.621003307018393</v>
      </c>
    </row>
    <row r="1256">
      <c r="A1256" s="0" t="n">
        <v>67</v>
      </c>
      <c r="B1256" s="0" t="inlineStr">
        <is>
          <t>Lovekilling</t>
        </is>
      </c>
      <c r="C1256" s="0" t="inlineStr">
        <is>
          <t>Mafia</t>
        </is>
      </c>
      <c r="D1256" s="0" t="inlineStr">
        <is>
          <t>Loss</t>
        </is>
      </c>
      <c r="E1256" s="0" t="n">
        <v>-90</v>
      </c>
      <c r="F1256" s="0" t="n">
        <v>23.85219328313252</v>
      </c>
      <c r="G1256" s="0" t="n">
        <v>22.4166533115514</v>
      </c>
      <c r="H1256" s="0" t="n">
        <v>8.175187450970624</v>
      </c>
      <c r="I1256" s="0" t="n">
        <v>780</v>
      </c>
      <c r="J1256" s="0" t="n">
        <v>690</v>
      </c>
      <c r="K1256" s="0" t="n">
        <v>8.255605426222679</v>
      </c>
    </row>
    <row r="1257">
      <c r="A1257" s="0" t="n">
        <v>67</v>
      </c>
      <c r="B1257" s="0" t="inlineStr">
        <is>
          <t>Smit</t>
        </is>
      </c>
      <c r="C1257" s="0" t="inlineStr">
        <is>
          <t>Mafia</t>
        </is>
      </c>
      <c r="D1257" s="0" t="inlineStr">
        <is>
          <t>Loss</t>
        </is>
      </c>
      <c r="E1257" s="0" t="n">
        <v>-79</v>
      </c>
      <c r="F1257" s="0" t="n">
        <v>25.34069454064482</v>
      </c>
      <c r="G1257" s="0" t="n">
        <v>24.0791681644658</v>
      </c>
      <c r="H1257" s="0" t="n">
        <v>7.672942613494861</v>
      </c>
      <c r="I1257" s="0" t="n">
        <v>934</v>
      </c>
      <c r="J1257" s="0" t="n">
        <v>855</v>
      </c>
      <c r="K1257" s="0" t="n">
        <v>7.739003725933952</v>
      </c>
    </row>
    <row r="1258">
      <c r="A1258" s="0" t="n">
        <v>67</v>
      </c>
      <c r="B1258" s="0" t="inlineStr">
        <is>
          <t>Noah</t>
        </is>
      </c>
      <c r="C1258" s="0" t="inlineStr">
        <is>
          <t>Town</t>
        </is>
      </c>
      <c r="D1258" s="0" t="inlineStr">
        <is>
          <t>Win</t>
        </is>
      </c>
      <c r="E1258" s="0" t="n">
        <v>92</v>
      </c>
      <c r="F1258" s="0" t="n">
        <v>26.71509348866854</v>
      </c>
      <c r="G1258" s="0" t="n">
        <v>27.96334453811041</v>
      </c>
      <c r="H1258" s="0" t="n">
        <v>7.633165060933462</v>
      </c>
      <c r="I1258" s="0" t="n">
        <v>1031</v>
      </c>
      <c r="J1258" s="0" t="n">
        <v>1123</v>
      </c>
      <c r="K1258" s="0" t="n">
        <v>7.698169556857819</v>
      </c>
    </row>
    <row r="1259">
      <c r="A1259" s="0" t="n">
        <v>67</v>
      </c>
      <c r="B1259" s="0" t="inlineStr">
        <is>
          <t>Plen</t>
        </is>
      </c>
      <c r="C1259" s="0" t="inlineStr">
        <is>
          <t>Town</t>
        </is>
      </c>
      <c r="D1259" s="0" t="inlineStr">
        <is>
          <t>Win</t>
        </is>
      </c>
      <c r="E1259" s="0" t="n">
        <v>95</v>
      </c>
      <c r="F1259" s="0" t="n">
        <v>22.70067038732814</v>
      </c>
      <c r="G1259" s="0" t="n">
        <v>23.99612798768379</v>
      </c>
      <c r="H1259" s="0" t="n">
        <v>7.773621027700639</v>
      </c>
      <c r="I1259" s="0" t="n">
        <v>744</v>
      </c>
      <c r="J1259" s="0" t="n">
        <v>839</v>
      </c>
      <c r="K1259" s="0" t="n">
        <v>7.842408122462177</v>
      </c>
    </row>
    <row r="1260">
      <c r="A1260" s="0" t="n">
        <v>67</v>
      </c>
      <c r="B1260" s="0" t="inlineStr">
        <is>
          <t>Kny</t>
        </is>
      </c>
      <c r="C1260" s="0" t="inlineStr">
        <is>
          <t>Town</t>
        </is>
      </c>
      <c r="D1260" s="0" t="inlineStr">
        <is>
          <t>Win</t>
        </is>
      </c>
      <c r="E1260" s="0" t="n">
        <v>100</v>
      </c>
      <c r="F1260" s="0" t="n">
        <v>25.7429811403225</v>
      </c>
      <c r="G1260" s="0" t="n">
        <v>27.10680505305719</v>
      </c>
      <c r="H1260" s="0" t="n">
        <v>7.972329011357192</v>
      </c>
      <c r="I1260" s="0" t="n">
        <v>930</v>
      </c>
      <c r="J1260" s="0" t="n">
        <v>1030</v>
      </c>
      <c r="K1260" s="0" t="n">
        <v>8.046717564405725</v>
      </c>
    </row>
    <row r="1261">
      <c r="A1261" s="0" t="n">
        <v>67</v>
      </c>
      <c r="B1261" s="0" t="inlineStr">
        <is>
          <t>Creatchee</t>
        </is>
      </c>
      <c r="C1261" s="0" t="inlineStr">
        <is>
          <t>Town</t>
        </is>
      </c>
      <c r="D1261" s="0" t="inlineStr">
        <is>
          <t>Win</t>
        </is>
      </c>
      <c r="E1261" s="0" t="n">
        <v>91</v>
      </c>
      <c r="F1261" s="0" t="n">
        <v>28.35258427935124</v>
      </c>
      <c r="G1261" s="0" t="n">
        <v>29.6007593237057</v>
      </c>
      <c r="H1261" s="0" t="n">
        <v>7.632936683186317</v>
      </c>
      <c r="I1261" s="0" t="n">
        <v>1143</v>
      </c>
      <c r="J1261" s="0" t="n">
        <v>1234</v>
      </c>
      <c r="K1261" s="0" t="n">
        <v>7.697935145802615</v>
      </c>
    </row>
    <row r="1262">
      <c r="A1262" s="0" t="n">
        <v>67</v>
      </c>
      <c r="B1262" s="0" t="inlineStr">
        <is>
          <t>Qe</t>
        </is>
      </c>
      <c r="C1262" s="0" t="inlineStr">
        <is>
          <t>Town</t>
        </is>
      </c>
      <c r="D1262" s="0" t="inlineStr">
        <is>
          <t>Win</t>
        </is>
      </c>
      <c r="E1262" s="0" t="n">
        <v>108</v>
      </c>
      <c r="F1262" s="0" t="n">
        <v>25</v>
      </c>
      <c r="G1262" s="0" t="n">
        <v>26.46269493956451</v>
      </c>
      <c r="H1262" s="0" t="n">
        <v>8.250592070013726</v>
      </c>
      <c r="I1262" s="0" t="n">
        <v>850</v>
      </c>
      <c r="J1262" s="0" t="n">
        <v>958</v>
      </c>
      <c r="K1262" s="0" t="n">
        <v>8.333333333333334</v>
      </c>
    </row>
    <row r="1263">
      <c r="A1263" s="0" t="n">
        <v>67</v>
      </c>
      <c r="B1263" s="0" t="inlineStr">
        <is>
          <t>Rocker</t>
        </is>
      </c>
      <c r="C1263" s="0" t="inlineStr">
        <is>
          <t>Town</t>
        </is>
      </c>
      <c r="D1263" s="0" t="inlineStr">
        <is>
          <t>Win</t>
        </is>
      </c>
      <c r="E1263" s="0" t="n">
        <v>89</v>
      </c>
      <c r="F1263" s="0" t="n">
        <v>32.71401782945119</v>
      </c>
      <c r="G1263" s="0" t="n">
        <v>33.92781083117011</v>
      </c>
      <c r="H1263" s="0" t="n">
        <v>7.528865417749909</v>
      </c>
      <c r="I1263" s="0" t="n">
        <v>1450</v>
      </c>
      <c r="J1263" s="0" t="n">
        <v>1539</v>
      </c>
      <c r="K1263" s="0" t="n">
        <v>7.591153562271655</v>
      </c>
    </row>
    <row r="1264">
      <c r="A1264" s="0" t="n">
        <v>67</v>
      </c>
      <c r="B1264" s="0" t="inlineStr">
        <is>
          <t>Boobles</t>
        </is>
      </c>
      <c r="C1264" s="0" t="inlineStr">
        <is>
          <t>Town</t>
        </is>
      </c>
      <c r="D1264" s="0" t="inlineStr">
        <is>
          <t>Win</t>
        </is>
      </c>
      <c r="E1264" s="0" t="n">
        <v>95</v>
      </c>
      <c r="F1264" s="0" t="n">
        <v>26.52521528939349</v>
      </c>
      <c r="G1264" s="0" t="n">
        <v>27.81547538660927</v>
      </c>
      <c r="H1264" s="0" t="n">
        <v>7.758290304613504</v>
      </c>
      <c r="I1264" s="0" t="n">
        <v>1005</v>
      </c>
      <c r="J1264" s="0" t="n">
        <v>1100</v>
      </c>
      <c r="K1264" s="0" t="n">
        <v>7.826657491934114</v>
      </c>
    </row>
    <row r="1265">
      <c r="A1265" s="0" t="n">
        <v>67</v>
      </c>
      <c r="B1265" s="0" t="inlineStr">
        <is>
          <t>Whyin</t>
        </is>
      </c>
      <c r="C1265" s="0" t="inlineStr">
        <is>
          <t>Town</t>
        </is>
      </c>
      <c r="D1265" s="0" t="inlineStr">
        <is>
          <t>Win</t>
        </is>
      </c>
      <c r="E1265" s="0" t="n">
        <v>92</v>
      </c>
      <c r="F1265" s="0" t="n">
        <v>25.47448223618325</v>
      </c>
      <c r="G1265" s="0" t="n">
        <v>26.72858736319176</v>
      </c>
      <c r="H1265" s="0" t="n">
        <v>7.65073326365433</v>
      </c>
      <c r="I1265" s="0" t="n">
        <v>945</v>
      </c>
      <c r="J1265" s="0" t="n">
        <v>1037</v>
      </c>
      <c r="K1265" s="0" t="n">
        <v>7.716203010333387</v>
      </c>
    </row>
    <row r="1266">
      <c r="A1266" s="0" t="n">
        <v>67</v>
      </c>
      <c r="B1266" s="0" t="inlineStr">
        <is>
          <t>Streety</t>
        </is>
      </c>
      <c r="C1266" s="0" t="inlineStr">
        <is>
          <t>Town</t>
        </is>
      </c>
      <c r="D1266" s="0" t="inlineStr">
        <is>
          <t>Win</t>
        </is>
      </c>
      <c r="E1266" s="0" t="n">
        <v>102</v>
      </c>
      <c r="F1266" s="0" t="n">
        <v>26.30200674069046</v>
      </c>
      <c r="G1266" s="0" t="n">
        <v>27.68551736990544</v>
      </c>
      <c r="H1266" s="0" t="n">
        <v>8.028567140353307</v>
      </c>
      <c r="I1266" s="0" t="n">
        <v>962</v>
      </c>
      <c r="J1266" s="0" t="n">
        <v>1064</v>
      </c>
      <c r="K1266" s="0" t="n">
        <v>8.104595327676016</v>
      </c>
    </row>
    <row r="1267">
      <c r="A1267" s="0" t="n">
        <v>67</v>
      </c>
      <c r="B1267" s="0" t="inlineStr">
        <is>
          <t>Lou</t>
        </is>
      </c>
      <c r="C1267" s="0" t="inlineStr">
        <is>
          <t>Town</t>
        </is>
      </c>
      <c r="D1267" s="0" t="inlineStr">
        <is>
          <t>Win</t>
        </is>
      </c>
      <c r="E1267" s="0" t="n">
        <v>86</v>
      </c>
      <c r="F1267" s="0" t="n">
        <v>24.61268431068368</v>
      </c>
      <c r="G1267" s="0" t="n">
        <v>25.77955204457177</v>
      </c>
      <c r="H1267" s="0" t="n">
        <v>7.384293518595284</v>
      </c>
      <c r="I1267" s="0" t="n">
        <v>914</v>
      </c>
      <c r="J1267" s="0" t="n">
        <v>1000</v>
      </c>
      <c r="K1267" s="0" t="n">
        <v>7.442944188129159</v>
      </c>
    </row>
    <row r="1268">
      <c r="A1268" s="0" t="n">
        <v>67</v>
      </c>
      <c r="B1268" s="0" t="inlineStr">
        <is>
          <t>23flash</t>
        </is>
      </c>
      <c r="C1268" s="0" t="inlineStr">
        <is>
          <t>Town</t>
        </is>
      </c>
      <c r="D1268" s="0" t="inlineStr">
        <is>
          <t>Win</t>
        </is>
      </c>
      <c r="E1268" s="0" t="n">
        <v>105</v>
      </c>
      <c r="F1268" s="0" t="n">
        <v>25.3541355278068</v>
      </c>
      <c r="G1268" s="0" t="n">
        <v>26.77199337712927</v>
      </c>
      <c r="H1268" s="0" t="n">
        <v>8.12567960335087</v>
      </c>
      <c r="I1268" s="0" t="n">
        <v>887</v>
      </c>
      <c r="J1268" s="0" t="n">
        <v>992</v>
      </c>
      <c r="K1268" s="0" t="n">
        <v>8.204596578706203</v>
      </c>
    </row>
    <row r="1269">
      <c r="A1269" s="0" t="n">
        <v>66</v>
      </c>
      <c r="B1269" s="0" t="inlineStr">
        <is>
          <t>Brownkow</t>
        </is>
      </c>
      <c r="C1269" s="0" t="inlineStr">
        <is>
          <t>Mafia</t>
        </is>
      </c>
      <c r="D1269" s="0" t="inlineStr">
        <is>
          <t>Win</t>
        </is>
      </c>
      <c r="E1269" s="0" t="n">
        <v>29</v>
      </c>
      <c r="F1269" s="0" t="n">
        <v>31.94864023012557</v>
      </c>
      <c r="G1269" s="0" t="n">
        <v>32.31572007131312</v>
      </c>
      <c r="H1269" s="0" t="n">
        <v>7.621003307018393</v>
      </c>
      <c r="I1269" s="0" t="n">
        <v>1391</v>
      </c>
      <c r="J1269" s="0" t="n">
        <v>1420</v>
      </c>
      <c r="K1269" s="0" t="n">
        <v>7.658094424574275</v>
      </c>
    </row>
    <row r="1270">
      <c r="A1270" s="0" t="n">
        <v>66</v>
      </c>
      <c r="B1270" s="0" t="inlineStr">
        <is>
          <t>Kden</t>
        </is>
      </c>
      <c r="C1270" s="0" t="inlineStr">
        <is>
          <t>Mafia</t>
        </is>
      </c>
      <c r="D1270" s="0" t="inlineStr">
        <is>
          <t>Win</t>
        </is>
      </c>
      <c r="E1270" s="0" t="n">
        <v>34</v>
      </c>
      <c r="F1270" s="0" t="n">
        <v>24.0077374947631</v>
      </c>
      <c r="G1270" s="0" t="n">
        <v>24.43458081959471</v>
      </c>
      <c r="H1270" s="0" t="n">
        <v>8.211354371701386</v>
      </c>
      <c r="I1270" s="0" t="n">
        <v>790</v>
      </c>
      <c r="J1270" s="0" t="n">
        <v>824</v>
      </c>
      <c r="K1270" s="0" t="n">
        <v>8.258095111969281</v>
      </c>
    </row>
    <row r="1271">
      <c r="A1271" s="0" t="n">
        <v>66</v>
      </c>
      <c r="B1271" s="0" t="inlineStr">
        <is>
          <t>Aipha</t>
        </is>
      </c>
      <c r="C1271" s="0" t="inlineStr">
        <is>
          <t>Mafia</t>
        </is>
      </c>
      <c r="D1271" s="0" t="inlineStr">
        <is>
          <t>Win</t>
        </is>
      </c>
      <c r="E1271" s="0" t="n">
        <v>32</v>
      </c>
      <c r="F1271" s="0" t="n">
        <v>28.01474245939171</v>
      </c>
      <c r="G1271" s="0" t="n">
        <v>28.41915702478638</v>
      </c>
      <c r="H1271" s="0" t="n">
        <v>7.995136118428662</v>
      </c>
      <c r="I1271" s="0" t="n">
        <v>1085</v>
      </c>
      <c r="J1271" s="0" t="n">
        <v>1117</v>
      </c>
      <c r="K1271" s="0" t="n">
        <v>8.03817138840504</v>
      </c>
    </row>
    <row r="1272">
      <c r="A1272" s="0" t="n">
        <v>66</v>
      </c>
      <c r="B1272" s="0" t="inlineStr">
        <is>
          <t>Iln</t>
        </is>
      </c>
      <c r="C1272" s="0" t="inlineStr">
        <is>
          <t>Town</t>
        </is>
      </c>
      <c r="D1272" s="0" t="inlineStr">
        <is>
          <t>Loss</t>
        </is>
      </c>
      <c r="E1272" s="0" t="n">
        <v>-21</v>
      </c>
      <c r="F1272" s="0" t="n">
        <v>21.7500638296451</v>
      </c>
      <c r="G1272" s="0" t="n">
        <v>21.38311033867764</v>
      </c>
      <c r="H1272" s="0" t="n">
        <v>7.61970462710817</v>
      </c>
      <c r="I1272" s="0" t="n">
        <v>698</v>
      </c>
      <c r="J1272" s="0" t="n">
        <v>677</v>
      </c>
      <c r="K1272" s="0" t="n">
        <v>7.656776114356216</v>
      </c>
    </row>
    <row r="1273">
      <c r="A1273" s="0" t="n">
        <v>66</v>
      </c>
      <c r="B1273" s="0" t="inlineStr">
        <is>
          <t>Lombax</t>
        </is>
      </c>
      <c r="C1273" s="0" t="inlineStr">
        <is>
          <t>Town</t>
        </is>
      </c>
      <c r="D1273" s="0" t="inlineStr">
        <is>
          <t>Loss</t>
        </is>
      </c>
      <c r="E1273" s="0" t="n">
        <v>-24</v>
      </c>
      <c r="F1273" s="0" t="n">
        <v>25.5335730927767</v>
      </c>
      <c r="G1273" s="0" t="n">
        <v>25.12077849179042</v>
      </c>
      <c r="H1273" s="0" t="n">
        <v>8.07663008341167</v>
      </c>
      <c r="I1273" s="0" t="n">
        <v>908</v>
      </c>
      <c r="J1273" s="0" t="n">
        <v>884</v>
      </c>
      <c r="K1273" s="0" t="n">
        <v>8.121038212444931</v>
      </c>
    </row>
    <row r="1274">
      <c r="A1274" s="0" t="n">
        <v>66</v>
      </c>
      <c r="B1274" s="0" t="inlineStr">
        <is>
          <t>Dani</t>
        </is>
      </c>
      <c r="C1274" s="0" t="inlineStr">
        <is>
          <t>Town</t>
        </is>
      </c>
      <c r="D1274" s="0" t="inlineStr">
        <is>
          <t>Loss</t>
        </is>
      </c>
      <c r="E1274" s="0" t="n">
        <v>-24</v>
      </c>
      <c r="F1274" s="0" t="n">
        <v>23.18427891296841</v>
      </c>
      <c r="G1274" s="0" t="n">
        <v>22.76390595331214</v>
      </c>
      <c r="H1274" s="0" t="n">
        <v>8.149594486387056</v>
      </c>
      <c r="I1274" s="0" t="n">
        <v>741</v>
      </c>
      <c r="J1274" s="0" t="n">
        <v>717</v>
      </c>
      <c r="K1274" s="0" t="n">
        <v>8.195256096892285</v>
      </c>
    </row>
    <row r="1275">
      <c r="A1275" s="0" t="n">
        <v>66</v>
      </c>
      <c r="B1275" s="0" t="inlineStr">
        <is>
          <t>Lou</t>
        </is>
      </c>
      <c r="C1275" s="0" t="inlineStr">
        <is>
          <t>Town</t>
        </is>
      </c>
      <c r="D1275" s="0" t="inlineStr">
        <is>
          <t>Loss</t>
        </is>
      </c>
      <c r="E1275" s="0" t="n">
        <v>-21</v>
      </c>
      <c r="F1275" s="0" t="n">
        <v>24.96264941527232</v>
      </c>
      <c r="G1275" s="0" t="n">
        <v>24.61268431068368</v>
      </c>
      <c r="H1275" s="0" t="n">
        <v>7.442944188129159</v>
      </c>
      <c r="I1275" s="0" t="n">
        <v>935</v>
      </c>
      <c r="J1275" s="0" t="n">
        <v>914</v>
      </c>
      <c r="K1275" s="0" t="n">
        <v>7.477406821467114</v>
      </c>
    </row>
    <row r="1276">
      <c r="A1276" s="0" t="n">
        <v>66</v>
      </c>
      <c r="B1276" s="0" t="inlineStr">
        <is>
          <t>Machop</t>
        </is>
      </c>
      <c r="C1276" s="0" t="inlineStr">
        <is>
          <t>Town</t>
        </is>
      </c>
      <c r="D1276" s="0" t="inlineStr">
        <is>
          <t>Loss</t>
        </is>
      </c>
      <c r="E1276" s="0" t="n">
        <v>-20</v>
      </c>
      <c r="F1276" s="0" t="n">
        <v>28.56773760854384</v>
      </c>
      <c r="G1276" s="0" t="n">
        <v>28.2180240937514</v>
      </c>
      <c r="H1276" s="0" t="n">
        <v>7.440293648416504</v>
      </c>
      <c r="I1276" s="0" t="n">
        <v>1180</v>
      </c>
      <c r="J1276" s="0" t="n">
        <v>1160</v>
      </c>
      <c r="K1276" s="0" t="n">
        <v>7.474718104722935</v>
      </c>
    </row>
    <row r="1277">
      <c r="A1277" s="0" t="n">
        <v>66</v>
      </c>
      <c r="B1277" s="0" t="inlineStr">
        <is>
          <t>Chipper</t>
        </is>
      </c>
      <c r="C1277" s="0" t="inlineStr">
        <is>
          <t>Town</t>
        </is>
      </c>
      <c r="D1277" s="0" t="inlineStr">
        <is>
          <t>Loss</t>
        </is>
      </c>
      <c r="E1277" s="0" t="n">
        <v>-21</v>
      </c>
      <c r="F1277" s="0" t="n">
        <v>22.14677776055698</v>
      </c>
      <c r="G1277" s="0" t="n">
        <v>21.77909275376904</v>
      </c>
      <c r="H1277" s="0" t="n">
        <v>7.627220259707641</v>
      </c>
      <c r="I1277" s="0" t="n">
        <v>724</v>
      </c>
      <c r="J1277" s="0" t="n">
        <v>703</v>
      </c>
      <c r="K1277" s="0" t="n">
        <v>7.664405444515181</v>
      </c>
    </row>
    <row r="1278">
      <c r="A1278" s="0" t="n">
        <v>66</v>
      </c>
      <c r="B1278" s="0" t="inlineStr">
        <is>
          <t>Badpants</t>
        </is>
      </c>
      <c r="C1278" s="0" t="inlineStr">
        <is>
          <t>Town</t>
        </is>
      </c>
      <c r="D1278" s="0" t="inlineStr">
        <is>
          <t>Loss</t>
        </is>
      </c>
      <c r="E1278" s="0" t="n">
        <v>-21</v>
      </c>
      <c r="F1278" s="0" t="n">
        <v>21.50541617477199</v>
      </c>
      <c r="G1278" s="0" t="n">
        <v>21.13899054161135</v>
      </c>
      <c r="H1278" s="0" t="n">
        <v>7.614276593152226</v>
      </c>
      <c r="I1278" s="0" t="n">
        <v>682</v>
      </c>
      <c r="J1278" s="0" t="n">
        <v>661</v>
      </c>
      <c r="K1278" s="0" t="n">
        <v>7.651266106183387</v>
      </c>
    </row>
    <row r="1279">
      <c r="A1279" s="0" t="n">
        <v>66</v>
      </c>
      <c r="B1279" s="0" t="inlineStr">
        <is>
          <t>Smit</t>
        </is>
      </c>
      <c r="C1279" s="0" t="inlineStr">
        <is>
          <t>Town</t>
        </is>
      </c>
      <c r="D1279" s="0" t="inlineStr">
        <is>
          <t>Loss</t>
        </is>
      </c>
      <c r="E1279" s="0" t="n">
        <v>-22</v>
      </c>
      <c r="F1279" s="0" t="n">
        <v>25.7193483573457</v>
      </c>
      <c r="G1279" s="0" t="n">
        <v>25.34069454064482</v>
      </c>
      <c r="H1279" s="0" t="n">
        <v>7.739003725933952</v>
      </c>
      <c r="I1279" s="0" t="n">
        <v>956</v>
      </c>
      <c r="J1279" s="0" t="n">
        <v>934</v>
      </c>
      <c r="K1279" s="0" t="n">
        <v>7.777907079664647</v>
      </c>
    </row>
    <row r="1280">
      <c r="A1280" s="0" t="n">
        <v>66</v>
      </c>
      <c r="B1280" s="0" t="inlineStr">
        <is>
          <t>Whyin</t>
        </is>
      </c>
      <c r="C1280" s="0" t="inlineStr">
        <is>
          <t>Town</t>
        </is>
      </c>
      <c r="D1280" s="0" t="inlineStr">
        <is>
          <t>Loss</t>
        </is>
      </c>
      <c r="E1280" s="0" t="n">
        <v>-22</v>
      </c>
      <c r="F1280" s="0" t="n">
        <v>25.85088522872617</v>
      </c>
      <c r="G1280" s="0" t="n">
        <v>25.47448223618325</v>
      </c>
      <c r="H1280" s="0" t="n">
        <v>7.716203010333387</v>
      </c>
      <c r="I1280" s="0" t="n">
        <v>967</v>
      </c>
      <c r="J1280" s="0" t="n">
        <v>945</v>
      </c>
      <c r="K1280" s="0" t="n">
        <v>7.754751763802932</v>
      </c>
    </row>
    <row r="1281">
      <c r="A1281" s="0" t="n">
        <v>66</v>
      </c>
      <c r="B1281" s="0" t="inlineStr">
        <is>
          <t>Plen</t>
        </is>
      </c>
      <c r="C1281" s="0" t="inlineStr">
        <is>
          <t>Town</t>
        </is>
      </c>
      <c r="D1281" s="0" t="inlineStr">
        <is>
          <t>Loss</t>
        </is>
      </c>
      <c r="E1281" s="0" t="n">
        <v>-22</v>
      </c>
      <c r="F1281" s="0" t="n">
        <v>23.08961888887867</v>
      </c>
      <c r="G1281" s="0" t="n">
        <v>22.70067038732814</v>
      </c>
      <c r="H1281" s="0" t="n">
        <v>7.842408122462177</v>
      </c>
      <c r="I1281" s="0" t="n">
        <v>766</v>
      </c>
      <c r="J1281" s="0" t="n">
        <v>744</v>
      </c>
      <c r="K1281" s="0" t="n">
        <v>7.882946561494674</v>
      </c>
    </row>
    <row r="1282">
      <c r="A1282" s="0" t="n">
        <v>65</v>
      </c>
      <c r="B1282" s="0" t="inlineStr">
        <is>
          <t>Chipper</t>
        </is>
      </c>
      <c r="C1282" s="0" t="inlineStr">
        <is>
          <t>Mafia</t>
        </is>
      </c>
      <c r="D1282" s="0" t="inlineStr">
        <is>
          <t>Loss</t>
        </is>
      </c>
      <c r="E1282" s="0" t="n">
        <v>-39</v>
      </c>
      <c r="F1282" s="0" t="n">
        <v>22.80227959952684</v>
      </c>
      <c r="G1282" s="0" t="n">
        <v>22.14677776055698</v>
      </c>
      <c r="H1282" s="0" t="n">
        <v>7.664405444515181</v>
      </c>
      <c r="I1282" s="0" t="n">
        <v>763</v>
      </c>
      <c r="J1282" s="0" t="n">
        <v>724</v>
      </c>
      <c r="K1282" s="0" t="n">
        <v>7.717528859341795</v>
      </c>
    </row>
    <row r="1283">
      <c r="A1283" s="0" t="n">
        <v>65</v>
      </c>
      <c r="B1283" s="0" t="inlineStr">
        <is>
          <t>Iln</t>
        </is>
      </c>
      <c r="C1283" s="0" t="inlineStr">
        <is>
          <t>Mafia</t>
        </is>
      </c>
      <c r="D1283" s="0" t="inlineStr">
        <is>
          <t>Loss</t>
        </is>
      </c>
      <c r="E1283" s="0" t="n">
        <v>-39</v>
      </c>
      <c r="F1283" s="0" t="n">
        <v>22.40424272379219</v>
      </c>
      <c r="G1283" s="0" t="n">
        <v>21.7500638296451</v>
      </c>
      <c r="H1283" s="0" t="n">
        <v>7.656776114356216</v>
      </c>
      <c r="I1283" s="0" t="n">
        <v>737</v>
      </c>
      <c r="J1283" s="0" t="n">
        <v>698</v>
      </c>
      <c r="K1283" s="0" t="n">
        <v>7.709735793924472</v>
      </c>
    </row>
    <row r="1284">
      <c r="A1284" s="0" t="n">
        <v>65</v>
      </c>
      <c r="B1284" s="0" t="inlineStr">
        <is>
          <t>Smit</t>
        </is>
      </c>
      <c r="C1284" s="0" t="inlineStr">
        <is>
          <t>Mafia</t>
        </is>
      </c>
      <c r="D1284" s="0" t="inlineStr">
        <is>
          <t>Loss</t>
        </is>
      </c>
      <c r="E1284" s="0" t="n">
        <v>-40</v>
      </c>
      <c r="F1284" s="0" t="n">
        <v>26.39469641924448</v>
      </c>
      <c r="G1284" s="0" t="n">
        <v>25.7193483573457</v>
      </c>
      <c r="H1284" s="0" t="n">
        <v>7.777907079664647</v>
      </c>
      <c r="I1284" s="0" t="n">
        <v>996</v>
      </c>
      <c r="J1284" s="0" t="n">
        <v>956</v>
      </c>
      <c r="K1284" s="0" t="n">
        <v>7.833506448996038</v>
      </c>
    </row>
    <row r="1285">
      <c r="A1285" s="0" t="n">
        <v>65</v>
      </c>
      <c r="B1285" s="0" t="inlineStr">
        <is>
          <t>Badpants</t>
        </is>
      </c>
      <c r="C1285" s="0" t="inlineStr">
        <is>
          <t>Town</t>
        </is>
      </c>
      <c r="D1285" s="0" t="inlineStr">
        <is>
          <t>Win</t>
        </is>
      </c>
      <c r="E1285" s="0" t="n">
        <v>50</v>
      </c>
      <c r="F1285" s="0" t="n">
        <v>20.85219186299174</v>
      </c>
      <c r="G1285" s="0" t="n">
        <v>21.50541617477199</v>
      </c>
      <c r="H1285" s="0" t="n">
        <v>7.651266106183387</v>
      </c>
      <c r="I1285" s="0" t="n">
        <v>632</v>
      </c>
      <c r="J1285" s="0" t="n">
        <v>682</v>
      </c>
      <c r="K1285" s="0" t="n">
        <v>7.704107743469629</v>
      </c>
    </row>
    <row r="1286">
      <c r="A1286" s="0" t="n">
        <v>65</v>
      </c>
      <c r="B1286" s="0" t="inlineStr">
        <is>
          <t>Brownkow</t>
        </is>
      </c>
      <c r="C1286" s="0" t="inlineStr">
        <is>
          <t>Town</t>
        </is>
      </c>
      <c r="D1286" s="0" t="inlineStr">
        <is>
          <t>Win</t>
        </is>
      </c>
      <c r="E1286" s="0" t="n">
        <v>50</v>
      </c>
      <c r="F1286" s="0" t="n">
        <v>31.29423283731963</v>
      </c>
      <c r="G1286" s="0" t="n">
        <v>31.94864023012557</v>
      </c>
      <c r="H1286" s="0" t="n">
        <v>7.658094424574275</v>
      </c>
      <c r="I1286" s="0" t="n">
        <v>1341</v>
      </c>
      <c r="J1286" s="0" t="n">
        <v>1391</v>
      </c>
      <c r="K1286" s="0" t="n">
        <v>7.711082372684022</v>
      </c>
    </row>
    <row r="1287">
      <c r="A1287" s="0" t="n">
        <v>65</v>
      </c>
      <c r="B1287" s="0" t="inlineStr">
        <is>
          <t>Creatchee</t>
        </is>
      </c>
      <c r="C1287" s="0" t="inlineStr">
        <is>
          <t>Town</t>
        </is>
      </c>
      <c r="D1287" s="0" t="inlineStr">
        <is>
          <t>Win</t>
        </is>
      </c>
      <c r="E1287" s="0" t="n">
        <v>51</v>
      </c>
      <c r="F1287" s="0" t="n">
        <v>27.69125177889033</v>
      </c>
      <c r="G1287" s="0" t="n">
        <v>28.35258427935124</v>
      </c>
      <c r="H1287" s="0" t="n">
        <v>7.697935145802615</v>
      </c>
      <c r="I1287" s="0" t="n">
        <v>1092</v>
      </c>
      <c r="J1287" s="0" t="n">
        <v>1143</v>
      </c>
      <c r="K1287" s="0" t="n">
        <v>7.751782156162346</v>
      </c>
    </row>
    <row r="1288">
      <c r="A1288" s="0" t="n">
        <v>65</v>
      </c>
      <c r="B1288" s="0" t="inlineStr">
        <is>
          <t>Keegan</t>
        </is>
      </c>
      <c r="C1288" s="0" t="inlineStr">
        <is>
          <t>Town</t>
        </is>
      </c>
      <c r="D1288" s="0" t="inlineStr">
        <is>
          <t>Win</t>
        </is>
      </c>
      <c r="E1288" s="0" t="n">
        <v>57</v>
      </c>
      <c r="F1288" s="0" t="n">
        <v>26.79796940206129</v>
      </c>
      <c r="G1288" s="0" t="n">
        <v>27.54499207983338</v>
      </c>
      <c r="H1288" s="0" t="n">
        <v>8.173933300915332</v>
      </c>
      <c r="I1288" s="0" t="n">
        <v>982</v>
      </c>
      <c r="J1288" s="0" t="n">
        <v>1039</v>
      </c>
      <c r="K1288" s="0" t="n">
        <v>8.238775420701211</v>
      </c>
    </row>
    <row r="1289">
      <c r="A1289" s="0" t="n">
        <v>65</v>
      </c>
      <c r="B1289" s="0" t="inlineStr">
        <is>
          <t>Laur</t>
        </is>
      </c>
      <c r="C1289" s="0" t="inlineStr">
        <is>
          <t>Town</t>
        </is>
      </c>
      <c r="D1289" s="0" t="inlineStr">
        <is>
          <t>Win</t>
        </is>
      </c>
      <c r="E1289" s="0" t="n">
        <v>53</v>
      </c>
      <c r="F1289" s="0" t="n">
        <v>29.62073657260668</v>
      </c>
      <c r="G1289" s="0" t="n">
        <v>30.3129527756997</v>
      </c>
      <c r="H1289" s="0" t="n">
        <v>7.873014894589866</v>
      </c>
      <c r="I1289" s="0" t="n">
        <v>1205</v>
      </c>
      <c r="J1289" s="0" t="n">
        <v>1258</v>
      </c>
      <c r="K1289" s="0" t="n">
        <v>7.930747429176806</v>
      </c>
    </row>
    <row r="1290">
      <c r="A1290" s="0" t="n">
        <v>65</v>
      </c>
      <c r="B1290" s="0" t="inlineStr">
        <is>
          <t>Lombax</t>
        </is>
      </c>
      <c r="C1290" s="0" t="inlineStr">
        <is>
          <t>Town</t>
        </is>
      </c>
      <c r="D1290" s="0" t="inlineStr">
        <is>
          <t>Win</t>
        </is>
      </c>
      <c r="E1290" s="0" t="n">
        <v>57</v>
      </c>
      <c r="F1290" s="0" t="n">
        <v>24.79634276557831</v>
      </c>
      <c r="G1290" s="0" t="n">
        <v>25.5335730927767</v>
      </c>
      <c r="H1290" s="0" t="n">
        <v>8.121038212444931</v>
      </c>
      <c r="I1290" s="0" t="n">
        <v>851</v>
      </c>
      <c r="J1290" s="0" t="n">
        <v>908</v>
      </c>
      <c r="K1290" s="0" t="n">
        <v>8.184590266866108</v>
      </c>
    </row>
    <row r="1291">
      <c r="A1291" s="0" t="n">
        <v>65</v>
      </c>
      <c r="B1291" s="0" t="inlineStr">
        <is>
          <t>Lou</t>
        </is>
      </c>
      <c r="C1291" s="0" t="inlineStr">
        <is>
          <t>Town</t>
        </is>
      </c>
      <c r="D1291" s="0" t="inlineStr">
        <is>
          <t>Win</t>
        </is>
      </c>
      <c r="E1291" s="0" t="n">
        <v>48</v>
      </c>
      <c r="F1291" s="0" t="n">
        <v>24.33917256061091</v>
      </c>
      <c r="G1291" s="0" t="n">
        <v>24.96264941527232</v>
      </c>
      <c r="H1291" s="0" t="n">
        <v>7.477406821467114</v>
      </c>
      <c r="I1291" s="0" t="n">
        <v>887</v>
      </c>
      <c r="J1291" s="0" t="n">
        <v>935</v>
      </c>
      <c r="K1291" s="0" t="n">
        <v>7.526613241264498</v>
      </c>
    </row>
    <row r="1292">
      <c r="A1292" s="0" t="n">
        <v>65</v>
      </c>
      <c r="B1292" s="0" t="inlineStr">
        <is>
          <t>Machop</t>
        </is>
      </c>
      <c r="C1292" s="0" t="inlineStr">
        <is>
          <t>Town</t>
        </is>
      </c>
      <c r="D1292" s="0" t="inlineStr">
        <is>
          <t>Win</t>
        </is>
      </c>
      <c r="E1292" s="0" t="n">
        <v>47</v>
      </c>
      <c r="F1292" s="0" t="n">
        <v>27.94471512804253</v>
      </c>
      <c r="G1292" s="0" t="n">
        <v>28.56773760854384</v>
      </c>
      <c r="H1292" s="0" t="n">
        <v>7.474718104722935</v>
      </c>
      <c r="I1292" s="0" t="n">
        <v>1133</v>
      </c>
      <c r="J1292" s="0" t="n">
        <v>1180</v>
      </c>
      <c r="K1292" s="0" t="n">
        <v>7.523869654421174</v>
      </c>
    </row>
    <row r="1293">
      <c r="A1293" s="0" t="n">
        <v>65</v>
      </c>
      <c r="B1293" s="0" t="inlineStr">
        <is>
          <t>Mintt</t>
        </is>
      </c>
      <c r="C1293" s="0" t="inlineStr">
        <is>
          <t>Town</t>
        </is>
      </c>
      <c r="D1293" s="0" t="inlineStr">
        <is>
          <t>Win</t>
        </is>
      </c>
      <c r="E1293" s="0" t="n">
        <v>55</v>
      </c>
      <c r="F1293" s="0" t="n">
        <v>25.47509563526944</v>
      </c>
      <c r="G1293" s="0" t="n">
        <v>26.18469252180141</v>
      </c>
      <c r="H1293" s="0" t="n">
        <v>7.969753559088045</v>
      </c>
      <c r="I1293" s="0" t="n">
        <v>913</v>
      </c>
      <c r="J1293" s="0" t="n">
        <v>968</v>
      </c>
      <c r="K1293" s="0" t="n">
        <v>8.029711374074266</v>
      </c>
    </row>
    <row r="1294">
      <c r="A1294" s="0" t="n">
        <v>65</v>
      </c>
      <c r="B1294" s="0" t="inlineStr">
        <is>
          <t>Rocker</t>
        </is>
      </c>
      <c r="C1294" s="0" t="inlineStr">
        <is>
          <t>Town</t>
        </is>
      </c>
      <c r="D1294" s="0" t="inlineStr">
        <is>
          <t>Win</t>
        </is>
      </c>
      <c r="E1294" s="0" t="n">
        <v>49</v>
      </c>
      <c r="F1294" s="0" t="n">
        <v>32.07116052558708</v>
      </c>
      <c r="G1294" s="0" t="n">
        <v>32.71401782945119</v>
      </c>
      <c r="H1294" s="0" t="n">
        <v>7.591153562271655</v>
      </c>
      <c r="I1294" s="0" t="n">
        <v>1401</v>
      </c>
      <c r="J1294" s="0" t="n">
        <v>1450</v>
      </c>
      <c r="K1294" s="0" t="n">
        <v>7.642718770592553</v>
      </c>
    </row>
    <row r="1295">
      <c r="A1295" s="0" t="n">
        <v>64</v>
      </c>
      <c r="B1295" s="0" t="inlineStr">
        <is>
          <t>Noah</t>
        </is>
      </c>
      <c r="C1295" s="0" t="inlineStr">
        <is>
          <t>Mafia</t>
        </is>
      </c>
      <c r="D1295" s="0" t="inlineStr">
        <is>
          <t>Win</t>
        </is>
      </c>
      <c r="E1295" s="0" t="n">
        <v>65</v>
      </c>
      <c r="F1295" s="0" t="n">
        <v>25.83174724359375</v>
      </c>
      <c r="G1295" s="0" t="n">
        <v>26.71509348866854</v>
      </c>
      <c r="H1295" s="0" t="n">
        <v>7.698169556857819</v>
      </c>
      <c r="I1295" s="0" t="n">
        <v>966</v>
      </c>
      <c r="J1295" s="0" t="n">
        <v>1031</v>
      </c>
      <c r="K1295" s="0" t="n">
        <v>7.754774682163555</v>
      </c>
    </row>
    <row r="1296">
      <c r="A1296" s="0" t="n">
        <v>64</v>
      </c>
      <c r="B1296" s="0" t="inlineStr">
        <is>
          <t>5up</t>
        </is>
      </c>
      <c r="C1296" s="0" t="inlineStr">
        <is>
          <t>Mafia</t>
        </is>
      </c>
      <c r="D1296" s="0" t="inlineStr">
        <is>
          <t>Win</t>
        </is>
      </c>
      <c r="E1296" s="0" t="n">
        <v>75</v>
      </c>
      <c r="F1296" s="0" t="n">
        <v>26.79796940206129</v>
      </c>
      <c r="G1296" s="0" t="n">
        <v>27.79500277301485</v>
      </c>
      <c r="H1296" s="0" t="n">
        <v>8.170699083976441</v>
      </c>
      <c r="I1296" s="0" t="n">
        <v>982</v>
      </c>
      <c r="J1296" s="0" t="n">
        <v>1057</v>
      </c>
      <c r="K1296" s="0" t="n">
        <v>8.238775420701211</v>
      </c>
    </row>
    <row r="1297">
      <c r="A1297" s="0" t="n">
        <v>64</v>
      </c>
      <c r="B1297" s="0" t="inlineStr">
        <is>
          <t>23flash</t>
        </is>
      </c>
      <c r="C1297" s="0" t="inlineStr">
        <is>
          <t>Mafia</t>
        </is>
      </c>
      <c r="D1297" s="0" t="inlineStr">
        <is>
          <t>Win</t>
        </is>
      </c>
      <c r="E1297" s="0" t="n">
        <v>75</v>
      </c>
      <c r="F1297" s="0" t="n">
        <v>24.34866869704278</v>
      </c>
      <c r="G1297" s="0" t="n">
        <v>25.3541355278068</v>
      </c>
      <c r="H1297" s="0" t="n">
        <v>8.204596578706203</v>
      </c>
      <c r="I1297" s="0" t="n">
        <v>812</v>
      </c>
      <c r="J1297" s="0" t="n">
        <v>887</v>
      </c>
      <c r="K1297" s="0" t="n">
        <v>8.27355122000802</v>
      </c>
    </row>
    <row r="1298">
      <c r="A1298" s="0" t="n">
        <v>64</v>
      </c>
      <c r="B1298" s="0" t="inlineStr">
        <is>
          <t>Strik3r</t>
        </is>
      </c>
      <c r="C1298" s="0" t="inlineStr">
        <is>
          <t>Town</t>
        </is>
      </c>
      <c r="D1298" s="0" t="inlineStr">
        <is>
          <t>Loss</t>
        </is>
      </c>
      <c r="E1298" s="0" t="n">
        <v>-59</v>
      </c>
      <c r="F1298" s="0" t="n">
        <v>24.93485714622082</v>
      </c>
      <c r="G1298" s="0" t="n">
        <v>23.96979499407577</v>
      </c>
      <c r="H1298" s="0" t="n">
        <v>8.040805103546569</v>
      </c>
      <c r="I1298" s="0" t="n">
        <v>869</v>
      </c>
      <c r="J1298" s="0" t="n">
        <v>810</v>
      </c>
      <c r="K1298" s="0" t="n">
        <v>8.105585654357997</v>
      </c>
    </row>
    <row r="1299">
      <c r="A1299" s="0" t="n">
        <v>64</v>
      </c>
      <c r="B1299" s="0" t="inlineStr">
        <is>
          <t>Antfrost</t>
        </is>
      </c>
      <c r="C1299" s="0" t="inlineStr">
        <is>
          <t>Town</t>
        </is>
      </c>
      <c r="D1299" s="0" t="inlineStr">
        <is>
          <t>Loss</t>
        </is>
      </c>
      <c r="E1299" s="0" t="n">
        <v>-60</v>
      </c>
      <c r="F1299" s="0" t="n">
        <v>24.56788306066987</v>
      </c>
      <c r="G1299" s="0" t="n">
        <v>23.58897071153358</v>
      </c>
      <c r="H1299" s="0" t="n">
        <v>8.097349643250482</v>
      </c>
      <c r="I1299" s="0" t="n">
        <v>838</v>
      </c>
      <c r="J1299" s="0" t="n">
        <v>778</v>
      </c>
      <c r="K1299" s="0" t="n">
        <v>8.163551349217395</v>
      </c>
    </row>
    <row r="1300">
      <c r="A1300" s="0" t="n">
        <v>64</v>
      </c>
      <c r="B1300" s="0" t="inlineStr">
        <is>
          <t>Whyin</t>
        </is>
      </c>
      <c r="C1300" s="0" t="inlineStr">
        <is>
          <t>Town</t>
        </is>
      </c>
      <c r="D1300" s="0" t="inlineStr">
        <is>
          <t>Loss</t>
        </is>
      </c>
      <c r="E1300" s="0" t="n">
        <v>-55</v>
      </c>
      <c r="F1300" s="0" t="n">
        <v>26.74746506001829</v>
      </c>
      <c r="G1300" s="0" t="n">
        <v>25.85088522872617</v>
      </c>
      <c r="H1300" s="0" t="n">
        <v>7.754751763802932</v>
      </c>
      <c r="I1300" s="0" t="n">
        <v>1022</v>
      </c>
      <c r="J1300" s="0" t="n">
        <v>967</v>
      </c>
      <c r="K1300" s="0" t="n">
        <v>7.812656240646461</v>
      </c>
    </row>
    <row r="1301">
      <c r="A1301" s="0" t="n">
        <v>64</v>
      </c>
      <c r="B1301" s="0" t="inlineStr">
        <is>
          <t>Brownkow</t>
        </is>
      </c>
      <c r="C1301" s="0" t="inlineStr">
        <is>
          <t>Town</t>
        </is>
      </c>
      <c r="D1301" s="0" t="inlineStr">
        <is>
          <t>Loss</t>
        </is>
      </c>
      <c r="E1301" s="0" t="n">
        <v>-55</v>
      </c>
      <c r="F1301" s="0" t="n">
        <v>32.18059010078741</v>
      </c>
      <c r="G1301" s="0" t="n">
        <v>31.29423283731963</v>
      </c>
      <c r="H1301" s="0" t="n">
        <v>7.711082372684022</v>
      </c>
      <c r="I1301" s="0" t="n">
        <v>1396</v>
      </c>
      <c r="J1301" s="0" t="n">
        <v>1341</v>
      </c>
      <c r="K1301" s="0" t="n">
        <v>7.767982289918827</v>
      </c>
    </row>
    <row r="1302">
      <c r="A1302" s="0" t="n">
        <v>64</v>
      </c>
      <c r="B1302" s="0" t="inlineStr">
        <is>
          <t>Creatchee</t>
        </is>
      </c>
      <c r="C1302" s="0" t="inlineStr">
        <is>
          <t>Town</t>
        </is>
      </c>
      <c r="D1302" s="0" t="inlineStr">
        <is>
          <t>Loss</t>
        </is>
      </c>
      <c r="E1302" s="0" t="n">
        <v>-55</v>
      </c>
      <c r="F1302" s="0" t="n">
        <v>28.58713451140495</v>
      </c>
      <c r="G1302" s="0" t="n">
        <v>27.69125177889033</v>
      </c>
      <c r="H1302" s="0" t="n">
        <v>7.751782156162346</v>
      </c>
      <c r="I1302" s="0" t="n">
        <v>1147</v>
      </c>
      <c r="J1302" s="0" t="n">
        <v>1092</v>
      </c>
      <c r="K1302" s="0" t="n">
        <v>7.809617947475307</v>
      </c>
    </row>
    <row r="1303">
      <c r="A1303" s="0" t="n">
        <v>64</v>
      </c>
      <c r="B1303" s="0" t="inlineStr">
        <is>
          <t>Lou</t>
        </is>
      </c>
      <c r="C1303" s="0" t="inlineStr">
        <is>
          <t>Town</t>
        </is>
      </c>
      <c r="D1303" s="0" t="inlineStr">
        <is>
          <t>Loss</t>
        </is>
      </c>
      <c r="E1303" s="0" t="n">
        <v>-52</v>
      </c>
      <c r="F1303" s="0" t="n">
        <v>25.1830228986377</v>
      </c>
      <c r="G1303" s="0" t="n">
        <v>24.33917256061091</v>
      </c>
      <c r="H1303" s="0" t="n">
        <v>7.526613241264498</v>
      </c>
      <c r="I1303" s="0" t="n">
        <v>939</v>
      </c>
      <c r="J1303" s="0" t="n">
        <v>887</v>
      </c>
      <c r="K1303" s="0" t="n">
        <v>7.579398202175253</v>
      </c>
    </row>
    <row r="1304">
      <c r="A1304" s="0" t="n">
        <v>64</v>
      </c>
      <c r="B1304" s="0" t="inlineStr">
        <is>
          <t>Iln</t>
        </is>
      </c>
      <c r="C1304" s="0" t="inlineStr">
        <is>
          <t>Town</t>
        </is>
      </c>
      <c r="D1304" s="0" t="inlineStr">
        <is>
          <t>Loss</t>
        </is>
      </c>
      <c r="E1304" s="0" t="n">
        <v>-55</v>
      </c>
      <c r="F1304" s="0" t="n">
        <v>23.29028574096407</v>
      </c>
      <c r="G1304" s="0" t="n">
        <v>22.40424272379219</v>
      </c>
      <c r="H1304" s="0" t="n">
        <v>7.709735793924472</v>
      </c>
      <c r="I1304" s="0" t="n">
        <v>792</v>
      </c>
      <c r="J1304" s="0" t="n">
        <v>737</v>
      </c>
      <c r="K1304" s="0" t="n">
        <v>7.766604921687285</v>
      </c>
    </row>
    <row r="1305">
      <c r="A1305" s="0" t="n">
        <v>64</v>
      </c>
      <c r="B1305" s="0" t="inlineStr">
        <is>
          <t>Plen</t>
        </is>
      </c>
      <c r="C1305" s="0" t="inlineStr">
        <is>
          <t>Town</t>
        </is>
      </c>
      <c r="D1305" s="0" t="inlineStr">
        <is>
          <t>Loss</t>
        </is>
      </c>
      <c r="E1305" s="0" t="n">
        <v>-57</v>
      </c>
      <c r="F1305" s="0" t="n">
        <v>24.01656246591793</v>
      </c>
      <c r="G1305" s="0" t="n">
        <v>23.08961888887867</v>
      </c>
      <c r="H1305" s="0" t="n">
        <v>7.882946561494674</v>
      </c>
      <c r="I1305" s="0" t="n">
        <v>823</v>
      </c>
      <c r="J1305" s="0" t="n">
        <v>766</v>
      </c>
      <c r="K1305" s="0" t="n">
        <v>7.943868532672368</v>
      </c>
    </row>
    <row r="1306">
      <c r="A1306" s="0" t="n">
        <v>64</v>
      </c>
      <c r="B1306" s="0" t="inlineStr">
        <is>
          <t>Carson</t>
        </is>
      </c>
      <c r="C1306" s="0" t="inlineStr">
        <is>
          <t>Town</t>
        </is>
      </c>
      <c r="D1306" s="0" t="inlineStr">
        <is>
          <t>Loss</t>
        </is>
      </c>
      <c r="E1306" s="0" t="n">
        <v>-52</v>
      </c>
      <c r="F1306" s="0" t="n">
        <v>28.52053338691682</v>
      </c>
      <c r="G1306" s="0" t="n">
        <v>27.67584245714018</v>
      </c>
      <c r="H1306" s="0" t="n">
        <v>7.530307628454438</v>
      </c>
      <c r="I1306" s="0" t="n">
        <v>1166</v>
      </c>
      <c r="J1306" s="0" t="n">
        <v>1114</v>
      </c>
      <c r="K1306" s="0" t="n">
        <v>7.583172984238008</v>
      </c>
    </row>
    <row r="1307">
      <c r="A1307" s="0" t="n">
        <v>64</v>
      </c>
      <c r="B1307" s="0" t="inlineStr">
        <is>
          <t>Chipper</t>
        </is>
      </c>
      <c r="C1307" s="0" t="inlineStr">
        <is>
          <t>Town</t>
        </is>
      </c>
      <c r="D1307" s="0" t="inlineStr">
        <is>
          <t>Loss</t>
        </is>
      </c>
      <c r="E1307" s="0" t="n">
        <v>-55</v>
      </c>
      <c r="F1307" s="0" t="n">
        <v>23.69014206390899</v>
      </c>
      <c r="G1307" s="0" t="n">
        <v>22.80227959952684</v>
      </c>
      <c r="H1307" s="0" t="n">
        <v>7.717528859341795</v>
      </c>
      <c r="I1307" s="0" t="n">
        <v>818</v>
      </c>
      <c r="J1307" s="0" t="n">
        <v>763</v>
      </c>
      <c r="K1307" s="0" t="n">
        <v>7.774576329834805</v>
      </c>
    </row>
    <row r="1308">
      <c r="A1308" s="0" t="n">
        <v>64</v>
      </c>
      <c r="B1308" s="0" t="inlineStr">
        <is>
          <t>Mintt</t>
        </is>
      </c>
      <c r="C1308" s="0" t="inlineStr">
        <is>
          <t>Town</t>
        </is>
      </c>
      <c r="D1308" s="0" t="inlineStr">
        <is>
          <t>Loss</t>
        </is>
      </c>
      <c r="E1308" s="0" t="n">
        <v>-59</v>
      </c>
      <c r="F1308" s="0" t="n">
        <v>26.43745261410051</v>
      </c>
      <c r="G1308" s="0" t="n">
        <v>25.47509563526944</v>
      </c>
      <c r="H1308" s="0" t="n">
        <v>8.029711374074266</v>
      </c>
      <c r="I1308" s="0" t="n">
        <v>972</v>
      </c>
      <c r="J1308" s="0" t="n">
        <v>913</v>
      </c>
      <c r="K1308" s="0" t="n">
        <v>8.094215535042634</v>
      </c>
    </row>
    <row r="1309">
      <c r="A1309" s="0" t="n">
        <v>63</v>
      </c>
      <c r="B1309" s="0" t="inlineStr">
        <is>
          <t>Antfrost</t>
        </is>
      </c>
      <c r="C1309" s="0" t="inlineStr">
        <is>
          <t>Mafia</t>
        </is>
      </c>
      <c r="D1309" s="0" t="inlineStr">
        <is>
          <t>Loss</t>
        </is>
      </c>
      <c r="E1309" s="0" t="n">
        <v>-111</v>
      </c>
      <c r="F1309" s="0" t="n">
        <v>26.33240706610367</v>
      </c>
      <c r="G1309" s="0" t="n">
        <v>24.56788306066987</v>
      </c>
      <c r="H1309" s="0" t="n">
        <v>8.163551349217395</v>
      </c>
      <c r="I1309" s="0" t="n">
        <v>949</v>
      </c>
      <c r="J1309" s="0" t="n">
        <v>838</v>
      </c>
      <c r="K1309" s="0" t="n">
        <v>8.255450895429567</v>
      </c>
    </row>
    <row r="1310">
      <c r="A1310" s="0" t="n">
        <v>63</v>
      </c>
      <c r="B1310" s="0" t="inlineStr">
        <is>
          <t>Machop</t>
        </is>
      </c>
      <c r="C1310" s="0" t="inlineStr">
        <is>
          <t>Mafia</t>
        </is>
      </c>
      <c r="D1310" s="0" t="inlineStr">
        <is>
          <t>Loss</t>
        </is>
      </c>
      <c r="E1310" s="0" t="n">
        <v>-94</v>
      </c>
      <c r="F1310" s="0" t="n">
        <v>29.4383166297512</v>
      </c>
      <c r="G1310" s="0" t="n">
        <v>27.94471512804253</v>
      </c>
      <c r="H1310" s="0" t="n">
        <v>7.523869654421174</v>
      </c>
      <c r="I1310" s="0" t="n">
        <v>1227</v>
      </c>
      <c r="J1310" s="0" t="n">
        <v>1133</v>
      </c>
      <c r="K1310" s="0" t="n">
        <v>7.595189330195408</v>
      </c>
    </row>
    <row r="1311">
      <c r="A1311" s="0" t="n">
        <v>63</v>
      </c>
      <c r="B1311" s="0" t="inlineStr">
        <is>
          <t>Plen</t>
        </is>
      </c>
      <c r="C1311" s="0" t="inlineStr">
        <is>
          <t>Mafia</t>
        </is>
      </c>
      <c r="D1311" s="0" t="inlineStr">
        <is>
          <t>Loss</t>
        </is>
      </c>
      <c r="E1311" s="0" t="n">
        <v>-105</v>
      </c>
      <c r="F1311" s="0" t="n">
        <v>25.68533294472574</v>
      </c>
      <c r="G1311" s="0" t="n">
        <v>24.01656246591793</v>
      </c>
      <c r="H1311" s="0" t="n">
        <v>7.943868532672368</v>
      </c>
      <c r="I1311" s="0" t="n">
        <v>928</v>
      </c>
      <c r="J1311" s="0" t="n">
        <v>823</v>
      </c>
      <c r="K1311" s="0" t="n">
        <v>8.028298079756741</v>
      </c>
    </row>
    <row r="1312">
      <c r="A1312" s="0" t="n">
        <v>63</v>
      </c>
      <c r="B1312" s="0" t="inlineStr">
        <is>
          <t>Cody</t>
        </is>
      </c>
      <c r="C1312" s="0" t="inlineStr">
        <is>
          <t>Town</t>
        </is>
      </c>
      <c r="D1312" s="0" t="inlineStr">
        <is>
          <t>Win</t>
        </is>
      </c>
      <c r="E1312" s="0" t="n">
        <v>129</v>
      </c>
      <c r="F1312" s="0" t="n">
        <v>26.16950979930174</v>
      </c>
      <c r="G1312" s="0" t="n">
        <v>27.93321135756675</v>
      </c>
      <c r="H1312" s="0" t="n">
        <v>8.161691956845829</v>
      </c>
      <c r="I1312" s="0" t="n">
        <v>938</v>
      </c>
      <c r="J1312" s="0" t="n">
        <v>1067</v>
      </c>
      <c r="K1312" s="0" t="n">
        <v>8.253526450075428</v>
      </c>
    </row>
    <row r="1313">
      <c r="A1313" s="0" t="n">
        <v>63</v>
      </c>
      <c r="B1313" s="0" t="inlineStr">
        <is>
          <t>Keegan</t>
        </is>
      </c>
      <c r="C1313" s="0" t="inlineStr">
        <is>
          <t>Town</t>
        </is>
      </c>
      <c r="D1313" s="0" t="inlineStr">
        <is>
          <t>Win</t>
        </is>
      </c>
      <c r="E1313" s="0" t="n">
        <v>132</v>
      </c>
      <c r="F1313" s="0" t="n">
        <v>25</v>
      </c>
      <c r="G1313" s="0" t="n">
        <v>26.79796940206129</v>
      </c>
      <c r="H1313" s="0" t="n">
        <v>8.238775420701211</v>
      </c>
      <c r="I1313" s="0" t="n">
        <v>850</v>
      </c>
      <c r="J1313" s="0" t="n">
        <v>982</v>
      </c>
      <c r="K1313" s="0" t="n">
        <v>8.333333333333334</v>
      </c>
    </row>
    <row r="1314">
      <c r="A1314" s="0" t="n">
        <v>63</v>
      </c>
      <c r="B1314" s="0" t="inlineStr">
        <is>
          <t>5up</t>
        </is>
      </c>
      <c r="C1314" s="0" t="inlineStr">
        <is>
          <t>Town</t>
        </is>
      </c>
      <c r="D1314" s="0" t="inlineStr">
        <is>
          <t>Win</t>
        </is>
      </c>
      <c r="E1314" s="0" t="n">
        <v>132</v>
      </c>
      <c r="F1314" s="0" t="n">
        <v>25</v>
      </c>
      <c r="G1314" s="0" t="n">
        <v>26.79796940206129</v>
      </c>
      <c r="H1314" s="0" t="n">
        <v>8.238775420701211</v>
      </c>
      <c r="I1314" s="0" t="n">
        <v>850</v>
      </c>
      <c r="J1314" s="0" t="n">
        <v>982</v>
      </c>
      <c r="K1314" s="0" t="n">
        <v>8.333333333333334</v>
      </c>
    </row>
    <row r="1315">
      <c r="A1315" s="0" t="n">
        <v>63</v>
      </c>
      <c r="B1315" s="0" t="inlineStr">
        <is>
          <t>Torharo</t>
        </is>
      </c>
      <c r="C1315" s="0" t="inlineStr">
        <is>
          <t>Town</t>
        </is>
      </c>
      <c r="D1315" s="0" t="inlineStr">
        <is>
          <t>Win</t>
        </is>
      </c>
      <c r="E1315" s="0" t="n">
        <v>127</v>
      </c>
      <c r="F1315" s="0" t="n">
        <v>23.02837753999644</v>
      </c>
      <c r="G1315" s="0" t="n">
        <v>24.76815783641588</v>
      </c>
      <c r="H1315" s="0" t="n">
        <v>8.107406272827816</v>
      </c>
      <c r="I1315" s="0" t="n">
        <v>730</v>
      </c>
      <c r="J1315" s="0" t="n">
        <v>857</v>
      </c>
      <c r="K1315" s="0" t="n">
        <v>8.197355386490887</v>
      </c>
    </row>
    <row r="1316">
      <c r="A1316" s="0" t="n">
        <v>63</v>
      </c>
      <c r="B1316" s="0" t="inlineStr">
        <is>
          <t>Laur</t>
        </is>
      </c>
      <c r="C1316" s="0" t="inlineStr">
        <is>
          <t>Town</t>
        </is>
      </c>
      <c r="D1316" s="0" t="inlineStr">
        <is>
          <t>Win</t>
        </is>
      </c>
      <c r="E1316" s="0" t="n">
        <v>121</v>
      </c>
      <c r="F1316" s="0" t="n">
        <v>27.95759501864474</v>
      </c>
      <c r="G1316" s="0" t="n">
        <v>29.62073657260668</v>
      </c>
      <c r="H1316" s="0" t="n">
        <v>7.930747429176806</v>
      </c>
      <c r="I1316" s="0" t="n">
        <v>1084</v>
      </c>
      <c r="J1316" s="0" t="n">
        <v>1205</v>
      </c>
      <c r="K1316" s="0" t="n">
        <v>8.014744423676728</v>
      </c>
    </row>
    <row r="1317">
      <c r="A1317" s="0" t="n">
        <v>63</v>
      </c>
      <c r="B1317" s="0" t="inlineStr">
        <is>
          <t>Nick</t>
        </is>
      </c>
      <c r="C1317" s="0" t="inlineStr">
        <is>
          <t>Town</t>
        </is>
      </c>
      <c r="D1317" s="0" t="inlineStr">
        <is>
          <t>Win</t>
        </is>
      </c>
      <c r="E1317" s="0" t="n">
        <v>129</v>
      </c>
      <c r="F1317" s="0" t="n">
        <v>23.92302403775808</v>
      </c>
      <c r="G1317" s="0" t="n">
        <v>25.68794962175689</v>
      </c>
      <c r="H1317" s="0" t="n">
        <v>8.164459071352111</v>
      </c>
      <c r="I1317" s="0" t="n">
        <v>785</v>
      </c>
      <c r="J1317" s="0" t="n">
        <v>914</v>
      </c>
      <c r="K1317" s="0" t="n">
        <v>8.256390386730793</v>
      </c>
    </row>
    <row r="1318">
      <c r="A1318" s="0" t="n">
        <v>63</v>
      </c>
      <c r="B1318" s="0" t="inlineStr">
        <is>
          <t>Strik3r</t>
        </is>
      </c>
      <c r="C1318" s="0" t="inlineStr">
        <is>
          <t>Town</t>
        </is>
      </c>
      <c r="D1318" s="0" t="inlineStr">
        <is>
          <t>Win</t>
        </is>
      </c>
      <c r="E1318" s="0" t="n">
        <v>128</v>
      </c>
      <c r="F1318" s="0" t="n">
        <v>23.19587608677397</v>
      </c>
      <c r="G1318" s="0" t="n">
        <v>24.93485714622082</v>
      </c>
      <c r="H1318" s="0" t="n">
        <v>8.105585654357997</v>
      </c>
      <c r="I1318" s="0" t="n">
        <v>741</v>
      </c>
      <c r="J1318" s="0" t="n">
        <v>869</v>
      </c>
      <c r="K1318" s="0" t="n">
        <v>8.195472000024239</v>
      </c>
    </row>
    <row r="1319">
      <c r="A1319" s="0" t="n">
        <v>63</v>
      </c>
      <c r="B1319" s="0" t="inlineStr">
        <is>
          <t>Carson</t>
        </is>
      </c>
      <c r="C1319" s="0" t="inlineStr">
        <is>
          <t>Town</t>
        </is>
      </c>
      <c r="D1319" s="0" t="inlineStr">
        <is>
          <t>Win</t>
        </is>
      </c>
      <c r="E1319" s="0" t="n">
        <v>111</v>
      </c>
      <c r="F1319" s="0" t="n">
        <v>27.00282291372804</v>
      </c>
      <c r="G1319" s="0" t="n">
        <v>28.52053338691682</v>
      </c>
      <c r="H1319" s="0" t="n">
        <v>7.583172984238008</v>
      </c>
      <c r="I1319" s="0" t="n">
        <v>1055</v>
      </c>
      <c r="J1319" s="0" t="n">
        <v>1166</v>
      </c>
      <c r="K1319" s="0" t="n">
        <v>7.656253365589655</v>
      </c>
    </row>
    <row r="1320">
      <c r="A1320" s="0" t="n">
        <v>63</v>
      </c>
      <c r="B1320" s="0" t="inlineStr">
        <is>
          <t>Whyin</t>
        </is>
      </c>
      <c r="C1320" s="0" t="inlineStr">
        <is>
          <t>Town</t>
        </is>
      </c>
      <c r="D1320" s="0" t="inlineStr">
        <is>
          <t>Win</t>
        </is>
      </c>
      <c r="E1320" s="0" t="n">
        <v>118</v>
      </c>
      <c r="F1320" s="0" t="n">
        <v>25.13452867447839</v>
      </c>
      <c r="G1320" s="0" t="n">
        <v>26.74746506001829</v>
      </c>
      <c r="H1320" s="0" t="n">
        <v>7.812656240646461</v>
      </c>
      <c r="I1320" s="0" t="n">
        <v>904</v>
      </c>
      <c r="J1320" s="0" t="n">
        <v>1022</v>
      </c>
      <c r="K1320" s="0" t="n">
        <v>7.892827985890806</v>
      </c>
    </row>
    <row r="1321">
      <c r="A1321" s="0" t="n">
        <v>63</v>
      </c>
      <c r="B1321" s="0" t="inlineStr">
        <is>
          <t>Noah</t>
        </is>
      </c>
      <c r="C1321" s="0" t="inlineStr">
        <is>
          <t>Town</t>
        </is>
      </c>
      <c r="D1321" s="0" t="inlineStr">
        <is>
          <t>Win</t>
        </is>
      </c>
      <c r="E1321" s="0" t="n">
        <v>116</v>
      </c>
      <c r="F1321" s="0" t="n">
        <v>24.24311964928019</v>
      </c>
      <c r="G1321" s="0" t="n">
        <v>25.83174724359375</v>
      </c>
      <c r="H1321" s="0" t="n">
        <v>7.754774682163555</v>
      </c>
      <c r="I1321" s="0" t="n">
        <v>850</v>
      </c>
      <c r="J1321" s="0" t="n">
        <v>966</v>
      </c>
      <c r="K1321" s="0" t="n">
        <v>7.833115603974743</v>
      </c>
    </row>
    <row r="1322">
      <c r="A1322" s="0" t="n">
        <v>62</v>
      </c>
      <c r="B1322" s="0" t="inlineStr">
        <is>
          <t>Brownkow</t>
        </is>
      </c>
      <c r="C1322" s="0" t="inlineStr">
        <is>
          <t>Mafia</t>
        </is>
      </c>
      <c r="D1322" s="0" t="inlineStr">
        <is>
          <t>Win</t>
        </is>
      </c>
      <c r="E1322" s="0" t="n">
        <v>66</v>
      </c>
      <c r="F1322" s="0" t="n">
        <v>31.30450548074056</v>
      </c>
      <c r="G1322" s="0" t="n">
        <v>32.18059010078741</v>
      </c>
      <c r="H1322" s="0" t="n">
        <v>7.767982289918827</v>
      </c>
      <c r="I1322" s="0" t="n">
        <v>1330</v>
      </c>
      <c r="J1322" s="0" t="n">
        <v>1396</v>
      </c>
      <c r="K1322" s="0" t="n">
        <v>7.830226863158167</v>
      </c>
    </row>
    <row r="1323">
      <c r="A1323" s="0" t="n">
        <v>62</v>
      </c>
      <c r="B1323" s="0" t="inlineStr">
        <is>
          <t>Chipper</t>
        </is>
      </c>
      <c r="C1323" s="0" t="inlineStr">
        <is>
          <t>Mafia</t>
        </is>
      </c>
      <c r="D1323" s="0" t="inlineStr">
        <is>
          <t>Win</t>
        </is>
      </c>
      <c r="E1323" s="0" t="n">
        <v>66</v>
      </c>
      <c r="F1323" s="0" t="n">
        <v>22.81254480963963</v>
      </c>
      <c r="G1323" s="0" t="n">
        <v>23.69014206390899</v>
      </c>
      <c r="H1323" s="0" t="n">
        <v>7.774576329834805</v>
      </c>
      <c r="I1323" s="0" t="n">
        <v>752</v>
      </c>
      <c r="J1323" s="0" t="n">
        <v>818</v>
      </c>
      <c r="K1323" s="0" t="n">
        <v>7.836984824005063</v>
      </c>
    </row>
    <row r="1324">
      <c r="A1324" s="0" t="n">
        <v>62</v>
      </c>
      <c r="B1324" s="0" t="inlineStr">
        <is>
          <t>Smit</t>
        </is>
      </c>
      <c r="C1324" s="0" t="inlineStr">
        <is>
          <t>Mafia</t>
        </is>
      </c>
      <c r="D1324" s="0" t="inlineStr">
        <is>
          <t>Win</t>
        </is>
      </c>
      <c r="E1324" s="0" t="n">
        <v>67</v>
      </c>
      <c r="F1324" s="0" t="n">
        <v>25.50352008454384</v>
      </c>
      <c r="G1324" s="0" t="n">
        <v>26.39469641924448</v>
      </c>
      <c r="H1324" s="0" t="n">
        <v>7.833506448996038</v>
      </c>
      <c r="I1324" s="0" t="n">
        <v>929</v>
      </c>
      <c r="J1324" s="0" t="n">
        <v>996</v>
      </c>
      <c r="K1324" s="0" t="n">
        <v>7.897392795558074</v>
      </c>
    </row>
    <row r="1325">
      <c r="A1325" s="0" t="n">
        <v>62</v>
      </c>
      <c r="B1325" s="0" t="inlineStr">
        <is>
          <t>Hunterxp</t>
        </is>
      </c>
      <c r="C1325" s="0" t="inlineStr">
        <is>
          <t>Town</t>
        </is>
      </c>
      <c r="D1325" s="0" t="inlineStr">
        <is>
          <t>Loss</t>
        </is>
      </c>
      <c r="E1325" s="0" t="n">
        <v>-58</v>
      </c>
      <c r="F1325" s="0" t="n">
        <v>26.61911657891989</v>
      </c>
      <c r="G1325" s="0" t="n">
        <v>25.64826434674107</v>
      </c>
      <c r="H1325" s="0" t="n">
        <v>8.170141761601085</v>
      </c>
      <c r="I1325" s="0" t="n">
        <v>969</v>
      </c>
      <c r="J1325" s="0" t="n">
        <v>911</v>
      </c>
      <c r="K1325" s="0" t="n">
        <v>8.242924854005254</v>
      </c>
    </row>
    <row r="1326">
      <c r="A1326" s="0" t="n">
        <v>62</v>
      </c>
      <c r="B1326" s="0" t="inlineStr">
        <is>
          <t>Badpants</t>
        </is>
      </c>
      <c r="C1326" s="0" t="inlineStr">
        <is>
          <t>Town</t>
        </is>
      </c>
      <c r="D1326" s="0" t="inlineStr">
        <is>
          <t>Loss</t>
        </is>
      </c>
      <c r="E1326" s="0" t="n">
        <v>-53</v>
      </c>
      <c r="F1326" s="0" t="n">
        <v>21.71369489484197</v>
      </c>
      <c r="G1326" s="0" t="n">
        <v>20.85219186299174</v>
      </c>
      <c r="H1326" s="0" t="n">
        <v>7.704107743469629</v>
      </c>
      <c r="I1326" s="0" t="n">
        <v>685</v>
      </c>
      <c r="J1326" s="0" t="n">
        <v>632</v>
      </c>
      <c r="K1326" s="0" t="n">
        <v>7.764779412244281</v>
      </c>
    </row>
    <row r="1327">
      <c r="A1327" s="0" t="n">
        <v>62</v>
      </c>
      <c r="B1327" s="0" t="inlineStr">
        <is>
          <t>Lou</t>
        </is>
      </c>
      <c r="C1327" s="0" t="inlineStr">
        <is>
          <t>Town</t>
        </is>
      </c>
      <c r="D1327" s="0" t="inlineStr">
        <is>
          <t>Loss</t>
        </is>
      </c>
      <c r="E1327" s="0" t="n">
        <v>-51</v>
      </c>
      <c r="F1327" s="0" t="n">
        <v>26.01642625536743</v>
      </c>
      <c r="G1327" s="0" t="n">
        <v>25.1830228986377</v>
      </c>
      <c r="H1327" s="0" t="n">
        <v>7.579398202175253</v>
      </c>
      <c r="I1327" s="0" t="n">
        <v>990</v>
      </c>
      <c r="J1327" s="0" t="n">
        <v>939</v>
      </c>
      <c r="K1327" s="0" t="n">
        <v>7.637076232521398</v>
      </c>
    </row>
    <row r="1328">
      <c r="A1328" s="0" t="n">
        <v>62</v>
      </c>
      <c r="B1328" s="0" t="inlineStr">
        <is>
          <t>Machop</t>
        </is>
      </c>
      <c r="C1328" s="0" t="inlineStr">
        <is>
          <t>Town</t>
        </is>
      </c>
      <c r="D1328" s="0" t="inlineStr">
        <is>
          <t>Loss</t>
        </is>
      </c>
      <c r="E1328" s="0" t="n">
        <v>-51</v>
      </c>
      <c r="F1328" s="0" t="n">
        <v>30.27525106752178</v>
      </c>
      <c r="G1328" s="0" t="n">
        <v>29.4383166297512</v>
      </c>
      <c r="H1328" s="0" t="n">
        <v>7.595189330195408</v>
      </c>
      <c r="I1328" s="0" t="n">
        <v>1278</v>
      </c>
      <c r="J1328" s="0" t="n">
        <v>1227</v>
      </c>
      <c r="K1328" s="0" t="n">
        <v>7.653240821087527</v>
      </c>
    </row>
    <row r="1329">
      <c r="A1329" s="0" t="n">
        <v>62</v>
      </c>
      <c r="B1329" s="0" t="inlineStr">
        <is>
          <t>Whyin</t>
        </is>
      </c>
      <c r="C1329" s="0" t="inlineStr">
        <is>
          <t>Town</t>
        </is>
      </c>
      <c r="D1329" s="0" t="inlineStr">
        <is>
          <t>Loss</t>
        </is>
      </c>
      <c r="E1329" s="0" t="n">
        <v>-55</v>
      </c>
      <c r="F1329" s="0" t="n">
        <v>26.03948495861405</v>
      </c>
      <c r="G1329" s="0" t="n">
        <v>25.13452867447839</v>
      </c>
      <c r="H1329" s="0" t="n">
        <v>7.892827985890806</v>
      </c>
      <c r="I1329" s="0" t="n">
        <v>959</v>
      </c>
      <c r="J1329" s="0" t="n">
        <v>904</v>
      </c>
      <c r="K1329" s="0" t="n">
        <v>7.9582256086067</v>
      </c>
    </row>
    <row r="1330">
      <c r="A1330" s="0" t="n">
        <v>62</v>
      </c>
      <c r="B1330" s="0" t="inlineStr">
        <is>
          <t>Rocker</t>
        </is>
      </c>
      <c r="C1330" s="0" t="inlineStr">
        <is>
          <t>Town</t>
        </is>
      </c>
      <c r="D1330" s="0" t="inlineStr">
        <is>
          <t>Loss</t>
        </is>
      </c>
      <c r="E1330" s="0" t="n">
        <v>-52</v>
      </c>
      <c r="F1330" s="0" t="n">
        <v>32.91877030777194</v>
      </c>
      <c r="G1330" s="0" t="n">
        <v>32.07116052558708</v>
      </c>
      <c r="H1330" s="0" t="n">
        <v>7.642718770592553</v>
      </c>
      <c r="I1330" s="0" t="n">
        <v>1453</v>
      </c>
      <c r="J1330" s="0" t="n">
        <v>1401</v>
      </c>
      <c r="K1330" s="0" t="n">
        <v>7.701904107646683</v>
      </c>
    </row>
    <row r="1331">
      <c r="A1331" s="0" t="n">
        <v>62</v>
      </c>
      <c r="B1331" s="0" t="inlineStr">
        <is>
          <t>Kden</t>
        </is>
      </c>
      <c r="C1331" s="0" t="inlineStr">
        <is>
          <t>Town</t>
        </is>
      </c>
      <c r="D1331" s="0" t="inlineStr">
        <is>
          <t>Loss</t>
        </is>
      </c>
      <c r="E1331" s="0" t="n">
        <v>-60</v>
      </c>
      <c r="F1331" s="0" t="n">
        <v>25</v>
      </c>
      <c r="G1331" s="0" t="n">
        <v>24.0077374947631</v>
      </c>
      <c r="H1331" s="0" t="n">
        <v>8.258095111969281</v>
      </c>
      <c r="I1331" s="0" t="n">
        <v>850</v>
      </c>
      <c r="J1331" s="0" t="n">
        <v>790</v>
      </c>
      <c r="K1331" s="0" t="n">
        <v>8.333333333333334</v>
      </c>
    </row>
    <row r="1332">
      <c r="A1332" s="0" t="n">
        <v>62</v>
      </c>
      <c r="B1332" s="0" t="inlineStr">
        <is>
          <t>Doublea</t>
        </is>
      </c>
      <c r="C1332" s="0" t="inlineStr">
        <is>
          <t>Town</t>
        </is>
      </c>
      <c r="D1332" s="0" t="inlineStr">
        <is>
          <t>Loss</t>
        </is>
      </c>
      <c r="E1332" s="0" t="n">
        <v>-60</v>
      </c>
      <c r="F1332" s="0" t="n">
        <v>25</v>
      </c>
      <c r="G1332" s="0" t="n">
        <v>24.0077374947631</v>
      </c>
      <c r="H1332" s="0" t="n">
        <v>8.258095111969281</v>
      </c>
      <c r="I1332" s="0" t="n">
        <v>850</v>
      </c>
      <c r="J1332" s="0" t="n">
        <v>790</v>
      </c>
      <c r="K1332" s="0" t="n">
        <v>8.333333333333334</v>
      </c>
    </row>
    <row r="1333">
      <c r="A1333" s="0" t="n">
        <v>62</v>
      </c>
      <c r="B1333" s="0" t="inlineStr">
        <is>
          <t>Cyclone</t>
        </is>
      </c>
      <c r="C1333" s="0" t="inlineStr">
        <is>
          <t>Town</t>
        </is>
      </c>
      <c r="D1333" s="0" t="inlineStr">
        <is>
          <t>Loss</t>
        </is>
      </c>
      <c r="E1333" s="0" t="n">
        <v>-59</v>
      </c>
      <c r="F1333" s="0" t="n">
        <v>26.17683782031775</v>
      </c>
      <c r="G1333" s="0" t="n">
        <v>25.20353911978681</v>
      </c>
      <c r="H1333" s="0" t="n">
        <v>8.180243327220134</v>
      </c>
      <c r="I1333" s="0" t="n">
        <v>938</v>
      </c>
      <c r="J1333" s="0" t="n">
        <v>879</v>
      </c>
      <c r="K1333" s="0" t="n">
        <v>8.253305594824319</v>
      </c>
    </row>
    <row r="1334">
      <c r="A1334" s="0" t="n">
        <v>62</v>
      </c>
      <c r="B1334" s="0" t="inlineStr">
        <is>
          <t>Sunspot</t>
        </is>
      </c>
      <c r="C1334" s="0" t="inlineStr">
        <is>
          <t>Town</t>
        </is>
      </c>
      <c r="D1334" s="0" t="inlineStr">
        <is>
          <t>Loss</t>
        </is>
      </c>
      <c r="E1334" s="0" t="n">
        <v>-60</v>
      </c>
      <c r="F1334" s="0" t="n">
        <v>25</v>
      </c>
      <c r="G1334" s="0" t="n">
        <v>24.0077374947631</v>
      </c>
      <c r="H1334" s="0" t="n">
        <v>8.258095111969281</v>
      </c>
      <c r="I1334" s="0" t="n">
        <v>850</v>
      </c>
      <c r="J1334" s="0" t="n">
        <v>790</v>
      </c>
      <c r="K1334" s="0" t="n">
        <v>8.333333333333334</v>
      </c>
    </row>
    <row r="1335">
      <c r="A1335" s="0" t="n">
        <v>61</v>
      </c>
      <c r="B1335" s="0" t="inlineStr">
        <is>
          <t>Strik3r</t>
        </is>
      </c>
      <c r="C1335" s="0" t="inlineStr">
        <is>
          <t>Mafia</t>
        </is>
      </c>
      <c r="D1335" s="0" t="inlineStr">
        <is>
          <t>Loss</t>
        </is>
      </c>
      <c r="E1335" s="0" t="n">
        <v>-71</v>
      </c>
      <c r="F1335" s="0" t="n">
        <v>24.34866869704278</v>
      </c>
      <c r="G1335" s="0" t="n">
        <v>23.19587608677397</v>
      </c>
      <c r="H1335" s="0" t="n">
        <v>8.195472000024239</v>
      </c>
      <c r="I1335" s="0" t="n">
        <v>812</v>
      </c>
      <c r="J1335" s="0" t="n">
        <v>741</v>
      </c>
      <c r="K1335" s="0" t="n">
        <v>8.27355122000802</v>
      </c>
    </row>
    <row r="1336">
      <c r="A1336" s="0" t="n">
        <v>61</v>
      </c>
      <c r="B1336" s="0" t="inlineStr">
        <is>
          <t>Gilbert</t>
        </is>
      </c>
      <c r="C1336" s="0" t="inlineStr">
        <is>
          <t>Mafia</t>
        </is>
      </c>
      <c r="D1336" s="0" t="inlineStr">
        <is>
          <t>Loss</t>
        </is>
      </c>
      <c r="E1336" s="0" t="n">
        <v>-71</v>
      </c>
      <c r="F1336" s="0" t="n">
        <v>24.34866869704278</v>
      </c>
      <c r="G1336" s="0" t="n">
        <v>23.19587608677397</v>
      </c>
      <c r="H1336" s="0" t="n">
        <v>8.195472000024239</v>
      </c>
      <c r="I1336" s="0" t="n">
        <v>812</v>
      </c>
      <c r="J1336" s="0" t="n">
        <v>741</v>
      </c>
      <c r="K1336" s="0" t="n">
        <v>8.27355122000802</v>
      </c>
    </row>
    <row r="1337">
      <c r="A1337" s="0" t="n">
        <v>61</v>
      </c>
      <c r="B1337" s="0" t="inlineStr">
        <is>
          <t>Josh</t>
        </is>
      </c>
      <c r="C1337" s="0" t="inlineStr">
        <is>
          <t>Mafia</t>
        </is>
      </c>
      <c r="D1337" s="0" t="inlineStr">
        <is>
          <t>Loss</t>
        </is>
      </c>
      <c r="E1337" s="0" t="n">
        <v>-65</v>
      </c>
      <c r="F1337" s="0" t="n">
        <v>26.05168453653018</v>
      </c>
      <c r="G1337" s="0" t="n">
        <v>24.99895290920667</v>
      </c>
      <c r="H1337" s="0" t="n">
        <v>7.838276211778159</v>
      </c>
      <c r="I1337" s="0" t="n">
        <v>965</v>
      </c>
      <c r="J1337" s="0" t="n">
        <v>900</v>
      </c>
      <c r="K1337" s="0" t="n">
        <v>7.906279950711731</v>
      </c>
    </row>
    <row r="1338">
      <c r="A1338" s="0" t="n">
        <v>61</v>
      </c>
      <c r="B1338" s="0" t="inlineStr">
        <is>
          <t>Noah</t>
        </is>
      </c>
      <c r="C1338" s="0" t="inlineStr">
        <is>
          <t>Town</t>
        </is>
      </c>
      <c r="D1338" s="0" t="inlineStr">
        <is>
          <t>Win</t>
        </is>
      </c>
      <c r="E1338" s="0" t="n">
        <v>79</v>
      </c>
      <c r="F1338" s="0" t="n">
        <v>23.19179854979054</v>
      </c>
      <c r="G1338" s="0" t="n">
        <v>24.24311964928019</v>
      </c>
      <c r="H1338" s="0" t="n">
        <v>7.833115603974743</v>
      </c>
      <c r="I1338" s="0" t="n">
        <v>771</v>
      </c>
      <c r="J1338" s="0" t="n">
        <v>850</v>
      </c>
      <c r="K1338" s="0" t="n">
        <v>7.900980617537556</v>
      </c>
    </row>
    <row r="1339">
      <c r="A1339" s="0" t="n">
        <v>61</v>
      </c>
      <c r="B1339" s="0" t="inlineStr">
        <is>
          <t>Rollo</t>
        </is>
      </c>
      <c r="C1339" s="0" t="inlineStr">
        <is>
          <t>Town</t>
        </is>
      </c>
      <c r="D1339" s="0" t="inlineStr">
        <is>
          <t>Win</t>
        </is>
      </c>
      <c r="E1339" s="0" t="n">
        <v>81</v>
      </c>
      <c r="F1339" s="0" t="n">
        <v>26.82919971241903</v>
      </c>
      <c r="G1339" s="0" t="n">
        <v>27.91878004314368</v>
      </c>
      <c r="H1339" s="0" t="n">
        <v>7.971822465672219</v>
      </c>
      <c r="I1339" s="0" t="n">
        <v>1004</v>
      </c>
      <c r="J1339" s="0" t="n">
        <v>1085</v>
      </c>
      <c r="K1339" s="0" t="n">
        <v>8.043483122546382</v>
      </c>
    </row>
    <row r="1340">
      <c r="A1340" s="0" t="n">
        <v>61</v>
      </c>
      <c r="B1340" s="0" t="inlineStr">
        <is>
          <t>Xcync</t>
        </is>
      </c>
      <c r="C1340" s="0" t="inlineStr">
        <is>
          <t>Town</t>
        </is>
      </c>
      <c r="D1340" s="0" t="inlineStr">
        <is>
          <t>Win</t>
        </is>
      </c>
      <c r="E1340" s="0" t="n">
        <v>76</v>
      </c>
      <c r="F1340" s="0" t="n">
        <v>27.22258840732981</v>
      </c>
      <c r="G1340" s="0" t="n">
        <v>28.23550785562756</v>
      </c>
      <c r="H1340" s="0" t="n">
        <v>7.69119076198373</v>
      </c>
      <c r="I1340" s="0" t="n">
        <v>1060</v>
      </c>
      <c r="J1340" s="0" t="n">
        <v>1136</v>
      </c>
      <c r="K1340" s="0" t="n">
        <v>7.755314997307237</v>
      </c>
    </row>
    <row r="1341">
      <c r="A1341" s="0" t="n">
        <v>61</v>
      </c>
      <c r="B1341" s="0" t="inlineStr">
        <is>
          <t>Creatchee</t>
        </is>
      </c>
      <c r="C1341" s="0" t="inlineStr">
        <is>
          <t>Town</t>
        </is>
      </c>
      <c r="D1341" s="0" t="inlineStr">
        <is>
          <t>Win</t>
        </is>
      </c>
      <c r="E1341" s="0" t="n">
        <v>78</v>
      </c>
      <c r="F1341" s="0" t="n">
        <v>27.54222333289447</v>
      </c>
      <c r="G1341" s="0" t="n">
        <v>28.58713451140495</v>
      </c>
      <c r="H1341" s="0" t="n">
        <v>7.809617947475307</v>
      </c>
      <c r="I1341" s="0" t="n">
        <v>1069</v>
      </c>
      <c r="J1341" s="0" t="n">
        <v>1147</v>
      </c>
      <c r="K1341" s="0" t="n">
        <v>7.876853721074876</v>
      </c>
    </row>
    <row r="1342">
      <c r="A1342" s="0" t="n">
        <v>61</v>
      </c>
      <c r="B1342" s="0" t="inlineStr">
        <is>
          <t>Aipha</t>
        </is>
      </c>
      <c r="C1342" s="0" t="inlineStr">
        <is>
          <t>Town</t>
        </is>
      </c>
      <c r="D1342" s="0" t="inlineStr">
        <is>
          <t>Win</t>
        </is>
      </c>
      <c r="E1342" s="0" t="n">
        <v>83</v>
      </c>
      <c r="F1342" s="0" t="n">
        <v>26.90660585987336</v>
      </c>
      <c r="G1342" s="0" t="n">
        <v>28.01474245939171</v>
      </c>
      <c r="H1342" s="0" t="n">
        <v>8.03817138840504</v>
      </c>
      <c r="I1342" s="0" t="n">
        <v>1002</v>
      </c>
      <c r="J1342" s="0" t="n">
        <v>1085</v>
      </c>
      <c r="K1342" s="0" t="n">
        <v>8.111697358218651</v>
      </c>
    </row>
    <row r="1343">
      <c r="A1343" s="0" t="n">
        <v>61</v>
      </c>
      <c r="B1343" s="0" t="inlineStr">
        <is>
          <t>Boobles</t>
        </is>
      </c>
      <c r="C1343" s="0" t="inlineStr">
        <is>
          <t>Town</t>
        </is>
      </c>
      <c r="D1343" s="0" t="inlineStr">
        <is>
          <t>Win</t>
        </is>
      </c>
      <c r="E1343" s="0" t="n">
        <v>78</v>
      </c>
      <c r="F1343" s="0" t="n">
        <v>25.475657955356</v>
      </c>
      <c r="G1343" s="0" t="n">
        <v>26.52521528939349</v>
      </c>
      <c r="H1343" s="0" t="n">
        <v>7.826657491934114</v>
      </c>
      <c r="I1343" s="0" t="n">
        <v>927</v>
      </c>
      <c r="J1343" s="0" t="n">
        <v>1005</v>
      </c>
      <c r="K1343" s="0" t="n">
        <v>7.894349170424618</v>
      </c>
    </row>
    <row r="1344">
      <c r="A1344" s="0" t="n">
        <v>61</v>
      </c>
      <c r="B1344" s="0" t="inlineStr">
        <is>
          <t>Kwix</t>
        </is>
      </c>
      <c r="C1344" s="0" t="inlineStr">
        <is>
          <t>Town</t>
        </is>
      </c>
      <c r="D1344" s="0" t="inlineStr">
        <is>
          <t>Win</t>
        </is>
      </c>
      <c r="E1344" s="0" t="n">
        <v>79</v>
      </c>
      <c r="F1344" s="0" t="n">
        <v>21.85836983923886</v>
      </c>
      <c r="G1344" s="0" t="n">
        <v>22.92763767611505</v>
      </c>
      <c r="H1344" s="0" t="n">
        <v>7.898506398009887</v>
      </c>
      <c r="I1344" s="0" t="n">
        <v>674</v>
      </c>
      <c r="J1344" s="0" t="n">
        <v>753</v>
      </c>
      <c r="K1344" s="0" t="n">
        <v>7.968143407748477</v>
      </c>
    </row>
    <row r="1345">
      <c r="A1345" s="0" t="n">
        <v>61</v>
      </c>
      <c r="B1345" s="0" t="inlineStr">
        <is>
          <t>Laura</t>
        </is>
      </c>
      <c r="C1345" s="0" t="inlineStr">
        <is>
          <t>Town</t>
        </is>
      </c>
      <c r="D1345" s="0" t="inlineStr">
        <is>
          <t>Win</t>
        </is>
      </c>
      <c r="E1345" s="0" t="n">
        <v>86</v>
      </c>
      <c r="F1345" s="0" t="n">
        <v>23.82316217968224</v>
      </c>
      <c r="G1345" s="0" t="n">
        <v>24.97032068049329</v>
      </c>
      <c r="H1345" s="0" t="n">
        <v>8.175805816003777</v>
      </c>
      <c r="I1345" s="0" t="n">
        <v>778</v>
      </c>
      <c r="J1345" s="0" t="n">
        <v>864</v>
      </c>
      <c r="K1345" s="0" t="n">
        <v>8.253305594824319</v>
      </c>
    </row>
    <row r="1346">
      <c r="A1346" s="0" t="n">
        <v>61</v>
      </c>
      <c r="B1346" s="0" t="inlineStr">
        <is>
          <t>Cody</t>
        </is>
      </c>
      <c r="C1346" s="0" t="inlineStr">
        <is>
          <t>Town</t>
        </is>
      </c>
      <c r="D1346" s="0" t="inlineStr">
        <is>
          <t>Win</t>
        </is>
      </c>
      <c r="E1346" s="0" t="n">
        <v>88</v>
      </c>
      <c r="F1346" s="0" t="n">
        <v>25</v>
      </c>
      <c r="G1346" s="0" t="n">
        <v>26.16950979930174</v>
      </c>
      <c r="H1346" s="0" t="n">
        <v>8.253526450075428</v>
      </c>
      <c r="I1346" s="0" t="n">
        <v>850</v>
      </c>
      <c r="J1346" s="0" t="n">
        <v>938</v>
      </c>
      <c r="K1346" s="0" t="n">
        <v>8.333333333333334</v>
      </c>
    </row>
    <row r="1347">
      <c r="A1347" s="0" t="n">
        <v>61</v>
      </c>
      <c r="B1347" s="0" t="inlineStr">
        <is>
          <t>Brownkow</t>
        </is>
      </c>
      <c r="C1347" s="0" t="inlineStr">
        <is>
          <t>Town</t>
        </is>
      </c>
      <c r="D1347" s="0" t="inlineStr">
        <is>
          <t>Win</t>
        </is>
      </c>
      <c r="E1347" s="0" t="n">
        <v>78</v>
      </c>
      <c r="F1347" s="0" t="n">
        <v>30.25397351389871</v>
      </c>
      <c r="G1347" s="0" t="n">
        <v>31.30450548074056</v>
      </c>
      <c r="H1347" s="0" t="n">
        <v>7.830226863158167</v>
      </c>
      <c r="I1347" s="0" t="n">
        <v>1252</v>
      </c>
      <c r="J1347" s="0" t="n">
        <v>1330</v>
      </c>
      <c r="K1347" s="0" t="n">
        <v>7.898014306222282</v>
      </c>
    </row>
    <row r="1348">
      <c r="A1348" s="0" t="n">
        <v>60</v>
      </c>
      <c r="B1348" s="0" t="inlineStr">
        <is>
          <t>Rollo</t>
        </is>
      </c>
      <c r="C1348" s="0" t="inlineStr">
        <is>
          <t>Mafia</t>
        </is>
      </c>
      <c r="D1348" s="0" t="inlineStr">
        <is>
          <t>Win</t>
        </is>
      </c>
      <c r="E1348" s="0" t="n">
        <v>47</v>
      </c>
      <c r="F1348" s="0" t="n">
        <v>26.21408987932253</v>
      </c>
      <c r="G1348" s="0" t="n">
        <v>26.82919971241903</v>
      </c>
      <c r="H1348" s="0" t="n">
        <v>8.043483122546382</v>
      </c>
      <c r="I1348" s="0" t="n">
        <v>957</v>
      </c>
      <c r="J1348" s="0" t="n">
        <v>1004</v>
      </c>
      <c r="K1348" s="0" t="n">
        <v>8.098270368906132</v>
      </c>
    </row>
    <row r="1349">
      <c r="A1349" s="0" t="n">
        <v>60</v>
      </c>
      <c r="B1349" s="0" t="inlineStr">
        <is>
          <t>Dlgn</t>
        </is>
      </c>
      <c r="C1349" s="0" t="inlineStr">
        <is>
          <t>Mafia</t>
        </is>
      </c>
      <c r="D1349" s="0" t="inlineStr">
        <is>
          <t>Win</t>
        </is>
      </c>
      <c r="E1349" s="0" t="n">
        <v>50</v>
      </c>
      <c r="F1349" s="0" t="n">
        <v>25</v>
      </c>
      <c r="G1349" s="0" t="n">
        <v>25.65133130295722</v>
      </c>
      <c r="H1349" s="0" t="n">
        <v>8.27355122000802</v>
      </c>
      <c r="I1349" s="0" t="n">
        <v>850</v>
      </c>
      <c r="J1349" s="0" t="n">
        <v>900</v>
      </c>
      <c r="K1349" s="0" t="n">
        <v>8.333333333333334</v>
      </c>
    </row>
    <row r="1350">
      <c r="A1350" s="0" t="n">
        <v>60</v>
      </c>
      <c r="B1350" s="0" t="inlineStr">
        <is>
          <t>Rocker</t>
        </is>
      </c>
      <c r="C1350" s="0" t="inlineStr">
        <is>
          <t>Mafia</t>
        </is>
      </c>
      <c r="D1350" s="0" t="inlineStr">
        <is>
          <t>Win</t>
        </is>
      </c>
      <c r="E1350" s="0" t="n">
        <v>43</v>
      </c>
      <c r="F1350" s="0" t="n">
        <v>32.35545001789836</v>
      </c>
      <c r="G1350" s="0" t="n">
        <v>32.91877030777194</v>
      </c>
      <c r="H1350" s="0" t="n">
        <v>7.701904107646683</v>
      </c>
      <c r="I1350" s="0" t="n">
        <v>1410</v>
      </c>
      <c r="J1350" s="0" t="n">
        <v>1453</v>
      </c>
      <c r="K1350" s="0" t="n">
        <v>7.749801701921944</v>
      </c>
    </row>
    <row r="1351">
      <c r="A1351" s="0" t="n">
        <v>60</v>
      </c>
      <c r="B1351" s="0" t="inlineStr">
        <is>
          <t>Noah</t>
        </is>
      </c>
      <c r="C1351" s="0" t="inlineStr">
        <is>
          <t>Town</t>
        </is>
      </c>
      <c r="D1351" s="0" t="inlineStr">
        <is>
          <t>Loss</t>
        </is>
      </c>
      <c r="E1351" s="0" t="n">
        <v>-35</v>
      </c>
      <c r="F1351" s="0" t="n">
        <v>23.78501435858108</v>
      </c>
      <c r="G1351" s="0" t="n">
        <v>23.19179854979054</v>
      </c>
      <c r="H1351" s="0" t="n">
        <v>7.900980617537556</v>
      </c>
      <c r="I1351" s="0" t="n">
        <v>806</v>
      </c>
      <c r="J1351" s="0" t="n">
        <v>771</v>
      </c>
      <c r="K1351" s="0" t="n">
        <v>7.952818539979</v>
      </c>
    </row>
    <row r="1352">
      <c r="A1352" s="0" t="n">
        <v>60</v>
      </c>
      <c r="B1352" s="0" t="inlineStr">
        <is>
          <t>Torharo</t>
        </is>
      </c>
      <c r="C1352" s="0" t="inlineStr">
        <is>
          <t>Town</t>
        </is>
      </c>
      <c r="D1352" s="0" t="inlineStr">
        <is>
          <t>Loss</t>
        </is>
      </c>
      <c r="E1352" s="0" t="n">
        <v>-37</v>
      </c>
      <c r="F1352" s="0" t="n">
        <v>23.66759293389631</v>
      </c>
      <c r="G1352" s="0" t="n">
        <v>23.02837753999644</v>
      </c>
      <c r="H1352" s="0" t="n">
        <v>8.197355386490887</v>
      </c>
      <c r="I1352" s="0" t="n">
        <v>767</v>
      </c>
      <c r="J1352" s="0" t="n">
        <v>730</v>
      </c>
      <c r="K1352" s="0" t="n">
        <v>8.255450895429567</v>
      </c>
    </row>
    <row r="1353">
      <c r="A1353" s="0" t="n">
        <v>60</v>
      </c>
      <c r="B1353" s="0" t="inlineStr">
        <is>
          <t>Carson</t>
        </is>
      </c>
      <c r="C1353" s="0" t="inlineStr">
        <is>
          <t>Town</t>
        </is>
      </c>
      <c r="D1353" s="0" t="inlineStr">
        <is>
          <t>Loss</t>
        </is>
      </c>
      <c r="E1353" s="0" t="n">
        <v>-33</v>
      </c>
      <c r="F1353" s="0" t="n">
        <v>27.5594009312585</v>
      </c>
      <c r="G1353" s="0" t="n">
        <v>27.00282291372804</v>
      </c>
      <c r="H1353" s="0" t="n">
        <v>7.656253365589655</v>
      </c>
      <c r="I1353" s="0" t="n">
        <v>1088</v>
      </c>
      <c r="J1353" s="0" t="n">
        <v>1055</v>
      </c>
      <c r="K1353" s="0" t="n">
        <v>7.703276380400962</v>
      </c>
    </row>
    <row r="1354">
      <c r="A1354" s="0" t="n">
        <v>60</v>
      </c>
      <c r="B1354" s="0" t="inlineStr">
        <is>
          <t>Strik3r</t>
        </is>
      </c>
      <c r="C1354" s="0" t="inlineStr">
        <is>
          <t>Town</t>
        </is>
      </c>
      <c r="D1354" s="0" t="inlineStr">
        <is>
          <t>Loss</t>
        </is>
      </c>
      <c r="E1354" s="0" t="n">
        <v>-38</v>
      </c>
      <c r="F1354" s="0" t="n">
        <v>25</v>
      </c>
      <c r="G1354" s="0" t="n">
        <v>24.34866869704278</v>
      </c>
      <c r="H1354" s="0" t="n">
        <v>8.27355122000802</v>
      </c>
      <c r="I1354" s="0" t="n">
        <v>850</v>
      </c>
      <c r="J1354" s="0" t="n">
        <v>812</v>
      </c>
      <c r="K1354" s="0" t="n">
        <v>8.333333333333334</v>
      </c>
    </row>
    <row r="1355">
      <c r="A1355" s="0" t="n">
        <v>60</v>
      </c>
      <c r="B1355" s="0" t="inlineStr">
        <is>
          <t>Gilbert</t>
        </is>
      </c>
      <c r="C1355" s="0" t="inlineStr">
        <is>
          <t>Town</t>
        </is>
      </c>
      <c r="D1355" s="0" t="inlineStr">
        <is>
          <t>Loss</t>
        </is>
      </c>
      <c r="E1355" s="0" t="n">
        <v>-38</v>
      </c>
      <c r="F1355" s="0" t="n">
        <v>25</v>
      </c>
      <c r="G1355" s="0" t="n">
        <v>24.34866869704278</v>
      </c>
      <c r="H1355" s="0" t="n">
        <v>8.27355122000802</v>
      </c>
      <c r="I1355" s="0" t="n">
        <v>850</v>
      </c>
      <c r="J1355" s="0" t="n">
        <v>812</v>
      </c>
      <c r="K1355" s="0" t="n">
        <v>8.333333333333334</v>
      </c>
    </row>
    <row r="1356">
      <c r="A1356" s="0" t="n">
        <v>60</v>
      </c>
      <c r="B1356" s="0" t="inlineStr">
        <is>
          <t>Kny</t>
        </is>
      </c>
      <c r="C1356" s="0" t="inlineStr">
        <is>
          <t>Town</t>
        </is>
      </c>
      <c r="D1356" s="0" t="inlineStr">
        <is>
          <t>Loss</t>
        </is>
      </c>
      <c r="E1356" s="0" t="n">
        <v>-36</v>
      </c>
      <c r="F1356" s="0" t="n">
        <v>26.35859270979186</v>
      </c>
      <c r="G1356" s="0" t="n">
        <v>25.7429811403225</v>
      </c>
      <c r="H1356" s="0" t="n">
        <v>8.046717564405725</v>
      </c>
      <c r="I1356" s="0" t="n">
        <v>966</v>
      </c>
      <c r="J1356" s="0" t="n">
        <v>930</v>
      </c>
      <c r="K1356" s="0" t="n">
        <v>8.101573021257703</v>
      </c>
    </row>
    <row r="1357">
      <c r="A1357" s="0" t="n">
        <v>60</v>
      </c>
      <c r="B1357" s="0" t="inlineStr">
        <is>
          <t>Dani</t>
        </is>
      </c>
      <c r="C1357" s="0" t="inlineStr">
        <is>
          <t>Town</t>
        </is>
      </c>
      <c r="D1357" s="0" t="inlineStr">
        <is>
          <t>Loss</t>
        </is>
      </c>
      <c r="E1357" s="0" t="n">
        <v>-37</v>
      </c>
      <c r="F1357" s="0" t="n">
        <v>23.82316217968224</v>
      </c>
      <c r="G1357" s="0" t="n">
        <v>23.18427891296841</v>
      </c>
      <c r="H1357" s="0" t="n">
        <v>8.195256096892285</v>
      </c>
      <c r="I1357" s="0" t="n">
        <v>778</v>
      </c>
      <c r="J1357" s="0" t="n">
        <v>741</v>
      </c>
      <c r="K1357" s="0" t="n">
        <v>8.253305594824319</v>
      </c>
    </row>
    <row r="1358">
      <c r="A1358" s="0" t="n">
        <v>60</v>
      </c>
      <c r="B1358" s="0" t="inlineStr">
        <is>
          <t>Josh</t>
        </is>
      </c>
      <c r="C1358" s="0" t="inlineStr">
        <is>
          <t>Town</t>
        </is>
      </c>
      <c r="D1358" s="0" t="inlineStr">
        <is>
          <t>Loss</t>
        </is>
      </c>
      <c r="E1358" s="0" t="n">
        <v>-35</v>
      </c>
      <c r="F1358" s="0" t="n">
        <v>26.64570713897114</v>
      </c>
      <c r="G1358" s="0" t="n">
        <v>26.05168453653018</v>
      </c>
      <c r="H1358" s="0" t="n">
        <v>7.906279950711731</v>
      </c>
      <c r="I1358" s="0" t="n">
        <v>1000</v>
      </c>
      <c r="J1358" s="0" t="n">
        <v>965</v>
      </c>
      <c r="K1358" s="0" t="n">
        <v>7.9582256086067</v>
      </c>
    </row>
    <row r="1359">
      <c r="A1359" s="0" t="n">
        <v>60</v>
      </c>
      <c r="B1359" s="0" t="inlineStr">
        <is>
          <t>Machop</t>
        </is>
      </c>
      <c r="C1359" s="0" t="inlineStr">
        <is>
          <t>Town</t>
        </is>
      </c>
      <c r="D1359" s="0" t="inlineStr">
        <is>
          <t>Loss</t>
        </is>
      </c>
      <c r="E1359" s="0" t="n">
        <v>-33</v>
      </c>
      <c r="F1359" s="0" t="n">
        <v>30.83138563703838</v>
      </c>
      <c r="G1359" s="0" t="n">
        <v>30.27525106752178</v>
      </c>
      <c r="H1359" s="0" t="n">
        <v>7.653240821087527</v>
      </c>
      <c r="I1359" s="0" t="n">
        <v>1311</v>
      </c>
      <c r="J1359" s="0" t="n">
        <v>1278</v>
      </c>
      <c r="K1359" s="0" t="n">
        <v>7.700206497040294</v>
      </c>
    </row>
    <row r="1360">
      <c r="A1360" s="0" t="n">
        <v>60</v>
      </c>
      <c r="B1360" s="0" t="inlineStr">
        <is>
          <t>23flash</t>
        </is>
      </c>
      <c r="C1360" s="0" t="inlineStr">
        <is>
          <t>Town</t>
        </is>
      </c>
      <c r="D1360" s="0" t="inlineStr">
        <is>
          <t>Loss</t>
        </is>
      </c>
      <c r="E1360" s="0" t="n">
        <v>-38</v>
      </c>
      <c r="F1360" s="0" t="n">
        <v>25</v>
      </c>
      <c r="G1360" s="0" t="n">
        <v>24.34866869704278</v>
      </c>
      <c r="H1360" s="0" t="n">
        <v>8.27355122000802</v>
      </c>
      <c r="I1360" s="0" t="n">
        <v>850</v>
      </c>
      <c r="J1360" s="0" t="n">
        <v>812</v>
      </c>
      <c r="K1360" s="0" t="n">
        <v>8.333333333333334</v>
      </c>
    </row>
    <row r="1361">
      <c r="A1361" s="0" t="n">
        <v>59</v>
      </c>
      <c r="B1361" s="0" t="inlineStr">
        <is>
          <t>Creatchee</t>
        </is>
      </c>
      <c r="C1361" s="0" t="inlineStr">
        <is>
          <t>Mafia</t>
        </is>
      </c>
      <c r="D1361" s="0" t="inlineStr">
        <is>
          <t>Loss</t>
        </is>
      </c>
      <c r="E1361" s="0" t="n">
        <v>-93</v>
      </c>
      <c r="F1361" s="0" t="n">
        <v>29.01781799763417</v>
      </c>
      <c r="G1361" s="0" t="n">
        <v>27.54222333289447</v>
      </c>
      <c r="H1361" s="0" t="n">
        <v>7.876853721074876</v>
      </c>
      <c r="I1361" s="0" t="n">
        <v>1162</v>
      </c>
      <c r="J1361" s="0" t="n">
        <v>1069</v>
      </c>
      <c r="K1361" s="0" t="n">
        <v>7.95536647528187</v>
      </c>
    </row>
    <row r="1362">
      <c r="A1362" s="0" t="n">
        <v>59</v>
      </c>
      <c r="B1362" s="0" t="inlineStr">
        <is>
          <t>Chelsea</t>
        </is>
      </c>
      <c r="C1362" s="0" t="inlineStr">
        <is>
          <t>Mafia</t>
        </is>
      </c>
      <c r="D1362" s="0" t="inlineStr">
        <is>
          <t>Loss</t>
        </is>
      </c>
      <c r="E1362" s="0" t="n">
        <v>-101</v>
      </c>
      <c r="F1362" s="0" t="n">
        <v>25</v>
      </c>
      <c r="G1362" s="0" t="n">
        <v>23.3808834210801</v>
      </c>
      <c r="H1362" s="0" t="n">
        <v>8.242924854005254</v>
      </c>
      <c r="I1362" s="0" t="n">
        <v>850</v>
      </c>
      <c r="J1362" s="0" t="n">
        <v>749</v>
      </c>
      <c r="K1362" s="0" t="n">
        <v>8.333333333333334</v>
      </c>
    </row>
    <row r="1363">
      <c r="A1363" s="0" t="n">
        <v>59</v>
      </c>
      <c r="B1363" s="0" t="inlineStr">
        <is>
          <t>Ken</t>
        </is>
      </c>
      <c r="C1363" s="0" t="inlineStr">
        <is>
          <t>Mafia</t>
        </is>
      </c>
      <c r="D1363" s="0" t="inlineStr">
        <is>
          <t>Loss</t>
        </is>
      </c>
      <c r="E1363" s="0" t="n">
        <v>-101</v>
      </c>
      <c r="F1363" s="0" t="n">
        <v>25</v>
      </c>
      <c r="G1363" s="0" t="n">
        <v>23.3808834210801</v>
      </c>
      <c r="H1363" s="0" t="n">
        <v>8.242924854005254</v>
      </c>
      <c r="I1363" s="0" t="n">
        <v>850</v>
      </c>
      <c r="J1363" s="0" t="n">
        <v>749</v>
      </c>
      <c r="K1363" s="0" t="n">
        <v>8.333333333333334</v>
      </c>
    </row>
    <row r="1364">
      <c r="A1364" s="0" t="n">
        <v>59</v>
      </c>
      <c r="B1364" s="0" t="inlineStr">
        <is>
          <t>Lou</t>
        </is>
      </c>
      <c r="C1364" s="0" t="inlineStr">
        <is>
          <t>Town</t>
        </is>
      </c>
      <c r="D1364" s="0" t="inlineStr">
        <is>
          <t>Win</t>
        </is>
      </c>
      <c r="E1364" s="0" t="n">
        <v>101</v>
      </c>
      <c r="F1364" s="0" t="n">
        <v>24.63101063581524</v>
      </c>
      <c r="G1364" s="0" t="n">
        <v>26.01642625536743</v>
      </c>
      <c r="H1364" s="0" t="n">
        <v>7.637076232521398</v>
      </c>
      <c r="I1364" s="0" t="n">
        <v>889</v>
      </c>
      <c r="J1364" s="0" t="n">
        <v>990</v>
      </c>
      <c r="K1364" s="0" t="n">
        <v>7.708403841307391</v>
      </c>
    </row>
    <row r="1365">
      <c r="A1365" s="0" t="n">
        <v>59</v>
      </c>
      <c r="B1365" s="0" t="inlineStr">
        <is>
          <t>Rocker</t>
        </is>
      </c>
      <c r="C1365" s="0" t="inlineStr">
        <is>
          <t>Town</t>
        </is>
      </c>
      <c r="D1365" s="0" t="inlineStr">
        <is>
          <t>Win</t>
        </is>
      </c>
      <c r="E1365" s="0" t="n">
        <v>105</v>
      </c>
      <c r="F1365" s="0" t="n">
        <v>30.92801437669358</v>
      </c>
      <c r="G1365" s="0" t="n">
        <v>32.35545001789836</v>
      </c>
      <c r="H1365" s="0" t="n">
        <v>7.749801701921944</v>
      </c>
      <c r="I1365" s="0" t="n">
        <v>1305</v>
      </c>
      <c r="J1365" s="0" t="n">
        <v>1410</v>
      </c>
      <c r="K1365" s="0" t="n">
        <v>7.824448983925843</v>
      </c>
    </row>
    <row r="1366">
      <c r="A1366" s="0" t="n">
        <v>59</v>
      </c>
      <c r="B1366" s="0" t="inlineStr">
        <is>
          <t>Iln</t>
        </is>
      </c>
      <c r="C1366" s="0" t="inlineStr">
        <is>
          <t>Town</t>
        </is>
      </c>
      <c r="D1366" s="0" t="inlineStr">
        <is>
          <t>Win</t>
        </is>
      </c>
      <c r="E1366" s="0" t="n">
        <v>106</v>
      </c>
      <c r="F1366" s="0" t="n">
        <v>21.85652947279559</v>
      </c>
      <c r="G1366" s="0" t="n">
        <v>23.29028574096407</v>
      </c>
      <c r="H1366" s="0" t="n">
        <v>7.766604921687285</v>
      </c>
      <c r="I1366" s="0" t="n">
        <v>686</v>
      </c>
      <c r="J1366" s="0" t="n">
        <v>792</v>
      </c>
      <c r="K1366" s="0" t="n">
        <v>7.841755843948523</v>
      </c>
    </row>
    <row r="1367">
      <c r="A1367" s="0" t="n">
        <v>59</v>
      </c>
      <c r="B1367" s="0" t="inlineStr">
        <is>
          <t>Badpants</t>
        </is>
      </c>
      <c r="C1367" s="0" t="inlineStr">
        <is>
          <t>Town</t>
        </is>
      </c>
      <c r="D1367" s="0" t="inlineStr">
        <is>
          <t>Win</t>
        </is>
      </c>
      <c r="E1367" s="0" t="n">
        <v>106</v>
      </c>
      <c r="F1367" s="0" t="n">
        <v>20.28062601932096</v>
      </c>
      <c r="G1367" s="0" t="n">
        <v>21.71369489484197</v>
      </c>
      <c r="H1367" s="0" t="n">
        <v>7.764779412244281</v>
      </c>
      <c r="I1367" s="0" t="n">
        <v>579</v>
      </c>
      <c r="J1367" s="0" t="n">
        <v>685</v>
      </c>
      <c r="K1367" s="0" t="n">
        <v>7.839875507500295</v>
      </c>
    </row>
    <row r="1368">
      <c r="A1368" s="0" t="n">
        <v>59</v>
      </c>
      <c r="B1368" s="0" t="inlineStr">
        <is>
          <t>Chipper</t>
        </is>
      </c>
      <c r="C1368" s="0" t="inlineStr">
        <is>
          <t>Town</t>
        </is>
      </c>
      <c r="D1368" s="0" t="inlineStr">
        <is>
          <t>Win</t>
        </is>
      </c>
      <c r="E1368" s="0" t="n">
        <v>107</v>
      </c>
      <c r="F1368" s="0" t="n">
        <v>21.3521537439332</v>
      </c>
      <c r="G1368" s="0" t="n">
        <v>22.81254480963963</v>
      </c>
      <c r="H1368" s="0" t="n">
        <v>7.836984824005063</v>
      </c>
      <c r="I1368" s="0" t="n">
        <v>645</v>
      </c>
      <c r="J1368" s="0" t="n">
        <v>752</v>
      </c>
      <c r="K1368" s="0" t="n">
        <v>7.914270305916435</v>
      </c>
    </row>
    <row r="1369">
      <c r="A1369" s="0" t="n">
        <v>59</v>
      </c>
      <c r="B1369" s="0" t="inlineStr">
        <is>
          <t>Levi</t>
        </is>
      </c>
      <c r="C1369" s="0" t="inlineStr">
        <is>
          <t>Town</t>
        </is>
      </c>
      <c r="D1369" s="0" t="inlineStr">
        <is>
          <t>Win</t>
        </is>
      </c>
      <c r="E1369" s="0" t="n">
        <v>119</v>
      </c>
      <c r="F1369" s="0" t="n">
        <v>25</v>
      </c>
      <c r="G1369" s="0" t="n">
        <v>26.61911657891989</v>
      </c>
      <c r="H1369" s="0" t="n">
        <v>8.242924854005254</v>
      </c>
      <c r="I1369" s="0" t="n">
        <v>850</v>
      </c>
      <c r="J1369" s="0" t="n">
        <v>969</v>
      </c>
      <c r="K1369" s="0" t="n">
        <v>8.333333333333334</v>
      </c>
    </row>
    <row r="1370">
      <c r="A1370" s="0" t="n">
        <v>59</v>
      </c>
      <c r="B1370" s="0" t="inlineStr">
        <is>
          <t>Machop</t>
        </is>
      </c>
      <c r="C1370" s="0" t="inlineStr">
        <is>
          <t>Town</t>
        </is>
      </c>
      <c r="D1370" s="0" t="inlineStr">
        <is>
          <t>Win</t>
        </is>
      </c>
      <c r="E1370" s="0" t="n">
        <v>103</v>
      </c>
      <c r="F1370" s="0" t="n">
        <v>29.42251923567161</v>
      </c>
      <c r="G1370" s="0" t="n">
        <v>30.83138563703838</v>
      </c>
      <c r="H1370" s="0" t="n">
        <v>7.700206497040294</v>
      </c>
      <c r="I1370" s="0" t="n">
        <v>1208</v>
      </c>
      <c r="J1370" s="0" t="n">
        <v>1311</v>
      </c>
      <c r="K1370" s="0" t="n">
        <v>7.773380628100014</v>
      </c>
    </row>
    <row r="1371">
      <c r="A1371" s="0" t="n">
        <v>59</v>
      </c>
      <c r="B1371" s="0" t="inlineStr">
        <is>
          <t>Coffee</t>
        </is>
      </c>
      <c r="C1371" s="0" t="inlineStr">
        <is>
          <t>Town</t>
        </is>
      </c>
      <c r="D1371" s="0" t="inlineStr">
        <is>
          <t>Win</t>
        </is>
      </c>
      <c r="E1371" s="0" t="n">
        <v>119</v>
      </c>
      <c r="F1371" s="0" t="n">
        <v>25</v>
      </c>
      <c r="G1371" s="0" t="n">
        <v>26.61911657891989</v>
      </c>
      <c r="H1371" s="0" t="n">
        <v>8.242924854005254</v>
      </c>
      <c r="I1371" s="0" t="n">
        <v>850</v>
      </c>
      <c r="J1371" s="0" t="n">
        <v>969</v>
      </c>
      <c r="K1371" s="0" t="n">
        <v>8.333333333333334</v>
      </c>
    </row>
    <row r="1372">
      <c r="A1372" s="0" t="n">
        <v>59</v>
      </c>
      <c r="B1372" s="0" t="inlineStr">
        <is>
          <t>Hunterxp</t>
        </is>
      </c>
      <c r="C1372" s="0" t="inlineStr">
        <is>
          <t>Town</t>
        </is>
      </c>
      <c r="D1372" s="0" t="inlineStr">
        <is>
          <t>Win</t>
        </is>
      </c>
      <c r="E1372" s="0" t="n">
        <v>119</v>
      </c>
      <c r="F1372" s="0" t="n">
        <v>25</v>
      </c>
      <c r="G1372" s="0" t="n">
        <v>26.61911657891989</v>
      </c>
      <c r="H1372" s="0" t="n">
        <v>8.242924854005254</v>
      </c>
      <c r="I1372" s="0" t="n">
        <v>850</v>
      </c>
      <c r="J1372" s="0" t="n">
        <v>969</v>
      </c>
      <c r="K1372" s="0" t="n">
        <v>8.333333333333334</v>
      </c>
    </row>
    <row r="1373">
      <c r="A1373" s="0" t="n">
        <v>59</v>
      </c>
      <c r="B1373" s="0" t="inlineStr">
        <is>
          <t>Laur</t>
        </is>
      </c>
      <c r="C1373" s="0" t="inlineStr">
        <is>
          <t>Town</t>
        </is>
      </c>
      <c r="D1373" s="0" t="inlineStr">
        <is>
          <t>Win</t>
        </is>
      </c>
      <c r="E1373" s="0" t="n">
        <v>113</v>
      </c>
      <c r="F1373" s="0" t="n">
        <v>26.42877142704657</v>
      </c>
      <c r="G1373" s="0" t="n">
        <v>27.95759501864474</v>
      </c>
      <c r="H1373" s="0" t="n">
        <v>8.014744423676728</v>
      </c>
      <c r="I1373" s="0" t="n">
        <v>971</v>
      </c>
      <c r="J1373" s="0" t="n">
        <v>1084</v>
      </c>
      <c r="K1373" s="0" t="n">
        <v>8.097604012892704</v>
      </c>
    </row>
    <row r="1374">
      <c r="A1374" s="0" t="n">
        <v>58</v>
      </c>
      <c r="B1374" s="0" t="inlineStr">
        <is>
          <t>Boobles</t>
        </is>
      </c>
      <c r="C1374" s="0" t="inlineStr">
        <is>
          <t>Mafia</t>
        </is>
      </c>
      <c r="D1374" s="0" t="inlineStr">
        <is>
          <t>Win</t>
        </is>
      </c>
      <c r="E1374" s="0" t="n">
        <v>80</v>
      </c>
      <c r="F1374" s="0" t="n">
        <v>24.40078971238016</v>
      </c>
      <c r="G1374" s="0" t="n">
        <v>25.475657955356</v>
      </c>
      <c r="H1374" s="0" t="n">
        <v>7.894349170424618</v>
      </c>
      <c r="I1374" s="0" t="n">
        <v>847</v>
      </c>
      <c r="J1374" s="0" t="n">
        <v>927</v>
      </c>
      <c r="K1374" s="0" t="n">
        <v>7.96407048323433</v>
      </c>
    </row>
    <row r="1375">
      <c r="A1375" s="0" t="n">
        <v>58</v>
      </c>
      <c r="B1375" s="0" t="inlineStr">
        <is>
          <t>Smit</t>
        </is>
      </c>
      <c r="C1375" s="0" t="inlineStr">
        <is>
          <t>Mafia</t>
        </is>
      </c>
      <c r="D1375" s="0" t="inlineStr">
        <is>
          <t>Win</t>
        </is>
      </c>
      <c r="E1375" s="0" t="n">
        <v>81</v>
      </c>
      <c r="F1375" s="0" t="n">
        <v>24.42780773906741</v>
      </c>
      <c r="G1375" s="0" t="n">
        <v>25.50352008454384</v>
      </c>
      <c r="H1375" s="0" t="n">
        <v>7.897392795558074</v>
      </c>
      <c r="I1375" s="0" t="n">
        <v>848</v>
      </c>
      <c r="J1375" s="0" t="n">
        <v>929</v>
      </c>
      <c r="K1375" s="0" t="n">
        <v>7.967197486026333</v>
      </c>
    </row>
    <row r="1376">
      <c r="A1376" s="0" t="n">
        <v>58</v>
      </c>
      <c r="B1376" s="0" t="inlineStr">
        <is>
          <t>Cyclone</t>
        </is>
      </c>
      <c r="C1376" s="0" t="inlineStr">
        <is>
          <t>Mafia</t>
        </is>
      </c>
      <c r="D1376" s="0" t="inlineStr">
        <is>
          <t>Win</t>
        </is>
      </c>
      <c r="E1376" s="0" t="n">
        <v>88</v>
      </c>
      <c r="F1376" s="0" t="n">
        <v>25</v>
      </c>
      <c r="G1376" s="0" t="n">
        <v>26.17683782031775</v>
      </c>
      <c r="H1376" s="0" t="n">
        <v>8.253305594824319</v>
      </c>
      <c r="I1376" s="0" t="n">
        <v>850</v>
      </c>
      <c r="J1376" s="0" t="n">
        <v>938</v>
      </c>
      <c r="K1376" s="0" t="n">
        <v>8.333333333333334</v>
      </c>
    </row>
    <row r="1377">
      <c r="A1377" s="0" t="n">
        <v>58</v>
      </c>
      <c r="B1377" s="0" t="inlineStr">
        <is>
          <t>Lombax</t>
        </is>
      </c>
      <c r="C1377" s="0" t="inlineStr">
        <is>
          <t>Town</t>
        </is>
      </c>
      <c r="D1377" s="0" t="inlineStr">
        <is>
          <t>Loss</t>
        </is>
      </c>
      <c r="E1377" s="0" t="n">
        <v>-71</v>
      </c>
      <c r="F1377" s="0" t="n">
        <v>25.95328186277439</v>
      </c>
      <c r="G1377" s="0" t="n">
        <v>24.79634276557831</v>
      </c>
      <c r="H1377" s="0" t="n">
        <v>8.184590266866108</v>
      </c>
      <c r="I1377" s="0" t="n">
        <v>922</v>
      </c>
      <c r="J1377" s="0" t="n">
        <v>851</v>
      </c>
      <c r="K1377" s="0" t="n">
        <v>8.26257008916174</v>
      </c>
    </row>
    <row r="1378">
      <c r="A1378" s="0" t="n">
        <v>58</v>
      </c>
      <c r="B1378" s="0" t="inlineStr">
        <is>
          <t>Asiansam</t>
        </is>
      </c>
      <c r="C1378" s="0" t="inlineStr">
        <is>
          <t>Town</t>
        </is>
      </c>
      <c r="D1378" s="0" t="inlineStr">
        <is>
          <t>Loss</t>
        </is>
      </c>
      <c r="E1378" s="0" t="n">
        <v>-68</v>
      </c>
      <c r="F1378" s="0" t="n">
        <v>25.90827920560666</v>
      </c>
      <c r="G1378" s="0" t="n">
        <v>24.7966090394682</v>
      </c>
      <c r="H1378" s="0" t="n">
        <v>8.025896442938121</v>
      </c>
      <c r="I1378" s="0" t="n">
        <v>936</v>
      </c>
      <c r="J1378" s="0" t="n">
        <v>868</v>
      </c>
      <c r="K1378" s="0" t="n">
        <v>8.099283255067704</v>
      </c>
    </row>
    <row r="1379">
      <c r="A1379" s="0" t="n">
        <v>58</v>
      </c>
      <c r="B1379" s="0" t="inlineStr">
        <is>
          <t>Rocker</t>
        </is>
      </c>
      <c r="C1379" s="0" t="inlineStr">
        <is>
          <t>Town</t>
        </is>
      </c>
      <c r="D1379" s="0" t="inlineStr">
        <is>
          <t>Loss</t>
        </is>
      </c>
      <c r="E1379" s="0" t="n">
        <v>-65</v>
      </c>
      <c r="F1379" s="0" t="n">
        <v>31.98359301200442</v>
      </c>
      <c r="G1379" s="0" t="n">
        <v>30.92801437669358</v>
      </c>
      <c r="H1379" s="0" t="n">
        <v>7.824448983925843</v>
      </c>
      <c r="I1379" s="0" t="n">
        <v>1370</v>
      </c>
      <c r="J1379" s="0" t="n">
        <v>1305</v>
      </c>
      <c r="K1379" s="0" t="n">
        <v>7.892273904509692</v>
      </c>
    </row>
    <row r="1380">
      <c r="A1380" s="0" t="n">
        <v>58</v>
      </c>
      <c r="B1380" s="0" t="inlineStr">
        <is>
          <t>Iln</t>
        </is>
      </c>
      <c r="C1380" s="0" t="inlineStr">
        <is>
          <t>Town</t>
        </is>
      </c>
      <c r="D1380" s="0" t="inlineStr">
        <is>
          <t>Loss</t>
        </is>
      </c>
      <c r="E1380" s="0" t="n">
        <v>-66</v>
      </c>
      <c r="F1380" s="0" t="n">
        <v>22.91686694513691</v>
      </c>
      <c r="G1380" s="0" t="n">
        <v>21.85652947279559</v>
      </c>
      <c r="H1380" s="0" t="n">
        <v>7.841755843948523</v>
      </c>
      <c r="I1380" s="0" t="n">
        <v>752</v>
      </c>
      <c r="J1380" s="0" t="n">
        <v>686</v>
      </c>
      <c r="K1380" s="0" t="n">
        <v>7.910047012508194</v>
      </c>
    </row>
    <row r="1381">
      <c r="A1381" s="0" t="n">
        <v>58</v>
      </c>
      <c r="B1381" s="0" t="inlineStr">
        <is>
          <t>Dani</t>
        </is>
      </c>
      <c r="C1381" s="0" t="inlineStr">
        <is>
          <t>Town</t>
        </is>
      </c>
      <c r="D1381" s="0" t="inlineStr">
        <is>
          <t>Loss</t>
        </is>
      </c>
      <c r="E1381" s="0" t="n">
        <v>-72</v>
      </c>
      <c r="F1381" s="0" t="n">
        <v>25</v>
      </c>
      <c r="G1381" s="0" t="n">
        <v>23.82316217968224</v>
      </c>
      <c r="H1381" s="0" t="n">
        <v>8.253305594824319</v>
      </c>
      <c r="I1381" s="0" t="n">
        <v>850</v>
      </c>
      <c r="J1381" s="0" t="n">
        <v>778</v>
      </c>
      <c r="K1381" s="0" t="n">
        <v>8.333333333333334</v>
      </c>
    </row>
    <row r="1382">
      <c r="A1382" s="0" t="n">
        <v>58</v>
      </c>
      <c r="B1382" s="0" t="inlineStr">
        <is>
          <t>Laura</t>
        </is>
      </c>
      <c r="C1382" s="0" t="inlineStr">
        <is>
          <t>Town</t>
        </is>
      </c>
      <c r="D1382" s="0" t="inlineStr">
        <is>
          <t>Loss</t>
        </is>
      </c>
      <c r="E1382" s="0" t="n">
        <v>-72</v>
      </c>
      <c r="F1382" s="0" t="n">
        <v>25</v>
      </c>
      <c r="G1382" s="0" t="n">
        <v>23.82316217968224</v>
      </c>
      <c r="H1382" s="0" t="n">
        <v>8.253305594824319</v>
      </c>
      <c r="I1382" s="0" t="n">
        <v>850</v>
      </c>
      <c r="J1382" s="0" t="n">
        <v>778</v>
      </c>
      <c r="K1382" s="0" t="n">
        <v>8.333333333333334</v>
      </c>
    </row>
    <row r="1383">
      <c r="A1383" s="0" t="n">
        <v>58</v>
      </c>
      <c r="B1383" s="0" t="inlineStr">
        <is>
          <t>Badpants</t>
        </is>
      </c>
      <c r="C1383" s="0" t="inlineStr">
        <is>
          <t>Town</t>
        </is>
      </c>
      <c r="D1383" s="0" t="inlineStr">
        <is>
          <t>Loss</t>
        </is>
      </c>
      <c r="E1383" s="0" t="n">
        <v>-66</v>
      </c>
      <c r="F1383" s="0" t="n">
        <v>21.34044591250904</v>
      </c>
      <c r="G1383" s="0" t="n">
        <v>20.28062601932096</v>
      </c>
      <c r="H1383" s="0" t="n">
        <v>7.839875507500295</v>
      </c>
      <c r="I1383" s="0" t="n">
        <v>645</v>
      </c>
      <c r="J1383" s="0" t="n">
        <v>579</v>
      </c>
      <c r="K1383" s="0" t="n">
        <v>7.9081159152105</v>
      </c>
    </row>
    <row r="1384">
      <c r="A1384" s="0" t="n">
        <v>58</v>
      </c>
      <c r="B1384" s="0" t="inlineStr">
        <is>
          <t>Chipper</t>
        </is>
      </c>
      <c r="C1384" s="0" t="inlineStr">
        <is>
          <t>Town</t>
        </is>
      </c>
      <c r="D1384" s="0" t="inlineStr">
        <is>
          <t>Loss</t>
        </is>
      </c>
      <c r="E1384" s="0" t="n">
        <v>-66</v>
      </c>
      <c r="F1384" s="0" t="n">
        <v>22.43255315101105</v>
      </c>
      <c r="G1384" s="0" t="n">
        <v>21.3521537439332</v>
      </c>
      <c r="H1384" s="0" t="n">
        <v>7.914270305916435</v>
      </c>
      <c r="I1384" s="0" t="n">
        <v>711</v>
      </c>
      <c r="J1384" s="0" t="n">
        <v>645</v>
      </c>
      <c r="K1384" s="0" t="n">
        <v>7.984538565610882</v>
      </c>
    </row>
    <row r="1385">
      <c r="A1385" s="0" t="n">
        <v>58</v>
      </c>
      <c r="B1385" s="0" t="inlineStr">
        <is>
          <t>Machop</t>
        </is>
      </c>
      <c r="C1385" s="0" t="inlineStr">
        <is>
          <t>Town</t>
        </is>
      </c>
      <c r="D1385" s="0" t="inlineStr">
        <is>
          <t>Loss</t>
        </is>
      </c>
      <c r="E1385" s="0" t="n">
        <v>-64</v>
      </c>
      <c r="F1385" s="0" t="n">
        <v>30.46412141978057</v>
      </c>
      <c r="G1385" s="0" t="n">
        <v>29.42251923567161</v>
      </c>
      <c r="H1385" s="0" t="n">
        <v>7.773380628100014</v>
      </c>
      <c r="I1385" s="0" t="n">
        <v>1272</v>
      </c>
      <c r="J1385" s="0" t="n">
        <v>1208</v>
      </c>
      <c r="K1385" s="0" t="n">
        <v>7.839842294724734</v>
      </c>
    </row>
    <row r="1386">
      <c r="A1386" s="0" t="n">
        <v>58</v>
      </c>
      <c r="B1386" s="0" t="inlineStr">
        <is>
          <t>Svaan</t>
        </is>
      </c>
      <c r="C1386" s="0" t="inlineStr">
        <is>
          <t>Town</t>
        </is>
      </c>
      <c r="D1386" s="0" t="inlineStr">
        <is>
          <t>Loss</t>
        </is>
      </c>
      <c r="E1386" s="0" t="n">
        <v>-68</v>
      </c>
      <c r="F1386" s="0" t="n">
        <v>26.43411518986282</v>
      </c>
      <c r="G1386" s="0" t="n">
        <v>25.32428796172625</v>
      </c>
      <c r="H1386" s="0" t="n">
        <v>8.019364124680795</v>
      </c>
      <c r="I1386" s="0" t="n">
        <v>972</v>
      </c>
      <c r="J1386" s="0" t="n">
        <v>904</v>
      </c>
      <c r="K1386" s="0" t="n">
        <v>8.09256590934549</v>
      </c>
    </row>
    <row r="1387">
      <c r="A1387" s="0" t="n">
        <v>57</v>
      </c>
      <c r="B1387" s="0" t="inlineStr">
        <is>
          <t>Lou</t>
        </is>
      </c>
      <c r="C1387" s="0" t="inlineStr">
        <is>
          <t>Mafia</t>
        </is>
      </c>
      <c r="D1387" s="0" t="inlineStr">
        <is>
          <t>Loss</t>
        </is>
      </c>
      <c r="E1387" s="0" t="n">
        <v>-72</v>
      </c>
      <c r="F1387" s="0" t="n">
        <v>25.7898000000462</v>
      </c>
      <c r="G1387" s="0" t="n">
        <v>24.63101063581524</v>
      </c>
      <c r="H1387" s="0" t="n">
        <v>7.708403841307391</v>
      </c>
      <c r="I1387" s="0" t="n">
        <v>961</v>
      </c>
      <c r="J1387" s="0" t="n">
        <v>889</v>
      </c>
      <c r="K1387" s="0" t="n">
        <v>7.771374814667183</v>
      </c>
    </row>
    <row r="1388">
      <c r="A1388" s="0" t="n">
        <v>57</v>
      </c>
      <c r="B1388" s="0" t="inlineStr">
        <is>
          <t>Mintt</t>
        </is>
      </c>
      <c r="C1388" s="0" t="inlineStr">
        <is>
          <t>Mafia</t>
        </is>
      </c>
      <c r="D1388" s="0" t="inlineStr">
        <is>
          <t>Loss</t>
        </is>
      </c>
      <c r="E1388" s="0" t="n">
        <v>-80</v>
      </c>
      <c r="F1388" s="0" t="n">
        <v>27.71735858822803</v>
      </c>
      <c r="G1388" s="0" t="n">
        <v>26.43745261410051</v>
      </c>
      <c r="H1388" s="0" t="n">
        <v>8.094215535042634</v>
      </c>
      <c r="I1388" s="0" t="n">
        <v>1052</v>
      </c>
      <c r="J1388" s="0" t="n">
        <v>972</v>
      </c>
      <c r="K1388" s="0" t="n">
        <v>8.167479268856843</v>
      </c>
    </row>
    <row r="1389">
      <c r="A1389" s="0" t="n">
        <v>57</v>
      </c>
      <c r="B1389" s="0" t="inlineStr">
        <is>
          <t>Torharo</t>
        </is>
      </c>
      <c r="C1389" s="0" t="inlineStr">
        <is>
          <t>Mafia</t>
        </is>
      </c>
      <c r="D1389" s="0" t="inlineStr">
        <is>
          <t>Loss</t>
        </is>
      </c>
      <c r="E1389" s="0" t="n">
        <v>-83</v>
      </c>
      <c r="F1389" s="0" t="n">
        <v>25</v>
      </c>
      <c r="G1389" s="0" t="n">
        <v>23.66759293389631</v>
      </c>
      <c r="H1389" s="0" t="n">
        <v>8.255450895429567</v>
      </c>
      <c r="I1389" s="0" t="n">
        <v>850</v>
      </c>
      <c r="J1389" s="0" t="n">
        <v>767</v>
      </c>
      <c r="K1389" s="0" t="n">
        <v>8.333333333333334</v>
      </c>
    </row>
    <row r="1390">
      <c r="A1390" s="0" t="n">
        <v>57</v>
      </c>
      <c r="B1390" s="0" t="inlineStr">
        <is>
          <t>Aipha</t>
        </is>
      </c>
      <c r="C1390" s="0" t="inlineStr">
        <is>
          <t>Town</t>
        </is>
      </c>
      <c r="D1390" s="0" t="inlineStr">
        <is>
          <t>Win</t>
        </is>
      </c>
      <c r="E1390" s="0" t="n">
        <v>95</v>
      </c>
      <c r="F1390" s="0" t="n">
        <v>25.621061403584</v>
      </c>
      <c r="G1390" s="0" t="n">
        <v>26.90660585987336</v>
      </c>
      <c r="H1390" s="0" t="n">
        <v>8.111697358218651</v>
      </c>
      <c r="I1390" s="0" t="n">
        <v>907</v>
      </c>
      <c r="J1390" s="0" t="n">
        <v>1002</v>
      </c>
      <c r="K1390" s="0" t="n">
        <v>8.185452646390893</v>
      </c>
    </row>
    <row r="1391">
      <c r="A1391" s="0" t="n">
        <v>57</v>
      </c>
      <c r="B1391" s="0" t="inlineStr">
        <is>
          <t>Antfrost</t>
        </is>
      </c>
      <c r="C1391" s="0" t="inlineStr">
        <is>
          <t>Town</t>
        </is>
      </c>
      <c r="D1391" s="0" t="inlineStr">
        <is>
          <t>Win</t>
        </is>
      </c>
      <c r="E1391" s="0" t="n">
        <v>99</v>
      </c>
      <c r="F1391" s="0" t="n">
        <v>25</v>
      </c>
      <c r="G1391" s="0" t="n">
        <v>26.33240706610367</v>
      </c>
      <c r="H1391" s="0" t="n">
        <v>8.255450895429567</v>
      </c>
      <c r="I1391" s="0" t="n">
        <v>850</v>
      </c>
      <c r="J1391" s="0" t="n">
        <v>949</v>
      </c>
      <c r="K1391" s="0" t="n">
        <v>8.333333333333334</v>
      </c>
    </row>
    <row r="1392">
      <c r="A1392" s="0" t="n">
        <v>57</v>
      </c>
      <c r="B1392" s="0" t="inlineStr">
        <is>
          <t>Brownkow</t>
        </is>
      </c>
      <c r="C1392" s="0" t="inlineStr">
        <is>
          <t>Town</t>
        </is>
      </c>
      <c r="D1392" s="0" t="inlineStr">
        <is>
          <t>Win</t>
        </is>
      </c>
      <c r="E1392" s="0" t="n">
        <v>90</v>
      </c>
      <c r="F1392" s="0" t="n">
        <v>29.03645276546946</v>
      </c>
      <c r="G1392" s="0" t="n">
        <v>30.25397351389871</v>
      </c>
      <c r="H1392" s="0" t="n">
        <v>7.898014306222282</v>
      </c>
      <c r="I1392" s="0" t="n">
        <v>1162</v>
      </c>
      <c r="J1392" s="0" t="n">
        <v>1252</v>
      </c>
      <c r="K1392" s="0" t="n">
        <v>7.965912381932539</v>
      </c>
    </row>
    <row r="1393">
      <c r="A1393" s="0" t="n">
        <v>57</v>
      </c>
      <c r="B1393" s="0" t="inlineStr">
        <is>
          <t>Carson</t>
        </is>
      </c>
      <c r="C1393" s="0" t="inlineStr">
        <is>
          <t>Town</t>
        </is>
      </c>
      <c r="D1393" s="0" t="inlineStr">
        <is>
          <t>Win</t>
        </is>
      </c>
      <c r="E1393" s="0" t="n">
        <v>85</v>
      </c>
      <c r="F1393" s="0" t="n">
        <v>26.40217859242182</v>
      </c>
      <c r="G1393" s="0" t="n">
        <v>27.5594009312585</v>
      </c>
      <c r="H1393" s="0" t="n">
        <v>7.703276380400962</v>
      </c>
      <c r="I1393" s="0" t="n">
        <v>1003</v>
      </c>
      <c r="J1393" s="0" t="n">
        <v>1088</v>
      </c>
      <c r="K1393" s="0" t="n">
        <v>7.766117569623248</v>
      </c>
    </row>
    <row r="1394">
      <c r="A1394" s="0" t="n">
        <v>57</v>
      </c>
      <c r="B1394" s="0" t="inlineStr">
        <is>
          <t>Josh</t>
        </is>
      </c>
      <c r="C1394" s="0" t="inlineStr">
        <is>
          <t>Town</t>
        </is>
      </c>
      <c r="D1394" s="0" t="inlineStr">
        <is>
          <t>Win</t>
        </is>
      </c>
      <c r="E1394" s="0" t="n">
        <v>91</v>
      </c>
      <c r="F1394" s="0" t="n">
        <v>25.40921608216991</v>
      </c>
      <c r="G1394" s="0" t="n">
        <v>26.64570713897114</v>
      </c>
      <c r="H1394" s="0" t="n">
        <v>7.9582256086067</v>
      </c>
      <c r="I1394" s="0" t="n">
        <v>909</v>
      </c>
      <c r="J1394" s="0" t="n">
        <v>1000</v>
      </c>
      <c r="K1394" s="0" t="n">
        <v>8.027741040544152</v>
      </c>
    </row>
    <row r="1395">
      <c r="A1395" s="0" t="n">
        <v>57</v>
      </c>
      <c r="B1395" s="0" t="inlineStr">
        <is>
          <t>Maz</t>
        </is>
      </c>
      <c r="C1395" s="0" t="inlineStr">
        <is>
          <t>Town</t>
        </is>
      </c>
      <c r="D1395" s="0" t="inlineStr">
        <is>
          <t>Win</t>
        </is>
      </c>
      <c r="E1395" s="0" t="n">
        <v>96</v>
      </c>
      <c r="F1395" s="0" t="n">
        <v>23.78625369420615</v>
      </c>
      <c r="G1395" s="0" t="n">
        <v>25.09300502857122</v>
      </c>
      <c r="H1395" s="0" t="n">
        <v>8.177088037176482</v>
      </c>
      <c r="I1395" s="0" t="n">
        <v>776</v>
      </c>
      <c r="J1395" s="0" t="n">
        <v>872</v>
      </c>
      <c r="K1395" s="0" t="n">
        <v>8.252701796113667</v>
      </c>
    </row>
    <row r="1396">
      <c r="A1396" s="0" t="n">
        <v>57</v>
      </c>
      <c r="B1396" s="0" t="inlineStr">
        <is>
          <t>Noah</t>
        </is>
      </c>
      <c r="C1396" s="0" t="inlineStr">
        <is>
          <t>Town</t>
        </is>
      </c>
      <c r="D1396" s="0" t="inlineStr">
        <is>
          <t>Win</t>
        </is>
      </c>
      <c r="E1396" s="0" t="n">
        <v>91</v>
      </c>
      <c r="F1396" s="0" t="n">
        <v>22.55023318311693</v>
      </c>
      <c r="G1396" s="0" t="n">
        <v>23.78501435858108</v>
      </c>
      <c r="H1396" s="0" t="n">
        <v>7.952818539979</v>
      </c>
      <c r="I1396" s="0" t="n">
        <v>715</v>
      </c>
      <c r="J1396" s="0" t="n">
        <v>806</v>
      </c>
      <c r="K1396" s="0" t="n">
        <v>8.022187678613625</v>
      </c>
    </row>
    <row r="1397">
      <c r="A1397" s="0" t="n">
        <v>57</v>
      </c>
      <c r="B1397" s="0" t="inlineStr">
        <is>
          <t>Pinkee</t>
        </is>
      </c>
      <c r="C1397" s="0" t="inlineStr">
        <is>
          <t>Town</t>
        </is>
      </c>
      <c r="D1397" s="0" t="inlineStr">
        <is>
          <t>Win</t>
        </is>
      </c>
      <c r="E1397" s="0" t="n">
        <v>99</v>
      </c>
      <c r="F1397" s="0" t="n">
        <v>25</v>
      </c>
      <c r="G1397" s="0" t="n">
        <v>26.33240706610367</v>
      </c>
      <c r="H1397" s="0" t="n">
        <v>8.255450895429567</v>
      </c>
      <c r="I1397" s="0" t="n">
        <v>850</v>
      </c>
      <c r="J1397" s="0" t="n">
        <v>949</v>
      </c>
      <c r="K1397" s="0" t="n">
        <v>8.333333333333334</v>
      </c>
    </row>
    <row r="1398">
      <c r="A1398" s="0" t="n">
        <v>57</v>
      </c>
      <c r="B1398" s="0" t="inlineStr">
        <is>
          <t>Rocker</t>
        </is>
      </c>
      <c r="C1398" s="0" t="inlineStr">
        <is>
          <t>Town</t>
        </is>
      </c>
      <c r="D1398" s="0" t="inlineStr">
        <is>
          <t>Win</t>
        </is>
      </c>
      <c r="E1398" s="0" t="n">
        <v>90</v>
      </c>
      <c r="F1398" s="0" t="n">
        <v>30.76787277993823</v>
      </c>
      <c r="G1398" s="0" t="n">
        <v>31.98359301200442</v>
      </c>
      <c r="H1398" s="0" t="n">
        <v>7.892273904509692</v>
      </c>
      <c r="I1398" s="0" t="n">
        <v>1280</v>
      </c>
      <c r="J1398" s="0" t="n">
        <v>1370</v>
      </c>
      <c r="K1398" s="0" t="n">
        <v>7.960019125436826</v>
      </c>
    </row>
    <row r="1399">
      <c r="A1399" s="0" t="n">
        <v>57</v>
      </c>
      <c r="B1399" s="0" t="inlineStr">
        <is>
          <t>Starv</t>
        </is>
      </c>
      <c r="C1399" s="0" t="inlineStr">
        <is>
          <t>Town</t>
        </is>
      </c>
      <c r="D1399" s="0" t="inlineStr">
        <is>
          <t>Win</t>
        </is>
      </c>
      <c r="E1399" s="0" t="n">
        <v>92</v>
      </c>
      <c r="F1399" s="0" t="n">
        <v>27.22682344252752</v>
      </c>
      <c r="G1399" s="0" t="n">
        <v>28.46766828847279</v>
      </c>
      <c r="H1399" s="0" t="n">
        <v>7.97197559711999</v>
      </c>
      <c r="I1399" s="0" t="n">
        <v>1031</v>
      </c>
      <c r="J1399" s="0" t="n">
        <v>1123</v>
      </c>
      <c r="K1399" s="0" t="n">
        <v>8.041863986731167</v>
      </c>
    </row>
    <row r="1400">
      <c r="A1400" s="0" t="n">
        <v>57</v>
      </c>
      <c r="B1400" s="0" t="inlineStr">
        <is>
          <t>Whyin</t>
        </is>
      </c>
      <c r="C1400" s="0" t="inlineStr">
        <is>
          <t>Town</t>
        </is>
      </c>
      <c r="D1400" s="0" t="inlineStr">
        <is>
          <t>Win</t>
        </is>
      </c>
      <c r="E1400" s="0" t="n">
        <v>91</v>
      </c>
      <c r="F1400" s="0" t="n">
        <v>24.80299390181282</v>
      </c>
      <c r="G1400" s="0" t="n">
        <v>26.03948495861405</v>
      </c>
      <c r="H1400" s="0" t="n">
        <v>7.9582256086067</v>
      </c>
      <c r="I1400" s="0" t="n">
        <v>868</v>
      </c>
      <c r="J1400" s="0" t="n">
        <v>959</v>
      </c>
      <c r="K1400" s="0" t="n">
        <v>8.027741040544152</v>
      </c>
    </row>
    <row r="1401">
      <c r="A1401" s="0" t="n">
        <v>56</v>
      </c>
      <c r="B1401" s="0" t="inlineStr">
        <is>
          <t>Asiansam</t>
        </is>
      </c>
      <c r="C1401" s="0" t="inlineStr">
        <is>
          <t>Mafia</t>
        </is>
      </c>
      <c r="D1401" s="0" t="inlineStr">
        <is>
          <t>Win</t>
        </is>
      </c>
      <c r="E1401" s="0" t="n">
        <v>78</v>
      </c>
      <c r="F1401" s="0" t="n">
        <v>24.87265020674563</v>
      </c>
      <c r="G1401" s="0" t="n">
        <v>25.90827920560666</v>
      </c>
      <c r="H1401" s="0" t="n">
        <v>8.099283255067704</v>
      </c>
      <c r="I1401" s="0" t="n">
        <v>858</v>
      </c>
      <c r="J1401" s="0" t="n">
        <v>936</v>
      </c>
      <c r="K1401" s="0" t="n">
        <v>8.171778791428862</v>
      </c>
    </row>
    <row r="1402">
      <c r="A1402" s="0" t="n">
        <v>56</v>
      </c>
      <c r="B1402" s="0" t="inlineStr">
        <is>
          <t>Whyin</t>
        </is>
      </c>
      <c r="C1402" s="0" t="inlineStr">
        <is>
          <t>Mafia</t>
        </is>
      </c>
      <c r="D1402" s="0" t="inlineStr">
        <is>
          <t>Win</t>
        </is>
      </c>
      <c r="E1402" s="0" t="n">
        <v>77</v>
      </c>
      <c r="F1402" s="0" t="n">
        <v>23.78591012067744</v>
      </c>
      <c r="G1402" s="0" t="n">
        <v>24.80299390181282</v>
      </c>
      <c r="H1402" s="0" t="n">
        <v>8.027741040544152</v>
      </c>
      <c r="I1402" s="0" t="n">
        <v>791</v>
      </c>
      <c r="J1402" s="0" t="n">
        <v>868</v>
      </c>
      <c r="K1402" s="0" t="n">
        <v>8.098270368906132</v>
      </c>
    </row>
    <row r="1403">
      <c r="A1403" s="0" t="n">
        <v>56</v>
      </c>
      <c r="B1403" s="0" t="inlineStr">
        <is>
          <t>Xcync</t>
        </is>
      </c>
      <c r="C1403" s="0" t="inlineStr">
        <is>
          <t>Mafia</t>
        </is>
      </c>
      <c r="D1403" s="0" t="inlineStr">
        <is>
          <t>Win</t>
        </is>
      </c>
      <c r="E1403" s="0" t="n">
        <v>71</v>
      </c>
      <c r="F1403" s="0" t="n">
        <v>26.27450917288218</v>
      </c>
      <c r="G1403" s="0" t="n">
        <v>27.22258840732981</v>
      </c>
      <c r="H1403" s="0" t="n">
        <v>7.755314997307237</v>
      </c>
      <c r="I1403" s="0" t="n">
        <v>989</v>
      </c>
      <c r="J1403" s="0" t="n">
        <v>1060</v>
      </c>
      <c r="K1403" s="0" t="n">
        <v>7.818686769266078</v>
      </c>
    </row>
    <row r="1404">
      <c r="A1404" s="0" t="n">
        <v>56</v>
      </c>
      <c r="B1404" s="0" t="inlineStr">
        <is>
          <t>Kwix</t>
        </is>
      </c>
      <c r="C1404" s="0" t="inlineStr">
        <is>
          <t>Town</t>
        </is>
      </c>
      <c r="D1404" s="0" t="inlineStr">
        <is>
          <t>Loss</t>
        </is>
      </c>
      <c r="E1404" s="0" t="n">
        <v>-61</v>
      </c>
      <c r="F1404" s="0" t="n">
        <v>22.86013955464754</v>
      </c>
      <c r="G1404" s="0" t="n">
        <v>21.85836983923886</v>
      </c>
      <c r="H1404" s="0" t="n">
        <v>7.968143407748477</v>
      </c>
      <c r="I1404" s="0" t="n">
        <v>735</v>
      </c>
      <c r="J1404" s="0" t="n">
        <v>674</v>
      </c>
      <c r="K1404" s="0" t="n">
        <v>8.0370625919017</v>
      </c>
    </row>
    <row r="1405">
      <c r="A1405" s="0" t="n">
        <v>56</v>
      </c>
      <c r="B1405" s="0" t="inlineStr">
        <is>
          <t>Noah</t>
        </is>
      </c>
      <c r="C1405" s="0" t="inlineStr">
        <is>
          <t>Town</t>
        </is>
      </c>
      <c r="D1405" s="0" t="inlineStr">
        <is>
          <t>Loss</t>
        </is>
      </c>
      <c r="E1405" s="0" t="n">
        <v>-62</v>
      </c>
      <c r="F1405" s="0" t="n">
        <v>23.56588481013715</v>
      </c>
      <c r="G1405" s="0" t="n">
        <v>22.55023318311693</v>
      </c>
      <c r="H1405" s="0" t="n">
        <v>8.022187678613625</v>
      </c>
      <c r="I1405" s="0" t="n">
        <v>777</v>
      </c>
      <c r="J1405" s="0" t="n">
        <v>715</v>
      </c>
      <c r="K1405" s="0" t="n">
        <v>8.09256590934549</v>
      </c>
    </row>
    <row r="1406">
      <c r="A1406" s="0" t="n">
        <v>56</v>
      </c>
      <c r="B1406" s="0" t="inlineStr">
        <is>
          <t>Vandy</t>
        </is>
      </c>
      <c r="C1406" s="0" t="inlineStr">
        <is>
          <t>Town</t>
        </is>
      </c>
      <c r="D1406" s="0" t="inlineStr">
        <is>
          <t>Loss</t>
        </is>
      </c>
      <c r="E1406" s="0" t="n">
        <v>-65</v>
      </c>
      <c r="F1406" s="0" t="n">
        <v>25</v>
      </c>
      <c r="G1406" s="0" t="n">
        <v>23.92302403775808</v>
      </c>
      <c r="H1406" s="0" t="n">
        <v>8.256390386730793</v>
      </c>
      <c r="I1406" s="0" t="n">
        <v>850</v>
      </c>
      <c r="J1406" s="0" t="n">
        <v>785</v>
      </c>
      <c r="K1406" s="0" t="n">
        <v>8.333333333333334</v>
      </c>
    </row>
    <row r="1407">
      <c r="A1407" s="0" t="n">
        <v>56</v>
      </c>
      <c r="B1407" s="0" t="inlineStr">
        <is>
          <t>Kny</t>
        </is>
      </c>
      <c r="C1407" s="0" t="inlineStr">
        <is>
          <t>Town</t>
        </is>
      </c>
      <c r="D1407" s="0" t="inlineStr">
        <is>
          <t>Loss</t>
        </is>
      </c>
      <c r="E1407" s="0" t="n">
        <v>-63</v>
      </c>
      <c r="F1407" s="0" t="n">
        <v>27.3948181842158</v>
      </c>
      <c r="G1407" s="0" t="n">
        <v>26.35859270979186</v>
      </c>
      <c r="H1407" s="0" t="n">
        <v>8.101573021257703</v>
      </c>
      <c r="I1407" s="0" t="n">
        <v>1029</v>
      </c>
      <c r="J1407" s="0" t="n">
        <v>966</v>
      </c>
      <c r="K1407" s="0" t="n">
        <v>8.174132092868723</v>
      </c>
    </row>
    <row r="1408">
      <c r="A1408" s="0" t="n">
        <v>56</v>
      </c>
      <c r="B1408" s="0" t="inlineStr">
        <is>
          <t>Streety</t>
        </is>
      </c>
      <c r="C1408" s="0" t="inlineStr">
        <is>
          <t>Town</t>
        </is>
      </c>
      <c r="D1408" s="0" t="inlineStr">
        <is>
          <t>Loss</t>
        </is>
      </c>
      <c r="E1408" s="0" t="n">
        <v>-63</v>
      </c>
      <c r="F1408" s="0" t="n">
        <v>27.33901979226428</v>
      </c>
      <c r="G1408" s="0" t="n">
        <v>26.30200674069046</v>
      </c>
      <c r="H1408" s="0" t="n">
        <v>8.104595327676016</v>
      </c>
      <c r="I1408" s="0" t="n">
        <v>1025</v>
      </c>
      <c r="J1408" s="0" t="n">
        <v>962</v>
      </c>
      <c r="K1408" s="0" t="n">
        <v>8.177238318380452</v>
      </c>
    </row>
    <row r="1409">
      <c r="A1409" s="0" t="n">
        <v>56</v>
      </c>
      <c r="B1409" s="0" t="inlineStr">
        <is>
          <t>Carson</t>
        </is>
      </c>
      <c r="C1409" s="0" t="inlineStr">
        <is>
          <t>Town</t>
        </is>
      </c>
      <c r="D1409" s="0" t="inlineStr">
        <is>
          <t>Loss</t>
        </is>
      </c>
      <c r="E1409" s="0" t="n">
        <v>-58</v>
      </c>
      <c r="F1409" s="0" t="n">
        <v>27.35294555050987</v>
      </c>
      <c r="G1409" s="0" t="n">
        <v>26.40217859242182</v>
      </c>
      <c r="H1409" s="0" t="n">
        <v>7.766117569623248</v>
      </c>
      <c r="I1409" s="0" t="n">
        <v>1061</v>
      </c>
      <c r="J1409" s="0" t="n">
        <v>1003</v>
      </c>
      <c r="K1409" s="0" t="n">
        <v>7.829763390671983</v>
      </c>
    </row>
    <row r="1410">
      <c r="A1410" s="0" t="n">
        <v>56</v>
      </c>
      <c r="B1410" s="0" t="inlineStr">
        <is>
          <t>Chipper</t>
        </is>
      </c>
      <c r="C1410" s="0" t="inlineStr">
        <is>
          <t>Town</t>
        </is>
      </c>
      <c r="D1410" s="0" t="inlineStr">
        <is>
          <t>Loss</t>
        </is>
      </c>
      <c r="E1410" s="0" t="n">
        <v>-61</v>
      </c>
      <c r="F1410" s="0" t="n">
        <v>23.4385235170506</v>
      </c>
      <c r="G1410" s="0" t="n">
        <v>22.43255315101105</v>
      </c>
      <c r="H1410" s="0" t="n">
        <v>7.984538565610882</v>
      </c>
      <c r="I1410" s="0" t="n">
        <v>772</v>
      </c>
      <c r="J1410" s="0" t="n">
        <v>711</v>
      </c>
      <c r="K1410" s="0" t="n">
        <v>8.05389819264767</v>
      </c>
    </row>
    <row r="1411">
      <c r="A1411" s="0" t="n">
        <v>56</v>
      </c>
      <c r="B1411" s="0" t="inlineStr">
        <is>
          <t>Nick</t>
        </is>
      </c>
      <c r="C1411" s="0" t="inlineStr">
        <is>
          <t>Town</t>
        </is>
      </c>
      <c r="D1411" s="0" t="inlineStr">
        <is>
          <t>Loss</t>
        </is>
      </c>
      <c r="E1411" s="0" t="n">
        <v>-65</v>
      </c>
      <c r="F1411" s="0" t="n">
        <v>25</v>
      </c>
      <c r="G1411" s="0" t="n">
        <v>23.92302403775808</v>
      </c>
      <c r="H1411" s="0" t="n">
        <v>8.256390386730793</v>
      </c>
      <c r="I1411" s="0" t="n">
        <v>850</v>
      </c>
      <c r="J1411" s="0" t="n">
        <v>785</v>
      </c>
      <c r="K1411" s="0" t="n">
        <v>8.333333333333334</v>
      </c>
    </row>
    <row r="1412">
      <c r="A1412" s="0" t="n">
        <v>56</v>
      </c>
      <c r="B1412" s="0" t="inlineStr">
        <is>
          <t>Josh</t>
        </is>
      </c>
      <c r="C1412" s="0" t="inlineStr">
        <is>
          <t>Town</t>
        </is>
      </c>
      <c r="D1412" s="0" t="inlineStr">
        <is>
          <t>Loss</t>
        </is>
      </c>
      <c r="E1412" s="0" t="n">
        <v>-62</v>
      </c>
      <c r="F1412" s="0" t="n">
        <v>26.42629986330529</v>
      </c>
      <c r="G1412" s="0" t="n">
        <v>25.40921608216991</v>
      </c>
      <c r="H1412" s="0" t="n">
        <v>8.027741040544152</v>
      </c>
      <c r="I1412" s="0" t="n">
        <v>971</v>
      </c>
      <c r="J1412" s="0" t="n">
        <v>909</v>
      </c>
      <c r="K1412" s="0" t="n">
        <v>8.098270368906132</v>
      </c>
    </row>
    <row r="1413">
      <c r="A1413" s="0" t="n">
        <v>56</v>
      </c>
      <c r="B1413" s="0" t="inlineStr">
        <is>
          <t>Rick</t>
        </is>
      </c>
      <c r="C1413" s="0" t="inlineStr">
        <is>
          <t>Town</t>
        </is>
      </c>
      <c r="D1413" s="0" t="inlineStr">
        <is>
          <t>Loss</t>
        </is>
      </c>
      <c r="E1413" s="0" t="n">
        <v>-63</v>
      </c>
      <c r="F1413" s="0" t="n">
        <v>27.32970971598336</v>
      </c>
      <c r="G1413" s="0" t="n">
        <v>26.29276936079681</v>
      </c>
      <c r="H1413" s="0" t="n">
        <v>8.104316407990845</v>
      </c>
      <c r="I1413" s="0" t="n">
        <v>1024</v>
      </c>
      <c r="J1413" s="0" t="n">
        <v>961</v>
      </c>
      <c r="K1413" s="0" t="n">
        <v>8.176951651300801</v>
      </c>
    </row>
    <row r="1414">
      <c r="A1414" s="0" t="n">
        <v>55</v>
      </c>
      <c r="B1414" s="0" t="inlineStr">
        <is>
          <t>Badpants</t>
        </is>
      </c>
      <c r="C1414" s="0" t="inlineStr">
        <is>
          <t>Mafia</t>
        </is>
      </c>
      <c r="D1414" s="0" t="inlineStr">
        <is>
          <t>Loss</t>
        </is>
      </c>
      <c r="E1414" s="0" t="n">
        <v>-67</v>
      </c>
      <c r="F1414" s="0" t="n">
        <v>22.44449428505439</v>
      </c>
      <c r="G1414" s="0" t="n">
        <v>21.34044591250904</v>
      </c>
      <c r="H1414" s="0" t="n">
        <v>7.9081159152105</v>
      </c>
      <c r="I1414" s="0" t="n">
        <v>712</v>
      </c>
      <c r="J1414" s="0" t="n">
        <v>645</v>
      </c>
      <c r="K1414" s="0" t="n">
        <v>7.979024795467454</v>
      </c>
    </row>
    <row r="1415">
      <c r="A1415" s="0" t="n">
        <v>55</v>
      </c>
      <c r="B1415" s="0" t="inlineStr">
        <is>
          <t>Boobles</t>
        </is>
      </c>
      <c r="C1415" s="0" t="inlineStr">
        <is>
          <t>Mafia</t>
        </is>
      </c>
      <c r="D1415" s="0" t="inlineStr">
        <is>
          <t>Loss</t>
        </is>
      </c>
      <c r="E1415" s="0" t="n">
        <v>-69</v>
      </c>
      <c r="F1415" s="0" t="n">
        <v>25.52081143164808</v>
      </c>
      <c r="G1415" s="0" t="n">
        <v>24.40078971238016</v>
      </c>
      <c r="H1415" s="0" t="n">
        <v>7.96407048323433</v>
      </c>
      <c r="I1415" s="0" t="n">
        <v>916</v>
      </c>
      <c r="J1415" s="0" t="n">
        <v>847</v>
      </c>
      <c r="K1415" s="0" t="n">
        <v>8.036546694597067</v>
      </c>
    </row>
    <row r="1416">
      <c r="A1416" s="0" t="n">
        <v>55</v>
      </c>
      <c r="B1416" s="0" t="inlineStr">
        <is>
          <t>Happymeal</t>
        </is>
      </c>
      <c r="C1416" s="0" t="inlineStr">
        <is>
          <t>Mafia</t>
        </is>
      </c>
      <c r="D1416" s="0" t="inlineStr">
        <is>
          <t>Loss</t>
        </is>
      </c>
      <c r="E1416" s="0" t="n">
        <v>-70</v>
      </c>
      <c r="F1416" s="0" t="n">
        <v>26.37433781264182</v>
      </c>
      <c r="G1416" s="0" t="n">
        <v>25.23329671980362</v>
      </c>
      <c r="H1416" s="0" t="n">
        <v>8.0370625919017</v>
      </c>
      <c r="I1416" s="0" t="n">
        <v>966</v>
      </c>
      <c r="J1416" s="0" t="n">
        <v>896</v>
      </c>
      <c r="K1416" s="0" t="n">
        <v>8.111618407565944</v>
      </c>
    </row>
    <row r="1417">
      <c r="A1417" s="0" t="n">
        <v>55</v>
      </c>
      <c r="B1417" s="0" t="inlineStr">
        <is>
          <t>Starv</t>
        </is>
      </c>
      <c r="C1417" s="0" t="inlineStr">
        <is>
          <t>Town</t>
        </is>
      </c>
      <c r="D1417" s="0" t="inlineStr">
        <is>
          <t>Win</t>
        </is>
      </c>
      <c r="E1417" s="0" t="n">
        <v>85</v>
      </c>
      <c r="F1417" s="0" t="n">
        <v>26.08439245807387</v>
      </c>
      <c r="G1417" s="0" t="n">
        <v>27.22682344252752</v>
      </c>
      <c r="H1417" s="0" t="n">
        <v>8.041863986731167</v>
      </c>
      <c r="I1417" s="0" t="n">
        <v>946</v>
      </c>
      <c r="J1417" s="0" t="n">
        <v>1031</v>
      </c>
      <c r="K1417" s="0" t="n">
        <v>8.116557998136628</v>
      </c>
    </row>
    <row r="1418">
      <c r="A1418" s="0" t="n">
        <v>55</v>
      </c>
      <c r="B1418" s="0" t="inlineStr">
        <is>
          <t>Xcync</t>
        </is>
      </c>
      <c r="C1418" s="0" t="inlineStr">
        <is>
          <t>Town</t>
        </is>
      </c>
      <c r="D1418" s="0" t="inlineStr">
        <is>
          <t>Win</t>
        </is>
      </c>
      <c r="E1418" s="0" t="n">
        <v>80</v>
      </c>
      <c r="F1418" s="0" t="n">
        <v>25.19573880582102</v>
      </c>
      <c r="G1418" s="0" t="n">
        <v>26.27450917288218</v>
      </c>
      <c r="H1418" s="0" t="n">
        <v>7.818686769266078</v>
      </c>
      <c r="I1418" s="0" t="n">
        <v>909</v>
      </c>
      <c r="J1418" s="0" t="n">
        <v>989</v>
      </c>
      <c r="K1418" s="0" t="n">
        <v>7.887138525710663</v>
      </c>
    </row>
    <row r="1419">
      <c r="A1419" s="0" t="n">
        <v>55</v>
      </c>
      <c r="B1419" s="0" t="inlineStr">
        <is>
          <t>Kny</t>
        </is>
      </c>
      <c r="C1419" s="0" t="inlineStr">
        <is>
          <t>Town</t>
        </is>
      </c>
      <c r="D1419" s="0" t="inlineStr">
        <is>
          <t>Win</t>
        </is>
      </c>
      <c r="E1419" s="0" t="n">
        <v>88</v>
      </c>
      <c r="F1419" s="0" t="n">
        <v>26.21374630579383</v>
      </c>
      <c r="G1419" s="0" t="n">
        <v>27.3948181842158</v>
      </c>
      <c r="H1419" s="0" t="n">
        <v>8.174132092868723</v>
      </c>
      <c r="I1419" s="0" t="n">
        <v>941</v>
      </c>
      <c r="J1419" s="0" t="n">
        <v>1029</v>
      </c>
      <c r="K1419" s="0" t="n">
        <v>8.252701796113667</v>
      </c>
    </row>
    <row r="1420">
      <c r="A1420" s="0" t="n">
        <v>55</v>
      </c>
      <c r="B1420" s="0" t="inlineStr">
        <is>
          <t>Kwix</t>
        </is>
      </c>
      <c r="C1420" s="0" t="inlineStr">
        <is>
          <t>Town</t>
        </is>
      </c>
      <c r="D1420" s="0" t="inlineStr">
        <is>
          <t>Win</t>
        </is>
      </c>
      <c r="E1420" s="0" t="n">
        <v>85</v>
      </c>
      <c r="F1420" s="0" t="n">
        <v>21.71909846180935</v>
      </c>
      <c r="G1420" s="0" t="n">
        <v>22.86013955464754</v>
      </c>
      <c r="H1420" s="0" t="n">
        <v>8.0370625919017</v>
      </c>
      <c r="I1420" s="0" t="n">
        <v>650</v>
      </c>
      <c r="J1420" s="0" t="n">
        <v>735</v>
      </c>
      <c r="K1420" s="0" t="n">
        <v>8.111618407565944</v>
      </c>
    </row>
    <row r="1421">
      <c r="A1421" s="0" t="n">
        <v>55</v>
      </c>
      <c r="B1421" s="0" t="inlineStr">
        <is>
          <t>Lou</t>
        </is>
      </c>
      <c r="C1421" s="0" t="inlineStr">
        <is>
          <t>Town</t>
        </is>
      </c>
      <c r="D1421" s="0" t="inlineStr">
        <is>
          <t>Win</t>
        </is>
      </c>
      <c r="E1421" s="0" t="n">
        <v>79</v>
      </c>
      <c r="F1421" s="0" t="n">
        <v>24.72427798005595</v>
      </c>
      <c r="G1421" s="0" t="n">
        <v>25.7898000000462</v>
      </c>
      <c r="H1421" s="0" t="n">
        <v>7.771374814667183</v>
      </c>
      <c r="I1421" s="0" t="n">
        <v>882</v>
      </c>
      <c r="J1421" s="0" t="n">
        <v>961</v>
      </c>
      <c r="K1421" s="0" t="n">
        <v>7.838550219561619</v>
      </c>
    </row>
    <row r="1422">
      <c r="A1422" s="0" t="n">
        <v>55</v>
      </c>
      <c r="B1422" s="0" t="inlineStr">
        <is>
          <t>Machop</t>
        </is>
      </c>
      <c r="C1422" s="0" t="inlineStr">
        <is>
          <t>Town</t>
        </is>
      </c>
      <c r="D1422" s="0" t="inlineStr">
        <is>
          <t>Win</t>
        </is>
      </c>
      <c r="E1422" s="0" t="n">
        <v>81</v>
      </c>
      <c r="F1422" s="0" t="n">
        <v>29.37939912801654</v>
      </c>
      <c r="G1422" s="0" t="n">
        <v>30.46412141978057</v>
      </c>
      <c r="H1422" s="0" t="n">
        <v>7.839842294724734</v>
      </c>
      <c r="I1422" s="0" t="n">
        <v>1191</v>
      </c>
      <c r="J1422" s="0" t="n">
        <v>1272</v>
      </c>
      <c r="K1422" s="0" t="n">
        <v>7.908870030800052</v>
      </c>
    </row>
    <row r="1423">
      <c r="A1423" s="0" t="n">
        <v>55</v>
      </c>
      <c r="B1423" s="0" t="inlineStr">
        <is>
          <t>Rick</t>
        </is>
      </c>
      <c r="C1423" s="0" t="inlineStr">
        <is>
          <t>Town</t>
        </is>
      </c>
      <c r="D1423" s="0" t="inlineStr">
        <is>
          <t>Win</t>
        </is>
      </c>
      <c r="E1423" s="0" t="n">
        <v>88</v>
      </c>
      <c r="F1423" s="0" t="n">
        <v>26.14780671686747</v>
      </c>
      <c r="G1423" s="0" t="n">
        <v>27.32970971598336</v>
      </c>
      <c r="H1423" s="0" t="n">
        <v>8.176951651300801</v>
      </c>
      <c r="I1423" s="0" t="n">
        <v>936</v>
      </c>
      <c r="J1423" s="0" t="n">
        <v>1024</v>
      </c>
      <c r="K1423" s="0" t="n">
        <v>8.255605426222679</v>
      </c>
    </row>
    <row r="1424">
      <c r="A1424" s="0" t="n">
        <v>55</v>
      </c>
      <c r="B1424" s="0" t="inlineStr">
        <is>
          <t>Chipper</t>
        </is>
      </c>
      <c r="C1424" s="0" t="inlineStr">
        <is>
          <t>Town</t>
        </is>
      </c>
      <c r="D1424" s="0" t="inlineStr">
        <is>
          <t>Win</t>
        </is>
      </c>
      <c r="E1424" s="0" t="n">
        <v>85</v>
      </c>
      <c r="F1424" s="0" t="n">
        <v>22.29260497806303</v>
      </c>
      <c r="G1424" s="0" t="n">
        <v>23.4385235170506</v>
      </c>
      <c r="H1424" s="0" t="n">
        <v>8.05389819264767</v>
      </c>
      <c r="I1424" s="0" t="n">
        <v>687</v>
      </c>
      <c r="J1424" s="0" t="n">
        <v>772</v>
      </c>
      <c r="K1424" s="0" t="n">
        <v>8.128939340531547</v>
      </c>
    </row>
    <row r="1425">
      <c r="A1425" s="0" t="n">
        <v>55</v>
      </c>
      <c r="B1425" s="0" t="inlineStr">
        <is>
          <t>Brownkow</t>
        </is>
      </c>
      <c r="C1425" s="0" t="inlineStr">
        <is>
          <t>Town</t>
        </is>
      </c>
      <c r="D1425" s="0" t="inlineStr">
        <is>
          <t>Win</t>
        </is>
      </c>
      <c r="E1425" s="0" t="n">
        <v>84</v>
      </c>
      <c r="F1425" s="0" t="n">
        <v>27.9159031787762</v>
      </c>
      <c r="G1425" s="0" t="n">
        <v>29.03645276546946</v>
      </c>
      <c r="H1425" s="0" t="n">
        <v>7.965912381932539</v>
      </c>
      <c r="I1425" s="0" t="n">
        <v>1078</v>
      </c>
      <c r="J1425" s="0" t="n">
        <v>1162</v>
      </c>
      <c r="K1425" s="0" t="n">
        <v>8.038440581159266</v>
      </c>
    </row>
    <row r="1426">
      <c r="A1426" s="0" t="n">
        <v>55</v>
      </c>
      <c r="B1426" s="0" t="inlineStr">
        <is>
          <t>Insomnia</t>
        </is>
      </c>
      <c r="C1426" s="0" t="inlineStr">
        <is>
          <t>Town</t>
        </is>
      </c>
      <c r="D1426" s="0" t="inlineStr">
        <is>
          <t>Win</t>
        </is>
      </c>
      <c r="E1426" s="0" t="n">
        <v>90</v>
      </c>
      <c r="F1426" s="0" t="n">
        <v>25</v>
      </c>
      <c r="G1426" s="0" t="n">
        <v>26.20426011820405</v>
      </c>
      <c r="H1426" s="0" t="n">
        <v>8.252406902471025</v>
      </c>
      <c r="I1426" s="0" t="n">
        <v>850</v>
      </c>
      <c r="J1426" s="0" t="n">
        <v>940</v>
      </c>
      <c r="K1426" s="0" t="n">
        <v>8.333333333333334</v>
      </c>
    </row>
    <row r="1427">
      <c r="A1427" s="0" t="n">
        <v>54</v>
      </c>
      <c r="B1427" s="0" t="inlineStr">
        <is>
          <t>Lou</t>
        </is>
      </c>
      <c r="C1427" s="0" t="inlineStr">
        <is>
          <t>Mafia</t>
        </is>
      </c>
      <c r="D1427" s="0" t="inlineStr">
        <is>
          <t>Loss</t>
        </is>
      </c>
      <c r="E1427" s="0" t="n">
        <v>-67</v>
      </c>
      <c r="F1427" s="0" t="n">
        <v>25.81710650080454</v>
      </c>
      <c r="G1427" s="0" t="n">
        <v>24.72427798005595</v>
      </c>
      <c r="H1427" s="0" t="n">
        <v>7.838550219561619</v>
      </c>
      <c r="I1427" s="0" t="n">
        <v>949</v>
      </c>
      <c r="J1427" s="0" t="n">
        <v>882</v>
      </c>
      <c r="K1427" s="0" t="n">
        <v>7.907284120491588</v>
      </c>
    </row>
    <row r="1428">
      <c r="A1428" s="0" t="n">
        <v>54</v>
      </c>
      <c r="B1428" s="0" t="inlineStr">
        <is>
          <t>Kowa</t>
        </is>
      </c>
      <c r="C1428" s="0" t="inlineStr">
        <is>
          <t>Mafia</t>
        </is>
      </c>
      <c r="D1428" s="0" t="inlineStr">
        <is>
          <t>Loss</t>
        </is>
      </c>
      <c r="E1428" s="0" t="n">
        <v>-73</v>
      </c>
      <c r="F1428" s="0" t="n">
        <v>23.9827233529155</v>
      </c>
      <c r="G1428" s="0" t="n">
        <v>22.79023789615378</v>
      </c>
      <c r="H1428" s="0" t="n">
        <v>8.181519560248288</v>
      </c>
      <c r="I1428" s="0" t="n">
        <v>788</v>
      </c>
      <c r="J1428" s="0" t="n">
        <v>715</v>
      </c>
      <c r="K1428" s="0" t="n">
        <v>8.260013963879473</v>
      </c>
    </row>
    <row r="1429">
      <c r="A1429" s="0" t="n">
        <v>54</v>
      </c>
      <c r="B1429" s="0" t="inlineStr">
        <is>
          <t>Maz</t>
        </is>
      </c>
      <c r="C1429" s="0" t="inlineStr">
        <is>
          <t>Mafia</t>
        </is>
      </c>
      <c r="D1429" s="0" t="inlineStr">
        <is>
          <t>Loss</t>
        </is>
      </c>
      <c r="E1429" s="0" t="n">
        <v>-74</v>
      </c>
      <c r="F1429" s="0" t="n">
        <v>25</v>
      </c>
      <c r="G1429" s="0" t="n">
        <v>23.78625369420615</v>
      </c>
      <c r="H1429" s="0" t="n">
        <v>8.252701796113667</v>
      </c>
      <c r="I1429" s="0" t="n">
        <v>850</v>
      </c>
      <c r="J1429" s="0" t="n">
        <v>776</v>
      </c>
      <c r="K1429" s="0" t="n">
        <v>8.333333333333334</v>
      </c>
    </row>
    <row r="1430">
      <c r="A1430" s="0" t="n">
        <v>54</v>
      </c>
      <c r="B1430" s="0" t="inlineStr">
        <is>
          <t>Creatchee</t>
        </is>
      </c>
      <c r="C1430" s="0" t="inlineStr">
        <is>
          <t>Town</t>
        </is>
      </c>
      <c r="D1430" s="0" t="inlineStr">
        <is>
          <t>Win</t>
        </is>
      </c>
      <c r="E1430" s="0" t="n">
        <v>84</v>
      </c>
      <c r="F1430" s="0" t="n">
        <v>27.89156196356796</v>
      </c>
      <c r="G1430" s="0" t="n">
        <v>29.01781799763417</v>
      </c>
      <c r="H1430" s="0" t="n">
        <v>7.95536647528187</v>
      </c>
      <c r="I1430" s="0" t="n">
        <v>1078</v>
      </c>
      <c r="J1430" s="0" t="n">
        <v>1162</v>
      </c>
      <c r="K1430" s="0" t="n">
        <v>8.027326538468001</v>
      </c>
    </row>
    <row r="1431">
      <c r="A1431" s="0" t="n">
        <v>54</v>
      </c>
      <c r="B1431" s="0" t="inlineStr">
        <is>
          <t>Iln</t>
        </is>
      </c>
      <c r="C1431" s="0" t="inlineStr">
        <is>
          <t>Town</t>
        </is>
      </c>
      <c r="D1431" s="0" t="inlineStr">
        <is>
          <t>Win</t>
        </is>
      </c>
      <c r="E1431" s="0" t="n">
        <v>83</v>
      </c>
      <c r="F1431" s="0" t="n">
        <v>21.80364239579014</v>
      </c>
      <c r="G1431" s="0" t="n">
        <v>22.91686694513691</v>
      </c>
      <c r="H1431" s="0" t="n">
        <v>7.910047012508194</v>
      </c>
      <c r="I1431" s="0" t="n">
        <v>669</v>
      </c>
      <c r="J1431" s="0" t="n">
        <v>752</v>
      </c>
      <c r="K1431" s="0" t="n">
        <v>7.980743582695552</v>
      </c>
    </row>
    <row r="1432">
      <c r="A1432" s="0" t="n">
        <v>54</v>
      </c>
      <c r="B1432" s="0" t="inlineStr">
        <is>
          <t>Xcync</t>
        </is>
      </c>
      <c r="C1432" s="0" t="inlineStr">
        <is>
          <t>Town</t>
        </is>
      </c>
      <c r="D1432" s="0" t="inlineStr">
        <is>
          <t>Win</t>
        </is>
      </c>
      <c r="E1432" s="0" t="n">
        <v>83</v>
      </c>
      <c r="F1432" s="0" t="n">
        <v>24.08907107072616</v>
      </c>
      <c r="G1432" s="0" t="n">
        <v>25.19573880582102</v>
      </c>
      <c r="H1432" s="0" t="n">
        <v>7.887138525710663</v>
      </c>
      <c r="I1432" s="0" t="n">
        <v>826</v>
      </c>
      <c r="J1432" s="0" t="n">
        <v>909</v>
      </c>
      <c r="K1432" s="0" t="n">
        <v>7.957202162601736</v>
      </c>
    </row>
    <row r="1433">
      <c r="A1433" s="0" t="n">
        <v>54</v>
      </c>
      <c r="B1433" s="0" t="inlineStr">
        <is>
          <t>Boobles</t>
        </is>
      </c>
      <c r="C1433" s="0" t="inlineStr">
        <is>
          <t>Town</t>
        </is>
      </c>
      <c r="D1433" s="0" t="inlineStr">
        <is>
          <t>Win</t>
        </is>
      </c>
      <c r="E1433" s="0" t="n">
        <v>86</v>
      </c>
      <c r="F1433" s="0" t="n">
        <v>24.37101185693478</v>
      </c>
      <c r="G1433" s="0" t="n">
        <v>25.52081143164808</v>
      </c>
      <c r="H1433" s="0" t="n">
        <v>8.036546694597067</v>
      </c>
      <c r="I1433" s="0" t="n">
        <v>830</v>
      </c>
      <c r="J1433" s="0" t="n">
        <v>916</v>
      </c>
      <c r="K1433" s="0" t="n">
        <v>8.11080809963031</v>
      </c>
    </row>
    <row r="1434">
      <c r="A1434" s="0" t="n">
        <v>54</v>
      </c>
      <c r="B1434" s="0" t="inlineStr">
        <is>
          <t>Smit</t>
        </is>
      </c>
      <c r="C1434" s="0" t="inlineStr">
        <is>
          <t>Town</t>
        </is>
      </c>
      <c r="D1434" s="0" t="inlineStr">
        <is>
          <t>Win</t>
        </is>
      </c>
      <c r="E1434" s="0" t="n">
        <v>84</v>
      </c>
      <c r="F1434" s="0" t="n">
        <v>23.29813654530567</v>
      </c>
      <c r="G1434" s="0" t="n">
        <v>24.42780773906741</v>
      </c>
      <c r="H1434" s="0" t="n">
        <v>7.967197486026333</v>
      </c>
      <c r="I1434" s="0" t="n">
        <v>764</v>
      </c>
      <c r="J1434" s="0" t="n">
        <v>848</v>
      </c>
      <c r="K1434" s="0" t="n">
        <v>8.039489891316892</v>
      </c>
    </row>
    <row r="1435">
      <c r="A1435" s="0" t="n">
        <v>54</v>
      </c>
      <c r="B1435" s="0" t="inlineStr">
        <is>
          <t>Rocker</t>
        </is>
      </c>
      <c r="C1435" s="0" t="inlineStr">
        <is>
          <t>Town</t>
        </is>
      </c>
      <c r="D1435" s="0" t="inlineStr">
        <is>
          <t>Win</t>
        </is>
      </c>
      <c r="E1435" s="0" t="n">
        <v>84</v>
      </c>
      <c r="F1435" s="0" t="n">
        <v>29.6402743555785</v>
      </c>
      <c r="G1435" s="0" t="n">
        <v>30.76787277993823</v>
      </c>
      <c r="H1435" s="0" t="n">
        <v>7.960019125436826</v>
      </c>
      <c r="I1435" s="0" t="n">
        <v>1196</v>
      </c>
      <c r="J1435" s="0" t="n">
        <v>1280</v>
      </c>
      <c r="K1435" s="0" t="n">
        <v>8.032109761447527</v>
      </c>
    </row>
    <row r="1436">
      <c r="A1436" s="0" t="n">
        <v>54</v>
      </c>
      <c r="B1436" s="0" t="inlineStr">
        <is>
          <t>Streety</t>
        </is>
      </c>
      <c r="C1436" s="0" t="inlineStr">
        <is>
          <t>Town</t>
        </is>
      </c>
      <c r="D1436" s="0" t="inlineStr">
        <is>
          <t>Win</t>
        </is>
      </c>
      <c r="E1436" s="0" t="n">
        <v>89</v>
      </c>
      <c r="F1436" s="0" t="n">
        <v>26.14780671686747</v>
      </c>
      <c r="G1436" s="0" t="n">
        <v>27.33901979226428</v>
      </c>
      <c r="H1436" s="0" t="n">
        <v>8.177238318380452</v>
      </c>
      <c r="I1436" s="0" t="n">
        <v>936</v>
      </c>
      <c r="J1436" s="0" t="n">
        <v>1025</v>
      </c>
      <c r="K1436" s="0" t="n">
        <v>8.255605426222679</v>
      </c>
    </row>
    <row r="1437">
      <c r="A1437" s="0" t="n">
        <v>54</v>
      </c>
      <c r="B1437" s="0" t="inlineStr">
        <is>
          <t>Machop</t>
        </is>
      </c>
      <c r="C1437" s="0" t="inlineStr">
        <is>
          <t>Town</t>
        </is>
      </c>
      <c r="D1437" s="0" t="inlineStr">
        <is>
          <t>Win</t>
        </is>
      </c>
      <c r="E1437" s="0" t="n">
        <v>83</v>
      </c>
      <c r="F1437" s="0" t="n">
        <v>28.26651194985101</v>
      </c>
      <c r="G1437" s="0" t="n">
        <v>29.37939912801654</v>
      </c>
      <c r="H1437" s="0" t="n">
        <v>7.908870030800052</v>
      </c>
      <c r="I1437" s="0" t="n">
        <v>1108</v>
      </c>
      <c r="J1437" s="0" t="n">
        <v>1191</v>
      </c>
      <c r="K1437" s="0" t="n">
        <v>7.979533988588334</v>
      </c>
    </row>
    <row r="1438">
      <c r="A1438" s="0" t="n">
        <v>54</v>
      </c>
      <c r="B1438" s="0" t="inlineStr">
        <is>
          <t>Kny</t>
        </is>
      </c>
      <c r="C1438" s="0" t="inlineStr">
        <is>
          <t>Town</t>
        </is>
      </c>
      <c r="D1438" s="0" t="inlineStr">
        <is>
          <t>Win</t>
        </is>
      </c>
      <c r="E1438" s="0" t="n">
        <v>91</v>
      </c>
      <c r="F1438" s="0" t="n">
        <v>25</v>
      </c>
      <c r="G1438" s="0" t="n">
        <v>26.21374630579383</v>
      </c>
      <c r="H1438" s="0" t="n">
        <v>8.252701796113667</v>
      </c>
      <c r="I1438" s="0" t="n">
        <v>850</v>
      </c>
      <c r="J1438" s="0" t="n">
        <v>941</v>
      </c>
      <c r="K1438" s="0" t="n">
        <v>8.333333333333334</v>
      </c>
    </row>
    <row r="1439">
      <c r="A1439" s="0" t="n">
        <v>54</v>
      </c>
      <c r="B1439" s="0" t="inlineStr">
        <is>
          <t>Laur</t>
        </is>
      </c>
      <c r="C1439" s="0" t="inlineStr">
        <is>
          <t>Town</t>
        </is>
      </c>
      <c r="D1439" s="0" t="inlineStr">
        <is>
          <t>Win</t>
        </is>
      </c>
      <c r="E1439" s="0" t="n">
        <v>87</v>
      </c>
      <c r="F1439" s="0" t="n">
        <v>25.26109449018812</v>
      </c>
      <c r="G1439" s="0" t="n">
        <v>26.42877142704657</v>
      </c>
      <c r="H1439" s="0" t="n">
        <v>8.097604012892704</v>
      </c>
      <c r="I1439" s="0" t="n">
        <v>884</v>
      </c>
      <c r="J1439" s="0" t="n">
        <v>971</v>
      </c>
      <c r="K1439" s="0" t="n">
        <v>8.173628805614495</v>
      </c>
    </row>
    <row r="1440">
      <c r="A1440" s="0" t="n">
        <v>53</v>
      </c>
      <c r="B1440" s="0" t="inlineStr">
        <is>
          <t>Noah</t>
        </is>
      </c>
      <c r="C1440" s="0" t="inlineStr">
        <is>
          <t>Mafia</t>
        </is>
      </c>
      <c r="D1440" s="0" t="inlineStr">
        <is>
          <t>Loss</t>
        </is>
      </c>
      <c r="E1440" s="0" t="n">
        <v>-82</v>
      </c>
      <c r="F1440" s="0" t="n">
        <v>24.88418256227346</v>
      </c>
      <c r="G1440" s="0" t="n">
        <v>23.56588481013715</v>
      </c>
      <c r="H1440" s="0" t="n">
        <v>8.09256590934549</v>
      </c>
      <c r="I1440" s="0" t="n">
        <v>859</v>
      </c>
      <c r="J1440" s="0" t="n">
        <v>777</v>
      </c>
      <c r="K1440" s="0" t="n">
        <v>8.17232681500176</v>
      </c>
    </row>
    <row r="1441">
      <c r="A1441" s="0" t="n">
        <v>53</v>
      </c>
      <c r="B1441" s="0" t="inlineStr">
        <is>
          <t>Whyin</t>
        </is>
      </c>
      <c r="C1441" s="0" t="inlineStr">
        <is>
          <t>Mafia</t>
        </is>
      </c>
      <c r="D1441" s="0" t="inlineStr">
        <is>
          <t>Loss</t>
        </is>
      </c>
      <c r="E1441" s="0" t="n">
        <v>-82</v>
      </c>
      <c r="F1441" s="0" t="n">
        <v>25.10610499199138</v>
      </c>
      <c r="G1441" s="0" t="n">
        <v>23.78591012067744</v>
      </c>
      <c r="H1441" s="0" t="n">
        <v>8.098270368906132</v>
      </c>
      <c r="I1441" s="0" t="n">
        <v>873</v>
      </c>
      <c r="J1441" s="0" t="n">
        <v>791</v>
      </c>
      <c r="K1441" s="0" t="n">
        <v>8.178205844931039</v>
      </c>
    </row>
    <row r="1442">
      <c r="A1442" s="0" t="n">
        <v>53</v>
      </c>
      <c r="B1442" s="0" t="inlineStr">
        <is>
          <t>Plen</t>
        </is>
      </c>
      <c r="C1442" s="0" t="inlineStr">
        <is>
          <t>Mafia</t>
        </is>
      </c>
      <c r="D1442" s="0" t="inlineStr">
        <is>
          <t>Loss</t>
        </is>
      </c>
      <c r="E1442" s="0" t="n">
        <v>-80</v>
      </c>
      <c r="F1442" s="0" t="n">
        <v>26.98235727657135</v>
      </c>
      <c r="G1442" s="0" t="n">
        <v>25.68533294472574</v>
      </c>
      <c r="H1442" s="0" t="n">
        <v>8.028298079756741</v>
      </c>
      <c r="I1442" s="0" t="n">
        <v>1008</v>
      </c>
      <c r="J1442" s="0" t="n">
        <v>928</v>
      </c>
      <c r="K1442" s="0" t="n">
        <v>8.106110107624671</v>
      </c>
    </row>
    <row r="1443">
      <c r="A1443" s="0" t="n">
        <v>53</v>
      </c>
      <c r="B1443" s="0" t="inlineStr">
        <is>
          <t>Carson</t>
        </is>
      </c>
      <c r="C1443" s="0" t="inlineStr">
        <is>
          <t>Town</t>
        </is>
      </c>
      <c r="D1443" s="0" t="inlineStr">
        <is>
          <t>Win</t>
        </is>
      </c>
      <c r="E1443" s="0" t="n">
        <v>91</v>
      </c>
      <c r="F1443" s="0" t="n">
        <v>26.12048165895709</v>
      </c>
      <c r="G1443" s="0" t="n">
        <v>27.35294555050987</v>
      </c>
      <c r="H1443" s="0" t="n">
        <v>7.829763390671983</v>
      </c>
      <c r="I1443" s="0" t="n">
        <v>970</v>
      </c>
      <c r="J1443" s="0" t="n">
        <v>1061</v>
      </c>
      <c r="K1443" s="0" t="n">
        <v>7.90175951220681</v>
      </c>
    </row>
    <row r="1444">
      <c r="A1444" s="0" t="n">
        <v>53</v>
      </c>
      <c r="B1444" s="0" t="inlineStr">
        <is>
          <t>Rocker</t>
        </is>
      </c>
      <c r="C1444" s="0" t="inlineStr">
        <is>
          <t>Town</t>
        </is>
      </c>
      <c r="D1444" s="0" t="inlineStr">
        <is>
          <t>Win</t>
        </is>
      </c>
      <c r="E1444" s="0" t="n">
        <v>96</v>
      </c>
      <c r="F1444" s="0" t="n">
        <v>28.34199343165354</v>
      </c>
      <c r="G1444" s="0" t="n">
        <v>29.6402743555785</v>
      </c>
      <c r="H1444" s="0" t="n">
        <v>8.032109761447527</v>
      </c>
      <c r="I1444" s="0" t="n">
        <v>1100</v>
      </c>
      <c r="J1444" s="0" t="n">
        <v>1196</v>
      </c>
      <c r="K1444" s="0" t="n">
        <v>8.110036463126647</v>
      </c>
    </row>
    <row r="1445">
      <c r="A1445" s="0" t="n">
        <v>53</v>
      </c>
      <c r="B1445" s="0" t="inlineStr">
        <is>
          <t>Brownkow</t>
        </is>
      </c>
      <c r="C1445" s="0" t="inlineStr">
        <is>
          <t>Town</t>
        </is>
      </c>
      <c r="D1445" s="0" t="inlineStr">
        <is>
          <t>Win</t>
        </is>
      </c>
      <c r="E1445" s="0" t="n">
        <v>96</v>
      </c>
      <c r="F1445" s="0" t="n">
        <v>26.61553375595511</v>
      </c>
      <c r="G1445" s="0" t="n">
        <v>27.9159031787762</v>
      </c>
      <c r="H1445" s="0" t="n">
        <v>8.038440581159266</v>
      </c>
      <c r="I1445" s="0" t="n">
        <v>982</v>
      </c>
      <c r="J1445" s="0" t="n">
        <v>1078</v>
      </c>
      <c r="K1445" s="0" t="n">
        <v>8.116557998136628</v>
      </c>
    </row>
    <row r="1446">
      <c r="A1446" s="0" t="n">
        <v>53</v>
      </c>
      <c r="B1446" s="0" t="inlineStr">
        <is>
          <t>Josh</t>
        </is>
      </c>
      <c r="C1446" s="0" t="inlineStr">
        <is>
          <t>Town</t>
        </is>
      </c>
      <c r="D1446" s="0" t="inlineStr">
        <is>
          <t>Win</t>
        </is>
      </c>
      <c r="E1446" s="0" t="n">
        <v>98</v>
      </c>
      <c r="F1446" s="0" t="n">
        <v>25.10610499199137</v>
      </c>
      <c r="G1446" s="0" t="n">
        <v>26.42629986330529</v>
      </c>
      <c r="H1446" s="0" t="n">
        <v>8.098270368906132</v>
      </c>
      <c r="I1446" s="0" t="n">
        <v>873</v>
      </c>
      <c r="J1446" s="0" t="n">
        <v>971</v>
      </c>
      <c r="K1446" s="0" t="n">
        <v>8.178205844931039</v>
      </c>
    </row>
    <row r="1447">
      <c r="A1447" s="0" t="n">
        <v>53</v>
      </c>
      <c r="B1447" s="0" t="inlineStr">
        <is>
          <t>Xcync</t>
        </is>
      </c>
      <c r="C1447" s="0" t="inlineStr">
        <is>
          <t>Town</t>
        </is>
      </c>
      <c r="D1447" s="0" t="inlineStr">
        <is>
          <t>Win</t>
        </is>
      </c>
      <c r="E1447" s="0" t="n">
        <v>94</v>
      </c>
      <c r="F1447" s="0" t="n">
        <v>22.81536666870999</v>
      </c>
      <c r="G1447" s="0" t="n">
        <v>24.08907107072616</v>
      </c>
      <c r="H1447" s="0" t="n">
        <v>7.957202162601736</v>
      </c>
      <c r="I1447" s="0" t="n">
        <v>732</v>
      </c>
      <c r="J1447" s="0" t="n">
        <v>826</v>
      </c>
      <c r="K1447" s="0" t="n">
        <v>8.032896229918247</v>
      </c>
    </row>
    <row r="1448">
      <c r="A1448" s="0" t="n">
        <v>53</v>
      </c>
      <c r="B1448" s="0" t="inlineStr">
        <is>
          <t>Creatchee</t>
        </is>
      </c>
      <c r="C1448" s="0" t="inlineStr">
        <is>
          <t>Town</t>
        </is>
      </c>
      <c r="D1448" s="0" t="inlineStr">
        <is>
          <t>Win</t>
        </is>
      </c>
      <c r="E1448" s="0" t="n">
        <v>96</v>
      </c>
      <c r="F1448" s="0" t="n">
        <v>26.59485781527314</v>
      </c>
      <c r="G1448" s="0" t="n">
        <v>27.89156196356796</v>
      </c>
      <c r="H1448" s="0" t="n">
        <v>8.027326538468001</v>
      </c>
      <c r="I1448" s="0" t="n">
        <v>982</v>
      </c>
      <c r="J1448" s="0" t="n">
        <v>1078</v>
      </c>
      <c r="K1448" s="0" t="n">
        <v>8.105109356023426</v>
      </c>
    </row>
    <row r="1449">
      <c r="A1449" s="0" t="n">
        <v>53</v>
      </c>
      <c r="B1449" s="0" t="inlineStr">
        <is>
          <t>Mintt</t>
        </is>
      </c>
      <c r="C1449" s="0" t="inlineStr">
        <is>
          <t>Town</t>
        </is>
      </c>
      <c r="D1449" s="0" t="inlineStr">
        <is>
          <t>Win</t>
        </is>
      </c>
      <c r="E1449" s="0" t="n">
        <v>100</v>
      </c>
      <c r="F1449" s="0" t="n">
        <v>26.3740316284832</v>
      </c>
      <c r="G1449" s="0" t="n">
        <v>27.71735858822803</v>
      </c>
      <c r="H1449" s="0" t="n">
        <v>8.167479268856843</v>
      </c>
      <c r="I1449" s="0" t="n">
        <v>952</v>
      </c>
      <c r="J1449" s="0" t="n">
        <v>1052</v>
      </c>
      <c r="K1449" s="0" t="n">
        <v>8.249553462385428</v>
      </c>
    </row>
    <row r="1450">
      <c r="A1450" s="0" t="n">
        <v>53</v>
      </c>
      <c r="B1450" s="0" t="inlineStr">
        <is>
          <t>Svaan</t>
        </is>
      </c>
      <c r="C1450" s="0" t="inlineStr">
        <is>
          <t>Town</t>
        </is>
      </c>
      <c r="D1450" s="0" t="inlineStr">
        <is>
          <t>Win</t>
        </is>
      </c>
      <c r="E1450" s="0" t="n">
        <v>98</v>
      </c>
      <c r="F1450" s="0" t="n">
        <v>25.11581743772653</v>
      </c>
      <c r="G1450" s="0" t="n">
        <v>26.43411518986282</v>
      </c>
      <c r="H1450" s="0" t="n">
        <v>8.09256590934549</v>
      </c>
      <c r="I1450" s="0" t="n">
        <v>874</v>
      </c>
      <c r="J1450" s="0" t="n">
        <v>972</v>
      </c>
      <c r="K1450" s="0" t="n">
        <v>8.17232681500176</v>
      </c>
    </row>
    <row r="1451">
      <c r="A1451" s="0" t="n">
        <v>53</v>
      </c>
      <c r="B1451" s="0" t="inlineStr">
        <is>
          <t>Boobles</t>
        </is>
      </c>
      <c r="C1451" s="0" t="inlineStr">
        <is>
          <t>Town</t>
        </is>
      </c>
      <c r="D1451" s="0" t="inlineStr">
        <is>
          <t>Win</t>
        </is>
      </c>
      <c r="E1451" s="0" t="n">
        <v>98</v>
      </c>
      <c r="F1451" s="0" t="n">
        <v>23.04664225135815</v>
      </c>
      <c r="G1451" s="0" t="n">
        <v>24.37101185693478</v>
      </c>
      <c r="H1451" s="0" t="n">
        <v>8.11080809963031</v>
      </c>
      <c r="I1451" s="0" t="n">
        <v>732</v>
      </c>
      <c r="J1451" s="0" t="n">
        <v>830</v>
      </c>
      <c r="K1451" s="0" t="n">
        <v>8.1911281737538</v>
      </c>
    </row>
    <row r="1452">
      <c r="A1452" s="0" t="n">
        <v>53</v>
      </c>
      <c r="B1452" s="0" t="inlineStr">
        <is>
          <t>Rollo</t>
        </is>
      </c>
      <c r="C1452" s="0" t="inlineStr">
        <is>
          <t>Town</t>
        </is>
      </c>
      <c r="D1452" s="0" t="inlineStr">
        <is>
          <t>Win</t>
        </is>
      </c>
      <c r="E1452" s="0" t="n">
        <v>98</v>
      </c>
      <c r="F1452" s="0" t="n">
        <v>24.89389500800861</v>
      </c>
      <c r="G1452" s="0" t="n">
        <v>26.21408987932253</v>
      </c>
      <c r="H1452" s="0" t="n">
        <v>8.098270368906132</v>
      </c>
      <c r="I1452" s="0" t="n">
        <v>859</v>
      </c>
      <c r="J1452" s="0" t="n">
        <v>957</v>
      </c>
      <c r="K1452" s="0" t="n">
        <v>8.178205844931039</v>
      </c>
    </row>
    <row r="1453">
      <c r="A1453" s="0" t="n">
        <v>52</v>
      </c>
      <c r="B1453" s="0" t="inlineStr">
        <is>
          <t>Rollo</t>
        </is>
      </c>
      <c r="C1453" s="0" t="inlineStr">
        <is>
          <t>Mafia</t>
        </is>
      </c>
      <c r="D1453" s="0" t="inlineStr">
        <is>
          <t>Win</t>
        </is>
      </c>
      <c r="E1453" s="0" t="n">
        <v>85</v>
      </c>
      <c r="F1453" s="0" t="n">
        <v>23.76791797199388</v>
      </c>
      <c r="G1453" s="0" t="n">
        <v>24.89389500800861</v>
      </c>
      <c r="H1453" s="0" t="n">
        <v>8.178205844931039</v>
      </c>
      <c r="I1453" s="0" t="n">
        <v>774</v>
      </c>
      <c r="J1453" s="0" t="n">
        <v>859</v>
      </c>
      <c r="K1453" s="0" t="n">
        <v>8.25369722631245</v>
      </c>
    </row>
    <row r="1454">
      <c r="A1454" s="0" t="n">
        <v>52</v>
      </c>
      <c r="B1454" s="0" t="inlineStr">
        <is>
          <t>Streety</t>
        </is>
      </c>
      <c r="C1454" s="0" t="inlineStr">
        <is>
          <t>Mafia</t>
        </is>
      </c>
      <c r="D1454" s="0" t="inlineStr">
        <is>
          <t>Win</t>
        </is>
      </c>
      <c r="E1454" s="0" t="n">
        <v>86</v>
      </c>
      <c r="F1454" s="0" t="n">
        <v>25</v>
      </c>
      <c r="G1454" s="0" t="n">
        <v>26.14780671686747</v>
      </c>
      <c r="H1454" s="0" t="n">
        <v>8.255605426222679</v>
      </c>
      <c r="I1454" s="0" t="n">
        <v>850</v>
      </c>
      <c r="J1454" s="0" t="n">
        <v>936</v>
      </c>
      <c r="K1454" s="0" t="n">
        <v>8.333333333333334</v>
      </c>
    </row>
    <row r="1455">
      <c r="A1455" s="0" t="n">
        <v>52</v>
      </c>
      <c r="B1455" s="0" t="inlineStr">
        <is>
          <t>Rick</t>
        </is>
      </c>
      <c r="C1455" s="0" t="inlineStr">
        <is>
          <t>Mafia</t>
        </is>
      </c>
      <c r="D1455" s="0" t="inlineStr">
        <is>
          <t>Win</t>
        </is>
      </c>
      <c r="E1455" s="0" t="n">
        <v>86</v>
      </c>
      <c r="F1455" s="0" t="n">
        <v>25</v>
      </c>
      <c r="G1455" s="0" t="n">
        <v>26.14780671686747</v>
      </c>
      <c r="H1455" s="0" t="n">
        <v>8.255605426222679</v>
      </c>
      <c r="I1455" s="0" t="n">
        <v>850</v>
      </c>
      <c r="J1455" s="0" t="n">
        <v>936</v>
      </c>
      <c r="K1455" s="0" t="n">
        <v>8.333333333333334</v>
      </c>
    </row>
    <row r="1456">
      <c r="A1456" s="0" t="n">
        <v>52</v>
      </c>
      <c r="B1456" s="0" t="inlineStr">
        <is>
          <t>Josh</t>
        </is>
      </c>
      <c r="C1456" s="0" t="inlineStr">
        <is>
          <t>Town</t>
        </is>
      </c>
      <c r="D1456" s="0" t="inlineStr">
        <is>
          <t>Loss</t>
        </is>
      </c>
      <c r="E1456" s="0" t="n">
        <v>-69</v>
      </c>
      <c r="F1456" s="0" t="n">
        <v>26.23208202800611</v>
      </c>
      <c r="G1456" s="0" t="n">
        <v>25.10610499199137</v>
      </c>
      <c r="H1456" s="0" t="n">
        <v>8.178205844931039</v>
      </c>
      <c r="I1456" s="0" t="n">
        <v>942</v>
      </c>
      <c r="J1456" s="0" t="n">
        <v>873</v>
      </c>
      <c r="K1456" s="0" t="n">
        <v>8.25369722631245</v>
      </c>
    </row>
    <row r="1457">
      <c r="A1457" s="0" t="n">
        <v>52</v>
      </c>
      <c r="B1457" s="0" t="inlineStr">
        <is>
          <t>Iln</t>
        </is>
      </c>
      <c r="C1457" s="0" t="inlineStr">
        <is>
          <t>Town</t>
        </is>
      </c>
      <c r="D1457" s="0" t="inlineStr">
        <is>
          <t>Loss</t>
        </is>
      </c>
      <c r="E1457" s="0" t="n">
        <v>-65</v>
      </c>
      <c r="F1457" s="0" t="n">
        <v>22.87492973042209</v>
      </c>
      <c r="G1457" s="0" t="n">
        <v>21.80364239579014</v>
      </c>
      <c r="H1457" s="0" t="n">
        <v>7.980743582695552</v>
      </c>
      <c r="I1457" s="0" t="n">
        <v>734</v>
      </c>
      <c r="J1457" s="0" t="n">
        <v>669</v>
      </c>
      <c r="K1457" s="0" t="n">
        <v>8.050727459399669</v>
      </c>
    </row>
    <row r="1458">
      <c r="A1458" s="0" t="n">
        <v>52</v>
      </c>
      <c r="B1458" s="0" t="inlineStr">
        <is>
          <t>Smit</t>
        </is>
      </c>
      <c r="C1458" s="0" t="inlineStr">
        <is>
          <t>Town</t>
        </is>
      </c>
      <c r="D1458" s="0" t="inlineStr">
        <is>
          <t>Loss</t>
        </is>
      </c>
      <c r="E1458" s="0" t="n">
        <v>-67</v>
      </c>
      <c r="F1458" s="0" t="n">
        <v>24.38554423738156</v>
      </c>
      <c r="G1458" s="0" t="n">
        <v>23.29813654530567</v>
      </c>
      <c r="H1458" s="0" t="n">
        <v>8.039489891316892</v>
      </c>
      <c r="I1458" s="0" t="n">
        <v>831</v>
      </c>
      <c r="J1458" s="0" t="n">
        <v>764</v>
      </c>
      <c r="K1458" s="0" t="n">
        <v>8.11108283300832</v>
      </c>
    </row>
    <row r="1459">
      <c r="A1459" s="0" t="n">
        <v>52</v>
      </c>
      <c r="B1459" s="0" t="inlineStr">
        <is>
          <t>Carson</t>
        </is>
      </c>
      <c r="C1459" s="0" t="inlineStr">
        <is>
          <t>Town</t>
        </is>
      </c>
      <c r="D1459" s="0" t="inlineStr">
        <is>
          <t>Loss</t>
        </is>
      </c>
      <c r="E1459" s="0" t="n">
        <v>-65</v>
      </c>
      <c r="F1459" s="0" t="n">
        <v>27.17029524021596</v>
      </c>
      <c r="G1459" s="0" t="n">
        <v>26.12048165895709</v>
      </c>
      <c r="H1459" s="0" t="n">
        <v>7.90175951220681</v>
      </c>
      <c r="I1459" s="0" t="n">
        <v>1035</v>
      </c>
      <c r="J1459" s="0" t="n">
        <v>970</v>
      </c>
      <c r="K1459" s="0" t="n">
        <v>7.96961877765705</v>
      </c>
    </row>
    <row r="1460">
      <c r="A1460" s="0" t="n">
        <v>52</v>
      </c>
      <c r="B1460" s="0" t="inlineStr">
        <is>
          <t>Lou</t>
        </is>
      </c>
      <c r="C1460" s="0" t="inlineStr">
        <is>
          <t>Town</t>
        </is>
      </c>
      <c r="D1460" s="0" t="inlineStr">
        <is>
          <t>Loss</t>
        </is>
      </c>
      <c r="E1460" s="0" t="n">
        <v>-65</v>
      </c>
      <c r="F1460" s="0" t="n">
        <v>26.86841463092487</v>
      </c>
      <c r="G1460" s="0" t="n">
        <v>25.81710650080454</v>
      </c>
      <c r="H1460" s="0" t="n">
        <v>7.907284120491588</v>
      </c>
      <c r="I1460" s="0" t="n">
        <v>1014</v>
      </c>
      <c r="J1460" s="0" t="n">
        <v>949</v>
      </c>
      <c r="K1460" s="0" t="n">
        <v>7.975290557226088</v>
      </c>
    </row>
    <row r="1461">
      <c r="A1461" s="0" t="n">
        <v>52</v>
      </c>
      <c r="B1461" s="0" t="inlineStr">
        <is>
          <t>Siggy</t>
        </is>
      </c>
      <c r="C1461" s="0" t="inlineStr">
        <is>
          <t>Town</t>
        </is>
      </c>
      <c r="D1461" s="0" t="inlineStr">
        <is>
          <t>Loss</t>
        </is>
      </c>
      <c r="E1461" s="0" t="n">
        <v>-69</v>
      </c>
      <c r="F1461" s="0" t="n">
        <v>26.23208202800611</v>
      </c>
      <c r="G1461" s="0" t="n">
        <v>25.10610499199137</v>
      </c>
      <c r="H1461" s="0" t="n">
        <v>8.178205844931039</v>
      </c>
      <c r="I1461" s="0" t="n">
        <v>942</v>
      </c>
      <c r="J1461" s="0" t="n">
        <v>873</v>
      </c>
      <c r="K1461" s="0" t="n">
        <v>8.25369722631245</v>
      </c>
    </row>
    <row r="1462">
      <c r="A1462" s="0" t="n">
        <v>52</v>
      </c>
      <c r="B1462" s="0" t="inlineStr">
        <is>
          <t>Whyin</t>
        </is>
      </c>
      <c r="C1462" s="0" t="inlineStr">
        <is>
          <t>Town</t>
        </is>
      </c>
      <c r="D1462" s="0" t="inlineStr">
        <is>
          <t>Loss</t>
        </is>
      </c>
      <c r="E1462" s="0" t="n">
        <v>-69</v>
      </c>
      <c r="F1462" s="0" t="n">
        <v>26.23208202800611</v>
      </c>
      <c r="G1462" s="0" t="n">
        <v>25.10610499199138</v>
      </c>
      <c r="H1462" s="0" t="n">
        <v>8.178205844931039</v>
      </c>
      <c r="I1462" s="0" t="n">
        <v>942</v>
      </c>
      <c r="J1462" s="0" t="n">
        <v>873</v>
      </c>
      <c r="K1462" s="0" t="n">
        <v>8.25369722631245</v>
      </c>
    </row>
    <row r="1463">
      <c r="A1463" s="0" t="n">
        <v>52</v>
      </c>
      <c r="B1463" s="0" t="inlineStr">
        <is>
          <t>Lovekilling</t>
        </is>
      </c>
      <c r="C1463" s="0" t="inlineStr">
        <is>
          <t>Town</t>
        </is>
      </c>
      <c r="D1463" s="0" t="inlineStr">
        <is>
          <t>Loss</t>
        </is>
      </c>
      <c r="E1463" s="0" t="n">
        <v>-70</v>
      </c>
      <c r="F1463" s="0" t="n">
        <v>25</v>
      </c>
      <c r="G1463" s="0" t="n">
        <v>23.85219328313252</v>
      </c>
      <c r="H1463" s="0" t="n">
        <v>8.255605426222679</v>
      </c>
      <c r="I1463" s="0" t="n">
        <v>850</v>
      </c>
      <c r="J1463" s="0" t="n">
        <v>780</v>
      </c>
      <c r="K1463" s="0" t="n">
        <v>8.333333333333334</v>
      </c>
    </row>
    <row r="1464">
      <c r="A1464" s="0" t="n">
        <v>52</v>
      </c>
      <c r="B1464" s="0" t="inlineStr">
        <is>
          <t>Matt</t>
        </is>
      </c>
      <c r="C1464" s="0" t="inlineStr">
        <is>
          <t>Town</t>
        </is>
      </c>
      <c r="D1464" s="0" t="inlineStr">
        <is>
          <t>Loss</t>
        </is>
      </c>
      <c r="E1464" s="0" t="n">
        <v>-70</v>
      </c>
      <c r="F1464" s="0" t="n">
        <v>25</v>
      </c>
      <c r="G1464" s="0" t="n">
        <v>23.85219328313252</v>
      </c>
      <c r="H1464" s="0" t="n">
        <v>8.255605426222679</v>
      </c>
      <c r="I1464" s="0" t="n">
        <v>850</v>
      </c>
      <c r="J1464" s="0" t="n">
        <v>780</v>
      </c>
      <c r="K1464" s="0" t="n">
        <v>8.333333333333334</v>
      </c>
    </row>
    <row r="1465">
      <c r="A1465" s="0" t="n">
        <v>52</v>
      </c>
      <c r="B1465" s="0" t="inlineStr">
        <is>
          <t>Laur</t>
        </is>
      </c>
      <c r="C1465" s="0" t="inlineStr">
        <is>
          <t>Town</t>
        </is>
      </c>
      <c r="D1465" s="0" t="inlineStr">
        <is>
          <t>Loss</t>
        </is>
      </c>
      <c r="E1465" s="0" t="n">
        <v>-69</v>
      </c>
      <c r="F1465" s="0" t="n">
        <v>26.38578756551634</v>
      </c>
      <c r="G1465" s="0" t="n">
        <v>25.26109449018812</v>
      </c>
      <c r="H1465" s="0" t="n">
        <v>8.173628805614495</v>
      </c>
      <c r="I1465" s="0" t="n">
        <v>953</v>
      </c>
      <c r="J1465" s="0" t="n">
        <v>884</v>
      </c>
      <c r="K1465" s="0" t="n">
        <v>8.248989314103795</v>
      </c>
    </row>
    <row r="1466">
      <c r="A1466" s="0" t="n">
        <v>51</v>
      </c>
      <c r="B1466" s="0" t="inlineStr">
        <is>
          <t>Machop</t>
        </is>
      </c>
      <c r="C1466" s="0" t="inlineStr">
        <is>
          <t>Mafia</t>
        </is>
      </c>
      <c r="D1466" s="0" t="inlineStr">
        <is>
          <t>Win</t>
        </is>
      </c>
      <c r="E1466" s="0" t="n">
        <v>55</v>
      </c>
      <c r="F1466" s="0" t="n">
        <v>27.54035395785554</v>
      </c>
      <c r="G1466" s="0" t="n">
        <v>28.26651194985101</v>
      </c>
      <c r="H1466" s="0" t="n">
        <v>7.979533988588334</v>
      </c>
      <c r="I1466" s="0" t="n">
        <v>1053</v>
      </c>
      <c r="J1466" s="0" t="n">
        <v>1108</v>
      </c>
      <c r="K1466" s="0" t="n">
        <v>8.03825228826711</v>
      </c>
    </row>
    <row r="1467">
      <c r="A1467" s="0" t="n">
        <v>51</v>
      </c>
      <c r="B1467" s="0" t="inlineStr">
        <is>
          <t>Starv</t>
        </is>
      </c>
      <c r="C1467" s="0" t="inlineStr">
        <is>
          <t>Mafia</t>
        </is>
      </c>
      <c r="D1467" s="0" t="inlineStr">
        <is>
          <t>Win</t>
        </is>
      </c>
      <c r="E1467" s="0" t="n">
        <v>58</v>
      </c>
      <c r="F1467" s="0" t="n">
        <v>25.33268645993</v>
      </c>
      <c r="G1467" s="0" t="n">
        <v>26.08439245807387</v>
      </c>
      <c r="H1467" s="0" t="n">
        <v>8.116557998136628</v>
      </c>
      <c r="I1467" s="0" t="n">
        <v>888</v>
      </c>
      <c r="J1467" s="0" t="n">
        <v>946</v>
      </c>
      <c r="K1467" s="0" t="n">
        <v>8.17845412743468</v>
      </c>
    </row>
    <row r="1468">
      <c r="A1468" s="0" t="n">
        <v>51</v>
      </c>
      <c r="B1468" s="0" t="inlineStr">
        <is>
          <t>Rocker</t>
        </is>
      </c>
      <c r="C1468" s="0" t="inlineStr">
        <is>
          <t>Mafia</t>
        </is>
      </c>
      <c r="D1468" s="0" t="inlineStr">
        <is>
          <t>Win</t>
        </is>
      </c>
      <c r="E1468" s="0" t="n">
        <v>57</v>
      </c>
      <c r="F1468" s="0" t="n">
        <v>27.59151384926659</v>
      </c>
      <c r="G1468" s="0" t="n">
        <v>28.34199343165354</v>
      </c>
      <c r="H1468" s="0" t="n">
        <v>8.110036463126647</v>
      </c>
      <c r="I1468" s="0" t="n">
        <v>1043</v>
      </c>
      <c r="J1468" s="0" t="n">
        <v>1100</v>
      </c>
      <c r="K1468" s="0" t="n">
        <v>8.171778791428862</v>
      </c>
    </row>
    <row r="1469">
      <c r="A1469" s="0" t="n">
        <v>51</v>
      </c>
      <c r="B1469" s="0" t="inlineStr">
        <is>
          <t>Chester</t>
        </is>
      </c>
      <c r="C1469" s="0" t="inlineStr">
        <is>
          <t>Town</t>
        </is>
      </c>
      <c r="D1469" s="0" t="inlineStr">
        <is>
          <t>Loss</t>
        </is>
      </c>
      <c r="E1469" s="0" t="n">
        <v>-44</v>
      </c>
      <c r="F1469" s="0" t="n">
        <v>26.66744893052029</v>
      </c>
      <c r="G1469" s="0" t="n">
        <v>25.93031472364786</v>
      </c>
      <c r="H1469" s="0" t="n">
        <v>8.038707859731838</v>
      </c>
      <c r="I1469" s="0" t="n">
        <v>987</v>
      </c>
      <c r="J1469" s="0" t="n">
        <v>943</v>
      </c>
      <c r="K1469" s="0" t="n">
        <v>8.098784725230873</v>
      </c>
    </row>
    <row r="1470">
      <c r="A1470" s="0" t="n">
        <v>51</v>
      </c>
      <c r="B1470" s="0" t="inlineStr">
        <is>
          <t>Aipha</t>
        </is>
      </c>
      <c r="C1470" s="0" t="inlineStr">
        <is>
          <t>Town</t>
        </is>
      </c>
      <c r="D1470" s="0" t="inlineStr">
        <is>
          <t>Loss</t>
        </is>
      </c>
      <c r="E1470" s="0" t="n">
        <v>-46</v>
      </c>
      <c r="F1470" s="0" t="n">
        <v>26.38578756551634</v>
      </c>
      <c r="G1470" s="0" t="n">
        <v>25.621061403584</v>
      </c>
      <c r="H1470" s="0" t="n">
        <v>8.185452646390893</v>
      </c>
      <c r="I1470" s="0" t="n">
        <v>953</v>
      </c>
      <c r="J1470" s="0" t="n">
        <v>907</v>
      </c>
      <c r="K1470" s="0" t="n">
        <v>8.248989314103795</v>
      </c>
    </row>
    <row r="1471">
      <c r="A1471" s="0" t="n">
        <v>51</v>
      </c>
      <c r="B1471" s="0" t="inlineStr">
        <is>
          <t>Lou</t>
        </is>
      </c>
      <c r="C1471" s="0" t="inlineStr">
        <is>
          <t>Town</t>
        </is>
      </c>
      <c r="D1471" s="0" t="inlineStr">
        <is>
          <t>Loss</t>
        </is>
      </c>
      <c r="E1471" s="0" t="n">
        <v>-43</v>
      </c>
      <c r="F1471" s="0" t="n">
        <v>27.59378881366463</v>
      </c>
      <c r="G1471" s="0" t="n">
        <v>26.86841463092487</v>
      </c>
      <c r="H1471" s="0" t="n">
        <v>7.975290557226088</v>
      </c>
      <c r="I1471" s="0" t="n">
        <v>1057</v>
      </c>
      <c r="J1471" s="0" t="n">
        <v>1014</v>
      </c>
      <c r="K1471" s="0" t="n">
        <v>8.033912231886342</v>
      </c>
    </row>
    <row r="1472">
      <c r="A1472" s="0" t="n">
        <v>51</v>
      </c>
      <c r="B1472" s="0" t="inlineStr">
        <is>
          <t>Brownkow</t>
        </is>
      </c>
      <c r="C1472" s="0" t="inlineStr">
        <is>
          <t>Town</t>
        </is>
      </c>
      <c r="D1472" s="0" t="inlineStr">
        <is>
          <t>Loss</t>
        </is>
      </c>
      <c r="E1472" s="0" t="n">
        <v>-45</v>
      </c>
      <c r="F1472" s="0" t="n">
        <v>27.367239754099</v>
      </c>
      <c r="G1472" s="0" t="n">
        <v>26.61553375595511</v>
      </c>
      <c r="H1472" s="0" t="n">
        <v>8.116557998136628</v>
      </c>
      <c r="I1472" s="0" t="n">
        <v>1027</v>
      </c>
      <c r="J1472" s="0" t="n">
        <v>982</v>
      </c>
      <c r="K1472" s="0" t="n">
        <v>8.17845412743468</v>
      </c>
    </row>
    <row r="1473">
      <c r="A1473" s="0" t="n">
        <v>51</v>
      </c>
      <c r="B1473" s="0" t="inlineStr">
        <is>
          <t>Badpants</t>
        </is>
      </c>
      <c r="C1473" s="0" t="inlineStr">
        <is>
          <t>Town</t>
        </is>
      </c>
      <c r="D1473" s="0" t="inlineStr">
        <is>
          <t>Loss</t>
        </is>
      </c>
      <c r="E1473" s="0" t="n">
        <v>-44</v>
      </c>
      <c r="F1473" s="0" t="n">
        <v>23.17055820001518</v>
      </c>
      <c r="G1473" s="0" t="n">
        <v>22.44449428505439</v>
      </c>
      <c r="H1473" s="0" t="n">
        <v>7.979024795467454</v>
      </c>
      <c r="I1473" s="0" t="n">
        <v>756</v>
      </c>
      <c r="J1473" s="0" t="n">
        <v>712</v>
      </c>
      <c r="K1473" s="0" t="n">
        <v>8.037731494936809</v>
      </c>
    </row>
    <row r="1474">
      <c r="A1474" s="0" t="n">
        <v>51</v>
      </c>
      <c r="B1474" s="0" t="inlineStr">
        <is>
          <t>Xcync</t>
        </is>
      </c>
      <c r="C1474" s="0" t="inlineStr">
        <is>
          <t>Town</t>
        </is>
      </c>
      <c r="D1474" s="0" t="inlineStr">
        <is>
          <t>Loss</t>
        </is>
      </c>
      <c r="E1474" s="0" t="n">
        <v>-44</v>
      </c>
      <c r="F1474" s="0" t="n">
        <v>23.55141905647178</v>
      </c>
      <c r="G1474" s="0" t="n">
        <v>22.81536666870999</v>
      </c>
      <c r="H1474" s="0" t="n">
        <v>8.032896229918247</v>
      </c>
      <c r="I1474" s="0" t="n">
        <v>776</v>
      </c>
      <c r="J1474" s="0" t="n">
        <v>732</v>
      </c>
      <c r="K1474" s="0" t="n">
        <v>8.09283874300889</v>
      </c>
    </row>
    <row r="1475">
      <c r="A1475" s="0" t="n">
        <v>51</v>
      </c>
      <c r="B1475" s="0" t="inlineStr">
        <is>
          <t>Carson</t>
        </is>
      </c>
      <c r="C1475" s="0" t="inlineStr">
        <is>
          <t>Town</t>
        </is>
      </c>
      <c r="D1475" s="0" t="inlineStr">
        <is>
          <t>Loss</t>
        </is>
      </c>
      <c r="E1475" s="0" t="n">
        <v>-43</v>
      </c>
      <c r="F1475" s="0" t="n">
        <v>27.89462247286597</v>
      </c>
      <c r="G1475" s="0" t="n">
        <v>27.17029524021596</v>
      </c>
      <c r="H1475" s="0" t="n">
        <v>7.96961877765705</v>
      </c>
      <c r="I1475" s="0" t="n">
        <v>1078</v>
      </c>
      <c r="J1475" s="0" t="n">
        <v>1035</v>
      </c>
      <c r="K1475" s="0" t="n">
        <v>8.028111469591849</v>
      </c>
    </row>
    <row r="1476">
      <c r="A1476" s="0" t="n">
        <v>51</v>
      </c>
      <c r="B1476" s="0" t="inlineStr">
        <is>
          <t>Chipper</t>
        </is>
      </c>
      <c r="C1476" s="0" t="inlineStr">
        <is>
          <t>Town</t>
        </is>
      </c>
      <c r="D1476" s="0" t="inlineStr">
        <is>
          <t>Loss</t>
        </is>
      </c>
      <c r="E1476" s="0" t="n">
        <v>-45</v>
      </c>
      <c r="F1476" s="0" t="n">
        <v>23.04664225135815</v>
      </c>
      <c r="G1476" s="0" t="n">
        <v>22.29260497806303</v>
      </c>
      <c r="H1476" s="0" t="n">
        <v>8.128939340531547</v>
      </c>
      <c r="I1476" s="0" t="n">
        <v>732</v>
      </c>
      <c r="J1476" s="0" t="n">
        <v>687</v>
      </c>
      <c r="K1476" s="0" t="n">
        <v>8.1911281737538</v>
      </c>
    </row>
    <row r="1477">
      <c r="A1477" s="0" t="n">
        <v>51</v>
      </c>
      <c r="B1477" s="0" t="inlineStr">
        <is>
          <t>Iln</t>
        </is>
      </c>
      <c r="C1477" s="0" t="inlineStr">
        <is>
          <t>Town</t>
        </is>
      </c>
      <c r="D1477" s="0" t="inlineStr">
        <is>
          <t>Loss</t>
        </is>
      </c>
      <c r="E1477" s="0" t="n">
        <v>-44</v>
      </c>
      <c r="F1477" s="0" t="n">
        <v>23.61430399088353</v>
      </c>
      <c r="G1477" s="0" t="n">
        <v>22.87492973042209</v>
      </c>
      <c r="H1477" s="0" t="n">
        <v>8.050727459399669</v>
      </c>
      <c r="I1477" s="0" t="n">
        <v>778</v>
      </c>
      <c r="J1477" s="0" t="n">
        <v>734</v>
      </c>
      <c r="K1477" s="0" t="n">
        <v>8.11108283300832</v>
      </c>
    </row>
    <row r="1478">
      <c r="A1478" s="0" t="n">
        <v>51</v>
      </c>
      <c r="B1478" s="0" t="inlineStr">
        <is>
          <t>Plen</t>
        </is>
      </c>
      <c r="C1478" s="0" t="inlineStr">
        <is>
          <t>Town</t>
        </is>
      </c>
      <c r="D1478" s="0" t="inlineStr">
        <is>
          <t>Loss</t>
        </is>
      </c>
      <c r="E1478" s="0" t="n">
        <v>-45</v>
      </c>
      <c r="F1478" s="0" t="n">
        <v>27.73209898876367</v>
      </c>
      <c r="G1478" s="0" t="n">
        <v>26.98235727657135</v>
      </c>
      <c r="H1478" s="0" t="n">
        <v>8.106110107624671</v>
      </c>
      <c r="I1478" s="0" t="n">
        <v>1053</v>
      </c>
      <c r="J1478" s="0" t="n">
        <v>1008</v>
      </c>
      <c r="K1478" s="0" t="n">
        <v>8.167759962421329</v>
      </c>
    </row>
    <row r="1479">
      <c r="A1479" s="0" t="n">
        <v>50</v>
      </c>
      <c r="B1479" s="0" t="inlineStr">
        <is>
          <t>Asiansam</t>
        </is>
      </c>
      <c r="C1479" s="0" t="inlineStr">
        <is>
          <t>Mafia</t>
        </is>
      </c>
      <c r="D1479" s="0" t="inlineStr">
        <is>
          <t>Loss</t>
        </is>
      </c>
      <c r="E1479" s="0" t="n">
        <v>-84</v>
      </c>
      <c r="F1479" s="0" t="n">
        <v>26.23208202800611</v>
      </c>
      <c r="G1479" s="0" t="n">
        <v>24.87265020674563</v>
      </c>
      <c r="H1479" s="0" t="n">
        <v>8.171778791428862</v>
      </c>
      <c r="I1479" s="0" t="n">
        <v>942</v>
      </c>
      <c r="J1479" s="0" t="n">
        <v>858</v>
      </c>
      <c r="K1479" s="0" t="n">
        <v>8.25369722631245</v>
      </c>
    </row>
    <row r="1480">
      <c r="A1480" s="0" t="n">
        <v>50</v>
      </c>
      <c r="B1480" s="0" t="inlineStr">
        <is>
          <t>Xcync</t>
        </is>
      </c>
      <c r="C1480" s="0" t="inlineStr">
        <is>
          <t>Mafia</t>
        </is>
      </c>
      <c r="D1480" s="0" t="inlineStr">
        <is>
          <t>Loss</t>
        </is>
      </c>
      <c r="E1480" s="0" t="n">
        <v>-83</v>
      </c>
      <c r="F1480" s="0" t="n">
        <v>24.88418256227346</v>
      </c>
      <c r="G1480" s="0" t="n">
        <v>23.55141905647178</v>
      </c>
      <c r="H1480" s="0" t="n">
        <v>8.09283874300889</v>
      </c>
      <c r="I1480" s="0" t="n">
        <v>859</v>
      </c>
      <c r="J1480" s="0" t="n">
        <v>776</v>
      </c>
      <c r="K1480" s="0" t="n">
        <v>8.17232681500176</v>
      </c>
    </row>
    <row r="1481">
      <c r="A1481" s="0" t="n">
        <v>50</v>
      </c>
      <c r="B1481" s="0" t="inlineStr">
        <is>
          <t>Iln</t>
        </is>
      </c>
      <c r="C1481" s="0" t="inlineStr">
        <is>
          <t>Mafia</t>
        </is>
      </c>
      <c r="D1481" s="0" t="inlineStr">
        <is>
          <t>Loss</t>
        </is>
      </c>
      <c r="E1481" s="0" t="n">
        <v>-83</v>
      </c>
      <c r="F1481" s="0" t="n">
        <v>24.95320597690694</v>
      </c>
      <c r="G1481" s="0" t="n">
        <v>23.61430399088353</v>
      </c>
      <c r="H1481" s="0" t="n">
        <v>8.11108283300832</v>
      </c>
      <c r="I1481" s="0" t="n">
        <v>861</v>
      </c>
      <c r="J1481" s="0" t="n">
        <v>778</v>
      </c>
      <c r="K1481" s="0" t="n">
        <v>8.1911281737538</v>
      </c>
    </row>
    <row r="1482">
      <c r="A1482" s="0" t="n">
        <v>50</v>
      </c>
      <c r="B1482" s="0" t="inlineStr">
        <is>
          <t>Rocker</t>
        </is>
      </c>
      <c r="C1482" s="0" t="inlineStr">
        <is>
          <t>Town</t>
        </is>
      </c>
      <c r="D1482" s="0" t="inlineStr">
        <is>
          <t>Win</t>
        </is>
      </c>
      <c r="E1482" s="0" t="n">
        <v>101</v>
      </c>
      <c r="F1482" s="0" t="n">
        <v>26.23208202800611</v>
      </c>
      <c r="G1482" s="0" t="n">
        <v>27.59151384926659</v>
      </c>
      <c r="H1482" s="0" t="n">
        <v>8.171778791428862</v>
      </c>
      <c r="I1482" s="0" t="n">
        <v>942</v>
      </c>
      <c r="J1482" s="0" t="n">
        <v>1043</v>
      </c>
      <c r="K1482" s="0" t="n">
        <v>8.25369722631245</v>
      </c>
    </row>
    <row r="1483">
      <c r="A1483" s="0" t="n">
        <v>50</v>
      </c>
      <c r="B1483" s="0" t="inlineStr">
        <is>
          <t>Badpants</t>
        </is>
      </c>
      <c r="C1483" s="0" t="inlineStr">
        <is>
          <t>Town</t>
        </is>
      </c>
      <c r="D1483" s="0" t="inlineStr">
        <is>
          <t>Win</t>
        </is>
      </c>
      <c r="E1483" s="0" t="n">
        <v>98</v>
      </c>
      <c r="F1483" s="0" t="n">
        <v>21.8562454580181</v>
      </c>
      <c r="G1483" s="0" t="n">
        <v>23.17055820001518</v>
      </c>
      <c r="H1483" s="0" t="n">
        <v>8.037731494936809</v>
      </c>
      <c r="I1483" s="0" t="n">
        <v>658</v>
      </c>
      <c r="J1483" s="0" t="n">
        <v>756</v>
      </c>
      <c r="K1483" s="0" t="n">
        <v>8.115552331404425</v>
      </c>
    </row>
    <row r="1484">
      <c r="A1484" s="0" t="n">
        <v>50</v>
      </c>
      <c r="B1484" s="0" t="inlineStr">
        <is>
          <t>Plen</t>
        </is>
      </c>
      <c r="C1484" s="0" t="inlineStr">
        <is>
          <t>Town</t>
        </is>
      </c>
      <c r="D1484" s="0" t="inlineStr">
        <is>
          <t>Win</t>
        </is>
      </c>
      <c r="E1484" s="0" t="n">
        <v>101</v>
      </c>
      <c r="F1484" s="0" t="n">
        <v>26.3740316284832</v>
      </c>
      <c r="G1484" s="0" t="n">
        <v>27.73209898876367</v>
      </c>
      <c r="H1484" s="0" t="n">
        <v>8.167759962421329</v>
      </c>
      <c r="I1484" s="0" t="n">
        <v>952</v>
      </c>
      <c r="J1484" s="0" t="n">
        <v>1053</v>
      </c>
      <c r="K1484" s="0" t="n">
        <v>8.249553462385428</v>
      </c>
    </row>
    <row r="1485">
      <c r="A1485" s="0" t="n">
        <v>50</v>
      </c>
      <c r="B1485" s="0" t="inlineStr">
        <is>
          <t>Chester</t>
        </is>
      </c>
      <c r="C1485" s="0" t="inlineStr">
        <is>
          <t>Town</t>
        </is>
      </c>
      <c r="D1485" s="0" t="inlineStr">
        <is>
          <t>Win</t>
        </is>
      </c>
      <c r="E1485" s="0" t="n">
        <v>99</v>
      </c>
      <c r="F1485" s="0" t="n">
        <v>25.33268645993</v>
      </c>
      <c r="G1485" s="0" t="n">
        <v>26.66744893052029</v>
      </c>
      <c r="H1485" s="0" t="n">
        <v>8.098784725230873</v>
      </c>
      <c r="I1485" s="0" t="n">
        <v>888</v>
      </c>
      <c r="J1485" s="0" t="n">
        <v>987</v>
      </c>
      <c r="K1485" s="0" t="n">
        <v>8.17845412743468</v>
      </c>
    </row>
    <row r="1486">
      <c r="A1486" s="0" t="n">
        <v>50</v>
      </c>
      <c r="B1486" s="0" t="inlineStr">
        <is>
          <t>Laur</t>
        </is>
      </c>
      <c r="C1486" s="0" t="inlineStr">
        <is>
          <t>Town</t>
        </is>
      </c>
      <c r="D1486" s="0" t="inlineStr">
        <is>
          <t>Win</t>
        </is>
      </c>
      <c r="E1486" s="0" t="n">
        <v>103</v>
      </c>
      <c r="F1486" s="0" t="n">
        <v>25</v>
      </c>
      <c r="G1486" s="0" t="n">
        <v>26.38578756551634</v>
      </c>
      <c r="H1486" s="0" t="n">
        <v>8.248989314103795</v>
      </c>
      <c r="I1486" s="0" t="n">
        <v>850</v>
      </c>
      <c r="J1486" s="0" t="n">
        <v>953</v>
      </c>
      <c r="K1486" s="0" t="n">
        <v>8.333333333333334</v>
      </c>
    </row>
    <row r="1487">
      <c r="A1487" s="0" t="n">
        <v>50</v>
      </c>
      <c r="B1487" s="0" t="inlineStr">
        <is>
          <t>Smit</t>
        </is>
      </c>
      <c r="C1487" s="0" t="inlineStr">
        <is>
          <t>Town</t>
        </is>
      </c>
      <c r="D1487" s="0" t="inlineStr">
        <is>
          <t>Win</t>
        </is>
      </c>
      <c r="E1487" s="0" t="n">
        <v>99</v>
      </c>
      <c r="F1487" s="0" t="n">
        <v>23.04664225135815</v>
      </c>
      <c r="G1487" s="0" t="n">
        <v>24.38554423738156</v>
      </c>
      <c r="H1487" s="0" t="n">
        <v>8.11108283300832</v>
      </c>
      <c r="I1487" s="0" t="n">
        <v>732</v>
      </c>
      <c r="J1487" s="0" t="n">
        <v>831</v>
      </c>
      <c r="K1487" s="0" t="n">
        <v>8.1911281737538</v>
      </c>
    </row>
    <row r="1488">
      <c r="A1488" s="0" t="n">
        <v>50</v>
      </c>
      <c r="B1488" s="0" t="inlineStr">
        <is>
          <t>Creatchee</t>
        </is>
      </c>
      <c r="C1488" s="0" t="inlineStr">
        <is>
          <t>Town</t>
        </is>
      </c>
      <c r="D1488" s="0" t="inlineStr">
        <is>
          <t>Win</t>
        </is>
      </c>
      <c r="E1488" s="0" t="n">
        <v>99</v>
      </c>
      <c r="F1488" s="0" t="n">
        <v>25.25796733787417</v>
      </c>
      <c r="G1488" s="0" t="n">
        <v>26.59485781527314</v>
      </c>
      <c r="H1488" s="0" t="n">
        <v>8.105109356023426</v>
      </c>
      <c r="I1488" s="0" t="n">
        <v>883</v>
      </c>
      <c r="J1488" s="0" t="n">
        <v>982</v>
      </c>
      <c r="K1488" s="0" t="n">
        <v>8.184971944336406</v>
      </c>
    </row>
    <row r="1489">
      <c r="A1489" s="0" t="n">
        <v>50</v>
      </c>
      <c r="B1489" s="0" t="inlineStr">
        <is>
          <t>Lou</t>
        </is>
      </c>
      <c r="C1489" s="0" t="inlineStr">
        <is>
          <t>Town</t>
        </is>
      </c>
      <c r="D1489" s="0" t="inlineStr">
        <is>
          <t>Win</t>
        </is>
      </c>
      <c r="E1489" s="0" t="n">
        <v>97</v>
      </c>
      <c r="F1489" s="0" t="n">
        <v>26.28074976645573</v>
      </c>
      <c r="G1489" s="0" t="n">
        <v>27.59378881366463</v>
      </c>
      <c r="H1489" s="0" t="n">
        <v>8.033912231886342</v>
      </c>
      <c r="I1489" s="0" t="n">
        <v>960</v>
      </c>
      <c r="J1489" s="0" t="n">
        <v>1057</v>
      </c>
      <c r="K1489" s="0" t="n">
        <v>8.111618407565944</v>
      </c>
    </row>
    <row r="1490">
      <c r="A1490" s="0" t="n">
        <v>50</v>
      </c>
      <c r="B1490" s="0" t="inlineStr">
        <is>
          <t>Carson</t>
        </is>
      </c>
      <c r="C1490" s="0" t="inlineStr">
        <is>
          <t>Town</t>
        </is>
      </c>
      <c r="D1490" s="0" t="inlineStr">
        <is>
          <t>Win</t>
        </is>
      </c>
      <c r="E1490" s="0" t="n">
        <v>97</v>
      </c>
      <c r="F1490" s="0" t="n">
        <v>26.58351668286325</v>
      </c>
      <c r="G1490" s="0" t="n">
        <v>27.89462247286597</v>
      </c>
      <c r="H1490" s="0" t="n">
        <v>8.028111469591849</v>
      </c>
      <c r="I1490" s="0" t="n">
        <v>981</v>
      </c>
      <c r="J1490" s="0" t="n">
        <v>1078</v>
      </c>
      <c r="K1490" s="0" t="n">
        <v>8.105643716102735</v>
      </c>
    </row>
    <row r="1491">
      <c r="A1491" s="0" t="n">
        <v>50</v>
      </c>
      <c r="B1491" s="0" t="inlineStr">
        <is>
          <t>Aipha</t>
        </is>
      </c>
      <c r="C1491" s="0" t="inlineStr">
        <is>
          <t>Town</t>
        </is>
      </c>
      <c r="D1491" s="0" t="inlineStr">
        <is>
          <t>Win</t>
        </is>
      </c>
      <c r="E1491" s="0" t="n">
        <v>103</v>
      </c>
      <c r="F1491" s="0" t="n">
        <v>25</v>
      </c>
      <c r="G1491" s="0" t="n">
        <v>26.38578756551634</v>
      </c>
      <c r="H1491" s="0" t="n">
        <v>8.248989314103795</v>
      </c>
      <c r="I1491" s="0" t="n">
        <v>850</v>
      </c>
      <c r="J1491" s="0" t="n">
        <v>953</v>
      </c>
      <c r="K1491" s="0" t="n">
        <v>8.333333333333334</v>
      </c>
    </row>
    <row r="1492">
      <c r="A1492" s="0" t="n">
        <v>49</v>
      </c>
      <c r="B1492" s="0" t="inlineStr">
        <is>
          <t>Noah</t>
        </is>
      </c>
      <c r="C1492" s="0" t="inlineStr">
        <is>
          <t>Mafia</t>
        </is>
      </c>
      <c r="D1492" s="0" t="inlineStr">
        <is>
          <t>Loss</t>
        </is>
      </c>
      <c r="E1492" s="0" t="n">
        <v>-83</v>
      </c>
      <c r="F1492" s="0" t="n">
        <v>26.23208202800611</v>
      </c>
      <c r="G1492" s="0" t="n">
        <v>24.88418256227346</v>
      </c>
      <c r="H1492" s="0" t="n">
        <v>8.17232681500176</v>
      </c>
      <c r="I1492" s="0" t="n">
        <v>942</v>
      </c>
      <c r="J1492" s="0" t="n">
        <v>859</v>
      </c>
      <c r="K1492" s="0" t="n">
        <v>8.25369722631245</v>
      </c>
    </row>
    <row r="1493">
      <c r="A1493" s="0" t="n">
        <v>49</v>
      </c>
      <c r="B1493" s="0" t="inlineStr">
        <is>
          <t>Kwix</t>
        </is>
      </c>
      <c r="C1493" s="0" t="inlineStr">
        <is>
          <t>Mafia</t>
        </is>
      </c>
      <c r="D1493" s="0" t="inlineStr">
        <is>
          <t>Loss</t>
        </is>
      </c>
      <c r="E1493" s="0" t="n">
        <v>-82</v>
      </c>
      <c r="F1493" s="0" t="n">
        <v>23.04664225135815</v>
      </c>
      <c r="G1493" s="0" t="n">
        <v>21.71909846180935</v>
      </c>
      <c r="H1493" s="0" t="n">
        <v>8.111618407565944</v>
      </c>
      <c r="I1493" s="0" t="n">
        <v>732</v>
      </c>
      <c r="J1493" s="0" t="n">
        <v>650</v>
      </c>
      <c r="K1493" s="0" t="n">
        <v>8.1911281737538</v>
      </c>
    </row>
    <row r="1494">
      <c r="A1494" s="0" t="n">
        <v>49</v>
      </c>
      <c r="B1494" s="0" t="inlineStr">
        <is>
          <t>Xcync</t>
        </is>
      </c>
      <c r="C1494" s="0" t="inlineStr">
        <is>
          <t>Mafia</t>
        </is>
      </c>
      <c r="D1494" s="0" t="inlineStr">
        <is>
          <t>Loss</t>
        </is>
      </c>
      <c r="E1494" s="0" t="n">
        <v>-83</v>
      </c>
      <c r="F1494" s="0" t="n">
        <v>26.23208202800611</v>
      </c>
      <c r="G1494" s="0" t="n">
        <v>24.88418256227346</v>
      </c>
      <c r="H1494" s="0" t="n">
        <v>8.17232681500176</v>
      </c>
      <c r="I1494" s="0" t="n">
        <v>942</v>
      </c>
      <c r="J1494" s="0" t="n">
        <v>859</v>
      </c>
      <c r="K1494" s="0" t="n">
        <v>8.25369722631245</v>
      </c>
    </row>
    <row r="1495">
      <c r="A1495" s="0" t="n">
        <v>49</v>
      </c>
      <c r="B1495" s="0" t="inlineStr">
        <is>
          <t>Svaan</t>
        </is>
      </c>
      <c r="C1495" s="0" t="inlineStr">
        <is>
          <t>Town</t>
        </is>
      </c>
      <c r="D1495" s="0" t="inlineStr">
        <is>
          <t>Win</t>
        </is>
      </c>
      <c r="E1495" s="0" t="n">
        <v>100</v>
      </c>
      <c r="F1495" s="0" t="n">
        <v>23.76791797199388</v>
      </c>
      <c r="G1495" s="0" t="n">
        <v>25.11581743772653</v>
      </c>
      <c r="H1495" s="0" t="n">
        <v>8.17232681500176</v>
      </c>
      <c r="I1495" s="0" t="n">
        <v>774</v>
      </c>
      <c r="J1495" s="0" t="n">
        <v>874</v>
      </c>
      <c r="K1495" s="0" t="n">
        <v>8.25369722631245</v>
      </c>
    </row>
    <row r="1496">
      <c r="A1496" s="0" t="n">
        <v>49</v>
      </c>
      <c r="B1496" s="0" t="inlineStr">
        <is>
          <t>Lou</t>
        </is>
      </c>
      <c r="C1496" s="0" t="inlineStr">
        <is>
          <t>Town</t>
        </is>
      </c>
      <c r="D1496" s="0" t="inlineStr">
        <is>
          <t>Win</t>
        </is>
      </c>
      <c r="E1496" s="0" t="n">
        <v>99</v>
      </c>
      <c r="F1496" s="0" t="n">
        <v>24.95320597690694</v>
      </c>
      <c r="G1496" s="0" t="n">
        <v>26.28074976645573</v>
      </c>
      <c r="H1496" s="0" t="n">
        <v>8.111618407565944</v>
      </c>
      <c r="I1496" s="0" t="n">
        <v>861</v>
      </c>
      <c r="J1496" s="0" t="n">
        <v>960</v>
      </c>
      <c r="K1496" s="0" t="n">
        <v>8.1911281737538</v>
      </c>
    </row>
    <row r="1497">
      <c r="A1497" s="0" t="n">
        <v>49</v>
      </c>
      <c r="B1497" s="0" t="inlineStr">
        <is>
          <t>Carson</t>
        </is>
      </c>
      <c r="C1497" s="0" t="inlineStr">
        <is>
          <t>Town</t>
        </is>
      </c>
      <c r="D1497" s="0" t="inlineStr">
        <is>
          <t>Win</t>
        </is>
      </c>
      <c r="E1497" s="0" t="n">
        <v>98</v>
      </c>
      <c r="F1497" s="0" t="n">
        <v>25.25796733787417</v>
      </c>
      <c r="G1497" s="0" t="n">
        <v>26.58351668286325</v>
      </c>
      <c r="H1497" s="0" t="n">
        <v>8.105643716102735</v>
      </c>
      <c r="I1497" s="0" t="n">
        <v>883</v>
      </c>
      <c r="J1497" s="0" t="n">
        <v>981</v>
      </c>
      <c r="K1497" s="0" t="n">
        <v>8.184971944336406</v>
      </c>
    </row>
    <row r="1498">
      <c r="A1498" s="0" t="n">
        <v>49</v>
      </c>
      <c r="B1498" s="0" t="inlineStr">
        <is>
          <t>Starv</t>
        </is>
      </c>
      <c r="C1498" s="0" t="inlineStr">
        <is>
          <t>Town</t>
        </is>
      </c>
      <c r="D1498" s="0" t="inlineStr">
        <is>
          <t>Win</t>
        </is>
      </c>
      <c r="E1498" s="0" t="n">
        <v>100</v>
      </c>
      <c r="F1498" s="0" t="n">
        <v>23.9827233529155</v>
      </c>
      <c r="G1498" s="0" t="n">
        <v>25.33268645993</v>
      </c>
      <c r="H1498" s="0" t="n">
        <v>8.17845412743468</v>
      </c>
      <c r="I1498" s="0" t="n">
        <v>788</v>
      </c>
      <c r="J1498" s="0" t="n">
        <v>888</v>
      </c>
      <c r="K1498" s="0" t="n">
        <v>8.260013963879473</v>
      </c>
    </row>
    <row r="1499">
      <c r="A1499" s="0" t="n">
        <v>49</v>
      </c>
      <c r="B1499" s="0" t="inlineStr">
        <is>
          <t>Brownkow</t>
        </is>
      </c>
      <c r="C1499" s="0" t="inlineStr">
        <is>
          <t>Town</t>
        </is>
      </c>
      <c r="D1499" s="0" t="inlineStr">
        <is>
          <t>Win</t>
        </is>
      </c>
      <c r="E1499" s="0" t="n">
        <v>100</v>
      </c>
      <c r="F1499" s="0" t="n">
        <v>26.0172766470845</v>
      </c>
      <c r="G1499" s="0" t="n">
        <v>27.367239754099</v>
      </c>
      <c r="H1499" s="0" t="n">
        <v>8.17845412743468</v>
      </c>
      <c r="I1499" s="0" t="n">
        <v>927</v>
      </c>
      <c r="J1499" s="0" t="n">
        <v>1027</v>
      </c>
      <c r="K1499" s="0" t="n">
        <v>8.260013963879473</v>
      </c>
    </row>
    <row r="1500">
      <c r="A1500" s="0" t="n">
        <v>49</v>
      </c>
      <c r="B1500" s="0" t="inlineStr">
        <is>
          <t>Happymeal</t>
        </is>
      </c>
      <c r="C1500" s="0" t="inlineStr">
        <is>
          <t>Town</t>
        </is>
      </c>
      <c r="D1500" s="0" t="inlineStr">
        <is>
          <t>Win</t>
        </is>
      </c>
      <c r="E1500" s="0" t="n">
        <v>98</v>
      </c>
      <c r="F1500" s="0" t="n">
        <v>25.04679402309304</v>
      </c>
      <c r="G1500" s="0" t="n">
        <v>26.37433781264182</v>
      </c>
      <c r="H1500" s="0" t="n">
        <v>8.111618407565944</v>
      </c>
      <c r="I1500" s="0" t="n">
        <v>868</v>
      </c>
      <c r="J1500" s="0" t="n">
        <v>966</v>
      </c>
      <c r="K1500" s="0" t="n">
        <v>8.1911281737538</v>
      </c>
    </row>
    <row r="1501">
      <c r="A1501" s="0" t="n">
        <v>49</v>
      </c>
      <c r="B1501" s="0" t="inlineStr">
        <is>
          <t>Plen</t>
        </is>
      </c>
      <c r="C1501" s="0" t="inlineStr">
        <is>
          <t>Town</t>
        </is>
      </c>
      <c r="D1501" s="0" t="inlineStr">
        <is>
          <t>Win</t>
        </is>
      </c>
      <c r="E1501" s="0" t="n">
        <v>102</v>
      </c>
      <c r="F1501" s="0" t="n">
        <v>25</v>
      </c>
      <c r="G1501" s="0" t="n">
        <v>26.3740316284832</v>
      </c>
      <c r="H1501" s="0" t="n">
        <v>8.249553462385428</v>
      </c>
      <c r="I1501" s="0" t="n">
        <v>850</v>
      </c>
      <c r="J1501" s="0" t="n">
        <v>952</v>
      </c>
      <c r="K1501" s="0" t="n">
        <v>8.333333333333334</v>
      </c>
    </row>
    <row r="1502">
      <c r="A1502" s="0" t="n">
        <v>49</v>
      </c>
      <c r="B1502" s="0" t="inlineStr">
        <is>
          <t>Chester</t>
        </is>
      </c>
      <c r="C1502" s="0" t="inlineStr">
        <is>
          <t>Town</t>
        </is>
      </c>
      <c r="D1502" s="0" t="inlineStr">
        <is>
          <t>Win</t>
        </is>
      </c>
      <c r="E1502" s="0" t="n">
        <v>100</v>
      </c>
      <c r="F1502" s="0" t="n">
        <v>23.9827233529155</v>
      </c>
      <c r="G1502" s="0" t="n">
        <v>25.33268645993</v>
      </c>
      <c r="H1502" s="0" t="n">
        <v>8.17845412743468</v>
      </c>
      <c r="I1502" s="0" t="n">
        <v>788</v>
      </c>
      <c r="J1502" s="0" t="n">
        <v>888</v>
      </c>
      <c r="K1502" s="0" t="n">
        <v>8.260013963879473</v>
      </c>
    </row>
    <row r="1503">
      <c r="A1503" s="0" t="n">
        <v>49</v>
      </c>
      <c r="B1503" s="0" t="inlineStr">
        <is>
          <t>Machop</t>
        </is>
      </c>
      <c r="C1503" s="0" t="inlineStr">
        <is>
          <t>Town</t>
        </is>
      </c>
      <c r="D1503" s="0" t="inlineStr">
        <is>
          <t>Win</t>
        </is>
      </c>
      <c r="E1503" s="0" t="n">
        <v>97</v>
      </c>
      <c r="F1503" s="0" t="n">
        <v>26.23719081643307</v>
      </c>
      <c r="G1503" s="0" t="n">
        <v>27.54035395785554</v>
      </c>
      <c r="H1503" s="0" t="n">
        <v>8.03825228826711</v>
      </c>
      <c r="I1503" s="0" t="n">
        <v>956</v>
      </c>
      <c r="J1503" s="0" t="n">
        <v>1053</v>
      </c>
      <c r="K1503" s="0" t="n">
        <v>8.115552331404425</v>
      </c>
    </row>
    <row r="1504">
      <c r="A1504" s="0" t="n">
        <v>49</v>
      </c>
      <c r="B1504" s="0" t="inlineStr">
        <is>
          <t>Mintt</t>
        </is>
      </c>
      <c r="C1504" s="0" t="inlineStr">
        <is>
          <t>Town</t>
        </is>
      </c>
      <c r="D1504" s="0" t="inlineStr">
        <is>
          <t>Win</t>
        </is>
      </c>
      <c r="E1504" s="0" t="n">
        <v>102</v>
      </c>
      <c r="F1504" s="0" t="n">
        <v>25</v>
      </c>
      <c r="G1504" s="0" t="n">
        <v>26.3740316284832</v>
      </c>
      <c r="H1504" s="0" t="n">
        <v>8.249553462385428</v>
      </c>
      <c r="I1504" s="0" t="n">
        <v>850</v>
      </c>
      <c r="J1504" s="0" t="n">
        <v>952</v>
      </c>
      <c r="K1504" s="0" t="n">
        <v>8.333333333333334</v>
      </c>
    </row>
    <row r="1505">
      <c r="A1505" s="0" t="n">
        <v>48</v>
      </c>
      <c r="B1505" s="0" t="inlineStr">
        <is>
          <t>Rollo</t>
        </is>
      </c>
      <c r="C1505" s="0" t="inlineStr">
        <is>
          <t>Mafia</t>
        </is>
      </c>
      <c r="D1505" s="0" t="inlineStr">
        <is>
          <t>Loss</t>
        </is>
      </c>
      <c r="E1505" s="0" t="n">
        <v>-76</v>
      </c>
      <c r="F1505" s="0" t="n">
        <v>25</v>
      </c>
      <c r="G1505" s="0" t="n">
        <v>23.76791797199388</v>
      </c>
      <c r="H1505" s="0" t="n">
        <v>8.25369722631245</v>
      </c>
      <c r="I1505" s="0" t="n">
        <v>850</v>
      </c>
      <c r="J1505" s="0" t="n">
        <v>774</v>
      </c>
      <c r="K1505" s="0" t="n">
        <v>8.333333333333334</v>
      </c>
    </row>
    <row r="1506">
      <c r="A1506" s="0" t="n">
        <v>48</v>
      </c>
      <c r="B1506" s="0" t="inlineStr">
        <is>
          <t>Svaan</t>
        </is>
      </c>
      <c r="C1506" s="0" t="inlineStr">
        <is>
          <t>Mafia</t>
        </is>
      </c>
      <c r="D1506" s="0" t="inlineStr">
        <is>
          <t>Loss</t>
        </is>
      </c>
      <c r="E1506" s="0" t="n">
        <v>-76</v>
      </c>
      <c r="F1506" s="0" t="n">
        <v>25</v>
      </c>
      <c r="G1506" s="0" t="n">
        <v>23.76791797199388</v>
      </c>
      <c r="H1506" s="0" t="n">
        <v>8.25369722631245</v>
      </c>
      <c r="I1506" s="0" t="n">
        <v>850</v>
      </c>
      <c r="J1506" s="0" t="n">
        <v>774</v>
      </c>
      <c r="K1506" s="0" t="n">
        <v>8.333333333333334</v>
      </c>
    </row>
    <row r="1507">
      <c r="A1507" s="0" t="n">
        <v>48</v>
      </c>
      <c r="B1507" s="0" t="inlineStr">
        <is>
          <t>Badpants</t>
        </is>
      </c>
      <c r="C1507" s="0" t="inlineStr">
        <is>
          <t>Mafia</t>
        </is>
      </c>
      <c r="D1507" s="0" t="inlineStr">
        <is>
          <t>Loss</t>
        </is>
      </c>
      <c r="E1507" s="0" t="n">
        <v>-74</v>
      </c>
      <c r="F1507" s="0" t="n">
        <v>23.04664225135815</v>
      </c>
      <c r="G1507" s="0" t="n">
        <v>21.8562454580181</v>
      </c>
      <c r="H1507" s="0" t="n">
        <v>8.115552331404425</v>
      </c>
      <c r="I1507" s="0" t="n">
        <v>732</v>
      </c>
      <c r="J1507" s="0" t="n">
        <v>658</v>
      </c>
      <c r="K1507" s="0" t="n">
        <v>8.1911281737538</v>
      </c>
    </row>
    <row r="1508">
      <c r="A1508" s="0" t="n">
        <v>48</v>
      </c>
      <c r="B1508" s="0" t="inlineStr">
        <is>
          <t>Creatchee</t>
        </is>
      </c>
      <c r="C1508" s="0" t="inlineStr">
        <is>
          <t>Town</t>
        </is>
      </c>
      <c r="D1508" s="0" t="inlineStr">
        <is>
          <t>Win</t>
        </is>
      </c>
      <c r="E1508" s="0" t="n">
        <v>91</v>
      </c>
      <c r="F1508" s="0" t="n">
        <v>24.0467181372256</v>
      </c>
      <c r="G1508" s="0" t="n">
        <v>25.25796733787417</v>
      </c>
      <c r="H1508" s="0" t="n">
        <v>8.184971944336406</v>
      </c>
      <c r="I1508" s="0" t="n">
        <v>792</v>
      </c>
      <c r="J1508" s="0" t="n">
        <v>883</v>
      </c>
      <c r="K1508" s="0" t="n">
        <v>8.26257008916174</v>
      </c>
    </row>
    <row r="1509">
      <c r="A1509" s="0" t="n">
        <v>48</v>
      </c>
      <c r="B1509" s="0" t="inlineStr">
        <is>
          <t>Noah</t>
        </is>
      </c>
      <c r="C1509" s="0" t="inlineStr">
        <is>
          <t>Town</t>
        </is>
      </c>
      <c r="D1509" s="0" t="inlineStr">
        <is>
          <t>Win</t>
        </is>
      </c>
      <c r="E1509" s="0" t="n">
        <v>92</v>
      </c>
      <c r="F1509" s="0" t="n">
        <v>25</v>
      </c>
      <c r="G1509" s="0" t="n">
        <v>26.23208202800611</v>
      </c>
      <c r="H1509" s="0" t="n">
        <v>8.25369722631245</v>
      </c>
      <c r="I1509" s="0" t="n">
        <v>850</v>
      </c>
      <c r="J1509" s="0" t="n">
        <v>942</v>
      </c>
      <c r="K1509" s="0" t="n">
        <v>8.333333333333334</v>
      </c>
    </row>
    <row r="1510">
      <c r="A1510" s="0" t="n">
        <v>48</v>
      </c>
      <c r="B1510" s="0" t="inlineStr">
        <is>
          <t>Siggy</t>
        </is>
      </c>
      <c r="C1510" s="0" t="inlineStr">
        <is>
          <t>Town</t>
        </is>
      </c>
      <c r="D1510" s="0" t="inlineStr">
        <is>
          <t>Win</t>
        </is>
      </c>
      <c r="E1510" s="0" t="n">
        <v>92</v>
      </c>
      <c r="F1510" s="0" t="n">
        <v>25</v>
      </c>
      <c r="G1510" s="0" t="n">
        <v>26.23208202800611</v>
      </c>
      <c r="H1510" s="0" t="n">
        <v>8.25369722631245</v>
      </c>
      <c r="I1510" s="0" t="n">
        <v>850</v>
      </c>
      <c r="J1510" s="0" t="n">
        <v>942</v>
      </c>
      <c r="K1510" s="0" t="n">
        <v>8.333333333333334</v>
      </c>
    </row>
    <row r="1511">
      <c r="A1511" s="0" t="n">
        <v>48</v>
      </c>
      <c r="B1511" s="0" t="inlineStr">
        <is>
          <t>Rocker</t>
        </is>
      </c>
      <c r="C1511" s="0" t="inlineStr">
        <is>
          <t>Town</t>
        </is>
      </c>
      <c r="D1511" s="0" t="inlineStr">
        <is>
          <t>Win</t>
        </is>
      </c>
      <c r="E1511" s="0" t="n">
        <v>92</v>
      </c>
      <c r="F1511" s="0" t="n">
        <v>25</v>
      </c>
      <c r="G1511" s="0" t="n">
        <v>26.23208202800611</v>
      </c>
      <c r="H1511" s="0" t="n">
        <v>8.25369722631245</v>
      </c>
      <c r="I1511" s="0" t="n">
        <v>850</v>
      </c>
      <c r="J1511" s="0" t="n">
        <v>942</v>
      </c>
      <c r="K1511" s="0" t="n">
        <v>8.333333333333334</v>
      </c>
    </row>
    <row r="1512">
      <c r="A1512" s="0" t="n">
        <v>48</v>
      </c>
      <c r="B1512" s="0" t="inlineStr">
        <is>
          <t>Xcync</t>
        </is>
      </c>
      <c r="C1512" s="0" t="inlineStr">
        <is>
          <t>Town</t>
        </is>
      </c>
      <c r="D1512" s="0" t="inlineStr">
        <is>
          <t>Win</t>
        </is>
      </c>
      <c r="E1512" s="0" t="n">
        <v>92</v>
      </c>
      <c r="F1512" s="0" t="n">
        <v>25</v>
      </c>
      <c r="G1512" s="0" t="n">
        <v>26.23208202800611</v>
      </c>
      <c r="H1512" s="0" t="n">
        <v>8.25369722631245</v>
      </c>
      <c r="I1512" s="0" t="n">
        <v>850</v>
      </c>
      <c r="J1512" s="0" t="n">
        <v>942</v>
      </c>
      <c r="K1512" s="0" t="n">
        <v>8.333333333333334</v>
      </c>
    </row>
    <row r="1513">
      <c r="A1513" s="0" t="n">
        <v>48</v>
      </c>
      <c r="B1513" s="0" t="inlineStr">
        <is>
          <t>Asiansam</t>
        </is>
      </c>
      <c r="C1513" s="0" t="inlineStr">
        <is>
          <t>Town</t>
        </is>
      </c>
      <c r="D1513" s="0" t="inlineStr">
        <is>
          <t>Win</t>
        </is>
      </c>
      <c r="E1513" s="0" t="n">
        <v>92</v>
      </c>
      <c r="F1513" s="0" t="n">
        <v>25</v>
      </c>
      <c r="G1513" s="0" t="n">
        <v>26.23208202800611</v>
      </c>
      <c r="H1513" s="0" t="n">
        <v>8.25369722631245</v>
      </c>
      <c r="I1513" s="0" t="n">
        <v>850</v>
      </c>
      <c r="J1513" s="0" t="n">
        <v>942</v>
      </c>
      <c r="K1513" s="0" t="n">
        <v>8.333333333333334</v>
      </c>
    </row>
    <row r="1514">
      <c r="A1514" s="0" t="n">
        <v>48</v>
      </c>
      <c r="B1514" s="0" t="inlineStr">
        <is>
          <t>Machop</t>
        </is>
      </c>
      <c r="C1514" s="0" t="inlineStr">
        <is>
          <t>Town</t>
        </is>
      </c>
      <c r="D1514" s="0" t="inlineStr">
        <is>
          <t>Win</t>
        </is>
      </c>
      <c r="E1514" s="0" t="n">
        <v>88</v>
      </c>
      <c r="F1514" s="0" t="n">
        <v>25.04679402309304</v>
      </c>
      <c r="G1514" s="0" t="n">
        <v>26.23719081643307</v>
      </c>
      <c r="H1514" s="0" t="n">
        <v>8.115552331404425</v>
      </c>
      <c r="I1514" s="0" t="n">
        <v>868</v>
      </c>
      <c r="J1514" s="0" t="n">
        <v>956</v>
      </c>
      <c r="K1514" s="0" t="n">
        <v>8.1911281737538</v>
      </c>
    </row>
    <row r="1515">
      <c r="A1515" s="0" t="n">
        <v>48</v>
      </c>
      <c r="B1515" s="0" t="inlineStr">
        <is>
          <t>Whyin</t>
        </is>
      </c>
      <c r="C1515" s="0" t="inlineStr">
        <is>
          <t>Town</t>
        </is>
      </c>
      <c r="D1515" s="0" t="inlineStr">
        <is>
          <t>Win</t>
        </is>
      </c>
      <c r="E1515" s="0" t="n">
        <v>92</v>
      </c>
      <c r="F1515" s="0" t="n">
        <v>25</v>
      </c>
      <c r="G1515" s="0" t="n">
        <v>26.23208202800611</v>
      </c>
      <c r="H1515" s="0" t="n">
        <v>8.25369722631245</v>
      </c>
      <c r="I1515" s="0" t="n">
        <v>850</v>
      </c>
      <c r="J1515" s="0" t="n">
        <v>942</v>
      </c>
      <c r="K1515" s="0" t="n">
        <v>8.333333333333334</v>
      </c>
    </row>
    <row r="1516">
      <c r="A1516" s="0" t="n">
        <v>48</v>
      </c>
      <c r="B1516" s="0" t="inlineStr">
        <is>
          <t>Josh</t>
        </is>
      </c>
      <c r="C1516" s="0" t="inlineStr">
        <is>
          <t>Town</t>
        </is>
      </c>
      <c r="D1516" s="0" t="inlineStr">
        <is>
          <t>Win</t>
        </is>
      </c>
      <c r="E1516" s="0" t="n">
        <v>92</v>
      </c>
      <c r="F1516" s="0" t="n">
        <v>25</v>
      </c>
      <c r="G1516" s="0" t="n">
        <v>26.23208202800611</v>
      </c>
      <c r="H1516" s="0" t="n">
        <v>8.25369722631245</v>
      </c>
      <c r="I1516" s="0" t="n">
        <v>850</v>
      </c>
      <c r="J1516" s="0" t="n">
        <v>942</v>
      </c>
      <c r="K1516" s="0" t="n">
        <v>8.333333333333334</v>
      </c>
    </row>
    <row r="1517">
      <c r="A1517" s="0" t="n">
        <v>48</v>
      </c>
      <c r="B1517" s="0" t="inlineStr">
        <is>
          <t>Carson</t>
        </is>
      </c>
      <c r="C1517" s="0" t="inlineStr">
        <is>
          <t>Town</t>
        </is>
      </c>
      <c r="D1517" s="0" t="inlineStr">
        <is>
          <t>Win</t>
        </is>
      </c>
      <c r="E1517" s="0" t="n">
        <v>91</v>
      </c>
      <c r="F1517" s="0" t="n">
        <v>24.0467181372256</v>
      </c>
      <c r="G1517" s="0" t="n">
        <v>25.25796733787417</v>
      </c>
      <c r="H1517" s="0" t="n">
        <v>8.184971944336406</v>
      </c>
      <c r="I1517" s="0" t="n">
        <v>792</v>
      </c>
      <c r="J1517" s="0" t="n">
        <v>883</v>
      </c>
      <c r="K1517" s="0" t="n">
        <v>8.26257008916174</v>
      </c>
    </row>
    <row r="1518">
      <c r="A1518" s="0" t="n">
        <v>47</v>
      </c>
      <c r="B1518" s="0" t="inlineStr">
        <is>
          <t>Brownkow</t>
        </is>
      </c>
      <c r="C1518" s="0" t="inlineStr">
        <is>
          <t>Mafia</t>
        </is>
      </c>
      <c r="D1518" s="0" t="inlineStr">
        <is>
          <t>Win</t>
        </is>
      </c>
      <c r="E1518" s="0" t="n">
        <v>77</v>
      </c>
      <c r="F1518" s="0" t="n">
        <v>25</v>
      </c>
      <c r="G1518" s="0" t="n">
        <v>26.0172766470845</v>
      </c>
      <c r="H1518" s="0" t="n">
        <v>8.260013963879473</v>
      </c>
      <c r="I1518" s="0" t="n">
        <v>850</v>
      </c>
      <c r="J1518" s="0" t="n">
        <v>927</v>
      </c>
      <c r="K1518" s="0" t="n">
        <v>8.333333333333334</v>
      </c>
    </row>
    <row r="1519">
      <c r="A1519" s="0" t="n">
        <v>47</v>
      </c>
      <c r="B1519" s="0" t="inlineStr">
        <is>
          <t>Happymeal</t>
        </is>
      </c>
      <c r="C1519" s="0" t="inlineStr">
        <is>
          <t>Mafia</t>
        </is>
      </c>
      <c r="D1519" s="0" t="inlineStr">
        <is>
          <t>Win</t>
        </is>
      </c>
      <c r="E1519" s="0" t="n">
        <v>76</v>
      </c>
      <c r="F1519" s="0" t="n">
        <v>24.0467181372256</v>
      </c>
      <c r="G1519" s="0" t="n">
        <v>25.04679402309304</v>
      </c>
      <c r="H1519" s="0" t="n">
        <v>8.1911281737538</v>
      </c>
      <c r="I1519" s="0" t="n">
        <v>792</v>
      </c>
      <c r="J1519" s="0" t="n">
        <v>868</v>
      </c>
      <c r="K1519" s="0" t="n">
        <v>8.26257008916174</v>
      </c>
    </row>
    <row r="1520">
      <c r="A1520" s="0" t="n">
        <v>47</v>
      </c>
      <c r="B1520" s="0" t="inlineStr">
        <is>
          <t>Machop</t>
        </is>
      </c>
      <c r="C1520" s="0" t="inlineStr">
        <is>
          <t>Mafia</t>
        </is>
      </c>
      <c r="D1520" s="0" t="inlineStr">
        <is>
          <t>Win</t>
        </is>
      </c>
      <c r="E1520" s="0" t="n">
        <v>76</v>
      </c>
      <c r="F1520" s="0" t="n">
        <v>24.0467181372256</v>
      </c>
      <c r="G1520" s="0" t="n">
        <v>25.04679402309304</v>
      </c>
      <c r="H1520" s="0" t="n">
        <v>8.1911281737538</v>
      </c>
      <c r="I1520" s="0" t="n">
        <v>792</v>
      </c>
      <c r="J1520" s="0" t="n">
        <v>868</v>
      </c>
      <c r="K1520" s="0" t="n">
        <v>8.26257008916174</v>
      </c>
    </row>
    <row r="1521">
      <c r="A1521" s="0" t="n">
        <v>47</v>
      </c>
      <c r="B1521" s="0" t="inlineStr">
        <is>
          <t>Lou</t>
        </is>
      </c>
      <c r="C1521" s="0" t="inlineStr">
        <is>
          <t>Town</t>
        </is>
      </c>
      <c r="D1521" s="0" t="inlineStr">
        <is>
          <t>Loss</t>
        </is>
      </c>
      <c r="E1521" s="0" t="n">
        <v>-61</v>
      </c>
      <c r="F1521" s="0" t="n">
        <v>25.95328186277439</v>
      </c>
      <c r="G1521" s="0" t="n">
        <v>24.95320597690694</v>
      </c>
      <c r="H1521" s="0" t="n">
        <v>8.1911281737538</v>
      </c>
      <c r="I1521" s="0" t="n">
        <v>922</v>
      </c>
      <c r="J1521" s="0" t="n">
        <v>861</v>
      </c>
      <c r="K1521" s="0" t="n">
        <v>8.26257008916174</v>
      </c>
    </row>
    <row r="1522">
      <c r="A1522" s="0" t="n">
        <v>47</v>
      </c>
      <c r="B1522" s="0" t="inlineStr">
        <is>
          <t>Iln</t>
        </is>
      </c>
      <c r="C1522" s="0" t="inlineStr">
        <is>
          <t>Town</t>
        </is>
      </c>
      <c r="D1522" s="0" t="inlineStr">
        <is>
          <t>Loss</t>
        </is>
      </c>
      <c r="E1522" s="0" t="n">
        <v>-61</v>
      </c>
      <c r="F1522" s="0" t="n">
        <v>25.95328186277439</v>
      </c>
      <c r="G1522" s="0" t="n">
        <v>24.95320597690694</v>
      </c>
      <c r="H1522" s="0" t="n">
        <v>8.1911281737538</v>
      </c>
      <c r="I1522" s="0" t="n">
        <v>922</v>
      </c>
      <c r="J1522" s="0" t="n">
        <v>861</v>
      </c>
      <c r="K1522" s="0" t="n">
        <v>8.26257008916174</v>
      </c>
    </row>
    <row r="1523">
      <c r="A1523" s="0" t="n">
        <v>47</v>
      </c>
      <c r="B1523" s="0" t="inlineStr">
        <is>
          <t>Smit</t>
        </is>
      </c>
      <c r="C1523" s="0" t="inlineStr">
        <is>
          <t>Town</t>
        </is>
      </c>
      <c r="D1523" s="0" t="inlineStr">
        <is>
          <t>Loss</t>
        </is>
      </c>
      <c r="E1523" s="0" t="n">
        <v>-60</v>
      </c>
      <c r="F1523" s="0" t="n">
        <v>24.0467181372256</v>
      </c>
      <c r="G1523" s="0" t="n">
        <v>23.04664225135815</v>
      </c>
      <c r="H1523" s="0" t="n">
        <v>8.1911281737538</v>
      </c>
      <c r="I1523" s="0" t="n">
        <v>792</v>
      </c>
      <c r="J1523" s="0" t="n">
        <v>732</v>
      </c>
      <c r="K1523" s="0" t="n">
        <v>8.26257008916174</v>
      </c>
    </row>
    <row r="1524">
      <c r="A1524" s="0" t="n">
        <v>47</v>
      </c>
      <c r="B1524" s="0" t="inlineStr">
        <is>
          <t>Badpants</t>
        </is>
      </c>
      <c r="C1524" s="0" t="inlineStr">
        <is>
          <t>Town</t>
        </is>
      </c>
      <c r="D1524" s="0" t="inlineStr">
        <is>
          <t>Loss</t>
        </is>
      </c>
      <c r="E1524" s="0" t="n">
        <v>-60</v>
      </c>
      <c r="F1524" s="0" t="n">
        <v>24.0467181372256</v>
      </c>
      <c r="G1524" s="0" t="n">
        <v>23.04664225135815</v>
      </c>
      <c r="H1524" s="0" t="n">
        <v>8.1911281737538</v>
      </c>
      <c r="I1524" s="0" t="n">
        <v>792</v>
      </c>
      <c r="J1524" s="0" t="n">
        <v>732</v>
      </c>
      <c r="K1524" s="0" t="n">
        <v>8.26257008916174</v>
      </c>
    </row>
    <row r="1525">
      <c r="A1525" s="0" t="n">
        <v>47</v>
      </c>
      <c r="B1525" s="0" t="inlineStr">
        <is>
          <t>Kwix</t>
        </is>
      </c>
      <c r="C1525" s="0" t="inlineStr">
        <is>
          <t>Town</t>
        </is>
      </c>
      <c r="D1525" s="0" t="inlineStr">
        <is>
          <t>Loss</t>
        </is>
      </c>
      <c r="E1525" s="0" t="n">
        <v>-60</v>
      </c>
      <c r="F1525" s="0" t="n">
        <v>24.0467181372256</v>
      </c>
      <c r="G1525" s="0" t="n">
        <v>23.04664225135815</v>
      </c>
      <c r="H1525" s="0" t="n">
        <v>8.1911281737538</v>
      </c>
      <c r="I1525" s="0" t="n">
        <v>792</v>
      </c>
      <c r="J1525" s="0" t="n">
        <v>732</v>
      </c>
      <c r="K1525" s="0" t="n">
        <v>8.26257008916174</v>
      </c>
    </row>
    <row r="1526">
      <c r="A1526" s="0" t="n">
        <v>47</v>
      </c>
      <c r="B1526" s="0" t="inlineStr">
        <is>
          <t>Chipper</t>
        </is>
      </c>
      <c r="C1526" s="0" t="inlineStr">
        <is>
          <t>Town</t>
        </is>
      </c>
      <c r="D1526" s="0" t="inlineStr">
        <is>
          <t>Loss</t>
        </is>
      </c>
      <c r="E1526" s="0" t="n">
        <v>-60</v>
      </c>
      <c r="F1526" s="0" t="n">
        <v>24.0467181372256</v>
      </c>
      <c r="G1526" s="0" t="n">
        <v>23.04664225135815</v>
      </c>
      <c r="H1526" s="0" t="n">
        <v>8.1911281737538</v>
      </c>
      <c r="I1526" s="0" t="n">
        <v>792</v>
      </c>
      <c r="J1526" s="0" t="n">
        <v>732</v>
      </c>
      <c r="K1526" s="0" t="n">
        <v>8.26257008916174</v>
      </c>
    </row>
    <row r="1527">
      <c r="A1527" s="0" t="n">
        <v>47</v>
      </c>
      <c r="B1527" s="0" t="inlineStr">
        <is>
          <t>Chester</t>
        </is>
      </c>
      <c r="C1527" s="0" t="inlineStr">
        <is>
          <t>Town</t>
        </is>
      </c>
      <c r="D1527" s="0" t="inlineStr">
        <is>
          <t>Loss</t>
        </is>
      </c>
      <c r="E1527" s="0" t="n">
        <v>-62</v>
      </c>
      <c r="F1527" s="0" t="n">
        <v>25</v>
      </c>
      <c r="G1527" s="0" t="n">
        <v>23.9827233529155</v>
      </c>
      <c r="H1527" s="0" t="n">
        <v>8.260013963879473</v>
      </c>
      <c r="I1527" s="0" t="n">
        <v>850</v>
      </c>
      <c r="J1527" s="0" t="n">
        <v>788</v>
      </c>
      <c r="K1527" s="0" t="n">
        <v>8.333333333333334</v>
      </c>
    </row>
    <row r="1528">
      <c r="A1528" s="0" t="n">
        <v>47</v>
      </c>
      <c r="B1528" s="0" t="inlineStr">
        <is>
          <t>Starv</t>
        </is>
      </c>
      <c r="C1528" s="0" t="inlineStr">
        <is>
          <t>Town</t>
        </is>
      </c>
      <c r="D1528" s="0" t="inlineStr">
        <is>
          <t>Loss</t>
        </is>
      </c>
      <c r="E1528" s="0" t="n">
        <v>-62</v>
      </c>
      <c r="F1528" s="0" t="n">
        <v>25</v>
      </c>
      <c r="G1528" s="0" t="n">
        <v>23.9827233529155</v>
      </c>
      <c r="H1528" s="0" t="n">
        <v>8.260013963879473</v>
      </c>
      <c r="I1528" s="0" t="n">
        <v>850</v>
      </c>
      <c r="J1528" s="0" t="n">
        <v>788</v>
      </c>
      <c r="K1528" s="0" t="n">
        <v>8.333333333333334</v>
      </c>
    </row>
    <row r="1529">
      <c r="A1529" s="0" t="n">
        <v>47</v>
      </c>
      <c r="B1529" s="0" t="inlineStr">
        <is>
          <t>Boobles</t>
        </is>
      </c>
      <c r="C1529" s="0" t="inlineStr">
        <is>
          <t>Town</t>
        </is>
      </c>
      <c r="D1529" s="0" t="inlineStr">
        <is>
          <t>Loss</t>
        </is>
      </c>
      <c r="E1529" s="0" t="n">
        <v>-60</v>
      </c>
      <c r="F1529" s="0" t="n">
        <v>24.0467181372256</v>
      </c>
      <c r="G1529" s="0" t="n">
        <v>23.04664225135815</v>
      </c>
      <c r="H1529" s="0" t="n">
        <v>8.1911281737538</v>
      </c>
      <c r="I1529" s="0" t="n">
        <v>792</v>
      </c>
      <c r="J1529" s="0" t="n">
        <v>732</v>
      </c>
      <c r="K1529" s="0" t="n">
        <v>8.26257008916174</v>
      </c>
    </row>
    <row r="1530">
      <c r="A1530" s="0" t="n">
        <v>47</v>
      </c>
      <c r="B1530" s="0" t="inlineStr">
        <is>
          <t>Kowa</t>
        </is>
      </c>
      <c r="C1530" s="0" t="inlineStr">
        <is>
          <t>Town</t>
        </is>
      </c>
      <c r="D1530" s="0" t="inlineStr">
        <is>
          <t>Loss</t>
        </is>
      </c>
      <c r="E1530" s="0" t="n">
        <v>-62</v>
      </c>
      <c r="F1530" s="0" t="n">
        <v>25</v>
      </c>
      <c r="G1530" s="0" t="n">
        <v>23.9827233529155</v>
      </c>
      <c r="H1530" s="0" t="n">
        <v>8.260013963879473</v>
      </c>
      <c r="I1530" s="0" t="n">
        <v>850</v>
      </c>
      <c r="J1530" s="0" t="n">
        <v>788</v>
      </c>
      <c r="K1530" s="0" t="n">
        <v>8.333333333333334</v>
      </c>
    </row>
    <row r="1531">
      <c r="A1531" s="0" t="n">
        <v>46</v>
      </c>
      <c r="B1531" s="0" t="inlineStr">
        <is>
          <t>Lou</t>
        </is>
      </c>
      <c r="C1531" s="0" t="inlineStr">
        <is>
          <t>Mafia</t>
        </is>
      </c>
      <c r="D1531" s="0" t="inlineStr">
        <is>
          <t>Win</t>
        </is>
      </c>
      <c r="E1531" s="0" t="n">
        <v>72</v>
      </c>
      <c r="F1531" s="0" t="n">
        <v>25</v>
      </c>
      <c r="G1531" s="0" t="n">
        <v>25.95328186277439</v>
      </c>
      <c r="H1531" s="0" t="n">
        <v>8.26257008916174</v>
      </c>
      <c r="I1531" s="0" t="n">
        <v>850</v>
      </c>
      <c r="J1531" s="0" t="n">
        <v>922</v>
      </c>
      <c r="K1531" s="0" t="n">
        <v>8.333333333333334</v>
      </c>
    </row>
    <row r="1532">
      <c r="A1532" s="0" t="n">
        <v>46</v>
      </c>
      <c r="B1532" s="0" t="inlineStr">
        <is>
          <t>Iln</t>
        </is>
      </c>
      <c r="C1532" s="0" t="inlineStr">
        <is>
          <t>Mafia</t>
        </is>
      </c>
      <c r="D1532" s="0" t="inlineStr">
        <is>
          <t>Win</t>
        </is>
      </c>
      <c r="E1532" s="0" t="n">
        <v>72</v>
      </c>
      <c r="F1532" s="0" t="n">
        <v>25</v>
      </c>
      <c r="G1532" s="0" t="n">
        <v>25.95328186277439</v>
      </c>
      <c r="H1532" s="0" t="n">
        <v>8.26257008916174</v>
      </c>
      <c r="I1532" s="0" t="n">
        <v>850</v>
      </c>
      <c r="J1532" s="0" t="n">
        <v>922</v>
      </c>
      <c r="K1532" s="0" t="n">
        <v>8.333333333333334</v>
      </c>
    </row>
    <row r="1533">
      <c r="A1533" s="0" t="n">
        <v>46</v>
      </c>
      <c r="B1533" s="0" t="inlineStr">
        <is>
          <t>Lombax</t>
        </is>
      </c>
      <c r="C1533" s="0" t="inlineStr">
        <is>
          <t>Mafia</t>
        </is>
      </c>
      <c r="D1533" s="0" t="inlineStr">
        <is>
          <t>Win</t>
        </is>
      </c>
      <c r="E1533" s="0" t="n">
        <v>72</v>
      </c>
      <c r="F1533" s="0" t="n">
        <v>25</v>
      </c>
      <c r="G1533" s="0" t="n">
        <v>25.95328186277439</v>
      </c>
      <c r="H1533" s="0" t="n">
        <v>8.26257008916174</v>
      </c>
      <c r="I1533" s="0" t="n">
        <v>850</v>
      </c>
      <c r="J1533" s="0" t="n">
        <v>922</v>
      </c>
      <c r="K1533" s="0" t="n">
        <v>8.333333333333334</v>
      </c>
    </row>
    <row r="1534">
      <c r="A1534" s="0" t="n">
        <v>46</v>
      </c>
      <c r="B1534" s="0" t="inlineStr">
        <is>
          <t>Jake</t>
        </is>
      </c>
      <c r="C1534" s="0" t="inlineStr">
        <is>
          <t>Town</t>
        </is>
      </c>
      <c r="D1534" s="0" t="inlineStr">
        <is>
          <t>Loss</t>
        </is>
      </c>
      <c r="E1534" s="0" t="n">
        <v>-58</v>
      </c>
      <c r="F1534" s="0" t="n">
        <v>25</v>
      </c>
      <c r="G1534" s="0" t="n">
        <v>24.0467181372256</v>
      </c>
      <c r="H1534" s="0" t="n">
        <v>8.26257008916174</v>
      </c>
      <c r="I1534" s="0" t="n">
        <v>850</v>
      </c>
      <c r="J1534" s="0" t="n">
        <v>792</v>
      </c>
      <c r="K1534" s="0" t="n">
        <v>8.333333333333334</v>
      </c>
    </row>
    <row r="1535">
      <c r="A1535" s="0" t="n">
        <v>46</v>
      </c>
      <c r="B1535" s="0" t="inlineStr">
        <is>
          <t>Carson</t>
        </is>
      </c>
      <c r="C1535" s="0" t="inlineStr">
        <is>
          <t>Town</t>
        </is>
      </c>
      <c r="D1535" s="0" t="inlineStr">
        <is>
          <t>Loss</t>
        </is>
      </c>
      <c r="E1535" s="0" t="n">
        <v>-58</v>
      </c>
      <c r="F1535" s="0" t="n">
        <v>25</v>
      </c>
      <c r="G1535" s="0" t="n">
        <v>24.0467181372256</v>
      </c>
      <c r="H1535" s="0" t="n">
        <v>8.26257008916174</v>
      </c>
      <c r="I1535" s="0" t="n">
        <v>850</v>
      </c>
      <c r="J1535" s="0" t="n">
        <v>792</v>
      </c>
      <c r="K1535" s="0" t="n">
        <v>8.333333333333334</v>
      </c>
    </row>
    <row r="1536">
      <c r="A1536" s="0" t="n">
        <v>46</v>
      </c>
      <c r="B1536" s="0" t="inlineStr">
        <is>
          <t>Creatchee</t>
        </is>
      </c>
      <c r="C1536" s="0" t="inlineStr">
        <is>
          <t>Town</t>
        </is>
      </c>
      <c r="D1536" s="0" t="inlineStr">
        <is>
          <t>Loss</t>
        </is>
      </c>
      <c r="E1536" s="0" t="n">
        <v>-58</v>
      </c>
      <c r="F1536" s="0" t="n">
        <v>25</v>
      </c>
      <c r="G1536" s="0" t="n">
        <v>24.0467181372256</v>
      </c>
      <c r="H1536" s="0" t="n">
        <v>8.26257008916174</v>
      </c>
      <c r="I1536" s="0" t="n">
        <v>850</v>
      </c>
      <c r="J1536" s="0" t="n">
        <v>792</v>
      </c>
      <c r="K1536" s="0" t="n">
        <v>8.333333333333334</v>
      </c>
    </row>
    <row r="1537">
      <c r="A1537" s="0" t="n">
        <v>46</v>
      </c>
      <c r="B1537" s="0" t="inlineStr">
        <is>
          <t>Smit</t>
        </is>
      </c>
      <c r="C1537" s="0" t="inlineStr">
        <is>
          <t>Town</t>
        </is>
      </c>
      <c r="D1537" s="0" t="inlineStr">
        <is>
          <t>Loss</t>
        </is>
      </c>
      <c r="E1537" s="0" t="n">
        <v>-58</v>
      </c>
      <c r="F1537" s="0" t="n">
        <v>25</v>
      </c>
      <c r="G1537" s="0" t="n">
        <v>24.0467181372256</v>
      </c>
      <c r="H1537" s="0" t="n">
        <v>8.26257008916174</v>
      </c>
      <c r="I1537" s="0" t="n">
        <v>850</v>
      </c>
      <c r="J1537" s="0" t="n">
        <v>792</v>
      </c>
      <c r="K1537" s="0" t="n">
        <v>8.333333333333334</v>
      </c>
    </row>
    <row r="1538">
      <c r="A1538" s="0" t="n">
        <v>46</v>
      </c>
      <c r="B1538" s="0" t="inlineStr">
        <is>
          <t>Boobles</t>
        </is>
      </c>
      <c r="C1538" s="0" t="inlineStr">
        <is>
          <t>Town</t>
        </is>
      </c>
      <c r="D1538" s="0" t="inlineStr">
        <is>
          <t>Loss</t>
        </is>
      </c>
      <c r="E1538" s="0" t="n">
        <v>-58</v>
      </c>
      <c r="F1538" s="0" t="n">
        <v>25</v>
      </c>
      <c r="G1538" s="0" t="n">
        <v>24.0467181372256</v>
      </c>
      <c r="H1538" s="0" t="n">
        <v>8.26257008916174</v>
      </c>
      <c r="I1538" s="0" t="n">
        <v>850</v>
      </c>
      <c r="J1538" s="0" t="n">
        <v>792</v>
      </c>
      <c r="K1538" s="0" t="n">
        <v>8.333333333333334</v>
      </c>
    </row>
    <row r="1539">
      <c r="A1539" s="0" t="n">
        <v>46</v>
      </c>
      <c r="B1539" s="0" t="inlineStr">
        <is>
          <t>Badpants</t>
        </is>
      </c>
      <c r="C1539" s="0" t="inlineStr">
        <is>
          <t>Town</t>
        </is>
      </c>
      <c r="D1539" s="0" t="inlineStr">
        <is>
          <t>Loss</t>
        </is>
      </c>
      <c r="E1539" s="0" t="n">
        <v>-58</v>
      </c>
      <c r="F1539" s="0" t="n">
        <v>25</v>
      </c>
      <c r="G1539" s="0" t="n">
        <v>24.0467181372256</v>
      </c>
      <c r="H1539" s="0" t="n">
        <v>8.26257008916174</v>
      </c>
      <c r="I1539" s="0" t="n">
        <v>850</v>
      </c>
      <c r="J1539" s="0" t="n">
        <v>792</v>
      </c>
      <c r="K1539" s="0" t="n">
        <v>8.333333333333334</v>
      </c>
    </row>
    <row r="1540">
      <c r="A1540" s="0" t="n">
        <v>46</v>
      </c>
      <c r="B1540" s="0" t="inlineStr">
        <is>
          <t>Kwix</t>
        </is>
      </c>
      <c r="C1540" s="0" t="inlineStr">
        <is>
          <t>Town</t>
        </is>
      </c>
      <c r="D1540" s="0" t="inlineStr">
        <is>
          <t>Loss</t>
        </is>
      </c>
      <c r="E1540" s="0" t="n">
        <v>-58</v>
      </c>
      <c r="F1540" s="0" t="n">
        <v>25</v>
      </c>
      <c r="G1540" s="0" t="n">
        <v>24.0467181372256</v>
      </c>
      <c r="H1540" s="0" t="n">
        <v>8.26257008916174</v>
      </c>
      <c r="I1540" s="0" t="n">
        <v>850</v>
      </c>
      <c r="J1540" s="0" t="n">
        <v>792</v>
      </c>
      <c r="K1540" s="0" t="n">
        <v>8.333333333333334</v>
      </c>
    </row>
    <row r="1541">
      <c r="A1541" s="0" t="n">
        <v>46</v>
      </c>
      <c r="B1541" s="0" t="inlineStr">
        <is>
          <t>Chipper</t>
        </is>
      </c>
      <c r="C1541" s="0" t="inlineStr">
        <is>
          <t>Town</t>
        </is>
      </c>
      <c r="D1541" s="0" t="inlineStr">
        <is>
          <t>Loss</t>
        </is>
      </c>
      <c r="E1541" s="0" t="n">
        <v>-58</v>
      </c>
      <c r="F1541" s="0" t="n">
        <v>25</v>
      </c>
      <c r="G1541" s="0" t="n">
        <v>24.0467181372256</v>
      </c>
      <c r="H1541" s="0" t="n">
        <v>8.26257008916174</v>
      </c>
      <c r="I1541" s="0" t="n">
        <v>850</v>
      </c>
      <c r="J1541" s="0" t="n">
        <v>792</v>
      </c>
      <c r="K1541" s="0" t="n">
        <v>8.333333333333334</v>
      </c>
    </row>
    <row r="1542">
      <c r="A1542" s="0" t="n">
        <v>46</v>
      </c>
      <c r="B1542" s="0" t="inlineStr">
        <is>
          <t>Machop</t>
        </is>
      </c>
      <c r="C1542" s="0" t="inlineStr">
        <is>
          <t>Town</t>
        </is>
      </c>
      <c r="D1542" s="0" t="inlineStr">
        <is>
          <t>Loss</t>
        </is>
      </c>
      <c r="E1542" s="0" t="n">
        <v>-58</v>
      </c>
      <c r="F1542" s="0" t="n">
        <v>25</v>
      </c>
      <c r="G1542" s="0" t="n">
        <v>24.0467181372256</v>
      </c>
      <c r="H1542" s="0" t="n">
        <v>8.26257008916174</v>
      </c>
      <c r="I1542" s="0" t="n">
        <v>850</v>
      </c>
      <c r="J1542" s="0" t="n">
        <v>792</v>
      </c>
      <c r="K1542" s="0" t="n">
        <v>8.333333333333334</v>
      </c>
    </row>
    <row r="1543">
      <c r="A1543" s="0" t="n">
        <v>46</v>
      </c>
      <c r="B1543" s="0" t="inlineStr">
        <is>
          <t>Happymeal</t>
        </is>
      </c>
      <c r="C1543" s="0" t="inlineStr">
        <is>
          <t>Town</t>
        </is>
      </c>
      <c r="D1543" s="0" t="inlineStr">
        <is>
          <t>Loss</t>
        </is>
      </c>
      <c r="E1543" s="0" t="n">
        <v>-58</v>
      </c>
      <c r="F1543" s="0" t="n">
        <v>25</v>
      </c>
      <c r="G1543" s="0" t="n">
        <v>24.0467181372256</v>
      </c>
      <c r="H1543" s="0" t="n">
        <v>8.26257008916174</v>
      </c>
      <c r="I1543" s="0" t="n">
        <v>850</v>
      </c>
      <c r="J1543" s="0" t="n">
        <v>792</v>
      </c>
      <c r="K1543" s="0" t="n">
        <v>8.333333333333334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0"/>
  <sheetViews>
    <sheetView workbookViewId="0">
      <selection activeCell="A1" sqref="A1"/>
    </sheetView>
  </sheetViews>
  <sheetFormatPr baseColWidth="8" defaultRowHeight="15"/>
  <sheetData>
    <row r="1">
      <c r="A1" s="0" t="inlineStr">
        <is>
          <t>Name</t>
        </is>
      </c>
      <c r="B1" s="0" t="inlineStr">
        <is>
          <t>Town Games</t>
        </is>
      </c>
      <c r="C1" s="0" t="inlineStr">
        <is>
          <t>Town Wins</t>
        </is>
      </c>
      <c r="D1" s="0" t="inlineStr">
        <is>
          <t>Town %</t>
        </is>
      </c>
      <c r="E1" s="0" t="inlineStr">
        <is>
          <t>Town Win %</t>
        </is>
      </c>
      <c r="F1" s="0" t="inlineStr">
        <is>
          <t>Mafia Games</t>
        </is>
      </c>
      <c r="G1" s="0" t="inlineStr">
        <is>
          <t>Mafia Wins</t>
        </is>
      </c>
      <c r="H1" s="0" t="inlineStr">
        <is>
          <t>Mafia %</t>
        </is>
      </c>
      <c r="I1" s="0" t="inlineStr">
        <is>
          <t>Mafia Win %</t>
        </is>
      </c>
      <c r="J1" s="0" t="inlineStr">
        <is>
          <t>Total Games</t>
        </is>
      </c>
      <c r="K1" s="0" t="inlineStr">
        <is>
          <t>Total Win %</t>
        </is>
      </c>
      <c r="L1" s="0" t="inlineStr">
        <is>
          <t>Mu</t>
        </is>
      </c>
      <c r="M1" s="0" t="inlineStr">
        <is>
          <t>Sigma</t>
        </is>
      </c>
      <c r="N1" s="0" t="inlineStr">
        <is>
          <t>Rating</t>
        </is>
      </c>
    </row>
    <row r="2">
      <c r="A2" s="0" t="inlineStr">
        <is>
          <t>Rocker</t>
        </is>
      </c>
      <c r="B2" s="0" t="n">
        <v>56</v>
      </c>
      <c r="C2" s="0" t="n">
        <v>32</v>
      </c>
      <c r="D2" s="0" t="n">
        <v>77.8</v>
      </c>
      <c r="E2" s="0" t="n">
        <v>57.1</v>
      </c>
      <c r="F2" s="0" t="n">
        <v>16</v>
      </c>
      <c r="G2" s="0" t="n">
        <v>10</v>
      </c>
      <c r="H2" s="0" t="n">
        <v>22.2</v>
      </c>
      <c r="I2" s="0" t="n">
        <v>62.5</v>
      </c>
      <c r="J2" s="0" t="n">
        <v>72</v>
      </c>
      <c r="K2" s="0" t="n">
        <v>58.3</v>
      </c>
      <c r="L2" s="0" t="n">
        <v>34.67295086710052</v>
      </c>
      <c r="M2" s="0" t="n">
        <v>5.328286427686202</v>
      </c>
      <c r="N2" s="0" t="n">
        <v>1814</v>
      </c>
    </row>
    <row r="3">
      <c r="A3" s="0" t="inlineStr">
        <is>
          <t>Cyclone</t>
        </is>
      </c>
      <c r="B3" s="0" t="n">
        <v>17</v>
      </c>
      <c r="C3" s="0" t="n">
        <v>12</v>
      </c>
      <c r="D3" s="0" t="n">
        <v>81</v>
      </c>
      <c r="E3" s="0" t="n">
        <v>70.59999999999999</v>
      </c>
      <c r="F3" s="0" t="n">
        <v>4</v>
      </c>
      <c r="G3" s="0" t="n">
        <v>4</v>
      </c>
      <c r="H3" s="0" t="n">
        <v>19</v>
      </c>
      <c r="I3" s="0" t="n">
        <v>100</v>
      </c>
      <c r="J3" s="0" t="n">
        <v>21</v>
      </c>
      <c r="K3" s="0" t="n">
        <v>76.2</v>
      </c>
      <c r="L3" s="0" t="n">
        <v>36.69653482158301</v>
      </c>
      <c r="M3" s="0" t="n">
        <v>6.912016360980565</v>
      </c>
      <c r="N3" s="0" t="n">
        <v>1790</v>
      </c>
    </row>
    <row r="4">
      <c r="A4" s="0" t="inlineStr">
        <is>
          <t>Rollo</t>
        </is>
      </c>
      <c r="B4" s="0" t="n">
        <v>24</v>
      </c>
      <c r="C4" s="0" t="n">
        <v>18</v>
      </c>
      <c r="D4" s="0" t="n">
        <v>70.59999999999999</v>
      </c>
      <c r="E4" s="0" t="n">
        <v>75</v>
      </c>
      <c r="F4" s="0" t="n">
        <v>10</v>
      </c>
      <c r="G4" s="0" t="n">
        <v>5</v>
      </c>
      <c r="H4" s="0" t="n">
        <v>29.4</v>
      </c>
      <c r="I4" s="0" t="n">
        <v>50</v>
      </c>
      <c r="J4" s="0" t="n">
        <v>34</v>
      </c>
      <c r="K4" s="0" t="n">
        <v>67.59999999999999</v>
      </c>
      <c r="L4" s="0" t="n">
        <v>34.67761106786408</v>
      </c>
      <c r="M4" s="0" t="n">
        <v>6.388959278794354</v>
      </c>
      <c r="N4" s="0" t="n">
        <v>1706</v>
      </c>
    </row>
    <row r="5">
      <c r="A5" s="0" t="inlineStr">
        <is>
          <t>Creatchee</t>
        </is>
      </c>
      <c r="B5" s="0" t="n">
        <v>21</v>
      </c>
      <c r="C5" s="0" t="n">
        <v>15</v>
      </c>
      <c r="D5" s="0" t="n">
        <v>87.5</v>
      </c>
      <c r="E5" s="0" t="n">
        <v>71.40000000000001</v>
      </c>
      <c r="F5" s="0" t="n">
        <v>3</v>
      </c>
      <c r="G5" s="0" t="n">
        <v>2</v>
      </c>
      <c r="H5" s="0" t="n">
        <v>12.5</v>
      </c>
      <c r="I5" s="0" t="n">
        <v>66.7</v>
      </c>
      <c r="J5" s="0" t="n">
        <v>24</v>
      </c>
      <c r="K5" s="0" t="n">
        <v>70.8</v>
      </c>
      <c r="L5" s="0" t="n">
        <v>34.51678888278092</v>
      </c>
      <c r="M5" s="0" t="n">
        <v>6.872703809377864</v>
      </c>
      <c r="N5" s="0" t="n">
        <v>1646</v>
      </c>
    </row>
    <row r="6">
      <c r="A6" s="0" t="inlineStr">
        <is>
          <t>Noah</t>
        </is>
      </c>
      <c r="B6" s="0" t="n">
        <v>39</v>
      </c>
      <c r="C6" s="0" t="n">
        <v>20</v>
      </c>
      <c r="D6" s="0" t="n">
        <v>68.40000000000001</v>
      </c>
      <c r="E6" s="0" t="n">
        <v>51.3</v>
      </c>
      <c r="F6" s="0" t="n">
        <v>18</v>
      </c>
      <c r="G6" s="0" t="n">
        <v>12</v>
      </c>
      <c r="H6" s="0" t="n">
        <v>31.6</v>
      </c>
      <c r="I6" s="0" t="n">
        <v>66.7</v>
      </c>
      <c r="J6" s="0" t="n">
        <v>57</v>
      </c>
      <c r="K6" s="0" t="n">
        <v>56.1</v>
      </c>
      <c r="L6" s="0" t="n">
        <v>32.71899746150136</v>
      </c>
      <c r="M6" s="0" t="n">
        <v>5.699401883991191</v>
      </c>
      <c r="N6" s="0" t="n">
        <v>1644</v>
      </c>
    </row>
    <row r="7">
      <c r="A7" s="0" t="inlineStr">
        <is>
          <t>Laur</t>
        </is>
      </c>
      <c r="B7" s="0" t="n">
        <v>42</v>
      </c>
      <c r="C7" s="0" t="n">
        <v>23</v>
      </c>
      <c r="D7" s="0" t="n">
        <v>80.8</v>
      </c>
      <c r="E7" s="0" t="n">
        <v>54.8</v>
      </c>
      <c r="F7" s="0" t="n">
        <v>10</v>
      </c>
      <c r="G7" s="0" t="n">
        <v>7</v>
      </c>
      <c r="H7" s="0" t="n">
        <v>19.2</v>
      </c>
      <c r="I7" s="0" t="n">
        <v>70</v>
      </c>
      <c r="J7" s="0" t="n">
        <v>52</v>
      </c>
      <c r="K7" s="0" t="n">
        <v>57.7</v>
      </c>
      <c r="L7" s="0" t="n">
        <v>32.66861366249486</v>
      </c>
      <c r="M7" s="0" t="n">
        <v>5.806437323908895</v>
      </c>
      <c r="N7" s="0" t="n">
        <v>1629</v>
      </c>
    </row>
    <row r="8">
      <c r="A8" s="0" t="inlineStr">
        <is>
          <t>Streety</t>
        </is>
      </c>
      <c r="B8" s="0" t="n">
        <v>22</v>
      </c>
      <c r="C8" s="0" t="n">
        <v>14</v>
      </c>
      <c r="D8" s="0" t="n">
        <v>81.5</v>
      </c>
      <c r="E8" s="0" t="n">
        <v>63.6</v>
      </c>
      <c r="F8" s="0" t="n">
        <v>5</v>
      </c>
      <c r="G8" s="0" t="n">
        <v>3</v>
      </c>
      <c r="H8" s="0" t="n">
        <v>18.5</v>
      </c>
      <c r="I8" s="0" t="n">
        <v>60</v>
      </c>
      <c r="J8" s="0" t="n">
        <v>27</v>
      </c>
      <c r="K8" s="0" t="n">
        <v>63</v>
      </c>
      <c r="L8" s="0" t="n">
        <v>33.32833894533622</v>
      </c>
      <c r="M8" s="0" t="n">
        <v>6.667833451231917</v>
      </c>
      <c r="N8" s="0" t="n">
        <v>1586</v>
      </c>
    </row>
    <row r="9">
      <c r="A9" s="0" t="inlineStr">
        <is>
          <t>Josh</t>
        </is>
      </c>
      <c r="B9" s="0" t="n">
        <v>13</v>
      </c>
      <c r="C9" s="0" t="n">
        <v>9</v>
      </c>
      <c r="D9" s="0" t="n">
        <v>72.2</v>
      </c>
      <c r="E9" s="0" t="n">
        <v>69.2</v>
      </c>
      <c r="F9" s="0" t="n">
        <v>5</v>
      </c>
      <c r="G9" s="0" t="n">
        <v>3</v>
      </c>
      <c r="H9" s="0" t="n">
        <v>27.8</v>
      </c>
      <c r="I9" s="0" t="n">
        <v>60</v>
      </c>
      <c r="J9" s="0" t="n">
        <v>18</v>
      </c>
      <c r="K9" s="0" t="n">
        <v>66.7</v>
      </c>
      <c r="L9" s="0" t="n">
        <v>32.39555705467296</v>
      </c>
      <c r="M9" s="0" t="n">
        <v>7.1464815729458</v>
      </c>
      <c r="N9" s="0" t="n">
        <v>1474</v>
      </c>
    </row>
    <row r="10">
      <c r="A10" s="0" t="inlineStr">
        <is>
          <t>Heckmuffins</t>
        </is>
      </c>
      <c r="B10" s="0" t="n">
        <v>9</v>
      </c>
      <c r="C10" s="0" t="n">
        <v>7</v>
      </c>
      <c r="D10" s="0" t="n">
        <v>90</v>
      </c>
      <c r="E10" s="0" t="n">
        <v>77.8</v>
      </c>
      <c r="F10" s="0" t="n">
        <v>1</v>
      </c>
      <c r="G10" s="0" t="n">
        <v>1</v>
      </c>
      <c r="H10" s="0" t="n">
        <v>10</v>
      </c>
      <c r="I10" s="0" t="n">
        <v>100</v>
      </c>
      <c r="J10" s="0" t="n">
        <v>10</v>
      </c>
      <c r="K10" s="0" t="n">
        <v>80</v>
      </c>
      <c r="L10" s="0" t="n">
        <v>32.95078638407524</v>
      </c>
      <c r="M10" s="0" t="n">
        <v>7.556773178060038</v>
      </c>
      <c r="N10" s="0" t="n">
        <v>1470</v>
      </c>
    </row>
    <row r="11">
      <c r="A11" s="0" t="inlineStr">
        <is>
          <t>Brownkow</t>
        </is>
      </c>
      <c r="B11" s="0" t="n">
        <v>54</v>
      </c>
      <c r="C11" s="0" t="n">
        <v>30</v>
      </c>
      <c r="D11" s="0" t="n">
        <v>75</v>
      </c>
      <c r="E11" s="0" t="n">
        <v>55.6</v>
      </c>
      <c r="F11" s="0" t="n">
        <v>18</v>
      </c>
      <c r="G11" s="0" t="n">
        <v>10</v>
      </c>
      <c r="H11" s="0" t="n">
        <v>25</v>
      </c>
      <c r="I11" s="0" t="n">
        <v>55.6</v>
      </c>
      <c r="J11" s="0" t="n">
        <v>72</v>
      </c>
      <c r="K11" s="0" t="n">
        <v>55.6</v>
      </c>
      <c r="L11" s="0" t="n">
        <v>29.54210365770349</v>
      </c>
      <c r="M11" s="0" t="n">
        <v>5.316819240622187</v>
      </c>
      <c r="N11" s="0" t="n">
        <v>1467</v>
      </c>
    </row>
    <row r="12">
      <c r="A12" s="0" t="inlineStr">
        <is>
          <t>Chester</t>
        </is>
      </c>
      <c r="B12" s="0" t="n">
        <v>23</v>
      </c>
      <c r="C12" s="0" t="n">
        <v>12</v>
      </c>
      <c r="D12" s="0" t="n">
        <v>82.09999999999999</v>
      </c>
      <c r="E12" s="0" t="n">
        <v>52.2</v>
      </c>
      <c r="F12" s="0" t="n">
        <v>5</v>
      </c>
      <c r="G12" s="0" t="n">
        <v>4</v>
      </c>
      <c r="H12" s="0" t="n">
        <v>17.9</v>
      </c>
      <c r="I12" s="0" t="n">
        <v>80</v>
      </c>
      <c r="J12" s="0" t="n">
        <v>28</v>
      </c>
      <c r="K12" s="0" t="n">
        <v>57.1</v>
      </c>
      <c r="L12" s="0" t="n">
        <v>31.3825395437882</v>
      </c>
      <c r="M12" s="0" t="n">
        <v>6.66987451450334</v>
      </c>
      <c r="N12" s="0" t="n">
        <v>1454</v>
      </c>
    </row>
    <row r="13">
      <c r="A13" s="0" t="inlineStr">
        <is>
          <t>Mintt</t>
        </is>
      </c>
      <c r="B13" s="0" t="n">
        <v>31</v>
      </c>
      <c r="C13" s="0" t="n">
        <v>17</v>
      </c>
      <c r="D13" s="0" t="n">
        <v>81.59999999999999</v>
      </c>
      <c r="E13" s="0" t="n">
        <v>54.8</v>
      </c>
      <c r="F13" s="0" t="n">
        <v>7</v>
      </c>
      <c r="G13" s="0" t="n">
        <v>4</v>
      </c>
      <c r="H13" s="0" t="n">
        <v>18.4</v>
      </c>
      <c r="I13" s="0" t="n">
        <v>57.1</v>
      </c>
      <c r="J13" s="0" t="n">
        <v>38</v>
      </c>
      <c r="K13" s="0" t="n">
        <v>55.3</v>
      </c>
      <c r="L13" s="0" t="n">
        <v>30.79105163829381</v>
      </c>
      <c r="M13" s="0" t="n">
        <v>6.301419060517255</v>
      </c>
      <c r="N13" s="0" t="n">
        <v>1451</v>
      </c>
    </row>
    <row r="14">
      <c r="A14" s="0" t="inlineStr">
        <is>
          <t>Iln</t>
        </is>
      </c>
      <c r="B14" s="0" t="n">
        <v>55</v>
      </c>
      <c r="C14" s="0" t="n">
        <v>25</v>
      </c>
      <c r="D14" s="0" t="n">
        <v>83.3</v>
      </c>
      <c r="E14" s="0" t="n">
        <v>45.5</v>
      </c>
      <c r="F14" s="0" t="n">
        <v>11</v>
      </c>
      <c r="G14" s="0" t="n">
        <v>7</v>
      </c>
      <c r="H14" s="0" t="n">
        <v>16.7</v>
      </c>
      <c r="I14" s="0" t="n">
        <v>63.6</v>
      </c>
      <c r="J14" s="0" t="n">
        <v>66</v>
      </c>
      <c r="K14" s="0" t="n">
        <v>48.5</v>
      </c>
      <c r="L14" s="0" t="n">
        <v>28.71195533134639</v>
      </c>
      <c r="M14" s="0" t="n">
        <v>5.460011298845687</v>
      </c>
      <c r="N14" s="0" t="n">
        <v>1395</v>
      </c>
    </row>
    <row r="15">
      <c r="A15" s="0" t="inlineStr">
        <is>
          <t>Lou</t>
        </is>
      </c>
      <c r="B15" s="0" t="n">
        <v>48</v>
      </c>
      <c r="C15" s="0" t="n">
        <v>24</v>
      </c>
      <c r="D15" s="0" t="n">
        <v>82.8</v>
      </c>
      <c r="E15" s="0" t="n">
        <v>50</v>
      </c>
      <c r="F15" s="0" t="n">
        <v>10</v>
      </c>
      <c r="G15" s="0" t="n">
        <v>4</v>
      </c>
      <c r="H15" s="0" t="n">
        <v>17.2</v>
      </c>
      <c r="I15" s="0" t="n">
        <v>40</v>
      </c>
      <c r="J15" s="0" t="n">
        <v>58</v>
      </c>
      <c r="K15" s="0" t="n">
        <v>48.3</v>
      </c>
      <c r="L15" s="0" t="n">
        <v>28.77929628092301</v>
      </c>
      <c r="M15" s="0" t="n">
        <v>5.701852731867792</v>
      </c>
      <c r="N15" s="0" t="n">
        <v>1375</v>
      </c>
    </row>
    <row r="16">
      <c r="A16" s="0" t="inlineStr">
        <is>
          <t>Keegan</t>
        </is>
      </c>
      <c r="B16" s="0" t="n">
        <v>16</v>
      </c>
      <c r="C16" s="0" t="n">
        <v>9</v>
      </c>
      <c r="D16" s="0" t="n">
        <v>84.2</v>
      </c>
      <c r="E16" s="0" t="n">
        <v>56.2</v>
      </c>
      <c r="F16" s="0" t="n">
        <v>3</v>
      </c>
      <c r="G16" s="0" t="n">
        <v>2</v>
      </c>
      <c r="H16" s="0" t="n">
        <v>15.8</v>
      </c>
      <c r="I16" s="0" t="n">
        <v>66.7</v>
      </c>
      <c r="J16" s="0" t="n">
        <v>19</v>
      </c>
      <c r="K16" s="0" t="n">
        <v>57.9</v>
      </c>
      <c r="L16" s="0" t="n">
        <v>30.13149803801785</v>
      </c>
      <c r="M16" s="0" t="n">
        <v>7.101789646196797</v>
      </c>
      <c r="N16" s="0" t="n">
        <v>1325</v>
      </c>
    </row>
    <row r="17">
      <c r="A17" s="0" t="inlineStr">
        <is>
          <t>Svaan</t>
        </is>
      </c>
      <c r="B17" s="0" t="n">
        <v>14</v>
      </c>
      <c r="C17" s="0" t="n">
        <v>8</v>
      </c>
      <c r="D17" s="0" t="n">
        <v>73.7</v>
      </c>
      <c r="E17" s="0" t="n">
        <v>57.1</v>
      </c>
      <c r="F17" s="0" t="n">
        <v>5</v>
      </c>
      <c r="G17" s="0" t="n">
        <v>3</v>
      </c>
      <c r="H17" s="0" t="n">
        <v>26.3</v>
      </c>
      <c r="I17" s="0" t="n">
        <v>60</v>
      </c>
      <c r="J17" s="0" t="n">
        <v>19</v>
      </c>
      <c r="K17" s="0" t="n">
        <v>57.9</v>
      </c>
      <c r="L17" s="0" t="n">
        <v>29.14920764713386</v>
      </c>
      <c r="M17" s="0" t="n">
        <v>7.003558094248127</v>
      </c>
      <c r="N17" s="0" t="n">
        <v>1268</v>
      </c>
    </row>
    <row r="18">
      <c r="A18" s="0" t="inlineStr">
        <is>
          <t>Siggy</t>
        </is>
      </c>
      <c r="B18" s="0" t="n">
        <v>10</v>
      </c>
      <c r="C18" s="0" t="n">
        <v>7</v>
      </c>
      <c r="D18" s="0" t="n">
        <v>71.40000000000001</v>
      </c>
      <c r="E18" s="0" t="n">
        <v>70</v>
      </c>
      <c r="F18" s="0" t="n">
        <v>4</v>
      </c>
      <c r="G18" s="0" t="n">
        <v>2</v>
      </c>
      <c r="H18" s="0" t="n">
        <v>28.6</v>
      </c>
      <c r="I18" s="0" t="n">
        <v>50</v>
      </c>
      <c r="J18" s="0" t="n">
        <v>14</v>
      </c>
      <c r="K18" s="0" t="n">
        <v>64.3</v>
      </c>
      <c r="L18" s="0" t="n">
        <v>29.67555289492791</v>
      </c>
      <c r="M18" s="0" t="n">
        <v>7.348590427991584</v>
      </c>
      <c r="N18" s="0" t="n">
        <v>1268</v>
      </c>
    </row>
    <row r="19">
      <c r="A19" s="0" t="inlineStr">
        <is>
          <t>Xcync</t>
        </is>
      </c>
      <c r="B19" s="0" t="n">
        <v>10</v>
      </c>
      <c r="C19" s="0" t="n">
        <v>7</v>
      </c>
      <c r="D19" s="0" t="n">
        <v>71.40000000000001</v>
      </c>
      <c r="E19" s="0" t="n">
        <v>70</v>
      </c>
      <c r="F19" s="0" t="n">
        <v>4</v>
      </c>
      <c r="G19" s="0" t="n">
        <v>2</v>
      </c>
      <c r="H19" s="0" t="n">
        <v>28.6</v>
      </c>
      <c r="I19" s="0" t="n">
        <v>50</v>
      </c>
      <c r="J19" s="0" t="n">
        <v>14</v>
      </c>
      <c r="K19" s="0" t="n">
        <v>64.3</v>
      </c>
      <c r="L19" s="0" t="n">
        <v>29.49703346543098</v>
      </c>
      <c r="M19" s="0" t="n">
        <v>7.348941253145957</v>
      </c>
      <c r="N19" s="0" t="n">
        <v>1256</v>
      </c>
    </row>
    <row r="20">
      <c r="A20" s="0" t="inlineStr">
        <is>
          <t>Rick</t>
        </is>
      </c>
      <c r="B20" s="0" t="n">
        <v>11</v>
      </c>
      <c r="C20" s="0" t="n">
        <v>5</v>
      </c>
      <c r="D20" s="0" t="n">
        <v>68.8</v>
      </c>
      <c r="E20" s="0" t="n">
        <v>45.5</v>
      </c>
      <c r="F20" s="0" t="n">
        <v>5</v>
      </c>
      <c r="G20" s="0" t="n">
        <v>5</v>
      </c>
      <c r="H20" s="0" t="n">
        <v>31.2</v>
      </c>
      <c r="I20" s="0" t="n">
        <v>100</v>
      </c>
      <c r="J20" s="0" t="n">
        <v>16</v>
      </c>
      <c r="K20" s="0" t="n">
        <v>62.5</v>
      </c>
      <c r="L20" s="0" t="n">
        <v>29.33344450403504</v>
      </c>
      <c r="M20" s="0" t="n">
        <v>7.290510978541844</v>
      </c>
      <c r="N20" s="0" t="n">
        <v>1251</v>
      </c>
    </row>
    <row r="21">
      <c r="A21" s="0" t="inlineStr">
        <is>
          <t>Cj</t>
        </is>
      </c>
      <c r="B21" s="0" t="n">
        <v>15</v>
      </c>
      <c r="C21" s="0" t="n">
        <v>8</v>
      </c>
      <c r="D21" s="0" t="n">
        <v>83.3</v>
      </c>
      <c r="E21" s="0" t="n">
        <v>53.3</v>
      </c>
      <c r="F21" s="0" t="n">
        <v>3</v>
      </c>
      <c r="G21" s="0" t="n">
        <v>1</v>
      </c>
      <c r="H21" s="0" t="n">
        <v>16.7</v>
      </c>
      <c r="I21" s="0" t="n">
        <v>33.3</v>
      </c>
      <c r="J21" s="0" t="n">
        <v>18</v>
      </c>
      <c r="K21" s="0" t="n">
        <v>50</v>
      </c>
      <c r="L21" s="0" t="n">
        <v>28.73535410585925</v>
      </c>
      <c r="M21" s="0" t="n">
        <v>7.109976426579329</v>
      </c>
      <c r="N21" s="0" t="n">
        <v>1229</v>
      </c>
    </row>
    <row r="22">
      <c r="A22" s="0" t="inlineStr">
        <is>
          <t>Strik3r</t>
        </is>
      </c>
      <c r="B22" s="0" t="n">
        <v>36</v>
      </c>
      <c r="C22" s="0" t="n">
        <v>13</v>
      </c>
      <c r="D22" s="0" t="n">
        <v>75</v>
      </c>
      <c r="E22" s="0" t="n">
        <v>36.1</v>
      </c>
      <c r="F22" s="0" t="n">
        <v>12</v>
      </c>
      <c r="G22" s="0" t="n">
        <v>8</v>
      </c>
      <c r="H22" s="0" t="n">
        <v>25</v>
      </c>
      <c r="I22" s="0" t="n">
        <v>66.7</v>
      </c>
      <c r="J22" s="0" t="n">
        <v>48</v>
      </c>
      <c r="K22" s="0" t="n">
        <v>43.8</v>
      </c>
      <c r="L22" s="0" t="n">
        <v>26.88491577662157</v>
      </c>
      <c r="M22" s="0" t="n">
        <v>5.901138294575881</v>
      </c>
      <c r="N22" s="0" t="n">
        <v>1226</v>
      </c>
    </row>
    <row r="23">
      <c r="A23" s="0" t="inlineStr">
        <is>
          <t>Chipper</t>
        </is>
      </c>
      <c r="B23" s="0" t="n">
        <v>34</v>
      </c>
      <c r="C23" s="0" t="n">
        <v>14</v>
      </c>
      <c r="D23" s="0" t="n">
        <v>77.3</v>
      </c>
      <c r="E23" s="0" t="n">
        <v>41.2</v>
      </c>
      <c r="F23" s="0" t="n">
        <v>10</v>
      </c>
      <c r="G23" s="0" t="n">
        <v>5</v>
      </c>
      <c r="H23" s="0" t="n">
        <v>22.7</v>
      </c>
      <c r="I23" s="0" t="n">
        <v>50</v>
      </c>
      <c r="J23" s="0" t="n">
        <v>44</v>
      </c>
      <c r="K23" s="0" t="n">
        <v>43.2</v>
      </c>
      <c r="L23" s="0" t="n">
        <v>26.59319777797728</v>
      </c>
      <c r="M23" s="0" t="n">
        <v>6.077342017669952</v>
      </c>
      <c r="N23" s="0" t="n">
        <v>1188</v>
      </c>
    </row>
    <row r="24">
      <c r="A24" s="0" t="inlineStr">
        <is>
          <t>Whyin</t>
        </is>
      </c>
      <c r="B24" s="0" t="n">
        <v>27</v>
      </c>
      <c r="C24" s="0" t="n">
        <v>15</v>
      </c>
      <c r="D24" s="0" t="n">
        <v>75</v>
      </c>
      <c r="E24" s="0" t="n">
        <v>55.6</v>
      </c>
      <c r="F24" s="0" t="n">
        <v>9</v>
      </c>
      <c r="G24" s="0" t="n">
        <v>3</v>
      </c>
      <c r="H24" s="0" t="n">
        <v>25</v>
      </c>
      <c r="I24" s="0" t="n">
        <v>33.3</v>
      </c>
      <c r="J24" s="0" t="n">
        <v>36</v>
      </c>
      <c r="K24" s="0" t="n">
        <v>50</v>
      </c>
      <c r="L24" s="0" t="n">
        <v>26.7664881739514</v>
      </c>
      <c r="M24" s="0" t="n">
        <v>6.363028594158625</v>
      </c>
      <c r="N24" s="0" t="n">
        <v>1171</v>
      </c>
    </row>
    <row r="25">
      <c r="A25" s="0" t="inlineStr">
        <is>
          <t>Carson</t>
        </is>
      </c>
      <c r="B25" s="0" t="n">
        <v>45</v>
      </c>
      <c r="C25" s="0" t="n">
        <v>22</v>
      </c>
      <c r="D25" s="0" t="n">
        <v>83.3</v>
      </c>
      <c r="E25" s="0" t="n">
        <v>48.9</v>
      </c>
      <c r="F25" s="0" t="n">
        <v>9</v>
      </c>
      <c r="G25" s="0" t="n">
        <v>3</v>
      </c>
      <c r="H25" s="0" t="n">
        <v>16.7</v>
      </c>
      <c r="I25" s="0" t="n">
        <v>33.3</v>
      </c>
      <c r="J25" s="0" t="n">
        <v>54</v>
      </c>
      <c r="K25" s="0" t="n">
        <v>46.3</v>
      </c>
      <c r="L25" s="0" t="n">
        <v>25.82309056581728</v>
      </c>
      <c r="M25" s="0" t="n">
        <v>5.771381626214277</v>
      </c>
      <c r="N25" s="0" t="n">
        <v>1167</v>
      </c>
    </row>
    <row r="26">
      <c r="A26" s="0" t="inlineStr">
        <is>
          <t>Cody</t>
        </is>
      </c>
      <c r="B26" s="0" t="n">
        <v>3</v>
      </c>
      <c r="C26" s="0" t="n">
        <v>3</v>
      </c>
      <c r="D26" s="0" t="n">
        <v>100</v>
      </c>
      <c r="E26" s="0" t="n">
        <v>100</v>
      </c>
      <c r="F26" s="0" t="n">
        <v>0</v>
      </c>
      <c r="G26" s="0" t="n">
        <v>0</v>
      </c>
      <c r="H26" s="0" t="n">
        <v>0</v>
      </c>
      <c r="I26" s="0" t="n">
        <v>0</v>
      </c>
      <c r="J26" s="0" t="n">
        <v>3</v>
      </c>
      <c r="K26" s="0" t="n">
        <v>100</v>
      </c>
      <c r="L26" s="0" t="n">
        <v>29.17609998997966</v>
      </c>
      <c r="M26" s="0" t="n">
        <v>8.081092751687144</v>
      </c>
      <c r="N26" s="0" t="n">
        <v>1160</v>
      </c>
    </row>
    <row r="27">
      <c r="A27" s="0" t="inlineStr">
        <is>
          <t>Chelsea</t>
        </is>
      </c>
      <c r="B27" s="0" t="n">
        <v>18</v>
      </c>
      <c r="C27" s="0" t="n">
        <v>11</v>
      </c>
      <c r="D27" s="0" t="n">
        <v>81.8</v>
      </c>
      <c r="E27" s="0" t="n">
        <v>61.1</v>
      </c>
      <c r="F27" s="0" t="n">
        <v>4</v>
      </c>
      <c r="G27" s="0" t="n">
        <v>0</v>
      </c>
      <c r="H27" s="0" t="n">
        <v>18.2</v>
      </c>
      <c r="I27" s="0" t="n">
        <v>0</v>
      </c>
      <c r="J27" s="0" t="n">
        <v>22</v>
      </c>
      <c r="K27" s="0" t="n">
        <v>50</v>
      </c>
      <c r="L27" s="0" t="n">
        <v>27.1236513506828</v>
      </c>
      <c r="M27" s="0" t="n">
        <v>6.881151705600442</v>
      </c>
      <c r="N27" s="0" t="n">
        <v>1143</v>
      </c>
    </row>
    <row r="28">
      <c r="A28" s="0" t="inlineStr">
        <is>
          <t>Gilbert</t>
        </is>
      </c>
      <c r="B28" s="0" t="n">
        <v>30</v>
      </c>
      <c r="C28" s="0" t="n">
        <v>15</v>
      </c>
      <c r="D28" s="0" t="n">
        <v>78.90000000000001</v>
      </c>
      <c r="E28" s="0" t="n">
        <v>50</v>
      </c>
      <c r="F28" s="0" t="n">
        <v>8</v>
      </c>
      <c r="G28" s="0" t="n">
        <v>3</v>
      </c>
      <c r="H28" s="0" t="n">
        <v>21.1</v>
      </c>
      <c r="I28" s="0" t="n">
        <v>37.5</v>
      </c>
      <c r="J28" s="0" t="n">
        <v>38</v>
      </c>
      <c r="K28" s="0" t="n">
        <v>47.4</v>
      </c>
      <c r="L28" s="0" t="n">
        <v>25.89385858155659</v>
      </c>
      <c r="M28" s="0" t="n">
        <v>6.244683876684924</v>
      </c>
      <c r="N28" s="0" t="n">
        <v>1124</v>
      </c>
    </row>
    <row r="29">
      <c r="A29" s="0" t="inlineStr">
        <is>
          <t>Starv</t>
        </is>
      </c>
      <c r="B29" s="0" t="n">
        <v>4</v>
      </c>
      <c r="C29" s="0" t="n">
        <v>3</v>
      </c>
      <c r="D29" s="0" t="n">
        <v>80</v>
      </c>
      <c r="E29" s="0" t="n">
        <v>75</v>
      </c>
      <c r="F29" s="0" t="n">
        <v>1</v>
      </c>
      <c r="G29" s="0" t="n">
        <v>1</v>
      </c>
      <c r="H29" s="0" t="n">
        <v>20</v>
      </c>
      <c r="I29" s="0" t="n">
        <v>100</v>
      </c>
      <c r="J29" s="0" t="n">
        <v>5</v>
      </c>
      <c r="K29" s="0" t="n">
        <v>80</v>
      </c>
      <c r="L29" s="0" t="n">
        <v>28.46766828847279</v>
      </c>
      <c r="M29" s="0" t="n">
        <v>7.97197559711999</v>
      </c>
      <c r="N29" s="0" t="n">
        <v>1123</v>
      </c>
    </row>
    <row r="30">
      <c r="A30" s="0" t="inlineStr">
        <is>
          <t>Pinkee</t>
        </is>
      </c>
      <c r="B30" s="0" t="n">
        <v>4</v>
      </c>
      <c r="C30" s="0" t="n">
        <v>3</v>
      </c>
      <c r="D30" s="0" t="n">
        <v>100</v>
      </c>
      <c r="E30" s="0" t="n">
        <v>75</v>
      </c>
      <c r="F30" s="0" t="n">
        <v>0</v>
      </c>
      <c r="G30" s="0" t="n">
        <v>0</v>
      </c>
      <c r="H30" s="0" t="n">
        <v>0</v>
      </c>
      <c r="I30" s="0" t="n">
        <v>0</v>
      </c>
      <c r="J30" s="0" t="n">
        <v>4</v>
      </c>
      <c r="K30" s="0" t="n">
        <v>75</v>
      </c>
      <c r="L30" s="0" t="n">
        <v>28.35536175141931</v>
      </c>
      <c r="M30" s="0" t="n">
        <v>7.986640477098088</v>
      </c>
      <c r="N30" s="0" t="n">
        <v>1114</v>
      </c>
    </row>
    <row r="31">
      <c r="A31" s="0" t="inlineStr">
        <is>
          <t>Crispy</t>
        </is>
      </c>
      <c r="B31" s="0" t="n">
        <v>3</v>
      </c>
      <c r="C31" s="0" t="n">
        <v>2</v>
      </c>
      <c r="D31" s="0" t="n">
        <v>75</v>
      </c>
      <c r="E31" s="0" t="n">
        <v>66.7</v>
      </c>
      <c r="F31" s="0" t="n">
        <v>1</v>
      </c>
      <c r="G31" s="0" t="n">
        <v>1</v>
      </c>
      <c r="H31" s="0" t="n">
        <v>25</v>
      </c>
      <c r="I31" s="0" t="n">
        <v>100</v>
      </c>
      <c r="J31" s="0" t="n">
        <v>4</v>
      </c>
      <c r="K31" s="0" t="n">
        <v>75</v>
      </c>
      <c r="L31" s="0" t="n">
        <v>28.28367413675569</v>
      </c>
      <c r="M31" s="0" t="n">
        <v>7.982607524294743</v>
      </c>
      <c r="N31" s="0" t="n">
        <v>1109</v>
      </c>
    </row>
    <row r="32">
      <c r="A32" s="0" t="inlineStr">
        <is>
          <t>Lofty</t>
        </is>
      </c>
      <c r="B32" s="0" t="n">
        <v>10</v>
      </c>
      <c r="C32" s="0" t="n">
        <v>3</v>
      </c>
      <c r="D32" s="0" t="n">
        <v>71.40000000000001</v>
      </c>
      <c r="E32" s="0" t="n">
        <v>30</v>
      </c>
      <c r="F32" s="0" t="n">
        <v>4</v>
      </c>
      <c r="G32" s="0" t="n">
        <v>4</v>
      </c>
      <c r="H32" s="0" t="n">
        <v>28.6</v>
      </c>
      <c r="I32" s="0" t="n">
        <v>100</v>
      </c>
      <c r="J32" s="0" t="n">
        <v>14</v>
      </c>
      <c r="K32" s="0" t="n">
        <v>50</v>
      </c>
      <c r="L32" s="0" t="n">
        <v>27.14826669648557</v>
      </c>
      <c r="M32" s="0" t="n">
        <v>7.313626980342085</v>
      </c>
      <c r="N32" s="0" t="n">
        <v>1100</v>
      </c>
    </row>
    <row r="33">
      <c r="A33" s="0" t="inlineStr">
        <is>
          <t>Boobles</t>
        </is>
      </c>
      <c r="B33" s="0" t="n">
        <v>6</v>
      </c>
      <c r="C33" s="0" t="n">
        <v>4</v>
      </c>
      <c r="D33" s="0" t="n">
        <v>75</v>
      </c>
      <c r="E33" s="0" t="n">
        <v>66.7</v>
      </c>
      <c r="F33" s="0" t="n">
        <v>2</v>
      </c>
      <c r="G33" s="0" t="n">
        <v>1</v>
      </c>
      <c r="H33" s="0" t="n">
        <v>25</v>
      </c>
      <c r="I33" s="0" t="n">
        <v>50</v>
      </c>
      <c r="J33" s="0" t="n">
        <v>8</v>
      </c>
      <c r="K33" s="0" t="n">
        <v>62.5</v>
      </c>
      <c r="L33" s="0" t="n">
        <v>27.81547538660927</v>
      </c>
      <c r="M33" s="0" t="n">
        <v>7.758290304613504</v>
      </c>
      <c r="N33" s="0" t="n">
        <v>1100</v>
      </c>
    </row>
    <row r="34">
      <c r="A34" s="0" t="inlineStr">
        <is>
          <t>Kden</t>
        </is>
      </c>
      <c r="B34" s="0" t="n">
        <v>38</v>
      </c>
      <c r="C34" s="0" t="n">
        <v>15</v>
      </c>
      <c r="D34" s="0" t="n">
        <v>80.90000000000001</v>
      </c>
      <c r="E34" s="0" t="n">
        <v>39.5</v>
      </c>
      <c r="F34" s="0" t="n">
        <v>9</v>
      </c>
      <c r="G34" s="0" t="n">
        <v>4</v>
      </c>
      <c r="H34" s="0" t="n">
        <v>19.1</v>
      </c>
      <c r="I34" s="0" t="n">
        <v>44.4</v>
      </c>
      <c r="J34" s="0" t="n">
        <v>47</v>
      </c>
      <c r="K34" s="0" t="n">
        <v>40.4</v>
      </c>
      <c r="L34" s="0" t="n">
        <v>25.01705324086463</v>
      </c>
      <c r="M34" s="0" t="n">
        <v>5.991286663797206</v>
      </c>
      <c r="N34" s="0" t="n">
        <v>1090</v>
      </c>
    </row>
    <row r="35">
      <c r="A35" s="0" t="inlineStr">
        <is>
          <t>Motr</t>
        </is>
      </c>
      <c r="B35" s="0" t="n">
        <v>17</v>
      </c>
      <c r="C35" s="0" t="n">
        <v>10</v>
      </c>
      <c r="D35" s="0" t="n">
        <v>60.7</v>
      </c>
      <c r="E35" s="0" t="n">
        <v>58.8</v>
      </c>
      <c r="F35" s="0" t="n">
        <v>11</v>
      </c>
      <c r="G35" s="0" t="n">
        <v>4</v>
      </c>
      <c r="H35" s="0" t="n">
        <v>39.3</v>
      </c>
      <c r="I35" s="0" t="n">
        <v>36.4</v>
      </c>
      <c r="J35" s="0" t="n">
        <v>28</v>
      </c>
      <c r="K35" s="0" t="n">
        <v>50</v>
      </c>
      <c r="L35" s="0" t="n">
        <v>25.86992412536138</v>
      </c>
      <c r="M35" s="0" t="n">
        <v>6.59652202855105</v>
      </c>
      <c r="N35" s="0" t="n">
        <v>1086</v>
      </c>
    </row>
    <row r="36">
      <c r="A36" s="0" t="inlineStr">
        <is>
          <t>Jake</t>
        </is>
      </c>
      <c r="B36" s="0" t="n">
        <v>3</v>
      </c>
      <c r="C36" s="0" t="n">
        <v>2</v>
      </c>
      <c r="D36" s="0" t="n">
        <v>100</v>
      </c>
      <c r="E36" s="0" t="n">
        <v>66.7</v>
      </c>
      <c r="F36" s="0" t="n">
        <v>0</v>
      </c>
      <c r="G36" s="0" t="n">
        <v>0</v>
      </c>
      <c r="H36" s="0" t="n">
        <v>0</v>
      </c>
      <c r="I36" s="0" t="n">
        <v>0</v>
      </c>
      <c r="J36" s="0" t="n">
        <v>3</v>
      </c>
      <c r="K36" s="0" t="n">
        <v>66.7</v>
      </c>
      <c r="L36" s="0" t="n">
        <v>28.00284903935691</v>
      </c>
      <c r="M36" s="0" t="n">
        <v>8.063330454480932</v>
      </c>
      <c r="N36" s="0" t="n">
        <v>1082</v>
      </c>
    </row>
    <row r="37">
      <c r="A37" s="0" t="inlineStr">
        <is>
          <t>Qe</t>
        </is>
      </c>
      <c r="B37" s="0" t="n">
        <v>2</v>
      </c>
      <c r="C37" s="0" t="n">
        <v>2</v>
      </c>
      <c r="D37" s="0" t="n">
        <v>100</v>
      </c>
      <c r="E37" s="0" t="n">
        <v>100</v>
      </c>
      <c r="F37" s="0" t="n">
        <v>0</v>
      </c>
      <c r="G37" s="0" t="n">
        <v>0</v>
      </c>
      <c r="H37" s="0" t="n">
        <v>0</v>
      </c>
      <c r="I37" s="0" t="n">
        <v>0</v>
      </c>
      <c r="J37" s="0" t="n">
        <v>2</v>
      </c>
      <c r="K37" s="0" t="n">
        <v>100</v>
      </c>
      <c r="L37" s="0" t="n">
        <v>27.92349396685159</v>
      </c>
      <c r="M37" s="0" t="n">
        <v>8.152492941676586</v>
      </c>
      <c r="N37" s="0" t="n">
        <v>1067</v>
      </c>
    </row>
    <row r="38">
      <c r="A38" s="0" t="inlineStr">
        <is>
          <t>Snazz</t>
        </is>
      </c>
      <c r="B38" s="0" t="n">
        <v>7</v>
      </c>
      <c r="C38" s="0" t="n">
        <v>2</v>
      </c>
      <c r="D38" s="0" t="n">
        <v>70</v>
      </c>
      <c r="E38" s="0" t="n">
        <v>28.6</v>
      </c>
      <c r="F38" s="0" t="n">
        <v>3</v>
      </c>
      <c r="G38" s="0" t="n">
        <v>3</v>
      </c>
      <c r="H38" s="0" t="n">
        <v>30</v>
      </c>
      <c r="I38" s="0" t="n">
        <v>100</v>
      </c>
      <c r="J38" s="0" t="n">
        <v>10</v>
      </c>
      <c r="K38" s="0" t="n">
        <v>50</v>
      </c>
      <c r="L38" s="0" t="n">
        <v>26.9111005954119</v>
      </c>
      <c r="M38" s="0" t="n">
        <v>7.576254585201926</v>
      </c>
      <c r="N38" s="0" t="n">
        <v>1057</v>
      </c>
    </row>
    <row r="39">
      <c r="A39" s="0" t="inlineStr">
        <is>
          <t>5up</t>
        </is>
      </c>
      <c r="B39" s="0" t="n">
        <v>1</v>
      </c>
      <c r="C39" s="0" t="n">
        <v>1</v>
      </c>
      <c r="D39" s="0" t="n">
        <v>50</v>
      </c>
      <c r="E39" s="0" t="n">
        <v>100</v>
      </c>
      <c r="F39" s="0" t="n">
        <v>1</v>
      </c>
      <c r="G39" s="0" t="n">
        <v>1</v>
      </c>
      <c r="H39" s="0" t="n">
        <v>50</v>
      </c>
      <c r="I39" s="0" t="n">
        <v>100</v>
      </c>
      <c r="J39" s="0" t="n">
        <v>2</v>
      </c>
      <c r="K39" s="0" t="n">
        <v>100</v>
      </c>
      <c r="L39" s="0" t="n">
        <v>27.79500277301485</v>
      </c>
      <c r="M39" s="0" t="n">
        <v>8.170699083976441</v>
      </c>
      <c r="N39" s="0" t="n">
        <v>1057</v>
      </c>
    </row>
    <row r="40">
      <c r="A40" s="0" t="inlineStr">
        <is>
          <t>Kny</t>
        </is>
      </c>
      <c r="B40" s="0" t="n">
        <v>5</v>
      </c>
      <c r="C40" s="0" t="n">
        <v>3</v>
      </c>
      <c r="D40" s="0" t="n">
        <v>71.40000000000001</v>
      </c>
      <c r="E40" s="0" t="n">
        <v>60</v>
      </c>
      <c r="F40" s="0" t="n">
        <v>2</v>
      </c>
      <c r="G40" s="0" t="n">
        <v>1</v>
      </c>
      <c r="H40" s="0" t="n">
        <v>28.6</v>
      </c>
      <c r="I40" s="0" t="n">
        <v>50</v>
      </c>
      <c r="J40" s="0" t="n">
        <v>7</v>
      </c>
      <c r="K40" s="0" t="n">
        <v>57.1</v>
      </c>
      <c r="L40" s="0" t="n">
        <v>27.09042213024123</v>
      </c>
      <c r="M40" s="0" t="n">
        <v>7.818196855062811</v>
      </c>
      <c r="N40" s="0" t="n">
        <v>1045</v>
      </c>
    </row>
    <row r="41">
      <c r="A41" s="0" t="inlineStr">
        <is>
          <t>Badpants</t>
        </is>
      </c>
      <c r="B41" s="0" t="n">
        <v>42</v>
      </c>
      <c r="C41" s="0" t="n">
        <v>17</v>
      </c>
      <c r="D41" s="0" t="n">
        <v>73.7</v>
      </c>
      <c r="E41" s="0" t="n">
        <v>40.5</v>
      </c>
      <c r="F41" s="0" t="n">
        <v>15</v>
      </c>
      <c r="G41" s="0" t="n">
        <v>7</v>
      </c>
      <c r="H41" s="0" t="n">
        <v>26.3</v>
      </c>
      <c r="I41" s="0" t="n">
        <v>46.7</v>
      </c>
      <c r="J41" s="0" t="n">
        <v>57</v>
      </c>
      <c r="K41" s="0" t="n">
        <v>42.1</v>
      </c>
      <c r="L41" s="0" t="n">
        <v>23.66458294533391</v>
      </c>
      <c r="M41" s="0" t="n">
        <v>5.683218569102454</v>
      </c>
      <c r="N41" s="0" t="n">
        <v>1030</v>
      </c>
    </row>
    <row r="42">
      <c r="A42" s="0" t="inlineStr">
        <is>
          <t>Levi</t>
        </is>
      </c>
      <c r="B42" s="0" t="n">
        <v>3</v>
      </c>
      <c r="C42" s="0" t="n">
        <v>2</v>
      </c>
      <c r="D42" s="0" t="n">
        <v>42.9</v>
      </c>
      <c r="E42" s="0" t="n">
        <v>66.7</v>
      </c>
      <c r="F42" s="0" t="n">
        <v>4</v>
      </c>
      <c r="G42" s="0" t="n">
        <v>2</v>
      </c>
      <c r="H42" s="0" t="n">
        <v>57.1</v>
      </c>
      <c r="I42" s="0" t="n">
        <v>50</v>
      </c>
      <c r="J42" s="0" t="n">
        <v>7</v>
      </c>
      <c r="K42" s="0" t="n">
        <v>57.1</v>
      </c>
      <c r="L42" s="0" t="n">
        <v>26.37024028273792</v>
      </c>
      <c r="M42" s="0" t="n">
        <v>7.855175270993022</v>
      </c>
      <c r="N42" s="0" t="n">
        <v>992</v>
      </c>
    </row>
    <row r="43">
      <c r="A43" s="0" t="inlineStr">
        <is>
          <t>Jerm</t>
        </is>
      </c>
      <c r="B43" s="0" t="n">
        <v>1</v>
      </c>
      <c r="C43" s="0" t="n">
        <v>1</v>
      </c>
      <c r="D43" s="0" t="n">
        <v>100</v>
      </c>
      <c r="E43" s="0" t="n">
        <v>100</v>
      </c>
      <c r="F43" s="0" t="n">
        <v>0</v>
      </c>
      <c r="G43" s="0" t="n">
        <v>0</v>
      </c>
      <c r="H43" s="0" t="n">
        <v>0</v>
      </c>
      <c r="I43" s="0" t="n">
        <v>0</v>
      </c>
      <c r="J43" s="0" t="n">
        <v>1</v>
      </c>
      <c r="K43" s="0" t="n">
        <v>100</v>
      </c>
      <c r="L43" s="0" t="n">
        <v>26.63943430416985</v>
      </c>
      <c r="M43" s="0" t="n">
        <v>8.245825509665863</v>
      </c>
      <c r="N43" s="0" t="n">
        <v>970</v>
      </c>
    </row>
    <row r="44">
      <c r="A44" s="0" t="inlineStr">
        <is>
          <t>Coffee</t>
        </is>
      </c>
      <c r="B44" s="0" t="n">
        <v>1</v>
      </c>
      <c r="C44" s="0" t="n">
        <v>1</v>
      </c>
      <c r="D44" s="0" t="n">
        <v>100</v>
      </c>
      <c r="E44" s="0" t="n">
        <v>100</v>
      </c>
      <c r="F44" s="0" t="n">
        <v>0</v>
      </c>
      <c r="G44" s="0" t="n">
        <v>0</v>
      </c>
      <c r="H44" s="0" t="n">
        <v>0</v>
      </c>
      <c r="I44" s="0" t="n">
        <v>0</v>
      </c>
      <c r="J44" s="0" t="n">
        <v>1</v>
      </c>
      <c r="K44" s="0" t="n">
        <v>100</v>
      </c>
      <c r="L44" s="0" t="n">
        <v>26.61911657891989</v>
      </c>
      <c r="M44" s="0" t="n">
        <v>8.242924854005254</v>
      </c>
      <c r="N44" s="0" t="n">
        <v>969</v>
      </c>
    </row>
    <row r="45">
      <c r="A45" s="0" t="inlineStr">
        <is>
          <t>Sam</t>
        </is>
      </c>
      <c r="B45" s="0" t="n">
        <v>5</v>
      </c>
      <c r="C45" s="0" t="n">
        <v>3</v>
      </c>
      <c r="D45" s="0" t="n">
        <v>62.5</v>
      </c>
      <c r="E45" s="0" t="n">
        <v>60</v>
      </c>
      <c r="F45" s="0" t="n">
        <v>3</v>
      </c>
      <c r="G45" s="0" t="n">
        <v>1</v>
      </c>
      <c r="H45" s="0" t="n">
        <v>37.5</v>
      </c>
      <c r="I45" s="0" t="n">
        <v>33.3</v>
      </c>
      <c r="J45" s="0" t="n">
        <v>8</v>
      </c>
      <c r="K45" s="0" t="n">
        <v>50</v>
      </c>
      <c r="L45" s="0" t="n">
        <v>25.71348776282876</v>
      </c>
      <c r="M45" s="0" t="n">
        <v>7.672830308979782</v>
      </c>
      <c r="N45" s="0" t="n">
        <v>966</v>
      </c>
    </row>
    <row r="46">
      <c r="A46" s="0" t="inlineStr">
        <is>
          <t>Gunny</t>
        </is>
      </c>
      <c r="B46" s="0" t="n">
        <v>1</v>
      </c>
      <c r="C46" s="0" t="n">
        <v>1</v>
      </c>
      <c r="D46" s="0" t="n">
        <v>100</v>
      </c>
      <c r="E46" s="0" t="n">
        <v>100</v>
      </c>
      <c r="F46" s="0" t="n">
        <v>0</v>
      </c>
      <c r="G46" s="0" t="n">
        <v>0</v>
      </c>
      <c r="H46" s="0" t="n">
        <v>0</v>
      </c>
      <c r="I46" s="0" t="n">
        <v>0</v>
      </c>
      <c r="J46" s="0" t="n">
        <v>1</v>
      </c>
      <c r="K46" s="0" t="n">
        <v>100</v>
      </c>
      <c r="L46" s="0" t="n">
        <v>26.45775977686052</v>
      </c>
      <c r="M46" s="0" t="n">
        <v>8.240520363678602</v>
      </c>
      <c r="N46" s="0" t="n">
        <v>959</v>
      </c>
    </row>
    <row r="47">
      <c r="A47" s="0" t="inlineStr">
        <is>
          <t>Nick</t>
        </is>
      </c>
      <c r="B47" s="0" t="n">
        <v>6</v>
      </c>
      <c r="C47" s="0" t="n">
        <v>3</v>
      </c>
      <c r="D47" s="0" t="n">
        <v>100</v>
      </c>
      <c r="E47" s="0" t="n">
        <v>50</v>
      </c>
      <c r="F47" s="0" t="n">
        <v>0</v>
      </c>
      <c r="G47" s="0" t="n">
        <v>0</v>
      </c>
      <c r="H47" s="0" t="n">
        <v>0</v>
      </c>
      <c r="I47" s="0" t="n">
        <v>0</v>
      </c>
      <c r="J47" s="0" t="n">
        <v>6</v>
      </c>
      <c r="K47" s="0" t="n">
        <v>50</v>
      </c>
      <c r="L47" s="0" t="n">
        <v>25.81939143390686</v>
      </c>
      <c r="M47" s="0" t="n">
        <v>7.866897783054014</v>
      </c>
      <c r="N47" s="0" t="n">
        <v>953</v>
      </c>
    </row>
    <row r="48">
      <c r="A48" s="0" t="inlineStr">
        <is>
          <t>Smit</t>
        </is>
      </c>
      <c r="B48" s="0" t="n">
        <v>43</v>
      </c>
      <c r="C48" s="0" t="n">
        <v>16</v>
      </c>
      <c r="D48" s="0" t="n">
        <v>79.59999999999999</v>
      </c>
      <c r="E48" s="0" t="n">
        <v>37.2</v>
      </c>
      <c r="F48" s="0" t="n">
        <v>11</v>
      </c>
      <c r="G48" s="0" t="n">
        <v>5</v>
      </c>
      <c r="H48" s="0" t="n">
        <v>20.4</v>
      </c>
      <c r="I48" s="0" t="n">
        <v>45.5</v>
      </c>
      <c r="J48" s="0" t="n">
        <v>54</v>
      </c>
      <c r="K48" s="0" t="n">
        <v>38.9</v>
      </c>
      <c r="L48" s="0" t="n">
        <v>22.72252594641514</v>
      </c>
      <c r="M48" s="0" t="n">
        <v>5.812950547151242</v>
      </c>
      <c r="N48" s="0" t="n">
        <v>952</v>
      </c>
    </row>
    <row r="49">
      <c r="A49" s="0" t="inlineStr">
        <is>
          <t>Machop</t>
        </is>
      </c>
      <c r="B49" s="0" t="n">
        <v>27</v>
      </c>
      <c r="C49" s="0" t="n">
        <v>12</v>
      </c>
      <c r="D49" s="0" t="n">
        <v>75</v>
      </c>
      <c r="E49" s="0" t="n">
        <v>44.4</v>
      </c>
      <c r="F49" s="0" t="n">
        <v>9</v>
      </c>
      <c r="G49" s="0" t="n">
        <v>4</v>
      </c>
      <c r="H49" s="0" t="n">
        <v>25</v>
      </c>
      <c r="I49" s="0" t="n">
        <v>44.4</v>
      </c>
      <c r="J49" s="0" t="n">
        <v>36</v>
      </c>
      <c r="K49" s="0" t="n">
        <v>44.4</v>
      </c>
      <c r="L49" s="0" t="n">
        <v>23.5016257868609</v>
      </c>
      <c r="M49" s="0" t="n">
        <v>6.373009331889079</v>
      </c>
      <c r="N49" s="0" t="n">
        <v>948</v>
      </c>
    </row>
    <row r="50">
      <c r="A50" s="0" t="inlineStr">
        <is>
          <t>Vert</t>
        </is>
      </c>
      <c r="B50" s="0" t="n">
        <v>3</v>
      </c>
      <c r="C50" s="0" t="n">
        <v>1</v>
      </c>
      <c r="D50" s="0" t="n">
        <v>75</v>
      </c>
      <c r="E50" s="0" t="n">
        <v>33.3</v>
      </c>
      <c r="F50" s="0" t="n">
        <v>1</v>
      </c>
      <c r="G50" s="0" t="n">
        <v>1</v>
      </c>
      <c r="H50" s="0" t="n">
        <v>25</v>
      </c>
      <c r="I50" s="0" t="n">
        <v>100</v>
      </c>
      <c r="J50" s="0" t="n">
        <v>4</v>
      </c>
      <c r="K50" s="0" t="n">
        <v>50</v>
      </c>
      <c r="L50" s="0" t="n">
        <v>25.97924677131327</v>
      </c>
      <c r="M50" s="0" t="n">
        <v>8.062327418381779</v>
      </c>
      <c r="N50" s="0" t="n">
        <v>944</v>
      </c>
    </row>
    <row r="51">
      <c r="A51" s="0" t="inlineStr">
        <is>
          <t>Insomnia</t>
        </is>
      </c>
      <c r="B51" s="0" t="n">
        <v>1</v>
      </c>
      <c r="C51" s="0" t="n">
        <v>1</v>
      </c>
      <c r="D51" s="0" t="n">
        <v>100</v>
      </c>
      <c r="E51" s="0" t="n">
        <v>100</v>
      </c>
      <c r="F51" s="0" t="n">
        <v>0</v>
      </c>
      <c r="G51" s="0" t="n">
        <v>0</v>
      </c>
      <c r="H51" s="0" t="n">
        <v>0</v>
      </c>
      <c r="I51" s="0" t="n">
        <v>0</v>
      </c>
      <c r="J51" s="0" t="n">
        <v>1</v>
      </c>
      <c r="K51" s="0" t="n">
        <v>100</v>
      </c>
      <c r="L51" s="0" t="n">
        <v>26.20426011820405</v>
      </c>
      <c r="M51" s="0" t="n">
        <v>8.252406902471025</v>
      </c>
      <c r="N51" s="0" t="n">
        <v>940</v>
      </c>
    </row>
    <row r="52">
      <c r="A52" s="0" t="inlineStr">
        <is>
          <t>Torharo</t>
        </is>
      </c>
      <c r="B52" s="0" t="n">
        <v>4</v>
      </c>
      <c r="C52" s="0" t="n">
        <v>2</v>
      </c>
      <c r="D52" s="0" t="n">
        <v>80</v>
      </c>
      <c r="E52" s="0" t="n">
        <v>50</v>
      </c>
      <c r="F52" s="0" t="n">
        <v>1</v>
      </c>
      <c r="G52" s="0" t="n">
        <v>0</v>
      </c>
      <c r="H52" s="0" t="n">
        <v>20</v>
      </c>
      <c r="I52" s="0" t="n">
        <v>0</v>
      </c>
      <c r="J52" s="0" t="n">
        <v>5</v>
      </c>
      <c r="K52" s="0" t="n">
        <v>40</v>
      </c>
      <c r="L52" s="0" t="n">
        <v>25.60859174180371</v>
      </c>
      <c r="M52" s="0" t="n">
        <v>7.996431202088655</v>
      </c>
      <c r="N52" s="0" t="n">
        <v>926</v>
      </c>
    </row>
    <row r="53">
      <c r="A53" s="0" t="inlineStr">
        <is>
          <t>Dlgn</t>
        </is>
      </c>
      <c r="B53" s="0" t="n">
        <v>0</v>
      </c>
      <c r="C53" s="0" t="n">
        <v>0</v>
      </c>
      <c r="D53" s="0" t="n">
        <v>0</v>
      </c>
      <c r="E53" s="0" t="n">
        <v>0</v>
      </c>
      <c r="F53" s="0" t="n">
        <v>1</v>
      </c>
      <c r="G53" s="0" t="n">
        <v>1</v>
      </c>
      <c r="H53" s="0" t="n">
        <v>100</v>
      </c>
      <c r="I53" s="0" t="n">
        <v>100</v>
      </c>
      <c r="J53" s="0" t="n">
        <v>1</v>
      </c>
      <c r="K53" s="0" t="n">
        <v>100</v>
      </c>
      <c r="L53" s="0" t="n">
        <v>25.65133130295722</v>
      </c>
      <c r="M53" s="0" t="n">
        <v>8.27355122000802</v>
      </c>
      <c r="N53" s="0" t="n">
        <v>900</v>
      </c>
    </row>
    <row r="54">
      <c r="A54" s="0" t="inlineStr">
        <is>
          <t>Plen</t>
        </is>
      </c>
      <c r="B54" s="0" t="n">
        <v>50</v>
      </c>
      <c r="C54" s="0" t="n">
        <v>19</v>
      </c>
      <c r="D54" s="0" t="n">
        <v>83.3</v>
      </c>
      <c r="E54" s="0" t="n">
        <v>38</v>
      </c>
      <c r="F54" s="0" t="n">
        <v>10</v>
      </c>
      <c r="G54" s="0" t="n">
        <v>3</v>
      </c>
      <c r="H54" s="0" t="n">
        <v>16.7</v>
      </c>
      <c r="I54" s="0" t="n">
        <v>30</v>
      </c>
      <c r="J54" s="0" t="n">
        <v>60</v>
      </c>
      <c r="K54" s="0" t="n">
        <v>36.7</v>
      </c>
      <c r="L54" s="0" t="n">
        <v>21.53977228800405</v>
      </c>
      <c r="M54" s="0" t="n">
        <v>5.625474401701276</v>
      </c>
      <c r="N54" s="0" t="n">
        <v>891</v>
      </c>
    </row>
    <row r="55">
      <c r="A55" s="0" t="inlineStr">
        <is>
          <t>Vandy</t>
        </is>
      </c>
      <c r="B55" s="0" t="n">
        <v>2</v>
      </c>
      <c r="C55" s="0" t="n">
        <v>1</v>
      </c>
      <c r="D55" s="0" t="n">
        <v>100</v>
      </c>
      <c r="E55" s="0" t="n">
        <v>50</v>
      </c>
      <c r="F55" s="0" t="n">
        <v>0</v>
      </c>
      <c r="G55" s="0" t="n">
        <v>0</v>
      </c>
      <c r="H55" s="0" t="n">
        <v>0</v>
      </c>
      <c r="I55" s="0" t="n">
        <v>0</v>
      </c>
      <c r="J55" s="0" t="n">
        <v>2</v>
      </c>
      <c r="K55" s="0" t="n">
        <v>50</v>
      </c>
      <c r="L55" s="0" t="n">
        <v>25.27534340907548</v>
      </c>
      <c r="M55" s="0" t="n">
        <v>8.169247883251822</v>
      </c>
      <c r="N55" s="0" t="n">
        <v>885</v>
      </c>
    </row>
    <row r="56">
      <c r="A56" s="0" t="inlineStr">
        <is>
          <t>Heftyduck</t>
        </is>
      </c>
      <c r="B56" s="0" t="n">
        <v>1</v>
      </c>
      <c r="C56" s="0" t="n">
        <v>0</v>
      </c>
      <c r="D56" s="0" t="n">
        <v>50</v>
      </c>
      <c r="E56" s="0" t="n">
        <v>0</v>
      </c>
      <c r="F56" s="0" t="n">
        <v>1</v>
      </c>
      <c r="G56" s="0" t="n">
        <v>1</v>
      </c>
      <c r="H56" s="0" t="n">
        <v>50</v>
      </c>
      <c r="I56" s="0" t="n">
        <v>100</v>
      </c>
      <c r="J56" s="0" t="n">
        <v>2</v>
      </c>
      <c r="K56" s="0" t="n">
        <v>50</v>
      </c>
      <c r="L56" s="0" t="n">
        <v>25.18800362525123</v>
      </c>
      <c r="M56" s="0" t="n">
        <v>8.166876847007657</v>
      </c>
      <c r="N56" s="0" t="n">
        <v>880</v>
      </c>
    </row>
    <row r="57">
      <c r="A57" s="0" t="inlineStr">
        <is>
          <t>Asiansam</t>
        </is>
      </c>
      <c r="B57" s="0" t="n">
        <v>2</v>
      </c>
      <c r="C57" s="0" t="n">
        <v>1</v>
      </c>
      <c r="D57" s="0" t="n">
        <v>50</v>
      </c>
      <c r="E57" s="0" t="n">
        <v>50</v>
      </c>
      <c r="F57" s="0" t="n">
        <v>2</v>
      </c>
      <c r="G57" s="0" t="n">
        <v>1</v>
      </c>
      <c r="H57" s="0" t="n">
        <v>50</v>
      </c>
      <c r="I57" s="0" t="n">
        <v>50</v>
      </c>
      <c r="J57" s="0" t="n">
        <v>4</v>
      </c>
      <c r="K57" s="0" t="n">
        <v>50</v>
      </c>
      <c r="L57" s="0" t="n">
        <v>24.7966090394682</v>
      </c>
      <c r="M57" s="0" t="n">
        <v>8.025896442938121</v>
      </c>
      <c r="N57" s="0" t="n">
        <v>868</v>
      </c>
    </row>
    <row r="58">
      <c r="A58" s="0" t="inlineStr">
        <is>
          <t>Laura</t>
        </is>
      </c>
      <c r="B58" s="0" t="n">
        <v>2</v>
      </c>
      <c r="C58" s="0" t="n">
        <v>1</v>
      </c>
      <c r="D58" s="0" t="n">
        <v>100</v>
      </c>
      <c r="E58" s="0" t="n">
        <v>50</v>
      </c>
      <c r="F58" s="0" t="n">
        <v>0</v>
      </c>
      <c r="G58" s="0" t="n">
        <v>0</v>
      </c>
      <c r="H58" s="0" t="n">
        <v>0</v>
      </c>
      <c r="I58" s="0" t="n">
        <v>0</v>
      </c>
      <c r="J58" s="0" t="n">
        <v>2</v>
      </c>
      <c r="K58" s="0" t="n">
        <v>50</v>
      </c>
      <c r="L58" s="0" t="n">
        <v>24.97032068049329</v>
      </c>
      <c r="M58" s="0" t="n">
        <v>8.175805816003777</v>
      </c>
      <c r="N58" s="0" t="n">
        <v>864</v>
      </c>
    </row>
    <row r="59">
      <c r="A59" s="0" t="inlineStr">
        <is>
          <t>23flash</t>
        </is>
      </c>
      <c r="B59" s="0" t="n">
        <v>5</v>
      </c>
      <c r="C59" s="0" t="n">
        <v>2</v>
      </c>
      <c r="D59" s="0" t="n">
        <v>71.40000000000001</v>
      </c>
      <c r="E59" s="0" t="n">
        <v>40</v>
      </c>
      <c r="F59" s="0" t="n">
        <v>2</v>
      </c>
      <c r="G59" s="0" t="n">
        <v>1</v>
      </c>
      <c r="H59" s="0" t="n">
        <v>28.6</v>
      </c>
      <c r="I59" s="0" t="n">
        <v>50</v>
      </c>
      <c r="J59" s="0" t="n">
        <v>7</v>
      </c>
      <c r="K59" s="0" t="n">
        <v>42.9</v>
      </c>
      <c r="L59" s="0" t="n">
        <v>24.38812562935202</v>
      </c>
      <c r="M59" s="0" t="n">
        <v>7.812225806306625</v>
      </c>
      <c r="N59" s="0" t="n">
        <v>862</v>
      </c>
    </row>
    <row r="60">
      <c r="A60" s="0" t="inlineStr">
        <is>
          <t>Jonas</t>
        </is>
      </c>
      <c r="B60" s="0" t="n">
        <v>1</v>
      </c>
      <c r="C60" s="0" t="n">
        <v>0</v>
      </c>
      <c r="D60" s="0" t="n">
        <v>50</v>
      </c>
      <c r="E60" s="0" t="n">
        <v>0</v>
      </c>
      <c r="F60" s="0" t="n">
        <v>1</v>
      </c>
      <c r="G60" s="0" t="n">
        <v>1</v>
      </c>
      <c r="H60" s="0" t="n">
        <v>50</v>
      </c>
      <c r="I60" s="0" t="n">
        <v>100</v>
      </c>
      <c r="J60" s="0" t="n">
        <v>2</v>
      </c>
      <c r="K60" s="0" t="n">
        <v>50</v>
      </c>
      <c r="L60" s="0" t="n">
        <v>24.8812681349039</v>
      </c>
      <c r="M60" s="0" t="n">
        <v>8.1860942783096</v>
      </c>
      <c r="N60" s="0" t="n">
        <v>857</v>
      </c>
    </row>
    <row r="61">
      <c r="A61" s="0" t="inlineStr">
        <is>
          <t>TCP</t>
        </is>
      </c>
      <c r="B61" s="0" t="n">
        <v>7</v>
      </c>
      <c r="C61" s="0" t="n">
        <v>3</v>
      </c>
      <c r="D61" s="0" t="n">
        <v>77.8</v>
      </c>
      <c r="E61" s="0" t="n">
        <v>42.9</v>
      </c>
      <c r="F61" s="0" t="n">
        <v>2</v>
      </c>
      <c r="G61" s="0" t="n">
        <v>1</v>
      </c>
      <c r="H61" s="0" t="n">
        <v>22.2</v>
      </c>
      <c r="I61" s="0" t="n">
        <v>50</v>
      </c>
      <c r="J61" s="0" t="n">
        <v>9</v>
      </c>
      <c r="K61" s="0" t="n">
        <v>44.4</v>
      </c>
      <c r="L61" s="0" t="n">
        <v>23.94202925980994</v>
      </c>
      <c r="M61" s="0" t="n">
        <v>7.618459663143573</v>
      </c>
      <c r="N61" s="0" t="n">
        <v>851</v>
      </c>
    </row>
    <row r="62">
      <c r="A62" s="0" t="inlineStr">
        <is>
          <t>Dani</t>
        </is>
      </c>
      <c r="B62" s="0" t="n">
        <v>9</v>
      </c>
      <c r="C62" s="0" t="n">
        <v>2</v>
      </c>
      <c r="D62" s="0" t="n">
        <v>100</v>
      </c>
      <c r="E62" s="0" t="n">
        <v>22.2</v>
      </c>
      <c r="F62" s="0" t="n">
        <v>0</v>
      </c>
      <c r="G62" s="0" t="n">
        <v>0</v>
      </c>
      <c r="H62" s="0" t="n">
        <v>0</v>
      </c>
      <c r="I62" s="0" t="n">
        <v>0</v>
      </c>
      <c r="J62" s="0" t="n">
        <v>9</v>
      </c>
      <c r="K62" s="0" t="n">
        <v>22.2</v>
      </c>
      <c r="L62" s="0" t="n">
        <v>24.10049001783981</v>
      </c>
      <c r="M62" s="0" t="n">
        <v>7.719127865504993</v>
      </c>
      <c r="N62" s="0" t="n">
        <v>851</v>
      </c>
    </row>
    <row r="63">
      <c r="A63" s="0" t="inlineStr">
        <is>
          <t>Wyz</t>
        </is>
      </c>
      <c r="B63" s="0" t="n">
        <v>2</v>
      </c>
      <c r="C63" s="0" t="n">
        <v>1</v>
      </c>
      <c r="D63" s="0" t="n">
        <v>100</v>
      </c>
      <c r="E63" s="0" t="n">
        <v>50</v>
      </c>
      <c r="F63" s="0" t="n">
        <v>0</v>
      </c>
      <c r="G63" s="0" t="n">
        <v>0</v>
      </c>
      <c r="H63" s="0" t="n">
        <v>0</v>
      </c>
      <c r="I63" s="0" t="n">
        <v>0</v>
      </c>
      <c r="J63" s="0" t="n">
        <v>2</v>
      </c>
      <c r="K63" s="0" t="n">
        <v>50</v>
      </c>
      <c r="L63" s="0" t="n">
        <v>24.7278128896186</v>
      </c>
      <c r="M63" s="0" t="n">
        <v>8.168576616835843</v>
      </c>
      <c r="N63" s="0" t="n">
        <v>848</v>
      </c>
    </row>
    <row r="64">
      <c r="A64" s="0" t="inlineStr">
        <is>
          <t>Steep</t>
        </is>
      </c>
      <c r="B64" s="0" t="n">
        <v>2</v>
      </c>
      <c r="C64" s="0" t="n">
        <v>1</v>
      </c>
      <c r="D64" s="0" t="n">
        <v>66.7</v>
      </c>
      <c r="E64" s="0" t="n">
        <v>50</v>
      </c>
      <c r="F64" s="0" t="n">
        <v>1</v>
      </c>
      <c r="G64" s="0" t="n">
        <v>0</v>
      </c>
      <c r="H64" s="0" t="n">
        <v>33.3</v>
      </c>
      <c r="I64" s="0" t="n">
        <v>0</v>
      </c>
      <c r="J64" s="0" t="n">
        <v>3</v>
      </c>
      <c r="K64" s="0" t="n">
        <v>33.3</v>
      </c>
      <c r="L64" s="0" t="n">
        <v>24.28249074122674</v>
      </c>
      <c r="M64" s="0" t="n">
        <v>8.091136268775919</v>
      </c>
      <c r="N64" s="0" t="n">
        <v>826</v>
      </c>
    </row>
    <row r="65">
      <c r="A65" s="0" t="inlineStr">
        <is>
          <t>Lombax</t>
        </is>
      </c>
      <c r="B65" s="0" t="n">
        <v>5</v>
      </c>
      <c r="C65" s="0" t="n">
        <v>1</v>
      </c>
      <c r="D65" s="0" t="n">
        <v>62.5</v>
      </c>
      <c r="E65" s="0" t="n">
        <v>20</v>
      </c>
      <c r="F65" s="0" t="n">
        <v>3</v>
      </c>
      <c r="G65" s="0" t="n">
        <v>2</v>
      </c>
      <c r="H65" s="0" t="n">
        <v>37.5</v>
      </c>
      <c r="I65" s="0" t="n">
        <v>66.7</v>
      </c>
      <c r="J65" s="0" t="n">
        <v>8</v>
      </c>
      <c r="K65" s="0" t="n">
        <v>37.5</v>
      </c>
      <c r="L65" s="0" t="n">
        <v>23.87787948172179</v>
      </c>
      <c r="M65" s="0" t="n">
        <v>7.85753172127599</v>
      </c>
      <c r="N65" s="0" t="n">
        <v>822</v>
      </c>
    </row>
    <row r="66">
      <c r="A66" s="0" t="inlineStr">
        <is>
          <t>Daniel</t>
        </is>
      </c>
      <c r="B66" s="0" t="n">
        <v>1</v>
      </c>
      <c r="C66" s="0" t="n">
        <v>0</v>
      </c>
      <c r="D66" s="0" t="n">
        <v>100</v>
      </c>
      <c r="E66" s="0" t="n">
        <v>0</v>
      </c>
      <c r="F66" s="0" t="n">
        <v>0</v>
      </c>
      <c r="G66" s="0" t="n">
        <v>0</v>
      </c>
      <c r="H66" s="0" t="n">
        <v>0</v>
      </c>
      <c r="I66" s="0" t="n">
        <v>0</v>
      </c>
      <c r="J66" s="0" t="n">
        <v>1</v>
      </c>
      <c r="K66" s="0" t="n">
        <v>0</v>
      </c>
      <c r="L66" s="0" t="n">
        <v>24.40186578938776</v>
      </c>
      <c r="M66" s="0" t="n">
        <v>8.271503828618972</v>
      </c>
      <c r="N66" s="0" t="n">
        <v>816</v>
      </c>
    </row>
    <row r="67">
      <c r="A67" s="0" t="inlineStr">
        <is>
          <t>Ryan</t>
        </is>
      </c>
      <c r="B67" s="0" t="n">
        <v>0</v>
      </c>
      <c r="C67" s="0" t="n">
        <v>0</v>
      </c>
      <c r="D67" s="0" t="n">
        <v>0</v>
      </c>
      <c r="E67" s="0" t="n">
        <v>0</v>
      </c>
      <c r="F67" s="0" t="n">
        <v>1</v>
      </c>
      <c r="G67" s="0" t="n">
        <v>0</v>
      </c>
      <c r="H67" s="0" t="n">
        <v>100</v>
      </c>
      <c r="I67" s="0" t="n">
        <v>0</v>
      </c>
      <c r="J67" s="0" t="n">
        <v>1</v>
      </c>
      <c r="K67" s="0" t="n">
        <v>0</v>
      </c>
      <c r="L67" s="0" t="n">
        <v>24.41573238123837</v>
      </c>
      <c r="M67" s="0" t="n">
        <v>8.275317724516887</v>
      </c>
      <c r="N67" s="0" t="n">
        <v>816</v>
      </c>
    </row>
    <row r="68">
      <c r="A68" s="0" t="inlineStr">
        <is>
          <t>Kango</t>
        </is>
      </c>
      <c r="B68" s="0" t="n">
        <v>1</v>
      </c>
      <c r="C68" s="0" t="n">
        <v>0</v>
      </c>
      <c r="D68" s="0" t="n">
        <v>100</v>
      </c>
      <c r="E68" s="0" t="n">
        <v>0</v>
      </c>
      <c r="F68" s="0" t="n">
        <v>0</v>
      </c>
      <c r="G68" s="0" t="n">
        <v>0</v>
      </c>
      <c r="H68" s="0" t="n">
        <v>0</v>
      </c>
      <c r="I68" s="0" t="n">
        <v>0</v>
      </c>
      <c r="J68" s="0" t="n">
        <v>1</v>
      </c>
      <c r="K68" s="0" t="n">
        <v>0</v>
      </c>
      <c r="L68" s="0" t="n">
        <v>24.39238449726114</v>
      </c>
      <c r="M68" s="0" t="n">
        <v>8.272819575928471</v>
      </c>
      <c r="N68" s="0" t="n">
        <v>815</v>
      </c>
    </row>
    <row r="69">
      <c r="A69" s="0" t="inlineStr">
        <is>
          <t>DrMorris</t>
        </is>
      </c>
      <c r="B69" s="0" t="n">
        <v>1</v>
      </c>
      <c r="C69" s="0" t="n">
        <v>0</v>
      </c>
      <c r="D69" s="0" t="n">
        <v>100</v>
      </c>
      <c r="E69" s="0" t="n">
        <v>0</v>
      </c>
      <c r="F69" s="0" t="n">
        <v>0</v>
      </c>
      <c r="G69" s="0" t="n">
        <v>0</v>
      </c>
      <c r="H69" s="0" t="n">
        <v>0</v>
      </c>
      <c r="I69" s="0" t="n">
        <v>0</v>
      </c>
      <c r="J69" s="0" t="n">
        <v>1</v>
      </c>
      <c r="K69" s="0" t="n">
        <v>0</v>
      </c>
      <c r="L69" s="0" t="n">
        <v>24.27625843126764</v>
      </c>
      <c r="M69" s="0" t="n">
        <v>8.261857688227304</v>
      </c>
      <c r="N69" s="0" t="n">
        <v>808</v>
      </c>
    </row>
    <row r="70">
      <c r="A70" s="0" t="inlineStr">
        <is>
          <t>Pie</t>
        </is>
      </c>
      <c r="B70" s="0" t="n">
        <v>0</v>
      </c>
      <c r="C70" s="0" t="n">
        <v>0</v>
      </c>
      <c r="D70" s="0" t="n">
        <v>0</v>
      </c>
      <c r="E70" s="0" t="n">
        <v>0</v>
      </c>
      <c r="F70" s="0" t="n">
        <v>1</v>
      </c>
      <c r="G70" s="0" t="n">
        <v>0</v>
      </c>
      <c r="H70" s="0" t="n">
        <v>100</v>
      </c>
      <c r="I70" s="0" t="n">
        <v>0</v>
      </c>
      <c r="J70" s="0" t="n">
        <v>1</v>
      </c>
      <c r="K70" s="0" t="n">
        <v>0</v>
      </c>
      <c r="L70" s="0" t="n">
        <v>24.25461231108546</v>
      </c>
      <c r="M70" s="0" t="n">
        <v>8.26386117414877</v>
      </c>
      <c r="N70" s="0" t="n">
        <v>806</v>
      </c>
    </row>
    <row r="71">
      <c r="A71" s="0" t="inlineStr">
        <is>
          <t>Sunspot</t>
        </is>
      </c>
      <c r="B71" s="0" t="n">
        <v>1</v>
      </c>
      <c r="C71" s="0" t="n">
        <v>0</v>
      </c>
      <c r="D71" s="0" t="n">
        <v>100</v>
      </c>
      <c r="E71" s="0" t="n">
        <v>0</v>
      </c>
      <c r="F71" s="0" t="n">
        <v>0</v>
      </c>
      <c r="G71" s="0" t="n">
        <v>0</v>
      </c>
      <c r="H71" s="0" t="n">
        <v>0</v>
      </c>
      <c r="I71" s="0" t="n">
        <v>0</v>
      </c>
      <c r="J71" s="0" t="n">
        <v>1</v>
      </c>
      <c r="K71" s="0" t="n">
        <v>0</v>
      </c>
      <c r="L71" s="0" t="n">
        <v>24.0077374947631</v>
      </c>
      <c r="M71" s="0" t="n">
        <v>8.258095111969281</v>
      </c>
      <c r="N71" s="0" t="n">
        <v>790</v>
      </c>
    </row>
    <row r="72">
      <c r="A72" s="0" t="inlineStr">
        <is>
          <t>Zesta</t>
        </is>
      </c>
      <c r="B72" s="0" t="n">
        <v>1</v>
      </c>
      <c r="C72" s="0" t="n">
        <v>0</v>
      </c>
      <c r="D72" s="0" t="n">
        <v>100</v>
      </c>
      <c r="E72" s="0" t="n">
        <v>0</v>
      </c>
      <c r="F72" s="0" t="n">
        <v>0</v>
      </c>
      <c r="G72" s="0" t="n">
        <v>0</v>
      </c>
      <c r="H72" s="0" t="n">
        <v>0</v>
      </c>
      <c r="I72" s="0" t="n">
        <v>0</v>
      </c>
      <c r="J72" s="0" t="n">
        <v>1</v>
      </c>
      <c r="K72" s="0" t="n">
        <v>0</v>
      </c>
      <c r="L72" s="0" t="n">
        <v>24.00056768430646</v>
      </c>
      <c r="M72" s="0" t="n">
        <v>8.256191507311712</v>
      </c>
      <c r="N72" s="0" t="n">
        <v>790</v>
      </c>
    </row>
    <row r="73">
      <c r="A73" s="0" t="inlineStr">
        <is>
          <t>Relm</t>
        </is>
      </c>
      <c r="B73" s="0" t="n">
        <v>1</v>
      </c>
      <c r="C73" s="0" t="n">
        <v>0</v>
      </c>
      <c r="D73" s="0" t="n">
        <v>100</v>
      </c>
      <c r="E73" s="0" t="n">
        <v>0</v>
      </c>
      <c r="F73" s="0" t="n">
        <v>0</v>
      </c>
      <c r="G73" s="0" t="n">
        <v>0</v>
      </c>
      <c r="H73" s="0" t="n">
        <v>0</v>
      </c>
      <c r="I73" s="0" t="n">
        <v>0</v>
      </c>
      <c r="J73" s="0" t="n">
        <v>1</v>
      </c>
      <c r="K73" s="0" t="n">
        <v>0</v>
      </c>
      <c r="L73" s="0" t="n">
        <v>23.98904986423692</v>
      </c>
      <c r="M73" s="0" t="n">
        <v>8.257825141776841</v>
      </c>
      <c r="N73" s="0" t="n">
        <v>789</v>
      </c>
    </row>
    <row r="74">
      <c r="A74" s="0" t="inlineStr">
        <is>
          <t>Doublea</t>
        </is>
      </c>
      <c r="B74" s="0" t="n">
        <v>17</v>
      </c>
      <c r="C74" s="0" t="n">
        <v>6</v>
      </c>
      <c r="D74" s="0" t="n">
        <v>70.8</v>
      </c>
      <c r="E74" s="0" t="n">
        <v>35.3</v>
      </c>
      <c r="F74" s="0" t="n">
        <v>7</v>
      </c>
      <c r="G74" s="0" t="n">
        <v>4</v>
      </c>
      <c r="H74" s="0" t="n">
        <v>29.2</v>
      </c>
      <c r="I74" s="0" t="n">
        <v>57.1</v>
      </c>
      <c r="J74" s="0" t="n">
        <v>24</v>
      </c>
      <c r="K74" s="0" t="n">
        <v>41.7</v>
      </c>
      <c r="L74" s="0" t="n">
        <v>21.832709393083</v>
      </c>
      <c r="M74" s="0" t="n">
        <v>6.844167985894362</v>
      </c>
      <c r="N74" s="0" t="n">
        <v>787</v>
      </c>
    </row>
    <row r="75">
      <c r="A75" s="0" t="inlineStr">
        <is>
          <t>Raf</t>
        </is>
      </c>
      <c r="B75" s="0" t="n">
        <v>1</v>
      </c>
      <c r="C75" s="0" t="n">
        <v>0</v>
      </c>
      <c r="D75" s="0" t="n">
        <v>100</v>
      </c>
      <c r="E75" s="0" t="n">
        <v>0</v>
      </c>
      <c r="F75" s="0" t="n">
        <v>0</v>
      </c>
      <c r="G75" s="0" t="n">
        <v>0</v>
      </c>
      <c r="H75" s="0" t="n">
        <v>0</v>
      </c>
      <c r="I75" s="0" t="n">
        <v>0</v>
      </c>
      <c r="J75" s="0" t="n">
        <v>1</v>
      </c>
      <c r="K75" s="0" t="n">
        <v>0</v>
      </c>
      <c r="L75" s="0" t="n">
        <v>23.75815348305494</v>
      </c>
      <c r="M75" s="0" t="n">
        <v>8.242411916851013</v>
      </c>
      <c r="N75" s="0" t="n">
        <v>775</v>
      </c>
    </row>
    <row r="76">
      <c r="A76" s="0" t="inlineStr">
        <is>
          <t>Ken</t>
        </is>
      </c>
      <c r="B76" s="0" t="n">
        <v>21</v>
      </c>
      <c r="C76" s="0" t="n">
        <v>9</v>
      </c>
      <c r="D76" s="0" t="n">
        <v>84</v>
      </c>
      <c r="E76" s="0" t="n">
        <v>42.9</v>
      </c>
      <c r="F76" s="0" t="n">
        <v>4</v>
      </c>
      <c r="G76" s="0" t="n">
        <v>0</v>
      </c>
      <c r="H76" s="0" t="n">
        <v>16</v>
      </c>
      <c r="I76" s="0" t="n">
        <v>0</v>
      </c>
      <c r="J76" s="0" t="n">
        <v>25</v>
      </c>
      <c r="K76" s="0" t="n">
        <v>36</v>
      </c>
      <c r="L76" s="0" t="n">
        <v>21.4951500431596</v>
      </c>
      <c r="M76" s="0" t="n">
        <v>6.851943914865299</v>
      </c>
      <c r="N76" s="0" t="n">
        <v>763</v>
      </c>
    </row>
    <row r="77">
      <c r="A77" s="0" t="inlineStr">
        <is>
          <t>Matt</t>
        </is>
      </c>
      <c r="B77" s="0" t="n">
        <v>2</v>
      </c>
      <c r="C77" s="0" t="n">
        <v>0</v>
      </c>
      <c r="D77" s="0" t="n">
        <v>100</v>
      </c>
      <c r="E77" s="0" t="n">
        <v>0</v>
      </c>
      <c r="F77" s="0" t="n">
        <v>0</v>
      </c>
      <c r="G77" s="0" t="n">
        <v>0</v>
      </c>
      <c r="H77" s="0" t="n">
        <v>0</v>
      </c>
      <c r="I77" s="0" t="n">
        <v>0</v>
      </c>
      <c r="J77" s="0" t="n">
        <v>2</v>
      </c>
      <c r="K77" s="0" t="n">
        <v>0</v>
      </c>
      <c r="L77" s="0" t="n">
        <v>23.49040024973913</v>
      </c>
      <c r="M77" s="0" t="n">
        <v>8.213471154505447</v>
      </c>
      <c r="N77" s="0" t="n">
        <v>760</v>
      </c>
    </row>
    <row r="78">
      <c r="A78" s="0" t="inlineStr">
        <is>
          <t>Vandyfan</t>
        </is>
      </c>
      <c r="B78" s="0" t="n">
        <v>1</v>
      </c>
      <c r="C78" s="0" t="n">
        <v>0</v>
      </c>
      <c r="D78" s="0" t="n">
        <v>100</v>
      </c>
      <c r="E78" s="0" t="n">
        <v>0</v>
      </c>
      <c r="F78" s="0" t="n">
        <v>0</v>
      </c>
      <c r="G78" s="0" t="n">
        <v>0</v>
      </c>
      <c r="H78" s="0" t="n">
        <v>0</v>
      </c>
      <c r="I78" s="0" t="n">
        <v>0</v>
      </c>
      <c r="J78" s="0" t="n">
        <v>1</v>
      </c>
      <c r="K78" s="0" t="n">
        <v>0</v>
      </c>
      <c r="L78" s="0" t="n">
        <v>23.4653715416377</v>
      </c>
      <c r="M78" s="0" t="n">
        <v>8.226079770690665</v>
      </c>
      <c r="N78" s="0" t="n">
        <v>757</v>
      </c>
    </row>
    <row r="79">
      <c r="A79" s="0" t="inlineStr">
        <is>
          <t>Paradox</t>
        </is>
      </c>
      <c r="B79" s="0" t="n">
        <v>0</v>
      </c>
      <c r="C79" s="0" t="n">
        <v>0</v>
      </c>
      <c r="D79" s="0" t="n">
        <v>0</v>
      </c>
      <c r="E79" s="0" t="n">
        <v>0</v>
      </c>
      <c r="F79" s="0" t="n">
        <v>1</v>
      </c>
      <c r="G79" s="0" t="n">
        <v>0</v>
      </c>
      <c r="H79" s="0" t="n">
        <v>100</v>
      </c>
      <c r="I79" s="0" t="n">
        <v>0</v>
      </c>
      <c r="J79" s="0" t="n">
        <v>1</v>
      </c>
      <c r="K79" s="0" t="n">
        <v>0</v>
      </c>
      <c r="L79" s="0" t="n">
        <v>23.45432447271075</v>
      </c>
      <c r="M79" s="0" t="n">
        <v>8.233266416042341</v>
      </c>
      <c r="N79" s="0" t="n">
        <v>755</v>
      </c>
    </row>
    <row r="80">
      <c r="A80" s="0" t="inlineStr">
        <is>
          <t>Lovekilling</t>
        </is>
      </c>
      <c r="B80" s="0" t="n">
        <v>7</v>
      </c>
      <c r="C80" s="0" t="n">
        <v>3</v>
      </c>
      <c r="D80" s="0" t="n">
        <v>58.3</v>
      </c>
      <c r="E80" s="0" t="n">
        <v>42.9</v>
      </c>
      <c r="F80" s="0" t="n">
        <v>5</v>
      </c>
      <c r="G80" s="0" t="n">
        <v>1</v>
      </c>
      <c r="H80" s="0" t="n">
        <v>41.7</v>
      </c>
      <c r="I80" s="0" t="n">
        <v>20</v>
      </c>
      <c r="J80" s="0" t="n">
        <v>12</v>
      </c>
      <c r="K80" s="0" t="n">
        <v>33.3</v>
      </c>
      <c r="L80" s="0" t="n">
        <v>22.24265597508599</v>
      </c>
      <c r="M80" s="0" t="n">
        <v>7.502942962188333</v>
      </c>
      <c r="N80" s="0" t="n">
        <v>747</v>
      </c>
    </row>
    <row r="81">
      <c r="A81" s="0" t="inlineStr">
        <is>
          <t>Justice</t>
        </is>
      </c>
      <c r="B81" s="0" t="n">
        <v>0</v>
      </c>
      <c r="C81" s="0" t="n">
        <v>0</v>
      </c>
      <c r="D81" s="0" t="n">
        <v>0</v>
      </c>
      <c r="E81" s="0" t="n">
        <v>0</v>
      </c>
      <c r="F81" s="0" t="n">
        <v>1</v>
      </c>
      <c r="G81" s="0" t="n">
        <v>0</v>
      </c>
      <c r="H81" s="0" t="n">
        <v>100</v>
      </c>
      <c r="I81" s="0" t="n">
        <v>0</v>
      </c>
      <c r="J81" s="0" t="n">
        <v>1</v>
      </c>
      <c r="K81" s="0" t="n">
        <v>0</v>
      </c>
      <c r="L81" s="0" t="n">
        <v>23.36056569583015</v>
      </c>
      <c r="M81" s="0" t="n">
        <v>8.245825509665863</v>
      </c>
      <c r="N81" s="0" t="n">
        <v>747</v>
      </c>
    </row>
    <row r="82">
      <c r="A82" s="0" t="inlineStr">
        <is>
          <t>Brady</t>
        </is>
      </c>
      <c r="B82" s="0" t="n">
        <v>1</v>
      </c>
      <c r="C82" s="0" t="n">
        <v>0</v>
      </c>
      <c r="D82" s="0" t="n">
        <v>50</v>
      </c>
      <c r="E82" s="0" t="n">
        <v>0</v>
      </c>
      <c r="F82" s="0" t="n">
        <v>1</v>
      </c>
      <c r="G82" s="0" t="n">
        <v>0</v>
      </c>
      <c r="H82" s="0" t="n">
        <v>50</v>
      </c>
      <c r="I82" s="0" t="n">
        <v>0</v>
      </c>
      <c r="J82" s="0" t="n">
        <v>2</v>
      </c>
      <c r="K82" s="0" t="n">
        <v>0</v>
      </c>
      <c r="L82" s="0" t="n">
        <v>23.01271843397033</v>
      </c>
      <c r="M82" s="0" t="n">
        <v>8.17641749606104</v>
      </c>
      <c r="N82" s="0" t="n">
        <v>731</v>
      </c>
    </row>
    <row r="83">
      <c r="A83" s="0" t="inlineStr">
        <is>
          <t>Kowa</t>
        </is>
      </c>
      <c r="B83" s="0" t="n">
        <v>1</v>
      </c>
      <c r="C83" s="0" t="n">
        <v>0</v>
      </c>
      <c r="D83" s="0" t="n">
        <v>50</v>
      </c>
      <c r="E83" s="0" t="n">
        <v>0</v>
      </c>
      <c r="F83" s="0" t="n">
        <v>1</v>
      </c>
      <c r="G83" s="0" t="n">
        <v>0</v>
      </c>
      <c r="H83" s="0" t="n">
        <v>50</v>
      </c>
      <c r="I83" s="0" t="n">
        <v>0</v>
      </c>
      <c r="J83" s="0" t="n">
        <v>2</v>
      </c>
      <c r="K83" s="0" t="n">
        <v>0</v>
      </c>
      <c r="L83" s="0" t="n">
        <v>22.79023789615378</v>
      </c>
      <c r="M83" s="0" t="n">
        <v>8.181519560248288</v>
      </c>
      <c r="N83" s="0" t="n">
        <v>715</v>
      </c>
    </row>
    <row r="84">
      <c r="A84" s="0" t="inlineStr">
        <is>
          <t>Kwix</t>
        </is>
      </c>
      <c r="B84" s="0" t="n">
        <v>34</v>
      </c>
      <c r="C84" s="0" t="n">
        <v>13</v>
      </c>
      <c r="D84" s="0" t="n">
        <v>75.59999999999999</v>
      </c>
      <c r="E84" s="0" t="n">
        <v>38.2</v>
      </c>
      <c r="F84" s="0" t="n">
        <v>11</v>
      </c>
      <c r="G84" s="0" t="n">
        <v>5</v>
      </c>
      <c r="H84" s="0" t="n">
        <v>24.4</v>
      </c>
      <c r="I84" s="0" t="n">
        <v>45.5</v>
      </c>
      <c r="J84" s="0" t="n">
        <v>45</v>
      </c>
      <c r="K84" s="0" t="n">
        <v>40</v>
      </c>
      <c r="L84" s="0" t="n">
        <v>19.4914126753052</v>
      </c>
      <c r="M84" s="0" t="n">
        <v>5.996677611204653</v>
      </c>
      <c r="N84" s="0" t="n">
        <v>714</v>
      </c>
    </row>
    <row r="85">
      <c r="A85" s="0" t="inlineStr">
        <is>
          <t>Decode</t>
        </is>
      </c>
      <c r="B85" s="0" t="n">
        <v>16</v>
      </c>
      <c r="C85" s="0" t="n">
        <v>6</v>
      </c>
      <c r="D85" s="0" t="n">
        <v>80</v>
      </c>
      <c r="E85" s="0" t="n">
        <v>37.5</v>
      </c>
      <c r="F85" s="0" t="n">
        <v>4</v>
      </c>
      <c r="G85" s="0" t="n">
        <v>1</v>
      </c>
      <c r="H85" s="0" t="n">
        <v>20</v>
      </c>
      <c r="I85" s="0" t="n">
        <v>25</v>
      </c>
      <c r="J85" s="0" t="n">
        <v>20</v>
      </c>
      <c r="K85" s="0" t="n">
        <v>35</v>
      </c>
      <c r="L85" s="0" t="n">
        <v>20.84390814100302</v>
      </c>
      <c r="M85" s="0" t="n">
        <v>6.957410738748222</v>
      </c>
      <c r="N85" s="0" t="n">
        <v>708</v>
      </c>
    </row>
    <row r="86">
      <c r="A86" s="0" t="inlineStr">
        <is>
          <t>Happymeal</t>
        </is>
      </c>
      <c r="B86" s="0" t="n">
        <v>10</v>
      </c>
      <c r="C86" s="0" t="n">
        <v>3</v>
      </c>
      <c r="D86" s="0" t="n">
        <v>71.40000000000001</v>
      </c>
      <c r="E86" s="0" t="n">
        <v>30</v>
      </c>
      <c r="F86" s="0" t="n">
        <v>4</v>
      </c>
      <c r="G86" s="0" t="n">
        <v>1</v>
      </c>
      <c r="H86" s="0" t="n">
        <v>28.6</v>
      </c>
      <c r="I86" s="0" t="n">
        <v>25</v>
      </c>
      <c r="J86" s="0" t="n">
        <v>14</v>
      </c>
      <c r="K86" s="0" t="n">
        <v>28.6</v>
      </c>
      <c r="L86" s="0" t="n">
        <v>21.38605353107611</v>
      </c>
      <c r="M86" s="0" t="n">
        <v>7.365429381218733</v>
      </c>
      <c r="N86" s="0" t="n">
        <v>703</v>
      </c>
    </row>
    <row r="87">
      <c r="A87" s="0" t="inlineStr">
        <is>
          <t>Antfrost</t>
        </is>
      </c>
      <c r="B87" s="0" t="n">
        <v>3</v>
      </c>
      <c r="C87" s="0" t="n">
        <v>1</v>
      </c>
      <c r="D87" s="0" t="n">
        <v>75</v>
      </c>
      <c r="E87" s="0" t="n">
        <v>33.3</v>
      </c>
      <c r="F87" s="0" t="n">
        <v>1</v>
      </c>
      <c r="G87" s="0" t="n">
        <v>0</v>
      </c>
      <c r="H87" s="0" t="n">
        <v>25</v>
      </c>
      <c r="I87" s="0" t="n">
        <v>0</v>
      </c>
      <c r="J87" s="0" t="n">
        <v>4</v>
      </c>
      <c r="K87" s="0" t="n">
        <v>25</v>
      </c>
      <c r="L87" s="0" t="n">
        <v>22.21855900387497</v>
      </c>
      <c r="M87" s="0" t="n">
        <v>8.015117081347052</v>
      </c>
      <c r="N87" s="0" t="n">
        <v>693</v>
      </c>
    </row>
    <row r="88">
      <c r="A88" s="0" t="inlineStr">
        <is>
          <t>Hunterxp</t>
        </is>
      </c>
      <c r="B88" s="0" t="n">
        <v>8</v>
      </c>
      <c r="C88" s="0" t="n">
        <v>2</v>
      </c>
      <c r="D88" s="0" t="n">
        <v>72.7</v>
      </c>
      <c r="E88" s="0" t="n">
        <v>25</v>
      </c>
      <c r="F88" s="0" t="n">
        <v>3</v>
      </c>
      <c r="G88" s="0" t="n">
        <v>2</v>
      </c>
      <c r="H88" s="0" t="n">
        <v>27.3</v>
      </c>
      <c r="I88" s="0" t="n">
        <v>66.7</v>
      </c>
      <c r="J88" s="0" t="n">
        <v>11</v>
      </c>
      <c r="K88" s="0" t="n">
        <v>36.4</v>
      </c>
      <c r="L88" s="0" t="n">
        <v>21.32221845047643</v>
      </c>
      <c r="M88" s="0" t="n">
        <v>7.540565096280075</v>
      </c>
      <c r="N88" s="0" t="n">
        <v>681</v>
      </c>
    </row>
    <row r="89">
      <c r="A89" s="0" t="inlineStr">
        <is>
          <t>Maz</t>
        </is>
      </c>
      <c r="B89" s="0" t="n">
        <v>4</v>
      </c>
      <c r="C89" s="0" t="n">
        <v>2</v>
      </c>
      <c r="D89" s="0" t="n">
        <v>57.1</v>
      </c>
      <c r="E89" s="0" t="n">
        <v>50</v>
      </c>
      <c r="F89" s="0" t="n">
        <v>3</v>
      </c>
      <c r="G89" s="0" t="n">
        <v>0</v>
      </c>
      <c r="H89" s="0" t="n">
        <v>42.9</v>
      </c>
      <c r="I89" s="0" t="n">
        <v>0</v>
      </c>
      <c r="J89" s="0" t="n">
        <v>7</v>
      </c>
      <c r="K89" s="0" t="n">
        <v>28.6</v>
      </c>
      <c r="L89" s="0" t="n">
        <v>21.13023527284499</v>
      </c>
      <c r="M89" s="0" t="n">
        <v>7.795033307508041</v>
      </c>
      <c r="N89" s="0" t="n">
        <v>642</v>
      </c>
    </row>
    <row r="90">
      <c r="A90" s="0" t="inlineStr">
        <is>
          <t>Aipha</t>
        </is>
      </c>
      <c r="B90" s="0" t="n">
        <v>16</v>
      </c>
      <c r="C90" s="0" t="n">
        <v>4</v>
      </c>
      <c r="D90" s="0" t="n">
        <v>84.2</v>
      </c>
      <c r="E90" s="0" t="n">
        <v>25</v>
      </c>
      <c r="F90" s="0" t="n">
        <v>3</v>
      </c>
      <c r="G90" s="0" t="n">
        <v>2</v>
      </c>
      <c r="H90" s="0" t="n">
        <v>15.8</v>
      </c>
      <c r="I90" s="0" t="n">
        <v>66.7</v>
      </c>
      <c r="J90" s="0" t="n">
        <v>19</v>
      </c>
      <c r="K90" s="0" t="n">
        <v>31.6</v>
      </c>
      <c r="L90" s="0" t="n">
        <v>19.05370456899528</v>
      </c>
      <c r="M90" s="0" t="n">
        <v>7.133355079409871</v>
      </c>
      <c r="N90" s="0" t="n">
        <v>568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43"/>
  <sheetViews>
    <sheetView workbookViewId="0">
      <selection activeCell="A1" sqref="A1"/>
    </sheetView>
  </sheetViews>
  <sheetFormatPr baseColWidth="8" defaultRowHeight="15"/>
  <sheetData>
    <row r="1">
      <c r="A1" t="inlineStr">
        <is>
          <t>GameID</t>
        </is>
      </c>
      <c r="B1" t="inlineStr">
        <is>
          <t>Player</t>
        </is>
      </c>
      <c r="C1" t="inlineStr">
        <is>
          <t>Alignment</t>
        </is>
      </c>
      <c r="D1" t="inlineStr">
        <is>
          <t>Result</t>
        </is>
      </c>
      <c r="E1" t="inlineStr">
        <is>
          <t>RateChange</t>
        </is>
      </c>
      <c r="F1" t="inlineStr">
        <is>
          <t>old_mu</t>
        </is>
      </c>
      <c r="G1" t="inlineStr">
        <is>
          <t>new_mu</t>
        </is>
      </c>
      <c r="H1" t="inlineStr">
        <is>
          <t>new_sigma</t>
        </is>
      </c>
      <c r="I1" t="inlineStr">
        <is>
          <t>old_rating</t>
        </is>
      </c>
      <c r="J1" t="inlineStr">
        <is>
          <t>new_rating</t>
        </is>
      </c>
      <c r="K1" t="inlineStr">
        <is>
          <t>old_sigma</t>
        </is>
      </c>
    </row>
    <row r="2">
      <c r="A2" t="n">
        <v>162</v>
      </c>
      <c r="B2" t="inlineStr">
        <is>
          <t>Ken</t>
        </is>
      </c>
      <c r="C2" t="inlineStr">
        <is>
          <t>Mafia</t>
        </is>
      </c>
      <c r="D2" t="inlineStr">
        <is>
          <t>Loss</t>
        </is>
      </c>
      <c r="E2" t="n">
        <v>-50</v>
      </c>
      <c r="F2" t="n">
        <v>24.29143467942546</v>
      </c>
      <c r="G2" t="n">
        <v>23.48117362202932</v>
      </c>
      <c r="H2" t="n">
        <v>6.989833669806308</v>
      </c>
      <c r="I2" t="n">
        <v>934</v>
      </c>
      <c r="J2" t="n">
        <v>884</v>
      </c>
      <c r="K2" t="n">
        <v>7.042160054516297</v>
      </c>
    </row>
    <row r="3">
      <c r="A3" t="n">
        <v>162</v>
      </c>
      <c r="B3" t="inlineStr">
        <is>
          <t>Strik3r</t>
        </is>
      </c>
      <c r="C3" t="inlineStr">
        <is>
          <t>Mafia</t>
        </is>
      </c>
      <c r="D3" t="inlineStr">
        <is>
          <t>Loss</t>
        </is>
      </c>
      <c r="E3" t="n">
        <v>-39</v>
      </c>
      <c r="F3" t="n">
        <v>30.10129079563002</v>
      </c>
      <c r="G3" t="n">
        <v>29.48533092269716</v>
      </c>
      <c r="H3" t="n">
        <v>6.105515380788654</v>
      </c>
      <c r="I3" t="n">
        <v>1421</v>
      </c>
      <c r="J3" t="n">
        <v>1382</v>
      </c>
      <c r="K3" t="n">
        <v>6.139822357160456</v>
      </c>
    </row>
    <row r="4">
      <c r="A4" t="n">
        <v>162</v>
      </c>
      <c r="B4" t="inlineStr">
        <is>
          <t>Chipper</t>
        </is>
      </c>
      <c r="C4" t="inlineStr">
        <is>
          <t>Mafia</t>
        </is>
      </c>
      <c r="D4" t="inlineStr">
        <is>
          <t>Loss</t>
        </is>
      </c>
      <c r="E4" t="n">
        <v>-40</v>
      </c>
      <c r="F4" t="n">
        <v>29.42947572387786</v>
      </c>
      <c r="G4" t="n">
        <v>28.78446852760897</v>
      </c>
      <c r="H4" t="n">
        <v>6.246118470394113</v>
      </c>
      <c r="I4" t="n">
        <v>1360</v>
      </c>
      <c r="J4" t="n">
        <v>1320</v>
      </c>
      <c r="K4" t="n">
        <v>6.282962529324164</v>
      </c>
    </row>
    <row r="5">
      <c r="A5" t="n">
        <v>162</v>
      </c>
      <c r="B5" t="inlineStr">
        <is>
          <t>Iln</t>
        </is>
      </c>
      <c r="C5" t="inlineStr">
        <is>
          <t>Town</t>
        </is>
      </c>
      <c r="D5" t="inlineStr">
        <is>
          <t>Win</t>
        </is>
      </c>
      <c r="E5" t="n">
        <v>38</v>
      </c>
      <c r="F5" t="n">
        <v>31.87317271633648</v>
      </c>
      <c r="G5" t="n">
        <v>32.40070137940929</v>
      </c>
      <c r="H5" t="n">
        <v>5.654947095465651</v>
      </c>
      <c r="I5" t="n">
        <v>1588</v>
      </c>
      <c r="J5" t="n">
        <v>1626</v>
      </c>
      <c r="K5" t="n">
        <v>5.681891943207977</v>
      </c>
    </row>
    <row r="6">
      <c r="A6" t="n">
        <v>162</v>
      </c>
      <c r="B6" t="inlineStr">
        <is>
          <t>Lou</t>
        </is>
      </c>
      <c r="C6" t="inlineStr">
        <is>
          <t>Town</t>
        </is>
      </c>
      <c r="D6" t="inlineStr">
        <is>
          <t>Win</t>
        </is>
      </c>
      <c r="E6" t="n">
        <v>42</v>
      </c>
      <c r="F6" t="n">
        <v>31.20476528322671</v>
      </c>
      <c r="G6" t="n">
        <v>31.77370756324608</v>
      </c>
      <c r="H6" t="n">
        <v>5.870449865141606</v>
      </c>
      <c r="I6" t="n">
        <v>1520</v>
      </c>
      <c r="J6" t="n">
        <v>1562</v>
      </c>
      <c r="K6" t="n">
        <v>5.900773431839215</v>
      </c>
    </row>
    <row r="7">
      <c r="A7" t="n">
        <v>162</v>
      </c>
      <c r="B7" t="inlineStr">
        <is>
          <t>Gilbert</t>
        </is>
      </c>
      <c r="C7" t="inlineStr">
        <is>
          <t>Town</t>
        </is>
      </c>
      <c r="D7" t="inlineStr">
        <is>
          <t>Win</t>
        </is>
      </c>
      <c r="E7" t="n">
        <v>50</v>
      </c>
      <c r="F7" t="n">
        <v>27.34746264368985</v>
      </c>
      <c r="G7" t="n">
        <v>28.02634416847157</v>
      </c>
      <c r="H7" t="n">
        <v>6.406001406222659</v>
      </c>
      <c r="I7" t="n">
        <v>1202</v>
      </c>
      <c r="J7" t="n">
        <v>1252</v>
      </c>
      <c r="K7" t="n">
        <v>6.445875741845193</v>
      </c>
    </row>
    <row r="8">
      <c r="A8" t="n">
        <v>162</v>
      </c>
      <c r="B8" t="inlineStr">
        <is>
          <t>Brownkow</t>
        </is>
      </c>
      <c r="C8" t="inlineStr">
        <is>
          <t>Town</t>
        </is>
      </c>
      <c r="D8" t="inlineStr">
        <is>
          <t>Win</t>
        </is>
      </c>
      <c r="E8" t="n">
        <v>37</v>
      </c>
      <c r="F8" t="n">
        <v>31.75575044541118</v>
      </c>
      <c r="G8" t="n">
        <v>32.25399007146618</v>
      </c>
      <c r="H8" t="n">
        <v>5.497225486151607</v>
      </c>
      <c r="I8" t="n">
        <v>1596</v>
      </c>
      <c r="J8" t="n">
        <v>1633</v>
      </c>
      <c r="K8" t="n">
        <v>5.521856519392403</v>
      </c>
    </row>
    <row r="9">
      <c r="A9" t="n">
        <v>162</v>
      </c>
      <c r="B9" t="inlineStr">
        <is>
          <t>Rocker</t>
        </is>
      </c>
      <c r="C9" t="inlineStr">
        <is>
          <t>Town</t>
        </is>
      </c>
      <c r="D9" t="inlineStr">
        <is>
          <t>Win</t>
        </is>
      </c>
      <c r="E9" t="n">
        <v>37</v>
      </c>
      <c r="F9" t="n">
        <v>37.53042983161993</v>
      </c>
      <c r="G9" t="n">
        <v>38.02971778640769</v>
      </c>
      <c r="H9" t="n">
        <v>5.502951796036641</v>
      </c>
      <c r="I9" t="n">
        <v>1988</v>
      </c>
      <c r="J9" t="n">
        <v>2025</v>
      </c>
      <c r="K9" t="n">
        <v>5.527664543579408</v>
      </c>
    </row>
    <row r="10">
      <c r="A10" t="n">
        <v>162</v>
      </c>
      <c r="B10" t="inlineStr">
        <is>
          <t>Heckmuffins</t>
        </is>
      </c>
      <c r="C10" t="inlineStr">
        <is>
          <t>Town</t>
        </is>
      </c>
      <c r="D10" t="inlineStr">
        <is>
          <t>Win</t>
        </is>
      </c>
      <c r="E10" t="n">
        <v>73</v>
      </c>
      <c r="F10" t="n">
        <v>33.18313426762355</v>
      </c>
      <c r="G10" t="n">
        <v>34.14676558596927</v>
      </c>
      <c r="H10" t="n">
        <v>7.611719840853934</v>
      </c>
      <c r="I10" t="n">
        <v>1473</v>
      </c>
      <c r="J10" t="n">
        <v>1546</v>
      </c>
      <c r="K10" t="n">
        <v>7.679904690342398</v>
      </c>
    </row>
    <row r="11">
      <c r="A11" t="n">
        <v>162</v>
      </c>
      <c r="B11" t="inlineStr">
        <is>
          <t>Kden</t>
        </is>
      </c>
      <c r="C11" t="inlineStr">
        <is>
          <t>Town</t>
        </is>
      </c>
      <c r="D11" t="inlineStr">
        <is>
          <t>Win</t>
        </is>
      </c>
      <c r="E11" t="n">
        <v>47</v>
      </c>
      <c r="F11" t="n">
        <v>27.21273871619335</v>
      </c>
      <c r="G11" t="n">
        <v>27.84497628891235</v>
      </c>
      <c r="H11" t="n">
        <v>6.184720111627543</v>
      </c>
      <c r="I11" t="n">
        <v>1216</v>
      </c>
      <c r="J11" t="n">
        <v>1263</v>
      </c>
      <c r="K11" t="n">
        <v>6.220441776179768</v>
      </c>
    </row>
    <row r="12">
      <c r="A12" t="n">
        <v>162</v>
      </c>
      <c r="B12" t="inlineStr">
        <is>
          <t>Decode</t>
        </is>
      </c>
      <c r="C12" t="inlineStr">
        <is>
          <t>Town</t>
        </is>
      </c>
      <c r="D12" t="inlineStr">
        <is>
          <t>Win</t>
        </is>
      </c>
      <c r="E12" t="n">
        <v>63</v>
      </c>
      <c r="F12" t="n">
        <v>21.85367843081877</v>
      </c>
      <c r="G12" t="n">
        <v>22.68744973453989</v>
      </c>
      <c r="H12" t="n">
        <v>7.088948669392148</v>
      </c>
      <c r="I12" t="n">
        <v>757</v>
      </c>
      <c r="J12" t="n">
        <v>820</v>
      </c>
      <c r="K12" t="n">
        <v>7.143616222354107</v>
      </c>
    </row>
    <row r="13">
      <c r="A13" t="n">
        <v>162</v>
      </c>
      <c r="B13" t="inlineStr">
        <is>
          <t>Badpants</t>
        </is>
      </c>
      <c r="C13" t="inlineStr">
        <is>
          <t>Town</t>
        </is>
      </c>
      <c r="D13" t="inlineStr">
        <is>
          <t>Win</t>
        </is>
      </c>
      <c r="E13" t="n">
        <v>42</v>
      </c>
      <c r="F13" t="n">
        <v>25.29337695594019</v>
      </c>
      <c r="G13" t="n">
        <v>25.86378953991655</v>
      </c>
      <c r="H13" t="n">
        <v>5.877949529693093</v>
      </c>
      <c r="I13" t="n">
        <v>1117</v>
      </c>
      <c r="J13" t="n">
        <v>1159</v>
      </c>
      <c r="K13" t="n">
        <v>5.908395313101865</v>
      </c>
    </row>
    <row r="14">
      <c r="A14" t="n">
        <v>162</v>
      </c>
      <c r="B14" t="inlineStr">
        <is>
          <t>Noah</t>
        </is>
      </c>
      <c r="C14" t="inlineStr">
        <is>
          <t>Town</t>
        </is>
      </c>
      <c r="D14" t="inlineStr">
        <is>
          <t>Win</t>
        </is>
      </c>
      <c r="E14" t="n">
        <v>42</v>
      </c>
      <c r="F14" t="n">
        <v>34.20495160147431</v>
      </c>
      <c r="G14" t="n">
        <v>34.77581543049605</v>
      </c>
      <c r="H14" t="n">
        <v>5.880249219591188</v>
      </c>
      <c r="I14" t="n">
        <v>1723</v>
      </c>
      <c r="J14" t="n">
        <v>1765</v>
      </c>
      <c r="K14" t="n">
        <v>5.910732542804611</v>
      </c>
    </row>
    <row r="15">
      <c r="A15" t="n">
        <v>161</v>
      </c>
      <c r="B15" t="inlineStr">
        <is>
          <t>Lofty</t>
        </is>
      </c>
      <c r="C15" t="inlineStr">
        <is>
          <t>Mafia</t>
        </is>
      </c>
      <c r="D15" t="inlineStr">
        <is>
          <t>Win</t>
        </is>
      </c>
      <c r="E15" t="n">
        <v>41</v>
      </c>
      <c r="F15" t="n">
        <v>28.37686850381299</v>
      </c>
      <c r="G15" t="n">
        <v>28.92105088353992</v>
      </c>
      <c r="H15" t="n">
        <v>7.4435578110316</v>
      </c>
      <c r="I15" t="n">
        <v>1166</v>
      </c>
      <c r="J15" t="n">
        <v>1207</v>
      </c>
      <c r="K15" t="n">
        <v>7.489078422728272</v>
      </c>
    </row>
    <row r="16">
      <c r="A16" t="n">
        <v>161</v>
      </c>
      <c r="B16" t="inlineStr">
        <is>
          <t>Heckmuffins</t>
        </is>
      </c>
      <c r="C16" t="inlineStr">
        <is>
          <t>Mafia</t>
        </is>
      </c>
      <c r="D16" t="inlineStr">
        <is>
          <t>Win</t>
        </is>
      </c>
      <c r="E16" t="n">
        <v>44</v>
      </c>
      <c r="F16" t="n">
        <v>32.60337377731873</v>
      </c>
      <c r="G16" t="n">
        <v>33.18313426762355</v>
      </c>
      <c r="H16" t="n">
        <v>7.679904690342398</v>
      </c>
      <c r="I16" t="n">
        <v>1429</v>
      </c>
      <c r="J16" t="n">
        <v>1473</v>
      </c>
      <c r="K16" t="n">
        <v>7.730059278157216</v>
      </c>
    </row>
    <row r="17">
      <c r="A17" t="n">
        <v>161</v>
      </c>
      <c r="B17" t="inlineStr">
        <is>
          <t>Keegan</t>
        </is>
      </c>
      <c r="C17" t="inlineStr">
        <is>
          <t>Mafia</t>
        </is>
      </c>
      <c r="D17" t="inlineStr">
        <is>
          <t>Win</t>
        </is>
      </c>
      <c r="E17" t="n">
        <v>39</v>
      </c>
      <c r="F17" t="n">
        <v>31.27381146302412</v>
      </c>
      <c r="G17" t="n">
        <v>31.78482217721198</v>
      </c>
      <c r="H17" t="n">
        <v>7.215859158440495</v>
      </c>
      <c r="I17" t="n">
        <v>1386</v>
      </c>
      <c r="J17" t="n">
        <v>1425</v>
      </c>
      <c r="K17" t="n">
        <v>7.257192287110593</v>
      </c>
    </row>
    <row r="18">
      <c r="A18" t="n">
        <v>161</v>
      </c>
      <c r="B18" t="inlineStr">
        <is>
          <t>Smit</t>
        </is>
      </c>
      <c r="C18" t="inlineStr">
        <is>
          <t>Town</t>
        </is>
      </c>
      <c r="D18" t="inlineStr">
        <is>
          <t>Loss</t>
        </is>
      </c>
      <c r="E18" t="n">
        <v>-22</v>
      </c>
      <c r="F18" t="n">
        <v>25.34271144005886</v>
      </c>
      <c r="G18" t="n">
        <v>24.99044401930458</v>
      </c>
      <c r="H18" t="n">
        <v>6.001997556091323</v>
      </c>
      <c r="I18" t="n">
        <v>1109</v>
      </c>
      <c r="J18" t="n">
        <v>1087</v>
      </c>
      <c r="K18" t="n">
        <v>6.025197491370823</v>
      </c>
    </row>
    <row r="19">
      <c r="A19" t="n">
        <v>161</v>
      </c>
      <c r="B19" t="inlineStr">
        <is>
          <t>Noah</t>
        </is>
      </c>
      <c r="C19" t="inlineStr">
        <is>
          <t>Town</t>
        </is>
      </c>
      <c r="D19" t="inlineStr">
        <is>
          <t>Loss</t>
        </is>
      </c>
      <c r="E19" t="n">
        <v>-21</v>
      </c>
      <c r="F19" t="n">
        <v>34.54650412129012</v>
      </c>
      <c r="G19" t="n">
        <v>34.20495160147431</v>
      </c>
      <c r="H19" t="n">
        <v>5.910732542804611</v>
      </c>
      <c r="I19" t="n">
        <v>1744</v>
      </c>
      <c r="J19" t="n">
        <v>1723</v>
      </c>
      <c r="K19" t="n">
        <v>5.932830177546791</v>
      </c>
    </row>
    <row r="20">
      <c r="A20" t="n">
        <v>161</v>
      </c>
      <c r="B20" t="inlineStr">
        <is>
          <t>Ken</t>
        </is>
      </c>
      <c r="C20" t="inlineStr">
        <is>
          <t>Town</t>
        </is>
      </c>
      <c r="D20" t="inlineStr">
        <is>
          <t>Loss</t>
        </is>
      </c>
      <c r="E20" t="n">
        <v>-29</v>
      </c>
      <c r="F20" t="n">
        <v>24.77786625026618</v>
      </c>
      <c r="G20" t="n">
        <v>24.29143467942546</v>
      </c>
      <c r="H20" t="n">
        <v>7.042160054516297</v>
      </c>
      <c r="I20" t="n">
        <v>963</v>
      </c>
      <c r="J20" t="n">
        <v>934</v>
      </c>
      <c r="K20" t="n">
        <v>7.080475446557896</v>
      </c>
    </row>
    <row r="21">
      <c r="A21" t="n">
        <v>161</v>
      </c>
      <c r="B21" t="inlineStr">
        <is>
          <t>Kwix</t>
        </is>
      </c>
      <c r="C21" t="inlineStr">
        <is>
          <t>Town</t>
        </is>
      </c>
      <c r="D21" t="inlineStr">
        <is>
          <t>Loss</t>
        </is>
      </c>
      <c r="E21" t="n">
        <v>-23</v>
      </c>
      <c r="F21" t="n">
        <v>22.09875070759479</v>
      </c>
      <c r="G21" t="n">
        <v>21.72739590857718</v>
      </c>
      <c r="H21" t="n">
        <v>6.161120070923627</v>
      </c>
      <c r="I21" t="n">
        <v>872</v>
      </c>
      <c r="J21" t="n">
        <v>849</v>
      </c>
      <c r="K21" t="n">
        <v>6.186323711821078</v>
      </c>
    </row>
    <row r="22">
      <c r="A22" t="n">
        <v>161</v>
      </c>
      <c r="B22" t="inlineStr">
        <is>
          <t>DrMorris</t>
        </is>
      </c>
      <c r="C22" t="inlineStr">
        <is>
          <t>Town</t>
        </is>
      </c>
      <c r="D22" t="inlineStr">
        <is>
          <t>Loss</t>
        </is>
      </c>
      <c r="E22" t="n">
        <v>-39</v>
      </c>
      <c r="F22" t="n">
        <v>25</v>
      </c>
      <c r="G22" t="n">
        <v>24.32623207216345</v>
      </c>
      <c r="H22" t="n">
        <v>8.270253577883684</v>
      </c>
      <c r="I22" t="n">
        <v>850</v>
      </c>
      <c r="J22" t="n">
        <v>811</v>
      </c>
      <c r="K22" t="n">
        <v>8.333333333333334</v>
      </c>
    </row>
    <row r="23">
      <c r="A23" t="n">
        <v>161</v>
      </c>
      <c r="B23" t="inlineStr">
        <is>
          <t>Laur</t>
        </is>
      </c>
      <c r="C23" t="inlineStr">
        <is>
          <t>Town</t>
        </is>
      </c>
      <c r="D23" t="inlineStr">
        <is>
          <t>Loss</t>
        </is>
      </c>
      <c r="E23" t="n">
        <v>-22</v>
      </c>
      <c r="F23" t="n">
        <v>36.20291139858026</v>
      </c>
      <c r="G23" t="n">
        <v>35.85343850962497</v>
      </c>
      <c r="H23" t="n">
        <v>5.978333524678702</v>
      </c>
      <c r="I23" t="n">
        <v>1850</v>
      </c>
      <c r="J23" t="n">
        <v>1828</v>
      </c>
      <c r="K23" t="n">
        <v>6.001244398061877</v>
      </c>
    </row>
    <row r="24">
      <c r="A24" t="n">
        <v>161</v>
      </c>
      <c r="B24" t="inlineStr">
        <is>
          <t>Rocker</t>
        </is>
      </c>
      <c r="C24" t="inlineStr">
        <is>
          <t>Town</t>
        </is>
      </c>
      <c r="D24" t="inlineStr">
        <is>
          <t>Loss</t>
        </is>
      </c>
      <c r="E24" t="n">
        <v>-19</v>
      </c>
      <c r="F24" t="n">
        <v>37.82885258276814</v>
      </c>
      <c r="G24" t="n">
        <v>37.53042983161993</v>
      </c>
      <c r="H24" t="n">
        <v>5.527664543579408</v>
      </c>
      <c r="I24" t="n">
        <v>2007</v>
      </c>
      <c r="J24" t="n">
        <v>1988</v>
      </c>
      <c r="K24" t="n">
        <v>5.545493734348083</v>
      </c>
    </row>
    <row r="25">
      <c r="A25" t="n">
        <v>161</v>
      </c>
      <c r="B25" t="inlineStr">
        <is>
          <t>Strik3r</t>
        </is>
      </c>
      <c r="C25" t="inlineStr">
        <is>
          <t>Town</t>
        </is>
      </c>
      <c r="D25" t="inlineStr">
        <is>
          <t>Loss</t>
        </is>
      </c>
      <c r="E25" t="n">
        <v>-22</v>
      </c>
      <c r="F25" t="n">
        <v>30.47006092066084</v>
      </c>
      <c r="G25" t="n">
        <v>30.10129079563002</v>
      </c>
      <c r="H25" t="n">
        <v>6.139822357160456</v>
      </c>
      <c r="I25" t="n">
        <v>1443</v>
      </c>
      <c r="J25" t="n">
        <v>1421</v>
      </c>
      <c r="K25" t="n">
        <v>6.164751697186325</v>
      </c>
    </row>
    <row r="26">
      <c r="A26" t="n">
        <v>161</v>
      </c>
      <c r="B26" t="inlineStr">
        <is>
          <t>Cj</t>
        </is>
      </c>
      <c r="C26" t="inlineStr">
        <is>
          <t>Town</t>
        </is>
      </c>
      <c r="D26" t="inlineStr">
        <is>
          <t>Loss</t>
        </is>
      </c>
      <c r="E26" t="n">
        <v>-30</v>
      </c>
      <c r="F26" t="n">
        <v>31.06490751690873</v>
      </c>
      <c r="G26" t="n">
        <v>30.55661559966767</v>
      </c>
      <c r="H26" t="n">
        <v>7.196861445351797</v>
      </c>
      <c r="I26" t="n">
        <v>1374</v>
      </c>
      <c r="J26" t="n">
        <v>1344</v>
      </c>
      <c r="K26" t="n">
        <v>7.237857171214674</v>
      </c>
    </row>
    <row r="27">
      <c r="A27" t="n">
        <v>161</v>
      </c>
      <c r="B27" t="inlineStr">
        <is>
          <t>Chipper</t>
        </is>
      </c>
      <c r="C27" t="inlineStr">
        <is>
          <t>Town</t>
        </is>
      </c>
      <c r="D27" t="inlineStr">
        <is>
          <t>Loss</t>
        </is>
      </c>
      <c r="E27" t="n">
        <v>-24</v>
      </c>
      <c r="F27" t="n">
        <v>29.81579532961701</v>
      </c>
      <c r="G27" t="n">
        <v>29.42947572387786</v>
      </c>
      <c r="H27" t="n">
        <v>6.282962529324164</v>
      </c>
      <c r="I27" t="n">
        <v>1384</v>
      </c>
      <c r="J27" t="n">
        <v>1360</v>
      </c>
      <c r="K27" t="n">
        <v>6.309772395366185</v>
      </c>
    </row>
    <row r="28">
      <c r="A28" t="n">
        <v>160</v>
      </c>
      <c r="B28" t="inlineStr">
        <is>
          <t>Rocker</t>
        </is>
      </c>
      <c r="C28" t="inlineStr">
        <is>
          <t>Mafia</t>
        </is>
      </c>
      <c r="D28" t="inlineStr">
        <is>
          <t>Loss</t>
        </is>
      </c>
      <c r="E28" t="n">
        <v>-38</v>
      </c>
      <c r="F28" t="n">
        <v>38.42452399546303</v>
      </c>
      <c r="G28" t="n">
        <v>37.82885258276814</v>
      </c>
      <c r="H28" t="n">
        <v>5.545493734348083</v>
      </c>
      <c r="I28" t="n">
        <v>2045</v>
      </c>
      <c r="J28" t="n">
        <v>2007</v>
      </c>
      <c r="K28" t="n">
        <v>5.571189756311209</v>
      </c>
    </row>
    <row r="29">
      <c r="A29" t="n">
        <v>160</v>
      </c>
      <c r="B29" t="inlineStr">
        <is>
          <t>Kwix</t>
        </is>
      </c>
      <c r="C29" t="inlineStr">
        <is>
          <t>Mafia</t>
        </is>
      </c>
      <c r="D29" t="inlineStr">
        <is>
          <t>Loss</t>
        </is>
      </c>
      <c r="E29" t="n">
        <v>-47</v>
      </c>
      <c r="F29" t="n">
        <v>22.84181427231175</v>
      </c>
      <c r="G29" t="n">
        <v>22.09875070759479</v>
      </c>
      <c r="H29" t="n">
        <v>6.186323711821078</v>
      </c>
      <c r="I29" t="n">
        <v>919</v>
      </c>
      <c r="J29" t="n">
        <v>872</v>
      </c>
      <c r="K29" t="n">
        <v>6.222593516440079</v>
      </c>
    </row>
    <row r="30">
      <c r="A30" t="n">
        <v>160</v>
      </c>
      <c r="B30" t="inlineStr">
        <is>
          <t>Badpants</t>
        </is>
      </c>
      <c r="C30" t="inlineStr">
        <is>
          <t>Mafia</t>
        </is>
      </c>
      <c r="D30" t="inlineStr">
        <is>
          <t>Loss</t>
        </is>
      </c>
      <c r="E30" t="n">
        <v>-43</v>
      </c>
      <c r="F30" t="n">
        <v>25.97045132266956</v>
      </c>
      <c r="G30" t="n">
        <v>25.29337695594019</v>
      </c>
      <c r="H30" t="n">
        <v>5.908395313101865</v>
      </c>
      <c r="I30" t="n">
        <v>1160</v>
      </c>
      <c r="J30" t="n">
        <v>1117</v>
      </c>
      <c r="K30" t="n">
        <v>5.939791070061593</v>
      </c>
    </row>
    <row r="31">
      <c r="A31" t="n">
        <v>160</v>
      </c>
      <c r="B31" t="inlineStr">
        <is>
          <t>Lou</t>
        </is>
      </c>
      <c r="C31" t="inlineStr">
        <is>
          <t>Town</t>
        </is>
      </c>
      <c r="D31" t="inlineStr">
        <is>
          <t>Win</t>
        </is>
      </c>
      <c r="E31" t="n">
        <v>49</v>
      </c>
      <c r="F31" t="n">
        <v>30.52945591602311</v>
      </c>
      <c r="G31" t="n">
        <v>31.20476528322671</v>
      </c>
      <c r="H31" t="n">
        <v>5.900773431839215</v>
      </c>
      <c r="I31" t="n">
        <v>1471</v>
      </c>
      <c r="J31" t="n">
        <v>1520</v>
      </c>
      <c r="K31" t="n">
        <v>5.932041888083649</v>
      </c>
    </row>
    <row r="32">
      <c r="A32" t="n">
        <v>160</v>
      </c>
      <c r="B32" t="inlineStr">
        <is>
          <t>Smit</t>
        </is>
      </c>
      <c r="C32" t="inlineStr">
        <is>
          <t>Town</t>
        </is>
      </c>
      <c r="D32" t="inlineStr">
        <is>
          <t>Win</t>
        </is>
      </c>
      <c r="E32" t="n">
        <v>52</v>
      </c>
      <c r="F32" t="n">
        <v>24.6382911957675</v>
      </c>
      <c r="G32" t="n">
        <v>25.34271144005886</v>
      </c>
      <c r="H32" t="n">
        <v>6.025197491370823</v>
      </c>
      <c r="I32" t="n">
        <v>1057</v>
      </c>
      <c r="J32" t="n">
        <v>1109</v>
      </c>
      <c r="K32" t="n">
        <v>6.058586134597999</v>
      </c>
    </row>
    <row r="33">
      <c r="A33" t="n">
        <v>160</v>
      </c>
      <c r="B33" t="inlineStr">
        <is>
          <t>Iln</t>
        </is>
      </c>
      <c r="C33" t="inlineStr">
        <is>
          <t>Town</t>
        </is>
      </c>
      <c r="D33" t="inlineStr">
        <is>
          <t>Win</t>
        </is>
      </c>
      <c r="E33" t="n">
        <v>46</v>
      </c>
      <c r="F33" t="n">
        <v>31.24753582164767</v>
      </c>
      <c r="G33" t="n">
        <v>31.87317271633648</v>
      </c>
      <c r="H33" t="n">
        <v>5.681891943207977</v>
      </c>
      <c r="I33" t="n">
        <v>1542</v>
      </c>
      <c r="J33" t="n">
        <v>1588</v>
      </c>
      <c r="K33" t="n">
        <v>5.709644894718125</v>
      </c>
    </row>
    <row r="34">
      <c r="A34" t="n">
        <v>160</v>
      </c>
      <c r="B34" t="inlineStr">
        <is>
          <t>Cyclone</t>
        </is>
      </c>
      <c r="C34" t="inlineStr">
        <is>
          <t>Town</t>
        </is>
      </c>
      <c r="D34" t="inlineStr">
        <is>
          <t>Win</t>
        </is>
      </c>
      <c r="E34" t="n">
        <v>71</v>
      </c>
      <c r="F34" t="n">
        <v>37.94300853106355</v>
      </c>
      <c r="G34" t="n">
        <v>38.90730048859662</v>
      </c>
      <c r="H34" t="n">
        <v>7.034696203296838</v>
      </c>
      <c r="I34" t="n">
        <v>1857</v>
      </c>
      <c r="J34" t="n">
        <v>1928</v>
      </c>
      <c r="K34" t="n">
        <v>7.088846734751114</v>
      </c>
    </row>
    <row r="35">
      <c r="A35" t="n">
        <v>160</v>
      </c>
      <c r="B35" t="inlineStr">
        <is>
          <t>Laur</t>
        </is>
      </c>
      <c r="C35" t="inlineStr">
        <is>
          <t>Town</t>
        </is>
      </c>
      <c r="D35" t="inlineStr">
        <is>
          <t>Win</t>
        </is>
      </c>
      <c r="E35" t="n">
        <v>51</v>
      </c>
      <c r="F35" t="n">
        <v>35.50414472075549</v>
      </c>
      <c r="G35" t="n">
        <v>36.20291139858026</v>
      </c>
      <c r="H35" t="n">
        <v>6.001244398061877</v>
      </c>
      <c r="I35" t="n">
        <v>1799</v>
      </c>
      <c r="J35" t="n">
        <v>1850</v>
      </c>
      <c r="K35" t="n">
        <v>6.034217873903306</v>
      </c>
    </row>
    <row r="36">
      <c r="A36" t="n">
        <v>160</v>
      </c>
      <c r="B36" t="inlineStr">
        <is>
          <t>Brownkow</t>
        </is>
      </c>
      <c r="C36" t="inlineStr">
        <is>
          <t>Town</t>
        </is>
      </c>
      <c r="D36" t="inlineStr">
        <is>
          <t>Win</t>
        </is>
      </c>
      <c r="E36" t="n">
        <v>43</v>
      </c>
      <c r="F36" t="n">
        <v>31.16519497434223</v>
      </c>
      <c r="G36" t="n">
        <v>31.75575044541118</v>
      </c>
      <c r="H36" t="n">
        <v>5.521856519392403</v>
      </c>
      <c r="I36" t="n">
        <v>1553</v>
      </c>
      <c r="J36" t="n">
        <v>1596</v>
      </c>
      <c r="K36" t="n">
        <v>5.547206260502057</v>
      </c>
    </row>
    <row r="37">
      <c r="A37" t="n">
        <v>160</v>
      </c>
      <c r="B37" t="inlineStr">
        <is>
          <t>Decode</t>
        </is>
      </c>
      <c r="C37" t="inlineStr">
        <is>
          <t>Town</t>
        </is>
      </c>
      <c r="D37" t="inlineStr">
        <is>
          <t>Win</t>
        </is>
      </c>
      <c r="E37" t="n">
        <v>73</v>
      </c>
      <c r="F37" t="n">
        <v>20.8588004773788</v>
      </c>
      <c r="G37" t="n">
        <v>21.85367843081877</v>
      </c>
      <c r="H37" t="n">
        <v>7.143616222354107</v>
      </c>
      <c r="I37" t="n">
        <v>684</v>
      </c>
      <c r="J37" t="n">
        <v>757</v>
      </c>
      <c r="K37" t="n">
        <v>7.200415305495591</v>
      </c>
    </row>
    <row r="38">
      <c r="A38" t="n">
        <v>160</v>
      </c>
      <c r="B38" t="inlineStr">
        <is>
          <t>Gilbert</t>
        </is>
      </c>
      <c r="C38" t="inlineStr">
        <is>
          <t>Town</t>
        </is>
      </c>
      <c r="D38" t="inlineStr">
        <is>
          <t>Win</t>
        </is>
      </c>
      <c r="E38" t="n">
        <v>59</v>
      </c>
      <c r="F38" t="n">
        <v>26.53989672848013</v>
      </c>
      <c r="G38" t="n">
        <v>27.34746264368985</v>
      </c>
      <c r="H38" t="n">
        <v>6.445875741845193</v>
      </c>
      <c r="I38" t="n">
        <v>1143</v>
      </c>
      <c r="J38" t="n">
        <v>1202</v>
      </c>
      <c r="K38" t="n">
        <v>6.487119799879239</v>
      </c>
    </row>
    <row r="39">
      <c r="A39" t="n">
        <v>160</v>
      </c>
      <c r="B39" t="inlineStr">
        <is>
          <t>Keegan</t>
        </is>
      </c>
      <c r="C39" t="inlineStr">
        <is>
          <t>Town</t>
        </is>
      </c>
      <c r="D39" t="inlineStr">
        <is>
          <t>Win</t>
        </is>
      </c>
      <c r="E39" t="n">
        <v>76</v>
      </c>
      <c r="F39" t="n">
        <v>30.246505825711</v>
      </c>
      <c r="G39" t="n">
        <v>31.27381146302412</v>
      </c>
      <c r="H39" t="n">
        <v>7.257192287110593</v>
      </c>
      <c r="I39" t="n">
        <v>1310</v>
      </c>
      <c r="J39" t="n">
        <v>1386</v>
      </c>
      <c r="K39" t="n">
        <v>7.316844083121581</v>
      </c>
    </row>
    <row r="40">
      <c r="A40" t="n">
        <v>160</v>
      </c>
      <c r="B40" t="inlineStr">
        <is>
          <t>Chipper</t>
        </is>
      </c>
      <c r="C40" t="inlineStr">
        <is>
          <t>Town</t>
        </is>
      </c>
      <c r="D40" t="inlineStr">
        <is>
          <t>Win</t>
        </is>
      </c>
      <c r="E40" t="n">
        <v>57</v>
      </c>
      <c r="F40" t="n">
        <v>29.04240055354939</v>
      </c>
      <c r="G40" t="n">
        <v>29.81579532961701</v>
      </c>
      <c r="H40" t="n">
        <v>6.309772395366185</v>
      </c>
      <c r="I40" t="n">
        <v>1327</v>
      </c>
      <c r="J40" t="n">
        <v>1384</v>
      </c>
      <c r="K40" t="n">
        <v>6.348355888673196</v>
      </c>
    </row>
    <row r="41">
      <c r="A41" t="n">
        <v>160</v>
      </c>
      <c r="B41" t="inlineStr">
        <is>
          <t>Strik3r</t>
        </is>
      </c>
      <c r="C41" t="inlineStr">
        <is>
          <t>Town</t>
        </is>
      </c>
      <c r="D41" t="inlineStr">
        <is>
          <t>Win</t>
        </is>
      </c>
      <c r="E41" t="n">
        <v>54</v>
      </c>
      <c r="F41" t="n">
        <v>29.73223301581185</v>
      </c>
      <c r="G41" t="n">
        <v>30.47006092066084</v>
      </c>
      <c r="H41" t="n">
        <v>6.164751697186325</v>
      </c>
      <c r="I41" t="n">
        <v>1389</v>
      </c>
      <c r="J41" t="n">
        <v>1443</v>
      </c>
      <c r="K41" t="n">
        <v>6.200626742339248</v>
      </c>
    </row>
    <row r="42">
      <c r="A42" t="n">
        <v>159</v>
      </c>
      <c r="B42" t="inlineStr">
        <is>
          <t>Laur</t>
        </is>
      </c>
      <c r="C42" t="inlineStr">
        <is>
          <t>Mafia</t>
        </is>
      </c>
      <c r="D42" t="inlineStr">
        <is>
          <t>Win</t>
        </is>
      </c>
      <c r="E42" t="n">
        <v>45</v>
      </c>
      <c r="F42" t="n">
        <v>34.89887207606974</v>
      </c>
      <c r="G42" t="n">
        <v>35.50414472075549</v>
      </c>
      <c r="H42" t="n">
        <v>6.034217873903306</v>
      </c>
      <c r="I42" t="n">
        <v>1754</v>
      </c>
      <c r="J42" t="n">
        <v>1799</v>
      </c>
      <c r="K42" t="n">
        <v>6.0665801838867</v>
      </c>
    </row>
    <row r="43">
      <c r="A43" t="n">
        <v>159</v>
      </c>
      <c r="B43" t="inlineStr">
        <is>
          <t>Doublea</t>
        </is>
      </c>
      <c r="C43" t="inlineStr">
        <is>
          <t>Mafia</t>
        </is>
      </c>
      <c r="D43" t="inlineStr">
        <is>
          <t>Win</t>
        </is>
      </c>
      <c r="E43" t="n">
        <v>61</v>
      </c>
      <c r="F43" t="n">
        <v>22.20552101313293</v>
      </c>
      <c r="G43" t="n">
        <v>23.02012257331563</v>
      </c>
      <c r="H43" t="n">
        <v>6.986958843368228</v>
      </c>
      <c r="I43" t="n">
        <v>792</v>
      </c>
      <c r="J43" t="n">
        <v>853</v>
      </c>
      <c r="K43" t="n">
        <v>7.038112411106105</v>
      </c>
    </row>
    <row r="44">
      <c r="A44" t="n">
        <v>159</v>
      </c>
      <c r="B44" t="inlineStr">
        <is>
          <t>Chipper</t>
        </is>
      </c>
      <c r="C44" t="inlineStr">
        <is>
          <t>Mafia</t>
        </is>
      </c>
      <c r="D44" t="inlineStr">
        <is>
          <t>Win</t>
        </is>
      </c>
      <c r="E44" t="n">
        <v>49</v>
      </c>
      <c r="F44" t="n">
        <v>28.37166709864757</v>
      </c>
      <c r="G44" t="n">
        <v>29.04240055354939</v>
      </c>
      <c r="H44" t="n">
        <v>6.348355888673196</v>
      </c>
      <c r="I44" t="n">
        <v>1278</v>
      </c>
      <c r="J44" t="n">
        <v>1327</v>
      </c>
      <c r="K44" t="n">
        <v>6.386297730553355</v>
      </c>
    </row>
    <row r="45">
      <c r="A45" t="n">
        <v>159</v>
      </c>
      <c r="B45" t="inlineStr">
        <is>
          <t>Gilbert</t>
        </is>
      </c>
      <c r="C45" t="inlineStr">
        <is>
          <t>Town</t>
        </is>
      </c>
      <c r="D45" t="inlineStr">
        <is>
          <t>Loss</t>
        </is>
      </c>
      <c r="E45" t="n">
        <v>-44</v>
      </c>
      <c r="F45" t="n">
        <v>27.24065664585036</v>
      </c>
      <c r="G45" t="n">
        <v>26.53989672848013</v>
      </c>
      <c r="H45" t="n">
        <v>6.487119799879239</v>
      </c>
      <c r="I45" t="n">
        <v>1187</v>
      </c>
      <c r="J45" t="n">
        <v>1143</v>
      </c>
      <c r="K45" t="n">
        <v>6.52771349824377</v>
      </c>
    </row>
    <row r="46">
      <c r="A46" t="n">
        <v>159</v>
      </c>
      <c r="B46" t="inlineStr">
        <is>
          <t>Mintt</t>
        </is>
      </c>
      <c r="C46" t="inlineStr">
        <is>
          <t>Town</t>
        </is>
      </c>
      <c r="D46" t="inlineStr">
        <is>
          <t>Loss</t>
        </is>
      </c>
      <c r="E46" t="n">
        <v>-43</v>
      </c>
      <c r="F46" t="n">
        <v>33.78481703550743</v>
      </c>
      <c r="G46" t="n">
        <v>33.09087985580564</v>
      </c>
      <c r="H46" t="n">
        <v>6.455864598411243</v>
      </c>
      <c r="I46" t="n">
        <v>1635</v>
      </c>
      <c r="J46" t="n">
        <v>1592</v>
      </c>
      <c r="K46" t="n">
        <v>6.49585071984251</v>
      </c>
    </row>
    <row r="47">
      <c r="A47" t="n">
        <v>159</v>
      </c>
      <c r="B47" t="inlineStr">
        <is>
          <t>Iln</t>
        </is>
      </c>
      <c r="C47" t="inlineStr">
        <is>
          <t>Town</t>
        </is>
      </c>
      <c r="D47" t="inlineStr">
        <is>
          <t>Loss</t>
        </is>
      </c>
      <c r="E47" t="n">
        <v>-34</v>
      </c>
      <c r="F47" t="n">
        <v>31.78881474808886</v>
      </c>
      <c r="G47" t="n">
        <v>31.24753582164767</v>
      </c>
      <c r="H47" t="n">
        <v>5.709644894718125</v>
      </c>
      <c r="I47" t="n">
        <v>1576</v>
      </c>
      <c r="J47" t="n">
        <v>1542</v>
      </c>
      <c r="K47" t="n">
        <v>5.736830293236869</v>
      </c>
    </row>
    <row r="48">
      <c r="A48" t="n">
        <v>159</v>
      </c>
      <c r="B48" t="inlineStr">
        <is>
          <t>Cyclone</t>
        </is>
      </c>
      <c r="C48" t="inlineStr">
        <is>
          <t>Town</t>
        </is>
      </c>
      <c r="D48" t="inlineStr">
        <is>
          <t>Loss</t>
        </is>
      </c>
      <c r="E48" t="n">
        <v>-52</v>
      </c>
      <c r="F48" t="n">
        <v>38.78191426608662</v>
      </c>
      <c r="G48" t="n">
        <v>37.94300853106355</v>
      </c>
      <c r="H48" t="n">
        <v>7.088846734751114</v>
      </c>
      <c r="I48" t="n">
        <v>1909</v>
      </c>
      <c r="J48" t="n">
        <v>1857</v>
      </c>
      <c r="K48" t="n">
        <v>7.142354993285986</v>
      </c>
    </row>
    <row r="49">
      <c r="A49" t="n">
        <v>159</v>
      </c>
      <c r="B49" t="inlineStr">
        <is>
          <t>Vandyfan</t>
        </is>
      </c>
      <c r="C49" t="inlineStr">
        <is>
          <t>Town</t>
        </is>
      </c>
      <c r="D49" t="inlineStr">
        <is>
          <t>Loss</t>
        </is>
      </c>
      <c r="E49" t="n">
        <v>-69</v>
      </c>
      <c r="F49" t="n">
        <v>25</v>
      </c>
      <c r="G49" t="n">
        <v>23.85805492461536</v>
      </c>
      <c r="H49" t="n">
        <v>8.24772190406312</v>
      </c>
      <c r="I49" t="n">
        <v>850</v>
      </c>
      <c r="J49" t="n">
        <v>781</v>
      </c>
      <c r="K49" t="n">
        <v>8.333333333333334</v>
      </c>
    </row>
    <row r="50">
      <c r="A50" t="n">
        <v>159</v>
      </c>
      <c r="B50" t="inlineStr">
        <is>
          <t>Smit</t>
        </is>
      </c>
      <c r="C50" t="inlineStr">
        <is>
          <t>Town</t>
        </is>
      </c>
      <c r="D50" t="inlineStr">
        <is>
          <t>Loss</t>
        </is>
      </c>
      <c r="E50" t="n">
        <v>-39</v>
      </c>
      <c r="F50" t="n">
        <v>25.24851739552109</v>
      </c>
      <c r="G50" t="n">
        <v>24.6382911957675</v>
      </c>
      <c r="H50" t="n">
        <v>6.058586134597999</v>
      </c>
      <c r="I50" t="n">
        <v>1096</v>
      </c>
      <c r="J50" t="n">
        <v>1057</v>
      </c>
      <c r="K50" t="n">
        <v>6.091360782366227</v>
      </c>
    </row>
    <row r="51">
      <c r="A51" t="n">
        <v>159</v>
      </c>
      <c r="B51" t="inlineStr">
        <is>
          <t>Svaan</t>
        </is>
      </c>
      <c r="C51" t="inlineStr">
        <is>
          <t>Town</t>
        </is>
      </c>
      <c r="D51" t="inlineStr">
        <is>
          <t>Loss</t>
        </is>
      </c>
      <c r="E51" t="n">
        <v>-52</v>
      </c>
      <c r="F51" t="n">
        <v>31.14870144886636</v>
      </c>
      <c r="G51" t="n">
        <v>30.30278419327458</v>
      </c>
      <c r="H51" t="n">
        <v>7.117952444371507</v>
      </c>
      <c r="I51" t="n">
        <v>1387</v>
      </c>
      <c r="J51" t="n">
        <v>1335</v>
      </c>
      <c r="K51" t="n">
        <v>7.172146386482367</v>
      </c>
    </row>
    <row r="52">
      <c r="A52" t="n">
        <v>159</v>
      </c>
      <c r="B52" t="inlineStr">
        <is>
          <t>Strik3r</t>
        </is>
      </c>
      <c r="C52" t="inlineStr">
        <is>
          <t>Town</t>
        </is>
      </c>
      <c r="D52" t="inlineStr">
        <is>
          <t>Loss</t>
        </is>
      </c>
      <c r="E52" t="n">
        <v>-40</v>
      </c>
      <c r="F52" t="n">
        <v>30.37174889994919</v>
      </c>
      <c r="G52" t="n">
        <v>29.73223301581185</v>
      </c>
      <c r="H52" t="n">
        <v>6.200626742339248</v>
      </c>
      <c r="I52" t="n">
        <v>1429</v>
      </c>
      <c r="J52" t="n">
        <v>1389</v>
      </c>
      <c r="K52" t="n">
        <v>6.235872776280778</v>
      </c>
    </row>
    <row r="53">
      <c r="A53" t="n">
        <v>159</v>
      </c>
      <c r="B53" t="inlineStr">
        <is>
          <t>Decode</t>
        </is>
      </c>
      <c r="C53" t="inlineStr">
        <is>
          <t>Town</t>
        </is>
      </c>
      <c r="D53" t="inlineStr">
        <is>
          <t>Loss</t>
        </is>
      </c>
      <c r="E53" t="n">
        <v>-53</v>
      </c>
      <c r="F53" t="n">
        <v>21.72474898319304</v>
      </c>
      <c r="G53" t="n">
        <v>20.8588004773788</v>
      </c>
      <c r="H53" t="n">
        <v>7.200415305495591</v>
      </c>
      <c r="I53" t="n">
        <v>737</v>
      </c>
      <c r="J53" t="n">
        <v>684</v>
      </c>
      <c r="K53" t="n">
        <v>7.256583770622265</v>
      </c>
    </row>
    <row r="54">
      <c r="A54" t="n">
        <v>159</v>
      </c>
      <c r="B54" t="inlineStr">
        <is>
          <t>Brownkow</t>
        </is>
      </c>
      <c r="C54" t="inlineStr">
        <is>
          <t>Town</t>
        </is>
      </c>
      <c r="D54" t="inlineStr">
        <is>
          <t>Loss</t>
        </is>
      </c>
      <c r="E54" t="n">
        <v>-33</v>
      </c>
      <c r="F54" t="n">
        <v>31.67582855737395</v>
      </c>
      <c r="G54" t="n">
        <v>31.16519497434223</v>
      </c>
      <c r="H54" t="n">
        <v>5.547206260502057</v>
      </c>
      <c r="I54" t="n">
        <v>1586</v>
      </c>
      <c r="J54" t="n">
        <v>1553</v>
      </c>
      <c r="K54" t="n">
        <v>5.572013633667646</v>
      </c>
    </row>
    <row r="55">
      <c r="A55" t="n">
        <v>158</v>
      </c>
      <c r="B55" t="inlineStr">
        <is>
          <t>Noah</t>
        </is>
      </c>
      <c r="C55" t="inlineStr">
        <is>
          <t>Mafia</t>
        </is>
      </c>
      <c r="D55" t="inlineStr">
        <is>
          <t>Win</t>
        </is>
      </c>
      <c r="E55" t="n">
        <v>20</v>
      </c>
      <c r="F55" t="n">
        <v>34.28329472989818</v>
      </c>
      <c r="G55" t="n">
        <v>34.54650412129012</v>
      </c>
      <c r="H55" t="n">
        <v>5.932830177546791</v>
      </c>
      <c r="I55" t="n">
        <v>1724</v>
      </c>
      <c r="J55" t="n">
        <v>1744</v>
      </c>
      <c r="K55" t="n">
        <v>5.953109051368144</v>
      </c>
    </row>
    <row r="56">
      <c r="A56" t="n">
        <v>158</v>
      </c>
      <c r="B56" t="inlineStr">
        <is>
          <t>Kwix</t>
        </is>
      </c>
      <c r="C56" t="inlineStr">
        <is>
          <t>Mafia</t>
        </is>
      </c>
      <c r="D56" t="inlineStr">
        <is>
          <t>Win</t>
        </is>
      </c>
      <c r="E56" t="n">
        <v>23</v>
      </c>
      <c r="F56" t="n">
        <v>22.5520579512182</v>
      </c>
      <c r="G56" t="n">
        <v>22.84181427231175</v>
      </c>
      <c r="H56" t="n">
        <v>6.222593516440079</v>
      </c>
      <c r="I56" t="n">
        <v>896</v>
      </c>
      <c r="J56" t="n">
        <v>919</v>
      </c>
      <c r="K56" t="n">
        <v>6.246190432955889</v>
      </c>
    </row>
    <row r="57">
      <c r="A57" t="n">
        <v>158</v>
      </c>
      <c r="B57" t="inlineStr">
        <is>
          <t>Mintt</t>
        </is>
      </c>
      <c r="C57" t="inlineStr">
        <is>
          <t>Mafia</t>
        </is>
      </c>
      <c r="D57" t="inlineStr">
        <is>
          <t>Win</t>
        </is>
      </c>
      <c r="E57" t="n">
        <v>24</v>
      </c>
      <c r="F57" t="n">
        <v>33.468828628656</v>
      </c>
      <c r="G57" t="n">
        <v>33.78481703550743</v>
      </c>
      <c r="H57" t="n">
        <v>6.49585071984251</v>
      </c>
      <c r="I57" t="n">
        <v>1611</v>
      </c>
      <c r="J57" t="n">
        <v>1635</v>
      </c>
      <c r="K57" t="n">
        <v>6.52287350265254</v>
      </c>
    </row>
    <row r="58">
      <c r="A58" t="n">
        <v>158</v>
      </c>
      <c r="B58" t="inlineStr">
        <is>
          <t>Badpants</t>
        </is>
      </c>
      <c r="C58" t="inlineStr">
        <is>
          <t>Town</t>
        </is>
      </c>
      <c r="D58" t="inlineStr">
        <is>
          <t>Loss</t>
        </is>
      </c>
      <c r="E58" t="n">
        <v>-16</v>
      </c>
      <c r="F58" t="n">
        <v>26.23428316471335</v>
      </c>
      <c r="G58" t="n">
        <v>25.97045132266956</v>
      </c>
      <c r="H58" t="n">
        <v>5.939791070061593</v>
      </c>
      <c r="I58" t="n">
        <v>1176</v>
      </c>
      <c r="J58" t="n">
        <v>1160</v>
      </c>
      <c r="K58" t="n">
        <v>5.960145982656806</v>
      </c>
    </row>
    <row r="59">
      <c r="A59" t="n">
        <v>158</v>
      </c>
      <c r="B59" t="inlineStr">
        <is>
          <t>Kden</t>
        </is>
      </c>
      <c r="C59" t="inlineStr">
        <is>
          <t>Town</t>
        </is>
      </c>
      <c r="D59" t="inlineStr">
        <is>
          <t>Loss</t>
        </is>
      </c>
      <c r="E59" t="n">
        <v>-17</v>
      </c>
      <c r="F59" t="n">
        <v>27.50229309395154</v>
      </c>
      <c r="G59" t="n">
        <v>27.21273871619335</v>
      </c>
      <c r="H59" t="n">
        <v>6.220441776179768</v>
      </c>
      <c r="I59" t="n">
        <v>1233</v>
      </c>
      <c r="J59" t="n">
        <v>1216</v>
      </c>
      <c r="K59" t="n">
        <v>6.244012879422573</v>
      </c>
    </row>
    <row r="60">
      <c r="A60" t="n">
        <v>158</v>
      </c>
      <c r="B60" t="inlineStr">
        <is>
          <t>Brownkow</t>
        </is>
      </c>
      <c r="C60" t="inlineStr">
        <is>
          <t>Town</t>
        </is>
      </c>
      <c r="D60" t="inlineStr">
        <is>
          <t>Loss</t>
        </is>
      </c>
      <c r="E60" t="n">
        <v>-14</v>
      </c>
      <c r="F60" t="n">
        <v>31.90779995776896</v>
      </c>
      <c r="G60" t="n">
        <v>31.67582855737395</v>
      </c>
      <c r="H60" t="n">
        <v>5.572013633667646</v>
      </c>
      <c r="I60" t="n">
        <v>1600</v>
      </c>
      <c r="J60" t="n">
        <v>1586</v>
      </c>
      <c r="K60" t="n">
        <v>5.58858831727151</v>
      </c>
    </row>
    <row r="61">
      <c r="A61" t="n">
        <v>158</v>
      </c>
      <c r="B61" t="inlineStr">
        <is>
          <t>Strik3r</t>
        </is>
      </c>
      <c r="C61" t="inlineStr">
        <is>
          <t>Town</t>
        </is>
      </c>
      <c r="D61" t="inlineStr">
        <is>
          <t>Loss</t>
        </is>
      </c>
      <c r="E61" t="n">
        <v>-18</v>
      </c>
      <c r="F61" t="n">
        <v>30.66275309006965</v>
      </c>
      <c r="G61" t="n">
        <v>30.37174889994919</v>
      </c>
      <c r="H61" t="n">
        <v>6.235872776280778</v>
      </c>
      <c r="I61" t="n">
        <v>1447</v>
      </c>
      <c r="J61" t="n">
        <v>1429</v>
      </c>
      <c r="K61" t="n">
        <v>6.259629392957038</v>
      </c>
    </row>
    <row r="62">
      <c r="A62" t="n">
        <v>158</v>
      </c>
      <c r="B62" t="inlineStr">
        <is>
          <t>Smit</t>
        </is>
      </c>
      <c r="C62" t="inlineStr">
        <is>
          <t>Town</t>
        </is>
      </c>
      <c r="D62" t="inlineStr">
        <is>
          <t>Loss</t>
        </is>
      </c>
      <c r="E62" t="n">
        <v>-16</v>
      </c>
      <c r="F62" t="n">
        <v>25.52608912836652</v>
      </c>
      <c r="G62" t="n">
        <v>25.24851739552109</v>
      </c>
      <c r="H62" t="n">
        <v>6.091360782366227</v>
      </c>
      <c r="I62" t="n">
        <v>1112</v>
      </c>
      <c r="J62" t="n">
        <v>1096</v>
      </c>
      <c r="K62" t="n">
        <v>6.113415819492742</v>
      </c>
    </row>
    <row r="63">
      <c r="A63" t="n">
        <v>158</v>
      </c>
      <c r="B63" t="inlineStr">
        <is>
          <t>Doublea</t>
        </is>
      </c>
      <c r="C63" t="inlineStr">
        <is>
          <t>Town</t>
        </is>
      </c>
      <c r="D63" t="inlineStr">
        <is>
          <t>Loss</t>
        </is>
      </c>
      <c r="E63" t="n">
        <v>-22</v>
      </c>
      <c r="F63" t="n">
        <v>22.57702734608779</v>
      </c>
      <c r="G63" t="n">
        <v>22.20552101313293</v>
      </c>
      <c r="H63" t="n">
        <v>7.038112411106105</v>
      </c>
      <c r="I63" t="n">
        <v>814</v>
      </c>
      <c r="J63" t="n">
        <v>792</v>
      </c>
      <c r="K63" t="n">
        <v>7.072844648798827</v>
      </c>
    </row>
    <row r="64">
      <c r="A64" t="n">
        <v>158</v>
      </c>
      <c r="B64" t="inlineStr">
        <is>
          <t>Carson</t>
        </is>
      </c>
      <c r="C64" t="inlineStr">
        <is>
          <t>Town</t>
        </is>
      </c>
      <c r="D64" t="inlineStr">
        <is>
          <t>Loss</t>
        </is>
      </c>
      <c r="E64" t="n">
        <v>-16</v>
      </c>
      <c r="F64" t="n">
        <v>29.1249373967922</v>
      </c>
      <c r="G64" t="n">
        <v>28.86123093692895</v>
      </c>
      <c r="H64" t="n">
        <v>5.93838959099365</v>
      </c>
      <c r="I64" t="n">
        <v>1373</v>
      </c>
      <c r="J64" t="n">
        <v>1357</v>
      </c>
      <c r="K64" t="n">
        <v>5.958729179973106</v>
      </c>
    </row>
    <row r="65">
      <c r="A65" t="n">
        <v>158</v>
      </c>
      <c r="B65" t="inlineStr">
        <is>
          <t>Keegan</t>
        </is>
      </c>
      <c r="C65" t="inlineStr">
        <is>
          <t>Town</t>
        </is>
      </c>
      <c r="D65" t="inlineStr">
        <is>
          <t>Loss</t>
        </is>
      </c>
      <c r="E65" t="n">
        <v>-24</v>
      </c>
      <c r="F65" t="n">
        <v>30.64835182646723</v>
      </c>
      <c r="G65" t="n">
        <v>30.246505825711</v>
      </c>
      <c r="H65" t="n">
        <v>7.316844083121581</v>
      </c>
      <c r="I65" t="n">
        <v>1334</v>
      </c>
      <c r="J65" t="n">
        <v>1310</v>
      </c>
      <c r="K65" t="n">
        <v>7.356040488150117</v>
      </c>
    </row>
    <row r="66">
      <c r="A66" t="n">
        <v>158</v>
      </c>
      <c r="B66" t="inlineStr">
        <is>
          <t>Chipper</t>
        </is>
      </c>
      <c r="C66" t="inlineStr">
        <is>
          <t>Town</t>
        </is>
      </c>
      <c r="D66" t="inlineStr">
        <is>
          <t>Loss</t>
        </is>
      </c>
      <c r="E66" t="n">
        <v>-18</v>
      </c>
      <c r="F66" t="n">
        <v>28.67699875524922</v>
      </c>
      <c r="G66" t="n">
        <v>28.37166709864757</v>
      </c>
      <c r="H66" t="n">
        <v>6.386297730553355</v>
      </c>
      <c r="I66" t="n">
        <v>1296</v>
      </c>
      <c r="J66" t="n">
        <v>1278</v>
      </c>
      <c r="K66" t="n">
        <v>6.411911471521334</v>
      </c>
    </row>
    <row r="67">
      <c r="A67" t="n">
        <v>158</v>
      </c>
      <c r="B67" t="inlineStr">
        <is>
          <t>Lovekilling</t>
        </is>
      </c>
      <c r="C67" t="inlineStr">
        <is>
          <t>Town</t>
        </is>
      </c>
      <c r="D67" t="inlineStr">
        <is>
          <t>Loss</t>
        </is>
      </c>
      <c r="E67" t="n">
        <v>-24</v>
      </c>
      <c r="F67" t="n">
        <v>23.38005892208001</v>
      </c>
      <c r="G67" t="n">
        <v>22.94979481092797</v>
      </c>
      <c r="H67" t="n">
        <v>7.568218007360674</v>
      </c>
      <c r="I67" t="n">
        <v>813</v>
      </c>
      <c r="J67" t="n">
        <v>789</v>
      </c>
      <c r="K67" t="n">
        <v>7.611749676860064</v>
      </c>
    </row>
    <row r="68">
      <c r="A68" t="n">
        <v>157</v>
      </c>
      <c r="B68" t="inlineStr">
        <is>
          <t>Laur</t>
        </is>
      </c>
      <c r="C68" t="inlineStr">
        <is>
          <t>Mafia</t>
        </is>
      </c>
      <c r="D68" t="inlineStr">
        <is>
          <t>Win</t>
        </is>
      </c>
      <c r="E68" t="n">
        <v>27</v>
      </c>
      <c r="F68" t="n">
        <v>34.53682064110647</v>
      </c>
      <c r="G68" t="n">
        <v>34.89887207606974</v>
      </c>
      <c r="H68" t="n">
        <v>6.0665801838867</v>
      </c>
      <c r="I68" t="n">
        <v>1727</v>
      </c>
      <c r="J68" t="n">
        <v>1754</v>
      </c>
      <c r="K68" t="n">
        <v>6.092014621481858</v>
      </c>
    </row>
    <row r="69">
      <c r="A69" t="n">
        <v>157</v>
      </c>
      <c r="B69" t="inlineStr">
        <is>
          <t>Josh</t>
        </is>
      </c>
      <c r="C69" t="inlineStr">
        <is>
          <t>Mafia</t>
        </is>
      </c>
      <c r="D69" t="inlineStr">
        <is>
          <t>Win</t>
        </is>
      </c>
      <c r="E69" t="n">
        <v>39</v>
      </c>
      <c r="F69" t="n">
        <v>32.53047975053978</v>
      </c>
      <c r="G69" t="n">
        <v>33.04734131253047</v>
      </c>
      <c r="H69" t="n">
        <v>7.235007841308326</v>
      </c>
      <c r="I69" t="n">
        <v>1470</v>
      </c>
      <c r="J69" t="n">
        <v>1509</v>
      </c>
      <c r="K69" t="n">
        <v>7.279146207043406</v>
      </c>
    </row>
    <row r="70">
      <c r="A70" t="n">
        <v>157</v>
      </c>
      <c r="B70" t="inlineStr">
        <is>
          <t>Chipper</t>
        </is>
      </c>
      <c r="C70" t="inlineStr">
        <is>
          <t>Mafia</t>
        </is>
      </c>
      <c r="D70" t="inlineStr">
        <is>
          <t>Win</t>
        </is>
      </c>
      <c r="E70" t="n">
        <v>31</v>
      </c>
      <c r="F70" t="n">
        <v>28.27214043479538</v>
      </c>
      <c r="G70" t="n">
        <v>28.67699875524922</v>
      </c>
      <c r="H70" t="n">
        <v>6.411911471521334</v>
      </c>
      <c r="I70" t="n">
        <v>1265</v>
      </c>
      <c r="J70" t="n">
        <v>1296</v>
      </c>
      <c r="K70" t="n">
        <v>6.442189882069351</v>
      </c>
    </row>
    <row r="71">
      <c r="A71" t="n">
        <v>157</v>
      </c>
      <c r="B71" t="inlineStr">
        <is>
          <t>Iln</t>
        </is>
      </c>
      <c r="C71" t="inlineStr">
        <is>
          <t>Town</t>
        </is>
      </c>
      <c r="D71" t="inlineStr">
        <is>
          <t>Loss</t>
        </is>
      </c>
      <c r="E71" t="n">
        <v>-20</v>
      </c>
      <c r="F71" t="n">
        <v>32.11227808354329</v>
      </c>
      <c r="G71" t="n">
        <v>31.78881474808886</v>
      </c>
      <c r="H71" t="n">
        <v>5.736830293236869</v>
      </c>
      <c r="I71" t="n">
        <v>1596</v>
      </c>
      <c r="J71" t="n">
        <v>1576</v>
      </c>
      <c r="K71" t="n">
        <v>5.758128474143317</v>
      </c>
    </row>
    <row r="72">
      <c r="A72" t="n">
        <v>157</v>
      </c>
      <c r="B72" t="inlineStr">
        <is>
          <t>Strik3r</t>
        </is>
      </c>
      <c r="C72" t="inlineStr">
        <is>
          <t>Town</t>
        </is>
      </c>
      <c r="D72" t="inlineStr">
        <is>
          <t>Loss</t>
        </is>
      </c>
      <c r="E72" t="n">
        <v>-23</v>
      </c>
      <c r="F72" t="n">
        <v>31.04843169503869</v>
      </c>
      <c r="G72" t="n">
        <v>30.66275309006965</v>
      </c>
      <c r="H72" t="n">
        <v>6.259629392957038</v>
      </c>
      <c r="I72" t="n">
        <v>1470</v>
      </c>
      <c r="J72" t="n">
        <v>1447</v>
      </c>
      <c r="K72" t="n">
        <v>6.287705013268412</v>
      </c>
    </row>
    <row r="73">
      <c r="A73" t="n">
        <v>157</v>
      </c>
      <c r="B73" t="inlineStr">
        <is>
          <t>Brownkow</t>
        </is>
      </c>
      <c r="C73" t="inlineStr">
        <is>
          <t>Town</t>
        </is>
      </c>
      <c r="D73" t="inlineStr">
        <is>
          <t>Loss</t>
        </is>
      </c>
      <c r="E73" t="n">
        <v>-19</v>
      </c>
      <c r="F73" t="n">
        <v>32.21464034351643</v>
      </c>
      <c r="G73" t="n">
        <v>31.90779995776896</v>
      </c>
      <c r="H73" t="n">
        <v>5.58858831727151</v>
      </c>
      <c r="I73" t="n">
        <v>1619</v>
      </c>
      <c r="J73" t="n">
        <v>1600</v>
      </c>
      <c r="K73" t="n">
        <v>5.608174679001358</v>
      </c>
    </row>
    <row r="74">
      <c r="A74" t="n">
        <v>157</v>
      </c>
      <c r="B74" t="inlineStr">
        <is>
          <t>Noah</t>
        </is>
      </c>
      <c r="C74" t="inlineStr">
        <is>
          <t>Town</t>
        </is>
      </c>
      <c r="D74" t="inlineStr">
        <is>
          <t>Loss</t>
        </is>
      </c>
      <c r="E74" t="n">
        <v>-21</v>
      </c>
      <c r="F74" t="n">
        <v>34.63181601215329</v>
      </c>
      <c r="G74" t="n">
        <v>34.28329472989818</v>
      </c>
      <c r="H74" t="n">
        <v>5.953109051368144</v>
      </c>
      <c r="I74" t="n">
        <v>1745</v>
      </c>
      <c r="J74" t="n">
        <v>1724</v>
      </c>
      <c r="K74" t="n">
        <v>5.9770677774742</v>
      </c>
    </row>
    <row r="75">
      <c r="A75" t="n">
        <v>157</v>
      </c>
      <c r="B75" t="inlineStr">
        <is>
          <t>Carson</t>
        </is>
      </c>
      <c r="C75" t="inlineStr">
        <is>
          <t>Town</t>
        </is>
      </c>
      <c r="D75" t="inlineStr">
        <is>
          <t>Loss</t>
        </is>
      </c>
      <c r="E75" t="n">
        <v>-21</v>
      </c>
      <c r="F75" t="n">
        <v>29.474122596564</v>
      </c>
      <c r="G75" t="n">
        <v>29.1249373967922</v>
      </c>
      <c r="H75" t="n">
        <v>5.958729179973106</v>
      </c>
      <c r="I75" t="n">
        <v>1394</v>
      </c>
      <c r="J75" t="n">
        <v>1373</v>
      </c>
      <c r="K75" t="n">
        <v>5.982759684776092</v>
      </c>
    </row>
    <row r="76">
      <c r="A76" t="n">
        <v>157</v>
      </c>
      <c r="B76" t="inlineStr">
        <is>
          <t>Kden</t>
        </is>
      </c>
      <c r="C76" t="inlineStr">
        <is>
          <t>Town</t>
        </is>
      </c>
      <c r="D76" t="inlineStr">
        <is>
          <t>Loss</t>
        </is>
      </c>
      <c r="E76" t="n">
        <v>-24</v>
      </c>
      <c r="F76" t="n">
        <v>27.88603187379189</v>
      </c>
      <c r="G76" t="n">
        <v>27.50229309395154</v>
      </c>
      <c r="H76" t="n">
        <v>6.244012879422573</v>
      </c>
      <c r="I76" t="n">
        <v>1257</v>
      </c>
      <c r="J76" t="n">
        <v>1233</v>
      </c>
      <c r="K76" t="n">
        <v>6.271868619555975</v>
      </c>
    </row>
    <row r="77">
      <c r="A77" t="n">
        <v>157</v>
      </c>
      <c r="B77" t="inlineStr">
        <is>
          <t>Levi</t>
        </is>
      </c>
      <c r="C77" t="inlineStr">
        <is>
          <t>Town</t>
        </is>
      </c>
      <c r="D77" t="inlineStr">
        <is>
          <t>Loss</t>
        </is>
      </c>
      <c r="E77" t="n">
        <v>-36</v>
      </c>
      <c r="F77" t="n">
        <v>27.40569714196224</v>
      </c>
      <c r="G77" t="n">
        <v>26.78818944715379</v>
      </c>
      <c r="H77" t="n">
        <v>7.898540766682347</v>
      </c>
      <c r="I77" t="n">
        <v>1052</v>
      </c>
      <c r="J77" t="n">
        <v>1016</v>
      </c>
      <c r="K77" t="n">
        <v>7.956483950399047</v>
      </c>
    </row>
    <row r="78">
      <c r="A78" t="n">
        <v>157</v>
      </c>
      <c r="B78" t="inlineStr">
        <is>
          <t>Chelsea</t>
        </is>
      </c>
      <c r="C78" t="inlineStr">
        <is>
          <t>Town</t>
        </is>
      </c>
      <c r="D78" t="inlineStr">
        <is>
          <t>Loss</t>
        </is>
      </c>
      <c r="E78" t="n">
        <v>-29</v>
      </c>
      <c r="F78" t="n">
        <v>30.29181625664345</v>
      </c>
      <c r="G78" t="n">
        <v>29.80843748484076</v>
      </c>
      <c r="H78" t="n">
        <v>6.99955534784579</v>
      </c>
      <c r="I78" t="n">
        <v>1342</v>
      </c>
      <c r="J78" t="n">
        <v>1313</v>
      </c>
      <c r="K78" t="n">
        <v>7.039377779060136</v>
      </c>
    </row>
    <row r="79">
      <c r="A79" t="n">
        <v>157</v>
      </c>
      <c r="B79" t="inlineStr">
        <is>
          <t>Rocker</t>
        </is>
      </c>
      <c r="C79" t="inlineStr">
        <is>
          <t>Town</t>
        </is>
      </c>
      <c r="D79" t="inlineStr">
        <is>
          <t>Loss</t>
        </is>
      </c>
      <c r="E79" t="n">
        <v>-18</v>
      </c>
      <c r="F79" t="n">
        <v>38.7294428061468</v>
      </c>
      <c r="G79" t="n">
        <v>38.42452399546303</v>
      </c>
      <c r="H79" t="n">
        <v>5.571189756311209</v>
      </c>
      <c r="I79" t="n">
        <v>2063</v>
      </c>
      <c r="J79" t="n">
        <v>2045</v>
      </c>
      <c r="K79" t="n">
        <v>5.590581019222036</v>
      </c>
    </row>
    <row r="80">
      <c r="A80" t="n">
        <v>157</v>
      </c>
      <c r="B80" t="inlineStr">
        <is>
          <t>Kwix</t>
        </is>
      </c>
      <c r="C80" t="inlineStr">
        <is>
          <t>Town</t>
        </is>
      </c>
      <c r="D80" t="inlineStr">
        <is>
          <t>Loss</t>
        </is>
      </c>
      <c r="E80" t="n">
        <v>-24</v>
      </c>
      <c r="F80" t="n">
        <v>22.93606691700974</v>
      </c>
      <c r="G80" t="n">
        <v>22.5520579512182</v>
      </c>
      <c r="H80" t="n">
        <v>6.246190432955889</v>
      </c>
      <c r="I80" t="n">
        <v>920</v>
      </c>
      <c r="J80" t="n">
        <v>896</v>
      </c>
      <c r="K80" t="n">
        <v>6.274076766529279</v>
      </c>
    </row>
    <row r="81">
      <c r="A81" t="n">
        <v>156</v>
      </c>
      <c r="B81" t="inlineStr">
        <is>
          <t>Whyin</t>
        </is>
      </c>
      <c r="C81" t="inlineStr">
        <is>
          <t>Mafia</t>
        </is>
      </c>
      <c r="D81" t="inlineStr">
        <is>
          <t>Loss</t>
        </is>
      </c>
      <c r="E81" t="n">
        <v>-20</v>
      </c>
      <c r="F81" t="n">
        <v>29.56917656307932</v>
      </c>
      <c r="G81" t="n">
        <v>29.23526214679896</v>
      </c>
      <c r="H81" t="n">
        <v>6.49993196662642</v>
      </c>
      <c r="I81" t="n">
        <v>1345</v>
      </c>
      <c r="J81" t="n">
        <v>1325</v>
      </c>
      <c r="K81" t="n">
        <v>6.524104754145521</v>
      </c>
    </row>
    <row r="82">
      <c r="A82" t="n">
        <v>156</v>
      </c>
      <c r="B82" t="inlineStr">
        <is>
          <t>Ryan</t>
        </is>
      </c>
      <c r="C82" t="inlineStr">
        <is>
          <t>Mafia</t>
        </is>
      </c>
      <c r="D82" t="inlineStr">
        <is>
          <t>Loss</t>
        </is>
      </c>
      <c r="E82" t="n">
        <v>-32</v>
      </c>
      <c r="F82" t="n">
        <v>25</v>
      </c>
      <c r="G82" t="n">
        <v>24.45525740098275</v>
      </c>
      <c r="H82" t="n">
        <v>8.281904659647072</v>
      </c>
      <c r="I82" t="n">
        <v>850</v>
      </c>
      <c r="J82" t="n">
        <v>818</v>
      </c>
      <c r="K82" t="n">
        <v>8.333333333333334</v>
      </c>
    </row>
    <row r="83">
      <c r="A83" t="n">
        <v>156</v>
      </c>
      <c r="B83" t="inlineStr">
        <is>
          <t>Levi</t>
        </is>
      </c>
      <c r="C83" t="inlineStr">
        <is>
          <t>Mafia</t>
        </is>
      </c>
      <c r="D83" t="inlineStr">
        <is>
          <t>Loss</t>
        </is>
      </c>
      <c r="E83" t="n">
        <v>-30</v>
      </c>
      <c r="F83" t="n">
        <v>27.90797820639777</v>
      </c>
      <c r="G83" t="n">
        <v>27.40569714196224</v>
      </c>
      <c r="H83" t="n">
        <v>7.956483950399047</v>
      </c>
      <c r="I83" t="n">
        <v>1082</v>
      </c>
      <c r="J83" t="n">
        <v>1052</v>
      </c>
      <c r="K83" t="n">
        <v>8.001913349536272</v>
      </c>
    </row>
    <row r="84">
      <c r="A84" t="n">
        <v>156</v>
      </c>
      <c r="B84" t="inlineStr">
        <is>
          <t>Josh</t>
        </is>
      </c>
      <c r="C84" t="inlineStr">
        <is>
          <t>Town</t>
        </is>
      </c>
      <c r="D84" t="inlineStr">
        <is>
          <t>Win</t>
        </is>
      </c>
      <c r="E84" t="n">
        <v>32</v>
      </c>
      <c r="F84" t="n">
        <v>32.11087914197092</v>
      </c>
      <c r="G84" t="n">
        <v>32.53047975053978</v>
      </c>
      <c r="H84" t="n">
        <v>7.279146207043406</v>
      </c>
      <c r="I84" t="n">
        <v>1438</v>
      </c>
      <c r="J84" t="n">
        <v>1470</v>
      </c>
      <c r="K84" t="n">
        <v>7.313610263851258</v>
      </c>
    </row>
    <row r="85">
      <c r="A85" t="n">
        <v>156</v>
      </c>
      <c r="B85" t="inlineStr">
        <is>
          <t>Keegan</t>
        </is>
      </c>
      <c r="C85" t="inlineStr">
        <is>
          <t>Town</t>
        </is>
      </c>
      <c r="D85" t="inlineStr">
        <is>
          <t>Win</t>
        </is>
      </c>
      <c r="E85" t="n">
        <v>33</v>
      </c>
      <c r="F85" t="n">
        <v>30.21975037392293</v>
      </c>
      <c r="G85" t="n">
        <v>30.64835182646723</v>
      </c>
      <c r="H85" t="n">
        <v>7.356040488150117</v>
      </c>
      <c r="I85" t="n">
        <v>1301</v>
      </c>
      <c r="J85" t="n">
        <v>1334</v>
      </c>
      <c r="K85" t="n">
        <v>7.391650612924876</v>
      </c>
    </row>
    <row r="86">
      <c r="A86" t="n">
        <v>156</v>
      </c>
      <c r="B86" t="inlineStr">
        <is>
          <t>Rick</t>
        </is>
      </c>
      <c r="C86" t="inlineStr">
        <is>
          <t>Town</t>
        </is>
      </c>
      <c r="D86" t="inlineStr">
        <is>
          <t>Win</t>
        </is>
      </c>
      <c r="E86" t="n">
        <v>33</v>
      </c>
      <c r="F86" t="n">
        <v>29.58999334711362</v>
      </c>
      <c r="G86" t="n">
        <v>30.02481797721467</v>
      </c>
      <c r="H86" t="n">
        <v>7.408719883024457</v>
      </c>
      <c r="I86" t="n">
        <v>1253</v>
      </c>
      <c r="J86" t="n">
        <v>1286</v>
      </c>
      <c r="K86" t="n">
        <v>7.445129361893676</v>
      </c>
    </row>
    <row r="87">
      <c r="A87" t="n">
        <v>156</v>
      </c>
      <c r="B87" t="inlineStr">
        <is>
          <t>Noah</t>
        </is>
      </c>
      <c r="C87" t="inlineStr">
        <is>
          <t>Town</t>
        </is>
      </c>
      <c r="D87" t="inlineStr">
        <is>
          <t>Win</t>
        </is>
      </c>
      <c r="E87" t="n">
        <v>21</v>
      </c>
      <c r="F87" t="n">
        <v>34.3497990284757</v>
      </c>
      <c r="G87" t="n">
        <v>34.63181601215329</v>
      </c>
      <c r="H87" t="n">
        <v>5.9770677774742</v>
      </c>
      <c r="I87" t="n">
        <v>1724</v>
      </c>
      <c r="J87" t="n">
        <v>1745</v>
      </c>
      <c r="K87" t="n">
        <v>5.99558527238768</v>
      </c>
    </row>
    <row r="88">
      <c r="A88" t="n">
        <v>156</v>
      </c>
      <c r="B88" t="inlineStr">
        <is>
          <t>Rocker</t>
        </is>
      </c>
      <c r="C88" t="inlineStr">
        <is>
          <t>Town</t>
        </is>
      </c>
      <c r="D88" t="inlineStr">
        <is>
          <t>Win</t>
        </is>
      </c>
      <c r="E88" t="n">
        <v>18</v>
      </c>
      <c r="F88" t="n">
        <v>38.48291924051804</v>
      </c>
      <c r="G88" t="n">
        <v>38.7294428061468</v>
      </c>
      <c r="H88" t="n">
        <v>5.590581019222036</v>
      </c>
      <c r="I88" t="n">
        <v>2045</v>
      </c>
      <c r="J88" t="n">
        <v>2063</v>
      </c>
      <c r="K88" t="n">
        <v>5.605501529278849</v>
      </c>
    </row>
    <row r="89">
      <c r="A89" t="n">
        <v>156</v>
      </c>
      <c r="B89" t="inlineStr">
        <is>
          <t>Mintt</t>
        </is>
      </c>
      <c r="C89" t="inlineStr">
        <is>
          <t>Town</t>
        </is>
      </c>
      <c r="D89" t="inlineStr">
        <is>
          <t>Win</t>
        </is>
      </c>
      <c r="E89" t="n">
        <v>26</v>
      </c>
      <c r="F89" t="n">
        <v>33.13253452176378</v>
      </c>
      <c r="G89" t="n">
        <v>33.468828628656</v>
      </c>
      <c r="H89" t="n">
        <v>6.52287350265254</v>
      </c>
      <c r="I89" t="n">
        <v>1585</v>
      </c>
      <c r="J89" t="n">
        <v>1611</v>
      </c>
      <c r="K89" t="n">
        <v>6.547316424387463</v>
      </c>
    </row>
    <row r="90">
      <c r="A90" t="n">
        <v>156</v>
      </c>
      <c r="B90" t="inlineStr">
        <is>
          <t>Chelsea</t>
        </is>
      </c>
      <c r="C90" t="inlineStr">
        <is>
          <t>Town</t>
        </is>
      </c>
      <c r="D90" t="inlineStr">
        <is>
          <t>Win</t>
        </is>
      </c>
      <c r="E90" t="n">
        <v>30</v>
      </c>
      <c r="F90" t="n">
        <v>29.89965113125969</v>
      </c>
      <c r="G90" t="n">
        <v>30.29181625664345</v>
      </c>
      <c r="H90" t="n">
        <v>7.039377779060136</v>
      </c>
      <c r="I90" t="n">
        <v>1312</v>
      </c>
      <c r="J90" t="n">
        <v>1342</v>
      </c>
      <c r="K90" t="n">
        <v>7.070423107438135</v>
      </c>
    </row>
    <row r="91">
      <c r="A91" t="n">
        <v>156</v>
      </c>
      <c r="B91" t="inlineStr">
        <is>
          <t>Strik3r</t>
        </is>
      </c>
      <c r="C91" t="inlineStr">
        <is>
          <t>Town</t>
        </is>
      </c>
      <c r="D91" t="inlineStr">
        <is>
          <t>Win</t>
        </is>
      </c>
      <c r="E91" t="n">
        <v>24</v>
      </c>
      <c r="F91" t="n">
        <v>30.73612170084721</v>
      </c>
      <c r="G91" t="n">
        <v>31.04843169503869</v>
      </c>
      <c r="H91" t="n">
        <v>6.287705013268412</v>
      </c>
      <c r="I91" t="n">
        <v>1446</v>
      </c>
      <c r="J91" t="n">
        <v>1470</v>
      </c>
      <c r="K91" t="n">
        <v>6.30946815693339</v>
      </c>
    </row>
    <row r="92">
      <c r="A92" t="n">
        <v>156</v>
      </c>
      <c r="B92" t="inlineStr">
        <is>
          <t>Rollo</t>
        </is>
      </c>
      <c r="C92" t="inlineStr">
        <is>
          <t>Town</t>
        </is>
      </c>
      <c r="D92" t="inlineStr">
        <is>
          <t>Win</t>
        </is>
      </c>
      <c r="E92" t="n">
        <v>25</v>
      </c>
      <c r="F92" t="n">
        <v>36.46782111201888</v>
      </c>
      <c r="G92" t="n">
        <v>36.80190313342788</v>
      </c>
      <c r="H92" t="n">
        <v>6.501550506001466</v>
      </c>
      <c r="I92" t="n">
        <v>1814</v>
      </c>
      <c r="J92" t="n">
        <v>1839</v>
      </c>
      <c r="K92" t="n">
        <v>6.525742289124411</v>
      </c>
    </row>
    <row r="93">
      <c r="A93" t="n">
        <v>156</v>
      </c>
      <c r="B93" t="inlineStr">
        <is>
          <t>Laur</t>
        </is>
      </c>
      <c r="C93" t="inlineStr">
        <is>
          <t>Town</t>
        </is>
      </c>
      <c r="D93" t="inlineStr">
        <is>
          <t>Win</t>
        </is>
      </c>
      <c r="E93" t="n">
        <v>22</v>
      </c>
      <c r="F93" t="n">
        <v>34.24377793805201</v>
      </c>
      <c r="G93" t="n">
        <v>34.53682064110647</v>
      </c>
      <c r="H93" t="n">
        <v>6.092014621481858</v>
      </c>
      <c r="I93" t="n">
        <v>1705</v>
      </c>
      <c r="J93" t="n">
        <v>1727</v>
      </c>
      <c r="K93" t="n">
        <v>6.111695115391406</v>
      </c>
    </row>
    <row r="94">
      <c r="A94" t="n">
        <v>156</v>
      </c>
      <c r="B94" t="inlineStr">
        <is>
          <t>Siggy</t>
        </is>
      </c>
      <c r="C94" t="inlineStr">
        <is>
          <t>Town</t>
        </is>
      </c>
      <c r="D94" t="inlineStr">
        <is>
          <t>Win</t>
        </is>
      </c>
      <c r="E94" t="n">
        <v>33</v>
      </c>
      <c r="F94" t="n">
        <v>30.21999319734643</v>
      </c>
      <c r="G94" t="n">
        <v>30.65579133474004</v>
      </c>
      <c r="H94" t="n">
        <v>7.416925433717399</v>
      </c>
      <c r="I94" t="n">
        <v>1295</v>
      </c>
      <c r="J94" t="n">
        <v>1328</v>
      </c>
      <c r="K94" t="n">
        <v>7.453460469588288</v>
      </c>
    </row>
    <row r="95">
      <c r="A95" t="n">
        <v>155</v>
      </c>
      <c r="B95" t="inlineStr">
        <is>
          <t>Decode</t>
        </is>
      </c>
      <c r="C95" t="inlineStr">
        <is>
          <t>Mafia</t>
        </is>
      </c>
      <c r="D95" t="inlineStr">
        <is>
          <t>Win</t>
        </is>
      </c>
      <c r="E95" t="n">
        <v>100</v>
      </c>
      <c r="F95" t="n">
        <v>20.35886332109107</v>
      </c>
      <c r="G95" t="n">
        <v>21.72474898319304</v>
      </c>
      <c r="H95" t="n">
        <v>7.256583770622265</v>
      </c>
      <c r="I95" t="n">
        <v>637</v>
      </c>
      <c r="J95" t="n">
        <v>737</v>
      </c>
      <c r="K95" t="n">
        <v>7.331918635787212</v>
      </c>
    </row>
    <row r="96">
      <c r="A96" t="n">
        <v>155</v>
      </c>
      <c r="B96" t="inlineStr">
        <is>
          <t>Lou</t>
        </is>
      </c>
      <c r="C96" t="inlineStr">
        <is>
          <t>Mafia</t>
        </is>
      </c>
      <c r="D96" t="inlineStr">
        <is>
          <t>Win</t>
        </is>
      </c>
      <c r="E96" t="n">
        <v>66</v>
      </c>
      <c r="F96" t="n">
        <v>29.62311441851514</v>
      </c>
      <c r="G96" t="n">
        <v>30.52945591602311</v>
      </c>
      <c r="H96" t="n">
        <v>5.932041888083649</v>
      </c>
      <c r="I96" t="n">
        <v>1405</v>
      </c>
      <c r="J96" t="n">
        <v>1471</v>
      </c>
      <c r="K96" t="n">
        <v>5.972221602553203</v>
      </c>
    </row>
    <row r="97">
      <c r="A97" t="n">
        <v>155</v>
      </c>
      <c r="B97" t="inlineStr">
        <is>
          <t>Svaan</t>
        </is>
      </c>
      <c r="C97" t="inlineStr">
        <is>
          <t>Mafia</t>
        </is>
      </c>
      <c r="D97" t="inlineStr">
        <is>
          <t>Win</t>
        </is>
      </c>
      <c r="E97" t="n">
        <v>99</v>
      </c>
      <c r="F97" t="n">
        <v>29.81508114207055</v>
      </c>
      <c r="G97" t="n">
        <v>31.14870144886636</v>
      </c>
      <c r="H97" t="n">
        <v>7.172146386482367</v>
      </c>
      <c r="I97" t="n">
        <v>1288</v>
      </c>
      <c r="J97" t="n">
        <v>1387</v>
      </c>
      <c r="K97" t="n">
        <v>7.244786412824885</v>
      </c>
    </row>
    <row r="98">
      <c r="A98" t="n">
        <v>155</v>
      </c>
      <c r="B98" t="inlineStr">
        <is>
          <t>Strik3r</t>
        </is>
      </c>
      <c r="C98" t="inlineStr">
        <is>
          <t>Town</t>
        </is>
      </c>
      <c r="D98" t="inlineStr">
        <is>
          <t>Loss</t>
        </is>
      </c>
      <c r="E98" t="n">
        <v>-65</v>
      </c>
      <c r="F98" t="n">
        <v>31.763365720068</v>
      </c>
      <c r="G98" t="n">
        <v>30.73612170084721</v>
      </c>
      <c r="H98" t="n">
        <v>6.30946815693339</v>
      </c>
      <c r="I98" t="n">
        <v>1511</v>
      </c>
      <c r="J98" t="n">
        <v>1446</v>
      </c>
      <c r="K98" t="n">
        <v>6.358196675878871</v>
      </c>
    </row>
    <row r="99">
      <c r="A99" t="n">
        <v>155</v>
      </c>
      <c r="B99" t="inlineStr">
        <is>
          <t>Hunterxp</t>
        </is>
      </c>
      <c r="C99" t="inlineStr">
        <is>
          <t>Town</t>
        </is>
      </c>
      <c r="D99" t="inlineStr">
        <is>
          <t>Loss</t>
        </is>
      </c>
      <c r="E99" t="n">
        <v>-94</v>
      </c>
      <c r="F99" t="n">
        <v>23.62006765864074</v>
      </c>
      <c r="G99" t="n">
        <v>22.10611276628279</v>
      </c>
      <c r="H99" t="n">
        <v>7.631065309264071</v>
      </c>
      <c r="I99" t="n">
        <v>819</v>
      </c>
      <c r="J99" t="n">
        <v>725</v>
      </c>
      <c r="K99" t="n">
        <v>7.719174918060352</v>
      </c>
    </row>
    <row r="100">
      <c r="A100" t="n">
        <v>155</v>
      </c>
      <c r="B100" t="inlineStr">
        <is>
          <t>Rocker</t>
        </is>
      </c>
      <c r="C100" t="inlineStr">
        <is>
          <t>Town</t>
        </is>
      </c>
      <c r="D100" t="inlineStr">
        <is>
          <t>Loss</t>
        </is>
      </c>
      <c r="E100" t="n">
        <v>-52</v>
      </c>
      <c r="F100" t="n">
        <v>39.29100895201762</v>
      </c>
      <c r="G100" t="n">
        <v>38.48291924051804</v>
      </c>
      <c r="H100" t="n">
        <v>5.605501529278849</v>
      </c>
      <c r="I100" t="n">
        <v>2097</v>
      </c>
      <c r="J100" t="n">
        <v>2045</v>
      </c>
      <c r="K100" t="n">
        <v>5.639133393830424</v>
      </c>
    </row>
    <row r="101">
      <c r="A101" t="n">
        <v>155</v>
      </c>
      <c r="B101" t="inlineStr">
        <is>
          <t>Brownkow</t>
        </is>
      </c>
      <c r="C101" t="inlineStr">
        <is>
          <t>Town</t>
        </is>
      </c>
      <c r="D101" t="inlineStr">
        <is>
          <t>Loss</t>
        </is>
      </c>
      <c r="E101" t="n">
        <v>-51</v>
      </c>
      <c r="F101" t="n">
        <v>33.02351061411533</v>
      </c>
      <c r="G101" t="n">
        <v>32.21464034351643</v>
      </c>
      <c r="H101" t="n">
        <v>5.608174679001358</v>
      </c>
      <c r="I101" t="n">
        <v>1670</v>
      </c>
      <c r="J101" t="n">
        <v>1619</v>
      </c>
      <c r="K101" t="n">
        <v>5.641857100071539</v>
      </c>
    </row>
    <row r="102">
      <c r="A102" t="n">
        <v>155</v>
      </c>
      <c r="B102" t="inlineStr">
        <is>
          <t>Kwix</t>
        </is>
      </c>
      <c r="C102" t="inlineStr">
        <is>
          <t>Town</t>
        </is>
      </c>
      <c r="D102" t="inlineStr">
        <is>
          <t>Loss</t>
        </is>
      </c>
      <c r="E102" t="n">
        <v>-64</v>
      </c>
      <c r="F102" t="n">
        <v>23.9516372664044</v>
      </c>
      <c r="G102" t="n">
        <v>22.93606691700974</v>
      </c>
      <c r="H102" t="n">
        <v>6.274076766529279</v>
      </c>
      <c r="I102" t="n">
        <v>984</v>
      </c>
      <c r="J102" t="n">
        <v>920</v>
      </c>
      <c r="K102" t="n">
        <v>6.321956975534968</v>
      </c>
    </row>
    <row r="103">
      <c r="A103" t="n">
        <v>155</v>
      </c>
      <c r="B103" t="inlineStr">
        <is>
          <t>Laur</t>
        </is>
      </c>
      <c r="C103" t="inlineStr">
        <is>
          <t>Town</t>
        </is>
      </c>
      <c r="D103" t="inlineStr">
        <is>
          <t>Loss</t>
        </is>
      </c>
      <c r="E103" t="n">
        <v>-61</v>
      </c>
      <c r="F103" t="n">
        <v>35.20668213028021</v>
      </c>
      <c r="G103" t="n">
        <v>34.24377793805201</v>
      </c>
      <c r="H103" t="n">
        <v>6.111695115391406</v>
      </c>
      <c r="I103" t="n">
        <v>1766</v>
      </c>
      <c r="J103" t="n">
        <v>1705</v>
      </c>
      <c r="K103" t="n">
        <v>6.155808438073715</v>
      </c>
    </row>
    <row r="104">
      <c r="A104" t="n">
        <v>155</v>
      </c>
      <c r="B104" t="inlineStr">
        <is>
          <t>Iln</t>
        </is>
      </c>
      <c r="C104" t="inlineStr">
        <is>
          <t>Town</t>
        </is>
      </c>
      <c r="D104" t="inlineStr">
        <is>
          <t>Loss</t>
        </is>
      </c>
      <c r="E104" t="n">
        <v>-55</v>
      </c>
      <c r="F104" t="n">
        <v>32.96556186599053</v>
      </c>
      <c r="G104" t="n">
        <v>32.11227808354329</v>
      </c>
      <c r="H104" t="n">
        <v>5.758128474143317</v>
      </c>
      <c r="I104" t="n">
        <v>1651</v>
      </c>
      <c r="J104" t="n">
        <v>1596</v>
      </c>
      <c r="K104" t="n">
        <v>5.794726483846691</v>
      </c>
    </row>
    <row r="105">
      <c r="A105" t="n">
        <v>155</v>
      </c>
      <c r="B105" t="inlineStr">
        <is>
          <t>Ken</t>
        </is>
      </c>
      <c r="C105" t="inlineStr">
        <is>
          <t>Town</t>
        </is>
      </c>
      <c r="D105" t="inlineStr">
        <is>
          <t>Loss</t>
        </is>
      </c>
      <c r="E105" t="n">
        <v>-81</v>
      </c>
      <c r="F105" t="n">
        <v>26.07692101837754</v>
      </c>
      <c r="G105" t="n">
        <v>24.77786625026618</v>
      </c>
      <c r="H105" t="n">
        <v>7.080475446557896</v>
      </c>
      <c r="I105" t="n">
        <v>1044</v>
      </c>
      <c r="J105" t="n">
        <v>963</v>
      </c>
      <c r="K105" t="n">
        <v>7.150264646602875</v>
      </c>
    </row>
    <row r="106">
      <c r="A106" t="n">
        <v>155</v>
      </c>
      <c r="B106" t="inlineStr">
        <is>
          <t>Badpants</t>
        </is>
      </c>
      <c r="C106" t="inlineStr">
        <is>
          <t>Town</t>
        </is>
      </c>
      <c r="D106" t="inlineStr">
        <is>
          <t>Loss</t>
        </is>
      </c>
      <c r="E106" t="n">
        <v>-58</v>
      </c>
      <c r="F106" t="n">
        <v>27.1493552296858</v>
      </c>
      <c r="G106" t="n">
        <v>26.23428316471335</v>
      </c>
      <c r="H106" t="n">
        <v>5.960145982656806</v>
      </c>
      <c r="I106" t="n">
        <v>1234</v>
      </c>
      <c r="J106" t="n">
        <v>1176</v>
      </c>
      <c r="K106" t="n">
        <v>6.000925169864959</v>
      </c>
    </row>
    <row r="107">
      <c r="A107" t="n">
        <v>154</v>
      </c>
      <c r="B107" t="inlineStr">
        <is>
          <t>Strik3r</t>
        </is>
      </c>
      <c r="C107" t="inlineStr">
        <is>
          <t>Mafia</t>
        </is>
      </c>
      <c r="D107" t="inlineStr">
        <is>
          <t>Win</t>
        </is>
      </c>
      <c r="E107" t="n">
        <v>51</v>
      </c>
      <c r="F107" t="n">
        <v>31.0676392460604</v>
      </c>
      <c r="G107" t="n">
        <v>31.763365720068</v>
      </c>
      <c r="H107" t="n">
        <v>6.358196675878871</v>
      </c>
      <c r="I107" t="n">
        <v>1460</v>
      </c>
      <c r="J107" t="n">
        <v>1511</v>
      </c>
      <c r="K107" t="n">
        <v>6.39346885525378</v>
      </c>
    </row>
    <row r="108">
      <c r="A108" t="n">
        <v>154</v>
      </c>
      <c r="B108" t="inlineStr">
        <is>
          <t>Hunterxp</t>
        </is>
      </c>
      <c r="C108" t="inlineStr">
        <is>
          <t>Mafia</t>
        </is>
      </c>
      <c r="D108" t="inlineStr">
        <is>
          <t>Win</t>
        </is>
      </c>
      <c r="E108" t="n">
        <v>77</v>
      </c>
      <c r="F108" t="n">
        <v>22.58896977691392</v>
      </c>
      <c r="G108" t="n">
        <v>23.62006765864074</v>
      </c>
      <c r="H108" t="n">
        <v>7.719174918060352</v>
      </c>
      <c r="I108" t="n">
        <v>742</v>
      </c>
      <c r="J108" t="n">
        <v>819</v>
      </c>
      <c r="K108" t="n">
        <v>7.78367177817872</v>
      </c>
    </row>
    <row r="109">
      <c r="A109" t="n">
        <v>154</v>
      </c>
      <c r="B109" t="inlineStr">
        <is>
          <t>Motr</t>
        </is>
      </c>
      <c r="C109" t="inlineStr">
        <is>
          <t>Mafia</t>
        </is>
      </c>
      <c r="D109" t="inlineStr">
        <is>
          <t>Win</t>
        </is>
      </c>
      <c r="E109" t="n">
        <v>57</v>
      </c>
      <c r="F109" t="n">
        <v>27.00789337789086</v>
      </c>
      <c r="G109" t="n">
        <v>27.786106780526</v>
      </c>
      <c r="H109" t="n">
        <v>6.720027353739249</v>
      </c>
      <c r="I109" t="n">
        <v>1147</v>
      </c>
      <c r="J109" t="n">
        <v>1204</v>
      </c>
      <c r="K109" t="n">
        <v>6.76195494717787</v>
      </c>
    </row>
    <row r="110">
      <c r="A110" t="n">
        <v>154</v>
      </c>
      <c r="B110" t="inlineStr">
        <is>
          <t>Brownkow</t>
        </is>
      </c>
      <c r="C110" t="inlineStr">
        <is>
          <t>Town</t>
        </is>
      </c>
      <c r="D110" t="inlineStr">
        <is>
          <t>Loss</t>
        </is>
      </c>
      <c r="E110" t="n">
        <v>-35</v>
      </c>
      <c r="F110" t="n">
        <v>33.56996804392708</v>
      </c>
      <c r="G110" t="n">
        <v>33.02351061411533</v>
      </c>
      <c r="H110" t="n">
        <v>5.641857100071539</v>
      </c>
      <c r="I110" t="n">
        <v>1705</v>
      </c>
      <c r="J110" t="n">
        <v>1670</v>
      </c>
      <c r="K110" t="n">
        <v>5.666057080119153</v>
      </c>
    </row>
    <row r="111">
      <c r="A111" t="n">
        <v>154</v>
      </c>
      <c r="B111" t="inlineStr">
        <is>
          <t>Chipper</t>
        </is>
      </c>
      <c r="C111" t="inlineStr">
        <is>
          <t>Town</t>
        </is>
      </c>
      <c r="D111" t="inlineStr">
        <is>
          <t>Loss</t>
        </is>
      </c>
      <c r="E111" t="n">
        <v>-45</v>
      </c>
      <c r="F111" t="n">
        <v>28.98658837791797</v>
      </c>
      <c r="G111" t="n">
        <v>28.27214043479538</v>
      </c>
      <c r="H111" t="n">
        <v>6.442189882069351</v>
      </c>
      <c r="I111" t="n">
        <v>1310</v>
      </c>
      <c r="J111" t="n">
        <v>1265</v>
      </c>
      <c r="K111" t="n">
        <v>6.478940271875361</v>
      </c>
    </row>
    <row r="112">
      <c r="A112" t="n">
        <v>154</v>
      </c>
      <c r="B112" t="inlineStr">
        <is>
          <t>Kwix</t>
        </is>
      </c>
      <c r="C112" t="inlineStr">
        <is>
          <t>Town</t>
        </is>
      </c>
      <c r="D112" t="inlineStr">
        <is>
          <t>Loss</t>
        </is>
      </c>
      <c r="E112" t="n">
        <v>-43</v>
      </c>
      <c r="F112" t="n">
        <v>24.63936558386294</v>
      </c>
      <c r="G112" t="n">
        <v>23.9516372664044</v>
      </c>
      <c r="H112" t="n">
        <v>6.321956975534968</v>
      </c>
      <c r="I112" t="n">
        <v>1027</v>
      </c>
      <c r="J112" t="n">
        <v>984</v>
      </c>
      <c r="K112" t="n">
        <v>6.356603530765051</v>
      </c>
    </row>
    <row r="113">
      <c r="A113" t="n">
        <v>154</v>
      </c>
      <c r="B113" t="inlineStr">
        <is>
          <t>Svaan</t>
        </is>
      </c>
      <c r="C113" t="inlineStr">
        <is>
          <t>Town</t>
        </is>
      </c>
      <c r="D113" t="inlineStr">
        <is>
          <t>Loss</t>
        </is>
      </c>
      <c r="E113" t="n">
        <v>-57</v>
      </c>
      <c r="F113" t="n">
        <v>30.72148145068546</v>
      </c>
      <c r="G113" t="n">
        <v>29.81508114207055</v>
      </c>
      <c r="H113" t="n">
        <v>7.244786412824885</v>
      </c>
      <c r="I113" t="n">
        <v>1345</v>
      </c>
      <c r="J113" t="n">
        <v>1288</v>
      </c>
      <c r="K113" t="n">
        <v>7.297761373353018</v>
      </c>
    </row>
    <row r="114">
      <c r="A114" t="n">
        <v>154</v>
      </c>
      <c r="B114" t="inlineStr">
        <is>
          <t>Gilbert</t>
        </is>
      </c>
      <c r="C114" t="inlineStr">
        <is>
          <t>Town</t>
        </is>
      </c>
      <c r="D114" t="inlineStr">
        <is>
          <t>Loss</t>
        </is>
      </c>
      <c r="E114" t="n">
        <v>-46</v>
      </c>
      <c r="F114" t="n">
        <v>27.97443178635749</v>
      </c>
      <c r="G114" t="n">
        <v>27.24065664585036</v>
      </c>
      <c r="H114" t="n">
        <v>6.52771349824377</v>
      </c>
      <c r="I114" t="n">
        <v>1233</v>
      </c>
      <c r="J114" t="n">
        <v>1187</v>
      </c>
      <c r="K114" t="n">
        <v>6.56601001527554</v>
      </c>
    </row>
    <row r="115">
      <c r="A115" t="n">
        <v>154</v>
      </c>
      <c r="B115" t="inlineStr">
        <is>
          <t>Laur</t>
        </is>
      </c>
      <c r="C115" t="inlineStr">
        <is>
          <t>Town</t>
        </is>
      </c>
      <c r="D115" t="inlineStr">
        <is>
          <t>Loss</t>
        </is>
      </c>
      <c r="E115" t="n">
        <v>-41</v>
      </c>
      <c r="F115" t="n">
        <v>35.85835275693073</v>
      </c>
      <c r="G115" t="n">
        <v>35.20668213028021</v>
      </c>
      <c r="H115" t="n">
        <v>6.155808438073715</v>
      </c>
      <c r="I115" t="n">
        <v>1807</v>
      </c>
      <c r="J115" t="n">
        <v>1766</v>
      </c>
      <c r="K115" t="n">
        <v>6.187678931733182</v>
      </c>
    </row>
    <row r="116">
      <c r="A116" t="n">
        <v>154</v>
      </c>
      <c r="B116" t="inlineStr">
        <is>
          <t>Lou</t>
        </is>
      </c>
      <c r="C116" t="inlineStr">
        <is>
          <t>Town</t>
        </is>
      </c>
      <c r="D116" t="inlineStr">
        <is>
          <t>Loss</t>
        </is>
      </c>
      <c r="E116" t="n">
        <v>-39</v>
      </c>
      <c r="F116" t="n">
        <v>30.23610735975003</v>
      </c>
      <c r="G116" t="n">
        <v>29.62311441851514</v>
      </c>
      <c r="H116" t="n">
        <v>5.972221602553203</v>
      </c>
      <c r="I116" t="n">
        <v>1444</v>
      </c>
      <c r="J116" t="n">
        <v>1405</v>
      </c>
      <c r="K116" t="n">
        <v>6.00119661979792</v>
      </c>
    </row>
    <row r="117">
      <c r="A117" t="n">
        <v>154</v>
      </c>
      <c r="B117" t="inlineStr">
        <is>
          <t>Doublea</t>
        </is>
      </c>
      <c r="C117" t="inlineStr">
        <is>
          <t>Town</t>
        </is>
      </c>
      <c r="D117" t="inlineStr">
        <is>
          <t>Loss</t>
        </is>
      </c>
      <c r="E117" t="n">
        <v>-53</v>
      </c>
      <c r="F117" t="n">
        <v>23.44030401784899</v>
      </c>
      <c r="G117" t="n">
        <v>22.57702734608779</v>
      </c>
      <c r="H117" t="n">
        <v>7.072844648798827</v>
      </c>
      <c r="I117" t="n">
        <v>867</v>
      </c>
      <c r="J117" t="n">
        <v>814</v>
      </c>
      <c r="K117" t="n">
        <v>7.122010373185063</v>
      </c>
    </row>
    <row r="118">
      <c r="A118" t="n">
        <v>154</v>
      </c>
      <c r="B118" t="inlineStr">
        <is>
          <t>Decode</t>
        </is>
      </c>
      <c r="C118" t="inlineStr">
        <is>
          <t>Town</t>
        </is>
      </c>
      <c r="D118" t="inlineStr">
        <is>
          <t>Loss</t>
        </is>
      </c>
      <c r="E118" t="n">
        <v>-57</v>
      </c>
      <c r="F118" t="n">
        <v>21.28753637906673</v>
      </c>
      <c r="G118" t="n">
        <v>20.35886332109107</v>
      </c>
      <c r="H118" t="n">
        <v>7.331918635787212</v>
      </c>
      <c r="I118" t="n">
        <v>694</v>
      </c>
      <c r="J118" t="n">
        <v>637</v>
      </c>
      <c r="K118" t="n">
        <v>7.38689689214783</v>
      </c>
    </row>
    <row r="119">
      <c r="A119" t="n">
        <v>154</v>
      </c>
      <c r="B119" t="inlineStr">
        <is>
          <t>Iln</t>
        </is>
      </c>
      <c r="C119" t="inlineStr">
        <is>
          <t>Town</t>
        </is>
      </c>
      <c r="D119" t="inlineStr">
        <is>
          <t>Loss</t>
        </is>
      </c>
      <c r="E119" t="n">
        <v>-36</v>
      </c>
      <c r="F119" t="n">
        <v>33.54231862652351</v>
      </c>
      <c r="G119" t="n">
        <v>32.96556186599053</v>
      </c>
      <c r="H119" t="n">
        <v>5.794726483846691</v>
      </c>
      <c r="I119" t="n">
        <v>1687</v>
      </c>
      <c r="J119" t="n">
        <v>1651</v>
      </c>
      <c r="K119" t="n">
        <v>5.821068071469919</v>
      </c>
    </row>
    <row r="120">
      <c r="A120" t="n">
        <v>154</v>
      </c>
      <c r="B120" t="inlineStr">
        <is>
          <t>Machop</t>
        </is>
      </c>
      <c r="C120" t="inlineStr">
        <is>
          <t>Town</t>
        </is>
      </c>
      <c r="D120" t="inlineStr">
        <is>
          <t>Loss</t>
        </is>
      </c>
      <c r="E120" t="n">
        <v>-46</v>
      </c>
      <c r="F120" t="n">
        <v>26.05825354413341</v>
      </c>
      <c r="G120" t="n">
        <v>25.32660125307354</v>
      </c>
      <c r="H120" t="n">
        <v>6.5183773222227</v>
      </c>
      <c r="I120" t="n">
        <v>1103</v>
      </c>
      <c r="J120" t="n">
        <v>1057</v>
      </c>
      <c r="K120" t="n">
        <v>6.556503026242642</v>
      </c>
    </row>
    <row r="121">
      <c r="A121" t="n">
        <v>153</v>
      </c>
      <c r="B121" t="inlineStr">
        <is>
          <t>Rollo</t>
        </is>
      </c>
      <c r="C121" t="inlineStr">
        <is>
          <t>Mafia</t>
        </is>
      </c>
      <c r="D121" t="inlineStr">
        <is>
          <t>Win</t>
        </is>
      </c>
      <c r="E121" t="n">
        <v>25</v>
      </c>
      <c r="F121" t="n">
        <v>36.13813311490005</v>
      </c>
      <c r="G121" t="n">
        <v>36.46782111201888</v>
      </c>
      <c r="H121" t="n">
        <v>6.525742289124411</v>
      </c>
      <c r="I121" t="n">
        <v>1789</v>
      </c>
      <c r="J121" t="n">
        <v>1814</v>
      </c>
      <c r="K121" t="n">
        <v>6.553166071639706</v>
      </c>
    </row>
    <row r="122">
      <c r="A122" t="n">
        <v>153</v>
      </c>
      <c r="B122" t="inlineStr">
        <is>
          <t>Noah</t>
        </is>
      </c>
      <c r="C122" t="inlineStr">
        <is>
          <t>Mafia</t>
        </is>
      </c>
      <c r="D122" t="inlineStr">
        <is>
          <t>Win</t>
        </is>
      </c>
      <c r="E122" t="n">
        <v>21</v>
      </c>
      <c r="F122" t="n">
        <v>34.0718811579673</v>
      </c>
      <c r="G122" t="n">
        <v>34.3497990284757</v>
      </c>
      <c r="H122" t="n">
        <v>5.99558527238768</v>
      </c>
      <c r="I122" t="n">
        <v>1703</v>
      </c>
      <c r="J122" t="n">
        <v>1724</v>
      </c>
      <c r="K122" t="n">
        <v>6.016562372169227</v>
      </c>
    </row>
    <row r="123">
      <c r="A123" t="n">
        <v>153</v>
      </c>
      <c r="B123" t="inlineStr">
        <is>
          <t>Levi</t>
        </is>
      </c>
      <c r="C123" t="inlineStr">
        <is>
          <t>Mafia</t>
        </is>
      </c>
      <c r="D123" t="inlineStr">
        <is>
          <t>Win</t>
        </is>
      </c>
      <c r="E123" t="n">
        <v>40</v>
      </c>
      <c r="F123" t="n">
        <v>27.4100649344862</v>
      </c>
      <c r="G123" t="n">
        <v>27.90797820639777</v>
      </c>
      <c r="H123" t="n">
        <v>8.001913349536272</v>
      </c>
      <c r="I123" t="n">
        <v>1042</v>
      </c>
      <c r="J123" t="n">
        <v>1082</v>
      </c>
      <c r="K123" t="n">
        <v>8.053664626496946</v>
      </c>
    </row>
    <row r="124">
      <c r="A124" t="n">
        <v>153</v>
      </c>
      <c r="B124" t="inlineStr">
        <is>
          <t>Plen</t>
        </is>
      </c>
      <c r="C124" t="inlineStr">
        <is>
          <t>Town</t>
        </is>
      </c>
      <c r="D124" t="inlineStr">
        <is>
          <t>Loss</t>
        </is>
      </c>
      <c r="E124" t="n">
        <v>-16</v>
      </c>
      <c r="F124" t="n">
        <v>24.68289357514839</v>
      </c>
      <c r="G124" t="n">
        <v>24.42188313416712</v>
      </c>
      <c r="H124" t="n">
        <v>5.811637839795714</v>
      </c>
      <c r="I124" t="n">
        <v>1084</v>
      </c>
      <c r="J124" t="n">
        <v>1068</v>
      </c>
      <c r="K124" t="n">
        <v>5.830626752667678</v>
      </c>
    </row>
    <row r="125">
      <c r="A125" t="n">
        <v>153</v>
      </c>
      <c r="B125" t="inlineStr">
        <is>
          <t>Kwix</t>
        </is>
      </c>
      <c r="C125" t="inlineStr">
        <is>
          <t>Town</t>
        </is>
      </c>
      <c r="D125" t="inlineStr">
        <is>
          <t>Loss</t>
        </is>
      </c>
      <c r="E125" t="n">
        <v>-19</v>
      </c>
      <c r="F125" t="n">
        <v>24.95204523997918</v>
      </c>
      <c r="G125" t="n">
        <v>24.63936558386294</v>
      </c>
      <c r="H125" t="n">
        <v>6.356603530765051</v>
      </c>
      <c r="I125" t="n">
        <v>1046</v>
      </c>
      <c r="J125" t="n">
        <v>1027</v>
      </c>
      <c r="K125" t="n">
        <v>6.381851117239909</v>
      </c>
    </row>
    <row r="126">
      <c r="A126" t="n">
        <v>153</v>
      </c>
      <c r="B126" t="inlineStr">
        <is>
          <t>Strik3r</t>
        </is>
      </c>
      <c r="C126" t="inlineStr">
        <is>
          <t>Town</t>
        </is>
      </c>
      <c r="D126" t="inlineStr">
        <is>
          <t>Loss</t>
        </is>
      </c>
      <c r="E126" t="n">
        <v>-19</v>
      </c>
      <c r="F126" t="n">
        <v>31.38398666466047</v>
      </c>
      <c r="G126" t="n">
        <v>31.0676392460604</v>
      </c>
      <c r="H126" t="n">
        <v>6.39346885525378</v>
      </c>
      <c r="I126" t="n">
        <v>1479</v>
      </c>
      <c r="J126" t="n">
        <v>1460</v>
      </c>
      <c r="K126" t="n">
        <v>6.419180993268188</v>
      </c>
    </row>
    <row r="127">
      <c r="A127" t="n">
        <v>153</v>
      </c>
      <c r="B127" t="inlineStr">
        <is>
          <t>Rocker</t>
        </is>
      </c>
      <c r="C127" t="inlineStr">
        <is>
          <t>Town</t>
        </is>
      </c>
      <c r="D127" t="inlineStr">
        <is>
          <t>Loss</t>
        </is>
      </c>
      <c r="E127" t="n">
        <v>-15</v>
      </c>
      <c r="F127" t="n">
        <v>39.53665550212697</v>
      </c>
      <c r="G127" t="n">
        <v>39.29100895201762</v>
      </c>
      <c r="H127" t="n">
        <v>5.639133393830424</v>
      </c>
      <c r="I127" t="n">
        <v>2112</v>
      </c>
      <c r="J127" t="n">
        <v>2097</v>
      </c>
      <c r="K127" t="n">
        <v>5.656367787859634</v>
      </c>
    </row>
    <row r="128">
      <c r="A128" t="n">
        <v>153</v>
      </c>
      <c r="B128" t="inlineStr">
        <is>
          <t>Mintt</t>
        </is>
      </c>
      <c r="C128" t="inlineStr">
        <is>
          <t>Town</t>
        </is>
      </c>
      <c r="D128" t="inlineStr">
        <is>
          <t>Loss</t>
        </is>
      </c>
      <c r="E128" t="n">
        <v>-20</v>
      </c>
      <c r="F128" t="n">
        <v>33.46442521926626</v>
      </c>
      <c r="G128" t="n">
        <v>33.13253452176378</v>
      </c>
      <c r="H128" t="n">
        <v>6.547316424387463</v>
      </c>
      <c r="I128" t="n">
        <v>1605</v>
      </c>
      <c r="J128" t="n">
        <v>1585</v>
      </c>
      <c r="K128" t="n">
        <v>6.575026105614039</v>
      </c>
    </row>
    <row r="129">
      <c r="A129" t="n">
        <v>153</v>
      </c>
      <c r="B129" t="inlineStr">
        <is>
          <t>Iln</t>
        </is>
      </c>
      <c r="C129" t="inlineStr">
        <is>
          <t>Town</t>
        </is>
      </c>
      <c r="D129" t="inlineStr">
        <is>
          <t>Loss</t>
        </is>
      </c>
      <c r="E129" t="n">
        <v>-16</v>
      </c>
      <c r="F129" t="n">
        <v>33.80418266895393</v>
      </c>
      <c r="G129" t="n">
        <v>33.54231862652351</v>
      </c>
      <c r="H129" t="n">
        <v>5.821068071469919</v>
      </c>
      <c r="I129" t="n">
        <v>1703</v>
      </c>
      <c r="J129" t="n">
        <v>1687</v>
      </c>
      <c r="K129" t="n">
        <v>5.840155931821689</v>
      </c>
    </row>
    <row r="130">
      <c r="A130" t="n">
        <v>153</v>
      </c>
      <c r="B130" t="inlineStr">
        <is>
          <t>Siggy</t>
        </is>
      </c>
      <c r="C130" t="inlineStr">
        <is>
          <t>Town</t>
        </is>
      </c>
      <c r="D130" t="inlineStr">
        <is>
          <t>Loss</t>
        </is>
      </c>
      <c r="E130" t="n">
        <v>-25</v>
      </c>
      <c r="F130" t="n">
        <v>30.65123302349736</v>
      </c>
      <c r="G130" t="n">
        <v>30.21999319734643</v>
      </c>
      <c r="H130" t="n">
        <v>7.453460469588288</v>
      </c>
      <c r="I130" t="n">
        <v>1320</v>
      </c>
      <c r="J130" t="n">
        <v>1295</v>
      </c>
      <c r="K130" t="n">
        <v>7.494988042566805</v>
      </c>
    </row>
    <row r="131">
      <c r="A131" t="n">
        <v>153</v>
      </c>
      <c r="B131" t="inlineStr">
        <is>
          <t>Carson</t>
        </is>
      </c>
      <c r="C131" t="inlineStr">
        <is>
          <t>Town</t>
        </is>
      </c>
      <c r="D131" t="inlineStr">
        <is>
          <t>Loss</t>
        </is>
      </c>
      <c r="E131" t="n">
        <v>-17</v>
      </c>
      <c r="F131" t="n">
        <v>29.75084402859705</v>
      </c>
      <c r="G131" t="n">
        <v>29.474122596564</v>
      </c>
      <c r="H131" t="n">
        <v>5.982759684776092</v>
      </c>
      <c r="I131" t="n">
        <v>1411</v>
      </c>
      <c r="J131" t="n">
        <v>1394</v>
      </c>
      <c r="K131" t="n">
        <v>6.003594145925447</v>
      </c>
    </row>
    <row r="132">
      <c r="A132" t="n">
        <v>153</v>
      </c>
      <c r="B132" t="inlineStr">
        <is>
          <t>Badpants</t>
        </is>
      </c>
      <c r="C132" t="inlineStr">
        <is>
          <t>Town</t>
        </is>
      </c>
      <c r="D132" t="inlineStr">
        <is>
          <t>Loss</t>
        </is>
      </c>
      <c r="E132" t="n">
        <v>-17</v>
      </c>
      <c r="F132" t="n">
        <v>27.42777201177823</v>
      </c>
      <c r="G132" t="n">
        <v>27.1493552296858</v>
      </c>
      <c r="H132" t="n">
        <v>6.000925169864959</v>
      </c>
      <c r="I132" t="n">
        <v>1251</v>
      </c>
      <c r="J132" t="n">
        <v>1234</v>
      </c>
      <c r="K132" t="n">
        <v>6.02196183639388</v>
      </c>
    </row>
    <row r="133">
      <c r="A133" t="n">
        <v>153</v>
      </c>
      <c r="B133" t="inlineStr">
        <is>
          <t>Gilbert</t>
        </is>
      </c>
      <c r="C133" t="inlineStr">
        <is>
          <t>Town</t>
        </is>
      </c>
      <c r="D133" t="inlineStr">
        <is>
          <t>Loss</t>
        </is>
      </c>
      <c r="E133" t="n">
        <v>-19</v>
      </c>
      <c r="F133" t="n">
        <v>28.30823717089072</v>
      </c>
      <c r="G133" t="n">
        <v>27.97443178635749</v>
      </c>
      <c r="H133" t="n">
        <v>6.56601001527554</v>
      </c>
      <c r="I133" t="n">
        <v>1252</v>
      </c>
      <c r="J133" t="n">
        <v>1233</v>
      </c>
      <c r="K133" t="n">
        <v>6.593968963068559</v>
      </c>
    </row>
    <row r="134">
      <c r="A134" t="n">
        <v>152</v>
      </c>
      <c r="B134" t="inlineStr">
        <is>
          <t>Plen</t>
        </is>
      </c>
      <c r="C134" t="inlineStr">
        <is>
          <t>Mafia</t>
        </is>
      </c>
      <c r="D134" t="inlineStr">
        <is>
          <t>Loss</t>
        </is>
      </c>
      <c r="E134" t="n">
        <v>-24</v>
      </c>
      <c r="F134" t="n">
        <v>25.07451440325456</v>
      </c>
      <c r="G134" t="n">
        <v>24.68289357514839</v>
      </c>
      <c r="H134" t="n">
        <v>5.830626752667678</v>
      </c>
      <c r="I134" t="n">
        <v>1108</v>
      </c>
      <c r="J134" t="n">
        <v>1084</v>
      </c>
      <c r="K134" t="n">
        <v>5.854766302081693</v>
      </c>
    </row>
    <row r="135">
      <c r="A135" t="n">
        <v>152</v>
      </c>
      <c r="B135" t="inlineStr">
        <is>
          <t>Siggy</t>
        </is>
      </c>
      <c r="C135" t="inlineStr">
        <is>
          <t>Mafia</t>
        </is>
      </c>
      <c r="D135" t="inlineStr">
        <is>
          <t>Loss</t>
        </is>
      </c>
      <c r="E135" t="n">
        <v>-39</v>
      </c>
      <c r="F135" t="n">
        <v>31.30204227291338</v>
      </c>
      <c r="G135" t="n">
        <v>30.65123302349736</v>
      </c>
      <c r="H135" t="n">
        <v>7.494988042566805</v>
      </c>
      <c r="I135" t="n">
        <v>1359</v>
      </c>
      <c r="J135" t="n">
        <v>1320</v>
      </c>
      <c r="K135" t="n">
        <v>7.547945565824622</v>
      </c>
    </row>
    <row r="136">
      <c r="A136" t="n">
        <v>152</v>
      </c>
      <c r="B136" t="inlineStr">
        <is>
          <t>Motr</t>
        </is>
      </c>
      <c r="C136" t="inlineStr">
        <is>
          <t>Mafia</t>
        </is>
      </c>
      <c r="D136" t="inlineStr">
        <is>
          <t>Loss</t>
        </is>
      </c>
      <c r="E136" t="n">
        <v>-32</v>
      </c>
      <c r="F136" t="n">
        <v>27.53619760549626</v>
      </c>
      <c r="G136" t="n">
        <v>27.00789337789086</v>
      </c>
      <c r="H136" t="n">
        <v>6.76195494717787</v>
      </c>
      <c r="I136" t="n">
        <v>1179</v>
      </c>
      <c r="J136" t="n">
        <v>1147</v>
      </c>
      <c r="K136" t="n">
        <v>6.800410131996373</v>
      </c>
    </row>
    <row r="137">
      <c r="A137" t="n">
        <v>152</v>
      </c>
      <c r="B137" t="inlineStr">
        <is>
          <t>Smit</t>
        </is>
      </c>
      <c r="C137" t="inlineStr">
        <is>
          <t>Town</t>
        </is>
      </c>
      <c r="D137" t="inlineStr">
        <is>
          <t>Win</t>
        </is>
      </c>
      <c r="E137" t="n">
        <v>32</v>
      </c>
      <c r="F137" t="n">
        <v>25.0951880450886</v>
      </c>
      <c r="G137" t="n">
        <v>25.52608912836652</v>
      </c>
      <c r="H137" t="n">
        <v>6.113415819492742</v>
      </c>
      <c r="I137" t="n">
        <v>1080</v>
      </c>
      <c r="J137" t="n">
        <v>1112</v>
      </c>
      <c r="K137" t="n">
        <v>6.141454539129477</v>
      </c>
    </row>
    <row r="138">
      <c r="A138" t="n">
        <v>152</v>
      </c>
      <c r="B138" t="inlineStr">
        <is>
          <t>Streety</t>
        </is>
      </c>
      <c r="C138" t="inlineStr">
        <is>
          <t>Town</t>
        </is>
      </c>
      <c r="D138" t="inlineStr">
        <is>
          <t>Win</t>
        </is>
      </c>
      <c r="E138" t="n">
        <v>40</v>
      </c>
      <c r="F138" t="n">
        <v>34.73290200429038</v>
      </c>
      <c r="G138" t="n">
        <v>35.26445208089979</v>
      </c>
      <c r="H138" t="n">
        <v>6.782453305988455</v>
      </c>
      <c r="I138" t="n">
        <v>1666</v>
      </c>
      <c r="J138" t="n">
        <v>1706</v>
      </c>
      <c r="K138" t="n">
        <v>6.821273170500937</v>
      </c>
    </row>
    <row r="139">
      <c r="A139" t="n">
        <v>152</v>
      </c>
      <c r="B139" t="inlineStr">
        <is>
          <t>Heckmuffins</t>
        </is>
      </c>
      <c r="C139" t="inlineStr">
        <is>
          <t>Town</t>
        </is>
      </c>
      <c r="D139" t="inlineStr">
        <is>
          <t>Win</t>
        </is>
      </c>
      <c r="E139" t="n">
        <v>53</v>
      </c>
      <c r="F139" t="n">
        <v>31.91045688447616</v>
      </c>
      <c r="G139" t="n">
        <v>32.60337377731873</v>
      </c>
      <c r="H139" t="n">
        <v>7.730059278157216</v>
      </c>
      <c r="I139" t="n">
        <v>1376</v>
      </c>
      <c r="J139" t="n">
        <v>1429</v>
      </c>
      <c r="K139" t="n">
        <v>7.788338020358511</v>
      </c>
    </row>
    <row r="140">
      <c r="A140" t="n">
        <v>152</v>
      </c>
      <c r="B140" t="inlineStr">
        <is>
          <t>Whyin</t>
        </is>
      </c>
      <c r="C140" t="inlineStr">
        <is>
          <t>Town</t>
        </is>
      </c>
      <c r="D140" t="inlineStr">
        <is>
          <t>Win</t>
        </is>
      </c>
      <c r="E140" t="n">
        <v>37</v>
      </c>
      <c r="F140" t="n">
        <v>29.07778375663917</v>
      </c>
      <c r="G140" t="n">
        <v>29.56917656307932</v>
      </c>
      <c r="H140" t="n">
        <v>6.524104754145521</v>
      </c>
      <c r="I140" t="n">
        <v>1308</v>
      </c>
      <c r="J140" t="n">
        <v>1345</v>
      </c>
      <c r="K140" t="n">
        <v>6.558491090037976</v>
      </c>
    </row>
    <row r="141">
      <c r="A141" t="n">
        <v>152</v>
      </c>
      <c r="B141" t="inlineStr">
        <is>
          <t>Rocker</t>
        </is>
      </c>
      <c r="C141" t="inlineStr">
        <is>
          <t>Town</t>
        </is>
      </c>
      <c r="D141" t="inlineStr">
        <is>
          <t>Win</t>
        </is>
      </c>
      <c r="E141" t="n">
        <v>28</v>
      </c>
      <c r="F141" t="n">
        <v>39.16828135080726</v>
      </c>
      <c r="G141" t="n">
        <v>39.53665550212697</v>
      </c>
      <c r="H141" t="n">
        <v>5.656367787859634</v>
      </c>
      <c r="I141" t="n">
        <v>2084</v>
      </c>
      <c r="J141" t="n">
        <v>2112</v>
      </c>
      <c r="K141" t="n">
        <v>5.67828583362236</v>
      </c>
    </row>
    <row r="142">
      <c r="A142" t="n">
        <v>152</v>
      </c>
      <c r="B142" t="inlineStr">
        <is>
          <t>Brownkow</t>
        </is>
      </c>
      <c r="C142" t="inlineStr">
        <is>
          <t>Town</t>
        </is>
      </c>
      <c r="D142" t="inlineStr">
        <is>
          <t>Win</t>
        </is>
      </c>
      <c r="E142" t="n">
        <v>28</v>
      </c>
      <c r="F142" t="n">
        <v>33.20032044868068</v>
      </c>
      <c r="G142" t="n">
        <v>33.56996804392708</v>
      </c>
      <c r="H142" t="n">
        <v>5.666057080119153</v>
      </c>
      <c r="I142" t="n">
        <v>1677</v>
      </c>
      <c r="J142" t="n">
        <v>1705</v>
      </c>
      <c r="K142" t="n">
        <v>5.688095125210633</v>
      </c>
    </row>
    <row r="143">
      <c r="A143" t="n">
        <v>152</v>
      </c>
      <c r="B143" t="inlineStr">
        <is>
          <t>Laur</t>
        </is>
      </c>
      <c r="C143" t="inlineStr">
        <is>
          <t>Town</t>
        </is>
      </c>
      <c r="D143" t="inlineStr">
        <is>
          <t>Win</t>
        </is>
      </c>
      <c r="E143" t="n">
        <v>33</v>
      </c>
      <c r="F143" t="n">
        <v>35.41681618028143</v>
      </c>
      <c r="G143" t="n">
        <v>35.85835275693073</v>
      </c>
      <c r="H143" t="n">
        <v>6.187678931733182</v>
      </c>
      <c r="I143" t="n">
        <v>1774</v>
      </c>
      <c r="J143" t="n">
        <v>1807</v>
      </c>
      <c r="K143" t="n">
        <v>6.216804041601073</v>
      </c>
    </row>
    <row r="144">
      <c r="A144" t="n">
        <v>152</v>
      </c>
      <c r="B144" t="inlineStr">
        <is>
          <t>Ken</t>
        </is>
      </c>
      <c r="C144" t="inlineStr">
        <is>
          <t>Town</t>
        </is>
      </c>
      <c r="D144" t="inlineStr">
        <is>
          <t>Win</t>
        </is>
      </c>
      <c r="E144" t="n">
        <v>45</v>
      </c>
      <c r="F144" t="n">
        <v>25.48537496962549</v>
      </c>
      <c r="G144" t="n">
        <v>26.07692101837754</v>
      </c>
      <c r="H144" t="n">
        <v>7.150264646602875</v>
      </c>
      <c r="I144" t="n">
        <v>999</v>
      </c>
      <c r="J144" t="n">
        <v>1044</v>
      </c>
      <c r="K144" t="n">
        <v>7.196019997233978</v>
      </c>
    </row>
    <row r="145">
      <c r="A145" t="n">
        <v>152</v>
      </c>
      <c r="B145" t="inlineStr">
        <is>
          <t>Carson</t>
        </is>
      </c>
      <c r="C145" t="inlineStr">
        <is>
          <t>Town</t>
        </is>
      </c>
      <c r="D145" t="inlineStr">
        <is>
          <t>Win</t>
        </is>
      </c>
      <c r="E145" t="n">
        <v>31</v>
      </c>
      <c r="F145" t="n">
        <v>29.33542657649839</v>
      </c>
      <c r="G145" t="n">
        <v>29.75084402859705</v>
      </c>
      <c r="H145" t="n">
        <v>6.003594145925447</v>
      </c>
      <c r="I145" t="n">
        <v>1380</v>
      </c>
      <c r="J145" t="n">
        <v>1411</v>
      </c>
      <c r="K145" t="n">
        <v>6.030074412522658</v>
      </c>
    </row>
    <row r="146">
      <c r="A146" t="n">
        <v>152</v>
      </c>
      <c r="B146" t="inlineStr">
        <is>
          <t>Rollo</t>
        </is>
      </c>
      <c r="C146" t="inlineStr">
        <is>
          <t>Town</t>
        </is>
      </c>
      <c r="D146" t="inlineStr">
        <is>
          <t>Win</t>
        </is>
      </c>
      <c r="E146" t="n">
        <v>37</v>
      </c>
      <c r="F146" t="n">
        <v>35.64230442786217</v>
      </c>
      <c r="G146" t="n">
        <v>36.13813311490005</v>
      </c>
      <c r="H146" t="n">
        <v>6.553166071639706</v>
      </c>
      <c r="I146" t="n">
        <v>1752</v>
      </c>
      <c r="J146" t="n">
        <v>1789</v>
      </c>
      <c r="K146" t="n">
        <v>6.58803370325625</v>
      </c>
    </row>
    <row r="147">
      <c r="A147" t="n">
        <v>151</v>
      </c>
      <c r="B147" t="inlineStr">
        <is>
          <t>Brownkow</t>
        </is>
      </c>
      <c r="C147" t="inlineStr">
        <is>
          <t>Mafia</t>
        </is>
      </c>
      <c r="D147" t="inlineStr">
        <is>
          <t>Loss</t>
        </is>
      </c>
      <c r="E147" t="n">
        <v>-69</v>
      </c>
      <c r="F147" t="n">
        <v>34.26925727067255</v>
      </c>
      <c r="G147" t="n">
        <v>33.20032044868068</v>
      </c>
      <c r="H147" t="n">
        <v>5.688095125210633</v>
      </c>
      <c r="I147" t="n">
        <v>1746</v>
      </c>
      <c r="J147" t="n">
        <v>1677</v>
      </c>
      <c r="K147" t="n">
        <v>5.724351616932983</v>
      </c>
    </row>
    <row r="148">
      <c r="A148" t="n">
        <v>151</v>
      </c>
      <c r="B148" t="inlineStr">
        <is>
          <t>Gilbert</t>
        </is>
      </c>
      <c r="C148" t="inlineStr">
        <is>
          <t>Mafia</t>
        </is>
      </c>
      <c r="D148" t="inlineStr">
        <is>
          <t>Loss</t>
        </is>
      </c>
      <c r="E148" t="n">
        <v>-93</v>
      </c>
      <c r="F148" t="n">
        <v>29.75137572015697</v>
      </c>
      <c r="G148" t="n">
        <v>28.30823717089072</v>
      </c>
      <c r="H148" t="n">
        <v>6.593968963068559</v>
      </c>
      <c r="I148" t="n">
        <v>1345</v>
      </c>
      <c r="J148" t="n">
        <v>1252</v>
      </c>
      <c r="K148" t="n">
        <v>6.651528859996902</v>
      </c>
    </row>
    <row r="149">
      <c r="A149" t="n">
        <v>151</v>
      </c>
      <c r="B149" t="inlineStr">
        <is>
          <t>Iln</t>
        </is>
      </c>
      <c r="C149" t="inlineStr">
        <is>
          <t>Mafia</t>
        </is>
      </c>
      <c r="D149" t="inlineStr">
        <is>
          <t>Loss</t>
        </is>
      </c>
      <c r="E149" t="n">
        <v>-73</v>
      </c>
      <c r="F149" t="n">
        <v>34.93184702479184</v>
      </c>
      <c r="G149" t="n">
        <v>33.80418266895393</v>
      </c>
      <c r="H149" t="n">
        <v>5.840155931821689</v>
      </c>
      <c r="I149" t="n">
        <v>1776</v>
      </c>
      <c r="J149" t="n">
        <v>1703</v>
      </c>
      <c r="K149" t="n">
        <v>5.879544222359318</v>
      </c>
    </row>
    <row r="150">
      <c r="A150" t="n">
        <v>151</v>
      </c>
      <c r="B150" t="inlineStr">
        <is>
          <t>Cyclone</t>
        </is>
      </c>
      <c r="C150" t="inlineStr">
        <is>
          <t>Town</t>
        </is>
      </c>
      <c r="D150" t="inlineStr">
        <is>
          <t>Win</t>
        </is>
      </c>
      <c r="E150" t="n">
        <v>123</v>
      </c>
      <c r="F150" t="n">
        <v>37.08341882341409</v>
      </c>
      <c r="G150" t="n">
        <v>38.78191426608662</v>
      </c>
      <c r="H150" t="n">
        <v>7.142354993285986</v>
      </c>
      <c r="I150" t="n">
        <v>1786</v>
      </c>
      <c r="J150" t="n">
        <v>1909</v>
      </c>
      <c r="K150" t="n">
        <v>7.216174682618301</v>
      </c>
    </row>
    <row r="151">
      <c r="A151" t="n">
        <v>151</v>
      </c>
      <c r="B151" t="inlineStr">
        <is>
          <t>Streety</t>
        </is>
      </c>
      <c r="C151" t="inlineStr">
        <is>
          <t>Town</t>
        </is>
      </c>
      <c r="D151" t="inlineStr">
        <is>
          <t>Win</t>
        </is>
      </c>
      <c r="E151" t="n">
        <v>112</v>
      </c>
      <c r="F151" t="n">
        <v>33.1865903471539</v>
      </c>
      <c r="G151" t="n">
        <v>34.73290200429038</v>
      </c>
      <c r="H151" t="n">
        <v>6.821273170500937</v>
      </c>
      <c r="I151" t="n">
        <v>1554</v>
      </c>
      <c r="J151" t="n">
        <v>1666</v>
      </c>
      <c r="K151" t="n">
        <v>6.885242733868669</v>
      </c>
    </row>
    <row r="152">
      <c r="A152" t="n">
        <v>151</v>
      </c>
      <c r="B152" t="inlineStr">
        <is>
          <t>Machop</t>
        </is>
      </c>
      <c r="C152" t="inlineStr">
        <is>
          <t>Town</t>
        </is>
      </c>
      <c r="D152" t="inlineStr">
        <is>
          <t>Win</t>
        </is>
      </c>
      <c r="E152" t="n">
        <v>103</v>
      </c>
      <c r="F152" t="n">
        <v>24.63176007809851</v>
      </c>
      <c r="G152" t="n">
        <v>26.05825354413341</v>
      </c>
      <c r="H152" t="n">
        <v>6.556503026242642</v>
      </c>
      <c r="I152" t="n">
        <v>1000</v>
      </c>
      <c r="J152" t="n">
        <v>1103</v>
      </c>
      <c r="K152" t="n">
        <v>6.61304969872577</v>
      </c>
    </row>
    <row r="153">
      <c r="A153" t="n">
        <v>151</v>
      </c>
      <c r="B153" t="inlineStr">
        <is>
          <t>Rocker</t>
        </is>
      </c>
      <c r="C153" t="inlineStr">
        <is>
          <t>Town</t>
        </is>
      </c>
      <c r="D153" t="inlineStr">
        <is>
          <t>Win</t>
        </is>
      </c>
      <c r="E153" t="n">
        <v>76</v>
      </c>
      <c r="F153" t="n">
        <v>38.10307689283177</v>
      </c>
      <c r="G153" t="n">
        <v>39.16828135080726</v>
      </c>
      <c r="H153" t="n">
        <v>5.67828583362236</v>
      </c>
      <c r="I153" t="n">
        <v>2008</v>
      </c>
      <c r="J153" t="n">
        <v>2084</v>
      </c>
      <c r="K153" t="n">
        <v>5.714346077832517</v>
      </c>
    </row>
    <row r="154">
      <c r="A154" t="n">
        <v>151</v>
      </c>
      <c r="B154" t="inlineStr">
        <is>
          <t>Chipper</t>
        </is>
      </c>
      <c r="C154" t="inlineStr">
        <is>
          <t>Town</t>
        </is>
      </c>
      <c r="D154" t="inlineStr">
        <is>
          <t>Win</t>
        </is>
      </c>
      <c r="E154" t="n">
        <v>100</v>
      </c>
      <c r="F154" t="n">
        <v>27.59423076979202</v>
      </c>
      <c r="G154" t="n">
        <v>28.98658837791797</v>
      </c>
      <c r="H154" t="n">
        <v>6.478940271875361</v>
      </c>
      <c r="I154" t="n">
        <v>1210</v>
      </c>
      <c r="J154" t="n">
        <v>1310</v>
      </c>
      <c r="K154" t="n">
        <v>6.533427436260069</v>
      </c>
    </row>
    <row r="155">
      <c r="A155" t="n">
        <v>151</v>
      </c>
      <c r="B155" t="inlineStr">
        <is>
          <t>Strik3r</t>
        </is>
      </c>
      <c r="C155" t="inlineStr">
        <is>
          <t>Town</t>
        </is>
      </c>
      <c r="D155" t="inlineStr">
        <is>
          <t>Win</t>
        </is>
      </c>
      <c r="E155" t="n">
        <v>98</v>
      </c>
      <c r="F155" t="n">
        <v>30.01763284792582</v>
      </c>
      <c r="G155" t="n">
        <v>31.38398666466047</v>
      </c>
      <c r="H155" t="n">
        <v>6.419180993268188</v>
      </c>
      <c r="I155" t="n">
        <v>1381</v>
      </c>
      <c r="J155" t="n">
        <v>1479</v>
      </c>
      <c r="K155" t="n">
        <v>6.472116033786762</v>
      </c>
    </row>
    <row r="156">
      <c r="A156" t="n">
        <v>151</v>
      </c>
      <c r="B156" t="inlineStr">
        <is>
          <t>Kden</t>
        </is>
      </c>
      <c r="C156" t="inlineStr">
        <is>
          <t>Town</t>
        </is>
      </c>
      <c r="D156" t="inlineStr">
        <is>
          <t>Win</t>
        </is>
      </c>
      <c r="E156" t="n">
        <v>94</v>
      </c>
      <c r="F156" t="n">
        <v>26.58268062454257</v>
      </c>
      <c r="G156" t="n">
        <v>27.88603187379189</v>
      </c>
      <c r="H156" t="n">
        <v>6.271868619555975</v>
      </c>
      <c r="I156" t="n">
        <v>1163</v>
      </c>
      <c r="J156" t="n">
        <v>1257</v>
      </c>
      <c r="K156" t="n">
        <v>6.321104033648397</v>
      </c>
    </row>
    <row r="157">
      <c r="A157" t="n">
        <v>151</v>
      </c>
      <c r="B157" t="inlineStr">
        <is>
          <t>Laur</t>
        </is>
      </c>
      <c r="C157" t="inlineStr">
        <is>
          <t>Town</t>
        </is>
      </c>
      <c r="D157" t="inlineStr">
        <is>
          <t>Win</t>
        </is>
      </c>
      <c r="E157" t="n">
        <v>92</v>
      </c>
      <c r="F157" t="n">
        <v>34.13661448867984</v>
      </c>
      <c r="G157" t="n">
        <v>35.41681618028143</v>
      </c>
      <c r="H157" t="n">
        <v>6.216804041601073</v>
      </c>
      <c r="I157" t="n">
        <v>1682</v>
      </c>
      <c r="J157" t="n">
        <v>1774</v>
      </c>
      <c r="K157" t="n">
        <v>6.264702002439511</v>
      </c>
    </row>
    <row r="158">
      <c r="A158" t="n">
        <v>151</v>
      </c>
      <c r="B158" t="inlineStr">
        <is>
          <t>Lou</t>
        </is>
      </c>
      <c r="C158" t="inlineStr">
        <is>
          <t>Town</t>
        </is>
      </c>
      <c r="D158" t="inlineStr">
        <is>
          <t>Win</t>
        </is>
      </c>
      <c r="E158" t="n">
        <v>85</v>
      </c>
      <c r="F158" t="n">
        <v>29.04446058828378</v>
      </c>
      <c r="G158" t="n">
        <v>30.23610735975003</v>
      </c>
      <c r="H158" t="n">
        <v>6.00119661979792</v>
      </c>
      <c r="I158" t="n">
        <v>1359</v>
      </c>
      <c r="J158" t="n">
        <v>1444</v>
      </c>
      <c r="K158" t="n">
        <v>6.044089374964368</v>
      </c>
    </row>
    <row r="159">
      <c r="A159" t="n">
        <v>151</v>
      </c>
      <c r="B159" t="inlineStr">
        <is>
          <t>Badpants</t>
        </is>
      </c>
      <c r="C159" t="inlineStr">
        <is>
          <t>Town</t>
        </is>
      </c>
      <c r="D159" t="inlineStr">
        <is>
          <t>Win</t>
        </is>
      </c>
      <c r="E159" t="n">
        <v>86</v>
      </c>
      <c r="F159" t="n">
        <v>26.22774087855707</v>
      </c>
      <c r="G159" t="n">
        <v>27.42777201177823</v>
      </c>
      <c r="H159" t="n">
        <v>6.02196183639388</v>
      </c>
      <c r="I159" t="n">
        <v>1165</v>
      </c>
      <c r="J159" t="n">
        <v>1251</v>
      </c>
      <c r="K159" t="n">
        <v>6.065320846645134</v>
      </c>
    </row>
    <row r="160">
      <c r="A160" t="n">
        <v>150</v>
      </c>
      <c r="B160" t="inlineStr">
        <is>
          <t>Svaan</t>
        </is>
      </c>
      <c r="C160" t="inlineStr">
        <is>
          <t>Mafia</t>
        </is>
      </c>
      <c r="D160" t="inlineStr">
        <is>
          <t>Loss</t>
        </is>
      </c>
      <c r="E160" t="n">
        <v>-55</v>
      </c>
      <c r="F160" t="n">
        <v>31.61592470406747</v>
      </c>
      <c r="G160" t="n">
        <v>30.72148145068546</v>
      </c>
      <c r="H160" t="n">
        <v>7.297761373353018</v>
      </c>
      <c r="I160" t="n">
        <v>1400</v>
      </c>
      <c r="J160" t="n">
        <v>1345</v>
      </c>
      <c r="K160" t="n">
        <v>7.354726047393209</v>
      </c>
    </row>
    <row r="161">
      <c r="A161" t="n">
        <v>150</v>
      </c>
      <c r="B161" t="inlineStr">
        <is>
          <t>Chelsea</t>
        </is>
      </c>
      <c r="C161" t="inlineStr">
        <is>
          <t>Mafia</t>
        </is>
      </c>
      <c r="D161" t="inlineStr">
        <is>
          <t>Loss</t>
        </is>
      </c>
      <c r="E161" t="n">
        <v>-52</v>
      </c>
      <c r="F161" t="n">
        <v>30.73840715612855</v>
      </c>
      <c r="G161" t="n">
        <v>29.89965113125969</v>
      </c>
      <c r="H161" t="n">
        <v>7.070423107438135</v>
      </c>
      <c r="I161" t="n">
        <v>1364</v>
      </c>
      <c r="J161" t="n">
        <v>1312</v>
      </c>
      <c r="K161" t="n">
        <v>7.122054051264169</v>
      </c>
    </row>
    <row r="162">
      <c r="A162" t="n">
        <v>150</v>
      </c>
      <c r="B162" t="inlineStr">
        <is>
          <t>Doublea</t>
        </is>
      </c>
      <c r="C162" t="inlineStr">
        <is>
          <t>Mafia</t>
        </is>
      </c>
      <c r="D162" t="inlineStr">
        <is>
          <t>Loss</t>
        </is>
      </c>
      <c r="E162" t="n">
        <v>-53</v>
      </c>
      <c r="F162" t="n">
        <v>24.29153223665205</v>
      </c>
      <c r="G162" t="n">
        <v>23.44030401784899</v>
      </c>
      <c r="H162" t="n">
        <v>7.122010373185063</v>
      </c>
      <c r="I162" t="n">
        <v>920</v>
      </c>
      <c r="J162" t="n">
        <v>867</v>
      </c>
      <c r="K162" t="n">
        <v>7.17482102918063</v>
      </c>
    </row>
    <row r="163">
      <c r="A163" t="n">
        <v>150</v>
      </c>
      <c r="B163" t="inlineStr">
        <is>
          <t>Iln</t>
        </is>
      </c>
      <c r="C163" t="inlineStr">
        <is>
          <t>Town</t>
        </is>
      </c>
      <c r="D163" t="inlineStr">
        <is>
          <t>Win</t>
        </is>
      </c>
      <c r="E163" t="n">
        <v>43</v>
      </c>
      <c r="F163" t="n">
        <v>34.35451506949542</v>
      </c>
      <c r="G163" t="n">
        <v>34.93184702479184</v>
      </c>
      <c r="H163" t="n">
        <v>5.879544222359318</v>
      </c>
      <c r="I163" t="n">
        <v>1733</v>
      </c>
      <c r="J163" t="n">
        <v>1776</v>
      </c>
      <c r="K163" t="n">
        <v>5.908549133772315</v>
      </c>
    </row>
    <row r="164">
      <c r="A164" t="n">
        <v>150</v>
      </c>
      <c r="B164" t="inlineStr">
        <is>
          <t>Machop</t>
        </is>
      </c>
      <c r="C164" t="inlineStr">
        <is>
          <t>Town</t>
        </is>
      </c>
      <c r="D164" t="inlineStr">
        <is>
          <t>Win</t>
        </is>
      </c>
      <c r="E164" t="n">
        <v>54</v>
      </c>
      <c r="F164" t="n">
        <v>23.89938976525318</v>
      </c>
      <c r="G164" t="n">
        <v>24.63176007809851</v>
      </c>
      <c r="H164" t="n">
        <v>6.61304969872577</v>
      </c>
      <c r="I164" t="n">
        <v>946</v>
      </c>
      <c r="J164" t="n">
        <v>1000</v>
      </c>
      <c r="K164" t="n">
        <v>6.654977415502306</v>
      </c>
    </row>
    <row r="165">
      <c r="A165" t="n">
        <v>150</v>
      </c>
      <c r="B165" t="inlineStr">
        <is>
          <t>Cyclone</t>
        </is>
      </c>
      <c r="C165" t="inlineStr">
        <is>
          <t>Town</t>
        </is>
      </c>
      <c r="D165" t="inlineStr">
        <is>
          <t>Win</t>
        </is>
      </c>
      <c r="E165" t="n">
        <v>65</v>
      </c>
      <c r="F165" t="n">
        <v>36.20917611949973</v>
      </c>
      <c r="G165" t="n">
        <v>37.08341882341409</v>
      </c>
      <c r="H165" t="n">
        <v>7.216174682618301</v>
      </c>
      <c r="I165" t="n">
        <v>1721</v>
      </c>
      <c r="J165" t="n">
        <v>1786</v>
      </c>
      <c r="K165" t="n">
        <v>7.271184839778281</v>
      </c>
    </row>
    <row r="166">
      <c r="A166" t="n">
        <v>150</v>
      </c>
      <c r="B166" t="inlineStr">
        <is>
          <t>Rocker</t>
        </is>
      </c>
      <c r="C166" t="inlineStr">
        <is>
          <t>Town</t>
        </is>
      </c>
      <c r="D166" t="inlineStr">
        <is>
          <t>Win</t>
        </is>
      </c>
      <c r="E166" t="n">
        <v>40</v>
      </c>
      <c r="F166" t="n">
        <v>37.55804226587308</v>
      </c>
      <c r="G166" t="n">
        <v>38.10307689283177</v>
      </c>
      <c r="H166" t="n">
        <v>5.714346077832517</v>
      </c>
      <c r="I166" t="n">
        <v>1968</v>
      </c>
      <c r="J166" t="n">
        <v>2008</v>
      </c>
      <c r="K166" t="n">
        <v>5.740852843106482</v>
      </c>
    </row>
    <row r="167">
      <c r="A167" t="n">
        <v>150</v>
      </c>
      <c r="B167" t="inlineStr">
        <is>
          <t>Ken</t>
        </is>
      </c>
      <c r="C167" t="inlineStr">
        <is>
          <t>Town</t>
        </is>
      </c>
      <c r="D167" t="inlineStr">
        <is>
          <t>Win</t>
        </is>
      </c>
      <c r="E167" t="n">
        <v>65</v>
      </c>
      <c r="F167" t="n">
        <v>24.61608526302031</v>
      </c>
      <c r="G167" t="n">
        <v>25.48537496962549</v>
      </c>
      <c r="H167" t="n">
        <v>7.196019997233978</v>
      </c>
      <c r="I167" t="n">
        <v>934</v>
      </c>
      <c r="J167" t="n">
        <v>999</v>
      </c>
      <c r="K167" t="n">
        <v>7.250554330487238</v>
      </c>
    </row>
    <row r="168">
      <c r="A168" t="n">
        <v>150</v>
      </c>
      <c r="B168" t="inlineStr">
        <is>
          <t>Streety</t>
        </is>
      </c>
      <c r="C168" t="inlineStr">
        <is>
          <t>Town</t>
        </is>
      </c>
      <c r="D168" t="inlineStr">
        <is>
          <t>Win</t>
        </is>
      </c>
      <c r="E168" t="n">
        <v>59</v>
      </c>
      <c r="F168" t="n">
        <v>32.3918136181939</v>
      </c>
      <c r="G168" t="n">
        <v>33.1865903471539</v>
      </c>
      <c r="H168" t="n">
        <v>6.885242733868669</v>
      </c>
      <c r="I168" t="n">
        <v>1495</v>
      </c>
      <c r="J168" t="n">
        <v>1554</v>
      </c>
      <c r="K168" t="n">
        <v>6.932783551233719</v>
      </c>
    </row>
    <row r="169">
      <c r="A169" t="n">
        <v>150</v>
      </c>
      <c r="B169" t="inlineStr">
        <is>
          <t>Strik3r</t>
        </is>
      </c>
      <c r="C169" t="inlineStr">
        <is>
          <t>Town</t>
        </is>
      </c>
      <c r="D169" t="inlineStr">
        <is>
          <t>Win</t>
        </is>
      </c>
      <c r="E169" t="n">
        <v>52</v>
      </c>
      <c r="F169" t="n">
        <v>29.31653329270979</v>
      </c>
      <c r="G169" t="n">
        <v>30.01763284792582</v>
      </c>
      <c r="H169" t="n">
        <v>6.472116033786762</v>
      </c>
      <c r="I169" t="n">
        <v>1329</v>
      </c>
      <c r="J169" t="n">
        <v>1381</v>
      </c>
      <c r="K169" t="n">
        <v>6.511317597907436</v>
      </c>
    </row>
    <row r="170">
      <c r="A170" t="n">
        <v>150</v>
      </c>
      <c r="B170" t="inlineStr">
        <is>
          <t>Gilbert</t>
        </is>
      </c>
      <c r="C170" t="inlineStr">
        <is>
          <t>Town</t>
        </is>
      </c>
      <c r="D170" t="inlineStr">
        <is>
          <t>Win</t>
        </is>
      </c>
      <c r="E170" t="n">
        <v>55</v>
      </c>
      <c r="F170" t="n">
        <v>29.01034428696208</v>
      </c>
      <c r="G170" t="n">
        <v>29.75137572015697</v>
      </c>
      <c r="H170" t="n">
        <v>6.651528859996902</v>
      </c>
      <c r="I170" t="n">
        <v>1290</v>
      </c>
      <c r="J170" t="n">
        <v>1345</v>
      </c>
      <c r="K170" t="n">
        <v>6.694221964535921</v>
      </c>
    </row>
    <row r="171">
      <c r="A171" t="n">
        <v>150</v>
      </c>
      <c r="B171" t="inlineStr">
        <is>
          <t>Chipper</t>
        </is>
      </c>
      <c r="C171" t="inlineStr">
        <is>
          <t>Town</t>
        </is>
      </c>
      <c r="D171" t="inlineStr">
        <is>
          <t>Win</t>
        </is>
      </c>
      <c r="E171" t="n">
        <v>53</v>
      </c>
      <c r="F171" t="n">
        <v>26.8796143436315</v>
      </c>
      <c r="G171" t="n">
        <v>27.59423076979202</v>
      </c>
      <c r="H171" t="n">
        <v>6.533427436260069</v>
      </c>
      <c r="I171" t="n">
        <v>1157</v>
      </c>
      <c r="J171" t="n">
        <v>1210</v>
      </c>
      <c r="K171" t="n">
        <v>6.573800187440486</v>
      </c>
    </row>
    <row r="172">
      <c r="A172" t="n">
        <v>150</v>
      </c>
      <c r="B172" t="inlineStr">
        <is>
          <t>Brownkow</t>
        </is>
      </c>
      <c r="C172" t="inlineStr">
        <is>
          <t>Town</t>
        </is>
      </c>
      <c r="D172" t="inlineStr">
        <is>
          <t>Win</t>
        </is>
      </c>
      <c r="E172" t="n">
        <v>39</v>
      </c>
      <c r="F172" t="n">
        <v>33.72229372212831</v>
      </c>
      <c r="G172" t="n">
        <v>34.26925727067255</v>
      </c>
      <c r="H172" t="n">
        <v>5.724351616932983</v>
      </c>
      <c r="I172" t="n">
        <v>1707</v>
      </c>
      <c r="J172" t="n">
        <v>1746</v>
      </c>
      <c r="K172" t="n">
        <v>5.751005618857531</v>
      </c>
    </row>
    <row r="173">
      <c r="A173" t="n">
        <v>149</v>
      </c>
      <c r="B173" t="inlineStr">
        <is>
          <t>Rocker</t>
        </is>
      </c>
      <c r="C173" t="inlineStr">
        <is>
          <t>Mafia</t>
        </is>
      </c>
      <c r="D173" t="inlineStr">
        <is>
          <t>Win</t>
        </is>
      </c>
      <c r="E173" t="n">
        <v>27</v>
      </c>
      <c r="F173" t="n">
        <v>37.18842975458912</v>
      </c>
      <c r="G173" t="n">
        <v>37.55804226587308</v>
      </c>
      <c r="H173" t="n">
        <v>5.740852843106482</v>
      </c>
      <c r="I173" t="n">
        <v>1941</v>
      </c>
      <c r="J173" t="n">
        <v>1968</v>
      </c>
      <c r="K173" t="n">
        <v>5.763777239153466</v>
      </c>
    </row>
    <row r="174">
      <c r="A174" t="n">
        <v>149</v>
      </c>
      <c r="B174" t="inlineStr">
        <is>
          <t>Badpants</t>
        </is>
      </c>
      <c r="C174" t="inlineStr">
        <is>
          <t>Mafia</t>
        </is>
      </c>
      <c r="D174" t="inlineStr">
        <is>
          <t>Win</t>
        </is>
      </c>
      <c r="E174" t="n">
        <v>31</v>
      </c>
      <c r="F174" t="n">
        <v>25.81476489548171</v>
      </c>
      <c r="G174" t="n">
        <v>26.22774087855707</v>
      </c>
      <c r="H174" t="n">
        <v>6.065320846645134</v>
      </c>
      <c r="I174" t="n">
        <v>1134</v>
      </c>
      <c r="J174" t="n">
        <v>1165</v>
      </c>
      <c r="K174" t="n">
        <v>6.092606325295953</v>
      </c>
    </row>
    <row r="175">
      <c r="A175" t="n">
        <v>149</v>
      </c>
      <c r="B175" t="inlineStr">
        <is>
          <t>Josh</t>
        </is>
      </c>
      <c r="C175" t="inlineStr">
        <is>
          <t>Mafia</t>
        </is>
      </c>
      <c r="D175" t="inlineStr">
        <is>
          <t>Win</t>
        </is>
      </c>
      <c r="E175" t="n">
        <v>46</v>
      </c>
      <c r="F175" t="n">
        <v>31.50784558733434</v>
      </c>
      <c r="G175" t="n">
        <v>32.11087914197092</v>
      </c>
      <c r="H175" t="n">
        <v>7.313610263851258</v>
      </c>
      <c r="I175" t="n">
        <v>1392</v>
      </c>
      <c r="J175" t="n">
        <v>1438</v>
      </c>
      <c r="K175" t="n">
        <v>7.362577759785997</v>
      </c>
    </row>
    <row r="176">
      <c r="A176" t="n">
        <v>149</v>
      </c>
      <c r="B176" t="inlineStr">
        <is>
          <t>TCP</t>
        </is>
      </c>
      <c r="C176" t="inlineStr">
        <is>
          <t>Town</t>
        </is>
      </c>
      <c r="D176" t="inlineStr">
        <is>
          <t>Loss</t>
        </is>
      </c>
      <c r="E176" t="n">
        <v>-40</v>
      </c>
      <c r="F176" t="n">
        <v>25.93449919522403</v>
      </c>
      <c r="G176" t="n">
        <v>25.26602968442981</v>
      </c>
      <c r="H176" t="n">
        <v>7.694504376474733</v>
      </c>
      <c r="I176" t="n">
        <v>973</v>
      </c>
      <c r="J176" t="n">
        <v>933</v>
      </c>
      <c r="K176" t="n">
        <v>7.751823549838236</v>
      </c>
    </row>
    <row r="177">
      <c r="A177" t="n">
        <v>149</v>
      </c>
      <c r="B177" t="inlineStr">
        <is>
          <t>Noah</t>
        </is>
      </c>
      <c r="C177" t="inlineStr">
        <is>
          <t>Town</t>
        </is>
      </c>
      <c r="D177" t="inlineStr">
        <is>
          <t>Loss</t>
        </is>
      </c>
      <c r="E177" t="n">
        <v>-25</v>
      </c>
      <c r="F177" t="n">
        <v>34.47818309327528</v>
      </c>
      <c r="G177" t="n">
        <v>34.0718811579673</v>
      </c>
      <c r="H177" t="n">
        <v>6.016562372169227</v>
      </c>
      <c r="I177" t="n">
        <v>1728</v>
      </c>
      <c r="J177" t="n">
        <v>1703</v>
      </c>
      <c r="K177" t="n">
        <v>6.043161542838097</v>
      </c>
    </row>
    <row r="178">
      <c r="A178" t="n">
        <v>149</v>
      </c>
      <c r="B178" t="inlineStr">
        <is>
          <t>Keegan</t>
        </is>
      </c>
      <c r="C178" t="inlineStr">
        <is>
          <t>Town</t>
        </is>
      </c>
      <c r="D178" t="inlineStr">
        <is>
          <t>Loss</t>
        </is>
      </c>
      <c r="E178" t="n">
        <v>-37</v>
      </c>
      <c r="F178" t="n">
        <v>30.83590463391259</v>
      </c>
      <c r="G178" t="n">
        <v>30.21975037392293</v>
      </c>
      <c r="H178" t="n">
        <v>7.391650612924876</v>
      </c>
      <c r="I178" t="n">
        <v>1338</v>
      </c>
      <c r="J178" t="n">
        <v>1301</v>
      </c>
      <c r="K178" t="n">
        <v>7.44225825088743</v>
      </c>
    </row>
    <row r="179">
      <c r="A179" t="n">
        <v>149</v>
      </c>
      <c r="B179" t="inlineStr">
        <is>
          <t>Strik3r</t>
        </is>
      </c>
      <c r="C179" t="inlineStr">
        <is>
          <t>Town</t>
        </is>
      </c>
      <c r="D179" t="inlineStr">
        <is>
          <t>Loss</t>
        </is>
      </c>
      <c r="E179" t="n">
        <v>-29</v>
      </c>
      <c r="F179" t="n">
        <v>29.79315873315926</v>
      </c>
      <c r="G179" t="n">
        <v>29.31653329270979</v>
      </c>
      <c r="H179" t="n">
        <v>6.511317597907436</v>
      </c>
      <c r="I179" t="n">
        <v>1358</v>
      </c>
      <c r="J179" t="n">
        <v>1329</v>
      </c>
      <c r="K179" t="n">
        <v>6.545414299371128</v>
      </c>
    </row>
    <row r="180">
      <c r="A180" t="n">
        <v>149</v>
      </c>
      <c r="B180" t="inlineStr">
        <is>
          <t>Whyin</t>
        </is>
      </c>
      <c r="C180" t="inlineStr">
        <is>
          <t>Town</t>
        </is>
      </c>
      <c r="D180" t="inlineStr">
        <is>
          <t>Loss</t>
        </is>
      </c>
      <c r="E180" t="n">
        <v>-30</v>
      </c>
      <c r="F180" t="n">
        <v>29.56141671097683</v>
      </c>
      <c r="G180" t="n">
        <v>29.07778375663917</v>
      </c>
      <c r="H180" t="n">
        <v>6.558491090037976</v>
      </c>
      <c r="I180" t="n">
        <v>1338</v>
      </c>
      <c r="J180" t="n">
        <v>1308</v>
      </c>
      <c r="K180" t="n">
        <v>6.593366365550487</v>
      </c>
    </row>
    <row r="181">
      <c r="A181" t="n">
        <v>149</v>
      </c>
      <c r="B181" t="inlineStr">
        <is>
          <t>Plen</t>
        </is>
      </c>
      <c r="C181" t="inlineStr">
        <is>
          <t>Town</t>
        </is>
      </c>
      <c r="D181" t="inlineStr">
        <is>
          <t>Loss</t>
        </is>
      </c>
      <c r="E181" t="n">
        <v>-24</v>
      </c>
      <c r="F181" t="n">
        <v>25.45906971887353</v>
      </c>
      <c r="G181" t="n">
        <v>25.07451440325456</v>
      </c>
      <c r="H181" t="n">
        <v>5.854766302081693</v>
      </c>
      <c r="I181" t="n">
        <v>1132</v>
      </c>
      <c r="J181" t="n">
        <v>1108</v>
      </c>
      <c r="K181" t="n">
        <v>5.87916711562094</v>
      </c>
    </row>
    <row r="182">
      <c r="A182" t="n">
        <v>149</v>
      </c>
      <c r="B182" t="inlineStr">
        <is>
          <t>Iln</t>
        </is>
      </c>
      <c r="C182" t="inlineStr">
        <is>
          <t>Town</t>
        </is>
      </c>
      <c r="D182" t="inlineStr">
        <is>
          <t>Loss</t>
        </is>
      </c>
      <c r="E182" t="n">
        <v>-25</v>
      </c>
      <c r="F182" t="n">
        <v>34.74623106375692</v>
      </c>
      <c r="G182" t="n">
        <v>34.35451506949542</v>
      </c>
      <c r="H182" t="n">
        <v>5.908549133772315</v>
      </c>
      <c r="I182" t="n">
        <v>1758</v>
      </c>
      <c r="J182" t="n">
        <v>1733</v>
      </c>
      <c r="K182" t="n">
        <v>5.933667364517895</v>
      </c>
    </row>
    <row r="183">
      <c r="A183" t="n">
        <v>149</v>
      </c>
      <c r="B183" t="inlineStr">
        <is>
          <t>Streety</t>
        </is>
      </c>
      <c r="C183" t="inlineStr">
        <is>
          <t>Town</t>
        </is>
      </c>
      <c r="D183" t="inlineStr">
        <is>
          <t>Loss</t>
        </is>
      </c>
      <c r="E183" t="n">
        <v>-33</v>
      </c>
      <c r="F183" t="n">
        <v>32.93292422678166</v>
      </c>
      <c r="G183" t="n">
        <v>32.3918136181939</v>
      </c>
      <c r="H183" t="n">
        <v>6.932783551233719</v>
      </c>
      <c r="I183" t="n">
        <v>1528</v>
      </c>
      <c r="J183" t="n">
        <v>1495</v>
      </c>
      <c r="K183" t="n">
        <v>6.974251355066025</v>
      </c>
    </row>
    <row r="184">
      <c r="A184" t="n">
        <v>149</v>
      </c>
      <c r="B184" t="inlineStr">
        <is>
          <t>Laur</t>
        </is>
      </c>
      <c r="C184" t="inlineStr">
        <is>
          <t>Town</t>
        </is>
      </c>
      <c r="D184" t="inlineStr">
        <is>
          <t>Loss</t>
        </is>
      </c>
      <c r="E184" t="n">
        <v>-27</v>
      </c>
      <c r="F184" t="n">
        <v>34.57746408656274</v>
      </c>
      <c r="G184" t="n">
        <v>34.13661448867984</v>
      </c>
      <c r="H184" t="n">
        <v>6.264702002439511</v>
      </c>
      <c r="I184" t="n">
        <v>1709</v>
      </c>
      <c r="J184" t="n">
        <v>1682</v>
      </c>
      <c r="K184" t="n">
        <v>6.294911697367177</v>
      </c>
    </row>
    <row r="185">
      <c r="A185" t="n">
        <v>149</v>
      </c>
      <c r="B185" t="inlineStr">
        <is>
          <t>Carson</t>
        </is>
      </c>
      <c r="C185" t="inlineStr">
        <is>
          <t>Town</t>
        </is>
      </c>
      <c r="D185" t="inlineStr">
        <is>
          <t>Loss</t>
        </is>
      </c>
      <c r="E185" t="n">
        <v>-25</v>
      </c>
      <c r="F185" t="n">
        <v>29.74357243870853</v>
      </c>
      <c r="G185" t="n">
        <v>29.33542657649839</v>
      </c>
      <c r="H185" t="n">
        <v>6.030074412522658</v>
      </c>
      <c r="I185" t="n">
        <v>1405</v>
      </c>
      <c r="J185" t="n">
        <v>1380</v>
      </c>
      <c r="K185" t="n">
        <v>6.056862656910273</v>
      </c>
    </row>
    <row r="186">
      <c r="A186" t="n">
        <v>148</v>
      </c>
      <c r="B186" t="inlineStr">
        <is>
          <t>Keegan</t>
        </is>
      </c>
      <c r="C186" t="inlineStr">
        <is>
          <t>Mafia</t>
        </is>
      </c>
      <c r="D186" t="inlineStr">
        <is>
          <t>Win</t>
        </is>
      </c>
      <c r="E186" t="n">
        <v>78</v>
      </c>
      <c r="F186" t="n">
        <v>29.78857258358947</v>
      </c>
      <c r="G186" t="n">
        <v>30.83590463391259</v>
      </c>
      <c r="H186" t="n">
        <v>7.44225825088743</v>
      </c>
      <c r="I186" t="n">
        <v>1260</v>
      </c>
      <c r="J186" t="n">
        <v>1338</v>
      </c>
      <c r="K186" t="n">
        <v>7.505876364694325</v>
      </c>
    </row>
    <row r="187">
      <c r="A187" t="n">
        <v>148</v>
      </c>
      <c r="B187" t="inlineStr">
        <is>
          <t>Siggy</t>
        </is>
      </c>
      <c r="C187" t="inlineStr">
        <is>
          <t>Mafia</t>
        </is>
      </c>
      <c r="D187" t="inlineStr">
        <is>
          <t>Win</t>
        </is>
      </c>
      <c r="E187" t="n">
        <v>80</v>
      </c>
      <c r="F187" t="n">
        <v>30.22420811296057</v>
      </c>
      <c r="G187" t="n">
        <v>31.30204227291338</v>
      </c>
      <c r="H187" t="n">
        <v>7.547945565824622</v>
      </c>
      <c r="I187" t="n">
        <v>1279</v>
      </c>
      <c r="J187" t="n">
        <v>1359</v>
      </c>
      <c r="K187" t="n">
        <v>7.614410250794799</v>
      </c>
    </row>
    <row r="188">
      <c r="A188" t="n">
        <v>148</v>
      </c>
      <c r="B188" t="inlineStr">
        <is>
          <t>Machop</t>
        </is>
      </c>
      <c r="C188" t="inlineStr">
        <is>
          <t>Mafia</t>
        </is>
      </c>
      <c r="D188" t="inlineStr">
        <is>
          <t>Win</t>
        </is>
      </c>
      <c r="E188" t="n">
        <v>61</v>
      </c>
      <c r="F188" t="n">
        <v>23.06486400162713</v>
      </c>
      <c r="G188" t="n">
        <v>23.89938976525318</v>
      </c>
      <c r="H188" t="n">
        <v>6.654977415502306</v>
      </c>
      <c r="I188" t="n">
        <v>885</v>
      </c>
      <c r="J188" t="n">
        <v>946</v>
      </c>
      <c r="K188" t="n">
        <v>6.699914414945305</v>
      </c>
    </row>
    <row r="189">
      <c r="A189" t="n">
        <v>148</v>
      </c>
      <c r="B189" t="inlineStr">
        <is>
          <t>Motr</t>
        </is>
      </c>
      <c r="C189" t="inlineStr">
        <is>
          <t>Town</t>
        </is>
      </c>
      <c r="D189" t="inlineStr">
        <is>
          <t>Loss</t>
        </is>
      </c>
      <c r="E189" t="n">
        <v>-54</v>
      </c>
      <c r="F189" t="n">
        <v>28.4081345529453</v>
      </c>
      <c r="G189" t="n">
        <v>27.53619760549626</v>
      </c>
      <c r="H189" t="n">
        <v>6.800410131996373</v>
      </c>
      <c r="I189" t="n">
        <v>1233</v>
      </c>
      <c r="J189" t="n">
        <v>1179</v>
      </c>
      <c r="K189" t="n">
        <v>6.848476921380021</v>
      </c>
    </row>
    <row r="190">
      <c r="A190" t="n">
        <v>148</v>
      </c>
      <c r="B190" t="inlineStr">
        <is>
          <t>Carson</t>
        </is>
      </c>
      <c r="C190" t="inlineStr">
        <is>
          <t>Town</t>
        </is>
      </c>
      <c r="D190" t="inlineStr">
        <is>
          <t>Loss</t>
        </is>
      </c>
      <c r="E190" t="n">
        <v>-43</v>
      </c>
      <c r="F190" t="n">
        <v>30.4331836970407</v>
      </c>
      <c r="G190" t="n">
        <v>29.74357243870853</v>
      </c>
      <c r="H190" t="n">
        <v>6.056862656910273</v>
      </c>
      <c r="I190" t="n">
        <v>1448</v>
      </c>
      <c r="J190" t="n">
        <v>1405</v>
      </c>
      <c r="K190" t="n">
        <v>6.090337871581499</v>
      </c>
    </row>
    <row r="191">
      <c r="A191" t="n">
        <v>148</v>
      </c>
      <c r="B191" t="inlineStr">
        <is>
          <t>Noah</t>
        </is>
      </c>
      <c r="C191" t="inlineStr">
        <is>
          <t>Town</t>
        </is>
      </c>
      <c r="D191" t="inlineStr">
        <is>
          <t>Loss</t>
        </is>
      </c>
      <c r="E191" t="n">
        <v>-43</v>
      </c>
      <c r="F191" t="n">
        <v>35.16464233412039</v>
      </c>
      <c r="G191" t="n">
        <v>34.47818309327528</v>
      </c>
      <c r="H191" t="n">
        <v>6.043161542838097</v>
      </c>
      <c r="I191" t="n">
        <v>1771</v>
      </c>
      <c r="J191" t="n">
        <v>1728</v>
      </c>
      <c r="K191" t="n">
        <v>6.076399566002494</v>
      </c>
    </row>
    <row r="192">
      <c r="A192" t="n">
        <v>148</v>
      </c>
      <c r="B192" t="inlineStr">
        <is>
          <t>Kwix</t>
        </is>
      </c>
      <c r="C192" t="inlineStr">
        <is>
          <t>Town</t>
        </is>
      </c>
      <c r="D192" t="inlineStr">
        <is>
          <t>Loss</t>
        </is>
      </c>
      <c r="E192" t="n">
        <v>-48</v>
      </c>
      <c r="F192" t="n">
        <v>25.71861734337915</v>
      </c>
      <c r="G192" t="n">
        <v>24.95204523997918</v>
      </c>
      <c r="H192" t="n">
        <v>6.381851117239909</v>
      </c>
      <c r="I192" t="n">
        <v>1094</v>
      </c>
      <c r="J192" t="n">
        <v>1046</v>
      </c>
      <c r="K192" t="n">
        <v>6.421279851294559</v>
      </c>
    </row>
    <row r="193">
      <c r="A193" t="n">
        <v>148</v>
      </c>
      <c r="B193" t="inlineStr">
        <is>
          <t>Strik3r</t>
        </is>
      </c>
      <c r="C193" t="inlineStr">
        <is>
          <t>Town</t>
        </is>
      </c>
      <c r="D193" t="inlineStr">
        <is>
          <t>Loss</t>
        </is>
      </c>
      <c r="E193" t="n">
        <v>-51</v>
      </c>
      <c r="F193" t="n">
        <v>30.60006463225406</v>
      </c>
      <c r="G193" t="n">
        <v>29.79315873315926</v>
      </c>
      <c r="H193" t="n">
        <v>6.545414299371128</v>
      </c>
      <c r="I193" t="n">
        <v>1409</v>
      </c>
      <c r="J193" t="n">
        <v>1358</v>
      </c>
      <c r="K193" t="n">
        <v>6.588084638961976</v>
      </c>
    </row>
    <row r="194">
      <c r="A194" t="n">
        <v>148</v>
      </c>
      <c r="B194" t="inlineStr">
        <is>
          <t>Whyin</t>
        </is>
      </c>
      <c r="C194" t="inlineStr">
        <is>
          <t>Town</t>
        </is>
      </c>
      <c r="D194" t="inlineStr">
        <is>
          <t>Loss</t>
        </is>
      </c>
      <c r="E194" t="n">
        <v>-51</v>
      </c>
      <c r="F194" t="n">
        <v>30.3803513314782</v>
      </c>
      <c r="G194" t="n">
        <v>29.56141671097683</v>
      </c>
      <c r="H194" t="n">
        <v>6.593366365550487</v>
      </c>
      <c r="I194" t="n">
        <v>1389</v>
      </c>
      <c r="J194" t="n">
        <v>1338</v>
      </c>
      <c r="K194" t="n">
        <v>6.637019220006727</v>
      </c>
    </row>
    <row r="195">
      <c r="A195" t="n">
        <v>148</v>
      </c>
      <c r="B195" t="inlineStr">
        <is>
          <t>Josh</t>
        </is>
      </c>
      <c r="C195" t="inlineStr">
        <is>
          <t>Town</t>
        </is>
      </c>
      <c r="D195" t="inlineStr">
        <is>
          <t>Loss</t>
        </is>
      </c>
      <c r="E195" t="n">
        <v>-63</v>
      </c>
      <c r="F195" t="n">
        <v>32.53248601291084</v>
      </c>
      <c r="G195" t="n">
        <v>31.50784558733434</v>
      </c>
      <c r="H195" t="n">
        <v>7.362577759785997</v>
      </c>
      <c r="I195" t="n">
        <v>1455</v>
      </c>
      <c r="J195" t="n">
        <v>1392</v>
      </c>
      <c r="K195" t="n">
        <v>7.424104890035974</v>
      </c>
    </row>
    <row r="196">
      <c r="A196" t="n">
        <v>148</v>
      </c>
      <c r="B196" t="inlineStr">
        <is>
          <t>Streety</t>
        </is>
      </c>
      <c r="C196" t="inlineStr">
        <is>
          <t>Town</t>
        </is>
      </c>
      <c r="D196" t="inlineStr">
        <is>
          <t>Loss</t>
        </is>
      </c>
      <c r="E196" t="n">
        <v>-57</v>
      </c>
      <c r="F196" t="n">
        <v>33.8507052100481</v>
      </c>
      <c r="G196" t="n">
        <v>32.93292422678166</v>
      </c>
      <c r="H196" t="n">
        <v>6.974251355066025</v>
      </c>
      <c r="I196" t="n">
        <v>1585</v>
      </c>
      <c r="J196" t="n">
        <v>1528</v>
      </c>
      <c r="K196" t="n">
        <v>7.026245111679128</v>
      </c>
    </row>
    <row r="197">
      <c r="A197" t="n">
        <v>148</v>
      </c>
      <c r="B197" t="inlineStr">
        <is>
          <t>Smit</t>
        </is>
      </c>
      <c r="C197" t="inlineStr">
        <is>
          <t>Town</t>
        </is>
      </c>
      <c r="D197" t="inlineStr">
        <is>
          <t>Loss</t>
        </is>
      </c>
      <c r="E197" t="n">
        <v>-45</v>
      </c>
      <c r="F197" t="n">
        <v>25.80442567042671</v>
      </c>
      <c r="G197" t="n">
        <v>25.0951880450886</v>
      </c>
      <c r="H197" t="n">
        <v>6.141454539129477</v>
      </c>
      <c r="I197" t="n">
        <v>1125</v>
      </c>
      <c r="J197" t="n">
        <v>1080</v>
      </c>
      <c r="K197" t="n">
        <v>6.176418548480743</v>
      </c>
    </row>
    <row r="198">
      <c r="A198" t="n">
        <v>148</v>
      </c>
      <c r="B198" t="inlineStr">
        <is>
          <t>Plen</t>
        </is>
      </c>
      <c r="C198" t="inlineStr">
        <is>
          <t>Town</t>
        </is>
      </c>
      <c r="D198" t="inlineStr">
        <is>
          <t>Loss</t>
        </is>
      </c>
      <c r="E198" t="n">
        <v>-41</v>
      </c>
      <c r="F198" t="n">
        <v>26.10838012097896</v>
      </c>
      <c r="G198" t="n">
        <v>25.45906971887353</v>
      </c>
      <c r="H198" t="n">
        <v>5.87916711562094</v>
      </c>
      <c r="I198" t="n">
        <v>1173</v>
      </c>
      <c r="J198" t="n">
        <v>1132</v>
      </c>
      <c r="K198" t="n">
        <v>5.90965001551511</v>
      </c>
    </row>
    <row r="199">
      <c r="A199" t="n">
        <v>147</v>
      </c>
      <c r="B199" t="inlineStr">
        <is>
          <t>Kden</t>
        </is>
      </c>
      <c r="C199" t="inlineStr">
        <is>
          <t>Mafia</t>
        </is>
      </c>
      <c r="D199" t="inlineStr">
        <is>
          <t>Loss</t>
        </is>
      </c>
      <c r="E199" t="n">
        <v>-50</v>
      </c>
      <c r="F199" t="n">
        <v>27.37451428927801</v>
      </c>
      <c r="G199" t="n">
        <v>26.58268062454257</v>
      </c>
      <c r="H199" t="n">
        <v>6.321104033648397</v>
      </c>
      <c r="I199" t="n">
        <v>1213</v>
      </c>
      <c r="J199" t="n">
        <v>1163</v>
      </c>
      <c r="K199" t="n">
        <v>6.360778700976661</v>
      </c>
    </row>
    <row r="200">
      <c r="A200" t="n">
        <v>147</v>
      </c>
      <c r="B200" t="inlineStr">
        <is>
          <t>Lou</t>
        </is>
      </c>
      <c r="C200" t="inlineStr">
        <is>
          <t>Mafia</t>
        </is>
      </c>
      <c r="D200" t="inlineStr">
        <is>
          <t>Loss</t>
        </is>
      </c>
      <c r="E200" t="n">
        <v>-45</v>
      </c>
      <c r="F200" t="n">
        <v>29.76760709102821</v>
      </c>
      <c r="G200" t="n">
        <v>29.04446058828378</v>
      </c>
      <c r="H200" t="n">
        <v>6.044089374964368</v>
      </c>
      <c r="I200" t="n">
        <v>1404</v>
      </c>
      <c r="J200" t="n">
        <v>1359</v>
      </c>
      <c r="K200" t="n">
        <v>6.078569023479978</v>
      </c>
    </row>
    <row r="201">
      <c r="A201" t="n">
        <v>147</v>
      </c>
      <c r="B201" t="inlineStr">
        <is>
          <t>Kny</t>
        </is>
      </c>
      <c r="C201" t="inlineStr">
        <is>
          <t>Mafia</t>
        </is>
      </c>
      <c r="D201" t="inlineStr">
        <is>
          <t>Loss</t>
        </is>
      </c>
      <c r="E201" t="n">
        <v>-76</v>
      </c>
      <c r="F201" t="n">
        <v>28.60564849287844</v>
      </c>
      <c r="G201" t="n">
        <v>27.37316176135201</v>
      </c>
      <c r="H201" t="n">
        <v>7.857955592924021</v>
      </c>
      <c r="I201" t="n">
        <v>1136</v>
      </c>
      <c r="J201" t="n">
        <v>1060</v>
      </c>
      <c r="K201" t="n">
        <v>7.936035823307176</v>
      </c>
    </row>
    <row r="202">
      <c r="A202" t="n">
        <v>147</v>
      </c>
      <c r="B202" t="inlineStr">
        <is>
          <t>Strik3r</t>
        </is>
      </c>
      <c r="C202" t="inlineStr">
        <is>
          <t>Town</t>
        </is>
      </c>
      <c r="D202" t="inlineStr">
        <is>
          <t>Win</t>
        </is>
      </c>
      <c r="E202" t="n">
        <v>63</v>
      </c>
      <c r="F202" t="n">
        <v>29.73896260027134</v>
      </c>
      <c r="G202" t="n">
        <v>30.60006463225406</v>
      </c>
      <c r="H202" t="n">
        <v>6.588084638961976</v>
      </c>
      <c r="I202" t="n">
        <v>1346</v>
      </c>
      <c r="J202" t="n">
        <v>1409</v>
      </c>
      <c r="K202" t="n">
        <v>6.633228066043722</v>
      </c>
    </row>
    <row r="203">
      <c r="A203" t="n">
        <v>147</v>
      </c>
      <c r="B203" t="inlineStr">
        <is>
          <t>Ken</t>
        </is>
      </c>
      <c r="C203" t="inlineStr">
        <is>
          <t>Town</t>
        </is>
      </c>
      <c r="D203" t="inlineStr">
        <is>
          <t>Win</t>
        </is>
      </c>
      <c r="E203" t="n">
        <v>77</v>
      </c>
      <c r="F203" t="n">
        <v>23.56995581781728</v>
      </c>
      <c r="G203" t="n">
        <v>24.61608526302031</v>
      </c>
      <c r="H203" t="n">
        <v>7.250554330487238</v>
      </c>
      <c r="I203" t="n">
        <v>857</v>
      </c>
      <c r="J203" t="n">
        <v>934</v>
      </c>
      <c r="K203" t="n">
        <v>7.311375083382139</v>
      </c>
    </row>
    <row r="204">
      <c r="A204" t="n">
        <v>147</v>
      </c>
      <c r="B204" t="inlineStr">
        <is>
          <t>Cyclone</t>
        </is>
      </c>
      <c r="C204" t="inlineStr">
        <is>
          <t>Town</t>
        </is>
      </c>
      <c r="D204" t="inlineStr">
        <is>
          <t>Win</t>
        </is>
      </c>
      <c r="E204" t="n">
        <v>78</v>
      </c>
      <c r="F204" t="n">
        <v>35.15698101157356</v>
      </c>
      <c r="G204" t="n">
        <v>36.20917611949973</v>
      </c>
      <c r="H204" t="n">
        <v>7.271184839778281</v>
      </c>
      <c r="I204" t="n">
        <v>1643</v>
      </c>
      <c r="J204" t="n">
        <v>1721</v>
      </c>
      <c r="K204" t="n">
        <v>7.332544790616355</v>
      </c>
    </row>
    <row r="205">
      <c r="A205" t="n">
        <v>147</v>
      </c>
      <c r="B205" t="inlineStr">
        <is>
          <t>Brownkow</t>
        </is>
      </c>
      <c r="C205" t="inlineStr">
        <is>
          <t>Town</t>
        </is>
      </c>
      <c r="D205" t="inlineStr">
        <is>
          <t>Win</t>
        </is>
      </c>
      <c r="E205" t="n">
        <v>48</v>
      </c>
      <c r="F205" t="n">
        <v>33.0683117895638</v>
      </c>
      <c r="G205" t="n">
        <v>33.72229372212831</v>
      </c>
      <c r="H205" t="n">
        <v>5.751005618857531</v>
      </c>
      <c r="I205" t="n">
        <v>1659</v>
      </c>
      <c r="J205" t="n">
        <v>1707</v>
      </c>
      <c r="K205" t="n">
        <v>5.780492833840728</v>
      </c>
    </row>
    <row r="206">
      <c r="A206" t="n">
        <v>147</v>
      </c>
      <c r="B206" t="inlineStr">
        <is>
          <t>Decode</t>
        </is>
      </c>
      <c r="C206" t="inlineStr">
        <is>
          <t>Town</t>
        </is>
      </c>
      <c r="D206" t="inlineStr">
        <is>
          <t>Win</t>
        </is>
      </c>
      <c r="E206" t="n">
        <v>80</v>
      </c>
      <c r="F206" t="n">
        <v>20.20097784560152</v>
      </c>
      <c r="G206" t="n">
        <v>21.28753637906673</v>
      </c>
      <c r="H206" t="n">
        <v>7.38689689214783</v>
      </c>
      <c r="I206" t="n">
        <v>614</v>
      </c>
      <c r="J206" t="n">
        <v>694</v>
      </c>
      <c r="K206" t="n">
        <v>7.451340784578071</v>
      </c>
    </row>
    <row r="207">
      <c r="A207" t="n">
        <v>147</v>
      </c>
      <c r="B207" t="inlineStr">
        <is>
          <t>Rocker</t>
        </is>
      </c>
      <c r="C207" t="inlineStr">
        <is>
          <t>Town</t>
        </is>
      </c>
      <c r="D207" t="inlineStr">
        <is>
          <t>Win</t>
        </is>
      </c>
      <c r="E207" t="n">
        <v>48</v>
      </c>
      <c r="F207" t="n">
        <v>36.53150867341085</v>
      </c>
      <c r="G207" t="n">
        <v>37.18842975458912</v>
      </c>
      <c r="H207" t="n">
        <v>5.763777239153466</v>
      </c>
      <c r="I207" t="n">
        <v>1893</v>
      </c>
      <c r="J207" t="n">
        <v>1941</v>
      </c>
      <c r="K207" t="n">
        <v>5.793471597993892</v>
      </c>
    </row>
    <row r="208">
      <c r="A208" t="n">
        <v>147</v>
      </c>
      <c r="B208" t="inlineStr">
        <is>
          <t>Svaan</t>
        </is>
      </c>
      <c r="C208" t="inlineStr">
        <is>
          <t>Town</t>
        </is>
      </c>
      <c r="D208" t="inlineStr">
        <is>
          <t>Win</t>
        </is>
      </c>
      <c r="E208" t="n">
        <v>80</v>
      </c>
      <c r="F208" t="n">
        <v>30.53897845808341</v>
      </c>
      <c r="G208" t="n">
        <v>31.61592470406747</v>
      </c>
      <c r="H208" t="n">
        <v>7.354726047393209</v>
      </c>
      <c r="I208" t="n">
        <v>1320</v>
      </c>
      <c r="J208" t="n">
        <v>1400</v>
      </c>
      <c r="K208" t="n">
        <v>7.418302298020812</v>
      </c>
    </row>
    <row r="209">
      <c r="A209" t="n">
        <v>147</v>
      </c>
      <c r="B209" t="inlineStr">
        <is>
          <t>Badpants</t>
        </is>
      </c>
      <c r="C209" t="inlineStr">
        <is>
          <t>Town</t>
        </is>
      </c>
      <c r="D209" t="inlineStr">
        <is>
          <t>Win</t>
        </is>
      </c>
      <c r="E209" t="n">
        <v>54</v>
      </c>
      <c r="F209" t="n">
        <v>25.07982169172521</v>
      </c>
      <c r="G209" t="n">
        <v>25.81476489548171</v>
      </c>
      <c r="H209" t="n">
        <v>6.092606325295953</v>
      </c>
      <c r="I209" t="n">
        <v>1080</v>
      </c>
      <c r="J209" t="n">
        <v>1134</v>
      </c>
      <c r="K209" t="n">
        <v>6.127961666139845</v>
      </c>
    </row>
    <row r="210">
      <c r="A210" t="n">
        <v>147</v>
      </c>
      <c r="B210" t="inlineStr">
        <is>
          <t>Iln</t>
        </is>
      </c>
      <c r="C210" t="inlineStr">
        <is>
          <t>Town</t>
        </is>
      </c>
      <c r="D210" t="inlineStr">
        <is>
          <t>Win</t>
        </is>
      </c>
      <c r="E210" t="n">
        <v>51</v>
      </c>
      <c r="F210" t="n">
        <v>34.04956500584689</v>
      </c>
      <c r="G210" t="n">
        <v>34.74623106375692</v>
      </c>
      <c r="H210" t="n">
        <v>5.933667364517895</v>
      </c>
      <c r="I210" t="n">
        <v>1707</v>
      </c>
      <c r="J210" t="n">
        <v>1758</v>
      </c>
      <c r="K210" t="n">
        <v>5.966206756053367</v>
      </c>
    </row>
    <row r="211">
      <c r="A211" t="n">
        <v>147</v>
      </c>
      <c r="B211" t="inlineStr">
        <is>
          <t>Keegan</t>
        </is>
      </c>
      <c r="C211" t="inlineStr">
        <is>
          <t>Town</t>
        </is>
      </c>
      <c r="D211" t="inlineStr">
        <is>
          <t>Win</t>
        </is>
      </c>
      <c r="E211" t="n">
        <v>83</v>
      </c>
      <c r="F211" t="n">
        <v>28.66607265746514</v>
      </c>
      <c r="G211" t="n">
        <v>29.78857258358947</v>
      </c>
      <c r="H211" t="n">
        <v>7.505876364694325</v>
      </c>
      <c r="I211" t="n">
        <v>1177</v>
      </c>
      <c r="J211" t="n">
        <v>1260</v>
      </c>
      <c r="K211" t="n">
        <v>7.573598454573308</v>
      </c>
    </row>
    <row r="212">
      <c r="A212" t="n">
        <v>146</v>
      </c>
      <c r="B212" t="inlineStr">
        <is>
          <t>Cyclone</t>
        </is>
      </c>
      <c r="C212" t="inlineStr">
        <is>
          <t>Mafia</t>
        </is>
      </c>
      <c r="D212" t="inlineStr">
        <is>
          <t>Win</t>
        </is>
      </c>
      <c r="E212" t="n">
        <v>32</v>
      </c>
      <c r="F212" t="n">
        <v>34.74652082280539</v>
      </c>
      <c r="G212" t="n">
        <v>35.15698101157356</v>
      </c>
      <c r="H212" t="n">
        <v>7.332544790616355</v>
      </c>
      <c r="I212" t="n">
        <v>1611</v>
      </c>
      <c r="J212" t="n">
        <v>1643</v>
      </c>
      <c r="K212" t="n">
        <v>7.368563906451106</v>
      </c>
    </row>
    <row r="213">
      <c r="A213" t="n">
        <v>146</v>
      </c>
      <c r="B213" t="inlineStr">
        <is>
          <t>Doublea</t>
        </is>
      </c>
      <c r="C213" t="inlineStr">
        <is>
          <t>Mafia</t>
        </is>
      </c>
      <c r="D213" t="inlineStr">
        <is>
          <t>Win</t>
        </is>
      </c>
      <c r="E213" t="n">
        <v>30</v>
      </c>
      <c r="F213" t="n">
        <v>23.8987095927744</v>
      </c>
      <c r="G213" t="n">
        <v>24.29153223665205</v>
      </c>
      <c r="H213" t="n">
        <v>7.17482102918063</v>
      </c>
      <c r="I213" t="n">
        <v>890</v>
      </c>
      <c r="J213" t="n">
        <v>920</v>
      </c>
      <c r="K213" t="n">
        <v>7.208481623314649</v>
      </c>
    </row>
    <row r="214">
      <c r="A214" t="n">
        <v>146</v>
      </c>
      <c r="B214" t="inlineStr">
        <is>
          <t>Brownkow</t>
        </is>
      </c>
      <c r="C214" t="inlineStr">
        <is>
          <t>Mafia</t>
        </is>
      </c>
      <c r="D214" t="inlineStr">
        <is>
          <t>Win</t>
        </is>
      </c>
      <c r="E214" t="n">
        <v>19</v>
      </c>
      <c r="F214" t="n">
        <v>32.81419429777459</v>
      </c>
      <c r="G214" t="n">
        <v>33.0683117895638</v>
      </c>
      <c r="H214" t="n">
        <v>5.780492833840728</v>
      </c>
      <c r="I214" t="n">
        <v>1640</v>
      </c>
      <c r="J214" t="n">
        <v>1659</v>
      </c>
      <c r="K214" t="n">
        <v>5.797489988603491</v>
      </c>
    </row>
    <row r="215">
      <c r="A215" t="n">
        <v>146</v>
      </c>
      <c r="B215" t="inlineStr">
        <is>
          <t>Rocker</t>
        </is>
      </c>
      <c r="C215" t="inlineStr">
        <is>
          <t>Town</t>
        </is>
      </c>
      <c r="D215" t="inlineStr">
        <is>
          <t>Loss</t>
        </is>
      </c>
      <c r="E215" t="n">
        <v>-16</v>
      </c>
      <c r="F215" t="n">
        <v>36.78677571728188</v>
      </c>
      <c r="G215" t="n">
        <v>36.53150867341085</v>
      </c>
      <c r="H215" t="n">
        <v>5.793471597993892</v>
      </c>
      <c r="I215" t="n">
        <v>1909</v>
      </c>
      <c r="J215" t="n">
        <v>1893</v>
      </c>
      <c r="K215" t="n">
        <v>5.810592146465474</v>
      </c>
    </row>
    <row r="216">
      <c r="A216" t="n">
        <v>146</v>
      </c>
      <c r="B216" t="inlineStr">
        <is>
          <t>Chipper</t>
        </is>
      </c>
      <c r="C216" t="inlineStr">
        <is>
          <t>Town</t>
        </is>
      </c>
      <c r="D216" t="inlineStr">
        <is>
          <t>Loss</t>
        </is>
      </c>
      <c r="E216" t="n">
        <v>-20</v>
      </c>
      <c r="F216" t="n">
        <v>27.2088700240558</v>
      </c>
      <c r="G216" t="n">
        <v>26.8796143436315</v>
      </c>
      <c r="H216" t="n">
        <v>6.573800187440486</v>
      </c>
      <c r="I216" t="n">
        <v>1177</v>
      </c>
      <c r="J216" t="n">
        <v>1157</v>
      </c>
      <c r="K216" t="n">
        <v>6.599394773629158</v>
      </c>
    </row>
    <row r="217">
      <c r="A217" t="n">
        <v>146</v>
      </c>
      <c r="B217" t="inlineStr">
        <is>
          <t>Strik3r</t>
        </is>
      </c>
      <c r="C217" t="inlineStr">
        <is>
          <t>Town</t>
        </is>
      </c>
      <c r="D217" t="inlineStr">
        <is>
          <t>Loss</t>
        </is>
      </c>
      <c r="E217" t="n">
        <v>-20</v>
      </c>
      <c r="F217" t="n">
        <v>30.0742475262915</v>
      </c>
      <c r="G217" t="n">
        <v>29.73896260027134</v>
      </c>
      <c r="H217" t="n">
        <v>6.633228066043722</v>
      </c>
      <c r="I217" t="n">
        <v>1366</v>
      </c>
      <c r="J217" t="n">
        <v>1346</v>
      </c>
      <c r="K217" t="n">
        <v>6.659557625013522</v>
      </c>
    </row>
    <row r="218">
      <c r="A218" t="n">
        <v>146</v>
      </c>
      <c r="B218" t="inlineStr">
        <is>
          <t>Decode</t>
        </is>
      </c>
      <c r="C218" t="inlineStr">
        <is>
          <t>Town</t>
        </is>
      </c>
      <c r="D218" t="inlineStr">
        <is>
          <t>Loss</t>
        </is>
      </c>
      <c r="E218" t="n">
        <v>-25</v>
      </c>
      <c r="F218" t="n">
        <v>20.62498609953594</v>
      </c>
      <c r="G218" t="n">
        <v>20.20097784560152</v>
      </c>
      <c r="H218" t="n">
        <v>7.451340784578071</v>
      </c>
      <c r="I218" t="n">
        <v>639</v>
      </c>
      <c r="J218" t="n">
        <v>614</v>
      </c>
      <c r="K218" t="n">
        <v>7.489205843293495</v>
      </c>
    </row>
    <row r="219">
      <c r="A219" t="n">
        <v>146</v>
      </c>
      <c r="B219" t="inlineStr">
        <is>
          <t>Ken</t>
        </is>
      </c>
      <c r="C219" t="inlineStr">
        <is>
          <t>Town</t>
        </is>
      </c>
      <c r="D219" t="inlineStr">
        <is>
          <t>Loss</t>
        </is>
      </c>
      <c r="E219" t="n">
        <v>-24</v>
      </c>
      <c r="F219" t="n">
        <v>23.97802551003059</v>
      </c>
      <c r="G219" t="n">
        <v>23.56995581781728</v>
      </c>
      <c r="H219" t="n">
        <v>7.311375083382139</v>
      </c>
      <c r="I219" t="n">
        <v>881</v>
      </c>
      <c r="J219" t="n">
        <v>857</v>
      </c>
      <c r="K219" t="n">
        <v>7.347071564148687</v>
      </c>
    </row>
    <row r="220">
      <c r="A220" t="n">
        <v>146</v>
      </c>
      <c r="B220" t="inlineStr">
        <is>
          <t>Iln</t>
        </is>
      </c>
      <c r="C220" t="inlineStr">
        <is>
          <t>Town</t>
        </is>
      </c>
      <c r="D220" t="inlineStr">
        <is>
          <t>Loss</t>
        </is>
      </c>
      <c r="E220" t="n">
        <v>-16</v>
      </c>
      <c r="F220" t="n">
        <v>34.32038336538043</v>
      </c>
      <c r="G220" t="n">
        <v>34.04956500584689</v>
      </c>
      <c r="H220" t="n">
        <v>5.966206756053367</v>
      </c>
      <c r="I220" t="n">
        <v>1723</v>
      </c>
      <c r="J220" t="n">
        <v>1707</v>
      </c>
      <c r="K220" t="n">
        <v>5.985022162626711</v>
      </c>
    </row>
    <row r="221">
      <c r="A221" t="n">
        <v>146</v>
      </c>
      <c r="B221" t="inlineStr">
        <is>
          <t>Smit</t>
        </is>
      </c>
      <c r="C221" t="inlineStr">
        <is>
          <t>Town</t>
        </is>
      </c>
      <c r="D221" t="inlineStr">
        <is>
          <t>Loss</t>
        </is>
      </c>
      <c r="E221" t="n">
        <v>-17</v>
      </c>
      <c r="F221" t="n">
        <v>26.09480248779092</v>
      </c>
      <c r="G221" t="n">
        <v>25.80442567042671</v>
      </c>
      <c r="H221" t="n">
        <v>6.176418548480743</v>
      </c>
      <c r="I221" t="n">
        <v>1142</v>
      </c>
      <c r="J221" t="n">
        <v>1125</v>
      </c>
      <c r="K221" t="n">
        <v>6.197431924734868</v>
      </c>
    </row>
    <row r="222">
      <c r="A222" t="n">
        <v>146</v>
      </c>
      <c r="B222" t="inlineStr">
        <is>
          <t>Keegan</t>
        </is>
      </c>
      <c r="C222" t="inlineStr">
        <is>
          <t>Town</t>
        </is>
      </c>
      <c r="D222" t="inlineStr">
        <is>
          <t>Loss</t>
        </is>
      </c>
      <c r="E222" t="n">
        <v>-26</v>
      </c>
      <c r="F222" t="n">
        <v>29.10426081597488</v>
      </c>
      <c r="G222" t="n">
        <v>28.66607265746514</v>
      </c>
      <c r="H222" t="n">
        <v>7.573598454573308</v>
      </c>
      <c r="I222" t="n">
        <v>1203</v>
      </c>
      <c r="J222" t="n">
        <v>1177</v>
      </c>
      <c r="K222" t="n">
        <v>7.613426921317674</v>
      </c>
    </row>
    <row r="223">
      <c r="A223" t="n">
        <v>146</v>
      </c>
      <c r="B223" t="inlineStr">
        <is>
          <t>Kwix</t>
        </is>
      </c>
      <c r="C223" t="inlineStr">
        <is>
          <t>Town</t>
        </is>
      </c>
      <c r="D223" t="inlineStr">
        <is>
          <t>Loss</t>
        </is>
      </c>
      <c r="E223" t="n">
        <v>-19</v>
      </c>
      <c r="F223" t="n">
        <v>26.03265537985362</v>
      </c>
      <c r="G223" t="n">
        <v>25.71861734337915</v>
      </c>
      <c r="H223" t="n">
        <v>6.421279851294559</v>
      </c>
      <c r="I223" t="n">
        <v>1113</v>
      </c>
      <c r="J223" t="n">
        <v>1094</v>
      </c>
      <c r="K223" t="n">
        <v>6.445048367234876</v>
      </c>
    </row>
    <row r="224">
      <c r="A224" t="n">
        <v>146</v>
      </c>
      <c r="B224" t="inlineStr">
        <is>
          <t>Gilbert</t>
        </is>
      </c>
      <c r="C224" t="inlineStr">
        <is>
          <t>Town</t>
        </is>
      </c>
      <c r="D224" t="inlineStr">
        <is>
          <t>Loss</t>
        </is>
      </c>
      <c r="E224" t="n">
        <v>-20</v>
      </c>
      <c r="F224" t="n">
        <v>29.35187564854675</v>
      </c>
      <c r="G224" t="n">
        <v>29.01034428696208</v>
      </c>
      <c r="H224" t="n">
        <v>6.694221964535921</v>
      </c>
      <c r="I224" t="n">
        <v>1310</v>
      </c>
      <c r="J224" t="n">
        <v>1290</v>
      </c>
      <c r="K224" t="n">
        <v>6.721319762953593</v>
      </c>
    </row>
    <row r="225">
      <c r="A225" t="n">
        <v>146</v>
      </c>
      <c r="B225" t="inlineStr">
        <is>
          <t>Lou</t>
        </is>
      </c>
      <c r="C225" t="inlineStr">
        <is>
          <t>Town</t>
        </is>
      </c>
      <c r="D225" t="inlineStr">
        <is>
          <t>Loss</t>
        </is>
      </c>
      <c r="E225" t="n">
        <v>-17</v>
      </c>
      <c r="F225" t="n">
        <v>30.04879324131726</v>
      </c>
      <c r="G225" t="n">
        <v>29.76760709102821</v>
      </c>
      <c r="H225" t="n">
        <v>6.078569023479978</v>
      </c>
      <c r="I225" t="n">
        <v>1421</v>
      </c>
      <c r="J225" t="n">
        <v>1404</v>
      </c>
      <c r="K225" t="n">
        <v>6.098540461466621</v>
      </c>
    </row>
    <row r="226">
      <c r="A226" t="n">
        <v>145</v>
      </c>
      <c r="B226" t="inlineStr">
        <is>
          <t>Rollo</t>
        </is>
      </c>
      <c r="C226" t="inlineStr">
        <is>
          <t>Mafia</t>
        </is>
      </c>
      <c r="D226" t="inlineStr">
        <is>
          <t>Loss</t>
        </is>
      </c>
      <c r="E226" t="n">
        <v>-124</v>
      </c>
      <c r="F226" t="n">
        <v>37.55633853211484</v>
      </c>
      <c r="G226" t="n">
        <v>35.64230442786217</v>
      </c>
      <c r="H226" t="n">
        <v>6.58803370325625</v>
      </c>
      <c r="I226" t="n">
        <v>1876</v>
      </c>
      <c r="J226" t="n">
        <v>1752</v>
      </c>
      <c r="K226" t="n">
        <v>6.643484993043396</v>
      </c>
    </row>
    <row r="227">
      <c r="A227" t="n">
        <v>145</v>
      </c>
      <c r="B227" t="inlineStr">
        <is>
          <t>Brownkow</t>
        </is>
      </c>
      <c r="C227" t="inlineStr">
        <is>
          <t>Mafia</t>
        </is>
      </c>
      <c r="D227" t="inlineStr">
        <is>
          <t>Loss</t>
        </is>
      </c>
      <c r="E227" t="n">
        <v>-97</v>
      </c>
      <c r="F227" t="n">
        <v>34.29064886214262</v>
      </c>
      <c r="G227" t="n">
        <v>32.81419429777459</v>
      </c>
      <c r="H227" t="n">
        <v>5.797489988603491</v>
      </c>
      <c r="I227" t="n">
        <v>1737</v>
      </c>
      <c r="J227" t="n">
        <v>1640</v>
      </c>
      <c r="K227" t="n">
        <v>5.834673840640113</v>
      </c>
    </row>
    <row r="228">
      <c r="A228" t="n">
        <v>145</v>
      </c>
      <c r="B228" t="inlineStr">
        <is>
          <t>Carson</t>
        </is>
      </c>
      <c r="C228" t="inlineStr">
        <is>
          <t>Mafia</t>
        </is>
      </c>
      <c r="D228" t="inlineStr">
        <is>
          <t>Loss</t>
        </is>
      </c>
      <c r="E228" t="n">
        <v>-107</v>
      </c>
      <c r="F228" t="n">
        <v>32.06482339439198</v>
      </c>
      <c r="G228" t="n">
        <v>30.4331836970407</v>
      </c>
      <c r="H228" t="n">
        <v>6.090337871581499</v>
      </c>
      <c r="I228" t="n">
        <v>1555</v>
      </c>
      <c r="J228" t="n">
        <v>1448</v>
      </c>
      <c r="K228" t="n">
        <v>6.133731182008176</v>
      </c>
    </row>
    <row r="229">
      <c r="A229" t="n">
        <v>145</v>
      </c>
      <c r="B229" t="inlineStr">
        <is>
          <t>Laur</t>
        </is>
      </c>
      <c r="C229" t="inlineStr">
        <is>
          <t>Town</t>
        </is>
      </c>
      <c r="D229" t="inlineStr">
        <is>
          <t>Win</t>
        </is>
      </c>
      <c r="E229" t="n">
        <v>123</v>
      </c>
      <c r="F229" t="n">
        <v>32.83260613595655</v>
      </c>
      <c r="G229" t="n">
        <v>34.57746408656274</v>
      </c>
      <c r="H229" t="n">
        <v>6.294911697367177</v>
      </c>
      <c r="I229" t="n">
        <v>1586</v>
      </c>
      <c r="J229" t="n">
        <v>1709</v>
      </c>
      <c r="K229" t="n">
        <v>6.343024523428666</v>
      </c>
    </row>
    <row r="230">
      <c r="A230" t="n">
        <v>145</v>
      </c>
      <c r="B230" t="inlineStr">
        <is>
          <t>Strik3r</t>
        </is>
      </c>
      <c r="C230" t="inlineStr">
        <is>
          <t>Town</t>
        </is>
      </c>
      <c r="D230" t="inlineStr">
        <is>
          <t>Win</t>
        </is>
      </c>
      <c r="E230" t="n">
        <v>139</v>
      </c>
      <c r="F230" t="n">
        <v>28.11768289385306</v>
      </c>
      <c r="G230" t="n">
        <v>30.0742475262915</v>
      </c>
      <c r="H230" t="n">
        <v>6.659557625013522</v>
      </c>
      <c r="I230" t="n">
        <v>1227</v>
      </c>
      <c r="J230" t="n">
        <v>1366</v>
      </c>
      <c r="K230" t="n">
        <v>6.716906320274263</v>
      </c>
    </row>
    <row r="231">
      <c r="A231" t="n">
        <v>145</v>
      </c>
      <c r="B231" t="inlineStr">
        <is>
          <t>Heckmuffins</t>
        </is>
      </c>
      <c r="C231" t="inlineStr">
        <is>
          <t>Town</t>
        </is>
      </c>
      <c r="D231" t="inlineStr">
        <is>
          <t>Win</t>
        </is>
      </c>
      <c r="E231" t="n">
        <v>193</v>
      </c>
      <c r="F231" t="n">
        <v>29.21662748188762</v>
      </c>
      <c r="G231" t="n">
        <v>31.91045688447616</v>
      </c>
      <c r="H231" t="n">
        <v>7.788338020358511</v>
      </c>
      <c r="I231" t="n">
        <v>1183</v>
      </c>
      <c r="J231" t="n">
        <v>1376</v>
      </c>
      <c r="K231" t="n">
        <v>7.881709220989246</v>
      </c>
    </row>
    <row r="232">
      <c r="A232" t="n">
        <v>145</v>
      </c>
      <c r="B232" t="inlineStr">
        <is>
          <t>Keegan</t>
        </is>
      </c>
      <c r="C232" t="inlineStr">
        <is>
          <t>Town</t>
        </is>
      </c>
      <c r="D232" t="inlineStr">
        <is>
          <t>Win</t>
        </is>
      </c>
      <c r="E232" t="n">
        <v>184</v>
      </c>
      <c r="F232" t="n">
        <v>26.53290841085421</v>
      </c>
      <c r="G232" t="n">
        <v>29.10426081597488</v>
      </c>
      <c r="H232" t="n">
        <v>7.613426921317674</v>
      </c>
      <c r="I232" t="n">
        <v>1019</v>
      </c>
      <c r="J232" t="n">
        <v>1203</v>
      </c>
      <c r="K232" t="n">
        <v>7.700421528978444</v>
      </c>
    </row>
    <row r="233">
      <c r="A233" t="n">
        <v>145</v>
      </c>
      <c r="B233" t="inlineStr">
        <is>
          <t>Iln</t>
        </is>
      </c>
      <c r="C233" t="inlineStr">
        <is>
          <t>Town</t>
        </is>
      </c>
      <c r="D233" t="inlineStr">
        <is>
          <t>Win</t>
        </is>
      </c>
      <c r="E233" t="n">
        <v>111</v>
      </c>
      <c r="F233" t="n">
        <v>32.74548320958403</v>
      </c>
      <c r="G233" t="n">
        <v>34.32038336538043</v>
      </c>
      <c r="H233" t="n">
        <v>5.985022162626711</v>
      </c>
      <c r="I233" t="n">
        <v>1612</v>
      </c>
      <c r="J233" t="n">
        <v>1723</v>
      </c>
      <c r="K233" t="n">
        <v>6.026109801176244</v>
      </c>
    </row>
    <row r="234">
      <c r="A234" t="n">
        <v>145</v>
      </c>
      <c r="B234" t="inlineStr">
        <is>
          <t>Kden</t>
        </is>
      </c>
      <c r="C234" t="inlineStr">
        <is>
          <t>Town</t>
        </is>
      </c>
      <c r="D234" t="inlineStr">
        <is>
          <t>Win</t>
        </is>
      </c>
      <c r="E234" t="n">
        <v>127</v>
      </c>
      <c r="F234" t="n">
        <v>25.59235634568881</v>
      </c>
      <c r="G234" t="n">
        <v>27.37451428927801</v>
      </c>
      <c r="H234" t="n">
        <v>6.360778700976661</v>
      </c>
      <c r="I234" t="n">
        <v>1086</v>
      </c>
      <c r="J234" t="n">
        <v>1213</v>
      </c>
      <c r="K234" t="n">
        <v>6.410480406002359</v>
      </c>
    </row>
    <row r="235">
      <c r="A235" t="n">
        <v>145</v>
      </c>
      <c r="B235" t="inlineStr">
        <is>
          <t>Plen</t>
        </is>
      </c>
      <c r="C235" t="inlineStr">
        <is>
          <t>Town</t>
        </is>
      </c>
      <c r="D235" t="inlineStr">
        <is>
          <t>Win</t>
        </is>
      </c>
      <c r="E235" t="n">
        <v>109</v>
      </c>
      <c r="F235" t="n">
        <v>24.57344458853639</v>
      </c>
      <c r="G235" t="n">
        <v>26.10838012097896</v>
      </c>
      <c r="H235" t="n">
        <v>5.90965001551511</v>
      </c>
      <c r="I235" t="n">
        <v>1064</v>
      </c>
      <c r="J235" t="n">
        <v>1173</v>
      </c>
      <c r="K235" t="n">
        <v>5.949137964482274</v>
      </c>
    </row>
    <row r="236">
      <c r="A236" t="n">
        <v>145</v>
      </c>
      <c r="B236" t="inlineStr">
        <is>
          <t>Kwix</t>
        </is>
      </c>
      <c r="C236" t="inlineStr">
        <is>
          <t>Town</t>
        </is>
      </c>
      <c r="D236" t="inlineStr">
        <is>
          <t>Win</t>
        </is>
      </c>
      <c r="E236" t="n">
        <v>130</v>
      </c>
      <c r="F236" t="n">
        <v>24.20217244049714</v>
      </c>
      <c r="G236" t="n">
        <v>26.03265537985362</v>
      </c>
      <c r="H236" t="n">
        <v>6.445048367234876</v>
      </c>
      <c r="I236" t="n">
        <v>983</v>
      </c>
      <c r="J236" t="n">
        <v>1113</v>
      </c>
      <c r="K236" t="n">
        <v>6.496833239825438</v>
      </c>
    </row>
    <row r="237">
      <c r="A237" t="n">
        <v>145</v>
      </c>
      <c r="B237" t="inlineStr">
        <is>
          <t>Josh</t>
        </is>
      </c>
      <c r="C237" t="inlineStr">
        <is>
          <t>Town</t>
        </is>
      </c>
      <c r="D237" t="inlineStr">
        <is>
          <t>Win</t>
        </is>
      </c>
      <c r="E237" t="n">
        <v>174</v>
      </c>
      <c r="F237" t="n">
        <v>30.09026654980549</v>
      </c>
      <c r="G237" t="n">
        <v>32.53248601291084</v>
      </c>
      <c r="H237" t="n">
        <v>7.424104890035974</v>
      </c>
      <c r="I237" t="n">
        <v>1281</v>
      </c>
      <c r="J237" t="n">
        <v>1455</v>
      </c>
      <c r="K237" t="n">
        <v>7.504540517343696</v>
      </c>
    </row>
    <row r="238">
      <c r="A238" t="n">
        <v>145</v>
      </c>
      <c r="B238" t="inlineStr">
        <is>
          <t>Noah</t>
        </is>
      </c>
      <c r="C238" t="inlineStr">
        <is>
          <t>Town</t>
        </is>
      </c>
      <c r="D238" t="inlineStr">
        <is>
          <t>Win</t>
        </is>
      </c>
      <c r="E238" t="n">
        <v>114</v>
      </c>
      <c r="F238" t="n">
        <v>33.540572188281</v>
      </c>
      <c r="G238" t="n">
        <v>35.16464233412039</v>
      </c>
      <c r="H238" t="n">
        <v>6.076399566002494</v>
      </c>
      <c r="I238" t="n">
        <v>1657</v>
      </c>
      <c r="J238" t="n">
        <v>1771</v>
      </c>
      <c r="K238" t="n">
        <v>6.119482957210225</v>
      </c>
    </row>
    <row r="239">
      <c r="A239" t="n">
        <v>145</v>
      </c>
      <c r="B239" t="inlineStr">
        <is>
          <t>Rocker</t>
        </is>
      </c>
      <c r="C239" t="inlineStr">
        <is>
          <t>Town</t>
        </is>
      </c>
      <c r="D239" t="inlineStr">
        <is>
          <t>Win</t>
        </is>
      </c>
      <c r="E239" t="n">
        <v>105</v>
      </c>
      <c r="F239" t="n">
        <v>35.30355057187847</v>
      </c>
      <c r="G239" t="n">
        <v>36.78677571728188</v>
      </c>
      <c r="H239" t="n">
        <v>5.810592146465474</v>
      </c>
      <c r="I239" t="n">
        <v>1804</v>
      </c>
      <c r="J239" t="n">
        <v>1909</v>
      </c>
      <c r="K239" t="n">
        <v>5.848040498011946</v>
      </c>
    </row>
    <row r="240">
      <c r="A240" t="n">
        <v>144</v>
      </c>
      <c r="B240" t="inlineStr">
        <is>
          <t>Motr</t>
        </is>
      </c>
      <c r="C240" t="inlineStr">
        <is>
          <t>Mafia</t>
        </is>
      </c>
      <c r="D240" t="inlineStr">
        <is>
          <t>Loss</t>
        </is>
      </c>
      <c r="E240" t="n">
        <v>-26</v>
      </c>
      <c r="F240" t="n">
        <v>28.83904859026331</v>
      </c>
      <c r="G240" t="n">
        <v>28.4081345529453</v>
      </c>
      <c r="H240" t="n">
        <v>6.848476921380021</v>
      </c>
      <c r="I240" t="n">
        <v>1259</v>
      </c>
      <c r="J240" t="n">
        <v>1233</v>
      </c>
      <c r="K240" t="n">
        <v>6.881930117578611</v>
      </c>
    </row>
    <row r="241">
      <c r="A241" t="n">
        <v>144</v>
      </c>
      <c r="B241" t="inlineStr">
        <is>
          <t>Steep</t>
        </is>
      </c>
      <c r="C241" t="inlineStr">
        <is>
          <t>Mafia</t>
        </is>
      </c>
      <c r="D241" t="inlineStr">
        <is>
          <t>Loss</t>
        </is>
      </c>
      <c r="E241" t="n">
        <v>-35</v>
      </c>
      <c r="F241" t="n">
        <v>25.30591562407224</v>
      </c>
      <c r="G241" t="n">
        <v>24.6996535506014</v>
      </c>
      <c r="H241" t="n">
        <v>8.1066769997179</v>
      </c>
      <c r="I241" t="n">
        <v>888</v>
      </c>
      <c r="J241" t="n">
        <v>853</v>
      </c>
      <c r="K241" t="n">
        <v>8.163161678793172</v>
      </c>
    </row>
    <row r="242">
      <c r="A242" t="n">
        <v>144</v>
      </c>
      <c r="B242" t="inlineStr">
        <is>
          <t>Aipha</t>
        </is>
      </c>
      <c r="C242" t="inlineStr">
        <is>
          <t>Mafia</t>
        </is>
      </c>
      <c r="D242" t="inlineStr">
        <is>
          <t>Loss</t>
        </is>
      </c>
      <c r="E242" t="n">
        <v>-29</v>
      </c>
      <c r="F242" t="n">
        <v>21.69044200223637</v>
      </c>
      <c r="G242" t="n">
        <v>21.20560228034291</v>
      </c>
      <c r="H242" t="n">
        <v>7.259817092538651</v>
      </c>
      <c r="I242" t="n">
        <v>730</v>
      </c>
      <c r="J242" t="n">
        <v>701</v>
      </c>
      <c r="K242" t="n">
        <v>7.299937361662417</v>
      </c>
    </row>
    <row r="243">
      <c r="A243" t="n">
        <v>144</v>
      </c>
      <c r="B243" t="inlineStr">
        <is>
          <t>Keegan</t>
        </is>
      </c>
      <c r="C243" t="inlineStr">
        <is>
          <t>Town</t>
        </is>
      </c>
      <c r="D243" t="inlineStr">
        <is>
          <t>Win</t>
        </is>
      </c>
      <c r="E243" t="n">
        <v>42</v>
      </c>
      <c r="F243" t="n">
        <v>25.98665212606329</v>
      </c>
      <c r="G243" t="n">
        <v>26.53290841085421</v>
      </c>
      <c r="H243" t="n">
        <v>7.700421528978444</v>
      </c>
      <c r="I243" t="n">
        <v>977</v>
      </c>
      <c r="J243" t="n">
        <v>1019</v>
      </c>
      <c r="K243" t="n">
        <v>7.748592852690487</v>
      </c>
    </row>
    <row r="244">
      <c r="A244" t="n">
        <v>144</v>
      </c>
      <c r="B244" t="inlineStr">
        <is>
          <t>Rocker</t>
        </is>
      </c>
      <c r="C244" t="inlineStr">
        <is>
          <t>Town</t>
        </is>
      </c>
      <c r="D244" t="inlineStr">
        <is>
          <t>Win</t>
        </is>
      </c>
      <c r="E244" t="n">
        <v>23</v>
      </c>
      <c r="F244" t="n">
        <v>34.99019354903997</v>
      </c>
      <c r="G244" t="n">
        <v>35.30355057187847</v>
      </c>
      <c r="H244" t="n">
        <v>5.848040498011946</v>
      </c>
      <c r="I244" t="n">
        <v>1781</v>
      </c>
      <c r="J244" t="n">
        <v>1804</v>
      </c>
      <c r="K244" t="n">
        <v>5.868369514716999</v>
      </c>
    </row>
    <row r="245">
      <c r="A245" t="n">
        <v>144</v>
      </c>
      <c r="B245" t="inlineStr">
        <is>
          <t>Chelsea</t>
        </is>
      </c>
      <c r="C245" t="inlineStr">
        <is>
          <t>Town</t>
        </is>
      </c>
      <c r="D245" t="inlineStr">
        <is>
          <t>Win</t>
        </is>
      </c>
      <c r="E245" t="n">
        <v>36</v>
      </c>
      <c r="F245" t="n">
        <v>30.27199340603059</v>
      </c>
      <c r="G245" t="n">
        <v>30.73840715612855</v>
      </c>
      <c r="H245" t="n">
        <v>7.122054051264169</v>
      </c>
      <c r="I245" t="n">
        <v>1328</v>
      </c>
      <c r="J245" t="n">
        <v>1364</v>
      </c>
      <c r="K245" t="n">
        <v>7.159852897747596</v>
      </c>
    </row>
    <row r="246">
      <c r="A246" t="n">
        <v>144</v>
      </c>
      <c r="B246" t="inlineStr">
        <is>
          <t>Strik3r</t>
        </is>
      </c>
      <c r="C246" t="inlineStr">
        <is>
          <t>Town</t>
        </is>
      </c>
      <c r="D246" t="inlineStr">
        <is>
          <t>Win</t>
        </is>
      </c>
      <c r="E246" t="n">
        <v>32</v>
      </c>
      <c r="F246" t="n">
        <v>27.70332627550647</v>
      </c>
      <c r="G246" t="n">
        <v>28.11768289385306</v>
      </c>
      <c r="H246" t="n">
        <v>6.716906320274263</v>
      </c>
      <c r="I246" t="n">
        <v>1195</v>
      </c>
      <c r="J246" t="n">
        <v>1227</v>
      </c>
      <c r="K246" t="n">
        <v>6.748391120272083</v>
      </c>
    </row>
    <row r="247">
      <c r="A247" t="n">
        <v>144</v>
      </c>
      <c r="B247" t="inlineStr">
        <is>
          <t>Josh</t>
        </is>
      </c>
      <c r="C247" t="inlineStr">
        <is>
          <t>Town</t>
        </is>
      </c>
      <c r="D247" t="inlineStr">
        <is>
          <t>Win</t>
        </is>
      </c>
      <c r="E247" t="n">
        <v>40</v>
      </c>
      <c r="F247" t="n">
        <v>29.57178308843688</v>
      </c>
      <c r="G247" t="n">
        <v>30.09026654980549</v>
      </c>
      <c r="H247" t="n">
        <v>7.504540517343696</v>
      </c>
      <c r="I247" t="n">
        <v>1241</v>
      </c>
      <c r="J247" t="n">
        <v>1281</v>
      </c>
      <c r="K247" t="n">
        <v>7.549012333156345</v>
      </c>
    </row>
    <row r="248">
      <c r="A248" t="n">
        <v>144</v>
      </c>
      <c r="B248" t="inlineStr">
        <is>
          <t>Carson</t>
        </is>
      </c>
      <c r="C248" t="inlineStr">
        <is>
          <t>Town</t>
        </is>
      </c>
      <c r="D248" t="inlineStr">
        <is>
          <t>Win</t>
        </is>
      </c>
      <c r="E248" t="n">
        <v>26</v>
      </c>
      <c r="F248" t="n">
        <v>31.719849465609</v>
      </c>
      <c r="G248" t="n">
        <v>32.06482339439198</v>
      </c>
      <c r="H248" t="n">
        <v>6.133731182008176</v>
      </c>
      <c r="I248" t="n">
        <v>1529</v>
      </c>
      <c r="J248" t="n">
        <v>1555</v>
      </c>
      <c r="K248" t="n">
        <v>6.15738986386368</v>
      </c>
    </row>
    <row r="249">
      <c r="A249" t="n">
        <v>144</v>
      </c>
      <c r="B249" t="inlineStr">
        <is>
          <t>Siggy</t>
        </is>
      </c>
      <c r="C249" t="inlineStr">
        <is>
          <t>Town</t>
        </is>
      </c>
      <c r="D249" t="inlineStr">
        <is>
          <t>Win</t>
        </is>
      </c>
      <c r="E249" t="n">
        <v>41</v>
      </c>
      <c r="F249" t="n">
        <v>29.69023946927743</v>
      </c>
      <c r="G249" t="n">
        <v>30.22420811296057</v>
      </c>
      <c r="H249" t="n">
        <v>7.614410250794799</v>
      </c>
      <c r="I249" t="n">
        <v>1238</v>
      </c>
      <c r="J249" t="n">
        <v>1279</v>
      </c>
      <c r="K249" t="n">
        <v>7.660932985824246</v>
      </c>
    </row>
    <row r="250">
      <c r="A250" t="n">
        <v>144</v>
      </c>
      <c r="B250" t="inlineStr">
        <is>
          <t>Plen</t>
        </is>
      </c>
      <c r="C250" t="inlineStr">
        <is>
          <t>Town</t>
        </is>
      </c>
      <c r="D250" t="inlineStr">
        <is>
          <t>Win</t>
        </is>
      </c>
      <c r="E250" t="n">
        <v>24</v>
      </c>
      <c r="F250" t="n">
        <v>24.24907694503122</v>
      </c>
      <c r="G250" t="n">
        <v>24.57344458853639</v>
      </c>
      <c r="H250" t="n">
        <v>5.949137964482274</v>
      </c>
      <c r="I250" t="n">
        <v>1040</v>
      </c>
      <c r="J250" t="n">
        <v>1064</v>
      </c>
      <c r="K250" t="n">
        <v>5.97060911154096</v>
      </c>
    </row>
    <row r="251">
      <c r="A251" t="n">
        <v>144</v>
      </c>
      <c r="B251" t="inlineStr">
        <is>
          <t>Rollo</t>
        </is>
      </c>
      <c r="C251" t="inlineStr">
        <is>
          <t>Town</t>
        </is>
      </c>
      <c r="D251" t="inlineStr">
        <is>
          <t>Win</t>
        </is>
      </c>
      <c r="E251" t="n">
        <v>30</v>
      </c>
      <c r="F251" t="n">
        <v>37.15107647985893</v>
      </c>
      <c r="G251" t="n">
        <v>37.55633853211484</v>
      </c>
      <c r="H251" t="n">
        <v>6.643484993043396</v>
      </c>
      <c r="I251" t="n">
        <v>1846</v>
      </c>
      <c r="J251" t="n">
        <v>1876</v>
      </c>
      <c r="K251" t="n">
        <v>6.673904762438458</v>
      </c>
    </row>
    <row r="252">
      <c r="A252" t="n">
        <v>144</v>
      </c>
      <c r="B252" t="inlineStr">
        <is>
          <t>Whyin</t>
        </is>
      </c>
      <c r="C252" t="inlineStr">
        <is>
          <t>Town</t>
        </is>
      </c>
      <c r="D252" t="inlineStr">
        <is>
          <t>Win</t>
        </is>
      </c>
      <c r="E252" t="n">
        <v>31</v>
      </c>
      <c r="F252" t="n">
        <v>29.97588520936135</v>
      </c>
      <c r="G252" t="n">
        <v>30.3803513314782</v>
      </c>
      <c r="H252" t="n">
        <v>6.637019220006727</v>
      </c>
      <c r="I252" t="n">
        <v>1358</v>
      </c>
      <c r="J252" t="n">
        <v>1389</v>
      </c>
      <c r="K252" t="n">
        <v>6.667346331403281</v>
      </c>
    </row>
    <row r="253">
      <c r="A253" t="n">
        <v>143</v>
      </c>
      <c r="B253" t="inlineStr">
        <is>
          <t>Jonas</t>
        </is>
      </c>
      <c r="C253" t="inlineStr">
        <is>
          <t>Mafia</t>
        </is>
      </c>
      <c r="D253" t="inlineStr">
        <is>
          <t>Win</t>
        </is>
      </c>
      <c r="E253" t="n">
        <v>52</v>
      </c>
      <c r="F253" t="n">
        <v>24.45968892737918</v>
      </c>
      <c r="G253" t="n">
        <v>25.13080351736997</v>
      </c>
      <c r="H253" t="n">
        <v>8.214232996607654</v>
      </c>
      <c r="I253" t="n">
        <v>819</v>
      </c>
      <c r="J253" t="n">
        <v>871</v>
      </c>
      <c r="K253" t="n">
        <v>8.276612877650305</v>
      </c>
    </row>
    <row r="254">
      <c r="A254" t="n">
        <v>143</v>
      </c>
      <c r="B254" t="inlineStr">
        <is>
          <t>Rocker</t>
        </is>
      </c>
      <c r="C254" t="inlineStr">
        <is>
          <t>Mafia</t>
        </is>
      </c>
      <c r="D254" t="inlineStr">
        <is>
          <t>Win</t>
        </is>
      </c>
      <c r="E254" t="n">
        <v>26</v>
      </c>
      <c r="F254" t="n">
        <v>34.6502467510085</v>
      </c>
      <c r="G254" t="n">
        <v>34.99019354903997</v>
      </c>
      <c r="H254" t="n">
        <v>5.868369514716999</v>
      </c>
      <c r="I254" t="n">
        <v>1755</v>
      </c>
      <c r="J254" t="n">
        <v>1781</v>
      </c>
      <c r="K254" t="n">
        <v>5.890184476391048</v>
      </c>
    </row>
    <row r="255">
      <c r="A255" t="n">
        <v>143</v>
      </c>
      <c r="B255" t="inlineStr">
        <is>
          <t>Xcync</t>
        </is>
      </c>
      <c r="C255" t="inlineStr">
        <is>
          <t>Mafia</t>
        </is>
      </c>
      <c r="D255" t="inlineStr">
        <is>
          <t>Win</t>
        </is>
      </c>
      <c r="E255" t="n">
        <v>42</v>
      </c>
      <c r="F255" t="n">
        <v>29.93260987293502</v>
      </c>
      <c r="G255" t="n">
        <v>30.47803360012787</v>
      </c>
      <c r="H255" t="n">
        <v>7.415848521652086</v>
      </c>
      <c r="I255" t="n">
        <v>1274</v>
      </c>
      <c r="J255" t="n">
        <v>1316</v>
      </c>
      <c r="K255" t="n">
        <v>7.461291551903959</v>
      </c>
    </row>
    <row r="256">
      <c r="A256" t="n">
        <v>143</v>
      </c>
      <c r="B256" t="inlineStr">
        <is>
          <t>Motr</t>
        </is>
      </c>
      <c r="C256" t="inlineStr">
        <is>
          <t>Town</t>
        </is>
      </c>
      <c r="D256" t="inlineStr">
        <is>
          <t>Loss</t>
        </is>
      </c>
      <c r="E256" t="n">
        <v>-28</v>
      </c>
      <c r="F256" t="n">
        <v>29.30794110790101</v>
      </c>
      <c r="G256" t="n">
        <v>28.83904859026331</v>
      </c>
      <c r="H256" t="n">
        <v>6.881930117578611</v>
      </c>
      <c r="I256" t="n">
        <v>1287</v>
      </c>
      <c r="J256" t="n">
        <v>1259</v>
      </c>
      <c r="K256" t="n">
        <v>6.917947819109197</v>
      </c>
    </row>
    <row r="257">
      <c r="A257" t="n">
        <v>143</v>
      </c>
      <c r="B257" t="inlineStr">
        <is>
          <t>Strik3r</t>
        </is>
      </c>
      <c r="C257" t="inlineStr">
        <is>
          <t>Town</t>
        </is>
      </c>
      <c r="D257" t="inlineStr">
        <is>
          <t>Loss</t>
        </is>
      </c>
      <c r="E257" t="n">
        <v>-28</v>
      </c>
      <c r="F257" t="n">
        <v>28.15401092544288</v>
      </c>
      <c r="G257" t="n">
        <v>27.70332627550647</v>
      </c>
      <c r="H257" t="n">
        <v>6.748391120272083</v>
      </c>
      <c r="I257" t="n">
        <v>1223</v>
      </c>
      <c r="J257" t="n">
        <v>1195</v>
      </c>
      <c r="K257" t="n">
        <v>6.782271653006038</v>
      </c>
    </row>
    <row r="258">
      <c r="A258" t="n">
        <v>143</v>
      </c>
      <c r="B258" t="inlineStr">
        <is>
          <t>Brownkow</t>
        </is>
      </c>
      <c r="C258" t="inlineStr">
        <is>
          <t>Town</t>
        </is>
      </c>
      <c r="D258" t="inlineStr">
        <is>
          <t>Loss</t>
        </is>
      </c>
      <c r="E258" t="n">
        <v>-20</v>
      </c>
      <c r="F258" t="n">
        <v>34.62667297016667</v>
      </c>
      <c r="G258" t="n">
        <v>34.29064886214262</v>
      </c>
      <c r="H258" t="n">
        <v>5.834673840640113</v>
      </c>
      <c r="I258" t="n">
        <v>1757</v>
      </c>
      <c r="J258" t="n">
        <v>1737</v>
      </c>
      <c r="K258" t="n">
        <v>5.856092218853719</v>
      </c>
    </row>
    <row r="259">
      <c r="A259" t="n">
        <v>143</v>
      </c>
      <c r="B259" t="inlineStr">
        <is>
          <t>Chipper</t>
        </is>
      </c>
      <c r="C259" t="inlineStr">
        <is>
          <t>Town</t>
        </is>
      </c>
      <c r="D259" t="inlineStr">
        <is>
          <t>Loss</t>
        </is>
      </c>
      <c r="E259" t="n">
        <v>-26</v>
      </c>
      <c r="F259" t="n">
        <v>27.63967778856721</v>
      </c>
      <c r="G259" t="n">
        <v>27.2088700240558</v>
      </c>
      <c r="H259" t="n">
        <v>6.599394773629158</v>
      </c>
      <c r="I259" t="n">
        <v>1203</v>
      </c>
      <c r="J259" t="n">
        <v>1177</v>
      </c>
      <c r="K259" t="n">
        <v>6.630990114554749</v>
      </c>
    </row>
    <row r="260">
      <c r="A260" t="n">
        <v>143</v>
      </c>
      <c r="B260" t="inlineStr">
        <is>
          <t>Chelsea</t>
        </is>
      </c>
      <c r="C260" t="inlineStr">
        <is>
          <t>Town</t>
        </is>
      </c>
      <c r="D260" t="inlineStr">
        <is>
          <t>Loss</t>
        </is>
      </c>
      <c r="E260" t="n">
        <v>-31</v>
      </c>
      <c r="F260" t="n">
        <v>30.77997592971781</v>
      </c>
      <c r="G260" t="n">
        <v>30.27199340603059</v>
      </c>
      <c r="H260" t="n">
        <v>7.159852897747596</v>
      </c>
      <c r="I260" t="n">
        <v>1359</v>
      </c>
      <c r="J260" t="n">
        <v>1328</v>
      </c>
      <c r="K260" t="n">
        <v>7.200597043269007</v>
      </c>
    </row>
    <row r="261">
      <c r="A261" t="n">
        <v>143</v>
      </c>
      <c r="B261" t="inlineStr">
        <is>
          <t>Iln</t>
        </is>
      </c>
      <c r="C261" t="inlineStr">
        <is>
          <t>Town</t>
        </is>
      </c>
      <c r="D261" t="inlineStr">
        <is>
          <t>Loss</t>
        </is>
      </c>
      <c r="E261" t="n">
        <v>-22</v>
      </c>
      <c r="F261" t="n">
        <v>33.10410344505417</v>
      </c>
      <c r="G261" t="n">
        <v>32.74548320958403</v>
      </c>
      <c r="H261" t="n">
        <v>6.026109801176244</v>
      </c>
      <c r="I261" t="n">
        <v>1634</v>
      </c>
      <c r="J261" t="n">
        <v>1612</v>
      </c>
      <c r="K261" t="n">
        <v>6.049842577027347</v>
      </c>
    </row>
    <row r="262">
      <c r="A262" t="n">
        <v>143</v>
      </c>
      <c r="B262" t="inlineStr">
        <is>
          <t>Kden</t>
        </is>
      </c>
      <c r="C262" t="inlineStr">
        <is>
          <t>Town</t>
        </is>
      </c>
      <c r="D262" t="inlineStr">
        <is>
          <t>Loss</t>
        </is>
      </c>
      <c r="E262" t="n">
        <v>-25</v>
      </c>
      <c r="F262" t="n">
        <v>25.99862509009935</v>
      </c>
      <c r="G262" t="n">
        <v>25.59235634568881</v>
      </c>
      <c r="H262" t="n">
        <v>6.410480406002359</v>
      </c>
      <c r="I262" t="n">
        <v>1111</v>
      </c>
      <c r="J262" t="n">
        <v>1086</v>
      </c>
      <c r="K262" t="n">
        <v>6.439324962667044</v>
      </c>
    </row>
    <row r="263">
      <c r="A263" t="n">
        <v>143</v>
      </c>
      <c r="B263" t="inlineStr">
        <is>
          <t>Decode</t>
        </is>
      </c>
      <c r="C263" t="inlineStr">
        <is>
          <t>Town</t>
        </is>
      </c>
      <c r="D263" t="inlineStr">
        <is>
          <t>Loss</t>
        </is>
      </c>
      <c r="E263" t="n">
        <v>-33</v>
      </c>
      <c r="F263" t="n">
        <v>21.18139360537483</v>
      </c>
      <c r="G263" t="n">
        <v>20.62498609953594</v>
      </c>
      <c r="H263" t="n">
        <v>7.489205843293495</v>
      </c>
      <c r="I263" t="n">
        <v>672</v>
      </c>
      <c r="J263" t="n">
        <v>639</v>
      </c>
      <c r="K263" t="n">
        <v>7.536058429470833</v>
      </c>
    </row>
    <row r="264">
      <c r="A264" t="n">
        <v>143</v>
      </c>
      <c r="B264" t="inlineStr">
        <is>
          <t>Gilbert</t>
        </is>
      </c>
      <c r="C264" t="inlineStr">
        <is>
          <t>Town</t>
        </is>
      </c>
      <c r="D264" t="inlineStr">
        <is>
          <t>Loss</t>
        </is>
      </c>
      <c r="E264" t="n">
        <v>-27</v>
      </c>
      <c r="F264" t="n">
        <v>29.79891448627341</v>
      </c>
      <c r="G264" t="n">
        <v>29.35187564854675</v>
      </c>
      <c r="H264" t="n">
        <v>6.721319762953593</v>
      </c>
      <c r="I264" t="n">
        <v>1337</v>
      </c>
      <c r="J264" t="n">
        <v>1310</v>
      </c>
      <c r="K264" t="n">
        <v>6.754777376791624</v>
      </c>
    </row>
    <row r="265">
      <c r="A265" t="n">
        <v>143</v>
      </c>
      <c r="B265" t="inlineStr">
        <is>
          <t>Ken</t>
        </is>
      </c>
      <c r="C265" t="inlineStr">
        <is>
          <t>Town</t>
        </is>
      </c>
      <c r="D265" t="inlineStr">
        <is>
          <t>Loss</t>
        </is>
      </c>
      <c r="E265" t="n">
        <v>-32</v>
      </c>
      <c r="F265" t="n">
        <v>24.51325447881493</v>
      </c>
      <c r="G265" t="n">
        <v>23.97802551003059</v>
      </c>
      <c r="H265" t="n">
        <v>7.347071564148687</v>
      </c>
      <c r="I265" t="n">
        <v>913</v>
      </c>
      <c r="J265" t="n">
        <v>881</v>
      </c>
      <c r="K265" t="n">
        <v>7.391218816294065</v>
      </c>
    </row>
    <row r="266">
      <c r="A266" t="n">
        <v>142</v>
      </c>
      <c r="B266" t="inlineStr">
        <is>
          <t>Gilbert</t>
        </is>
      </c>
      <c r="C266" t="inlineStr">
        <is>
          <t>Mafia</t>
        </is>
      </c>
      <c r="D266" t="inlineStr">
        <is>
          <t>Win</t>
        </is>
      </c>
      <c r="E266" t="n">
        <v>27</v>
      </c>
      <c r="F266" t="n">
        <v>29.44071007552035</v>
      </c>
      <c r="G266" t="n">
        <v>29.79891448627341</v>
      </c>
      <c r="H266" t="n">
        <v>6.754777376791624</v>
      </c>
      <c r="I266" t="n">
        <v>1310</v>
      </c>
      <c r="J266" t="n">
        <v>1337</v>
      </c>
      <c r="K266" t="n">
        <v>6.784945870987561</v>
      </c>
    </row>
    <row r="267">
      <c r="A267" t="n">
        <v>142</v>
      </c>
      <c r="B267" t="inlineStr">
        <is>
          <t>Iln</t>
        </is>
      </c>
      <c r="C267" t="inlineStr">
        <is>
          <t>Mafia</t>
        </is>
      </c>
      <c r="D267" t="inlineStr">
        <is>
          <t>Win</t>
        </is>
      </c>
      <c r="E267" t="n">
        <v>22</v>
      </c>
      <c r="F267" t="n">
        <v>32.81728710001472</v>
      </c>
      <c r="G267" t="n">
        <v>33.10410344505417</v>
      </c>
      <c r="H267" t="n">
        <v>6.049842577027347</v>
      </c>
      <c r="I267" t="n">
        <v>1612</v>
      </c>
      <c r="J267" t="n">
        <v>1634</v>
      </c>
      <c r="K267" t="n">
        <v>6.071152340406973</v>
      </c>
    </row>
    <row r="268">
      <c r="A268" t="n">
        <v>142</v>
      </c>
      <c r="B268" t="inlineStr">
        <is>
          <t>Motr</t>
        </is>
      </c>
      <c r="C268" t="inlineStr">
        <is>
          <t>Mafia</t>
        </is>
      </c>
      <c r="D268" t="inlineStr">
        <is>
          <t>Win</t>
        </is>
      </c>
      <c r="E268" t="n">
        <v>29</v>
      </c>
      <c r="F268" t="n">
        <v>28.93205167931885</v>
      </c>
      <c r="G268" t="n">
        <v>29.30794110790101</v>
      </c>
      <c r="H268" t="n">
        <v>6.917947819109197</v>
      </c>
      <c r="I268" t="n">
        <v>1258</v>
      </c>
      <c r="J268" t="n">
        <v>1287</v>
      </c>
      <c r="K268" t="n">
        <v>6.950454391475358</v>
      </c>
    </row>
    <row r="269">
      <c r="A269" t="n">
        <v>142</v>
      </c>
      <c r="B269" t="inlineStr">
        <is>
          <t>Jonas</t>
        </is>
      </c>
      <c r="C269" t="inlineStr">
        <is>
          <t>Town</t>
        </is>
      </c>
      <c r="D269" t="inlineStr">
        <is>
          <t>Loss</t>
        </is>
      </c>
      <c r="E269" t="n">
        <v>-31</v>
      </c>
      <c r="F269" t="n">
        <v>25</v>
      </c>
      <c r="G269" t="n">
        <v>24.45968892737918</v>
      </c>
      <c r="H269" t="n">
        <v>8.276612877650305</v>
      </c>
      <c r="I269" t="n">
        <v>850</v>
      </c>
      <c r="J269" t="n">
        <v>819</v>
      </c>
      <c r="K269" t="n">
        <v>8.333333333333334</v>
      </c>
    </row>
    <row r="270">
      <c r="A270" t="n">
        <v>142</v>
      </c>
      <c r="B270" t="inlineStr">
        <is>
          <t>Ken</t>
        </is>
      </c>
      <c r="C270" t="inlineStr">
        <is>
          <t>Town</t>
        </is>
      </c>
      <c r="D270" t="inlineStr">
        <is>
          <t>Loss</t>
        </is>
      </c>
      <c r="E270" t="n">
        <v>-25</v>
      </c>
      <c r="F270" t="n">
        <v>24.94292583017663</v>
      </c>
      <c r="G270" t="n">
        <v>24.51325447881493</v>
      </c>
      <c r="H270" t="n">
        <v>7.391218816294065</v>
      </c>
      <c r="I270" t="n">
        <v>938</v>
      </c>
      <c r="J270" t="n">
        <v>913</v>
      </c>
      <c r="K270" t="n">
        <v>7.431166072725408</v>
      </c>
    </row>
    <row r="271">
      <c r="A271" t="n">
        <v>142</v>
      </c>
      <c r="B271" t="inlineStr">
        <is>
          <t>Chelsea</t>
        </is>
      </c>
      <c r="C271" t="inlineStr">
        <is>
          <t>Town</t>
        </is>
      </c>
      <c r="D271" t="inlineStr">
        <is>
          <t>Loss</t>
        </is>
      </c>
      <c r="E271" t="n">
        <v>-24</v>
      </c>
      <c r="F271" t="n">
        <v>31.18753923435966</v>
      </c>
      <c r="G271" t="n">
        <v>30.77997592971781</v>
      </c>
      <c r="H271" t="n">
        <v>7.200597043269007</v>
      </c>
      <c r="I271" t="n">
        <v>1383</v>
      </c>
      <c r="J271" t="n">
        <v>1359</v>
      </c>
      <c r="K271" t="n">
        <v>7.237426606582821</v>
      </c>
    </row>
    <row r="272">
      <c r="A272" t="n">
        <v>142</v>
      </c>
      <c r="B272" t="inlineStr">
        <is>
          <t>Keegan</t>
        </is>
      </c>
      <c r="C272" t="inlineStr">
        <is>
          <t>Town</t>
        </is>
      </c>
      <c r="D272" t="inlineStr">
        <is>
          <t>Loss</t>
        </is>
      </c>
      <c r="E272" t="n">
        <v>-27</v>
      </c>
      <c r="F272" t="n">
        <v>26.45940057848706</v>
      </c>
      <c r="G272" t="n">
        <v>25.98665212606329</v>
      </c>
      <c r="H272" t="n">
        <v>7.748592852690487</v>
      </c>
      <c r="I272" t="n">
        <v>1004</v>
      </c>
      <c r="J272" t="n">
        <v>977</v>
      </c>
      <c r="K272" t="n">
        <v>7.794843662479086</v>
      </c>
    </row>
    <row r="273">
      <c r="A273" t="n">
        <v>142</v>
      </c>
      <c r="B273" t="inlineStr">
        <is>
          <t>Strik3r</t>
        </is>
      </c>
      <c r="C273" t="inlineStr">
        <is>
          <t>Town</t>
        </is>
      </c>
      <c r="D273" t="inlineStr">
        <is>
          <t>Loss</t>
        </is>
      </c>
      <c r="E273" t="n">
        <v>-21</v>
      </c>
      <c r="F273" t="n">
        <v>28.51516457404526</v>
      </c>
      <c r="G273" t="n">
        <v>28.15401092544288</v>
      </c>
      <c r="H273" t="n">
        <v>6.782271653006038</v>
      </c>
      <c r="I273" t="n">
        <v>1244</v>
      </c>
      <c r="J273" t="n">
        <v>1223</v>
      </c>
      <c r="K273" t="n">
        <v>6.812826220585458</v>
      </c>
    </row>
    <row r="274">
      <c r="A274" t="n">
        <v>142</v>
      </c>
      <c r="B274" t="inlineStr">
        <is>
          <t>Cyclone</t>
        </is>
      </c>
      <c r="C274" t="inlineStr">
        <is>
          <t>Town</t>
        </is>
      </c>
      <c r="D274" t="inlineStr">
        <is>
          <t>Loss</t>
        </is>
      </c>
      <c r="E274" t="n">
        <v>-25</v>
      </c>
      <c r="F274" t="n">
        <v>35.17353310373146</v>
      </c>
      <c r="G274" t="n">
        <v>34.74652082280539</v>
      </c>
      <c r="H274" t="n">
        <v>7.368563906451106</v>
      </c>
      <c r="I274" t="n">
        <v>1636</v>
      </c>
      <c r="J274" t="n">
        <v>1611</v>
      </c>
      <c r="K274" t="n">
        <v>7.408131897826777</v>
      </c>
    </row>
    <row r="275">
      <c r="A275" t="n">
        <v>142</v>
      </c>
      <c r="B275" t="inlineStr">
        <is>
          <t>Smit</t>
        </is>
      </c>
      <c r="C275" t="inlineStr">
        <is>
          <t>Town</t>
        </is>
      </c>
      <c r="D275" t="inlineStr">
        <is>
          <t>Loss</t>
        </is>
      </c>
      <c r="E275" t="n">
        <v>-18</v>
      </c>
      <c r="F275" t="n">
        <v>26.39589347125239</v>
      </c>
      <c r="G275" t="n">
        <v>26.09480248779092</v>
      </c>
      <c r="H275" t="n">
        <v>6.197431924734868</v>
      </c>
      <c r="I275" t="n">
        <v>1160</v>
      </c>
      <c r="J275" t="n">
        <v>1142</v>
      </c>
      <c r="K275" t="n">
        <v>6.22043634325196</v>
      </c>
    </row>
    <row r="276">
      <c r="A276" t="n">
        <v>142</v>
      </c>
      <c r="B276" t="inlineStr">
        <is>
          <t>Rocker</t>
        </is>
      </c>
      <c r="C276" t="inlineStr">
        <is>
          <t>Town</t>
        </is>
      </c>
      <c r="D276" t="inlineStr">
        <is>
          <t>Loss</t>
        </is>
      </c>
      <c r="E276" t="n">
        <v>-17</v>
      </c>
      <c r="F276" t="n">
        <v>34.92201993496847</v>
      </c>
      <c r="G276" t="n">
        <v>34.6502467510085</v>
      </c>
      <c r="H276" t="n">
        <v>5.890184476391048</v>
      </c>
      <c r="I276" t="n">
        <v>1772</v>
      </c>
      <c r="J276" t="n">
        <v>1755</v>
      </c>
      <c r="K276" t="n">
        <v>5.909751535489353</v>
      </c>
    </row>
    <row r="277">
      <c r="A277" t="n">
        <v>142</v>
      </c>
      <c r="B277" t="inlineStr">
        <is>
          <t>Badpants</t>
        </is>
      </c>
      <c r="C277" t="inlineStr">
        <is>
          <t>Town</t>
        </is>
      </c>
      <c r="D277" t="inlineStr">
        <is>
          <t>Loss</t>
        </is>
      </c>
      <c r="E277" t="n">
        <v>-18</v>
      </c>
      <c r="F277" t="n">
        <v>25.37414944153851</v>
      </c>
      <c r="G277" t="n">
        <v>25.07982169172521</v>
      </c>
      <c r="H277" t="n">
        <v>6.127961666139845</v>
      </c>
      <c r="I277" t="n">
        <v>1098</v>
      </c>
      <c r="J277" t="n">
        <v>1080</v>
      </c>
      <c r="K277" t="n">
        <v>6.150158246601371</v>
      </c>
    </row>
    <row r="278">
      <c r="A278" t="n">
        <v>142</v>
      </c>
      <c r="B278" t="inlineStr">
        <is>
          <t>Kden</t>
        </is>
      </c>
      <c r="C278" t="inlineStr">
        <is>
          <t>Town</t>
        </is>
      </c>
      <c r="D278" t="inlineStr">
        <is>
          <t>Loss</t>
        </is>
      </c>
      <c r="E278" t="n">
        <v>-20</v>
      </c>
      <c r="F278" t="n">
        <v>26.32387957231843</v>
      </c>
      <c r="G278" t="n">
        <v>25.99862509009935</v>
      </c>
      <c r="H278" t="n">
        <v>6.439324962667044</v>
      </c>
      <c r="I278" t="n">
        <v>1131</v>
      </c>
      <c r="J278" t="n">
        <v>1111</v>
      </c>
      <c r="K278" t="n">
        <v>6.465286714213953</v>
      </c>
    </row>
    <row r="279">
      <c r="A279" t="n">
        <v>141</v>
      </c>
      <c r="B279" t="inlineStr">
        <is>
          <t>Rocker</t>
        </is>
      </c>
      <c r="C279" t="inlineStr">
        <is>
          <t>Mafia</t>
        </is>
      </c>
      <c r="D279" t="inlineStr">
        <is>
          <t>Loss</t>
        </is>
      </c>
      <c r="E279" t="n">
        <v>-77</v>
      </c>
      <c r="F279" t="n">
        <v>36.11102342212499</v>
      </c>
      <c r="G279" t="n">
        <v>34.92201993496847</v>
      </c>
      <c r="H279" t="n">
        <v>5.909751535489353</v>
      </c>
      <c r="I279" t="n">
        <v>1849</v>
      </c>
      <c r="J279" t="n">
        <v>1772</v>
      </c>
      <c r="K279" t="n">
        <v>5.947018258214964</v>
      </c>
    </row>
    <row r="280">
      <c r="A280" t="n">
        <v>141</v>
      </c>
      <c r="B280" t="inlineStr">
        <is>
          <t>Brownkow</t>
        </is>
      </c>
      <c r="C280" t="inlineStr">
        <is>
          <t>Mafia</t>
        </is>
      </c>
      <c r="D280" t="inlineStr">
        <is>
          <t>Loss</t>
        </is>
      </c>
      <c r="E280" t="n">
        <v>-76</v>
      </c>
      <c r="F280" t="n">
        <v>35.79390616483176</v>
      </c>
      <c r="G280" t="n">
        <v>34.62667297016667</v>
      </c>
      <c r="H280" t="n">
        <v>5.856092218853719</v>
      </c>
      <c r="I280" t="n">
        <v>1833</v>
      </c>
      <c r="J280" t="n">
        <v>1757</v>
      </c>
      <c r="K280" t="n">
        <v>5.892307151376976</v>
      </c>
    </row>
    <row r="281">
      <c r="A281" t="n">
        <v>141</v>
      </c>
      <c r="B281" t="inlineStr">
        <is>
          <t>Kwix</t>
        </is>
      </c>
      <c r="C281" t="inlineStr">
        <is>
          <t>Mafia</t>
        </is>
      </c>
      <c r="D281" t="inlineStr">
        <is>
          <t>Loss</t>
        </is>
      </c>
      <c r="E281" t="n">
        <v>-93</v>
      </c>
      <c r="F281" t="n">
        <v>25.64309371873936</v>
      </c>
      <c r="G281" t="n">
        <v>24.20217244049714</v>
      </c>
      <c r="H281" t="n">
        <v>6.496833239825438</v>
      </c>
      <c r="I281" t="n">
        <v>1076</v>
      </c>
      <c r="J281" t="n">
        <v>983</v>
      </c>
      <c r="K281" t="n">
        <v>6.54694313949746</v>
      </c>
    </row>
    <row r="282">
      <c r="A282" t="n">
        <v>141</v>
      </c>
      <c r="B282" t="inlineStr">
        <is>
          <t>Cyclone</t>
        </is>
      </c>
      <c r="C282" t="inlineStr">
        <is>
          <t>Town</t>
        </is>
      </c>
      <c r="D282" t="inlineStr">
        <is>
          <t>Win</t>
        </is>
      </c>
      <c r="E282" t="n">
        <v>136</v>
      </c>
      <c r="F282" t="n">
        <v>33.29095865272242</v>
      </c>
      <c r="G282" t="n">
        <v>35.17353310373146</v>
      </c>
      <c r="H282" t="n">
        <v>7.408131897826777</v>
      </c>
      <c r="I282" t="n">
        <v>1500</v>
      </c>
      <c r="J282" t="n">
        <v>1636</v>
      </c>
      <c r="K282" t="n">
        <v>7.483528325572544</v>
      </c>
    </row>
    <row r="283">
      <c r="A283" t="n">
        <v>141</v>
      </c>
      <c r="B283" t="inlineStr">
        <is>
          <t>Kden</t>
        </is>
      </c>
      <c r="C283" t="inlineStr">
        <is>
          <t>Town</t>
        </is>
      </c>
      <c r="D283" t="inlineStr">
        <is>
          <t>Win</t>
        </is>
      </c>
      <c r="E283" t="n">
        <v>102</v>
      </c>
      <c r="F283" t="n">
        <v>24.89713836820525</v>
      </c>
      <c r="G283" t="n">
        <v>26.32387957231843</v>
      </c>
      <c r="H283" t="n">
        <v>6.465286714213953</v>
      </c>
      <c r="I283" t="n">
        <v>1029</v>
      </c>
      <c r="J283" t="n">
        <v>1131</v>
      </c>
      <c r="K283" t="n">
        <v>6.514641778802587</v>
      </c>
    </row>
    <row r="284">
      <c r="A284" t="n">
        <v>141</v>
      </c>
      <c r="B284" t="inlineStr">
        <is>
          <t>Noah</t>
        </is>
      </c>
      <c r="C284" t="inlineStr">
        <is>
          <t>Town</t>
        </is>
      </c>
      <c r="D284" t="inlineStr">
        <is>
          <t>Win</t>
        </is>
      </c>
      <c r="E284" t="n">
        <v>91</v>
      </c>
      <c r="F284" t="n">
        <v>32.26446853846927</v>
      </c>
      <c r="G284" t="n">
        <v>33.540572188281</v>
      </c>
      <c r="H284" t="n">
        <v>6.119482957210225</v>
      </c>
      <c r="I284" t="n">
        <v>1566</v>
      </c>
      <c r="J284" t="n">
        <v>1657</v>
      </c>
      <c r="K284" t="n">
        <v>6.161051992330375</v>
      </c>
    </row>
    <row r="285">
      <c r="A285" t="n">
        <v>141</v>
      </c>
      <c r="B285" t="inlineStr">
        <is>
          <t>Iln</t>
        </is>
      </c>
      <c r="C285" t="inlineStr">
        <is>
          <t>Town</t>
        </is>
      </c>
      <c r="D285" t="inlineStr">
        <is>
          <t>Win</t>
        </is>
      </c>
      <c r="E285" t="n">
        <v>89</v>
      </c>
      <c r="F285" t="n">
        <v>31.5615391541967</v>
      </c>
      <c r="G285" t="n">
        <v>32.81728710001472</v>
      </c>
      <c r="H285" t="n">
        <v>6.071152340406973</v>
      </c>
      <c r="I285" t="n">
        <v>1523</v>
      </c>
      <c r="J285" t="n">
        <v>1612</v>
      </c>
      <c r="K285" t="n">
        <v>6.111702547299685</v>
      </c>
    </row>
    <row r="286">
      <c r="A286" t="n">
        <v>141</v>
      </c>
      <c r="B286" t="inlineStr">
        <is>
          <t>Plen</t>
        </is>
      </c>
      <c r="C286" t="inlineStr">
        <is>
          <t>Town</t>
        </is>
      </c>
      <c r="D286" t="inlineStr">
        <is>
          <t>Win</t>
        </is>
      </c>
      <c r="E286" t="n">
        <v>87</v>
      </c>
      <c r="F286" t="n">
        <v>23.03512957945544</v>
      </c>
      <c r="G286" t="n">
        <v>24.24907694503122</v>
      </c>
      <c r="H286" t="n">
        <v>5.97060911154096</v>
      </c>
      <c r="I286" t="n">
        <v>953</v>
      </c>
      <c r="J286" t="n">
        <v>1040</v>
      </c>
      <c r="K286" t="n">
        <v>6.009092616937683</v>
      </c>
    </row>
    <row r="287">
      <c r="A287" t="n">
        <v>141</v>
      </c>
      <c r="B287" t="inlineStr">
        <is>
          <t>Carson</t>
        </is>
      </c>
      <c r="C287" t="inlineStr">
        <is>
          <t>Town</t>
        </is>
      </c>
      <c r="D287" t="inlineStr">
        <is>
          <t>Win</t>
        </is>
      </c>
      <c r="E287" t="n">
        <v>92</v>
      </c>
      <c r="F287" t="n">
        <v>30.42766091634218</v>
      </c>
      <c r="G287" t="n">
        <v>31.719849465609</v>
      </c>
      <c r="H287" t="n">
        <v>6.15738986386368</v>
      </c>
      <c r="I287" t="n">
        <v>1437</v>
      </c>
      <c r="J287" t="n">
        <v>1529</v>
      </c>
      <c r="K287" t="n">
        <v>6.199769661503976</v>
      </c>
    </row>
    <row r="288">
      <c r="A288" t="n">
        <v>141</v>
      </c>
      <c r="B288" t="inlineStr">
        <is>
          <t>Lofty</t>
        </is>
      </c>
      <c r="C288" t="inlineStr">
        <is>
          <t>Town</t>
        </is>
      </c>
      <c r="D288" t="inlineStr">
        <is>
          <t>Win</t>
        </is>
      </c>
      <c r="E288" t="n">
        <v>139</v>
      </c>
      <c r="F288" t="n">
        <v>26.45203678422302</v>
      </c>
      <c r="G288" t="n">
        <v>28.37686850381299</v>
      </c>
      <c r="H288" t="n">
        <v>7.489078422728272</v>
      </c>
      <c r="I288" t="n">
        <v>1027</v>
      </c>
      <c r="J288" t="n">
        <v>1166</v>
      </c>
      <c r="K288" t="n">
        <v>7.567066685847022</v>
      </c>
    </row>
    <row r="289">
      <c r="A289" t="n">
        <v>141</v>
      </c>
      <c r="B289" t="inlineStr">
        <is>
          <t>Gilbert</t>
        </is>
      </c>
      <c r="C289" t="inlineStr">
        <is>
          <t>Town</t>
        </is>
      </c>
      <c r="D289" t="inlineStr">
        <is>
          <t>Win</t>
        </is>
      </c>
      <c r="E289" t="n">
        <v>113</v>
      </c>
      <c r="F289" t="n">
        <v>27.8668725313511</v>
      </c>
      <c r="G289" t="n">
        <v>29.44071007552035</v>
      </c>
      <c r="H289" t="n">
        <v>6.784945870987561</v>
      </c>
      <c r="I289" t="n">
        <v>1197</v>
      </c>
      <c r="J289" t="n">
        <v>1310</v>
      </c>
      <c r="K289" t="n">
        <v>6.842308806938183</v>
      </c>
    </row>
    <row r="290">
      <c r="A290" t="n">
        <v>141</v>
      </c>
      <c r="B290" t="inlineStr">
        <is>
          <t>Chipper</t>
        </is>
      </c>
      <c r="C290" t="inlineStr">
        <is>
          <t>Town</t>
        </is>
      </c>
      <c r="D290" t="inlineStr">
        <is>
          <t>Win</t>
        </is>
      </c>
      <c r="E290" t="n">
        <v>107</v>
      </c>
      <c r="F290" t="n">
        <v>26.13763145971272</v>
      </c>
      <c r="G290" t="n">
        <v>27.63967778856721</v>
      </c>
      <c r="H290" t="n">
        <v>6.630990114554749</v>
      </c>
      <c r="I290" t="n">
        <v>1096</v>
      </c>
      <c r="J290" t="n">
        <v>1203</v>
      </c>
      <c r="K290" t="n">
        <v>6.684395950719285</v>
      </c>
    </row>
    <row r="291">
      <c r="A291" t="n">
        <v>141</v>
      </c>
      <c r="B291" t="inlineStr">
        <is>
          <t>Rollo</t>
        </is>
      </c>
      <c r="C291" t="inlineStr">
        <is>
          <t>Town</t>
        </is>
      </c>
      <c r="D291" t="inlineStr">
        <is>
          <t>Win</t>
        </is>
      </c>
      <c r="E291" t="n">
        <v>110</v>
      </c>
      <c r="F291" t="n">
        <v>35.62919567239629</v>
      </c>
      <c r="G291" t="n">
        <v>37.15107647985893</v>
      </c>
      <c r="H291" t="n">
        <v>6.673904762438458</v>
      </c>
      <c r="I291" t="n">
        <v>1736</v>
      </c>
      <c r="J291" t="n">
        <v>1846</v>
      </c>
      <c r="K291" t="n">
        <v>6.728394650080354</v>
      </c>
    </row>
    <row r="292">
      <c r="A292" t="n">
        <v>141</v>
      </c>
      <c r="B292" t="inlineStr">
        <is>
          <t>Mintt</t>
        </is>
      </c>
      <c r="C292" t="inlineStr">
        <is>
          <t>Town</t>
        </is>
      </c>
      <c r="D292" t="inlineStr">
        <is>
          <t>Win</t>
        </is>
      </c>
      <c r="E292" t="n">
        <v>106</v>
      </c>
      <c r="F292" t="n">
        <v>31.98803939010146</v>
      </c>
      <c r="G292" t="n">
        <v>33.46442521926626</v>
      </c>
      <c r="H292" t="n">
        <v>6.575026105614039</v>
      </c>
      <c r="I292" t="n">
        <v>1499</v>
      </c>
      <c r="J292" t="n">
        <v>1605</v>
      </c>
      <c r="K292" t="n">
        <v>6.62704001142704</v>
      </c>
    </row>
    <row r="293">
      <c r="A293" t="n">
        <v>140</v>
      </c>
      <c r="B293" t="inlineStr">
        <is>
          <t>Rollo</t>
        </is>
      </c>
      <c r="C293" t="inlineStr">
        <is>
          <t>Mafia</t>
        </is>
      </c>
      <c r="D293" t="inlineStr">
        <is>
          <t>Loss</t>
        </is>
      </c>
      <c r="E293" t="n">
        <v>-65</v>
      </c>
      <c r="F293" t="n">
        <v>36.65257895439067</v>
      </c>
      <c r="G293" t="n">
        <v>35.62919567239629</v>
      </c>
      <c r="H293" t="n">
        <v>6.728394650080354</v>
      </c>
      <c r="I293" t="n">
        <v>1801</v>
      </c>
      <c r="J293" t="n">
        <v>1736</v>
      </c>
      <c r="K293" t="n">
        <v>6.778924109249107</v>
      </c>
    </row>
    <row r="294">
      <c r="A294" t="n">
        <v>140</v>
      </c>
      <c r="B294" t="inlineStr">
        <is>
          <t>Plen</t>
        </is>
      </c>
      <c r="C294" t="inlineStr">
        <is>
          <t>Mafia</t>
        </is>
      </c>
      <c r="D294" t="inlineStr">
        <is>
          <t>Loss</t>
        </is>
      </c>
      <c r="E294" t="n">
        <v>-52</v>
      </c>
      <c r="F294" t="n">
        <v>23.84884821591297</v>
      </c>
      <c r="G294" t="n">
        <v>23.03512957945544</v>
      </c>
      <c r="H294" t="n">
        <v>6.009092616937683</v>
      </c>
      <c r="I294" t="n">
        <v>1005</v>
      </c>
      <c r="J294" t="n">
        <v>953</v>
      </c>
      <c r="K294" t="n">
        <v>6.044586105662552</v>
      </c>
    </row>
    <row r="295">
      <c r="A295" t="n">
        <v>140</v>
      </c>
      <c r="B295" t="inlineStr">
        <is>
          <t>Gilbert</t>
        </is>
      </c>
      <c r="C295" t="inlineStr">
        <is>
          <t>Mafia</t>
        </is>
      </c>
      <c r="D295" t="inlineStr">
        <is>
          <t>Loss</t>
        </is>
      </c>
      <c r="E295" t="n">
        <v>-67</v>
      </c>
      <c r="F295" t="n">
        <v>28.92576366331912</v>
      </c>
      <c r="G295" t="n">
        <v>27.8668725313511</v>
      </c>
      <c r="H295" t="n">
        <v>6.842308806938183</v>
      </c>
      <c r="I295" t="n">
        <v>1264</v>
      </c>
      <c r="J295" t="n">
        <v>1197</v>
      </c>
      <c r="K295" t="n">
        <v>6.895549065799163</v>
      </c>
    </row>
    <row r="296">
      <c r="A296" t="n">
        <v>140</v>
      </c>
      <c r="B296" t="inlineStr">
        <is>
          <t>Chelsea</t>
        </is>
      </c>
      <c r="C296" t="inlineStr">
        <is>
          <t>Town</t>
        </is>
      </c>
      <c r="D296" t="inlineStr">
        <is>
          <t>Win</t>
        </is>
      </c>
      <c r="E296" t="n">
        <v>88</v>
      </c>
      <c r="F296" t="n">
        <v>30.00054905407861</v>
      </c>
      <c r="G296" t="n">
        <v>31.18753923435966</v>
      </c>
      <c r="H296" t="n">
        <v>7.237426606582821</v>
      </c>
      <c r="I296" t="n">
        <v>1295</v>
      </c>
      <c r="J296" t="n">
        <v>1383</v>
      </c>
      <c r="K296" t="n">
        <v>7.300820804582177</v>
      </c>
    </row>
    <row r="297">
      <c r="A297" t="n">
        <v>140</v>
      </c>
      <c r="B297" t="inlineStr">
        <is>
          <t>Motr</t>
        </is>
      </c>
      <c r="C297" t="inlineStr">
        <is>
          <t>Town</t>
        </is>
      </c>
      <c r="D297" t="inlineStr">
        <is>
          <t>Win</t>
        </is>
      </c>
      <c r="E297" t="n">
        <v>80</v>
      </c>
      <c r="F297" t="n">
        <v>27.83886284144565</v>
      </c>
      <c r="G297" t="n">
        <v>28.93205167931885</v>
      </c>
      <c r="H297" t="n">
        <v>6.950454391475358</v>
      </c>
      <c r="I297" t="n">
        <v>1178</v>
      </c>
      <c r="J297" t="n">
        <v>1258</v>
      </c>
      <c r="K297" t="n">
        <v>7.006356389035681</v>
      </c>
    </row>
    <row r="298">
      <c r="A298" t="n">
        <v>140</v>
      </c>
      <c r="B298" t="inlineStr">
        <is>
          <t>Siggy</t>
        </is>
      </c>
      <c r="C298" t="inlineStr">
        <is>
          <t>Town</t>
        </is>
      </c>
      <c r="D298" t="inlineStr">
        <is>
          <t>Win</t>
        </is>
      </c>
      <c r="E298" t="n">
        <v>99</v>
      </c>
      <c r="F298" t="n">
        <v>28.3573548342086</v>
      </c>
      <c r="G298" t="n">
        <v>29.69023946927743</v>
      </c>
      <c r="H298" t="n">
        <v>7.660932985824246</v>
      </c>
      <c r="I298" t="n">
        <v>1139</v>
      </c>
      <c r="J298" t="n">
        <v>1238</v>
      </c>
      <c r="K298" t="n">
        <v>7.736577242209589</v>
      </c>
    </row>
    <row r="299">
      <c r="A299" t="n">
        <v>140</v>
      </c>
      <c r="B299" t="inlineStr">
        <is>
          <t>Carson</t>
        </is>
      </c>
      <c r="C299" t="inlineStr">
        <is>
          <t>Town</t>
        </is>
      </c>
      <c r="D299" t="inlineStr">
        <is>
          <t>Win</t>
        </is>
      </c>
      <c r="E299" t="n">
        <v>63</v>
      </c>
      <c r="F299" t="n">
        <v>29.5607955669646</v>
      </c>
      <c r="G299" t="n">
        <v>30.42766091634218</v>
      </c>
      <c r="H299" t="n">
        <v>6.199769661503976</v>
      </c>
      <c r="I299" t="n">
        <v>1374</v>
      </c>
      <c r="J299" t="n">
        <v>1437</v>
      </c>
      <c r="K299" t="n">
        <v>6.23891261357759</v>
      </c>
    </row>
    <row r="300">
      <c r="A300" t="n">
        <v>140</v>
      </c>
      <c r="B300" t="inlineStr">
        <is>
          <t>Rocker</t>
        </is>
      </c>
      <c r="C300" t="inlineStr">
        <is>
          <t>Town</t>
        </is>
      </c>
      <c r="D300" t="inlineStr">
        <is>
          <t>Win</t>
        </is>
      </c>
      <c r="E300" t="n">
        <v>58</v>
      </c>
      <c r="F300" t="n">
        <v>35.31423045389314</v>
      </c>
      <c r="G300" t="n">
        <v>36.11102342212499</v>
      </c>
      <c r="H300" t="n">
        <v>5.947018258214964</v>
      </c>
      <c r="I300" t="n">
        <v>1791</v>
      </c>
      <c r="J300" t="n">
        <v>1849</v>
      </c>
      <c r="K300" t="n">
        <v>5.981373483516547</v>
      </c>
    </row>
    <row r="301">
      <c r="A301" t="n">
        <v>140</v>
      </c>
      <c r="B301" t="inlineStr">
        <is>
          <t>Noah</t>
        </is>
      </c>
      <c r="C301" t="inlineStr">
        <is>
          <t>Town</t>
        </is>
      </c>
      <c r="D301" t="inlineStr">
        <is>
          <t>Win</t>
        </is>
      </c>
      <c r="E301" t="n">
        <v>63</v>
      </c>
      <c r="F301" t="n">
        <v>31.40853610960445</v>
      </c>
      <c r="G301" t="n">
        <v>32.26446853846927</v>
      </c>
      <c r="H301" t="n">
        <v>6.161051992330375</v>
      </c>
      <c r="I301" t="n">
        <v>1503</v>
      </c>
      <c r="J301" t="n">
        <v>1566</v>
      </c>
      <c r="K301" t="n">
        <v>6.199434969778794</v>
      </c>
    </row>
    <row r="302">
      <c r="A302" t="n">
        <v>140</v>
      </c>
      <c r="B302" t="inlineStr">
        <is>
          <t>Whyin</t>
        </is>
      </c>
      <c r="C302" t="inlineStr">
        <is>
          <t>Town</t>
        </is>
      </c>
      <c r="D302" t="inlineStr">
        <is>
          <t>Win</t>
        </is>
      </c>
      <c r="E302" t="n">
        <v>73</v>
      </c>
      <c r="F302" t="n">
        <v>28.9712703124022</v>
      </c>
      <c r="G302" t="n">
        <v>29.97588520936135</v>
      </c>
      <c r="H302" t="n">
        <v>6.667346331403281</v>
      </c>
      <c r="I302" t="n">
        <v>1285</v>
      </c>
      <c r="J302" t="n">
        <v>1358</v>
      </c>
      <c r="K302" t="n">
        <v>6.716461614670901</v>
      </c>
    </row>
    <row r="303">
      <c r="A303" t="n">
        <v>140</v>
      </c>
      <c r="B303" t="inlineStr">
        <is>
          <t>Steep</t>
        </is>
      </c>
      <c r="C303" t="inlineStr">
        <is>
          <t>Town</t>
        </is>
      </c>
      <c r="D303" t="inlineStr">
        <is>
          <t>Win</t>
        </is>
      </c>
      <c r="E303" t="n">
        <v>112</v>
      </c>
      <c r="F303" t="n">
        <v>23.78833327394493</v>
      </c>
      <c r="G303" t="n">
        <v>25.30591562407224</v>
      </c>
      <c r="H303" t="n">
        <v>8.163161678793172</v>
      </c>
      <c r="I303" t="n">
        <v>776</v>
      </c>
      <c r="J303" t="n">
        <v>888</v>
      </c>
      <c r="K303" t="n">
        <v>8.255305200856052</v>
      </c>
    </row>
    <row r="304">
      <c r="A304" t="n">
        <v>140</v>
      </c>
      <c r="B304" t="inlineStr">
        <is>
          <t>Cyclone</t>
        </is>
      </c>
      <c r="C304" t="inlineStr">
        <is>
          <t>Town</t>
        </is>
      </c>
      <c r="D304" t="inlineStr">
        <is>
          <t>Win</t>
        </is>
      </c>
      <c r="E304" t="n">
        <v>93</v>
      </c>
      <c r="F304" t="n">
        <v>32.02027758727154</v>
      </c>
      <c r="G304" t="n">
        <v>33.29095865272242</v>
      </c>
      <c r="H304" t="n">
        <v>7.483528325572544</v>
      </c>
      <c r="I304" t="n">
        <v>1407</v>
      </c>
      <c r="J304" t="n">
        <v>1500</v>
      </c>
      <c r="K304" t="n">
        <v>7.553862727767881</v>
      </c>
    </row>
    <row r="305">
      <c r="A305" t="n">
        <v>140</v>
      </c>
      <c r="B305" t="inlineStr">
        <is>
          <t>Cj</t>
        </is>
      </c>
      <c r="C305" t="inlineStr">
        <is>
          <t>Town</t>
        </is>
      </c>
      <c r="D305" t="inlineStr">
        <is>
          <t>Win</t>
        </is>
      </c>
      <c r="E305" t="n">
        <v>87</v>
      </c>
      <c r="F305" t="n">
        <v>29.87777354318423</v>
      </c>
      <c r="G305" t="n">
        <v>31.06490751690873</v>
      </c>
      <c r="H305" t="n">
        <v>7.237857171214674</v>
      </c>
      <c r="I305" t="n">
        <v>1287</v>
      </c>
      <c r="J305" t="n">
        <v>1374</v>
      </c>
      <c r="K305" t="n">
        <v>7.30126308933409</v>
      </c>
    </row>
    <row r="306">
      <c r="A306" t="n">
        <v>139</v>
      </c>
      <c r="B306" t="inlineStr">
        <is>
          <t>Badpants</t>
        </is>
      </c>
      <c r="C306" t="inlineStr">
        <is>
          <t>Mafia</t>
        </is>
      </c>
      <c r="D306" t="inlineStr">
        <is>
          <t>Loss</t>
        </is>
      </c>
      <c r="E306" t="n">
        <v>-61</v>
      </c>
      <c r="F306" t="n">
        <v>26.3186260638702</v>
      </c>
      <c r="G306" t="n">
        <v>25.37414944153851</v>
      </c>
      <c r="H306" t="n">
        <v>6.150158246601371</v>
      </c>
      <c r="I306" t="n">
        <v>1159</v>
      </c>
      <c r="J306" t="n">
        <v>1098</v>
      </c>
      <c r="K306" t="n">
        <v>6.18759882539681</v>
      </c>
    </row>
    <row r="307">
      <c r="A307" t="n">
        <v>139</v>
      </c>
      <c r="B307" t="inlineStr">
        <is>
          <t>Smit</t>
        </is>
      </c>
      <c r="C307" t="inlineStr">
        <is>
          <t>Mafia</t>
        </is>
      </c>
      <c r="D307" t="inlineStr">
        <is>
          <t>Loss</t>
        </is>
      </c>
      <c r="E307" t="n">
        <v>-62</v>
      </c>
      <c r="F307" t="n">
        <v>27.36235930799044</v>
      </c>
      <c r="G307" t="n">
        <v>26.39589347125239</v>
      </c>
      <c r="H307" t="n">
        <v>6.22043634325196</v>
      </c>
      <c r="I307" t="n">
        <v>1222</v>
      </c>
      <c r="J307" t="n">
        <v>1160</v>
      </c>
      <c r="K307" t="n">
        <v>6.259232529878365</v>
      </c>
    </row>
    <row r="308">
      <c r="A308" t="n">
        <v>139</v>
      </c>
      <c r="B308" t="inlineStr">
        <is>
          <t>Lou</t>
        </is>
      </c>
      <c r="C308" t="inlineStr">
        <is>
          <t>Mafia</t>
        </is>
      </c>
      <c r="D308" t="inlineStr">
        <is>
          <t>Loss</t>
        </is>
      </c>
      <c r="E308" t="n">
        <v>-60</v>
      </c>
      <c r="F308" t="n">
        <v>30.9772865122311</v>
      </c>
      <c r="G308" t="n">
        <v>30.04879324131726</v>
      </c>
      <c r="H308" t="n">
        <v>6.098540461466621</v>
      </c>
      <c r="I308" t="n">
        <v>1481</v>
      </c>
      <c r="J308" t="n">
        <v>1421</v>
      </c>
      <c r="K308" t="n">
        <v>6.135005352190947</v>
      </c>
    </row>
    <row r="309">
      <c r="A309" t="n">
        <v>139</v>
      </c>
      <c r="B309" t="inlineStr">
        <is>
          <t>Iln</t>
        </is>
      </c>
      <c r="C309" t="inlineStr">
        <is>
          <t>Town</t>
        </is>
      </c>
      <c r="D309" t="inlineStr">
        <is>
          <t>Win</t>
        </is>
      </c>
      <c r="E309" t="n">
        <v>67</v>
      </c>
      <c r="F309" t="n">
        <v>30.62898371118727</v>
      </c>
      <c r="G309" t="n">
        <v>31.5615391541967</v>
      </c>
      <c r="H309" t="n">
        <v>6.111702547299685</v>
      </c>
      <c r="I309" t="n">
        <v>1456</v>
      </c>
      <c r="J309" t="n">
        <v>1523</v>
      </c>
      <c r="K309" t="n">
        <v>6.148414634049983</v>
      </c>
    </row>
    <row r="310">
      <c r="A310" t="n">
        <v>139</v>
      </c>
      <c r="B310" t="inlineStr">
        <is>
          <t>Gilbert</t>
        </is>
      </c>
      <c r="C310" t="inlineStr">
        <is>
          <t>Town</t>
        </is>
      </c>
      <c r="D310" t="inlineStr">
        <is>
          <t>Win</t>
        </is>
      </c>
      <c r="E310" t="n">
        <v>87</v>
      </c>
      <c r="F310" t="n">
        <v>27.73459301279643</v>
      </c>
      <c r="G310" t="n">
        <v>28.92576366331912</v>
      </c>
      <c r="H310" t="n">
        <v>6.895549065799163</v>
      </c>
      <c r="I310" t="n">
        <v>1177</v>
      </c>
      <c r="J310" t="n">
        <v>1264</v>
      </c>
      <c r="K310" t="n">
        <v>6.94904749345255</v>
      </c>
    </row>
    <row r="311">
      <c r="A311" t="n">
        <v>139</v>
      </c>
      <c r="B311" t="inlineStr">
        <is>
          <t>Streety</t>
        </is>
      </c>
      <c r="C311" t="inlineStr">
        <is>
          <t>Town</t>
        </is>
      </c>
      <c r="D311" t="inlineStr">
        <is>
          <t>Win</t>
        </is>
      </c>
      <c r="E311" t="n">
        <v>90</v>
      </c>
      <c r="F311" t="n">
        <v>32.61319242010686</v>
      </c>
      <c r="G311" t="n">
        <v>33.8507052100481</v>
      </c>
      <c r="H311" t="n">
        <v>7.026245111679128</v>
      </c>
      <c r="I311" t="n">
        <v>1495</v>
      </c>
      <c r="J311" t="n">
        <v>1585</v>
      </c>
      <c r="K311" t="n">
        <v>7.082960499264431</v>
      </c>
    </row>
    <row r="312">
      <c r="A312" t="n">
        <v>139</v>
      </c>
      <c r="B312" t="inlineStr">
        <is>
          <t>Brownkow</t>
        </is>
      </c>
      <c r="C312" t="inlineStr">
        <is>
          <t>Town</t>
        </is>
      </c>
      <c r="D312" t="inlineStr">
        <is>
          <t>Win</t>
        </is>
      </c>
      <c r="E312" t="n">
        <v>62</v>
      </c>
      <c r="F312" t="n">
        <v>34.92786281436219</v>
      </c>
      <c r="G312" t="n">
        <v>35.79390616483176</v>
      </c>
      <c r="H312" t="n">
        <v>5.892307151376976</v>
      </c>
      <c r="I312" t="n">
        <v>1771</v>
      </c>
      <c r="J312" t="n">
        <v>1833</v>
      </c>
      <c r="K312" t="n">
        <v>5.925039106474632</v>
      </c>
    </row>
    <row r="313">
      <c r="A313" t="n">
        <v>139</v>
      </c>
      <c r="B313" t="inlineStr">
        <is>
          <t>Cyclone</t>
        </is>
      </c>
      <c r="C313" t="inlineStr">
        <is>
          <t>Town</t>
        </is>
      </c>
      <c r="D313" t="inlineStr">
        <is>
          <t>Win</t>
        </is>
      </c>
      <c r="E313" t="n">
        <v>105</v>
      </c>
      <c r="F313" t="n">
        <v>30.58619250611009</v>
      </c>
      <c r="G313" t="n">
        <v>32.02027758727154</v>
      </c>
      <c r="H313" t="n">
        <v>7.553862727767881</v>
      </c>
      <c r="I313" t="n">
        <v>1302</v>
      </c>
      <c r="J313" t="n">
        <v>1407</v>
      </c>
      <c r="K313" t="n">
        <v>7.624886151465814</v>
      </c>
    </row>
    <row r="314">
      <c r="A314" t="n">
        <v>139</v>
      </c>
      <c r="B314" t="inlineStr">
        <is>
          <t>Chelsea</t>
        </is>
      </c>
      <c r="C314" t="inlineStr">
        <is>
          <t>Town</t>
        </is>
      </c>
      <c r="D314" t="inlineStr">
        <is>
          <t>Win</t>
        </is>
      </c>
      <c r="E314" t="n">
        <v>97</v>
      </c>
      <c r="F314" t="n">
        <v>28.66264468226502</v>
      </c>
      <c r="G314" t="n">
        <v>30.00054905407861</v>
      </c>
      <c r="H314" t="n">
        <v>7.300820804582177</v>
      </c>
      <c r="I314" t="n">
        <v>1198</v>
      </c>
      <c r="J314" t="n">
        <v>1295</v>
      </c>
      <c r="K314" t="n">
        <v>7.364711792119898</v>
      </c>
    </row>
    <row r="315">
      <c r="A315" t="n">
        <v>139</v>
      </c>
      <c r="B315" t="inlineStr">
        <is>
          <t>Ken</t>
        </is>
      </c>
      <c r="C315" t="inlineStr">
        <is>
          <t>Town</t>
        </is>
      </c>
      <c r="D315" t="inlineStr">
        <is>
          <t>Win</t>
        </is>
      </c>
      <c r="E315" t="n">
        <v>101</v>
      </c>
      <c r="F315" t="n">
        <v>23.55591800917731</v>
      </c>
      <c r="G315" t="n">
        <v>24.94292583017663</v>
      </c>
      <c r="H315" t="n">
        <v>7.431166072725408</v>
      </c>
      <c r="I315" t="n">
        <v>837</v>
      </c>
      <c r="J315" t="n">
        <v>938</v>
      </c>
      <c r="K315" t="n">
        <v>7.498667413647751</v>
      </c>
    </row>
    <row r="316">
      <c r="A316" t="n">
        <v>139</v>
      </c>
      <c r="B316" t="inlineStr">
        <is>
          <t>Motr</t>
        </is>
      </c>
      <c r="C316" t="inlineStr">
        <is>
          <t>Town</t>
        </is>
      </c>
      <c r="D316" t="inlineStr">
        <is>
          <t>Win</t>
        </is>
      </c>
      <c r="E316" t="n">
        <v>89</v>
      </c>
      <c r="F316" t="n">
        <v>26.60846207428545</v>
      </c>
      <c r="G316" t="n">
        <v>27.83886284144565</v>
      </c>
      <c r="H316" t="n">
        <v>7.006356389035681</v>
      </c>
      <c r="I316" t="n">
        <v>1089</v>
      </c>
      <c r="J316" t="n">
        <v>1178</v>
      </c>
      <c r="K316" t="n">
        <v>7.062574111727868</v>
      </c>
    </row>
    <row r="317">
      <c r="A317" t="n">
        <v>139</v>
      </c>
      <c r="B317" t="inlineStr">
        <is>
          <t>Kwix</t>
        </is>
      </c>
      <c r="C317" t="inlineStr">
        <is>
          <t>Town</t>
        </is>
      </c>
      <c r="D317" t="inlineStr">
        <is>
          <t>Win</t>
        </is>
      </c>
      <c r="E317" t="n">
        <v>78</v>
      </c>
      <c r="F317" t="n">
        <v>24.5710105120604</v>
      </c>
      <c r="G317" t="n">
        <v>25.64309371873936</v>
      </c>
      <c r="H317" t="n">
        <v>6.54694313949746</v>
      </c>
      <c r="I317" t="n">
        <v>998</v>
      </c>
      <c r="J317" t="n">
        <v>1076</v>
      </c>
      <c r="K317" t="n">
        <v>6.592460544612962</v>
      </c>
    </row>
    <row r="318">
      <c r="A318" t="n">
        <v>139</v>
      </c>
      <c r="B318" t="inlineStr">
        <is>
          <t>Kden</t>
        </is>
      </c>
      <c r="C318" t="inlineStr">
        <is>
          <t>Town</t>
        </is>
      </c>
      <c r="D318" t="inlineStr">
        <is>
          <t>Win</t>
        </is>
      </c>
      <c r="E318" t="n">
        <v>77</v>
      </c>
      <c r="F318" t="n">
        <v>23.83575829476936</v>
      </c>
      <c r="G318" t="n">
        <v>24.89713836820525</v>
      </c>
      <c r="H318" t="n">
        <v>6.514641778802587</v>
      </c>
      <c r="I318" t="n">
        <v>952</v>
      </c>
      <c r="J318" t="n">
        <v>1029</v>
      </c>
      <c r="K318" t="n">
        <v>6.559462502294665</v>
      </c>
    </row>
    <row r="319">
      <c r="A319" t="n">
        <v>139</v>
      </c>
      <c r="B319" t="inlineStr">
        <is>
          <t>Decode</t>
        </is>
      </c>
      <c r="C319" t="inlineStr">
        <is>
          <t>Town</t>
        </is>
      </c>
      <c r="D319" t="inlineStr">
        <is>
          <t>Win</t>
        </is>
      </c>
      <c r="E319" t="n">
        <v>105</v>
      </c>
      <c r="F319" t="n">
        <v>19.75419138898809</v>
      </c>
      <c r="G319" t="n">
        <v>21.18139360537483</v>
      </c>
      <c r="H319" t="n">
        <v>7.536058429470833</v>
      </c>
      <c r="I319" t="n">
        <v>567</v>
      </c>
      <c r="J319" t="n">
        <v>672</v>
      </c>
      <c r="K319" t="n">
        <v>7.606563238963936</v>
      </c>
    </row>
    <row r="320">
      <c r="A320" t="n">
        <v>138</v>
      </c>
      <c r="B320" t="inlineStr">
        <is>
          <t>Noah</t>
        </is>
      </c>
      <c r="C320" t="inlineStr">
        <is>
          <t>Mafia</t>
        </is>
      </c>
      <c r="D320" t="inlineStr">
        <is>
          <t>Win</t>
        </is>
      </c>
      <c r="E320" t="n">
        <v>28</v>
      </c>
      <c r="F320" t="n">
        <v>31.02777768921504</v>
      </c>
      <c r="G320" t="n">
        <v>31.40853610960445</v>
      </c>
      <c r="H320" t="n">
        <v>6.199434969778794</v>
      </c>
      <c r="I320" t="n">
        <v>1475</v>
      </c>
      <c r="J320" t="n">
        <v>1503</v>
      </c>
      <c r="K320" t="n">
        <v>6.226452455103141</v>
      </c>
    </row>
    <row r="321">
      <c r="A321" t="n">
        <v>138</v>
      </c>
      <c r="B321" t="inlineStr">
        <is>
          <t>Kden</t>
        </is>
      </c>
      <c r="C321" t="inlineStr">
        <is>
          <t>Mafia</t>
        </is>
      </c>
      <c r="D321" t="inlineStr">
        <is>
          <t>Win</t>
        </is>
      </c>
      <c r="E321" t="n">
        <v>33</v>
      </c>
      <c r="F321" t="n">
        <v>23.40902774025224</v>
      </c>
      <c r="G321" t="n">
        <v>23.83575829476936</v>
      </c>
      <c r="H321" t="n">
        <v>6.559462502294665</v>
      </c>
      <c r="I321" t="n">
        <v>919</v>
      </c>
      <c r="J321" t="n">
        <v>952</v>
      </c>
      <c r="K321" t="n">
        <v>6.591721073464829</v>
      </c>
    </row>
    <row r="322">
      <c r="A322" t="n">
        <v>138</v>
      </c>
      <c r="B322" t="inlineStr">
        <is>
          <t>Rocker</t>
        </is>
      </c>
      <c r="C322" t="inlineStr">
        <is>
          <t>Mafia</t>
        </is>
      </c>
      <c r="D322" t="inlineStr">
        <is>
          <t>Win</t>
        </is>
      </c>
      <c r="E322" t="n">
        <v>26</v>
      </c>
      <c r="F322" t="n">
        <v>34.96000892267431</v>
      </c>
      <c r="G322" t="n">
        <v>35.31423045389314</v>
      </c>
      <c r="H322" t="n">
        <v>5.981373483516547</v>
      </c>
      <c r="I322" t="n">
        <v>1765</v>
      </c>
      <c r="J322" t="n">
        <v>1791</v>
      </c>
      <c r="K322" t="n">
        <v>6.005500394727492</v>
      </c>
    </row>
    <row r="323">
      <c r="A323" t="n">
        <v>138</v>
      </c>
      <c r="B323" t="inlineStr">
        <is>
          <t>Iln</t>
        </is>
      </c>
      <c r="C323" t="inlineStr">
        <is>
          <t>Town</t>
        </is>
      </c>
      <c r="D323" t="inlineStr">
        <is>
          <t>Loss</t>
        </is>
      </c>
      <c r="E323" t="n">
        <v>-22</v>
      </c>
      <c r="F323" t="n">
        <v>31.00344505409497</v>
      </c>
      <c r="G323" t="n">
        <v>30.62898371118727</v>
      </c>
      <c r="H323" t="n">
        <v>6.148414634049983</v>
      </c>
      <c r="I323" t="n">
        <v>1478</v>
      </c>
      <c r="J323" t="n">
        <v>1456</v>
      </c>
      <c r="K323" t="n">
        <v>6.174737097187499</v>
      </c>
    </row>
    <row r="324">
      <c r="A324" t="n">
        <v>138</v>
      </c>
      <c r="B324" t="inlineStr">
        <is>
          <t>Kwix</t>
        </is>
      </c>
      <c r="C324" t="inlineStr">
        <is>
          <t>Town</t>
        </is>
      </c>
      <c r="D324" t="inlineStr">
        <is>
          <t>Loss</t>
        </is>
      </c>
      <c r="E324" t="n">
        <v>-26</v>
      </c>
      <c r="F324" t="n">
        <v>25.00208962293646</v>
      </c>
      <c r="G324" t="n">
        <v>24.5710105120604</v>
      </c>
      <c r="H324" t="n">
        <v>6.592460544612962</v>
      </c>
      <c r="I324" t="n">
        <v>1024</v>
      </c>
      <c r="J324" t="n">
        <v>998</v>
      </c>
      <c r="K324" t="n">
        <v>6.625229780566301</v>
      </c>
    </row>
    <row r="325">
      <c r="A325" t="n">
        <v>138</v>
      </c>
      <c r="B325" t="inlineStr">
        <is>
          <t>Mintt</t>
        </is>
      </c>
      <c r="C325" t="inlineStr">
        <is>
          <t>Town</t>
        </is>
      </c>
      <c r="D325" t="inlineStr">
        <is>
          <t>Loss</t>
        </is>
      </c>
      <c r="E325" t="n">
        <v>-26</v>
      </c>
      <c r="F325" t="n">
        <v>32.42369985322252</v>
      </c>
      <c r="G325" t="n">
        <v>31.98803939010146</v>
      </c>
      <c r="H325" t="n">
        <v>6.62704001142704</v>
      </c>
      <c r="I325" t="n">
        <v>1525</v>
      </c>
      <c r="J325" t="n">
        <v>1499</v>
      </c>
      <c r="K325" t="n">
        <v>6.660349983505007</v>
      </c>
    </row>
    <row r="326">
      <c r="A326" t="n">
        <v>138</v>
      </c>
      <c r="B326" t="inlineStr">
        <is>
          <t>Motr</t>
        </is>
      </c>
      <c r="C326" t="inlineStr">
        <is>
          <t>Town</t>
        </is>
      </c>
      <c r="D326" t="inlineStr">
        <is>
          <t>Loss</t>
        </is>
      </c>
      <c r="E326" t="n">
        <v>-30</v>
      </c>
      <c r="F326" t="n">
        <v>27.10396961502662</v>
      </c>
      <c r="G326" t="n">
        <v>26.60846207428545</v>
      </c>
      <c r="H326" t="n">
        <v>7.062574111727868</v>
      </c>
      <c r="I326" t="n">
        <v>1119</v>
      </c>
      <c r="J326" t="n">
        <v>1089</v>
      </c>
      <c r="K326" t="n">
        <v>7.103199666241817</v>
      </c>
    </row>
    <row r="327">
      <c r="A327" t="n">
        <v>138</v>
      </c>
      <c r="B327" t="inlineStr">
        <is>
          <t>Brownkow</t>
        </is>
      </c>
      <c r="C327" t="inlineStr">
        <is>
          <t>Town</t>
        </is>
      </c>
      <c r="D327" t="inlineStr">
        <is>
          <t>Loss</t>
        </is>
      </c>
      <c r="E327" t="n">
        <v>-21</v>
      </c>
      <c r="F327" t="n">
        <v>35.2753884967309</v>
      </c>
      <c r="G327" t="n">
        <v>34.92786281436219</v>
      </c>
      <c r="H327" t="n">
        <v>5.925039106474632</v>
      </c>
      <c r="I327" t="n">
        <v>1792</v>
      </c>
      <c r="J327" t="n">
        <v>1771</v>
      </c>
      <c r="K327" t="n">
        <v>5.948452721378887</v>
      </c>
    </row>
    <row r="328">
      <c r="A328" t="n">
        <v>138</v>
      </c>
      <c r="B328" t="inlineStr">
        <is>
          <t>Chelsea</t>
        </is>
      </c>
      <c r="C328" t="inlineStr">
        <is>
          <t>Town</t>
        </is>
      </c>
      <c r="D328" t="inlineStr">
        <is>
          <t>Loss</t>
        </is>
      </c>
      <c r="E328" t="n">
        <v>-32</v>
      </c>
      <c r="F328" t="n">
        <v>29.20201524389736</v>
      </c>
      <c r="G328" t="n">
        <v>28.66264468226502</v>
      </c>
      <c r="H328" t="n">
        <v>7.364711792119898</v>
      </c>
      <c r="I328" t="n">
        <v>1230</v>
      </c>
      <c r="J328" t="n">
        <v>1198</v>
      </c>
      <c r="K328" t="n">
        <v>7.410986260442476</v>
      </c>
    </row>
    <row r="329">
      <c r="A329" t="n">
        <v>138</v>
      </c>
      <c r="B329" t="inlineStr">
        <is>
          <t>Ken</t>
        </is>
      </c>
      <c r="C329" t="inlineStr">
        <is>
          <t>Town</t>
        </is>
      </c>
      <c r="D329" t="inlineStr">
        <is>
          <t>Loss</t>
        </is>
      </c>
      <c r="E329" t="n">
        <v>-33</v>
      </c>
      <c r="F329" t="n">
        <v>24.1153542669494</v>
      </c>
      <c r="G329" t="n">
        <v>23.55591800917731</v>
      </c>
      <c r="H329" t="n">
        <v>7.498667413647751</v>
      </c>
      <c r="I329" t="n">
        <v>870</v>
      </c>
      <c r="J329" t="n">
        <v>837</v>
      </c>
      <c r="K329" t="n">
        <v>7.547604097593408</v>
      </c>
    </row>
    <row r="330">
      <c r="A330" t="n">
        <v>138</v>
      </c>
      <c r="B330" t="inlineStr">
        <is>
          <t>Carson</t>
        </is>
      </c>
      <c r="C330" t="inlineStr">
        <is>
          <t>Town</t>
        </is>
      </c>
      <c r="D330" t="inlineStr">
        <is>
          <t>Loss</t>
        </is>
      </c>
      <c r="E330" t="n">
        <v>-23</v>
      </c>
      <c r="F330" t="n">
        <v>29.94646345416503</v>
      </c>
      <c r="G330" t="n">
        <v>29.5607955669646</v>
      </c>
      <c r="H330" t="n">
        <v>6.23891261357759</v>
      </c>
      <c r="I330" t="n">
        <v>1397</v>
      </c>
      <c r="J330" t="n">
        <v>1374</v>
      </c>
      <c r="K330" t="n">
        <v>6.266475850026351</v>
      </c>
    </row>
    <row r="331">
      <c r="A331" t="n">
        <v>138</v>
      </c>
      <c r="B331" t="inlineStr">
        <is>
          <t>Strik3r</t>
        </is>
      </c>
      <c r="C331" t="inlineStr">
        <is>
          <t>Town</t>
        </is>
      </c>
      <c r="D331" t="inlineStr">
        <is>
          <t>Loss</t>
        </is>
      </c>
      <c r="E331" t="n">
        <v>-28</v>
      </c>
      <c r="F331" t="n">
        <v>28.97586746005173</v>
      </c>
      <c r="G331" t="n">
        <v>28.51516457404526</v>
      </c>
      <c r="H331" t="n">
        <v>6.812826220585458</v>
      </c>
      <c r="I331" t="n">
        <v>1272</v>
      </c>
      <c r="J331" t="n">
        <v>1244</v>
      </c>
      <c r="K331" t="n">
        <v>6.849140947653321</v>
      </c>
    </row>
    <row r="332">
      <c r="A332" t="n">
        <v>138</v>
      </c>
      <c r="B332" t="inlineStr">
        <is>
          <t>Maz</t>
        </is>
      </c>
      <c r="C332" t="inlineStr">
        <is>
          <t>Town</t>
        </is>
      </c>
      <c r="D332" t="inlineStr">
        <is>
          <t>Loss</t>
        </is>
      </c>
      <c r="E332" t="n">
        <v>-36</v>
      </c>
      <c r="F332" t="n">
        <v>22.19162489286647</v>
      </c>
      <c r="G332" t="n">
        <v>21.58009669604559</v>
      </c>
      <c r="H332" t="n">
        <v>7.835171335698701</v>
      </c>
      <c r="I332" t="n">
        <v>704</v>
      </c>
      <c r="J332" t="n">
        <v>668</v>
      </c>
      <c r="K332" t="n">
        <v>7.891240815570118</v>
      </c>
    </row>
    <row r="333">
      <c r="A333" t="n">
        <v>137</v>
      </c>
      <c r="B333" t="inlineStr">
        <is>
          <t>Plen</t>
        </is>
      </c>
      <c r="C333" t="inlineStr">
        <is>
          <t>Mafia</t>
        </is>
      </c>
      <c r="D333" t="inlineStr">
        <is>
          <t>Loss</t>
        </is>
      </c>
      <c r="E333" t="n">
        <v>-41</v>
      </c>
      <c r="F333" t="n">
        <v>24.49072745717381</v>
      </c>
      <c r="G333" t="n">
        <v>23.84884821591297</v>
      </c>
      <c r="H333" t="n">
        <v>6.044586105662552</v>
      </c>
      <c r="I333" t="n">
        <v>1046</v>
      </c>
      <c r="J333" t="n">
        <v>1005</v>
      </c>
      <c r="K333" t="n">
        <v>6.076574703786974</v>
      </c>
    </row>
    <row r="334">
      <c r="A334" t="n">
        <v>137</v>
      </c>
      <c r="B334" t="inlineStr">
        <is>
          <t>Maz</t>
        </is>
      </c>
      <c r="C334" t="inlineStr">
        <is>
          <t>Mafia</t>
        </is>
      </c>
      <c r="D334" t="inlineStr">
        <is>
          <t>Loss</t>
        </is>
      </c>
      <c r="E334" t="n">
        <v>-68</v>
      </c>
      <c r="F334" t="n">
        <v>23.29422363929214</v>
      </c>
      <c r="G334" t="n">
        <v>22.19162489286647</v>
      </c>
      <c r="H334" t="n">
        <v>7.891240815570118</v>
      </c>
      <c r="I334" t="n">
        <v>772</v>
      </c>
      <c r="J334" t="n">
        <v>704</v>
      </c>
      <c r="K334" t="n">
        <v>7.964627972757929</v>
      </c>
    </row>
    <row r="335">
      <c r="A335" t="n">
        <v>137</v>
      </c>
      <c r="B335" t="inlineStr">
        <is>
          <t>Carson</t>
        </is>
      </c>
      <c r="C335" t="inlineStr">
        <is>
          <t>Mafia</t>
        </is>
      </c>
      <c r="D335" t="inlineStr">
        <is>
          <t>Loss</t>
        </is>
      </c>
      <c r="E335" t="n">
        <v>-43</v>
      </c>
      <c r="F335" t="n">
        <v>30.63690153461073</v>
      </c>
      <c r="G335" t="n">
        <v>29.94646345416503</v>
      </c>
      <c r="H335" t="n">
        <v>6.266475850026351</v>
      </c>
      <c r="I335" t="n">
        <v>1440</v>
      </c>
      <c r="J335" t="n">
        <v>1397</v>
      </c>
      <c r="K335" t="n">
        <v>6.302294308520167</v>
      </c>
    </row>
    <row r="336">
      <c r="A336" t="n">
        <v>137</v>
      </c>
      <c r="B336" t="inlineStr">
        <is>
          <t>Rocker</t>
        </is>
      </c>
      <c r="C336" t="inlineStr">
        <is>
          <t>Town</t>
        </is>
      </c>
      <c r="D336" t="inlineStr">
        <is>
          <t>Win</t>
        </is>
      </c>
      <c r="E336" t="n">
        <v>47</v>
      </c>
      <c r="F336" t="n">
        <v>34.32649379090647</v>
      </c>
      <c r="G336" t="n">
        <v>34.96000892267431</v>
      </c>
      <c r="H336" t="n">
        <v>6.005500394727492</v>
      </c>
      <c r="I336" t="n">
        <v>1718</v>
      </c>
      <c r="J336" t="n">
        <v>1765</v>
      </c>
      <c r="K336" t="n">
        <v>6.036843203801957</v>
      </c>
    </row>
    <row r="337">
      <c r="A337" t="n">
        <v>137</v>
      </c>
      <c r="B337" t="inlineStr">
        <is>
          <t>Cj</t>
        </is>
      </c>
      <c r="C337" t="inlineStr">
        <is>
          <t>Town</t>
        </is>
      </c>
      <c r="D337" t="inlineStr">
        <is>
          <t>Win</t>
        </is>
      </c>
      <c r="E337" t="n">
        <v>70</v>
      </c>
      <c r="F337" t="n">
        <v>28.93647552422368</v>
      </c>
      <c r="G337" t="n">
        <v>29.87777354318423</v>
      </c>
      <c r="H337" t="n">
        <v>7.30126308933409</v>
      </c>
      <c r="I337" t="n">
        <v>1217</v>
      </c>
      <c r="J337" t="n">
        <v>1287</v>
      </c>
      <c r="K337" t="n">
        <v>7.358926308058823</v>
      </c>
    </row>
    <row r="338">
      <c r="A338" t="n">
        <v>137</v>
      </c>
      <c r="B338" t="inlineStr">
        <is>
          <t>Motr</t>
        </is>
      </c>
      <c r="C338" t="inlineStr">
        <is>
          <t>Town</t>
        </is>
      </c>
      <c r="D338" t="inlineStr">
        <is>
          <t>Win</t>
        </is>
      </c>
      <c r="E338" t="n">
        <v>66</v>
      </c>
      <c r="F338" t="n">
        <v>26.21382478698028</v>
      </c>
      <c r="G338" t="n">
        <v>27.10396961502662</v>
      </c>
      <c r="H338" t="n">
        <v>7.103199666241817</v>
      </c>
      <c r="I338" t="n">
        <v>1053</v>
      </c>
      <c r="J338" t="n">
        <v>1119</v>
      </c>
      <c r="K338" t="n">
        <v>7.15614140658751</v>
      </c>
    </row>
    <row r="339">
      <c r="A339" t="n">
        <v>137</v>
      </c>
      <c r="B339" t="inlineStr">
        <is>
          <t>Kwix</t>
        </is>
      </c>
      <c r="C339" t="inlineStr">
        <is>
          <t>Town</t>
        </is>
      </c>
      <c r="D339" t="inlineStr">
        <is>
          <t>Win</t>
        </is>
      </c>
      <c r="E339" t="n">
        <v>57</v>
      </c>
      <c r="F339" t="n">
        <v>24.22925297204581</v>
      </c>
      <c r="G339" t="n">
        <v>25.00208962293646</v>
      </c>
      <c r="H339" t="n">
        <v>6.625229780566301</v>
      </c>
      <c r="I339" t="n">
        <v>967</v>
      </c>
      <c r="J339" t="n">
        <v>1024</v>
      </c>
      <c r="K339" t="n">
        <v>6.667852677989671</v>
      </c>
    </row>
    <row r="340">
      <c r="A340" t="n">
        <v>137</v>
      </c>
      <c r="B340" t="inlineStr">
        <is>
          <t>Gilbert</t>
        </is>
      </c>
      <c r="C340" t="inlineStr">
        <is>
          <t>Town</t>
        </is>
      </c>
      <c r="D340" t="inlineStr">
        <is>
          <t>Win</t>
        </is>
      </c>
      <c r="E340" t="n">
        <v>63</v>
      </c>
      <c r="F340" t="n">
        <v>26.88322671274683</v>
      </c>
      <c r="G340" t="n">
        <v>27.73459301279643</v>
      </c>
      <c r="H340" t="n">
        <v>6.94904749345255</v>
      </c>
      <c r="I340" t="n">
        <v>1114</v>
      </c>
      <c r="J340" t="n">
        <v>1177</v>
      </c>
      <c r="K340" t="n">
        <v>6.998498495315805</v>
      </c>
    </row>
    <row r="341">
      <c r="A341" t="n">
        <v>137</v>
      </c>
      <c r="B341" t="inlineStr">
        <is>
          <t>Heckmuffins</t>
        </is>
      </c>
      <c r="C341" t="inlineStr">
        <is>
          <t>Town</t>
        </is>
      </c>
      <c r="D341" t="inlineStr">
        <is>
          <t>Win</t>
        </is>
      </c>
      <c r="E341" t="n">
        <v>82</v>
      </c>
      <c r="F341" t="n">
        <v>28.11674172428945</v>
      </c>
      <c r="G341" t="n">
        <v>29.21662748188762</v>
      </c>
      <c r="H341" t="n">
        <v>7.881709220989246</v>
      </c>
      <c r="I341" t="n">
        <v>1101</v>
      </c>
      <c r="J341" t="n">
        <v>1183</v>
      </c>
      <c r="K341" t="n">
        <v>7.954821746578301</v>
      </c>
    </row>
    <row r="342">
      <c r="A342" t="n">
        <v>137</v>
      </c>
      <c r="B342" t="inlineStr">
        <is>
          <t>Siggy</t>
        </is>
      </c>
      <c r="C342" t="inlineStr">
        <is>
          <t>Town</t>
        </is>
      </c>
      <c r="D342" t="inlineStr">
        <is>
          <t>Win</t>
        </is>
      </c>
      <c r="E342" t="n">
        <v>79</v>
      </c>
      <c r="F342" t="n">
        <v>27.29834206448274</v>
      </c>
      <c r="G342" t="n">
        <v>28.3573548342086</v>
      </c>
      <c r="H342" t="n">
        <v>7.736577242209589</v>
      </c>
      <c r="I342" t="n">
        <v>1060</v>
      </c>
      <c r="J342" t="n">
        <v>1139</v>
      </c>
      <c r="K342" t="n">
        <v>7.805593622534997</v>
      </c>
    </row>
    <row r="343">
      <c r="A343" t="n">
        <v>137</v>
      </c>
      <c r="B343" t="inlineStr">
        <is>
          <t>TCP</t>
        </is>
      </c>
      <c r="C343" t="inlineStr">
        <is>
          <t>Town</t>
        </is>
      </c>
      <c r="D343" t="inlineStr">
        <is>
          <t>Win</t>
        </is>
      </c>
      <c r="E343" t="n">
        <v>80</v>
      </c>
      <c r="F343" t="n">
        <v>24.87123108413399</v>
      </c>
      <c r="G343" t="n">
        <v>25.93449919522403</v>
      </c>
      <c r="H343" t="n">
        <v>7.751823549838236</v>
      </c>
      <c r="I343" t="n">
        <v>893</v>
      </c>
      <c r="J343" t="n">
        <v>973</v>
      </c>
      <c r="K343" t="n">
        <v>7.821262747235086</v>
      </c>
    </row>
    <row r="344">
      <c r="A344" t="n">
        <v>137</v>
      </c>
      <c r="B344" t="inlineStr">
        <is>
          <t>Chelsea</t>
        </is>
      </c>
      <c r="C344" t="inlineStr">
        <is>
          <t>Town</t>
        </is>
      </c>
      <c r="D344" t="inlineStr">
        <is>
          <t>Win</t>
        </is>
      </c>
      <c r="E344" t="n">
        <v>72</v>
      </c>
      <c r="F344" t="n">
        <v>28.23173367203903</v>
      </c>
      <c r="G344" t="n">
        <v>29.20201524389736</v>
      </c>
      <c r="H344" t="n">
        <v>7.410986260442476</v>
      </c>
      <c r="I344" t="n">
        <v>1158</v>
      </c>
      <c r="J344" t="n">
        <v>1230</v>
      </c>
      <c r="K344" t="n">
        <v>7.471382501671735</v>
      </c>
    </row>
    <row r="345">
      <c r="A345" t="n">
        <v>137</v>
      </c>
      <c r="B345" t="inlineStr">
        <is>
          <t>Strik3r</t>
        </is>
      </c>
      <c r="C345" t="inlineStr">
        <is>
          <t>Town</t>
        </is>
      </c>
      <c r="D345" t="inlineStr">
        <is>
          <t>Win</t>
        </is>
      </c>
      <c r="E345" t="n">
        <v>61</v>
      </c>
      <c r="F345" t="n">
        <v>28.14915224863974</v>
      </c>
      <c r="G345" t="n">
        <v>28.97586746005173</v>
      </c>
      <c r="H345" t="n">
        <v>6.849140947653321</v>
      </c>
      <c r="I345" t="n">
        <v>1211</v>
      </c>
      <c r="J345" t="n">
        <v>1272</v>
      </c>
      <c r="K345" t="n">
        <v>6.896413419034614</v>
      </c>
    </row>
    <row r="346">
      <c r="A346" t="n">
        <v>136</v>
      </c>
      <c r="B346" t="inlineStr">
        <is>
          <t>Brownkow</t>
        </is>
      </c>
      <c r="C346" t="inlineStr">
        <is>
          <t>Mafia</t>
        </is>
      </c>
      <c r="D346" t="inlineStr">
        <is>
          <t>Win</t>
        </is>
      </c>
      <c r="E346" t="n">
        <v>18</v>
      </c>
      <c r="F346" t="n">
        <v>35.04123138087959</v>
      </c>
      <c r="G346" t="n">
        <v>35.2753884967309</v>
      </c>
      <c r="H346" t="n">
        <v>5.948452721378887</v>
      </c>
      <c r="I346" t="n">
        <v>1774</v>
      </c>
      <c r="J346" t="n">
        <v>1792</v>
      </c>
      <c r="K346" t="n">
        <v>5.968150259767817</v>
      </c>
    </row>
    <row r="347">
      <c r="A347" t="n">
        <v>136</v>
      </c>
      <c r="B347" t="inlineStr">
        <is>
          <t>Badpants</t>
        </is>
      </c>
      <c r="C347" t="inlineStr">
        <is>
          <t>Mafia</t>
        </is>
      </c>
      <c r="D347" t="inlineStr">
        <is>
          <t>Win</t>
        </is>
      </c>
      <c r="E347" t="n">
        <v>20</v>
      </c>
      <c r="F347" t="n">
        <v>26.06511791107055</v>
      </c>
      <c r="G347" t="n">
        <v>26.3186260638702</v>
      </c>
      <c r="H347" t="n">
        <v>6.18759882539681</v>
      </c>
      <c r="I347" t="n">
        <v>1139</v>
      </c>
      <c r="J347" t="n">
        <v>1159</v>
      </c>
      <c r="K347" t="n">
        <v>6.209929755595387</v>
      </c>
    </row>
    <row r="348">
      <c r="A348" t="n">
        <v>136</v>
      </c>
      <c r="B348" t="inlineStr">
        <is>
          <t>Cyclone</t>
        </is>
      </c>
      <c r="C348" t="inlineStr">
        <is>
          <t>Mafia</t>
        </is>
      </c>
      <c r="D348" t="inlineStr">
        <is>
          <t>Win</t>
        </is>
      </c>
      <c r="E348" t="n">
        <v>31</v>
      </c>
      <c r="F348" t="n">
        <v>30.19971483712186</v>
      </c>
      <c r="G348" t="n">
        <v>30.58619250611009</v>
      </c>
      <c r="H348" t="n">
        <v>7.624886151465814</v>
      </c>
      <c r="I348" t="n">
        <v>1271</v>
      </c>
      <c r="J348" t="n">
        <v>1302</v>
      </c>
      <c r="K348" t="n">
        <v>7.667826851508782</v>
      </c>
    </row>
    <row r="349">
      <c r="A349" t="n">
        <v>136</v>
      </c>
      <c r="B349" t="inlineStr">
        <is>
          <t>Gilbert</t>
        </is>
      </c>
      <c r="C349" t="inlineStr">
        <is>
          <t>Town</t>
        </is>
      </c>
      <c r="D349" t="inlineStr">
        <is>
          <t>Loss</t>
        </is>
      </c>
      <c r="E349" t="n">
        <v>-19</v>
      </c>
      <c r="F349" t="n">
        <v>27.20822112011238</v>
      </c>
      <c r="G349" t="n">
        <v>26.88322671274683</v>
      </c>
      <c r="H349" t="n">
        <v>6.998498495315805</v>
      </c>
      <c r="I349" t="n">
        <v>1133</v>
      </c>
      <c r="J349" t="n">
        <v>1114</v>
      </c>
      <c r="K349" t="n">
        <v>7.031387807266701</v>
      </c>
    </row>
    <row r="350">
      <c r="A350" t="n">
        <v>136</v>
      </c>
      <c r="B350" t="inlineStr">
        <is>
          <t>Ken</t>
        </is>
      </c>
      <c r="C350" t="inlineStr">
        <is>
          <t>Town</t>
        </is>
      </c>
      <c r="D350" t="inlineStr">
        <is>
          <t>Loss</t>
        </is>
      </c>
      <c r="E350" t="n">
        <v>-21</v>
      </c>
      <c r="F350" t="n">
        <v>24.49394879500288</v>
      </c>
      <c r="G350" t="n">
        <v>24.1153542669494</v>
      </c>
      <c r="H350" t="n">
        <v>7.547604097593408</v>
      </c>
      <c r="I350" t="n">
        <v>891</v>
      </c>
      <c r="J350" t="n">
        <v>870</v>
      </c>
      <c r="K350" t="n">
        <v>7.589208635752928</v>
      </c>
    </row>
    <row r="351">
      <c r="A351" t="n">
        <v>136</v>
      </c>
      <c r="B351" t="inlineStr">
        <is>
          <t>Decode</t>
        </is>
      </c>
      <c r="C351" t="inlineStr">
        <is>
          <t>Town</t>
        </is>
      </c>
      <c r="D351" t="inlineStr">
        <is>
          <t>Loss</t>
        </is>
      </c>
      <c r="E351" t="n">
        <v>-22</v>
      </c>
      <c r="F351" t="n">
        <v>20.13879243170067</v>
      </c>
      <c r="G351" t="n">
        <v>19.75419138898809</v>
      </c>
      <c r="H351" t="n">
        <v>7.606563238963936</v>
      </c>
      <c r="I351" t="n">
        <v>589</v>
      </c>
      <c r="J351" t="n">
        <v>567</v>
      </c>
      <c r="K351" t="n">
        <v>7.649184623999563</v>
      </c>
    </row>
    <row r="352">
      <c r="A352" t="n">
        <v>136</v>
      </c>
      <c r="B352" t="inlineStr">
        <is>
          <t>Lou</t>
        </is>
      </c>
      <c r="C352" t="inlineStr">
        <is>
          <t>Town</t>
        </is>
      </c>
      <c r="D352" t="inlineStr">
        <is>
          <t>Loss</t>
        </is>
      </c>
      <c r="E352" t="n">
        <v>-14</v>
      </c>
      <c r="F352" t="n">
        <v>31.22647159626569</v>
      </c>
      <c r="G352" t="n">
        <v>30.9772865122311</v>
      </c>
      <c r="H352" t="n">
        <v>6.135005352190947</v>
      </c>
      <c r="I352" t="n">
        <v>1495</v>
      </c>
      <c r="J352" t="n">
        <v>1481</v>
      </c>
      <c r="K352" t="n">
        <v>6.156739331563625</v>
      </c>
    </row>
    <row r="353">
      <c r="A353" t="n">
        <v>136</v>
      </c>
      <c r="B353" t="inlineStr">
        <is>
          <t>Iln</t>
        </is>
      </c>
      <c r="C353" t="inlineStr">
        <is>
          <t>Town</t>
        </is>
      </c>
      <c r="D353" t="inlineStr">
        <is>
          <t>Loss</t>
        </is>
      </c>
      <c r="E353" t="n">
        <v>-15</v>
      </c>
      <c r="F353" t="n">
        <v>31.25589248911832</v>
      </c>
      <c r="G353" t="n">
        <v>31.00344505409497</v>
      </c>
      <c r="H353" t="n">
        <v>6.174737097187499</v>
      </c>
      <c r="I353" t="n">
        <v>1493</v>
      </c>
      <c r="J353" t="n">
        <v>1478</v>
      </c>
      <c r="K353" t="n">
        <v>6.196921102446337</v>
      </c>
    </row>
    <row r="354">
      <c r="A354" t="n">
        <v>136</v>
      </c>
      <c r="B354" t="inlineStr">
        <is>
          <t>Doublea</t>
        </is>
      </c>
      <c r="C354" t="inlineStr">
        <is>
          <t>Town</t>
        </is>
      </c>
      <c r="D354" t="inlineStr">
        <is>
          <t>Loss</t>
        </is>
      </c>
      <c r="E354" t="n">
        <v>-20</v>
      </c>
      <c r="F354" t="n">
        <v>24.24370319692059</v>
      </c>
      <c r="G354" t="n">
        <v>23.8987095927744</v>
      </c>
      <c r="H354" t="n">
        <v>7.208481623314649</v>
      </c>
      <c r="I354" t="n">
        <v>910</v>
      </c>
      <c r="J354" t="n">
        <v>890</v>
      </c>
      <c r="K354" t="n">
        <v>7.244546022878189</v>
      </c>
    </row>
    <row r="355">
      <c r="A355" t="n">
        <v>136</v>
      </c>
      <c r="B355" t="inlineStr">
        <is>
          <t>Smit</t>
        </is>
      </c>
      <c r="C355" t="inlineStr">
        <is>
          <t>Town</t>
        </is>
      </c>
      <c r="D355" t="inlineStr">
        <is>
          <t>Loss</t>
        </is>
      </c>
      <c r="E355" t="n">
        <v>-15</v>
      </c>
      <c r="F355" t="n">
        <v>27.62181677429825</v>
      </c>
      <c r="G355" t="n">
        <v>27.36235930799044</v>
      </c>
      <c r="H355" t="n">
        <v>6.259232529878365</v>
      </c>
      <c r="I355" t="n">
        <v>1237</v>
      </c>
      <c r="J355" t="n">
        <v>1222</v>
      </c>
      <c r="K355" t="n">
        <v>6.282392988872183</v>
      </c>
    </row>
    <row r="356">
      <c r="A356" t="n">
        <v>136</v>
      </c>
      <c r="B356" t="inlineStr">
        <is>
          <t>Mintt</t>
        </is>
      </c>
      <c r="C356" t="inlineStr">
        <is>
          <t>Town</t>
        </is>
      </c>
      <c r="D356" t="inlineStr">
        <is>
          <t>Loss</t>
        </is>
      </c>
      <c r="E356" t="n">
        <v>-18</v>
      </c>
      <c r="F356" t="n">
        <v>32.71777801128786</v>
      </c>
      <c r="G356" t="n">
        <v>32.42369985322252</v>
      </c>
      <c r="H356" t="n">
        <v>6.660349983505007</v>
      </c>
      <c r="I356" t="n">
        <v>1543</v>
      </c>
      <c r="J356" t="n">
        <v>1525</v>
      </c>
      <c r="K356" t="n">
        <v>6.688517614337516</v>
      </c>
    </row>
    <row r="357">
      <c r="A357" t="n">
        <v>136</v>
      </c>
      <c r="B357" t="inlineStr">
        <is>
          <t>Motr</t>
        </is>
      </c>
      <c r="C357" t="inlineStr">
        <is>
          <t>Town</t>
        </is>
      </c>
      <c r="D357" t="inlineStr">
        <is>
          <t>Loss</t>
        </is>
      </c>
      <c r="E357" t="n">
        <v>-19</v>
      </c>
      <c r="F357" t="n">
        <v>26.55377583737452</v>
      </c>
      <c r="G357" t="n">
        <v>26.21382478698028</v>
      </c>
      <c r="H357" t="n">
        <v>7.15614140658751</v>
      </c>
      <c r="I357" t="n">
        <v>1072</v>
      </c>
      <c r="J357" t="n">
        <v>1053</v>
      </c>
      <c r="K357" t="n">
        <v>7.191396491330171</v>
      </c>
    </row>
    <row r="358">
      <c r="A358" t="n">
        <v>135</v>
      </c>
      <c r="B358" t="inlineStr">
        <is>
          <t>Motr</t>
        </is>
      </c>
      <c r="C358" t="inlineStr">
        <is>
          <t>Mafia</t>
        </is>
      </c>
      <c r="D358" t="inlineStr">
        <is>
          <t>Loss</t>
        </is>
      </c>
      <c r="E358" t="n">
        <v>-79</v>
      </c>
      <c r="F358" t="n">
        <v>27.81373988289705</v>
      </c>
      <c r="G358" t="n">
        <v>26.55377583737452</v>
      </c>
      <c r="H358" t="n">
        <v>7.191396491330171</v>
      </c>
      <c r="I358" t="n">
        <v>1151</v>
      </c>
      <c r="J358" t="n">
        <v>1072</v>
      </c>
      <c r="K358" t="n">
        <v>7.254077284864006</v>
      </c>
    </row>
    <row r="359">
      <c r="A359" t="n">
        <v>135</v>
      </c>
      <c r="B359" t="inlineStr">
        <is>
          <t>Gilbert</t>
        </is>
      </c>
      <c r="C359" t="inlineStr">
        <is>
          <t>Mafia</t>
        </is>
      </c>
      <c r="D359" t="inlineStr">
        <is>
          <t>Loss</t>
        </is>
      </c>
      <c r="E359" t="n">
        <v>-76</v>
      </c>
      <c r="F359" t="n">
        <v>28.41178684079022</v>
      </c>
      <c r="G359" t="n">
        <v>27.20822112011238</v>
      </c>
      <c r="H359" t="n">
        <v>7.031387807266701</v>
      </c>
      <c r="I359" t="n">
        <v>1209</v>
      </c>
      <c r="J359" t="n">
        <v>1133</v>
      </c>
      <c r="K359" t="n">
        <v>7.089834107202422</v>
      </c>
    </row>
    <row r="360">
      <c r="A360" t="n">
        <v>135</v>
      </c>
      <c r="B360" t="inlineStr">
        <is>
          <t>Kden</t>
        </is>
      </c>
      <c r="C360" t="inlineStr">
        <is>
          <t>Mafia</t>
        </is>
      </c>
      <c r="D360" t="inlineStr">
        <is>
          <t>Loss</t>
        </is>
      </c>
      <c r="E360" t="n">
        <v>-67</v>
      </c>
      <c r="F360" t="n">
        <v>24.46459026070201</v>
      </c>
      <c r="G360" t="n">
        <v>23.40902774025224</v>
      </c>
      <c r="H360" t="n">
        <v>6.591721073464829</v>
      </c>
      <c r="I360" t="n">
        <v>986</v>
      </c>
      <c r="J360" t="n">
        <v>919</v>
      </c>
      <c r="K360" t="n">
        <v>6.639526244569362</v>
      </c>
    </row>
    <row r="361">
      <c r="A361" t="n">
        <v>135</v>
      </c>
      <c r="B361" t="inlineStr">
        <is>
          <t>Decode</t>
        </is>
      </c>
      <c r="C361" t="inlineStr">
        <is>
          <t>Town</t>
        </is>
      </c>
      <c r="D361" t="inlineStr">
        <is>
          <t>Win</t>
        </is>
      </c>
      <c r="E361" t="n">
        <v>105</v>
      </c>
      <c r="F361" t="n">
        <v>18.70991888477052</v>
      </c>
      <c r="G361" t="n">
        <v>20.13879243170067</v>
      </c>
      <c r="H361" t="n">
        <v>7.649184623999563</v>
      </c>
      <c r="I361" t="n">
        <v>484</v>
      </c>
      <c r="J361" t="n">
        <v>589</v>
      </c>
      <c r="K361" t="n">
        <v>7.725113665038228</v>
      </c>
    </row>
    <row r="362">
      <c r="A362" t="n">
        <v>135</v>
      </c>
      <c r="B362" t="inlineStr">
        <is>
          <t>Chelsea</t>
        </is>
      </c>
      <c r="C362" t="inlineStr">
        <is>
          <t>Town</t>
        </is>
      </c>
      <c r="D362" t="inlineStr">
        <is>
          <t>Win</t>
        </is>
      </c>
      <c r="E362" t="n">
        <v>100</v>
      </c>
      <c r="F362" t="n">
        <v>26.86979909835284</v>
      </c>
      <c r="G362" t="n">
        <v>28.23173367203903</v>
      </c>
      <c r="H362" t="n">
        <v>7.471382501671735</v>
      </c>
      <c r="I362" t="n">
        <v>1058</v>
      </c>
      <c r="J362" t="n">
        <v>1158</v>
      </c>
      <c r="K362" t="n">
        <v>7.54196155381336</v>
      </c>
    </row>
    <row r="363">
      <c r="A363" t="n">
        <v>135</v>
      </c>
      <c r="B363" t="inlineStr">
        <is>
          <t>Brownkow</t>
        </is>
      </c>
      <c r="C363" t="inlineStr">
        <is>
          <t>Town</t>
        </is>
      </c>
      <c r="D363" t="inlineStr">
        <is>
          <t>Win</t>
        </is>
      </c>
      <c r="E363" t="n">
        <v>62</v>
      </c>
      <c r="F363" t="n">
        <v>34.17826146637917</v>
      </c>
      <c r="G363" t="n">
        <v>35.04123138087959</v>
      </c>
      <c r="H363" t="n">
        <v>5.968150259767817</v>
      </c>
      <c r="I363" t="n">
        <v>1712</v>
      </c>
      <c r="J363" t="n">
        <v>1774</v>
      </c>
      <c r="K363" t="n">
        <v>6.003188015371567</v>
      </c>
    </row>
    <row r="364">
      <c r="A364" t="n">
        <v>135</v>
      </c>
      <c r="B364" t="inlineStr">
        <is>
          <t>Lou</t>
        </is>
      </c>
      <c r="C364" t="inlineStr">
        <is>
          <t>Town</t>
        </is>
      </c>
      <c r="D364" t="inlineStr">
        <is>
          <t>Win</t>
        </is>
      </c>
      <c r="E364" t="n">
        <v>66</v>
      </c>
      <c r="F364" t="n">
        <v>30.30738095211776</v>
      </c>
      <c r="G364" t="n">
        <v>31.22647159626569</v>
      </c>
      <c r="H364" t="n">
        <v>6.156739331563625</v>
      </c>
      <c r="I364" t="n">
        <v>1429</v>
      </c>
      <c r="J364" t="n">
        <v>1495</v>
      </c>
      <c r="K364" t="n">
        <v>6.195366021156979</v>
      </c>
    </row>
    <row r="365">
      <c r="A365" t="n">
        <v>135</v>
      </c>
      <c r="B365" t="inlineStr">
        <is>
          <t>Iln</t>
        </is>
      </c>
      <c r="C365" t="inlineStr">
        <is>
          <t>Town</t>
        </is>
      </c>
      <c r="D365" t="inlineStr">
        <is>
          <t>Win</t>
        </is>
      </c>
      <c r="E365" t="n">
        <v>67</v>
      </c>
      <c r="F365" t="n">
        <v>30.32460706873982</v>
      </c>
      <c r="G365" t="n">
        <v>31.25589248911832</v>
      </c>
      <c r="H365" t="n">
        <v>6.196921102446337</v>
      </c>
      <c r="I365" t="n">
        <v>1426</v>
      </c>
      <c r="J365" t="n">
        <v>1493</v>
      </c>
      <c r="K365" t="n">
        <v>6.236342228067472</v>
      </c>
    </row>
    <row r="366">
      <c r="A366" t="n">
        <v>135</v>
      </c>
      <c r="B366" t="inlineStr">
        <is>
          <t>Badpants</t>
        </is>
      </c>
      <c r="C366" t="inlineStr">
        <is>
          <t>Town</t>
        </is>
      </c>
      <c r="D366" t="inlineStr">
        <is>
          <t>Win</t>
        </is>
      </c>
      <c r="E366" t="n">
        <v>68</v>
      </c>
      <c r="F366" t="n">
        <v>25.1298665844833</v>
      </c>
      <c r="G366" t="n">
        <v>26.06511791107055</v>
      </c>
      <c r="H366" t="n">
        <v>6.209929755595387</v>
      </c>
      <c r="I366" t="n">
        <v>1071</v>
      </c>
      <c r="J366" t="n">
        <v>1139</v>
      </c>
      <c r="K366" t="n">
        <v>6.24961035097756</v>
      </c>
    </row>
    <row r="367">
      <c r="A367" t="n">
        <v>135</v>
      </c>
      <c r="B367" t="inlineStr">
        <is>
          <t>Qe</t>
        </is>
      </c>
      <c r="C367" t="inlineStr">
        <is>
          <t>Town</t>
        </is>
      </c>
      <c r="D367" t="inlineStr">
        <is>
          <t>Win</t>
        </is>
      </c>
      <c r="E367" t="n">
        <v>120</v>
      </c>
      <c r="F367" t="n">
        <v>26.51630826153879</v>
      </c>
      <c r="G367" t="n">
        <v>28.14821361013455</v>
      </c>
      <c r="H367" t="n">
        <v>8.162890430026851</v>
      </c>
      <c r="I367" t="n">
        <v>961</v>
      </c>
      <c r="J367" t="n">
        <v>1081</v>
      </c>
      <c r="K367" t="n">
        <v>8.25581571368895</v>
      </c>
    </row>
    <row r="368">
      <c r="A368" t="n">
        <v>135</v>
      </c>
      <c r="B368" t="inlineStr">
        <is>
          <t>Doublea</t>
        </is>
      </c>
      <c r="C368" t="inlineStr">
        <is>
          <t>Town</t>
        </is>
      </c>
      <c r="D368" t="inlineStr">
        <is>
          <t>Win</t>
        </is>
      </c>
      <c r="E368" t="n">
        <v>94</v>
      </c>
      <c r="F368" t="n">
        <v>22.96470423223189</v>
      </c>
      <c r="G368" t="n">
        <v>24.24370319692059</v>
      </c>
      <c r="H368" t="n">
        <v>7.244546022878189</v>
      </c>
      <c r="I368" t="n">
        <v>816</v>
      </c>
      <c r="J368" t="n">
        <v>910</v>
      </c>
      <c r="K368" t="n">
        <v>7.308677734749899</v>
      </c>
    </row>
    <row r="369">
      <c r="A369" t="n">
        <v>135</v>
      </c>
      <c r="B369" t="inlineStr">
        <is>
          <t>Ken</t>
        </is>
      </c>
      <c r="C369" t="inlineStr">
        <is>
          <t>Town</t>
        </is>
      </c>
      <c r="D369" t="inlineStr">
        <is>
          <t>Win</t>
        </is>
      </c>
      <c r="E369" t="n">
        <v>103</v>
      </c>
      <c r="F369" t="n">
        <v>23.08784541015438</v>
      </c>
      <c r="G369" t="n">
        <v>24.49394879500288</v>
      </c>
      <c r="H369" t="n">
        <v>7.589208635752928</v>
      </c>
      <c r="I369" t="n">
        <v>788</v>
      </c>
      <c r="J369" t="n">
        <v>891</v>
      </c>
      <c r="K369" t="n">
        <v>7.663303357721333</v>
      </c>
    </row>
    <row r="370">
      <c r="A370" t="n">
        <v>135</v>
      </c>
      <c r="B370" t="inlineStr">
        <is>
          <t>Smit</t>
        </is>
      </c>
      <c r="C370" t="inlineStr">
        <is>
          <t>Town</t>
        </is>
      </c>
      <c r="D370" t="inlineStr">
        <is>
          <t>Win</t>
        </is>
      </c>
      <c r="E370" t="n">
        <v>69</v>
      </c>
      <c r="F370" t="n">
        <v>26.66431335702255</v>
      </c>
      <c r="G370" t="n">
        <v>27.62181677429825</v>
      </c>
      <c r="H370" t="n">
        <v>6.282392988872183</v>
      </c>
      <c r="I370" t="n">
        <v>1168</v>
      </c>
      <c r="J370" t="n">
        <v>1237</v>
      </c>
      <c r="K370" t="n">
        <v>6.323539457753292</v>
      </c>
    </row>
    <row r="371">
      <c r="A371" t="n">
        <v>134</v>
      </c>
      <c r="B371" t="inlineStr">
        <is>
          <t>Noah</t>
        </is>
      </c>
      <c r="C371" t="inlineStr">
        <is>
          <t>Mafia</t>
        </is>
      </c>
      <c r="D371" t="inlineStr">
        <is>
          <t>Win</t>
        </is>
      </c>
      <c r="E371" t="n">
        <v>21</v>
      </c>
      <c r="F371" t="n">
        <v>30.75447472570671</v>
      </c>
      <c r="G371" t="n">
        <v>31.02777768921504</v>
      </c>
      <c r="H371" t="n">
        <v>6.226452455103141</v>
      </c>
      <c r="I371" t="n">
        <v>1454</v>
      </c>
      <c r="J371" t="n">
        <v>1475</v>
      </c>
      <c r="K371" t="n">
        <v>6.248545688942467</v>
      </c>
    </row>
    <row r="372">
      <c r="A372" t="n">
        <v>134</v>
      </c>
      <c r="B372" t="inlineStr">
        <is>
          <t>Rollo</t>
        </is>
      </c>
      <c r="C372" t="inlineStr">
        <is>
          <t>Mafia</t>
        </is>
      </c>
      <c r="D372" t="inlineStr">
        <is>
          <t>Win</t>
        </is>
      </c>
      <c r="E372" t="n">
        <v>25</v>
      </c>
      <c r="F372" t="n">
        <v>36.32817723633593</v>
      </c>
      <c r="G372" t="n">
        <v>36.65257895439067</v>
      </c>
      <c r="H372" t="n">
        <v>6.778924109249107</v>
      </c>
      <c r="I372" t="n">
        <v>1776</v>
      </c>
      <c r="J372" t="n">
        <v>1801</v>
      </c>
      <c r="K372" t="n">
        <v>6.807805074689036</v>
      </c>
    </row>
    <row r="373">
      <c r="A373" t="n">
        <v>134</v>
      </c>
      <c r="B373" t="inlineStr">
        <is>
          <t>Gilbert</t>
        </is>
      </c>
      <c r="C373" t="inlineStr">
        <is>
          <t>Mafia</t>
        </is>
      </c>
      <c r="D373" t="inlineStr">
        <is>
          <t>Win</t>
        </is>
      </c>
      <c r="E373" t="n">
        <v>28</v>
      </c>
      <c r="F373" t="n">
        <v>28.05665125835039</v>
      </c>
      <c r="G373" t="n">
        <v>28.41178684079022</v>
      </c>
      <c r="H373" t="n">
        <v>7.089834107202422</v>
      </c>
      <c r="I373" t="n">
        <v>1181</v>
      </c>
      <c r="J373" t="n">
        <v>1209</v>
      </c>
      <c r="K373" t="n">
        <v>7.123061405231437</v>
      </c>
    </row>
    <row r="374">
      <c r="A374" t="n">
        <v>134</v>
      </c>
      <c r="B374" t="inlineStr">
        <is>
          <t>Iln</t>
        </is>
      </c>
      <c r="C374" t="inlineStr">
        <is>
          <t>Town</t>
        </is>
      </c>
      <c r="D374" t="inlineStr">
        <is>
          <t>Loss</t>
        </is>
      </c>
      <c r="E374" t="n">
        <v>-16</v>
      </c>
      <c r="F374" t="n">
        <v>30.59878539166878</v>
      </c>
      <c r="G374" t="n">
        <v>30.32460706873982</v>
      </c>
      <c r="H374" t="n">
        <v>6.236342228067472</v>
      </c>
      <c r="I374" t="n">
        <v>1442</v>
      </c>
      <c r="J374" t="n">
        <v>1426</v>
      </c>
      <c r="K374" t="n">
        <v>6.258546951269532</v>
      </c>
    </row>
    <row r="375">
      <c r="A375" t="n">
        <v>134</v>
      </c>
      <c r="B375" t="inlineStr">
        <is>
          <t>Mintt</t>
        </is>
      </c>
      <c r="C375" t="inlineStr">
        <is>
          <t>Town</t>
        </is>
      </c>
      <c r="D375" t="inlineStr">
        <is>
          <t>Loss</t>
        </is>
      </c>
      <c r="E375" t="n">
        <v>-18</v>
      </c>
      <c r="F375" t="n">
        <v>33.03351083904325</v>
      </c>
      <c r="G375" t="n">
        <v>32.71777801128786</v>
      </c>
      <c r="H375" t="n">
        <v>6.688517614337516</v>
      </c>
      <c r="I375" t="n">
        <v>1561</v>
      </c>
      <c r="J375" t="n">
        <v>1543</v>
      </c>
      <c r="K375" t="n">
        <v>6.716207767118231</v>
      </c>
    </row>
    <row r="376">
      <c r="A376" t="n">
        <v>134</v>
      </c>
      <c r="B376" t="inlineStr">
        <is>
          <t>Plen</t>
        </is>
      </c>
      <c r="C376" t="inlineStr">
        <is>
          <t>Town</t>
        </is>
      </c>
      <c r="D376" t="inlineStr">
        <is>
          <t>Loss</t>
        </is>
      </c>
      <c r="E376" t="n">
        <v>-15</v>
      </c>
      <c r="F376" t="n">
        <v>24.75093953249373</v>
      </c>
      <c r="G376" t="n">
        <v>24.49072745717381</v>
      </c>
      <c r="H376" t="n">
        <v>6.076574703786974</v>
      </c>
      <c r="I376" t="n">
        <v>1061</v>
      </c>
      <c r="J376" t="n">
        <v>1046</v>
      </c>
      <c r="K376" t="n">
        <v>6.097021191472647</v>
      </c>
    </row>
    <row r="377">
      <c r="A377" t="n">
        <v>134</v>
      </c>
      <c r="B377" t="inlineStr">
        <is>
          <t>Strik3r</t>
        </is>
      </c>
      <c r="C377" t="inlineStr">
        <is>
          <t>Town</t>
        </is>
      </c>
      <c r="D377" t="inlineStr">
        <is>
          <t>Loss</t>
        </is>
      </c>
      <c r="E377" t="n">
        <v>-19</v>
      </c>
      <c r="F377" t="n">
        <v>28.4849999490982</v>
      </c>
      <c r="G377" t="n">
        <v>28.14915224863974</v>
      </c>
      <c r="H377" t="n">
        <v>6.896413419034614</v>
      </c>
      <c r="I377" t="n">
        <v>1230</v>
      </c>
      <c r="J377" t="n">
        <v>1211</v>
      </c>
      <c r="K377" t="n">
        <v>6.926890554201857</v>
      </c>
    </row>
    <row r="378">
      <c r="A378" t="n">
        <v>134</v>
      </c>
      <c r="B378" t="inlineStr">
        <is>
          <t>Kden</t>
        </is>
      </c>
      <c r="C378" t="inlineStr">
        <is>
          <t>Town</t>
        </is>
      </c>
      <c r="D378" t="inlineStr">
        <is>
          <t>Loss</t>
        </is>
      </c>
      <c r="E378" t="n">
        <v>-19</v>
      </c>
      <c r="F378" t="n">
        <v>24.77567571741853</v>
      </c>
      <c r="G378" t="n">
        <v>24.46459026070201</v>
      </c>
      <c r="H378" t="n">
        <v>6.639526244569362</v>
      </c>
      <c r="I378" t="n">
        <v>1005</v>
      </c>
      <c r="J378" t="n">
        <v>986</v>
      </c>
      <c r="K378" t="n">
        <v>6.666584496354326</v>
      </c>
    </row>
    <row r="379">
      <c r="A379" t="n">
        <v>134</v>
      </c>
      <c r="B379" t="inlineStr">
        <is>
          <t>TCP</t>
        </is>
      </c>
      <c r="C379" t="inlineStr">
        <is>
          <t>Town</t>
        </is>
      </c>
      <c r="D379" t="inlineStr">
        <is>
          <t>Loss</t>
        </is>
      </c>
      <c r="E379" t="n">
        <v>-25</v>
      </c>
      <c r="F379" t="n">
        <v>25.30433441648526</v>
      </c>
      <c r="G379" t="n">
        <v>24.87123108413399</v>
      </c>
      <c r="H379" t="n">
        <v>7.821262747235086</v>
      </c>
      <c r="I379" t="n">
        <v>918</v>
      </c>
      <c r="J379" t="n">
        <v>893</v>
      </c>
      <c r="K379" t="n">
        <v>7.866346295071195</v>
      </c>
    </row>
    <row r="380">
      <c r="A380" t="n">
        <v>134</v>
      </c>
      <c r="B380" t="inlineStr">
        <is>
          <t>Laur</t>
        </is>
      </c>
      <c r="C380" t="inlineStr">
        <is>
          <t>Town</t>
        </is>
      </c>
      <c r="D380" t="inlineStr">
        <is>
          <t>Loss</t>
        </is>
      </c>
      <c r="E380" t="n">
        <v>-17</v>
      </c>
      <c r="F380" t="n">
        <v>33.11631809471725</v>
      </c>
      <c r="G380" t="n">
        <v>32.83260613595655</v>
      </c>
      <c r="H380" t="n">
        <v>6.343024523428666</v>
      </c>
      <c r="I380" t="n">
        <v>1603</v>
      </c>
      <c r="J380" t="n">
        <v>1586</v>
      </c>
      <c r="K380" t="n">
        <v>6.366454517307895</v>
      </c>
    </row>
    <row r="381">
      <c r="A381" t="n">
        <v>134</v>
      </c>
      <c r="B381" t="inlineStr">
        <is>
          <t>Kwix</t>
        </is>
      </c>
      <c r="C381" t="inlineStr">
        <is>
          <t>Town</t>
        </is>
      </c>
      <c r="D381" t="inlineStr">
        <is>
          <t>Loss</t>
        </is>
      </c>
      <c r="E381" t="n">
        <v>-19</v>
      </c>
      <c r="F381" t="n">
        <v>24.54302119326562</v>
      </c>
      <c r="G381" t="n">
        <v>24.22925297204581</v>
      </c>
      <c r="H381" t="n">
        <v>6.667852677989671</v>
      </c>
      <c r="I381" t="n">
        <v>986</v>
      </c>
      <c r="J381" t="n">
        <v>967</v>
      </c>
      <c r="K381" t="n">
        <v>6.695275148583579</v>
      </c>
    </row>
    <row r="382">
      <c r="A382" t="n">
        <v>134</v>
      </c>
      <c r="B382" t="inlineStr">
        <is>
          <t>Rocker</t>
        </is>
      </c>
      <c r="C382" t="inlineStr">
        <is>
          <t>Town</t>
        </is>
      </c>
      <c r="D382" t="inlineStr">
        <is>
          <t>Loss</t>
        </is>
      </c>
      <c r="E382" t="n">
        <v>-16</v>
      </c>
      <c r="F382" t="n">
        <v>34.58329058029761</v>
      </c>
      <c r="G382" t="n">
        <v>34.32649379090647</v>
      </c>
      <c r="H382" t="n">
        <v>6.036843203801957</v>
      </c>
      <c r="I382" t="n">
        <v>1734</v>
      </c>
      <c r="J382" t="n">
        <v>1718</v>
      </c>
      <c r="K382" t="n">
        <v>6.05686646920851</v>
      </c>
    </row>
    <row r="383">
      <c r="A383" t="n">
        <v>134</v>
      </c>
      <c r="B383" t="inlineStr">
        <is>
          <t>Chester</t>
        </is>
      </c>
      <c r="C383" t="inlineStr">
        <is>
          <t>Town</t>
        </is>
      </c>
      <c r="D383" t="inlineStr">
        <is>
          <t>Loss</t>
        </is>
      </c>
      <c r="E383" t="n">
        <v>-19</v>
      </c>
      <c r="F383" t="n">
        <v>33.2719437110415</v>
      </c>
      <c r="G383" t="n">
        <v>32.94360930929814</v>
      </c>
      <c r="H383" t="n">
        <v>6.819528381933289</v>
      </c>
      <c r="I383" t="n">
        <v>1564</v>
      </c>
      <c r="J383" t="n">
        <v>1545</v>
      </c>
      <c r="K383" t="n">
        <v>6.848954722394012</v>
      </c>
    </row>
    <row r="384">
      <c r="A384" t="n">
        <v>133</v>
      </c>
      <c r="B384" t="inlineStr">
        <is>
          <t>Carson</t>
        </is>
      </c>
      <c r="C384" t="inlineStr">
        <is>
          <t>Mafia</t>
        </is>
      </c>
      <c r="D384" t="inlineStr">
        <is>
          <t>Loss</t>
        </is>
      </c>
      <c r="E384" t="n">
        <v>-102</v>
      </c>
      <c r="F384" t="n">
        <v>32.19916898519656</v>
      </c>
      <c r="G384" t="n">
        <v>30.63690153461073</v>
      </c>
      <c r="H384" t="n">
        <v>6.302294308520167</v>
      </c>
      <c r="I384" t="n">
        <v>1542</v>
      </c>
      <c r="J384" t="n">
        <v>1440</v>
      </c>
      <c r="K384" t="n">
        <v>6.351330859363315</v>
      </c>
    </row>
    <row r="385">
      <c r="A385" t="n">
        <v>133</v>
      </c>
      <c r="B385" t="inlineStr">
        <is>
          <t>Noah</t>
        </is>
      </c>
      <c r="C385" t="inlineStr">
        <is>
          <t>Mafia</t>
        </is>
      </c>
      <c r="D385" t="inlineStr">
        <is>
          <t>Loss</t>
        </is>
      </c>
      <c r="E385" t="n">
        <v>-99</v>
      </c>
      <c r="F385" t="n">
        <v>32.28978797333091</v>
      </c>
      <c r="G385" t="n">
        <v>30.75447472570671</v>
      </c>
      <c r="H385" t="n">
        <v>6.248545688942467</v>
      </c>
      <c r="I385" t="n">
        <v>1553</v>
      </c>
      <c r="J385" t="n">
        <v>1454</v>
      </c>
      <c r="K385" t="n">
        <v>6.296288194185371</v>
      </c>
    </row>
    <row r="386">
      <c r="A386" t="n">
        <v>133</v>
      </c>
      <c r="B386" t="inlineStr">
        <is>
          <t>Lou</t>
        </is>
      </c>
      <c r="C386" t="inlineStr">
        <is>
          <t>Mafia</t>
        </is>
      </c>
      <c r="D386" t="inlineStr">
        <is>
          <t>Loss</t>
        </is>
      </c>
      <c r="E386" t="n">
        <v>-98</v>
      </c>
      <c r="F386" t="n">
        <v>31.81626708795796</v>
      </c>
      <c r="G386" t="n">
        <v>30.30738095211776</v>
      </c>
      <c r="H386" t="n">
        <v>6.195366021156979</v>
      </c>
      <c r="I386" t="n">
        <v>1527</v>
      </c>
      <c r="J386" t="n">
        <v>1429</v>
      </c>
      <c r="K386" t="n">
        <v>6.241850670345705</v>
      </c>
    </row>
    <row r="387">
      <c r="A387" t="n">
        <v>133</v>
      </c>
      <c r="B387" t="inlineStr">
        <is>
          <t>Cj</t>
        </is>
      </c>
      <c r="C387" t="inlineStr">
        <is>
          <t>Town</t>
        </is>
      </c>
      <c r="D387" t="inlineStr">
        <is>
          <t>Win</t>
        </is>
      </c>
      <c r="E387" t="n">
        <v>154</v>
      </c>
      <c r="F387" t="n">
        <v>26.79380351070437</v>
      </c>
      <c r="G387" t="n">
        <v>28.93647552422368</v>
      </c>
      <c r="H387" t="n">
        <v>7.358926308058823</v>
      </c>
      <c r="I387" t="n">
        <v>1063</v>
      </c>
      <c r="J387" t="n">
        <v>1217</v>
      </c>
      <c r="K387" t="n">
        <v>7.43839906525394</v>
      </c>
    </row>
    <row r="388">
      <c r="A388" t="n">
        <v>133</v>
      </c>
      <c r="B388" t="inlineStr">
        <is>
          <t>Motr</t>
        </is>
      </c>
      <c r="C388" t="inlineStr">
        <is>
          <t>Town</t>
        </is>
      </c>
      <c r="D388" t="inlineStr">
        <is>
          <t>Win</t>
        </is>
      </c>
      <c r="E388" t="n">
        <v>149</v>
      </c>
      <c r="F388" t="n">
        <v>25.73300720353462</v>
      </c>
      <c r="G388" t="n">
        <v>27.81373988289705</v>
      </c>
      <c r="H388" t="n">
        <v>7.254077284864006</v>
      </c>
      <c r="I388" t="n">
        <v>1002</v>
      </c>
      <c r="J388" t="n">
        <v>1151</v>
      </c>
      <c r="K388" t="n">
        <v>7.330078092083639</v>
      </c>
    </row>
    <row r="389">
      <c r="A389" t="n">
        <v>133</v>
      </c>
      <c r="B389" t="inlineStr">
        <is>
          <t>Streety</t>
        </is>
      </c>
      <c r="C389" t="inlineStr">
        <is>
          <t>Town</t>
        </is>
      </c>
      <c r="D389" t="inlineStr">
        <is>
          <t>Win</t>
        </is>
      </c>
      <c r="E389" t="n">
        <v>142</v>
      </c>
      <c r="F389" t="n">
        <v>30.63147117106377</v>
      </c>
      <c r="G389" t="n">
        <v>32.61319242010686</v>
      </c>
      <c r="H389" t="n">
        <v>7.082960499264431</v>
      </c>
      <c r="I389" t="n">
        <v>1353</v>
      </c>
      <c r="J389" t="n">
        <v>1495</v>
      </c>
      <c r="K389" t="n">
        <v>7.153518774144605</v>
      </c>
    </row>
    <row r="390">
      <c r="A390" t="n">
        <v>133</v>
      </c>
      <c r="B390" t="inlineStr">
        <is>
          <t>Chelsea</t>
        </is>
      </c>
      <c r="C390" t="inlineStr">
        <is>
          <t>Town</t>
        </is>
      </c>
      <c r="D390" t="inlineStr">
        <is>
          <t>Win</t>
        </is>
      </c>
      <c r="E390" t="n">
        <v>162</v>
      </c>
      <c r="F390" t="n">
        <v>24.6166703723134</v>
      </c>
      <c r="G390" t="n">
        <v>26.86979909835284</v>
      </c>
      <c r="H390" t="n">
        <v>7.54196155381336</v>
      </c>
      <c r="I390" t="n">
        <v>896</v>
      </c>
      <c r="J390" t="n">
        <v>1058</v>
      </c>
      <c r="K390" t="n">
        <v>7.627751780999978</v>
      </c>
    </row>
    <row r="391">
      <c r="A391" t="n">
        <v>133</v>
      </c>
      <c r="B391" t="inlineStr">
        <is>
          <t>Rocker</t>
        </is>
      </c>
      <c r="C391" t="inlineStr">
        <is>
          <t>Town</t>
        </is>
      </c>
      <c r="D391" t="inlineStr">
        <is>
          <t>Win</t>
        </is>
      </c>
      <c r="E391" t="n">
        <v>103</v>
      </c>
      <c r="F391" t="n">
        <v>33.14210453547656</v>
      </c>
      <c r="G391" t="n">
        <v>34.58329058029761</v>
      </c>
      <c r="H391" t="n">
        <v>6.05686646920851</v>
      </c>
      <c r="I391" t="n">
        <v>1631</v>
      </c>
      <c r="J391" t="n">
        <v>1734</v>
      </c>
      <c r="K391" t="n">
        <v>6.100178541836296</v>
      </c>
    </row>
    <row r="392">
      <c r="A392" t="n">
        <v>133</v>
      </c>
      <c r="B392" t="inlineStr">
        <is>
          <t>Rollo</t>
        </is>
      </c>
      <c r="C392" t="inlineStr">
        <is>
          <t>Town</t>
        </is>
      </c>
      <c r="D392" t="inlineStr">
        <is>
          <t>Win</t>
        </is>
      </c>
      <c r="E392" t="n">
        <v>131</v>
      </c>
      <c r="F392" t="n">
        <v>34.50030480519175</v>
      </c>
      <c r="G392" t="n">
        <v>36.32817723633593</v>
      </c>
      <c r="H392" t="n">
        <v>6.807805074689036</v>
      </c>
      <c r="I392" t="n">
        <v>1645</v>
      </c>
      <c r="J392" t="n">
        <v>1776</v>
      </c>
      <c r="K392" t="n">
        <v>6.870175129325411</v>
      </c>
    </row>
    <row r="393">
      <c r="A393" t="n">
        <v>133</v>
      </c>
      <c r="B393" t="inlineStr">
        <is>
          <t>Crispy</t>
        </is>
      </c>
      <c r="C393" t="inlineStr">
        <is>
          <t>Town</t>
        </is>
      </c>
      <c r="D393" t="inlineStr">
        <is>
          <t>Win</t>
        </is>
      </c>
      <c r="E393" t="n">
        <v>184</v>
      </c>
      <c r="F393" t="n">
        <v>26.45920377753808</v>
      </c>
      <c r="G393" t="n">
        <v>29.01409812551281</v>
      </c>
      <c r="H393" t="n">
        <v>8.018741836259231</v>
      </c>
      <c r="I393" t="n">
        <v>971</v>
      </c>
      <c r="J393" t="n">
        <v>1155</v>
      </c>
      <c r="K393" t="n">
        <v>8.122588100908237</v>
      </c>
    </row>
    <row r="394">
      <c r="A394" t="n">
        <v>133</v>
      </c>
      <c r="B394" t="inlineStr">
        <is>
          <t>Strik3r</t>
        </is>
      </c>
      <c r="C394" t="inlineStr">
        <is>
          <t>Town</t>
        </is>
      </c>
      <c r="D394" t="inlineStr">
        <is>
          <t>Win</t>
        </is>
      </c>
      <c r="E394" t="n">
        <v>135</v>
      </c>
      <c r="F394" t="n">
        <v>26.5913511013676</v>
      </c>
      <c r="G394" t="n">
        <v>28.4849999490982</v>
      </c>
      <c r="H394" t="n">
        <v>6.926890554201857</v>
      </c>
      <c r="I394" t="n">
        <v>1095</v>
      </c>
      <c r="J394" t="n">
        <v>1230</v>
      </c>
      <c r="K394" t="n">
        <v>6.992720802901037</v>
      </c>
    </row>
    <row r="395">
      <c r="A395" t="n">
        <v>133</v>
      </c>
      <c r="B395" t="inlineStr">
        <is>
          <t>Siggy</t>
        </is>
      </c>
      <c r="C395" t="inlineStr">
        <is>
          <t>Town</t>
        </is>
      </c>
      <c r="D395" t="inlineStr">
        <is>
          <t>Win</t>
        </is>
      </c>
      <c r="E395" t="n">
        <v>174</v>
      </c>
      <c r="F395" t="n">
        <v>24.88087722207722</v>
      </c>
      <c r="G395" t="n">
        <v>27.29834206448274</v>
      </c>
      <c r="H395" t="n">
        <v>7.805593622534997</v>
      </c>
      <c r="I395" t="n">
        <v>886</v>
      </c>
      <c r="J395" t="n">
        <v>1060</v>
      </c>
      <c r="K395" t="n">
        <v>7.901074742260889</v>
      </c>
    </row>
    <row r="396">
      <c r="A396" t="n">
        <v>133</v>
      </c>
      <c r="B396" t="inlineStr">
        <is>
          <t>Lofty</t>
        </is>
      </c>
      <c r="C396" t="inlineStr">
        <is>
          <t>Town</t>
        </is>
      </c>
      <c r="D396" t="inlineStr">
        <is>
          <t>Win</t>
        </is>
      </c>
      <c r="E396" t="n">
        <v>163</v>
      </c>
      <c r="F396" t="n">
        <v>24.18352593032226</v>
      </c>
      <c r="G396" t="n">
        <v>26.45203678422302</v>
      </c>
      <c r="H396" t="n">
        <v>7.567066685847022</v>
      </c>
      <c r="I396" t="n">
        <v>864</v>
      </c>
      <c r="J396" t="n">
        <v>1027</v>
      </c>
      <c r="K396" t="n">
        <v>7.653749313898769</v>
      </c>
    </row>
    <row r="397">
      <c r="A397" t="n">
        <v>132</v>
      </c>
      <c r="B397" t="inlineStr">
        <is>
          <t>Chipper</t>
        </is>
      </c>
      <c r="C397" t="inlineStr">
        <is>
          <t>Mafia</t>
        </is>
      </c>
      <c r="D397" t="inlineStr">
        <is>
          <t>Loss</t>
        </is>
      </c>
      <c r="E397" t="n">
        <v>-26</v>
      </c>
      <c r="F397" t="n">
        <v>26.57725078595467</v>
      </c>
      <c r="G397" t="n">
        <v>26.13763145971272</v>
      </c>
      <c r="H397" t="n">
        <v>6.684395950719285</v>
      </c>
      <c r="I397" t="n">
        <v>1122</v>
      </c>
      <c r="J397" t="n">
        <v>1096</v>
      </c>
      <c r="K397" t="n">
        <v>6.716703362795016</v>
      </c>
    </row>
    <row r="398">
      <c r="A398" t="n">
        <v>132</v>
      </c>
      <c r="B398" t="inlineStr">
        <is>
          <t>Ken</t>
        </is>
      </c>
      <c r="C398" t="inlineStr">
        <is>
          <t>Mafia</t>
        </is>
      </c>
      <c r="D398" t="inlineStr">
        <is>
          <t>Loss</t>
        </is>
      </c>
      <c r="E398" t="n">
        <v>-35</v>
      </c>
      <c r="F398" t="n">
        <v>23.66748487748263</v>
      </c>
      <c r="G398" t="n">
        <v>23.08784541015438</v>
      </c>
      <c r="H398" t="n">
        <v>7.663303357721333</v>
      </c>
      <c r="I398" t="n">
        <v>823</v>
      </c>
      <c r="J398" t="n">
        <v>788</v>
      </c>
      <c r="K398" t="n">
        <v>7.712734498158244</v>
      </c>
    </row>
    <row r="399">
      <c r="A399" t="n">
        <v>132</v>
      </c>
      <c r="B399" t="inlineStr">
        <is>
          <t>Chelsea</t>
        </is>
      </c>
      <c r="C399" t="inlineStr">
        <is>
          <t>Mafia</t>
        </is>
      </c>
      <c r="D399" t="inlineStr">
        <is>
          <t>Loss</t>
        </is>
      </c>
      <c r="E399" t="n">
        <v>-34</v>
      </c>
      <c r="F399" t="n">
        <v>25.19087357579496</v>
      </c>
      <c r="G399" t="n">
        <v>24.6166703723134</v>
      </c>
      <c r="H399" t="n">
        <v>7.627751780999978</v>
      </c>
      <c r="I399" t="n">
        <v>930</v>
      </c>
      <c r="J399" t="n">
        <v>896</v>
      </c>
      <c r="K399" t="n">
        <v>7.676475481893544</v>
      </c>
    </row>
    <row r="400">
      <c r="A400" t="n">
        <v>132</v>
      </c>
      <c r="B400" t="inlineStr">
        <is>
          <t>Mintt</t>
        </is>
      </c>
      <c r="C400" t="inlineStr">
        <is>
          <t>Town</t>
        </is>
      </c>
      <c r="D400" t="inlineStr">
        <is>
          <t>Win</t>
        </is>
      </c>
      <c r="E400" t="n">
        <v>33</v>
      </c>
      <c r="F400" t="n">
        <v>32.58965475023673</v>
      </c>
      <c r="G400" t="n">
        <v>33.03351083904325</v>
      </c>
      <c r="H400" t="n">
        <v>6.716207767118231</v>
      </c>
      <c r="I400" t="n">
        <v>1528</v>
      </c>
      <c r="J400" t="n">
        <v>1561</v>
      </c>
      <c r="K400" t="n">
        <v>6.74899848613813</v>
      </c>
    </row>
    <row r="401">
      <c r="A401" t="n">
        <v>132</v>
      </c>
      <c r="B401" t="inlineStr">
        <is>
          <t>Laur</t>
        </is>
      </c>
      <c r="C401" t="inlineStr">
        <is>
          <t>Town</t>
        </is>
      </c>
      <c r="D401" t="inlineStr">
        <is>
          <t>Win</t>
        </is>
      </c>
      <c r="E401" t="n">
        <v>30</v>
      </c>
      <c r="F401" t="n">
        <v>32.71789504990559</v>
      </c>
      <c r="G401" t="n">
        <v>33.11631809471725</v>
      </c>
      <c r="H401" t="n">
        <v>6.366454517307895</v>
      </c>
      <c r="I401" t="n">
        <v>1573</v>
      </c>
      <c r="J401" t="n">
        <v>1603</v>
      </c>
      <c r="K401" t="n">
        <v>6.394182513286193</v>
      </c>
    </row>
    <row r="402">
      <c r="A402" t="n">
        <v>132</v>
      </c>
      <c r="B402" t="inlineStr">
        <is>
          <t>Motr</t>
        </is>
      </c>
      <c r="C402" t="inlineStr">
        <is>
          <t>Town</t>
        </is>
      </c>
      <c r="D402" t="inlineStr">
        <is>
          <t>Win</t>
        </is>
      </c>
      <c r="E402" t="n">
        <v>40</v>
      </c>
      <c r="F402" t="n">
        <v>25.20327907769535</v>
      </c>
      <c r="G402" t="n">
        <v>25.73300720353462</v>
      </c>
      <c r="H402" t="n">
        <v>7.330078092083639</v>
      </c>
      <c r="I402" t="n">
        <v>962</v>
      </c>
      <c r="J402" t="n">
        <v>1002</v>
      </c>
      <c r="K402" t="n">
        <v>7.37314006194145</v>
      </c>
    </row>
    <row r="403">
      <c r="A403" t="n">
        <v>132</v>
      </c>
      <c r="B403" t="inlineStr">
        <is>
          <t>Chester</t>
        </is>
      </c>
      <c r="C403" t="inlineStr">
        <is>
          <t>Town</t>
        </is>
      </c>
      <c r="D403" t="inlineStr">
        <is>
          <t>Win</t>
        </is>
      </c>
      <c r="E403" t="n">
        <v>35</v>
      </c>
      <c r="F403" t="n">
        <v>32.81018197742709</v>
      </c>
      <c r="G403" t="n">
        <v>33.2719437110415</v>
      </c>
      <c r="H403" t="n">
        <v>6.848954722394012</v>
      </c>
      <c r="I403" t="n">
        <v>1529</v>
      </c>
      <c r="J403" t="n">
        <v>1564</v>
      </c>
      <c r="K403" t="n">
        <v>6.88381290828803</v>
      </c>
    </row>
    <row r="404">
      <c r="A404" t="n">
        <v>132</v>
      </c>
      <c r="B404" t="inlineStr">
        <is>
          <t>Cyclone</t>
        </is>
      </c>
      <c r="C404" t="inlineStr">
        <is>
          <t>Town</t>
        </is>
      </c>
      <c r="D404" t="inlineStr">
        <is>
          <t>Win</t>
        </is>
      </c>
      <c r="E404" t="n">
        <v>44</v>
      </c>
      <c r="F404" t="n">
        <v>29.61938176290632</v>
      </c>
      <c r="G404" t="n">
        <v>30.19971483712186</v>
      </c>
      <c r="H404" t="n">
        <v>7.667826851508782</v>
      </c>
      <c r="I404" t="n">
        <v>1227</v>
      </c>
      <c r="J404" t="n">
        <v>1271</v>
      </c>
      <c r="K404" t="n">
        <v>7.717348491365152</v>
      </c>
    </row>
    <row r="405">
      <c r="A405" t="n">
        <v>132</v>
      </c>
      <c r="B405" t="inlineStr">
        <is>
          <t>Hunterxp</t>
        </is>
      </c>
      <c r="C405" t="inlineStr">
        <is>
          <t>Town</t>
        </is>
      </c>
      <c r="D405" t="inlineStr">
        <is>
          <t>Win</t>
        </is>
      </c>
      <c r="E405" t="n">
        <v>46</v>
      </c>
      <c r="F405" t="n">
        <v>21.99072659907001</v>
      </c>
      <c r="G405" t="n">
        <v>22.58896977691392</v>
      </c>
      <c r="H405" t="n">
        <v>7.78367177817872</v>
      </c>
      <c r="I405" t="n">
        <v>696</v>
      </c>
      <c r="J405" t="n">
        <v>742</v>
      </c>
      <c r="K405" t="n">
        <v>7.835548799983139</v>
      </c>
    </row>
    <row r="406">
      <c r="A406" t="n">
        <v>132</v>
      </c>
      <c r="B406" t="inlineStr">
        <is>
          <t>Gilbert</t>
        </is>
      </c>
      <c r="C406" t="inlineStr">
        <is>
          <t>Town</t>
        </is>
      </c>
      <c r="D406" t="inlineStr">
        <is>
          <t>Win</t>
        </is>
      </c>
      <c r="E406" t="n">
        <v>38</v>
      </c>
      <c r="F406" t="n">
        <v>27.55675888616582</v>
      </c>
      <c r="G406" t="n">
        <v>28.05665125835039</v>
      </c>
      <c r="H406" t="n">
        <v>7.123061405231437</v>
      </c>
      <c r="I406" t="n">
        <v>1143</v>
      </c>
      <c r="J406" t="n">
        <v>1181</v>
      </c>
      <c r="K406" t="n">
        <v>7.162453883322035</v>
      </c>
    </row>
    <row r="407">
      <c r="A407" t="n">
        <v>132</v>
      </c>
      <c r="B407" t="inlineStr">
        <is>
          <t>Iln</t>
        </is>
      </c>
      <c r="C407" t="inlineStr">
        <is>
          <t>Town</t>
        </is>
      </c>
      <c r="D407" t="inlineStr">
        <is>
          <t>Win</t>
        </is>
      </c>
      <c r="E407" t="n">
        <v>29</v>
      </c>
      <c r="F407" t="n">
        <v>30.21387109572774</v>
      </c>
      <c r="G407" t="n">
        <v>30.59878539166878</v>
      </c>
      <c r="H407" t="n">
        <v>6.258546951269532</v>
      </c>
      <c r="I407" t="n">
        <v>1413</v>
      </c>
      <c r="J407" t="n">
        <v>1442</v>
      </c>
      <c r="K407" t="n">
        <v>6.28482168311082</v>
      </c>
    </row>
    <row r="408">
      <c r="A408" t="n">
        <v>132</v>
      </c>
      <c r="B408" t="inlineStr">
        <is>
          <t>Brownkow</t>
        </is>
      </c>
      <c r="C408" t="inlineStr">
        <is>
          <t>Town</t>
        </is>
      </c>
      <c r="D408" t="inlineStr">
        <is>
          <t>Win</t>
        </is>
      </c>
      <c r="E408" t="n">
        <v>27</v>
      </c>
      <c r="F408" t="n">
        <v>33.82436386619042</v>
      </c>
      <c r="G408" t="n">
        <v>34.17826146637917</v>
      </c>
      <c r="H408" t="n">
        <v>6.003188015371567</v>
      </c>
      <c r="I408" t="n">
        <v>1685</v>
      </c>
      <c r="J408" t="n">
        <v>1712</v>
      </c>
      <c r="K408" t="n">
        <v>6.026219272031743</v>
      </c>
    </row>
    <row r="409">
      <c r="A409" t="n">
        <v>132</v>
      </c>
      <c r="B409" t="inlineStr">
        <is>
          <t>Lou</t>
        </is>
      </c>
      <c r="C409" t="inlineStr">
        <is>
          <t>Town</t>
        </is>
      </c>
      <c r="D409" t="inlineStr">
        <is>
          <t>Win</t>
        </is>
      </c>
      <c r="E409" t="n">
        <v>29</v>
      </c>
      <c r="F409" t="n">
        <v>31.43342160693884</v>
      </c>
      <c r="G409" t="n">
        <v>31.81626708795796</v>
      </c>
      <c r="H409" t="n">
        <v>6.241850670345705</v>
      </c>
      <c r="I409" t="n">
        <v>1498</v>
      </c>
      <c r="J409" t="n">
        <v>1527</v>
      </c>
      <c r="K409" t="n">
        <v>6.267904993409648</v>
      </c>
    </row>
    <row r="410">
      <c r="A410" t="n">
        <v>131</v>
      </c>
      <c r="B410" t="inlineStr">
        <is>
          <t>Hunterxp</t>
        </is>
      </c>
      <c r="C410" t="inlineStr">
        <is>
          <t>Mafia</t>
        </is>
      </c>
      <c r="D410" t="inlineStr">
        <is>
          <t>Loss</t>
        </is>
      </c>
      <c r="E410" t="n">
        <v>-70</v>
      </c>
      <c r="F410" t="n">
        <v>23.11209882674074</v>
      </c>
      <c r="G410" t="n">
        <v>21.99072659907001</v>
      </c>
      <c r="H410" t="n">
        <v>7.835548799983139</v>
      </c>
      <c r="I410" t="n">
        <v>766</v>
      </c>
      <c r="J410" t="n">
        <v>696</v>
      </c>
      <c r="K410" t="n">
        <v>7.902893874646532</v>
      </c>
    </row>
    <row r="411">
      <c r="A411" t="n">
        <v>131</v>
      </c>
      <c r="B411" t="inlineStr">
        <is>
          <t>Carson</t>
        </is>
      </c>
      <c r="C411" t="inlineStr">
        <is>
          <t>Mafia</t>
        </is>
      </c>
      <c r="D411" t="inlineStr">
        <is>
          <t>Loss</t>
        </is>
      </c>
      <c r="E411" t="n">
        <v>-46</v>
      </c>
      <c r="F411" t="n">
        <v>32.93152602121965</v>
      </c>
      <c r="G411" t="n">
        <v>32.19916898519656</v>
      </c>
      <c r="H411" t="n">
        <v>6.351330859363315</v>
      </c>
      <c r="I411" t="n">
        <v>1588</v>
      </c>
      <c r="J411" t="n">
        <v>1542</v>
      </c>
      <c r="K411" t="n">
        <v>6.386371999214336</v>
      </c>
    </row>
    <row r="412">
      <c r="A412" t="n">
        <v>131</v>
      </c>
      <c r="B412" t="inlineStr">
        <is>
          <t>Motr</t>
        </is>
      </c>
      <c r="C412" t="inlineStr">
        <is>
          <t>Mafia</t>
        </is>
      </c>
      <c r="D412" t="inlineStr">
        <is>
          <t>Loss</t>
        </is>
      </c>
      <c r="E412" t="n">
        <v>-61</v>
      </c>
      <c r="F412" t="n">
        <v>26.19419396866314</v>
      </c>
      <c r="G412" t="n">
        <v>25.20327907769535</v>
      </c>
      <c r="H412" t="n">
        <v>7.37314006194145</v>
      </c>
      <c r="I412" t="n">
        <v>1023</v>
      </c>
      <c r="J412" t="n">
        <v>962</v>
      </c>
      <c r="K412" t="n">
        <v>7.4289058094241</v>
      </c>
    </row>
    <row r="413">
      <c r="A413" t="n">
        <v>131</v>
      </c>
      <c r="B413" t="inlineStr">
        <is>
          <t>Gilbert</t>
        </is>
      </c>
      <c r="C413" t="inlineStr">
        <is>
          <t>Town</t>
        </is>
      </c>
      <c r="D413" t="inlineStr">
        <is>
          <t>Win</t>
        </is>
      </c>
      <c r="E413" t="n">
        <v>68</v>
      </c>
      <c r="F413" t="n">
        <v>26.62248604088877</v>
      </c>
      <c r="G413" t="n">
        <v>27.55675888616582</v>
      </c>
      <c r="H413" t="n">
        <v>7.162453883322035</v>
      </c>
      <c r="I413" t="n">
        <v>1075</v>
      </c>
      <c r="J413" t="n">
        <v>1143</v>
      </c>
      <c r="K413" t="n">
        <v>7.213418880475161</v>
      </c>
    </row>
    <row r="414">
      <c r="A414" t="n">
        <v>131</v>
      </c>
      <c r="B414" t="inlineStr">
        <is>
          <t>Whyin</t>
        </is>
      </c>
      <c r="C414" t="inlineStr">
        <is>
          <t>Town</t>
        </is>
      </c>
      <c r="D414" t="inlineStr">
        <is>
          <t>Win</t>
        </is>
      </c>
      <c r="E414" t="n">
        <v>60</v>
      </c>
      <c r="F414" t="n">
        <v>28.15117668612818</v>
      </c>
      <c r="G414" t="n">
        <v>28.9712703124022</v>
      </c>
      <c r="H414" t="n">
        <v>6.716461614670901</v>
      </c>
      <c r="I414" t="n">
        <v>1225</v>
      </c>
      <c r="J414" t="n">
        <v>1285</v>
      </c>
      <c r="K414" t="n">
        <v>6.758186883105173</v>
      </c>
    </row>
    <row r="415">
      <c r="A415" t="n">
        <v>131</v>
      </c>
      <c r="B415" t="inlineStr">
        <is>
          <t>Iln</t>
        </is>
      </c>
      <c r="C415" t="inlineStr">
        <is>
          <t>Town</t>
        </is>
      </c>
      <c r="D415" t="inlineStr">
        <is>
          <t>Win</t>
        </is>
      </c>
      <c r="E415" t="n">
        <v>52</v>
      </c>
      <c r="F415" t="n">
        <v>29.49694264624386</v>
      </c>
      <c r="G415" t="n">
        <v>30.21387109572774</v>
      </c>
      <c r="H415" t="n">
        <v>6.28482168311082</v>
      </c>
      <c r="I415" t="n">
        <v>1361</v>
      </c>
      <c r="J415" t="n">
        <v>1413</v>
      </c>
      <c r="K415" t="n">
        <v>6.318726306910784</v>
      </c>
    </row>
    <row r="416">
      <c r="A416" t="n">
        <v>131</v>
      </c>
      <c r="B416" t="inlineStr">
        <is>
          <t>Kwix</t>
        </is>
      </c>
      <c r="C416" t="inlineStr">
        <is>
          <t>Town</t>
        </is>
      </c>
      <c r="D416" t="inlineStr">
        <is>
          <t>Win</t>
        </is>
      </c>
      <c r="E416" t="n">
        <v>60</v>
      </c>
      <c r="F416" t="n">
        <v>23.72815916778692</v>
      </c>
      <c r="G416" t="n">
        <v>24.54302119326562</v>
      </c>
      <c r="H416" t="n">
        <v>6.695275148583579</v>
      </c>
      <c r="I416" t="n">
        <v>926</v>
      </c>
      <c r="J416" t="n">
        <v>986</v>
      </c>
      <c r="K416" t="n">
        <v>6.736591501881879</v>
      </c>
    </row>
    <row r="417">
      <c r="A417" t="n">
        <v>131</v>
      </c>
      <c r="B417" t="inlineStr">
        <is>
          <t>Lou</t>
        </is>
      </c>
      <c r="C417" t="inlineStr">
        <is>
          <t>Town</t>
        </is>
      </c>
      <c r="D417" t="inlineStr">
        <is>
          <t>Win</t>
        </is>
      </c>
      <c r="E417" t="n">
        <v>52</v>
      </c>
      <c r="F417" t="n">
        <v>30.72039035202759</v>
      </c>
      <c r="G417" t="n">
        <v>31.43342160693884</v>
      </c>
      <c r="H417" t="n">
        <v>6.267904993409648</v>
      </c>
      <c r="I417" t="n">
        <v>1446</v>
      </c>
      <c r="J417" t="n">
        <v>1498</v>
      </c>
      <c r="K417" t="n">
        <v>6.301524417917151</v>
      </c>
    </row>
    <row r="418">
      <c r="A418" t="n">
        <v>131</v>
      </c>
      <c r="B418" t="inlineStr">
        <is>
          <t>Chester</t>
        </is>
      </c>
      <c r="C418" t="inlineStr">
        <is>
          <t>Town</t>
        </is>
      </c>
      <c r="D418" t="inlineStr">
        <is>
          <t>Win</t>
        </is>
      </c>
      <c r="E418" t="n">
        <v>63</v>
      </c>
      <c r="F418" t="n">
        <v>31.94815217583036</v>
      </c>
      <c r="G418" t="n">
        <v>32.81018197742709</v>
      </c>
      <c r="H418" t="n">
        <v>6.88381290828803</v>
      </c>
      <c r="I418" t="n">
        <v>1466</v>
      </c>
      <c r="J418" t="n">
        <v>1529</v>
      </c>
      <c r="K418" t="n">
        <v>6.928862320897951</v>
      </c>
    </row>
    <row r="419">
      <c r="A419" t="n">
        <v>131</v>
      </c>
      <c r="B419" t="inlineStr">
        <is>
          <t>Chelsea</t>
        </is>
      </c>
      <c r="C419" t="inlineStr">
        <is>
          <t>Town</t>
        </is>
      </c>
      <c r="D419" t="inlineStr">
        <is>
          <t>Win</t>
        </is>
      </c>
      <c r="E419" t="n">
        <v>80</v>
      </c>
      <c r="F419" t="n">
        <v>24.1153363185706</v>
      </c>
      <c r="G419" t="n">
        <v>25.19087357579496</v>
      </c>
      <c r="H419" t="n">
        <v>7.676475481893544</v>
      </c>
      <c r="I419" t="n">
        <v>850</v>
      </c>
      <c r="J419" t="n">
        <v>930</v>
      </c>
      <c r="K419" t="n">
        <v>7.739670998734116</v>
      </c>
    </row>
    <row r="420">
      <c r="A420" t="n">
        <v>131</v>
      </c>
      <c r="B420" t="inlineStr">
        <is>
          <t>Brownkow</t>
        </is>
      </c>
      <c r="C420" t="inlineStr">
        <is>
          <t>Town</t>
        </is>
      </c>
      <c r="D420" t="inlineStr">
        <is>
          <t>Win</t>
        </is>
      </c>
      <c r="E420" t="n">
        <v>47</v>
      </c>
      <c r="F420" t="n">
        <v>33.16581441849636</v>
      </c>
      <c r="G420" t="n">
        <v>33.82436386619042</v>
      </c>
      <c r="H420" t="n">
        <v>6.026219272031743</v>
      </c>
      <c r="I420" t="n">
        <v>1638</v>
      </c>
      <c r="J420" t="n">
        <v>1685</v>
      </c>
      <c r="K420" t="n">
        <v>6.05593228988451</v>
      </c>
    </row>
    <row r="421">
      <c r="A421" t="n">
        <v>131</v>
      </c>
      <c r="B421" t="inlineStr">
        <is>
          <t>Plen</t>
        </is>
      </c>
      <c r="C421" t="inlineStr">
        <is>
          <t>Town</t>
        </is>
      </c>
      <c r="D421" t="inlineStr">
        <is>
          <t>Win</t>
        </is>
      </c>
      <c r="E421" t="n">
        <v>49</v>
      </c>
      <c r="F421" t="n">
        <v>24.07666097371943</v>
      </c>
      <c r="G421" t="n">
        <v>24.75093953249373</v>
      </c>
      <c r="H421" t="n">
        <v>6.097021191472647</v>
      </c>
      <c r="I421" t="n">
        <v>1012</v>
      </c>
      <c r="J421" t="n">
        <v>1061</v>
      </c>
      <c r="K421" t="n">
        <v>6.127846416751157</v>
      </c>
    </row>
    <row r="422">
      <c r="A422" t="n">
        <v>131</v>
      </c>
      <c r="B422" t="inlineStr">
        <is>
          <t>Cyclone</t>
        </is>
      </c>
      <c r="C422" t="inlineStr">
        <is>
          <t>Town</t>
        </is>
      </c>
      <c r="D422" t="inlineStr">
        <is>
          <t>Win</t>
        </is>
      </c>
      <c r="E422" t="n">
        <v>81</v>
      </c>
      <c r="F422" t="n">
        <v>28.53216350873246</v>
      </c>
      <c r="G422" t="n">
        <v>29.61938176290632</v>
      </c>
      <c r="H422" t="n">
        <v>7.717348491365152</v>
      </c>
      <c r="I422" t="n">
        <v>1146</v>
      </c>
      <c r="J422" t="n">
        <v>1227</v>
      </c>
      <c r="K422" t="n">
        <v>7.781593274628591</v>
      </c>
    </row>
    <row r="423">
      <c r="A423" t="n">
        <v>131</v>
      </c>
      <c r="B423" t="inlineStr">
        <is>
          <t>Rocker</t>
        </is>
      </c>
      <c r="C423" t="inlineStr">
        <is>
          <t>Town</t>
        </is>
      </c>
      <c r="D423" t="inlineStr">
        <is>
          <t>Win</t>
        </is>
      </c>
      <c r="E423" t="n">
        <v>49</v>
      </c>
      <c r="F423" t="n">
        <v>32.4671200905836</v>
      </c>
      <c r="G423" t="n">
        <v>33.14210453547656</v>
      </c>
      <c r="H423" t="n">
        <v>6.100178541836296</v>
      </c>
      <c r="I423" t="n">
        <v>1582</v>
      </c>
      <c r="J423" t="n">
        <v>1631</v>
      </c>
      <c r="K423" t="n">
        <v>6.131053979490737</v>
      </c>
    </row>
    <row r="424">
      <c r="A424" t="n">
        <v>130</v>
      </c>
      <c r="B424" t="inlineStr">
        <is>
          <t>Strik3r</t>
        </is>
      </c>
      <c r="C424" t="inlineStr">
        <is>
          <t>Mafia</t>
        </is>
      </c>
      <c r="D424" t="inlineStr">
        <is>
          <t>Win</t>
        </is>
      </c>
      <c r="E424" t="n">
        <v>43</v>
      </c>
      <c r="F424" t="n">
        <v>26.0159197076862</v>
      </c>
      <c r="G424" t="n">
        <v>26.5913511013676</v>
      </c>
      <c r="H424" t="n">
        <v>6.992720802901037</v>
      </c>
      <c r="I424" t="n">
        <v>1052</v>
      </c>
      <c r="J424" t="n">
        <v>1095</v>
      </c>
      <c r="K424" t="n">
        <v>7.034424628046925</v>
      </c>
    </row>
    <row r="425">
      <c r="A425" t="n">
        <v>130</v>
      </c>
      <c r="B425" t="inlineStr">
        <is>
          <t>Laur</t>
        </is>
      </c>
      <c r="C425" t="inlineStr">
        <is>
          <t>Mafia</t>
        </is>
      </c>
      <c r="D425" t="inlineStr">
        <is>
          <t>Win</t>
        </is>
      </c>
      <c r="E425" t="n">
        <v>36</v>
      </c>
      <c r="F425" t="n">
        <v>32.23772252268651</v>
      </c>
      <c r="G425" t="n">
        <v>32.71789504990559</v>
      </c>
      <c r="H425" t="n">
        <v>6.394182513286193</v>
      </c>
      <c r="I425" t="n">
        <v>1537</v>
      </c>
      <c r="J425" t="n">
        <v>1573</v>
      </c>
      <c r="K425" t="n">
        <v>6.425719345467878</v>
      </c>
    </row>
    <row r="426">
      <c r="A426" t="n">
        <v>130</v>
      </c>
      <c r="B426" t="inlineStr">
        <is>
          <t>Rick</t>
        </is>
      </c>
      <c r="C426" t="inlineStr">
        <is>
          <t>Mafia</t>
        </is>
      </c>
      <c r="D426" t="inlineStr">
        <is>
          <t>Win</t>
        </is>
      </c>
      <c r="E426" t="n">
        <v>50</v>
      </c>
      <c r="F426" t="n">
        <v>28.93661905185223</v>
      </c>
      <c r="G426" t="n">
        <v>29.58999334711362</v>
      </c>
      <c r="H426" t="n">
        <v>7.445129361893676</v>
      </c>
      <c r="I426" t="n">
        <v>1203</v>
      </c>
      <c r="J426" t="n">
        <v>1253</v>
      </c>
      <c r="K426" t="n">
        <v>7.495801234916862</v>
      </c>
    </row>
    <row r="427">
      <c r="A427" t="n">
        <v>130</v>
      </c>
      <c r="B427" t="inlineStr">
        <is>
          <t>Iln</t>
        </is>
      </c>
      <c r="C427" t="inlineStr">
        <is>
          <t>Town</t>
        </is>
      </c>
      <c r="D427" t="inlineStr">
        <is>
          <t>Loss</t>
        </is>
      </c>
      <c r="E427" t="n">
        <v>-29</v>
      </c>
      <c r="F427" t="n">
        <v>29.96573667313231</v>
      </c>
      <c r="G427" t="n">
        <v>29.49694264624386</v>
      </c>
      <c r="H427" t="n">
        <v>6.318726306910784</v>
      </c>
      <c r="I427" t="n">
        <v>1390</v>
      </c>
      <c r="J427" t="n">
        <v>1361</v>
      </c>
      <c r="K427" t="n">
        <v>6.349110082687327</v>
      </c>
    </row>
    <row r="428">
      <c r="A428" t="n">
        <v>130</v>
      </c>
      <c r="B428" t="inlineStr">
        <is>
          <t>Noah</t>
        </is>
      </c>
      <c r="C428" t="inlineStr">
        <is>
          <t>Town</t>
        </is>
      </c>
      <c r="D428" t="inlineStr">
        <is>
          <t>Loss</t>
        </is>
      </c>
      <c r="E428" t="n">
        <v>-29</v>
      </c>
      <c r="F428" t="n">
        <v>32.75522552972687</v>
      </c>
      <c r="G428" t="n">
        <v>32.28978797333091</v>
      </c>
      <c r="H428" t="n">
        <v>6.296288194185371</v>
      </c>
      <c r="I428" t="n">
        <v>1582</v>
      </c>
      <c r="J428" t="n">
        <v>1553</v>
      </c>
      <c r="K428" t="n">
        <v>6.32633442105368</v>
      </c>
    </row>
    <row r="429">
      <c r="A429" t="n">
        <v>130</v>
      </c>
      <c r="B429" t="inlineStr">
        <is>
          <t>Brownkow</t>
        </is>
      </c>
      <c r="C429" t="inlineStr">
        <is>
          <t>Town</t>
        </is>
      </c>
      <c r="D429" t="inlineStr">
        <is>
          <t>Loss</t>
        </is>
      </c>
      <c r="E429" t="n">
        <v>-26</v>
      </c>
      <c r="F429" t="n">
        <v>33.59607551256834</v>
      </c>
      <c r="G429" t="n">
        <v>33.16581441849636</v>
      </c>
      <c r="H429" t="n">
        <v>6.05593228988451</v>
      </c>
      <c r="I429" t="n">
        <v>1664</v>
      </c>
      <c r="J429" t="n">
        <v>1638</v>
      </c>
      <c r="K429" t="n">
        <v>6.082512871356367</v>
      </c>
    </row>
    <row r="430">
      <c r="A430" t="n">
        <v>130</v>
      </c>
      <c r="B430" t="inlineStr">
        <is>
          <t>Kden</t>
        </is>
      </c>
      <c r="C430" t="inlineStr">
        <is>
          <t>Town</t>
        </is>
      </c>
      <c r="D430" t="inlineStr">
        <is>
          <t>Loss</t>
        </is>
      </c>
      <c r="E430" t="n">
        <v>-32</v>
      </c>
      <c r="F430" t="n">
        <v>25.29809766621501</v>
      </c>
      <c r="G430" t="n">
        <v>24.77567571741853</v>
      </c>
      <c r="H430" t="n">
        <v>6.666584496354326</v>
      </c>
      <c r="I430" t="n">
        <v>1037</v>
      </c>
      <c r="J430" t="n">
        <v>1005</v>
      </c>
      <c r="K430" t="n">
        <v>6.70251908594129</v>
      </c>
    </row>
    <row r="431">
      <c r="A431" t="n">
        <v>130</v>
      </c>
      <c r="B431" t="inlineStr">
        <is>
          <t>Chelsea</t>
        </is>
      </c>
      <c r="C431" t="inlineStr">
        <is>
          <t>Town</t>
        </is>
      </c>
      <c r="D431" t="inlineStr">
        <is>
          <t>Loss</t>
        </is>
      </c>
      <c r="E431" t="n">
        <v>-43</v>
      </c>
      <c r="F431" t="n">
        <v>24.8222317027819</v>
      </c>
      <c r="G431" t="n">
        <v>24.1153363185706</v>
      </c>
      <c r="H431" t="n">
        <v>7.739670998734116</v>
      </c>
      <c r="I431" t="n">
        <v>893</v>
      </c>
      <c r="J431" t="n">
        <v>850</v>
      </c>
      <c r="K431" t="n">
        <v>7.796820547812848</v>
      </c>
    </row>
    <row r="432">
      <c r="A432" t="n">
        <v>130</v>
      </c>
      <c r="B432" t="inlineStr">
        <is>
          <t>Mintt</t>
        </is>
      </c>
      <c r="C432" t="inlineStr">
        <is>
          <t>Town</t>
        </is>
      </c>
      <c r="D432" t="inlineStr">
        <is>
          <t>Loss</t>
        </is>
      </c>
      <c r="E432" t="n">
        <v>-32</v>
      </c>
      <c r="F432" t="n">
        <v>33.12522186163815</v>
      </c>
      <c r="G432" t="n">
        <v>32.58965475023673</v>
      </c>
      <c r="H432" t="n">
        <v>6.74899848613813</v>
      </c>
      <c r="I432" t="n">
        <v>1560</v>
      </c>
      <c r="J432" t="n">
        <v>1528</v>
      </c>
      <c r="K432" t="n">
        <v>6.786338028025921</v>
      </c>
    </row>
    <row r="433">
      <c r="A433" t="n">
        <v>130</v>
      </c>
      <c r="B433" t="inlineStr">
        <is>
          <t>Heftyduck</t>
        </is>
      </c>
      <c r="C433" t="inlineStr">
        <is>
          <t>Town</t>
        </is>
      </c>
      <c r="D433" t="inlineStr">
        <is>
          <t>Loss</t>
        </is>
      </c>
      <c r="E433" t="n">
        <v>-47</v>
      </c>
      <c r="F433" t="n">
        <v>25.94608953548068</v>
      </c>
      <c r="G433" t="n">
        <v>25.15248791460971</v>
      </c>
      <c r="H433" t="n">
        <v>8.193068624064622</v>
      </c>
      <c r="I433" t="n">
        <v>922</v>
      </c>
      <c r="J433" t="n">
        <v>875</v>
      </c>
      <c r="K433" t="n">
        <v>8.261238140196573</v>
      </c>
    </row>
    <row r="434">
      <c r="A434" t="n">
        <v>130</v>
      </c>
      <c r="B434" t="inlineStr">
        <is>
          <t>Badpants</t>
        </is>
      </c>
      <c r="C434" t="inlineStr">
        <is>
          <t>Town</t>
        </is>
      </c>
      <c r="D434" t="inlineStr">
        <is>
          <t>Loss</t>
        </is>
      </c>
      <c r="E434" t="n">
        <v>-29</v>
      </c>
      <c r="F434" t="n">
        <v>25.58836147904394</v>
      </c>
      <c r="G434" t="n">
        <v>25.1298665844833</v>
      </c>
      <c r="H434" t="n">
        <v>6.24961035097756</v>
      </c>
      <c r="I434" t="n">
        <v>1100</v>
      </c>
      <c r="J434" t="n">
        <v>1071</v>
      </c>
      <c r="K434" t="n">
        <v>6.278962138480291</v>
      </c>
    </row>
    <row r="435">
      <c r="A435" t="n">
        <v>130</v>
      </c>
      <c r="B435" t="inlineStr">
        <is>
          <t>Lou</t>
        </is>
      </c>
      <c r="C435" t="inlineStr">
        <is>
          <t>Town</t>
        </is>
      </c>
      <c r="D435" t="inlineStr">
        <is>
          <t>Loss</t>
        </is>
      </c>
      <c r="E435" t="n">
        <v>-29</v>
      </c>
      <c r="F435" t="n">
        <v>31.18661007323134</v>
      </c>
      <c r="G435" t="n">
        <v>30.72039035202759</v>
      </c>
      <c r="H435" t="n">
        <v>6.301524417917151</v>
      </c>
      <c r="I435" t="n">
        <v>1475</v>
      </c>
      <c r="J435" t="n">
        <v>1446</v>
      </c>
      <c r="K435" t="n">
        <v>6.331649198814199</v>
      </c>
    </row>
    <row r="436">
      <c r="A436" t="n">
        <v>130</v>
      </c>
      <c r="B436" t="inlineStr">
        <is>
          <t>Dani</t>
        </is>
      </c>
      <c r="C436" t="inlineStr">
        <is>
          <t>Town</t>
        </is>
      </c>
      <c r="D436" t="inlineStr">
        <is>
          <t>Loss</t>
        </is>
      </c>
      <c r="E436" t="n">
        <v>-42</v>
      </c>
      <c r="F436" t="n">
        <v>25.79359183353509</v>
      </c>
      <c r="G436" t="n">
        <v>25.07717251491538</v>
      </c>
      <c r="H436" t="n">
        <v>7.790847682137445</v>
      </c>
      <c r="I436" t="n">
        <v>953</v>
      </c>
      <c r="J436" t="n">
        <v>911</v>
      </c>
      <c r="K436" t="n">
        <v>7.849176314491979</v>
      </c>
    </row>
    <row r="437">
      <c r="A437" t="n">
        <v>129</v>
      </c>
      <c r="B437" t="inlineStr">
        <is>
          <t>Siggy</t>
        </is>
      </c>
      <c r="C437" t="inlineStr">
        <is>
          <t>Mafia</t>
        </is>
      </c>
      <c r="D437" t="inlineStr">
        <is>
          <t>Loss</t>
        </is>
      </c>
      <c r="E437" t="n">
        <v>-128</v>
      </c>
      <c r="F437" t="n">
        <v>26.89533968697353</v>
      </c>
      <c r="G437" t="n">
        <v>24.88087722207722</v>
      </c>
      <c r="H437" t="n">
        <v>7.901074742260889</v>
      </c>
      <c r="I437" t="n">
        <v>1014</v>
      </c>
      <c r="J437" t="n">
        <v>886</v>
      </c>
      <c r="K437" t="n">
        <v>7.991868301240707</v>
      </c>
    </row>
    <row r="438">
      <c r="A438" t="n">
        <v>129</v>
      </c>
      <c r="B438" t="inlineStr">
        <is>
          <t>Brownkow</t>
        </is>
      </c>
      <c r="C438" t="inlineStr">
        <is>
          <t>Mafia</t>
        </is>
      </c>
      <c r="D438" t="inlineStr">
        <is>
          <t>Loss</t>
        </is>
      </c>
      <c r="E438" t="n">
        <v>-76</v>
      </c>
      <c r="F438" t="n">
        <v>34.77856749742337</v>
      </c>
      <c r="G438" t="n">
        <v>33.59607551256834</v>
      </c>
      <c r="H438" t="n">
        <v>6.082512871356367</v>
      </c>
      <c r="I438" t="n">
        <v>1740</v>
      </c>
      <c r="J438" t="n">
        <v>1664</v>
      </c>
      <c r="K438" t="n">
        <v>6.122713103402875</v>
      </c>
    </row>
    <row r="439">
      <c r="A439" t="n">
        <v>129</v>
      </c>
      <c r="B439" t="inlineStr">
        <is>
          <t>Kwix</t>
        </is>
      </c>
      <c r="C439" t="inlineStr">
        <is>
          <t>Mafia</t>
        </is>
      </c>
      <c r="D439" t="inlineStr">
        <is>
          <t>Loss</t>
        </is>
      </c>
      <c r="E439" t="n">
        <v>-94</v>
      </c>
      <c r="F439" t="n">
        <v>25.18317977317953</v>
      </c>
      <c r="G439" t="n">
        <v>23.72815916778692</v>
      </c>
      <c r="H439" t="n">
        <v>6.736591501881879</v>
      </c>
      <c r="I439" t="n">
        <v>1020</v>
      </c>
      <c r="J439" t="n">
        <v>926</v>
      </c>
      <c r="K439" t="n">
        <v>6.791883502077933</v>
      </c>
    </row>
    <row r="440">
      <c r="A440" t="n">
        <v>129</v>
      </c>
      <c r="B440" t="inlineStr">
        <is>
          <t>Motr</t>
        </is>
      </c>
      <c r="C440" t="inlineStr">
        <is>
          <t>Town</t>
        </is>
      </c>
      <c r="D440" t="inlineStr">
        <is>
          <t>Win</t>
        </is>
      </c>
      <c r="E440" t="n">
        <v>128</v>
      </c>
      <c r="F440" t="n">
        <v>24.41819949849237</v>
      </c>
      <c r="G440" t="n">
        <v>26.19419396866314</v>
      </c>
      <c r="H440" t="n">
        <v>7.4289058094241</v>
      </c>
      <c r="I440" t="n">
        <v>895</v>
      </c>
      <c r="J440" t="n">
        <v>1023</v>
      </c>
      <c r="K440" t="n">
        <v>7.503864239592835</v>
      </c>
    </row>
    <row r="441">
      <c r="A441" t="n">
        <v>129</v>
      </c>
      <c r="B441" t="inlineStr">
        <is>
          <t>Strik3r</t>
        </is>
      </c>
      <c r="C441" t="inlineStr">
        <is>
          <t>Town</t>
        </is>
      </c>
      <c r="D441" t="inlineStr">
        <is>
          <t>Win</t>
        </is>
      </c>
      <c r="E441" t="n">
        <v>115</v>
      </c>
      <c r="F441" t="n">
        <v>24.42695527238854</v>
      </c>
      <c r="G441" t="n">
        <v>26.0159197076862</v>
      </c>
      <c r="H441" t="n">
        <v>7.034424628046925</v>
      </c>
      <c r="I441" t="n">
        <v>937</v>
      </c>
      <c r="J441" t="n">
        <v>1052</v>
      </c>
      <c r="K441" t="n">
        <v>7.097684861500653</v>
      </c>
    </row>
    <row r="442">
      <c r="A442" t="n">
        <v>129</v>
      </c>
      <c r="B442" t="inlineStr">
        <is>
          <t>Laur</t>
        </is>
      </c>
      <c r="C442" t="inlineStr">
        <is>
          <t>Town</t>
        </is>
      </c>
      <c r="D442" t="inlineStr">
        <is>
          <t>Win</t>
        </is>
      </c>
      <c r="E442" t="n">
        <v>95</v>
      </c>
      <c r="F442" t="n">
        <v>30.91591385425563</v>
      </c>
      <c r="G442" t="n">
        <v>32.23772252268651</v>
      </c>
      <c r="H442" t="n">
        <v>6.425719345467878</v>
      </c>
      <c r="I442" t="n">
        <v>1442</v>
      </c>
      <c r="J442" t="n">
        <v>1537</v>
      </c>
      <c r="K442" t="n">
        <v>6.473441235977532</v>
      </c>
    </row>
    <row r="443">
      <c r="A443" t="n">
        <v>129</v>
      </c>
      <c r="B443" t="inlineStr">
        <is>
          <t>Pinkee</t>
        </is>
      </c>
      <c r="C443" t="inlineStr">
        <is>
          <t>Town</t>
        </is>
      </c>
      <c r="D443" t="inlineStr">
        <is>
          <t>Win</t>
        </is>
      </c>
      <c r="E443" t="n">
        <v>151</v>
      </c>
      <c r="F443" t="n">
        <v>26.78219799670184</v>
      </c>
      <c r="G443" t="n">
        <v>28.85584883036951</v>
      </c>
      <c r="H443" t="n">
        <v>8.013566546628031</v>
      </c>
      <c r="I443" t="n">
        <v>994</v>
      </c>
      <c r="J443" t="n">
        <v>1145</v>
      </c>
      <c r="K443" t="n">
        <v>8.108443864658931</v>
      </c>
    </row>
    <row r="444">
      <c r="A444" t="n">
        <v>129</v>
      </c>
      <c r="B444" t="inlineStr">
        <is>
          <t>Rollo</t>
        </is>
      </c>
      <c r="C444" t="inlineStr">
        <is>
          <t>Town</t>
        </is>
      </c>
      <c r="D444" t="inlineStr">
        <is>
          <t>Win</t>
        </is>
      </c>
      <c r="E444" t="n">
        <v>109</v>
      </c>
      <c r="F444" t="n">
        <v>32.98597623171281</v>
      </c>
      <c r="G444" t="n">
        <v>34.50030480519175</v>
      </c>
      <c r="H444" t="n">
        <v>6.870175129325411</v>
      </c>
      <c r="I444" t="n">
        <v>1536</v>
      </c>
      <c r="J444" t="n">
        <v>1645</v>
      </c>
      <c r="K444" t="n">
        <v>6.928952088333647</v>
      </c>
    </row>
    <row r="445">
      <c r="A445" t="n">
        <v>129</v>
      </c>
      <c r="B445" t="inlineStr">
        <is>
          <t>Dani</t>
        </is>
      </c>
      <c r="C445" t="inlineStr">
        <is>
          <t>Town</t>
        </is>
      </c>
      <c r="D445" t="inlineStr">
        <is>
          <t>Win</t>
        </is>
      </c>
      <c r="E445" t="n">
        <v>144</v>
      </c>
      <c r="F445" t="n">
        <v>23.80612649048757</v>
      </c>
      <c r="G445" t="n">
        <v>25.79359183353509</v>
      </c>
      <c r="H445" t="n">
        <v>7.849176314491979</v>
      </c>
      <c r="I445" t="n">
        <v>809</v>
      </c>
      <c r="J445" t="n">
        <v>953</v>
      </c>
      <c r="K445" t="n">
        <v>7.938127113007826</v>
      </c>
    </row>
    <row r="446">
      <c r="A446" t="n">
        <v>129</v>
      </c>
      <c r="B446" t="inlineStr">
        <is>
          <t>Whyin</t>
        </is>
      </c>
      <c r="C446" t="inlineStr">
        <is>
          <t>Town</t>
        </is>
      </c>
      <c r="D446" t="inlineStr">
        <is>
          <t>Win</t>
        </is>
      </c>
      <c r="E446" t="n">
        <v>105</v>
      </c>
      <c r="F446" t="n">
        <v>26.68665268344037</v>
      </c>
      <c r="G446" t="n">
        <v>28.15117668612818</v>
      </c>
      <c r="H446" t="n">
        <v>6.758186883105173</v>
      </c>
      <c r="I446" t="n">
        <v>1120</v>
      </c>
      <c r="J446" t="n">
        <v>1225</v>
      </c>
      <c r="K446" t="n">
        <v>6.814032625582276</v>
      </c>
    </row>
    <row r="447">
      <c r="A447" t="n">
        <v>129</v>
      </c>
      <c r="B447" t="inlineStr">
        <is>
          <t>Plen</t>
        </is>
      </c>
      <c r="C447" t="inlineStr">
        <is>
          <t>Town</t>
        </is>
      </c>
      <c r="D447" t="inlineStr">
        <is>
          <t>Win</t>
        </is>
      </c>
      <c r="E447" t="n">
        <v>86</v>
      </c>
      <c r="F447" t="n">
        <v>22.87623042110364</v>
      </c>
      <c r="G447" t="n">
        <v>24.07666097371943</v>
      </c>
      <c r="H447" t="n">
        <v>6.127846416751157</v>
      </c>
      <c r="I447" t="n">
        <v>926</v>
      </c>
      <c r="J447" t="n">
        <v>1012</v>
      </c>
      <c r="K447" t="n">
        <v>6.168991796811055</v>
      </c>
    </row>
    <row r="448">
      <c r="A448" t="n">
        <v>129</v>
      </c>
      <c r="B448" t="inlineStr">
        <is>
          <t>Cj</t>
        </is>
      </c>
      <c r="C448" t="inlineStr">
        <is>
          <t>Town</t>
        </is>
      </c>
      <c r="D448" t="inlineStr">
        <is>
          <t>Win</t>
        </is>
      </c>
      <c r="E448" t="n">
        <v>128</v>
      </c>
      <c r="F448" t="n">
        <v>25.01317198522291</v>
      </c>
      <c r="G448" t="n">
        <v>26.79380351070437</v>
      </c>
      <c r="H448" t="n">
        <v>7.43839906525394</v>
      </c>
      <c r="I448" t="n">
        <v>935</v>
      </c>
      <c r="J448" t="n">
        <v>1063</v>
      </c>
      <c r="K448" t="n">
        <v>7.513655745861061</v>
      </c>
    </row>
    <row r="449">
      <c r="A449" t="n">
        <v>129</v>
      </c>
      <c r="B449" t="inlineStr">
        <is>
          <t>Chelsea</t>
        </is>
      </c>
      <c r="C449" t="inlineStr">
        <is>
          <t>Town</t>
        </is>
      </c>
      <c r="D449" t="inlineStr">
        <is>
          <t>Win</t>
        </is>
      </c>
      <c r="E449" t="n">
        <v>143</v>
      </c>
      <c r="F449" t="n">
        <v>22.86180383465669</v>
      </c>
      <c r="G449" t="n">
        <v>24.8222317027819</v>
      </c>
      <c r="H449" t="n">
        <v>7.796820547812848</v>
      </c>
      <c r="I449" t="n">
        <v>750</v>
      </c>
      <c r="J449" t="n">
        <v>893</v>
      </c>
      <c r="K449" t="n">
        <v>7.883938454673304</v>
      </c>
    </row>
    <row r="450">
      <c r="A450" t="n">
        <v>128</v>
      </c>
      <c r="B450" t="inlineStr">
        <is>
          <t>Decode</t>
        </is>
      </c>
      <c r="C450" t="inlineStr">
        <is>
          <t>Mafia</t>
        </is>
      </c>
      <c r="D450" t="inlineStr">
        <is>
          <t>Loss</t>
        </is>
      </c>
      <c r="E450" t="n">
        <v>-61</v>
      </c>
      <c r="F450" t="n">
        <v>19.7078089360689</v>
      </c>
      <c r="G450" t="n">
        <v>18.70991888477052</v>
      </c>
      <c r="H450" t="n">
        <v>7.725113665038228</v>
      </c>
      <c r="I450" t="n">
        <v>545</v>
      </c>
      <c r="J450" t="n">
        <v>484</v>
      </c>
      <c r="K450" t="n">
        <v>7.792222401681866</v>
      </c>
    </row>
    <row r="451">
      <c r="A451" t="n">
        <v>128</v>
      </c>
      <c r="B451" t="inlineStr">
        <is>
          <t>Badpants</t>
        </is>
      </c>
      <c r="C451" t="inlineStr">
        <is>
          <t>Mafia</t>
        </is>
      </c>
      <c r="D451" t="inlineStr">
        <is>
          <t>Loss</t>
        </is>
      </c>
      <c r="E451" t="n">
        <v>-41</v>
      </c>
      <c r="F451" t="n">
        <v>26.24364574281871</v>
      </c>
      <c r="G451" t="n">
        <v>25.58836147904394</v>
      </c>
      <c r="H451" t="n">
        <v>6.278962138480291</v>
      </c>
      <c r="I451" t="n">
        <v>1141</v>
      </c>
      <c r="J451" t="n">
        <v>1100</v>
      </c>
      <c r="K451" t="n">
        <v>6.314168445661095</v>
      </c>
    </row>
    <row r="452">
      <c r="A452" t="n">
        <v>128</v>
      </c>
      <c r="B452" t="inlineStr">
        <is>
          <t>Mintt</t>
        </is>
      </c>
      <c r="C452" t="inlineStr">
        <is>
          <t>Mafia</t>
        </is>
      </c>
      <c r="D452" t="inlineStr">
        <is>
          <t>Loss</t>
        </is>
      </c>
      <c r="E452" t="n">
        <v>-48</v>
      </c>
      <c r="F452" t="n">
        <v>33.8921893857761</v>
      </c>
      <c r="G452" t="n">
        <v>33.12522186163815</v>
      </c>
      <c r="H452" t="n">
        <v>6.786338028025921</v>
      </c>
      <c r="I452" t="n">
        <v>1608</v>
      </c>
      <c r="J452" t="n">
        <v>1560</v>
      </c>
      <c r="K452" t="n">
        <v>6.831211199854761</v>
      </c>
    </row>
    <row r="453">
      <c r="A453" t="n">
        <v>128</v>
      </c>
      <c r="B453" t="inlineStr">
        <is>
          <t>Doublea</t>
        </is>
      </c>
      <c r="C453" t="inlineStr">
        <is>
          <t>Town</t>
        </is>
      </c>
      <c r="D453" t="inlineStr">
        <is>
          <t>Win</t>
        </is>
      </c>
      <c r="E453" t="n">
        <v>66</v>
      </c>
      <c r="F453" t="n">
        <v>22.07317448788596</v>
      </c>
      <c r="G453" t="n">
        <v>22.96470423223189</v>
      </c>
      <c r="H453" t="n">
        <v>7.308677734749899</v>
      </c>
      <c r="I453" t="n">
        <v>750</v>
      </c>
      <c r="J453" t="n">
        <v>816</v>
      </c>
      <c r="K453" t="n">
        <v>7.365184746958544</v>
      </c>
    </row>
    <row r="454">
      <c r="A454" t="n">
        <v>128</v>
      </c>
      <c r="B454" t="inlineStr">
        <is>
          <t>Laur</t>
        </is>
      </c>
      <c r="C454" t="inlineStr">
        <is>
          <t>Town</t>
        </is>
      </c>
      <c r="D454" t="inlineStr">
        <is>
          <t>Win</t>
        </is>
      </c>
      <c r="E454" t="n">
        <v>51</v>
      </c>
      <c r="F454" t="n">
        <v>30.21889811030204</v>
      </c>
      <c r="G454" t="n">
        <v>30.91591385425563</v>
      </c>
      <c r="H454" t="n">
        <v>6.473441235977532</v>
      </c>
      <c r="I454" t="n">
        <v>1391</v>
      </c>
      <c r="J454" t="n">
        <v>1442</v>
      </c>
      <c r="K454" t="n">
        <v>6.51217179591378</v>
      </c>
    </row>
    <row r="455">
      <c r="A455" t="n">
        <v>128</v>
      </c>
      <c r="B455" t="inlineStr">
        <is>
          <t>Chelsea</t>
        </is>
      </c>
      <c r="C455" t="inlineStr">
        <is>
          <t>Town</t>
        </is>
      </c>
      <c r="D455" t="inlineStr">
        <is>
          <t>Win</t>
        </is>
      </c>
      <c r="E455" t="n">
        <v>78</v>
      </c>
      <c r="F455" t="n">
        <v>21.82168420697438</v>
      </c>
      <c r="G455" t="n">
        <v>22.86180383465669</v>
      </c>
      <c r="H455" t="n">
        <v>7.883938454673304</v>
      </c>
      <c r="I455" t="n">
        <v>672</v>
      </c>
      <c r="J455" t="n">
        <v>750</v>
      </c>
      <c r="K455" t="n">
        <v>7.955419599542012</v>
      </c>
    </row>
    <row r="456">
      <c r="A456" t="n">
        <v>128</v>
      </c>
      <c r="B456" t="inlineStr">
        <is>
          <t>Svaan</t>
        </is>
      </c>
      <c r="C456" t="inlineStr">
        <is>
          <t>Town</t>
        </is>
      </c>
      <c r="D456" t="inlineStr">
        <is>
          <t>Win</t>
        </is>
      </c>
      <c r="E456" t="n">
        <v>69</v>
      </c>
      <c r="F456" t="n">
        <v>29.62006012209468</v>
      </c>
      <c r="G456" t="n">
        <v>30.53897845808341</v>
      </c>
      <c r="H456" t="n">
        <v>7.418302298020812</v>
      </c>
      <c r="I456" t="n">
        <v>1251</v>
      </c>
      <c r="J456" t="n">
        <v>1320</v>
      </c>
      <c r="K456" t="n">
        <v>7.477482035191226</v>
      </c>
    </row>
    <row r="457">
      <c r="A457" t="n">
        <v>128</v>
      </c>
      <c r="B457" t="inlineStr">
        <is>
          <t>Cyclone</t>
        </is>
      </c>
      <c r="C457" t="inlineStr">
        <is>
          <t>Town</t>
        </is>
      </c>
      <c r="D457" t="inlineStr">
        <is>
          <t>Win</t>
        </is>
      </c>
      <c r="E457" t="n">
        <v>75</v>
      </c>
      <c r="F457" t="n">
        <v>27.51936200833019</v>
      </c>
      <c r="G457" t="n">
        <v>28.53216350873246</v>
      </c>
      <c r="H457" t="n">
        <v>7.781593274628591</v>
      </c>
      <c r="I457" t="n">
        <v>1071</v>
      </c>
      <c r="J457" t="n">
        <v>1146</v>
      </c>
      <c r="K457" t="n">
        <v>7.850235540050062</v>
      </c>
    </row>
    <row r="458">
      <c r="A458" t="n">
        <v>128</v>
      </c>
      <c r="B458" t="inlineStr">
        <is>
          <t>Chipper</t>
        </is>
      </c>
      <c r="C458" t="inlineStr">
        <is>
          <t>Town</t>
        </is>
      </c>
      <c r="D458" t="inlineStr">
        <is>
          <t>Win</t>
        </is>
      </c>
      <c r="E458" t="n">
        <v>55</v>
      </c>
      <c r="F458" t="n">
        <v>25.82615179439923</v>
      </c>
      <c r="G458" t="n">
        <v>26.57725078595467</v>
      </c>
      <c r="H458" t="n">
        <v>6.716703362795016</v>
      </c>
      <c r="I458" t="n">
        <v>1067</v>
      </c>
      <c r="J458" t="n">
        <v>1122</v>
      </c>
      <c r="K458" t="n">
        <v>6.760157765998501</v>
      </c>
    </row>
    <row r="459">
      <c r="A459" t="n">
        <v>128</v>
      </c>
      <c r="B459" t="inlineStr">
        <is>
          <t>Brownkow</t>
        </is>
      </c>
      <c r="C459" t="inlineStr">
        <is>
          <t>Town</t>
        </is>
      </c>
      <c r="D459" t="inlineStr">
        <is>
          <t>Win</t>
        </is>
      </c>
      <c r="E459" t="n">
        <v>45</v>
      </c>
      <c r="F459" t="n">
        <v>34.15584617853513</v>
      </c>
      <c r="G459" t="n">
        <v>34.77856749742337</v>
      </c>
      <c r="H459" t="n">
        <v>6.122713103402875</v>
      </c>
      <c r="I459" t="n">
        <v>1695</v>
      </c>
      <c r="J459" t="n">
        <v>1740</v>
      </c>
      <c r="K459" t="n">
        <v>6.155244561712442</v>
      </c>
    </row>
    <row r="460">
      <c r="A460" t="n">
        <v>128</v>
      </c>
      <c r="B460" t="inlineStr">
        <is>
          <t>Lou</t>
        </is>
      </c>
      <c r="C460" t="inlineStr">
        <is>
          <t>Town</t>
        </is>
      </c>
      <c r="D460" t="inlineStr">
        <is>
          <t>Win</t>
        </is>
      </c>
      <c r="E460" t="n">
        <v>49</v>
      </c>
      <c r="F460" t="n">
        <v>30.52015194954888</v>
      </c>
      <c r="G460" t="n">
        <v>31.18661007323134</v>
      </c>
      <c r="H460" t="n">
        <v>6.331649198814199</v>
      </c>
      <c r="I460" t="n">
        <v>1426</v>
      </c>
      <c r="J460" t="n">
        <v>1475</v>
      </c>
      <c r="K460" t="n">
        <v>6.367788647986476</v>
      </c>
    </row>
    <row r="461">
      <c r="A461" t="n">
        <v>128</v>
      </c>
      <c r="B461" t="inlineStr">
        <is>
          <t>Chester</t>
        </is>
      </c>
      <c r="C461" t="inlineStr">
        <is>
          <t>Town</t>
        </is>
      </c>
      <c r="D461" t="inlineStr">
        <is>
          <t>Win</t>
        </is>
      </c>
      <c r="E461" t="n">
        <v>60</v>
      </c>
      <c r="F461" t="n">
        <v>31.14816677126291</v>
      </c>
      <c r="G461" t="n">
        <v>31.94815217583036</v>
      </c>
      <c r="H461" t="n">
        <v>6.928862320897951</v>
      </c>
      <c r="I461" t="n">
        <v>1406</v>
      </c>
      <c r="J461" t="n">
        <v>1466</v>
      </c>
      <c r="K461" t="n">
        <v>6.976734198508979</v>
      </c>
    </row>
    <row r="462">
      <c r="A462" t="n">
        <v>128</v>
      </c>
      <c r="B462" t="inlineStr">
        <is>
          <t>Iln</t>
        </is>
      </c>
      <c r="C462" t="inlineStr">
        <is>
          <t>Town</t>
        </is>
      </c>
      <c r="D462" t="inlineStr">
        <is>
          <t>Win</t>
        </is>
      </c>
      <c r="E462" t="n">
        <v>49</v>
      </c>
      <c r="F462" t="n">
        <v>29.29555386489102</v>
      </c>
      <c r="G462" t="n">
        <v>29.96573667313231</v>
      </c>
      <c r="H462" t="n">
        <v>6.349110082687327</v>
      </c>
      <c r="I462" t="n">
        <v>1341</v>
      </c>
      <c r="J462" t="n">
        <v>1390</v>
      </c>
      <c r="K462" t="n">
        <v>6.385562300840168</v>
      </c>
    </row>
    <row r="463">
      <c r="A463" t="n">
        <v>127</v>
      </c>
      <c r="B463" t="inlineStr">
        <is>
          <t>Laur</t>
        </is>
      </c>
      <c r="C463" t="inlineStr">
        <is>
          <t>Mafia</t>
        </is>
      </c>
      <c r="D463" t="inlineStr">
        <is>
          <t>Loss</t>
        </is>
      </c>
      <c r="E463" t="n">
        <v>-60</v>
      </c>
      <c r="F463" t="n">
        <v>31.17226753440136</v>
      </c>
      <c r="G463" t="n">
        <v>30.21889811030204</v>
      </c>
      <c r="H463" t="n">
        <v>6.51217179591378</v>
      </c>
      <c r="I463" t="n">
        <v>1451</v>
      </c>
      <c r="J463" t="n">
        <v>1391</v>
      </c>
      <c r="K463" t="n">
        <v>6.55597553816693</v>
      </c>
    </row>
    <row r="464">
      <c r="A464" t="n">
        <v>127</v>
      </c>
      <c r="B464" t="inlineStr">
        <is>
          <t>Motr</t>
        </is>
      </c>
      <c r="C464" t="inlineStr">
        <is>
          <t>Mafia</t>
        </is>
      </c>
      <c r="D464" t="inlineStr">
        <is>
          <t>Loss</t>
        </is>
      </c>
      <c r="E464" t="n">
        <v>-80</v>
      </c>
      <c r="F464" t="n">
        <v>25.68987247202641</v>
      </c>
      <c r="G464" t="n">
        <v>24.41819949849237</v>
      </c>
      <c r="H464" t="n">
        <v>7.503864239592835</v>
      </c>
      <c r="I464" t="n">
        <v>975</v>
      </c>
      <c r="J464" t="n">
        <v>895</v>
      </c>
      <c r="K464" t="n">
        <v>7.571938551971835</v>
      </c>
    </row>
    <row r="465">
      <c r="A465" t="n">
        <v>127</v>
      </c>
      <c r="B465" t="inlineStr">
        <is>
          <t>Paradox</t>
        </is>
      </c>
      <c r="C465" t="inlineStr">
        <is>
          <t>Mafia</t>
        </is>
      </c>
      <c r="D465" t="inlineStr">
        <is>
          <t>Loss</t>
        </is>
      </c>
      <c r="E465" t="n">
        <v>-95</v>
      </c>
      <c r="F465" t="n">
        <v>25</v>
      </c>
      <c r="G465" t="n">
        <v>23.45976999260812</v>
      </c>
      <c r="H465" t="n">
        <v>8.242224431809934</v>
      </c>
      <c r="I465" t="n">
        <v>850</v>
      </c>
      <c r="J465" t="n">
        <v>755</v>
      </c>
      <c r="K465" t="n">
        <v>8.333333333333334</v>
      </c>
    </row>
    <row r="466">
      <c r="A466" t="n">
        <v>127</v>
      </c>
      <c r="B466" t="inlineStr">
        <is>
          <t>Chipper</t>
        </is>
      </c>
      <c r="C466" t="inlineStr">
        <is>
          <t>Town</t>
        </is>
      </c>
      <c r="D466" t="inlineStr">
        <is>
          <t>Win</t>
        </is>
      </c>
      <c r="E466" t="n">
        <v>75</v>
      </c>
      <c r="F466" t="n">
        <v>24.79767779774192</v>
      </c>
      <c r="G466" t="n">
        <v>25.82615179439923</v>
      </c>
      <c r="H466" t="n">
        <v>6.760157765998501</v>
      </c>
      <c r="I466" t="n">
        <v>992</v>
      </c>
      <c r="J466" t="n">
        <v>1067</v>
      </c>
      <c r="K466" t="n">
        <v>6.80937202153916</v>
      </c>
    </row>
    <row r="467">
      <c r="A467" t="n">
        <v>127</v>
      </c>
      <c r="B467" t="inlineStr">
        <is>
          <t>Brownkow</t>
        </is>
      </c>
      <c r="C467" t="inlineStr">
        <is>
          <t>Town</t>
        </is>
      </c>
      <c r="D467" t="inlineStr">
        <is>
          <t>Win</t>
        </is>
      </c>
      <c r="E467" t="n">
        <v>62</v>
      </c>
      <c r="F467" t="n">
        <v>33.30538043042513</v>
      </c>
      <c r="G467" t="n">
        <v>34.15584617853513</v>
      </c>
      <c r="H467" t="n">
        <v>6.155244561712442</v>
      </c>
      <c r="I467" t="n">
        <v>1633</v>
      </c>
      <c r="J467" t="n">
        <v>1695</v>
      </c>
      <c r="K467" t="n">
        <v>6.191972450266154</v>
      </c>
    </row>
    <row r="468">
      <c r="A468" t="n">
        <v>127</v>
      </c>
      <c r="B468" t="inlineStr">
        <is>
          <t>Rocker</t>
        </is>
      </c>
      <c r="C468" t="inlineStr">
        <is>
          <t>Town</t>
        </is>
      </c>
      <c r="D468" t="inlineStr">
        <is>
          <t>Win</t>
        </is>
      </c>
      <c r="E468" t="n">
        <v>61</v>
      </c>
      <c r="F468" t="n">
        <v>31.62340796118529</v>
      </c>
      <c r="G468" t="n">
        <v>32.4671200905836</v>
      </c>
      <c r="H468" t="n">
        <v>6.131053979490737</v>
      </c>
      <c r="I468" t="n">
        <v>1521</v>
      </c>
      <c r="J468" t="n">
        <v>1582</v>
      </c>
      <c r="K468" t="n">
        <v>6.167331526460006</v>
      </c>
    </row>
    <row r="469">
      <c r="A469" t="n">
        <v>127</v>
      </c>
      <c r="B469" t="inlineStr">
        <is>
          <t>Lou</t>
        </is>
      </c>
      <c r="C469" t="inlineStr">
        <is>
          <t>Town</t>
        </is>
      </c>
      <c r="D469" t="inlineStr">
        <is>
          <t>Win</t>
        </is>
      </c>
      <c r="E469" t="n">
        <v>66</v>
      </c>
      <c r="F469" t="n">
        <v>29.60914465914385</v>
      </c>
      <c r="G469" t="n">
        <v>30.52015194954888</v>
      </c>
      <c r="H469" t="n">
        <v>6.367788647986476</v>
      </c>
      <c r="I469" t="n">
        <v>1360</v>
      </c>
      <c r="J469" t="n">
        <v>1426</v>
      </c>
      <c r="K469" t="n">
        <v>6.408631375677627</v>
      </c>
    </row>
    <row r="470">
      <c r="A470" t="n">
        <v>127</v>
      </c>
      <c r="B470" t="inlineStr">
        <is>
          <t>Cyclone</t>
        </is>
      </c>
      <c r="C470" t="inlineStr">
        <is>
          <t>Town</t>
        </is>
      </c>
      <c r="D470" t="inlineStr">
        <is>
          <t>Win</t>
        </is>
      </c>
      <c r="E470" t="n">
        <v>103</v>
      </c>
      <c r="F470" t="n">
        <v>26.1251076725424</v>
      </c>
      <c r="G470" t="n">
        <v>27.51936200833019</v>
      </c>
      <c r="H470" t="n">
        <v>7.850235540050062</v>
      </c>
      <c r="I470" t="n">
        <v>968</v>
      </c>
      <c r="J470" t="n">
        <v>1071</v>
      </c>
      <c r="K470" t="n">
        <v>7.928548585204664</v>
      </c>
    </row>
    <row r="471">
      <c r="A471" t="n">
        <v>127</v>
      </c>
      <c r="B471" t="inlineStr">
        <is>
          <t>Chester</t>
        </is>
      </c>
      <c r="C471" t="inlineStr">
        <is>
          <t>Town</t>
        </is>
      </c>
      <c r="D471" t="inlineStr">
        <is>
          <t>Win</t>
        </is>
      </c>
      <c r="E471" t="n">
        <v>80</v>
      </c>
      <c r="F471" t="n">
        <v>30.05166258155446</v>
      </c>
      <c r="G471" t="n">
        <v>31.14816677126291</v>
      </c>
      <c r="H471" t="n">
        <v>6.976734198508979</v>
      </c>
      <c r="I471" t="n">
        <v>1326</v>
      </c>
      <c r="J471" t="n">
        <v>1406</v>
      </c>
      <c r="K471" t="n">
        <v>7.031022008690442</v>
      </c>
    </row>
    <row r="472">
      <c r="A472" t="n">
        <v>127</v>
      </c>
      <c r="B472" t="inlineStr">
        <is>
          <t>Badpants</t>
        </is>
      </c>
      <c r="C472" t="inlineStr">
        <is>
          <t>Town</t>
        </is>
      </c>
      <c r="D472" t="inlineStr">
        <is>
          <t>Win</t>
        </is>
      </c>
      <c r="E472" t="n">
        <v>65</v>
      </c>
      <c r="F472" t="n">
        <v>25.34811574527282</v>
      </c>
      <c r="G472" t="n">
        <v>26.24364574281871</v>
      </c>
      <c r="H472" t="n">
        <v>6.314168445661095</v>
      </c>
      <c r="I472" t="n">
        <v>1076</v>
      </c>
      <c r="J472" t="n">
        <v>1141</v>
      </c>
      <c r="K472" t="n">
        <v>6.35394601595678</v>
      </c>
    </row>
    <row r="473">
      <c r="A473" t="n">
        <v>127</v>
      </c>
      <c r="B473" t="inlineStr">
        <is>
          <t>Chelsea</t>
        </is>
      </c>
      <c r="C473" t="inlineStr">
        <is>
          <t>Town</t>
        </is>
      </c>
      <c r="D473" t="inlineStr">
        <is>
          <t>Win</t>
        </is>
      </c>
      <c r="E473" t="n">
        <v>105</v>
      </c>
      <c r="F473" t="n">
        <v>20.38901896631548</v>
      </c>
      <c r="G473" t="n">
        <v>21.82168420697438</v>
      </c>
      <c r="H473" t="n">
        <v>7.955419599542012</v>
      </c>
      <c r="I473" t="n">
        <v>567</v>
      </c>
      <c r="J473" t="n">
        <v>672</v>
      </c>
      <c r="K473" t="n">
        <v>8.037037194565084</v>
      </c>
    </row>
    <row r="474">
      <c r="A474" t="n">
        <v>127</v>
      </c>
      <c r="B474" t="inlineStr">
        <is>
          <t>Gilbert</t>
        </is>
      </c>
      <c r="C474" t="inlineStr">
        <is>
          <t>Town</t>
        </is>
      </c>
      <c r="D474" t="inlineStr">
        <is>
          <t>Win</t>
        </is>
      </c>
      <c r="E474" t="n">
        <v>86</v>
      </c>
      <c r="F474" t="n">
        <v>25.44901868344246</v>
      </c>
      <c r="G474" t="n">
        <v>26.62248604088877</v>
      </c>
      <c r="H474" t="n">
        <v>7.213418880475161</v>
      </c>
      <c r="I474" t="n">
        <v>989</v>
      </c>
      <c r="J474" t="n">
        <v>1075</v>
      </c>
      <c r="K474" t="n">
        <v>7.273638238102702</v>
      </c>
    </row>
    <row r="475">
      <c r="A475" t="n">
        <v>127</v>
      </c>
      <c r="B475" t="inlineStr">
        <is>
          <t>Smit</t>
        </is>
      </c>
      <c r="C475" t="inlineStr">
        <is>
          <t>Town</t>
        </is>
      </c>
      <c r="D475" t="inlineStr">
        <is>
          <t>Win</t>
        </is>
      </c>
      <c r="E475" t="n">
        <v>65</v>
      </c>
      <c r="F475" t="n">
        <v>25.76608838828981</v>
      </c>
      <c r="G475" t="n">
        <v>26.66431335702255</v>
      </c>
      <c r="H475" t="n">
        <v>6.323539457753292</v>
      </c>
      <c r="I475" t="n">
        <v>1103</v>
      </c>
      <c r="J475" t="n">
        <v>1168</v>
      </c>
      <c r="K475" t="n">
        <v>6.363501850510054</v>
      </c>
    </row>
    <row r="476">
      <c r="A476" t="n">
        <v>126</v>
      </c>
      <c r="B476" t="inlineStr">
        <is>
          <t>Chester</t>
        </is>
      </c>
      <c r="C476" t="inlineStr">
        <is>
          <t>Mafia</t>
        </is>
      </c>
      <c r="D476" t="inlineStr">
        <is>
          <t>Loss</t>
        </is>
      </c>
      <c r="E476" t="n">
        <v>-69</v>
      </c>
      <c r="F476" t="n">
        <v>31.15371156890241</v>
      </c>
      <c r="G476" t="n">
        <v>30.05166258155446</v>
      </c>
      <c r="H476" t="n">
        <v>7.031022008690442</v>
      </c>
      <c r="I476" t="n">
        <v>1395</v>
      </c>
      <c r="J476" t="n">
        <v>1326</v>
      </c>
      <c r="K476" t="n">
        <v>7.088405035246091</v>
      </c>
    </row>
    <row r="477">
      <c r="A477" t="n">
        <v>126</v>
      </c>
      <c r="B477" t="inlineStr">
        <is>
          <t>Strik3r</t>
        </is>
      </c>
      <c r="C477" t="inlineStr">
        <is>
          <t>Mafia</t>
        </is>
      </c>
      <c r="D477" t="inlineStr">
        <is>
          <t>Loss</t>
        </is>
      </c>
      <c r="E477" t="n">
        <v>-70</v>
      </c>
      <c r="F477" t="n">
        <v>25.55036215512097</v>
      </c>
      <c r="G477" t="n">
        <v>24.42695527238854</v>
      </c>
      <c r="H477" t="n">
        <v>7.097684861500653</v>
      </c>
      <c r="I477" t="n">
        <v>1007</v>
      </c>
      <c r="J477" t="n">
        <v>937</v>
      </c>
      <c r="K477" t="n">
        <v>7.156776211652773</v>
      </c>
    </row>
    <row r="478">
      <c r="A478" t="n">
        <v>126</v>
      </c>
      <c r="B478" t="inlineStr">
        <is>
          <t>Badpants</t>
        </is>
      </c>
      <c r="C478" t="inlineStr">
        <is>
          <t>Mafia</t>
        </is>
      </c>
      <c r="D478" t="inlineStr">
        <is>
          <t>Loss</t>
        </is>
      </c>
      <c r="E478" t="n">
        <v>-56</v>
      </c>
      <c r="F478" t="n">
        <v>26.24536690284987</v>
      </c>
      <c r="G478" t="n">
        <v>25.34811574527282</v>
      </c>
      <c r="H478" t="n">
        <v>6.35394601595678</v>
      </c>
      <c r="I478" t="n">
        <v>1132</v>
      </c>
      <c r="J478" t="n">
        <v>1076</v>
      </c>
      <c r="K478" t="n">
        <v>6.395805152832531</v>
      </c>
    </row>
    <row r="479">
      <c r="A479" t="n">
        <v>126</v>
      </c>
      <c r="B479" t="inlineStr">
        <is>
          <t>Noah</t>
        </is>
      </c>
      <c r="C479" t="inlineStr">
        <is>
          <t>Town</t>
        </is>
      </c>
      <c r="D479" t="inlineStr">
        <is>
          <t>Win</t>
        </is>
      </c>
      <c r="E479" t="n">
        <v>65</v>
      </c>
      <c r="F479" t="n">
        <v>31.86586085865365</v>
      </c>
      <c r="G479" t="n">
        <v>32.75522552972687</v>
      </c>
      <c r="H479" t="n">
        <v>6.32633442105368</v>
      </c>
      <c r="I479" t="n">
        <v>1517</v>
      </c>
      <c r="J479" t="n">
        <v>1582</v>
      </c>
      <c r="K479" t="n">
        <v>6.367627900798896</v>
      </c>
    </row>
    <row r="480">
      <c r="A480" t="n">
        <v>126</v>
      </c>
      <c r="B480" t="inlineStr">
        <is>
          <t>Plen</t>
        </is>
      </c>
      <c r="C480" t="inlineStr">
        <is>
          <t>Town</t>
        </is>
      </c>
      <c r="D480" t="inlineStr">
        <is>
          <t>Win</t>
        </is>
      </c>
      <c r="E480" t="n">
        <v>61</v>
      </c>
      <c r="F480" t="n">
        <v>22.03111571143419</v>
      </c>
      <c r="G480" t="n">
        <v>22.87623042110364</v>
      </c>
      <c r="H480" t="n">
        <v>6.168991796811055</v>
      </c>
      <c r="I480" t="n">
        <v>865</v>
      </c>
      <c r="J480" t="n">
        <v>926</v>
      </c>
      <c r="K480" t="n">
        <v>6.207157517363306</v>
      </c>
    </row>
    <row r="481">
      <c r="A481" t="n">
        <v>126</v>
      </c>
      <c r="B481" t="inlineStr">
        <is>
          <t>Carson</t>
        </is>
      </c>
      <c r="C481" t="inlineStr">
        <is>
          <t>Town</t>
        </is>
      </c>
      <c r="D481" t="inlineStr">
        <is>
          <t>Win</t>
        </is>
      </c>
      <c r="E481" t="n">
        <v>66</v>
      </c>
      <c r="F481" t="n">
        <v>32.02496699500156</v>
      </c>
      <c r="G481" t="n">
        <v>32.93152602121965</v>
      </c>
      <c r="H481" t="n">
        <v>6.386371999214336</v>
      </c>
      <c r="I481" t="n">
        <v>1522</v>
      </c>
      <c r="J481" t="n">
        <v>1588</v>
      </c>
      <c r="K481" t="n">
        <v>6.428901904304696</v>
      </c>
    </row>
    <row r="482">
      <c r="A482" t="n">
        <v>126</v>
      </c>
      <c r="B482" t="inlineStr">
        <is>
          <t>Mintt</t>
        </is>
      </c>
      <c r="C482" t="inlineStr">
        <is>
          <t>Town</t>
        </is>
      </c>
      <c r="D482" t="inlineStr">
        <is>
          <t>Win</t>
        </is>
      </c>
      <c r="E482" t="n">
        <v>76</v>
      </c>
      <c r="F482" t="n">
        <v>32.85286897457927</v>
      </c>
      <c r="G482" t="n">
        <v>33.8921893857761</v>
      </c>
      <c r="H482" t="n">
        <v>6.831211199854761</v>
      </c>
      <c r="I482" t="n">
        <v>1532</v>
      </c>
      <c r="J482" t="n">
        <v>1608</v>
      </c>
      <c r="K482" t="n">
        <v>6.883672425718883</v>
      </c>
    </row>
    <row r="483">
      <c r="A483" t="n">
        <v>126</v>
      </c>
      <c r="B483" t="inlineStr">
        <is>
          <t>Ken</t>
        </is>
      </c>
      <c r="C483" t="inlineStr">
        <is>
          <t>Town</t>
        </is>
      </c>
      <c r="D483" t="inlineStr">
        <is>
          <t>Win</t>
        </is>
      </c>
      <c r="E483" t="n">
        <v>99</v>
      </c>
      <c r="F483" t="n">
        <v>22.33679052961703</v>
      </c>
      <c r="G483" t="n">
        <v>23.66748487748263</v>
      </c>
      <c r="H483" t="n">
        <v>7.712734498158244</v>
      </c>
      <c r="I483" t="n">
        <v>724</v>
      </c>
      <c r="J483" t="n">
        <v>823</v>
      </c>
      <c r="K483" t="n">
        <v>7.789232320507659</v>
      </c>
    </row>
    <row r="484">
      <c r="A484" t="n">
        <v>126</v>
      </c>
      <c r="B484" t="inlineStr">
        <is>
          <t>Iln</t>
        </is>
      </c>
      <c r="C484" t="inlineStr">
        <is>
          <t>Town</t>
        </is>
      </c>
      <c r="D484" t="inlineStr">
        <is>
          <t>Win</t>
        </is>
      </c>
      <c r="E484" t="n">
        <v>66</v>
      </c>
      <c r="F484" t="n">
        <v>28.38922787130413</v>
      </c>
      <c r="G484" t="n">
        <v>29.29555386489102</v>
      </c>
      <c r="H484" t="n">
        <v>6.385562300840168</v>
      </c>
      <c r="I484" t="n">
        <v>1275</v>
      </c>
      <c r="J484" t="n">
        <v>1341</v>
      </c>
      <c r="K484" t="n">
        <v>6.428075370844738</v>
      </c>
    </row>
    <row r="485">
      <c r="A485" t="n">
        <v>126</v>
      </c>
      <c r="B485" t="inlineStr">
        <is>
          <t>Lou</t>
        </is>
      </c>
      <c r="C485" t="inlineStr">
        <is>
          <t>Town</t>
        </is>
      </c>
      <c r="D485" t="inlineStr">
        <is>
          <t>Win</t>
        </is>
      </c>
      <c r="E485" t="n">
        <v>67</v>
      </c>
      <c r="F485" t="n">
        <v>28.69616712386538</v>
      </c>
      <c r="G485" t="n">
        <v>29.60914465914385</v>
      </c>
      <c r="H485" t="n">
        <v>6.408631375677627</v>
      </c>
      <c r="I485" t="n">
        <v>1293</v>
      </c>
      <c r="J485" t="n">
        <v>1360</v>
      </c>
      <c r="K485" t="n">
        <v>6.451625815265785</v>
      </c>
    </row>
    <row r="486">
      <c r="A486" t="n">
        <v>126</v>
      </c>
      <c r="B486" t="inlineStr">
        <is>
          <t>TCP</t>
        </is>
      </c>
      <c r="C486" t="inlineStr">
        <is>
          <t>Town</t>
        </is>
      </c>
      <c r="D486" t="inlineStr">
        <is>
          <t>Win</t>
        </is>
      </c>
      <c r="E486" t="n">
        <v>102</v>
      </c>
      <c r="F486" t="n">
        <v>23.91896190945735</v>
      </c>
      <c r="G486" t="n">
        <v>25.30433441648526</v>
      </c>
      <c r="H486" t="n">
        <v>7.866346295071195</v>
      </c>
      <c r="I486" t="n">
        <v>816</v>
      </c>
      <c r="J486" t="n">
        <v>918</v>
      </c>
      <c r="K486" t="n">
        <v>7.947676768503187</v>
      </c>
    </row>
    <row r="487">
      <c r="A487" t="n">
        <v>126</v>
      </c>
      <c r="B487" t="inlineStr">
        <is>
          <t>Gilbert</t>
        </is>
      </c>
      <c r="C487" t="inlineStr">
        <is>
          <t>Town</t>
        </is>
      </c>
      <c r="D487" t="inlineStr">
        <is>
          <t>Win</t>
        </is>
      </c>
      <c r="E487" t="n">
        <v>87</v>
      </c>
      <c r="F487" t="n">
        <v>24.26820138351925</v>
      </c>
      <c r="G487" t="n">
        <v>25.44901868344246</v>
      </c>
      <c r="H487" t="n">
        <v>7.273638238102702</v>
      </c>
      <c r="I487" t="n">
        <v>902</v>
      </c>
      <c r="J487" t="n">
        <v>989</v>
      </c>
      <c r="K487" t="n">
        <v>7.337401970129975</v>
      </c>
    </row>
    <row r="488">
      <c r="A488" t="n">
        <v>126</v>
      </c>
      <c r="B488" t="inlineStr">
        <is>
          <t>Brownkow</t>
        </is>
      </c>
      <c r="C488" t="inlineStr">
        <is>
          <t>Town</t>
        </is>
      </c>
      <c r="D488" t="inlineStr">
        <is>
          <t>Win</t>
        </is>
      </c>
      <c r="E488" t="n">
        <v>62</v>
      </c>
      <c r="F488" t="n">
        <v>32.45387597206859</v>
      </c>
      <c r="G488" t="n">
        <v>33.30538043042513</v>
      </c>
      <c r="H488" t="n">
        <v>6.191972450266154</v>
      </c>
      <c r="I488" t="n">
        <v>1571</v>
      </c>
      <c r="J488" t="n">
        <v>1633</v>
      </c>
      <c r="K488" t="n">
        <v>6.230584955187933</v>
      </c>
    </row>
    <row r="489">
      <c r="A489" t="n">
        <v>125</v>
      </c>
      <c r="B489" t="inlineStr">
        <is>
          <t>Lofty</t>
        </is>
      </c>
      <c r="C489" t="inlineStr">
        <is>
          <t>Mafia</t>
        </is>
      </c>
      <c r="D489" t="inlineStr">
        <is>
          <t>Win</t>
        </is>
      </c>
      <c r="E489" t="n">
        <v>52</v>
      </c>
      <c r="F489" t="n">
        <v>23.50386466116185</v>
      </c>
      <c r="G489" t="n">
        <v>24.18352593032226</v>
      </c>
      <c r="H489" t="n">
        <v>7.653749313898769</v>
      </c>
      <c r="I489" t="n">
        <v>812</v>
      </c>
      <c r="J489" t="n">
        <v>864</v>
      </c>
      <c r="K489" t="n">
        <v>7.70729478656004</v>
      </c>
    </row>
    <row r="490">
      <c r="A490" t="n">
        <v>125</v>
      </c>
      <c r="B490" t="inlineStr">
        <is>
          <t>Carson</t>
        </is>
      </c>
      <c r="C490" t="inlineStr">
        <is>
          <t>Mafia</t>
        </is>
      </c>
      <c r="D490" t="inlineStr">
        <is>
          <t>Win</t>
        </is>
      </c>
      <c r="E490" t="n">
        <v>36</v>
      </c>
      <c r="F490" t="n">
        <v>31.54745331939335</v>
      </c>
      <c r="G490" t="n">
        <v>32.02496699500156</v>
      </c>
      <c r="H490" t="n">
        <v>6.428901904304696</v>
      </c>
      <c r="I490" t="n">
        <v>1486</v>
      </c>
      <c r="J490" t="n">
        <v>1522</v>
      </c>
      <c r="K490" t="n">
        <v>6.46000925729482</v>
      </c>
    </row>
    <row r="491">
      <c r="A491" t="n">
        <v>125</v>
      </c>
      <c r="B491" t="inlineStr">
        <is>
          <t>Rick</t>
        </is>
      </c>
      <c r="C491" t="inlineStr">
        <is>
          <t>Mafia</t>
        </is>
      </c>
      <c r="D491" t="inlineStr">
        <is>
          <t>Win</t>
        </is>
      </c>
      <c r="E491" t="n">
        <v>49</v>
      </c>
      <c r="F491" t="n">
        <v>28.28510368989948</v>
      </c>
      <c r="G491" t="n">
        <v>28.93661905185223</v>
      </c>
      <c r="H491" t="n">
        <v>7.495801234916862</v>
      </c>
      <c r="I491" t="n">
        <v>1154</v>
      </c>
      <c r="J491" t="n">
        <v>1203</v>
      </c>
      <c r="K491" t="n">
        <v>7.545994076530114</v>
      </c>
    </row>
    <row r="492">
      <c r="A492" t="n">
        <v>125</v>
      </c>
      <c r="B492" t="inlineStr">
        <is>
          <t>Chelsea</t>
        </is>
      </c>
      <c r="C492" t="inlineStr">
        <is>
          <t>Town</t>
        </is>
      </c>
      <c r="D492" t="inlineStr">
        <is>
          <t>Loss</t>
        </is>
      </c>
      <c r="E492" t="n">
        <v>-44</v>
      </c>
      <c r="F492" t="n">
        <v>21.13957002403327</v>
      </c>
      <c r="G492" t="n">
        <v>20.38901896631548</v>
      </c>
      <c r="H492" t="n">
        <v>8.037037194565084</v>
      </c>
      <c r="I492" t="n">
        <v>611</v>
      </c>
      <c r="J492" t="n">
        <v>567</v>
      </c>
      <c r="K492" t="n">
        <v>8.099333506835023</v>
      </c>
    </row>
    <row r="493">
      <c r="A493" t="n">
        <v>125</v>
      </c>
      <c r="B493" t="inlineStr">
        <is>
          <t>Noah</t>
        </is>
      </c>
      <c r="C493" t="inlineStr">
        <is>
          <t>Town</t>
        </is>
      </c>
      <c r="D493" t="inlineStr">
        <is>
          <t>Loss</t>
        </is>
      </c>
      <c r="E493" t="n">
        <v>-29</v>
      </c>
      <c r="F493" t="n">
        <v>32.33422630982923</v>
      </c>
      <c r="G493" t="n">
        <v>31.86586085865365</v>
      </c>
      <c r="H493" t="n">
        <v>6.367627900798896</v>
      </c>
      <c r="I493" t="n">
        <v>1546</v>
      </c>
      <c r="J493" t="n">
        <v>1517</v>
      </c>
      <c r="K493" t="n">
        <v>6.397814487467597</v>
      </c>
    </row>
    <row r="494">
      <c r="A494" t="n">
        <v>125</v>
      </c>
      <c r="B494" t="inlineStr">
        <is>
          <t>Smit</t>
        </is>
      </c>
      <c r="C494" t="inlineStr">
        <is>
          <t>Town</t>
        </is>
      </c>
      <c r="D494" t="inlineStr">
        <is>
          <t>Loss</t>
        </is>
      </c>
      <c r="E494" t="n">
        <v>-29</v>
      </c>
      <c r="F494" t="n">
        <v>26.23384109319642</v>
      </c>
      <c r="G494" t="n">
        <v>25.76608838828981</v>
      </c>
      <c r="H494" t="n">
        <v>6.363501850510054</v>
      </c>
      <c r="I494" t="n">
        <v>1132</v>
      </c>
      <c r="J494" t="n">
        <v>1103</v>
      </c>
      <c r="K494" t="n">
        <v>6.393627075336672</v>
      </c>
    </row>
    <row r="495">
      <c r="A495" t="n">
        <v>125</v>
      </c>
      <c r="B495" t="inlineStr">
        <is>
          <t>Rocker</t>
        </is>
      </c>
      <c r="C495" t="inlineStr">
        <is>
          <t>Town</t>
        </is>
      </c>
      <c r="D495" t="inlineStr">
        <is>
          <t>Loss</t>
        </is>
      </c>
      <c r="E495" t="n">
        <v>-27</v>
      </c>
      <c r="F495" t="n">
        <v>32.06250402186686</v>
      </c>
      <c r="G495" t="n">
        <v>31.62340796118529</v>
      </c>
      <c r="H495" t="n">
        <v>6.167331526460006</v>
      </c>
      <c r="I495" t="n">
        <v>1548</v>
      </c>
      <c r="J495" t="n">
        <v>1521</v>
      </c>
      <c r="K495" t="n">
        <v>6.194631137216419</v>
      </c>
    </row>
    <row r="496">
      <c r="A496" t="n">
        <v>125</v>
      </c>
      <c r="B496" t="inlineStr">
        <is>
          <t>Whyin</t>
        </is>
      </c>
      <c r="C496" t="inlineStr">
        <is>
          <t>Town</t>
        </is>
      </c>
      <c r="D496" t="inlineStr">
        <is>
          <t>Loss</t>
        </is>
      </c>
      <c r="E496" t="n">
        <v>-32</v>
      </c>
      <c r="F496" t="n">
        <v>27.22375849025655</v>
      </c>
      <c r="G496" t="n">
        <v>26.68665268344037</v>
      </c>
      <c r="H496" t="n">
        <v>6.814032625582276</v>
      </c>
      <c r="I496" t="n">
        <v>1152</v>
      </c>
      <c r="J496" t="n">
        <v>1120</v>
      </c>
      <c r="K496" t="n">
        <v>6.851346472656719</v>
      </c>
    </row>
    <row r="497">
      <c r="A497" t="n">
        <v>125</v>
      </c>
      <c r="B497" t="inlineStr">
        <is>
          <t>Chester</t>
        </is>
      </c>
      <c r="C497" t="inlineStr">
        <is>
          <t>Town</t>
        </is>
      </c>
      <c r="D497" t="inlineStr">
        <is>
          <t>Loss</t>
        </is>
      </c>
      <c r="E497" t="n">
        <v>-36</v>
      </c>
      <c r="F497" t="n">
        <v>31.73548392666197</v>
      </c>
      <c r="G497" t="n">
        <v>31.15371156890241</v>
      </c>
      <c r="H497" t="n">
        <v>7.088405035246091</v>
      </c>
      <c r="I497" t="n">
        <v>1431</v>
      </c>
      <c r="J497" t="n">
        <v>1395</v>
      </c>
      <c r="K497" t="n">
        <v>7.130600402347806</v>
      </c>
    </row>
    <row r="498">
      <c r="A498" t="n">
        <v>125</v>
      </c>
      <c r="B498" t="inlineStr">
        <is>
          <t>Strik3r</t>
        </is>
      </c>
      <c r="C498" t="inlineStr">
        <is>
          <t>Town</t>
        </is>
      </c>
      <c r="D498" t="inlineStr">
        <is>
          <t>Loss</t>
        </is>
      </c>
      <c r="E498" t="n">
        <v>-36</v>
      </c>
      <c r="F498" t="n">
        <v>26.14355294280847</v>
      </c>
      <c r="G498" t="n">
        <v>25.55036215512097</v>
      </c>
      <c r="H498" t="n">
        <v>7.156776211652773</v>
      </c>
      <c r="I498" t="n">
        <v>1043</v>
      </c>
      <c r="J498" t="n">
        <v>1007</v>
      </c>
      <c r="K498" t="n">
        <v>7.200250054121542</v>
      </c>
    </row>
    <row r="499">
      <c r="A499" t="n">
        <v>125</v>
      </c>
      <c r="B499" t="inlineStr">
        <is>
          <t>Siggy</t>
        </is>
      </c>
      <c r="C499" t="inlineStr">
        <is>
          <t>Town</t>
        </is>
      </c>
      <c r="D499" t="inlineStr">
        <is>
          <t>Loss</t>
        </is>
      </c>
      <c r="E499" t="n">
        <v>-44</v>
      </c>
      <c r="F499" t="n">
        <v>27.63734533757692</v>
      </c>
      <c r="G499" t="n">
        <v>26.89533968697353</v>
      </c>
      <c r="H499" t="n">
        <v>7.991868301240707</v>
      </c>
      <c r="I499" t="n">
        <v>1058</v>
      </c>
      <c r="J499" t="n">
        <v>1014</v>
      </c>
      <c r="K499" t="n">
        <v>8.053086921664034</v>
      </c>
    </row>
    <row r="500">
      <c r="A500" t="n">
        <v>125</v>
      </c>
      <c r="B500" t="inlineStr">
        <is>
          <t>Plen</t>
        </is>
      </c>
      <c r="C500" t="inlineStr">
        <is>
          <t>Town</t>
        </is>
      </c>
      <c r="D500" t="inlineStr">
        <is>
          <t>Loss</t>
        </is>
      </c>
      <c r="E500" t="n">
        <v>-27</v>
      </c>
      <c r="F500" t="n">
        <v>22.47595421792532</v>
      </c>
      <c r="G500" t="n">
        <v>22.03111571143419</v>
      </c>
      <c r="H500" t="n">
        <v>6.207157517363306</v>
      </c>
      <c r="I500" t="n">
        <v>892</v>
      </c>
      <c r="J500" t="n">
        <v>865</v>
      </c>
      <c r="K500" t="n">
        <v>6.235016372301575</v>
      </c>
    </row>
    <row r="501">
      <c r="A501" t="n">
        <v>125</v>
      </c>
      <c r="B501" t="inlineStr">
        <is>
          <t>Crispy</t>
        </is>
      </c>
      <c r="C501" t="inlineStr">
        <is>
          <t>Town</t>
        </is>
      </c>
      <c r="D501" t="inlineStr">
        <is>
          <t>Loss</t>
        </is>
      </c>
      <c r="E501" t="n">
        <v>-45</v>
      </c>
      <c r="F501" t="n">
        <v>27.22608066124318</v>
      </c>
      <c r="G501" t="n">
        <v>26.45920377753808</v>
      </c>
      <c r="H501" t="n">
        <v>8.122588100908237</v>
      </c>
      <c r="I501" t="n">
        <v>1016</v>
      </c>
      <c r="J501" t="n">
        <v>971</v>
      </c>
      <c r="K501" t="n">
        <v>8.186960400757851</v>
      </c>
    </row>
    <row r="502">
      <c r="A502" t="n">
        <v>124</v>
      </c>
      <c r="B502" t="inlineStr">
        <is>
          <t>Decode</t>
        </is>
      </c>
      <c r="C502" t="inlineStr">
        <is>
          <t>Mafia</t>
        </is>
      </c>
      <c r="D502" t="inlineStr">
        <is>
          <t>Loss</t>
        </is>
      </c>
      <c r="E502" t="n">
        <v>-100</v>
      </c>
      <c r="F502" t="n">
        <v>21.29887059508727</v>
      </c>
      <c r="G502" t="n">
        <v>19.7078089360689</v>
      </c>
      <c r="H502" t="n">
        <v>7.792222401681866</v>
      </c>
      <c r="I502" t="n">
        <v>645</v>
      </c>
      <c r="J502" t="n">
        <v>545</v>
      </c>
      <c r="K502" t="n">
        <v>7.873300696743202</v>
      </c>
    </row>
    <row r="503">
      <c r="A503" t="n">
        <v>124</v>
      </c>
      <c r="B503" t="inlineStr">
        <is>
          <t>Smit</t>
        </is>
      </c>
      <c r="C503" t="inlineStr">
        <is>
          <t>Mafia</t>
        </is>
      </c>
      <c r="D503" t="inlineStr">
        <is>
          <t>Loss</t>
        </is>
      </c>
      <c r="E503" t="n">
        <v>-68</v>
      </c>
      <c r="F503" t="n">
        <v>27.29757952224143</v>
      </c>
      <c r="G503" t="n">
        <v>26.23384109319642</v>
      </c>
      <c r="H503" t="n">
        <v>6.393627075336672</v>
      </c>
      <c r="I503" t="n">
        <v>1200</v>
      </c>
      <c r="J503" t="n">
        <v>1132</v>
      </c>
      <c r="K503" t="n">
        <v>6.437442926036156</v>
      </c>
    </row>
    <row r="504">
      <c r="A504" t="n">
        <v>124</v>
      </c>
      <c r="B504" t="inlineStr">
        <is>
          <t>Laur</t>
        </is>
      </c>
      <c r="C504" t="inlineStr">
        <is>
          <t>Mafia</t>
        </is>
      </c>
      <c r="D504" t="inlineStr">
        <is>
          <t>Loss</t>
        </is>
      </c>
      <c r="E504" t="n">
        <v>-71</v>
      </c>
      <c r="F504" t="n">
        <v>32.29153100341779</v>
      </c>
      <c r="G504" t="n">
        <v>31.17226753440136</v>
      </c>
      <c r="H504" t="n">
        <v>6.55597553816693</v>
      </c>
      <c r="I504" t="n">
        <v>1522</v>
      </c>
      <c r="J504" t="n">
        <v>1451</v>
      </c>
      <c r="K504" t="n">
        <v>6.603356298806756</v>
      </c>
    </row>
    <row r="505">
      <c r="A505" t="n">
        <v>124</v>
      </c>
      <c r="B505" t="inlineStr">
        <is>
          <t>Iln</t>
        </is>
      </c>
      <c r="C505" t="inlineStr">
        <is>
          <t>Town</t>
        </is>
      </c>
      <c r="D505" t="inlineStr">
        <is>
          <t>Win</t>
        </is>
      </c>
      <c r="E505" t="n">
        <v>78</v>
      </c>
      <c r="F505" t="n">
        <v>27.31383092485523</v>
      </c>
      <c r="G505" t="n">
        <v>28.38922787130413</v>
      </c>
      <c r="H505" t="n">
        <v>6.428075370844738</v>
      </c>
      <c r="I505" t="n">
        <v>1197</v>
      </c>
      <c r="J505" t="n">
        <v>1275</v>
      </c>
      <c r="K505" t="n">
        <v>6.472632278392164</v>
      </c>
    </row>
    <row r="506">
      <c r="A506" t="n">
        <v>124</v>
      </c>
      <c r="B506" t="inlineStr">
        <is>
          <t>TCP</t>
        </is>
      </c>
      <c r="C506" t="inlineStr">
        <is>
          <t>Town</t>
        </is>
      </c>
      <c r="D506" t="inlineStr">
        <is>
          <t>Win</t>
        </is>
      </c>
      <c r="E506" t="n">
        <v>122</v>
      </c>
      <c r="F506" t="n">
        <v>22.26234478665569</v>
      </c>
      <c r="G506" t="n">
        <v>23.91896190945735</v>
      </c>
      <c r="H506" t="n">
        <v>7.947676768503187</v>
      </c>
      <c r="I506" t="n">
        <v>694</v>
      </c>
      <c r="J506" t="n">
        <v>816</v>
      </c>
      <c r="K506" t="n">
        <v>8.033888357657498</v>
      </c>
    </row>
    <row r="507">
      <c r="A507" t="n">
        <v>124</v>
      </c>
      <c r="B507" t="inlineStr">
        <is>
          <t>Snazz</t>
        </is>
      </c>
      <c r="C507" t="inlineStr">
        <is>
          <t>Town</t>
        </is>
      </c>
      <c r="D507" t="inlineStr">
        <is>
          <t>Win</t>
        </is>
      </c>
      <c r="E507" t="n">
        <v>113</v>
      </c>
      <c r="F507" t="n">
        <v>26.07770920533391</v>
      </c>
      <c r="G507" t="n">
        <v>27.61759925991449</v>
      </c>
      <c r="H507" t="n">
        <v>7.668490476028635</v>
      </c>
      <c r="I507" t="n">
        <v>983</v>
      </c>
      <c r="J507" t="n">
        <v>1096</v>
      </c>
      <c r="K507" t="n">
        <v>7.745634970923138</v>
      </c>
    </row>
    <row r="508">
      <c r="A508" t="n">
        <v>124</v>
      </c>
      <c r="B508" t="inlineStr">
        <is>
          <t>Chester</t>
        </is>
      </c>
      <c r="C508" t="inlineStr">
        <is>
          <t>Town</t>
        </is>
      </c>
      <c r="D508" t="inlineStr">
        <is>
          <t>Win</t>
        </is>
      </c>
      <c r="E508" t="n">
        <v>97</v>
      </c>
      <c r="F508" t="n">
        <v>30.40777266124878</v>
      </c>
      <c r="G508" t="n">
        <v>31.73548392666197</v>
      </c>
      <c r="H508" t="n">
        <v>7.130600402347806</v>
      </c>
      <c r="I508" t="n">
        <v>1334</v>
      </c>
      <c r="J508" t="n">
        <v>1431</v>
      </c>
      <c r="K508" t="n">
        <v>7.192141197183491</v>
      </c>
    </row>
    <row r="509">
      <c r="A509" t="n">
        <v>124</v>
      </c>
      <c r="B509" t="inlineStr">
        <is>
          <t>Lou</t>
        </is>
      </c>
      <c r="C509" t="inlineStr">
        <is>
          <t>Town</t>
        </is>
      </c>
      <c r="D509" t="inlineStr">
        <is>
          <t>Win</t>
        </is>
      </c>
      <c r="E509" t="n">
        <v>78</v>
      </c>
      <c r="F509" t="n">
        <v>27.61276172111381</v>
      </c>
      <c r="G509" t="n">
        <v>28.69616712386538</v>
      </c>
      <c r="H509" t="n">
        <v>6.451625815265785</v>
      </c>
      <c r="I509" t="n">
        <v>1215</v>
      </c>
      <c r="J509" t="n">
        <v>1293</v>
      </c>
      <c r="K509" t="n">
        <v>6.496694078360664</v>
      </c>
    </row>
    <row r="510">
      <c r="A510" t="n">
        <v>124</v>
      </c>
      <c r="B510" t="inlineStr">
        <is>
          <t>Gilbert</t>
        </is>
      </c>
      <c r="C510" t="inlineStr">
        <is>
          <t>Town</t>
        </is>
      </c>
      <c r="D510" t="inlineStr">
        <is>
          <t>Win</t>
        </is>
      </c>
      <c r="E510" t="n">
        <v>103</v>
      </c>
      <c r="F510" t="n">
        <v>22.86088143323845</v>
      </c>
      <c r="G510" t="n">
        <v>24.26820138351925</v>
      </c>
      <c r="H510" t="n">
        <v>7.337401970129975</v>
      </c>
      <c r="I510" t="n">
        <v>799</v>
      </c>
      <c r="J510" t="n">
        <v>902</v>
      </c>
      <c r="K510" t="n">
        <v>7.40466102073062</v>
      </c>
    </row>
    <row r="511">
      <c r="A511" t="n">
        <v>124</v>
      </c>
      <c r="B511" t="inlineStr">
        <is>
          <t>Ken</t>
        </is>
      </c>
      <c r="C511" t="inlineStr">
        <is>
          <t>Town</t>
        </is>
      </c>
      <c r="D511" t="inlineStr">
        <is>
          <t>Win</t>
        </is>
      </c>
      <c r="E511" t="n">
        <v>116</v>
      </c>
      <c r="F511" t="n">
        <v>20.74697597300404</v>
      </c>
      <c r="G511" t="n">
        <v>22.33679052961703</v>
      </c>
      <c r="H511" t="n">
        <v>7.789232320507659</v>
      </c>
      <c r="I511" t="n">
        <v>608</v>
      </c>
      <c r="J511" t="n">
        <v>724</v>
      </c>
      <c r="K511" t="n">
        <v>7.870213977394227</v>
      </c>
    </row>
    <row r="512">
      <c r="A512" t="n">
        <v>124</v>
      </c>
      <c r="B512" t="inlineStr">
        <is>
          <t>Cyclone</t>
        </is>
      </c>
      <c r="C512" t="inlineStr">
        <is>
          <t>Town</t>
        </is>
      </c>
      <c r="D512" t="inlineStr">
        <is>
          <t>Win</t>
        </is>
      </c>
      <c r="E512" t="n">
        <v>121</v>
      </c>
      <c r="F512" t="n">
        <v>24.47663314687845</v>
      </c>
      <c r="G512" t="n">
        <v>26.1251076725424</v>
      </c>
      <c r="H512" t="n">
        <v>7.928548585204664</v>
      </c>
      <c r="I512" t="n">
        <v>847</v>
      </c>
      <c r="J512" t="n">
        <v>968</v>
      </c>
      <c r="K512" t="n">
        <v>8.014116903557289</v>
      </c>
    </row>
    <row r="513">
      <c r="A513" t="n">
        <v>124</v>
      </c>
      <c r="B513" t="inlineStr">
        <is>
          <t>Chipper</t>
        </is>
      </c>
      <c r="C513" t="inlineStr">
        <is>
          <t>Town</t>
        </is>
      </c>
      <c r="D513" t="inlineStr">
        <is>
          <t>Win</t>
        </is>
      </c>
      <c r="E513" t="n">
        <v>88</v>
      </c>
      <c r="F513" t="n">
        <v>23.58879373800383</v>
      </c>
      <c r="G513" t="n">
        <v>24.79767779774192</v>
      </c>
      <c r="H513" t="n">
        <v>6.80937202153916</v>
      </c>
      <c r="I513" t="n">
        <v>904</v>
      </c>
      <c r="J513" t="n">
        <v>992</v>
      </c>
      <c r="K513" t="n">
        <v>6.862693199524368</v>
      </c>
    </row>
    <row r="514">
      <c r="A514" t="n">
        <v>124</v>
      </c>
      <c r="B514" t="inlineStr">
        <is>
          <t>Mintt</t>
        </is>
      </c>
      <c r="C514" t="inlineStr">
        <is>
          <t>Town</t>
        </is>
      </c>
      <c r="D514" t="inlineStr">
        <is>
          <t>Win</t>
        </is>
      </c>
      <c r="E514" t="n">
        <v>90</v>
      </c>
      <c r="F514" t="n">
        <v>31.61702017543288</v>
      </c>
      <c r="G514" t="n">
        <v>32.85286897457927</v>
      </c>
      <c r="H514" t="n">
        <v>6.883672425718883</v>
      </c>
      <c r="I514" t="n">
        <v>1442</v>
      </c>
      <c r="J514" t="n">
        <v>1532</v>
      </c>
      <c r="K514" t="n">
        <v>6.938824997396913</v>
      </c>
    </row>
    <row r="515">
      <c r="A515" t="n">
        <v>123</v>
      </c>
      <c r="B515" t="inlineStr">
        <is>
          <t>Badpants</t>
        </is>
      </c>
      <c r="C515" t="inlineStr">
        <is>
          <t>Mafia</t>
        </is>
      </c>
      <c r="D515" t="inlineStr">
        <is>
          <t>Win</t>
        </is>
      </c>
      <c r="E515" t="n">
        <v>44</v>
      </c>
      <c r="F515" t="n">
        <v>25.6393457549677</v>
      </c>
      <c r="G515" t="n">
        <v>26.24536690284987</v>
      </c>
      <c r="H515" t="n">
        <v>6.395805152832531</v>
      </c>
      <c r="I515" t="n">
        <v>1088</v>
      </c>
      <c r="J515" t="n">
        <v>1132</v>
      </c>
      <c r="K515" t="n">
        <v>6.43047999205494</v>
      </c>
    </row>
    <row r="516">
      <c r="A516" t="n">
        <v>123</v>
      </c>
      <c r="B516" t="inlineStr">
        <is>
          <t>Aipha</t>
        </is>
      </c>
      <c r="C516" t="inlineStr">
        <is>
          <t>Mafia</t>
        </is>
      </c>
      <c r="D516" t="inlineStr">
        <is>
          <t>Win</t>
        </is>
      </c>
      <c r="E516" t="n">
        <v>59</v>
      </c>
      <c r="F516" t="n">
        <v>20.89826693907613</v>
      </c>
      <c r="G516" t="n">
        <v>21.69044200223637</v>
      </c>
      <c r="H516" t="n">
        <v>7.299937361662417</v>
      </c>
      <c r="I516" t="n">
        <v>671</v>
      </c>
      <c r="J516" t="n">
        <v>730</v>
      </c>
      <c r="K516" t="n">
        <v>7.352286545773678</v>
      </c>
    </row>
    <row r="517">
      <c r="A517" t="n">
        <v>123</v>
      </c>
      <c r="B517" t="inlineStr">
        <is>
          <t>Chester</t>
        </is>
      </c>
      <c r="C517" t="inlineStr">
        <is>
          <t>Mafia</t>
        </is>
      </c>
      <c r="D517" t="inlineStr">
        <is>
          <t>Win</t>
        </is>
      </c>
      <c r="E517" t="n">
        <v>57</v>
      </c>
      <c r="F517" t="n">
        <v>29.6391537909149</v>
      </c>
      <c r="G517" t="n">
        <v>30.40777266124878</v>
      </c>
      <c r="H517" t="n">
        <v>7.192141197183491</v>
      </c>
      <c r="I517" t="n">
        <v>1277</v>
      </c>
      <c r="J517" t="n">
        <v>1334</v>
      </c>
      <c r="K517" t="n">
        <v>7.242126915054337</v>
      </c>
    </row>
    <row r="518">
      <c r="A518" t="n">
        <v>123</v>
      </c>
      <c r="B518" t="inlineStr">
        <is>
          <t>Gilbert</t>
        </is>
      </c>
      <c r="C518" t="inlineStr">
        <is>
          <t>Town</t>
        </is>
      </c>
      <c r="D518" t="inlineStr">
        <is>
          <t>Loss</t>
        </is>
      </c>
      <c r="E518" t="n">
        <v>-50</v>
      </c>
      <c r="F518" t="n">
        <v>23.67629717027659</v>
      </c>
      <c r="G518" t="n">
        <v>22.86088143323845</v>
      </c>
      <c r="H518" t="n">
        <v>7.40466102073062</v>
      </c>
      <c r="I518" t="n">
        <v>849</v>
      </c>
      <c r="J518" t="n">
        <v>799</v>
      </c>
      <c r="K518" t="n">
        <v>7.459376543175424</v>
      </c>
    </row>
    <row r="519">
      <c r="A519" t="n">
        <v>123</v>
      </c>
      <c r="B519" t="inlineStr">
        <is>
          <t>TCP</t>
        </is>
      </c>
      <c r="C519" t="inlineStr">
        <is>
          <t>Town</t>
        </is>
      </c>
      <c r="D519" t="inlineStr">
        <is>
          <t>Loss</t>
        </is>
      </c>
      <c r="E519" t="n">
        <v>-59</v>
      </c>
      <c r="F519" t="n">
        <v>23.22483905907732</v>
      </c>
      <c r="G519" t="n">
        <v>22.26234478665569</v>
      </c>
      <c r="H519" t="n">
        <v>8.033888357657498</v>
      </c>
      <c r="I519" t="n">
        <v>753</v>
      </c>
      <c r="J519" t="n">
        <v>694</v>
      </c>
      <c r="K519" t="n">
        <v>8.104346975700405</v>
      </c>
    </row>
    <row r="520">
      <c r="A520" t="n">
        <v>123</v>
      </c>
      <c r="B520" t="inlineStr">
        <is>
          <t>Carson</t>
        </is>
      </c>
      <c r="C520" t="inlineStr">
        <is>
          <t>Town</t>
        </is>
      </c>
      <c r="D520" t="inlineStr">
        <is>
          <t>Loss</t>
        </is>
      </c>
      <c r="E520" t="n">
        <v>-39</v>
      </c>
      <c r="F520" t="n">
        <v>32.16584289211566</v>
      </c>
      <c r="G520" t="n">
        <v>31.54745331939335</v>
      </c>
      <c r="H520" t="n">
        <v>6.46000925729482</v>
      </c>
      <c r="I520" t="n">
        <v>1525</v>
      </c>
      <c r="J520" t="n">
        <v>1486</v>
      </c>
      <c r="K520" t="n">
        <v>6.495784830818712</v>
      </c>
    </row>
    <row r="521">
      <c r="A521" t="n">
        <v>123</v>
      </c>
      <c r="B521" t="inlineStr">
        <is>
          <t>Lou</t>
        </is>
      </c>
      <c r="C521" t="inlineStr">
        <is>
          <t>Town</t>
        </is>
      </c>
      <c r="D521" t="inlineStr">
        <is>
          <t>Loss</t>
        </is>
      </c>
      <c r="E521" t="n">
        <v>-39</v>
      </c>
      <c r="F521" t="n">
        <v>28.23827637862227</v>
      </c>
      <c r="G521" t="n">
        <v>27.61276172111381</v>
      </c>
      <c r="H521" t="n">
        <v>6.496694078360664</v>
      </c>
      <c r="I521" t="n">
        <v>1254</v>
      </c>
      <c r="J521" t="n">
        <v>1215</v>
      </c>
      <c r="K521" t="n">
        <v>6.533108687945048</v>
      </c>
    </row>
    <row r="522">
      <c r="A522" t="n">
        <v>123</v>
      </c>
      <c r="B522" t="inlineStr">
        <is>
          <t>Decode</t>
        </is>
      </c>
      <c r="C522" t="inlineStr">
        <is>
          <t>Town</t>
        </is>
      </c>
      <c r="D522" t="inlineStr">
        <is>
          <t>Loss</t>
        </is>
      </c>
      <c r="E522" t="n">
        <v>-56</v>
      </c>
      <c r="F522" t="n">
        <v>22.22261023016079</v>
      </c>
      <c r="G522" t="n">
        <v>21.29887059508727</v>
      </c>
      <c r="H522" t="n">
        <v>7.873300696743202</v>
      </c>
      <c r="I522" t="n">
        <v>701</v>
      </c>
      <c r="J522" t="n">
        <v>645</v>
      </c>
      <c r="K522" t="n">
        <v>7.939485349608422</v>
      </c>
    </row>
    <row r="523">
      <c r="A523" t="n">
        <v>123</v>
      </c>
      <c r="B523" t="inlineStr">
        <is>
          <t>Laur</t>
        </is>
      </c>
      <c r="C523" t="inlineStr">
        <is>
          <t>Town</t>
        </is>
      </c>
      <c r="D523" t="inlineStr">
        <is>
          <t>Loss</t>
        </is>
      </c>
      <c r="E523" t="n">
        <v>-40</v>
      </c>
      <c r="F523" t="n">
        <v>32.9380021790878</v>
      </c>
      <c r="G523" t="n">
        <v>32.29153100341779</v>
      </c>
      <c r="H523" t="n">
        <v>6.603356298806756</v>
      </c>
      <c r="I523" t="n">
        <v>1562</v>
      </c>
      <c r="J523" t="n">
        <v>1522</v>
      </c>
      <c r="K523" t="n">
        <v>6.6416711732931</v>
      </c>
    </row>
    <row r="524">
      <c r="A524" t="n">
        <v>123</v>
      </c>
      <c r="B524" t="inlineStr">
        <is>
          <t>Snazz</t>
        </is>
      </c>
      <c r="C524" t="inlineStr">
        <is>
          <t>Town</t>
        </is>
      </c>
      <c r="D524" t="inlineStr">
        <is>
          <t>Loss</t>
        </is>
      </c>
      <c r="E524" t="n">
        <v>-55</v>
      </c>
      <c r="F524" t="n">
        <v>26.97123669748129</v>
      </c>
      <c r="G524" t="n">
        <v>26.07770920533391</v>
      </c>
      <c r="H524" t="n">
        <v>7.745634970923138</v>
      </c>
      <c r="I524" t="n">
        <v>1038</v>
      </c>
      <c r="J524" t="n">
        <v>983</v>
      </c>
      <c r="K524" t="n">
        <v>7.8085493148015</v>
      </c>
    </row>
    <row r="525">
      <c r="A525" t="n">
        <v>123</v>
      </c>
      <c r="B525" t="inlineStr">
        <is>
          <t>Chelsea</t>
        </is>
      </c>
      <c r="C525" t="inlineStr">
        <is>
          <t>Town</t>
        </is>
      </c>
      <c r="D525" t="inlineStr">
        <is>
          <t>Loss</t>
        </is>
      </c>
      <c r="E525" t="n">
        <v>-60</v>
      </c>
      <c r="F525" t="n">
        <v>22.11809910758223</v>
      </c>
      <c r="G525" t="n">
        <v>21.13957002403327</v>
      </c>
      <c r="H525" t="n">
        <v>8.099333506835023</v>
      </c>
      <c r="I525" t="n">
        <v>671</v>
      </c>
      <c r="J525" t="n">
        <v>611</v>
      </c>
      <c r="K525" t="n">
        <v>8.171586087822943</v>
      </c>
    </row>
    <row r="526">
      <c r="A526" t="n">
        <v>123</v>
      </c>
      <c r="B526" t="inlineStr">
        <is>
          <t>Smit</t>
        </is>
      </c>
      <c r="C526" t="inlineStr">
        <is>
          <t>Town</t>
        </is>
      </c>
      <c r="D526" t="inlineStr">
        <is>
          <t>Loss</t>
        </is>
      </c>
      <c r="E526" t="n">
        <v>-38</v>
      </c>
      <c r="F526" t="n">
        <v>27.91160713761646</v>
      </c>
      <c r="G526" t="n">
        <v>27.29757952224143</v>
      </c>
      <c r="H526" t="n">
        <v>6.437442926036156</v>
      </c>
      <c r="I526" t="n">
        <v>1238</v>
      </c>
      <c r="J526" t="n">
        <v>1200</v>
      </c>
      <c r="K526" t="n">
        <v>6.472829060513427</v>
      </c>
    </row>
    <row r="527">
      <c r="A527" t="n">
        <v>123</v>
      </c>
      <c r="B527" t="inlineStr">
        <is>
          <t>Happymeal</t>
        </is>
      </c>
      <c r="C527" t="inlineStr">
        <is>
          <t>Town</t>
        </is>
      </c>
      <c r="D527" t="inlineStr">
        <is>
          <t>Loss</t>
        </is>
      </c>
      <c r="E527" t="n">
        <v>-50</v>
      </c>
      <c r="F527" t="n">
        <v>23.29695944183563</v>
      </c>
      <c r="G527" t="n">
        <v>22.46895198869426</v>
      </c>
      <c r="H527" t="n">
        <v>7.460748561290518</v>
      </c>
      <c r="I527" t="n">
        <v>817</v>
      </c>
      <c r="J527" t="n">
        <v>767</v>
      </c>
      <c r="K527" t="n">
        <v>7.516760321401981</v>
      </c>
    </row>
    <row r="528">
      <c r="A528" t="n">
        <v>122</v>
      </c>
      <c r="B528" t="inlineStr">
        <is>
          <t>Whyin</t>
        </is>
      </c>
      <c r="C528" t="inlineStr">
        <is>
          <t>Mafia</t>
        </is>
      </c>
      <c r="D528" t="inlineStr">
        <is>
          <t>Loss</t>
        </is>
      </c>
      <c r="E528" t="n">
        <v>-81</v>
      </c>
      <c r="F528" t="n">
        <v>28.49098223093746</v>
      </c>
      <c r="G528" t="n">
        <v>27.22375849025655</v>
      </c>
      <c r="H528" t="n">
        <v>6.851346472656719</v>
      </c>
      <c r="I528" t="n">
        <v>1233</v>
      </c>
      <c r="J528" t="n">
        <v>1152</v>
      </c>
      <c r="K528" t="n">
        <v>6.906436568200687</v>
      </c>
    </row>
    <row r="529">
      <c r="A529" t="n">
        <v>122</v>
      </c>
      <c r="B529" t="inlineStr">
        <is>
          <t>Strik3r</t>
        </is>
      </c>
      <c r="C529" t="inlineStr">
        <is>
          <t>Mafia</t>
        </is>
      </c>
      <c r="D529" t="inlineStr">
        <is>
          <t>Loss</t>
        </is>
      </c>
      <c r="E529" t="n">
        <v>-89</v>
      </c>
      <c r="F529" t="n">
        <v>27.54556895145877</v>
      </c>
      <c r="G529" t="n">
        <v>26.14355294280847</v>
      </c>
      <c r="H529" t="n">
        <v>7.200250054121542</v>
      </c>
      <c r="I529" t="n">
        <v>1132</v>
      </c>
      <c r="J529" t="n">
        <v>1043</v>
      </c>
      <c r="K529" t="n">
        <v>7.264542020004625</v>
      </c>
    </row>
    <row r="530">
      <c r="A530" t="n">
        <v>122</v>
      </c>
      <c r="B530" t="inlineStr">
        <is>
          <t>TCP</t>
        </is>
      </c>
      <c r="C530" t="inlineStr">
        <is>
          <t>Mafia</t>
        </is>
      </c>
      <c r="D530" t="inlineStr">
        <is>
          <t>Loss</t>
        </is>
      </c>
      <c r="E530" t="n">
        <v>-112</v>
      </c>
      <c r="F530" t="n">
        <v>25.00988931343573</v>
      </c>
      <c r="G530" t="n">
        <v>23.22483905907732</v>
      </c>
      <c r="H530" t="n">
        <v>8.104346975700405</v>
      </c>
      <c r="I530" t="n">
        <v>865</v>
      </c>
      <c r="J530" t="n">
        <v>753</v>
      </c>
      <c r="K530" t="n">
        <v>8.197205195225711</v>
      </c>
    </row>
    <row r="531">
      <c r="A531" t="n">
        <v>122</v>
      </c>
      <c r="B531" t="inlineStr">
        <is>
          <t>Mintt</t>
        </is>
      </c>
      <c r="C531" t="inlineStr">
        <is>
          <t>Town</t>
        </is>
      </c>
      <c r="D531" t="inlineStr">
        <is>
          <t>Win</t>
        </is>
      </c>
      <c r="E531" t="n">
        <v>94</v>
      </c>
      <c r="F531" t="n">
        <v>30.31667380072638</v>
      </c>
      <c r="G531" t="n">
        <v>31.61702017543288</v>
      </c>
      <c r="H531" t="n">
        <v>6.938824997396913</v>
      </c>
      <c r="I531" t="n">
        <v>1348</v>
      </c>
      <c r="J531" t="n">
        <v>1442</v>
      </c>
      <c r="K531" t="n">
        <v>6.996133085423252</v>
      </c>
    </row>
    <row r="532">
      <c r="A532" t="n">
        <v>122</v>
      </c>
      <c r="B532" t="inlineStr">
        <is>
          <t>Iln</t>
        </is>
      </c>
      <c r="C532" t="inlineStr">
        <is>
          <t>Town</t>
        </is>
      </c>
      <c r="D532" t="inlineStr">
        <is>
          <t>Win</t>
        </is>
      </c>
      <c r="E532" t="n">
        <v>81</v>
      </c>
      <c r="F532" t="n">
        <v>26.18484384291475</v>
      </c>
      <c r="G532" t="n">
        <v>27.31383092485523</v>
      </c>
      <c r="H532" t="n">
        <v>6.472632278392164</v>
      </c>
      <c r="I532" t="n">
        <v>1116</v>
      </c>
      <c r="J532" t="n">
        <v>1197</v>
      </c>
      <c r="K532" t="n">
        <v>6.518779471438815</v>
      </c>
    </row>
    <row r="533">
      <c r="A533" t="n">
        <v>122</v>
      </c>
      <c r="B533" t="inlineStr">
        <is>
          <t>Brownkow</t>
        </is>
      </c>
      <c r="C533" t="inlineStr">
        <is>
          <t>Town</t>
        </is>
      </c>
      <c r="D533" t="inlineStr">
        <is>
          <t>Win</t>
        </is>
      </c>
      <c r="E533" t="n">
        <v>75</v>
      </c>
      <c r="F533" t="n">
        <v>31.4088792053539</v>
      </c>
      <c r="G533" t="n">
        <v>32.45387597206859</v>
      </c>
      <c r="H533" t="n">
        <v>6.230584955187933</v>
      </c>
      <c r="I533" t="n">
        <v>1496</v>
      </c>
      <c r="J533" t="n">
        <v>1571</v>
      </c>
      <c r="K533" t="n">
        <v>6.271554044223485</v>
      </c>
    </row>
    <row r="534">
      <c r="A534" t="n">
        <v>122</v>
      </c>
      <c r="B534" t="inlineStr">
        <is>
          <t>Badpants</t>
        </is>
      </c>
      <c r="C534" t="inlineStr">
        <is>
          <t>Town</t>
        </is>
      </c>
      <c r="D534" t="inlineStr">
        <is>
          <t>Win</t>
        </is>
      </c>
      <c r="E534" t="n">
        <v>81</v>
      </c>
      <c r="F534" t="n">
        <v>24.52522908852992</v>
      </c>
      <c r="G534" t="n">
        <v>25.6393457549677</v>
      </c>
      <c r="H534" t="n">
        <v>6.43047999205494</v>
      </c>
      <c r="I534" t="n">
        <v>1007</v>
      </c>
      <c r="J534" t="n">
        <v>1088</v>
      </c>
      <c r="K534" t="n">
        <v>6.475696054282754</v>
      </c>
    </row>
    <row r="535">
      <c r="A535" t="n">
        <v>122</v>
      </c>
      <c r="B535" t="inlineStr">
        <is>
          <t>Chipper</t>
        </is>
      </c>
      <c r="C535" t="inlineStr">
        <is>
          <t>Town</t>
        </is>
      </c>
      <c r="D535" t="inlineStr">
        <is>
          <t>Win</t>
        </is>
      </c>
      <c r="E535" t="n">
        <v>92</v>
      </c>
      <c r="F535" t="n">
        <v>22.31729903968857</v>
      </c>
      <c r="G535" t="n">
        <v>23.58879373800383</v>
      </c>
      <c r="H535" t="n">
        <v>6.862693199524368</v>
      </c>
      <c r="I535" t="n">
        <v>812</v>
      </c>
      <c r="J535" t="n">
        <v>904</v>
      </c>
      <c r="K535" t="n">
        <v>6.918067686981174</v>
      </c>
    </row>
    <row r="536">
      <c r="A536" t="n">
        <v>122</v>
      </c>
      <c r="B536" t="inlineStr">
        <is>
          <t>Kden</t>
        </is>
      </c>
      <c r="C536" t="inlineStr">
        <is>
          <t>Town</t>
        </is>
      </c>
      <c r="D536" t="inlineStr">
        <is>
          <t>Win</t>
        </is>
      </c>
      <c r="E536" t="n">
        <v>88</v>
      </c>
      <c r="F536" t="n">
        <v>24.08619565389087</v>
      </c>
      <c r="G536" t="n">
        <v>25.29809766621501</v>
      </c>
      <c r="H536" t="n">
        <v>6.70251908594129</v>
      </c>
      <c r="I536" t="n">
        <v>949</v>
      </c>
      <c r="J536" t="n">
        <v>1037</v>
      </c>
      <c r="K536" t="n">
        <v>6.753968834268051</v>
      </c>
    </row>
    <row r="537">
      <c r="A537" t="n">
        <v>122</v>
      </c>
      <c r="B537" t="inlineStr">
        <is>
          <t>Plen</t>
        </is>
      </c>
      <c r="C537" t="inlineStr">
        <is>
          <t>Town</t>
        </is>
      </c>
      <c r="D537" t="inlineStr">
        <is>
          <t>Win</t>
        </is>
      </c>
      <c r="E537" t="n">
        <v>75</v>
      </c>
      <c r="F537" t="n">
        <v>21.42945013837477</v>
      </c>
      <c r="G537" t="n">
        <v>22.47595421792532</v>
      </c>
      <c r="H537" t="n">
        <v>6.235016372301575</v>
      </c>
      <c r="I537" t="n">
        <v>817</v>
      </c>
      <c r="J537" t="n">
        <v>892</v>
      </c>
      <c r="K537" t="n">
        <v>6.276076636783615</v>
      </c>
    </row>
    <row r="538">
      <c r="A538" t="n">
        <v>122</v>
      </c>
      <c r="B538" t="inlineStr">
        <is>
          <t>Gilbert</t>
        </is>
      </c>
      <c r="C538" t="inlineStr">
        <is>
          <t>Town</t>
        </is>
      </c>
      <c r="D538" t="inlineStr">
        <is>
          <t>Win</t>
        </is>
      </c>
      <c r="E538" t="n">
        <v>110</v>
      </c>
      <c r="F538" t="n">
        <v>22.16951075450044</v>
      </c>
      <c r="G538" t="n">
        <v>23.67629717027659</v>
      </c>
      <c r="H538" t="n">
        <v>7.459376543175424</v>
      </c>
      <c r="I538" t="n">
        <v>739</v>
      </c>
      <c r="J538" t="n">
        <v>849</v>
      </c>
      <c r="K538" t="n">
        <v>7.531135526909412</v>
      </c>
    </row>
    <row r="539">
      <c r="A539" t="n">
        <v>122</v>
      </c>
      <c r="B539" t="inlineStr">
        <is>
          <t>Svaan</t>
        </is>
      </c>
      <c r="C539" t="inlineStr">
        <is>
          <t>Town</t>
        </is>
      </c>
      <c r="D539" t="inlineStr">
        <is>
          <t>Win</t>
        </is>
      </c>
      <c r="E539" t="n">
        <v>110</v>
      </c>
      <c r="F539" t="n">
        <v>28.1058037701313</v>
      </c>
      <c r="G539" t="n">
        <v>29.62006012209468</v>
      </c>
      <c r="H539" t="n">
        <v>7.477482035191226</v>
      </c>
      <c r="I539" t="n">
        <v>1141</v>
      </c>
      <c r="J539" t="n">
        <v>1251</v>
      </c>
      <c r="K539" t="n">
        <v>7.549783639113359</v>
      </c>
    </row>
    <row r="540">
      <c r="A540" t="n">
        <v>122</v>
      </c>
      <c r="B540" t="inlineStr">
        <is>
          <t>Smit</t>
        </is>
      </c>
      <c r="C540" t="inlineStr">
        <is>
          <t>Town</t>
        </is>
      </c>
      <c r="D540" t="inlineStr">
        <is>
          <t>Win</t>
        </is>
      </c>
      <c r="E540" t="n">
        <v>82</v>
      </c>
      <c r="F540" t="n">
        <v>26.7825503937463</v>
      </c>
      <c r="G540" t="n">
        <v>27.91160713761646</v>
      </c>
      <c r="H540" t="n">
        <v>6.472829060513427</v>
      </c>
      <c r="I540" t="n">
        <v>1156</v>
      </c>
      <c r="J540" t="n">
        <v>1238</v>
      </c>
      <c r="K540" t="n">
        <v>6.518980629901924</v>
      </c>
    </row>
    <row r="541">
      <c r="A541" t="n">
        <v>121</v>
      </c>
      <c r="B541" t="inlineStr">
        <is>
          <t>Noah</t>
        </is>
      </c>
      <c r="C541" t="inlineStr">
        <is>
          <t>Mafia</t>
        </is>
      </c>
      <c r="D541" t="inlineStr">
        <is>
          <t>Win</t>
        </is>
      </c>
      <c r="E541" t="n">
        <v>33</v>
      </c>
      <c r="F541" t="n">
        <v>31.88666865324211</v>
      </c>
      <c r="G541" t="n">
        <v>32.33422630982923</v>
      </c>
      <c r="H541" t="n">
        <v>6.397814487467597</v>
      </c>
      <c r="I541" t="n">
        <v>1513</v>
      </c>
      <c r="J541" t="n">
        <v>1546</v>
      </c>
      <c r="K541" t="n">
        <v>6.427637442433619</v>
      </c>
    </row>
    <row r="542">
      <c r="A542" t="n">
        <v>121</v>
      </c>
      <c r="B542" t="inlineStr">
        <is>
          <t>Kwix</t>
        </is>
      </c>
      <c r="C542" t="inlineStr">
        <is>
          <t>Mafia</t>
        </is>
      </c>
      <c r="D542" t="inlineStr">
        <is>
          <t>Win</t>
        </is>
      </c>
      <c r="E542" t="n">
        <v>38</v>
      </c>
      <c r="F542" t="n">
        <v>24.67816849038303</v>
      </c>
      <c r="G542" t="n">
        <v>25.18317977317953</v>
      </c>
      <c r="H542" t="n">
        <v>6.791883502077933</v>
      </c>
      <c r="I542" t="n">
        <v>982</v>
      </c>
      <c r="J542" t="n">
        <v>1020</v>
      </c>
      <c r="K542" t="n">
        <v>6.827840956110211</v>
      </c>
    </row>
    <row r="543">
      <c r="A543" t="n">
        <v>121</v>
      </c>
      <c r="B543" t="inlineStr">
        <is>
          <t>Siggy</t>
        </is>
      </c>
      <c r="C543" t="inlineStr">
        <is>
          <t>Mafia</t>
        </is>
      </c>
      <c r="D543" t="inlineStr">
        <is>
          <t>Win</t>
        </is>
      </c>
      <c r="E543" t="n">
        <v>55</v>
      </c>
      <c r="F543" t="n">
        <v>26.92418213714795</v>
      </c>
      <c r="G543" t="n">
        <v>27.63734533757692</v>
      </c>
      <c r="H543" t="n">
        <v>8.053086921664034</v>
      </c>
      <c r="I543" t="n">
        <v>1003</v>
      </c>
      <c r="J543" t="n">
        <v>1058</v>
      </c>
      <c r="K543" t="n">
        <v>8.11411041158205</v>
      </c>
    </row>
    <row r="544">
      <c r="A544" t="n">
        <v>121</v>
      </c>
      <c r="B544" t="inlineStr">
        <is>
          <t>Gilbert</t>
        </is>
      </c>
      <c r="C544" t="inlineStr">
        <is>
          <t>Town</t>
        </is>
      </c>
      <c r="D544" t="inlineStr">
        <is>
          <t>Loss</t>
        </is>
      </c>
      <c r="E544" t="n">
        <v>-38</v>
      </c>
      <c r="F544" t="n">
        <v>22.79200803065075</v>
      </c>
      <c r="G544" t="n">
        <v>22.16951075450044</v>
      </c>
      <c r="H544" t="n">
        <v>7.531135526909412</v>
      </c>
      <c r="I544" t="n">
        <v>777</v>
      </c>
      <c r="J544" t="n">
        <v>739</v>
      </c>
      <c r="K544" t="n">
        <v>7.580718575331915</v>
      </c>
    </row>
    <row r="545">
      <c r="A545" t="n">
        <v>121</v>
      </c>
      <c r="B545" t="inlineStr">
        <is>
          <t>Strik3r</t>
        </is>
      </c>
      <c r="C545" t="inlineStr">
        <is>
          <t>Town</t>
        </is>
      </c>
      <c r="D545" t="inlineStr">
        <is>
          <t>Loss</t>
        </is>
      </c>
      <c r="E545" t="n">
        <v>-35</v>
      </c>
      <c r="F545" t="n">
        <v>28.12422937143034</v>
      </c>
      <c r="G545" t="n">
        <v>27.54556895145877</v>
      </c>
      <c r="H545" t="n">
        <v>7.264542020004625</v>
      </c>
      <c r="I545" t="n">
        <v>1167</v>
      </c>
      <c r="J545" t="n">
        <v>1132</v>
      </c>
      <c r="K545" t="n">
        <v>7.308877331841361</v>
      </c>
    </row>
    <row r="546">
      <c r="A546" t="n">
        <v>121</v>
      </c>
      <c r="B546" t="inlineStr">
        <is>
          <t>Svaan</t>
        </is>
      </c>
      <c r="C546" t="inlineStr">
        <is>
          <t>Town</t>
        </is>
      </c>
      <c r="D546" t="inlineStr">
        <is>
          <t>Loss</t>
        </is>
      </c>
      <c r="E546" t="n">
        <v>-38</v>
      </c>
      <c r="F546" t="n">
        <v>28.73142973287656</v>
      </c>
      <c r="G546" t="n">
        <v>28.1058037701313</v>
      </c>
      <c r="H546" t="n">
        <v>7.549783639113359</v>
      </c>
      <c r="I546" t="n">
        <v>1179</v>
      </c>
      <c r="J546" t="n">
        <v>1141</v>
      </c>
      <c r="K546" t="n">
        <v>7.599748443859083</v>
      </c>
    </row>
    <row r="547">
      <c r="A547" t="n">
        <v>121</v>
      </c>
      <c r="B547" t="inlineStr">
        <is>
          <t>Aipha</t>
        </is>
      </c>
      <c r="C547" t="inlineStr">
        <is>
          <t>Town</t>
        </is>
      </c>
      <c r="D547" t="inlineStr">
        <is>
          <t>Loss</t>
        </is>
      </c>
      <c r="E547" t="n">
        <v>-36</v>
      </c>
      <c r="F547" t="n">
        <v>21.49117189751697</v>
      </c>
      <c r="G547" t="n">
        <v>20.89826693907613</v>
      </c>
      <c r="H547" t="n">
        <v>7.352286545773678</v>
      </c>
      <c r="I547" t="n">
        <v>707</v>
      </c>
      <c r="J547" t="n">
        <v>671</v>
      </c>
      <c r="K547" t="n">
        <v>7.398306199022685</v>
      </c>
    </row>
    <row r="548">
      <c r="A548" t="n">
        <v>121</v>
      </c>
      <c r="B548" t="inlineStr">
        <is>
          <t>Cj</t>
        </is>
      </c>
      <c r="C548" t="inlineStr">
        <is>
          <t>Town</t>
        </is>
      </c>
      <c r="D548" t="inlineStr">
        <is>
          <t>Loss</t>
        </is>
      </c>
      <c r="E548" t="n">
        <v>-37</v>
      </c>
      <c r="F548" t="n">
        <v>25.63274400306648</v>
      </c>
      <c r="G548" t="n">
        <v>25.01317198522291</v>
      </c>
      <c r="H548" t="n">
        <v>7.513655745861061</v>
      </c>
      <c r="I548" t="n">
        <v>972</v>
      </c>
      <c r="J548" t="n">
        <v>935</v>
      </c>
      <c r="K548" t="n">
        <v>7.562882721137279</v>
      </c>
    </row>
    <row r="549">
      <c r="A549" t="n">
        <v>121</v>
      </c>
      <c r="B549" t="inlineStr">
        <is>
          <t>Rocker</t>
        </is>
      </c>
      <c r="C549" t="inlineStr">
        <is>
          <t>Town</t>
        </is>
      </c>
      <c r="D549" t="inlineStr">
        <is>
          <t>Loss</t>
        </is>
      </c>
      <c r="E549" t="n">
        <v>-26</v>
      </c>
      <c r="F549" t="n">
        <v>32.48183217270784</v>
      </c>
      <c r="G549" t="n">
        <v>32.06250402186686</v>
      </c>
      <c r="H549" t="n">
        <v>6.194631137216419</v>
      </c>
      <c r="I549" t="n">
        <v>1574</v>
      </c>
      <c r="J549" t="n">
        <v>1548</v>
      </c>
      <c r="K549" t="n">
        <v>6.221575094672297</v>
      </c>
    </row>
    <row r="550">
      <c r="A550" t="n">
        <v>121</v>
      </c>
      <c r="B550" t="inlineStr">
        <is>
          <t>Laur</t>
        </is>
      </c>
      <c r="C550" t="inlineStr">
        <is>
          <t>Town</t>
        </is>
      </c>
      <c r="D550" t="inlineStr">
        <is>
          <t>Loss</t>
        </is>
      </c>
      <c r="E550" t="n">
        <v>-30</v>
      </c>
      <c r="F550" t="n">
        <v>33.42069123997259</v>
      </c>
      <c r="G550" t="n">
        <v>32.9380021790878</v>
      </c>
      <c r="H550" t="n">
        <v>6.6416711732931</v>
      </c>
      <c r="I550" t="n">
        <v>1592</v>
      </c>
      <c r="J550" t="n">
        <v>1562</v>
      </c>
      <c r="K550" t="n">
        <v>6.675202268808738</v>
      </c>
    </row>
    <row r="551">
      <c r="A551" t="n">
        <v>121</v>
      </c>
      <c r="B551" t="inlineStr">
        <is>
          <t>Plen</t>
        </is>
      </c>
      <c r="C551" t="inlineStr">
        <is>
          <t>Town</t>
        </is>
      </c>
      <c r="D551" t="inlineStr">
        <is>
          <t>Loss</t>
        </is>
      </c>
      <c r="E551" t="n">
        <v>-26</v>
      </c>
      <c r="F551" t="n">
        <v>21.85998049189052</v>
      </c>
      <c r="G551" t="n">
        <v>21.42945013837477</v>
      </c>
      <c r="H551" t="n">
        <v>6.276076636783615</v>
      </c>
      <c r="I551" t="n">
        <v>843</v>
      </c>
      <c r="J551" t="n">
        <v>817</v>
      </c>
      <c r="K551" t="n">
        <v>6.304152139126356</v>
      </c>
    </row>
    <row r="552">
      <c r="A552" t="n">
        <v>121</v>
      </c>
      <c r="B552" t="inlineStr">
        <is>
          <t>Whyin</t>
        </is>
      </c>
      <c r="C552" t="inlineStr">
        <is>
          <t>Town</t>
        </is>
      </c>
      <c r="D552" t="inlineStr">
        <is>
          <t>Loss</t>
        </is>
      </c>
      <c r="E552" t="n">
        <v>-32</v>
      </c>
      <c r="F552" t="n">
        <v>29.01336707164619</v>
      </c>
      <c r="G552" t="n">
        <v>28.49098223093746</v>
      </c>
      <c r="H552" t="n">
        <v>6.906436568200687</v>
      </c>
      <c r="I552" t="n">
        <v>1265</v>
      </c>
      <c r="J552" t="n">
        <v>1233</v>
      </c>
      <c r="K552" t="n">
        <v>6.944319398549869</v>
      </c>
    </row>
    <row r="553">
      <c r="A553" t="n">
        <v>121</v>
      </c>
      <c r="B553" t="inlineStr">
        <is>
          <t>Heckmuffins</t>
        </is>
      </c>
      <c r="C553" t="inlineStr">
        <is>
          <t>Town</t>
        </is>
      </c>
      <c r="D553" t="inlineStr">
        <is>
          <t>Loss</t>
        </is>
      </c>
      <c r="E553" t="n">
        <v>-41</v>
      </c>
      <c r="F553" t="n">
        <v>28.81234360745226</v>
      </c>
      <c r="G553" t="n">
        <v>28.11674172428945</v>
      </c>
      <c r="H553" t="n">
        <v>7.954821746578301</v>
      </c>
      <c r="I553" t="n">
        <v>1142</v>
      </c>
      <c r="J553" t="n">
        <v>1101</v>
      </c>
      <c r="K553" t="n">
        <v>8.013569212494073</v>
      </c>
    </row>
    <row r="554">
      <c r="A554" t="n">
        <v>120</v>
      </c>
      <c r="B554" t="inlineStr">
        <is>
          <t>Chipper</t>
        </is>
      </c>
      <c r="C554" t="inlineStr">
        <is>
          <t>Mafia</t>
        </is>
      </c>
      <c r="D554" t="inlineStr">
        <is>
          <t>Win</t>
        </is>
      </c>
      <c r="E554" t="n">
        <v>49</v>
      </c>
      <c r="F554" t="n">
        <v>21.65737225553629</v>
      </c>
      <c r="G554" t="n">
        <v>22.31729903968857</v>
      </c>
      <c r="H554" t="n">
        <v>6.918067686981174</v>
      </c>
      <c r="I554" t="n">
        <v>763</v>
      </c>
      <c r="J554" t="n">
        <v>812</v>
      </c>
      <c r="K554" t="n">
        <v>6.959642836327332</v>
      </c>
    </row>
    <row r="555">
      <c r="A555" t="n">
        <v>120</v>
      </c>
      <c r="B555" t="inlineStr">
        <is>
          <t>Chester</t>
        </is>
      </c>
      <c r="C555" t="inlineStr">
        <is>
          <t>Mafia</t>
        </is>
      </c>
      <c r="D555" t="inlineStr">
        <is>
          <t>Win</t>
        </is>
      </c>
      <c r="E555" t="n">
        <v>54</v>
      </c>
      <c r="F555" t="n">
        <v>28.91509077727923</v>
      </c>
      <c r="G555" t="n">
        <v>29.6391537909149</v>
      </c>
      <c r="H555" t="n">
        <v>7.242126915054337</v>
      </c>
      <c r="I555" t="n">
        <v>1223</v>
      </c>
      <c r="J555" t="n">
        <v>1277</v>
      </c>
      <c r="K555" t="n">
        <v>7.290062097593043</v>
      </c>
    </row>
    <row r="556">
      <c r="A556" t="n">
        <v>120</v>
      </c>
      <c r="B556" t="inlineStr">
        <is>
          <t>Heftyduck</t>
        </is>
      </c>
      <c r="C556" t="inlineStr">
        <is>
          <t>Mafia</t>
        </is>
      </c>
      <c r="D556" t="inlineStr">
        <is>
          <t>Win</t>
        </is>
      </c>
      <c r="E556" t="n">
        <v>72</v>
      </c>
      <c r="F556" t="n">
        <v>25</v>
      </c>
      <c r="G556" t="n">
        <v>25.94608953548068</v>
      </c>
      <c r="H556" t="n">
        <v>8.261238140196573</v>
      </c>
      <c r="I556" t="n">
        <v>850</v>
      </c>
      <c r="J556" t="n">
        <v>922</v>
      </c>
      <c r="K556" t="n">
        <v>8.333333333333334</v>
      </c>
    </row>
    <row r="557">
      <c r="A557" t="n">
        <v>120</v>
      </c>
      <c r="B557" t="inlineStr">
        <is>
          <t>TCP</t>
        </is>
      </c>
      <c r="C557" t="inlineStr">
        <is>
          <t>Town</t>
        </is>
      </c>
      <c r="D557" t="inlineStr">
        <is>
          <t>Loss</t>
        </is>
      </c>
      <c r="E557" t="n">
        <v>-56</v>
      </c>
      <c r="F557" t="n">
        <v>25.94111070107491</v>
      </c>
      <c r="G557" t="n">
        <v>25.00988931343573</v>
      </c>
      <c r="H557" t="n">
        <v>8.197205195225711</v>
      </c>
      <c r="I557" t="n">
        <v>921</v>
      </c>
      <c r="J557" t="n">
        <v>865</v>
      </c>
      <c r="K557" t="n">
        <v>8.267583812557183</v>
      </c>
    </row>
    <row r="558">
      <c r="A558" t="n">
        <v>120</v>
      </c>
      <c r="B558" t="inlineStr">
        <is>
          <t>Ken</t>
        </is>
      </c>
      <c r="C558" t="inlineStr">
        <is>
          <t>Town</t>
        </is>
      </c>
      <c r="D558" t="inlineStr">
        <is>
          <t>Loss</t>
        </is>
      </c>
      <c r="E558" t="n">
        <v>-52</v>
      </c>
      <c r="F558" t="n">
        <v>21.60420044332531</v>
      </c>
      <c r="G558" t="n">
        <v>20.74697597300404</v>
      </c>
      <c r="H558" t="n">
        <v>7.870213977394227</v>
      </c>
      <c r="I558" t="n">
        <v>660</v>
      </c>
      <c r="J558" t="n">
        <v>608</v>
      </c>
      <c r="K558" t="n">
        <v>7.932255105560381</v>
      </c>
    </row>
    <row r="559">
      <c r="A559" t="n">
        <v>120</v>
      </c>
      <c r="B559" t="inlineStr">
        <is>
          <t>Brownkow</t>
        </is>
      </c>
      <c r="C559" t="inlineStr">
        <is>
          <t>Town</t>
        </is>
      </c>
      <c r="D559" t="inlineStr">
        <is>
          <t>Loss</t>
        </is>
      </c>
      <c r="E559" t="n">
        <v>-34</v>
      </c>
      <c r="F559" t="n">
        <v>31.95003073197342</v>
      </c>
      <c r="G559" t="n">
        <v>31.4088792053539</v>
      </c>
      <c r="H559" t="n">
        <v>6.271554044223485</v>
      </c>
      <c r="I559" t="n">
        <v>1530</v>
      </c>
      <c r="J559" t="n">
        <v>1496</v>
      </c>
      <c r="K559" t="n">
        <v>6.302149173505663</v>
      </c>
    </row>
    <row r="560">
      <c r="A560" t="n">
        <v>120</v>
      </c>
      <c r="B560" t="inlineStr">
        <is>
          <t>Rick</t>
        </is>
      </c>
      <c r="C560" t="inlineStr">
        <is>
          <t>Town</t>
        </is>
      </c>
      <c r="D560" t="inlineStr">
        <is>
          <t>Loss</t>
        </is>
      </c>
      <c r="E560" t="n">
        <v>-48</v>
      </c>
      <c r="F560" t="n">
        <v>29.07212422172073</v>
      </c>
      <c r="G560" t="n">
        <v>28.28510368989948</v>
      </c>
      <c r="H560" t="n">
        <v>7.545994076530114</v>
      </c>
      <c r="I560" t="n">
        <v>1202</v>
      </c>
      <c r="J560" t="n">
        <v>1154</v>
      </c>
      <c r="K560" t="n">
        <v>7.600450688061247</v>
      </c>
    </row>
    <row r="561">
      <c r="A561" t="n">
        <v>120</v>
      </c>
      <c r="B561" t="inlineStr">
        <is>
          <t>Kden</t>
        </is>
      </c>
      <c r="C561" t="inlineStr">
        <is>
          <t>Town</t>
        </is>
      </c>
      <c r="D561" t="inlineStr">
        <is>
          <t>Loss</t>
        </is>
      </c>
      <c r="E561" t="n">
        <v>-39</v>
      </c>
      <c r="F561" t="n">
        <v>24.71482069888483</v>
      </c>
      <c r="G561" t="n">
        <v>24.08619565389087</v>
      </c>
      <c r="H561" t="n">
        <v>6.753968834268051</v>
      </c>
      <c r="I561" t="n">
        <v>988</v>
      </c>
      <c r="J561" t="n">
        <v>949</v>
      </c>
      <c r="K561" t="n">
        <v>6.792547473634808</v>
      </c>
    </row>
    <row r="562">
      <c r="A562" t="n">
        <v>120</v>
      </c>
      <c r="B562" t="inlineStr">
        <is>
          <t>Cyclone</t>
        </is>
      </c>
      <c r="C562" t="inlineStr">
        <is>
          <t>Town</t>
        </is>
      </c>
      <c r="D562" t="inlineStr">
        <is>
          <t>Loss</t>
        </is>
      </c>
      <c r="E562" t="n">
        <v>-54</v>
      </c>
      <c r="F562" t="n">
        <v>25.36602570642379</v>
      </c>
      <c r="G562" t="n">
        <v>24.47663314687845</v>
      </c>
      <c r="H562" t="n">
        <v>8.014116903557289</v>
      </c>
      <c r="I562" t="n">
        <v>901</v>
      </c>
      <c r="J562" t="n">
        <v>847</v>
      </c>
      <c r="K562" t="n">
        <v>8.079740026001666</v>
      </c>
    </row>
    <row r="563">
      <c r="A563" t="n">
        <v>120</v>
      </c>
      <c r="B563" t="inlineStr">
        <is>
          <t>Aipha</t>
        </is>
      </c>
      <c r="C563" t="inlineStr">
        <is>
          <t>Town</t>
        </is>
      </c>
      <c r="D563" t="inlineStr">
        <is>
          <t>Loss</t>
        </is>
      </c>
      <c r="E563" t="n">
        <v>-46</v>
      </c>
      <c r="F563" t="n">
        <v>22.24725146027593</v>
      </c>
      <c r="G563" t="n">
        <v>21.49117189751697</v>
      </c>
      <c r="H563" t="n">
        <v>7.398306199022685</v>
      </c>
      <c r="I563" t="n">
        <v>753</v>
      </c>
      <c r="J563" t="n">
        <v>707</v>
      </c>
      <c r="K563" t="n">
        <v>7.449524034046363</v>
      </c>
    </row>
    <row r="564">
      <c r="A564" t="n">
        <v>120</v>
      </c>
      <c r="B564" t="inlineStr">
        <is>
          <t>Iln</t>
        </is>
      </c>
      <c r="C564" t="inlineStr">
        <is>
          <t>Town</t>
        </is>
      </c>
      <c r="D564" t="inlineStr">
        <is>
          <t>Loss</t>
        </is>
      </c>
      <c r="E564" t="n">
        <v>-36</v>
      </c>
      <c r="F564" t="n">
        <v>26.76997803927454</v>
      </c>
      <c r="G564" t="n">
        <v>26.18484384291475</v>
      </c>
      <c r="H564" t="n">
        <v>6.518779471438815</v>
      </c>
      <c r="I564" t="n">
        <v>1152</v>
      </c>
      <c r="J564" t="n">
        <v>1116</v>
      </c>
      <c r="K564" t="n">
        <v>6.55331561195731</v>
      </c>
    </row>
    <row r="565">
      <c r="A565" t="n">
        <v>120</v>
      </c>
      <c r="B565" t="inlineStr">
        <is>
          <t>Decode</t>
        </is>
      </c>
      <c r="C565" t="inlineStr">
        <is>
          <t>Town</t>
        </is>
      </c>
      <c r="D565" t="inlineStr">
        <is>
          <t>Loss</t>
        </is>
      </c>
      <c r="E565" t="n">
        <v>-53</v>
      </c>
      <c r="F565" t="n">
        <v>23.09524198388293</v>
      </c>
      <c r="G565" t="n">
        <v>22.22261023016079</v>
      </c>
      <c r="H565" t="n">
        <v>7.939485349608422</v>
      </c>
      <c r="I565" t="n">
        <v>754</v>
      </c>
      <c r="J565" t="n">
        <v>701</v>
      </c>
      <c r="K565" t="n">
        <v>8.003233877267387</v>
      </c>
    </row>
    <row r="566">
      <c r="A566" t="n">
        <v>120</v>
      </c>
      <c r="B566" t="inlineStr">
        <is>
          <t>Smit</t>
        </is>
      </c>
      <c r="C566" t="inlineStr">
        <is>
          <t>Town</t>
        </is>
      </c>
      <c r="D566" t="inlineStr">
        <is>
          <t>Loss</t>
        </is>
      </c>
      <c r="E566" t="n">
        <v>-37</v>
      </c>
      <c r="F566" t="n">
        <v>27.36772109965059</v>
      </c>
      <c r="G566" t="n">
        <v>26.7825503937463</v>
      </c>
      <c r="H566" t="n">
        <v>6.518980629901924</v>
      </c>
      <c r="I566" t="n">
        <v>1193</v>
      </c>
      <c r="J566" t="n">
        <v>1156</v>
      </c>
      <c r="K566" t="n">
        <v>6.553520103975708</v>
      </c>
    </row>
    <row r="567">
      <c r="A567" t="n">
        <v>119</v>
      </c>
      <c r="B567" t="inlineStr">
        <is>
          <t>Rick</t>
        </is>
      </c>
      <c r="C567" t="inlineStr">
        <is>
          <t>Mafia</t>
        </is>
      </c>
      <c r="D567" t="inlineStr">
        <is>
          <t>Win</t>
        </is>
      </c>
      <c r="E567" t="n">
        <v>59</v>
      </c>
      <c r="F567" t="n">
        <v>28.27877436712233</v>
      </c>
      <c r="G567" t="n">
        <v>29.07212422172073</v>
      </c>
      <c r="H567" t="n">
        <v>7.600450688061247</v>
      </c>
      <c r="I567" t="n">
        <v>1143</v>
      </c>
      <c r="J567" t="n">
        <v>1202</v>
      </c>
      <c r="K567" t="n">
        <v>7.651118835994682</v>
      </c>
    </row>
    <row r="568">
      <c r="A568" t="n">
        <v>119</v>
      </c>
      <c r="B568" t="inlineStr">
        <is>
          <t>TCP</t>
        </is>
      </c>
      <c r="C568" t="inlineStr">
        <is>
          <t>Mafia</t>
        </is>
      </c>
      <c r="D568" t="inlineStr">
        <is>
          <t>Win</t>
        </is>
      </c>
      <c r="E568" t="n">
        <v>71</v>
      </c>
      <c r="F568" t="n">
        <v>25</v>
      </c>
      <c r="G568" t="n">
        <v>25.94111070107491</v>
      </c>
      <c r="H568" t="n">
        <v>8.267583812557183</v>
      </c>
      <c r="I568" t="n">
        <v>850</v>
      </c>
      <c r="J568" t="n">
        <v>921</v>
      </c>
      <c r="K568" t="n">
        <v>8.333333333333334</v>
      </c>
    </row>
    <row r="569">
      <c r="A569" t="n">
        <v>119</v>
      </c>
      <c r="B569" t="inlineStr">
        <is>
          <t>Cyclone</t>
        </is>
      </c>
      <c r="C569" t="inlineStr">
        <is>
          <t>Mafia</t>
        </is>
      </c>
      <c r="D569" t="inlineStr">
        <is>
          <t>Win</t>
        </is>
      </c>
      <c r="E569" t="n">
        <v>68</v>
      </c>
      <c r="F569" t="n">
        <v>24.46785462504715</v>
      </c>
      <c r="G569" t="n">
        <v>25.36602570642379</v>
      </c>
      <c r="H569" t="n">
        <v>8.079740026001666</v>
      </c>
      <c r="I569" t="n">
        <v>833</v>
      </c>
      <c r="J569" t="n">
        <v>901</v>
      </c>
      <c r="K569" t="n">
        <v>8.140975301004355</v>
      </c>
    </row>
    <row r="570">
      <c r="A570" t="n">
        <v>119</v>
      </c>
      <c r="B570" t="inlineStr">
        <is>
          <t>Chester</t>
        </is>
      </c>
      <c r="C570" t="inlineStr">
        <is>
          <t>Town</t>
        </is>
      </c>
      <c r="D570" t="inlineStr">
        <is>
          <t>Loss</t>
        </is>
      </c>
      <c r="E570" t="n">
        <v>-45</v>
      </c>
      <c r="F570" t="n">
        <v>29.64416541759308</v>
      </c>
      <c r="G570" t="n">
        <v>28.91509077727923</v>
      </c>
      <c r="H570" t="n">
        <v>7.290062097593043</v>
      </c>
      <c r="I570" t="n">
        <v>1268</v>
      </c>
      <c r="J570" t="n">
        <v>1223</v>
      </c>
      <c r="K570" t="n">
        <v>7.334580847416468</v>
      </c>
    </row>
    <row r="571">
      <c r="A571" t="n">
        <v>119</v>
      </c>
      <c r="B571" t="inlineStr">
        <is>
          <t>Vert</t>
        </is>
      </c>
      <c r="C571" t="inlineStr">
        <is>
          <t>Town</t>
        </is>
      </c>
      <c r="D571" t="inlineStr">
        <is>
          <t>Loss</t>
        </is>
      </c>
      <c r="E571" t="n">
        <v>-55</v>
      </c>
      <c r="F571" t="n">
        <v>26.80908948444402</v>
      </c>
      <c r="G571" t="n">
        <v>25.9078544678371</v>
      </c>
      <c r="H571" t="n">
        <v>8.093297362062463</v>
      </c>
      <c r="I571" t="n">
        <v>991</v>
      </c>
      <c r="J571" t="n">
        <v>936</v>
      </c>
      <c r="K571" t="n">
        <v>8.154851244322913</v>
      </c>
    </row>
    <row r="572">
      <c r="A572" t="n">
        <v>119</v>
      </c>
      <c r="B572" t="inlineStr">
        <is>
          <t>Laur</t>
        </is>
      </c>
      <c r="C572" t="inlineStr">
        <is>
          <t>Town</t>
        </is>
      </c>
      <c r="D572" t="inlineStr">
        <is>
          <t>Loss</t>
        </is>
      </c>
      <c r="E572" t="n">
        <v>-38</v>
      </c>
      <c r="F572" t="n">
        <v>34.03072978304719</v>
      </c>
      <c r="G572" t="n">
        <v>33.42069123997259</v>
      </c>
      <c r="H572" t="n">
        <v>6.675202268808738</v>
      </c>
      <c r="I572" t="n">
        <v>1630</v>
      </c>
      <c r="J572" t="n">
        <v>1592</v>
      </c>
      <c r="K572" t="n">
        <v>6.709035116028391</v>
      </c>
    </row>
    <row r="573">
      <c r="A573" t="n">
        <v>119</v>
      </c>
      <c r="B573" t="inlineStr">
        <is>
          <t>Plen</t>
        </is>
      </c>
      <c r="C573" t="inlineStr">
        <is>
          <t>Town</t>
        </is>
      </c>
      <c r="D573" t="inlineStr">
        <is>
          <t>Loss</t>
        </is>
      </c>
      <c r="E573" t="n">
        <v>-35</v>
      </c>
      <c r="F573" t="n">
        <v>22.40346847716538</v>
      </c>
      <c r="G573" t="n">
        <v>21.85998049189052</v>
      </c>
      <c r="H573" t="n">
        <v>6.304152139126356</v>
      </c>
      <c r="I573" t="n">
        <v>878</v>
      </c>
      <c r="J573" t="n">
        <v>843</v>
      </c>
      <c r="K573" t="n">
        <v>6.332431401424864</v>
      </c>
    </row>
    <row r="574">
      <c r="A574" t="n">
        <v>119</v>
      </c>
      <c r="B574" t="inlineStr">
        <is>
          <t>Decode</t>
        </is>
      </c>
      <c r="C574" t="inlineStr">
        <is>
          <t>Town</t>
        </is>
      </c>
      <c r="D574" t="inlineStr">
        <is>
          <t>Loss</t>
        </is>
      </c>
      <c r="E574" t="n">
        <v>-54</v>
      </c>
      <c r="F574" t="n">
        <v>23.97622513818666</v>
      </c>
      <c r="G574" t="n">
        <v>23.09524198388293</v>
      </c>
      <c r="H574" t="n">
        <v>8.003233877267387</v>
      </c>
      <c r="I574" t="n">
        <v>808</v>
      </c>
      <c r="J574" t="n">
        <v>754</v>
      </c>
      <c r="K574" t="n">
        <v>8.062691930356074</v>
      </c>
    </row>
    <row r="575">
      <c r="A575" t="n">
        <v>119</v>
      </c>
      <c r="B575" t="inlineStr">
        <is>
          <t>Iln</t>
        </is>
      </c>
      <c r="C575" t="inlineStr">
        <is>
          <t>Town</t>
        </is>
      </c>
      <c r="D575" t="inlineStr">
        <is>
          <t>Loss</t>
        </is>
      </c>
      <c r="E575" t="n">
        <v>-37</v>
      </c>
      <c r="F575" t="n">
        <v>27.35771869128992</v>
      </c>
      <c r="G575" t="n">
        <v>26.76997803927454</v>
      </c>
      <c r="H575" t="n">
        <v>6.55331561195731</v>
      </c>
      <c r="I575" t="n">
        <v>1189</v>
      </c>
      <c r="J575" t="n">
        <v>1152</v>
      </c>
      <c r="K575" t="n">
        <v>6.585252962541659</v>
      </c>
    </row>
    <row r="576">
      <c r="A576" t="n">
        <v>119</v>
      </c>
      <c r="B576" t="inlineStr">
        <is>
          <t>Lou</t>
        </is>
      </c>
      <c r="C576" t="inlineStr">
        <is>
          <t>Town</t>
        </is>
      </c>
      <c r="D576" t="inlineStr">
        <is>
          <t>Loss</t>
        </is>
      </c>
      <c r="E576" t="n">
        <v>-36</v>
      </c>
      <c r="F576" t="n">
        <v>28.82236172387572</v>
      </c>
      <c r="G576" t="n">
        <v>28.23827637862227</v>
      </c>
      <c r="H576" t="n">
        <v>6.533108687945048</v>
      </c>
      <c r="I576" t="n">
        <v>1290</v>
      </c>
      <c r="J576" t="n">
        <v>1254</v>
      </c>
      <c r="K576" t="n">
        <v>6.56473861611128</v>
      </c>
    </row>
    <row r="577">
      <c r="A577" t="n">
        <v>119</v>
      </c>
      <c r="B577" t="inlineStr">
        <is>
          <t>Gilbert</t>
        </is>
      </c>
      <c r="C577" t="inlineStr">
        <is>
          <t>Town</t>
        </is>
      </c>
      <c r="D577" t="inlineStr">
        <is>
          <t>Loss</t>
        </is>
      </c>
      <c r="E577" t="n">
        <v>-48</v>
      </c>
      <c r="F577" t="n">
        <v>23.58118766834932</v>
      </c>
      <c r="G577" t="n">
        <v>22.79200803065075</v>
      </c>
      <c r="H577" t="n">
        <v>7.580718575331915</v>
      </c>
      <c r="I577" t="n">
        <v>825</v>
      </c>
      <c r="J577" t="n">
        <v>777</v>
      </c>
      <c r="K577" t="n">
        <v>7.630979971917663</v>
      </c>
    </row>
    <row r="578">
      <c r="A578" t="n">
        <v>119</v>
      </c>
      <c r="B578" t="inlineStr">
        <is>
          <t>Cj</t>
        </is>
      </c>
      <c r="C578" t="inlineStr">
        <is>
          <t>Town</t>
        </is>
      </c>
      <c r="D578" t="inlineStr">
        <is>
          <t>Loss</t>
        </is>
      </c>
      <c r="E578" t="n">
        <v>-48</v>
      </c>
      <c r="F578" t="n">
        <v>26.41816402646828</v>
      </c>
      <c r="G578" t="n">
        <v>25.63274400306648</v>
      </c>
      <c r="H578" t="n">
        <v>7.562882721137279</v>
      </c>
      <c r="I578" t="n">
        <v>1020</v>
      </c>
      <c r="J578" t="n">
        <v>972</v>
      </c>
      <c r="K578" t="n">
        <v>7.612778329908334</v>
      </c>
    </row>
    <row r="579">
      <c r="A579" t="n">
        <v>119</v>
      </c>
      <c r="B579" t="inlineStr">
        <is>
          <t>Smit</t>
        </is>
      </c>
      <c r="C579" t="inlineStr">
        <is>
          <t>Town</t>
        </is>
      </c>
      <c r="D579" t="inlineStr">
        <is>
          <t>Loss</t>
        </is>
      </c>
      <c r="E579" t="n">
        <v>-36</v>
      </c>
      <c r="F579" t="n">
        <v>27.95549880304781</v>
      </c>
      <c r="G579" t="n">
        <v>27.36772109965059</v>
      </c>
      <c r="H579" t="n">
        <v>6.553520103975708</v>
      </c>
      <c r="I579" t="n">
        <v>1229</v>
      </c>
      <c r="J579" t="n">
        <v>1193</v>
      </c>
      <c r="K579" t="n">
        <v>6.585460575490058</v>
      </c>
    </row>
    <row r="580">
      <c r="A580" t="n">
        <v>119</v>
      </c>
      <c r="B580" t="inlineStr">
        <is>
          <t>Kden</t>
        </is>
      </c>
      <c r="C580" t="inlineStr">
        <is>
          <t>Town</t>
        </is>
      </c>
      <c r="D580" t="inlineStr">
        <is>
          <t>Loss</t>
        </is>
      </c>
      <c r="E580" t="n">
        <v>-39</v>
      </c>
      <c r="F580" t="n">
        <v>25.34673115986266</v>
      </c>
      <c r="G580" t="n">
        <v>24.71482069888483</v>
      </c>
      <c r="H580" t="n">
        <v>6.792547473634808</v>
      </c>
      <c r="I580" t="n">
        <v>1027</v>
      </c>
      <c r="J580" t="n">
        <v>988</v>
      </c>
      <c r="K580" t="n">
        <v>6.828272897428894</v>
      </c>
    </row>
    <row r="581">
      <c r="A581" t="n">
        <v>118</v>
      </c>
      <c r="B581" t="inlineStr">
        <is>
          <t>Badpants</t>
        </is>
      </c>
      <c r="C581" t="inlineStr">
        <is>
          <t>Mafia</t>
        </is>
      </c>
      <c r="D581" t="inlineStr">
        <is>
          <t>Win</t>
        </is>
      </c>
      <c r="E581" t="n">
        <v>49</v>
      </c>
      <c r="F581" t="n">
        <v>23.85637534274397</v>
      </c>
      <c r="G581" t="n">
        <v>24.52522908852992</v>
      </c>
      <c r="H581" t="n">
        <v>6.475696054282754</v>
      </c>
      <c r="I581" t="n">
        <v>958</v>
      </c>
      <c r="J581" t="n">
        <v>1007</v>
      </c>
      <c r="K581" t="n">
        <v>6.513977611858905</v>
      </c>
    </row>
    <row r="582">
      <c r="A582" t="n">
        <v>118</v>
      </c>
      <c r="B582" t="inlineStr">
        <is>
          <t>Noah</t>
        </is>
      </c>
      <c r="C582" t="inlineStr">
        <is>
          <t>Mafia</t>
        </is>
      </c>
      <c r="D582" t="inlineStr">
        <is>
          <t>Win</t>
        </is>
      </c>
      <c r="E582" t="n">
        <v>49</v>
      </c>
      <c r="F582" t="n">
        <v>31.22782498217514</v>
      </c>
      <c r="G582" t="n">
        <v>31.88666865324211</v>
      </c>
      <c r="H582" t="n">
        <v>6.427637442433619</v>
      </c>
      <c r="I582" t="n">
        <v>1464</v>
      </c>
      <c r="J582" t="n">
        <v>1513</v>
      </c>
      <c r="K582" t="n">
        <v>6.465038142271909</v>
      </c>
    </row>
    <row r="583">
      <c r="A583" t="n">
        <v>118</v>
      </c>
      <c r="B583" t="inlineStr">
        <is>
          <t>Strik3r</t>
        </is>
      </c>
      <c r="C583" t="inlineStr">
        <is>
          <t>Mafia</t>
        </is>
      </c>
      <c r="D583" t="inlineStr">
        <is>
          <t>Win</t>
        </is>
      </c>
      <c r="E583" t="n">
        <v>64</v>
      </c>
      <c r="F583" t="n">
        <v>27.2693133105005</v>
      </c>
      <c r="G583" t="n">
        <v>28.12422937143034</v>
      </c>
      <c r="H583" t="n">
        <v>7.308877331841361</v>
      </c>
      <c r="I583" t="n">
        <v>1103</v>
      </c>
      <c r="J583" t="n">
        <v>1167</v>
      </c>
      <c r="K583" t="n">
        <v>7.364674472533086</v>
      </c>
    </row>
    <row r="584">
      <c r="A584" t="n">
        <v>118</v>
      </c>
      <c r="B584" t="inlineStr">
        <is>
          <t>Plen</t>
        </is>
      </c>
      <c r="C584" t="inlineStr">
        <is>
          <t>Town</t>
        </is>
      </c>
      <c r="D584" t="inlineStr">
        <is>
          <t>Loss</t>
        </is>
      </c>
      <c r="E584" t="n">
        <v>-39</v>
      </c>
      <c r="F584" t="n">
        <v>23.04271258512531</v>
      </c>
      <c r="G584" t="n">
        <v>22.40346847716538</v>
      </c>
      <c r="H584" t="n">
        <v>6.332431401424864</v>
      </c>
      <c r="I584" t="n">
        <v>917</v>
      </c>
      <c r="J584" t="n">
        <v>878</v>
      </c>
      <c r="K584" t="n">
        <v>6.368126416851532</v>
      </c>
    </row>
    <row r="585">
      <c r="A585" t="n">
        <v>118</v>
      </c>
      <c r="B585" t="inlineStr">
        <is>
          <t>Chester</t>
        </is>
      </c>
      <c r="C585" t="inlineStr">
        <is>
          <t>Town</t>
        </is>
      </c>
      <c r="D585" t="inlineStr">
        <is>
          <t>Loss</t>
        </is>
      </c>
      <c r="E585" t="n">
        <v>-52</v>
      </c>
      <c r="F585" t="n">
        <v>30.50520072101053</v>
      </c>
      <c r="G585" t="n">
        <v>29.64416541759308</v>
      </c>
      <c r="H585" t="n">
        <v>7.334580847416468</v>
      </c>
      <c r="I585" t="n">
        <v>1320</v>
      </c>
      <c r="J585" t="n">
        <v>1268</v>
      </c>
      <c r="K585" t="n">
        <v>7.390989426061799</v>
      </c>
    </row>
    <row r="586">
      <c r="A586" t="n">
        <v>118</v>
      </c>
      <c r="B586" t="inlineStr">
        <is>
          <t>Kden</t>
        </is>
      </c>
      <c r="C586" t="inlineStr">
        <is>
          <t>Town</t>
        </is>
      </c>
      <c r="D586" t="inlineStr">
        <is>
          <t>Loss</t>
        </is>
      </c>
      <c r="E586" t="n">
        <v>-46</v>
      </c>
      <c r="F586" t="n">
        <v>26.0914220781217</v>
      </c>
      <c r="G586" t="n">
        <v>25.34673115986266</v>
      </c>
      <c r="H586" t="n">
        <v>6.828272897428894</v>
      </c>
      <c r="I586" t="n">
        <v>1073</v>
      </c>
      <c r="J586" t="n">
        <v>1027</v>
      </c>
      <c r="K586" t="n">
        <v>6.873436424663554</v>
      </c>
    </row>
    <row r="587">
      <c r="A587" t="n">
        <v>118</v>
      </c>
      <c r="B587" t="inlineStr">
        <is>
          <t>Brownkow</t>
        </is>
      </c>
      <c r="C587" t="inlineStr">
        <is>
          <t>Town</t>
        </is>
      </c>
      <c r="D587" t="inlineStr">
        <is>
          <t>Loss</t>
        </is>
      </c>
      <c r="E587" t="n">
        <v>-39</v>
      </c>
      <c r="F587" t="n">
        <v>32.58310501509478</v>
      </c>
      <c r="G587" t="n">
        <v>31.95003073197342</v>
      </c>
      <c r="H587" t="n">
        <v>6.302149173505663</v>
      </c>
      <c r="I587" t="n">
        <v>1569</v>
      </c>
      <c r="J587" t="n">
        <v>1530</v>
      </c>
      <c r="K587" t="n">
        <v>6.337312503264707</v>
      </c>
    </row>
    <row r="588">
      <c r="A588" t="n">
        <v>118</v>
      </c>
      <c r="B588" t="inlineStr">
        <is>
          <t>Brady</t>
        </is>
      </c>
      <c r="C588" t="inlineStr">
        <is>
          <t>Town</t>
        </is>
      </c>
      <c r="D588" t="inlineStr">
        <is>
          <t>Loss</t>
        </is>
      </c>
      <c r="E588" t="n">
        <v>-65</v>
      </c>
      <c r="F588" t="n">
        <v>24.23215933139716</v>
      </c>
      <c r="G588" t="n">
        <v>23.15381336054987</v>
      </c>
      <c r="H588" t="n">
        <v>8.191921547804206</v>
      </c>
      <c r="I588" t="n">
        <v>804</v>
      </c>
      <c r="J588" t="n">
        <v>739</v>
      </c>
      <c r="K588" t="n">
        <v>8.271402833426238</v>
      </c>
    </row>
    <row r="589">
      <c r="A589" t="n">
        <v>118</v>
      </c>
      <c r="B589" t="inlineStr">
        <is>
          <t>Rocker</t>
        </is>
      </c>
      <c r="C589" t="inlineStr">
        <is>
          <t>Town</t>
        </is>
      </c>
      <c r="D589" t="inlineStr">
        <is>
          <t>Loss</t>
        </is>
      </c>
      <c r="E589" t="n">
        <v>-39</v>
      </c>
      <c r="F589" t="n">
        <v>33.09864067557707</v>
      </c>
      <c r="G589" t="n">
        <v>32.48183217270784</v>
      </c>
      <c r="H589" t="n">
        <v>6.221575094672297</v>
      </c>
      <c r="I589" t="n">
        <v>1613</v>
      </c>
      <c r="J589" t="n">
        <v>1574</v>
      </c>
      <c r="K589" t="n">
        <v>6.2553488941708</v>
      </c>
    </row>
    <row r="590">
      <c r="A590" t="n">
        <v>118</v>
      </c>
      <c r="B590" t="inlineStr">
        <is>
          <t>Laur</t>
        </is>
      </c>
      <c r="C590" t="inlineStr">
        <is>
          <t>Town</t>
        </is>
      </c>
      <c r="D590" t="inlineStr">
        <is>
          <t>Loss</t>
        </is>
      </c>
      <c r="E590" t="n">
        <v>-44</v>
      </c>
      <c r="F590" t="n">
        <v>34.74929972975229</v>
      </c>
      <c r="G590" t="n">
        <v>34.03072978304719</v>
      </c>
      <c r="H590" t="n">
        <v>6.709035116028391</v>
      </c>
      <c r="I590" t="n">
        <v>1674</v>
      </c>
      <c r="J590" t="n">
        <v>1630</v>
      </c>
      <c r="K590" t="n">
        <v>6.751787188550443</v>
      </c>
    </row>
    <row r="591">
      <c r="A591" t="n">
        <v>118</v>
      </c>
      <c r="B591" t="inlineStr">
        <is>
          <t>Ken</t>
        </is>
      </c>
      <c r="C591" t="inlineStr">
        <is>
          <t>Town</t>
        </is>
      </c>
      <c r="D591" t="inlineStr">
        <is>
          <t>Loss</t>
        </is>
      </c>
      <c r="E591" t="n">
        <v>-61</v>
      </c>
      <c r="F591" t="n">
        <v>22.61400627451181</v>
      </c>
      <c r="G591" t="n">
        <v>21.60420044332531</v>
      </c>
      <c r="H591" t="n">
        <v>7.932255105560381</v>
      </c>
      <c r="I591" t="n">
        <v>721</v>
      </c>
      <c r="J591" t="n">
        <v>660</v>
      </c>
      <c r="K591" t="n">
        <v>8.004180895104888</v>
      </c>
    </row>
    <row r="592">
      <c r="A592" t="n">
        <v>118</v>
      </c>
      <c r="B592" t="inlineStr">
        <is>
          <t>Lou</t>
        </is>
      </c>
      <c r="C592" t="inlineStr">
        <is>
          <t>Town</t>
        </is>
      </c>
      <c r="D592" t="inlineStr">
        <is>
          <t>Loss</t>
        </is>
      </c>
      <c r="E592" t="n">
        <v>-43</v>
      </c>
      <c r="F592" t="n">
        <v>29.50996898100948</v>
      </c>
      <c r="G592" t="n">
        <v>28.82236172387572</v>
      </c>
      <c r="H592" t="n">
        <v>6.56473861611128</v>
      </c>
      <c r="I592" t="n">
        <v>1333</v>
      </c>
      <c r="J592" t="n">
        <v>1290</v>
      </c>
      <c r="K592" t="n">
        <v>6.60468791838202</v>
      </c>
    </row>
    <row r="593">
      <c r="A593" t="n">
        <v>118</v>
      </c>
      <c r="B593" t="inlineStr">
        <is>
          <t>Xcync</t>
        </is>
      </c>
      <c r="C593" t="inlineStr">
        <is>
          <t>Town</t>
        </is>
      </c>
      <c r="D593" t="inlineStr">
        <is>
          <t>Loss</t>
        </is>
      </c>
      <c r="E593" t="n">
        <v>-55</v>
      </c>
      <c r="F593" t="n">
        <v>30.82414579489156</v>
      </c>
      <c r="G593" t="n">
        <v>29.93260987293502</v>
      </c>
      <c r="H593" t="n">
        <v>7.461291551903959</v>
      </c>
      <c r="I593" t="n">
        <v>1329</v>
      </c>
      <c r="J593" t="n">
        <v>1274</v>
      </c>
      <c r="K593" t="n">
        <v>7.520780003710587</v>
      </c>
    </row>
    <row r="594">
      <c r="A594" t="n">
        <v>117</v>
      </c>
      <c r="B594" t="inlineStr">
        <is>
          <t>Chester</t>
        </is>
      </c>
      <c r="C594" t="inlineStr">
        <is>
          <t>Mafia</t>
        </is>
      </c>
      <c r="D594" t="inlineStr">
        <is>
          <t>Win</t>
        </is>
      </c>
      <c r="E594" t="n">
        <v>85</v>
      </c>
      <c r="F594" t="n">
        <v>29.34465848833343</v>
      </c>
      <c r="G594" t="n">
        <v>30.50520072101053</v>
      </c>
      <c r="H594" t="n">
        <v>7.390989426061799</v>
      </c>
      <c r="I594" t="n">
        <v>1235</v>
      </c>
      <c r="J594" t="n">
        <v>1320</v>
      </c>
      <c r="K594" t="n">
        <v>7.455483884031972</v>
      </c>
    </row>
    <row r="595">
      <c r="A595" t="n">
        <v>117</v>
      </c>
      <c r="B595" t="inlineStr">
        <is>
          <t>Plen</t>
        </is>
      </c>
      <c r="C595" t="inlineStr">
        <is>
          <t>Mafia</t>
        </is>
      </c>
      <c r="D595" t="inlineStr">
        <is>
          <t>Win</t>
        </is>
      </c>
      <c r="E595" t="n">
        <v>62</v>
      </c>
      <c r="F595" t="n">
        <v>22.18513034470145</v>
      </c>
      <c r="G595" t="n">
        <v>23.04271258512531</v>
      </c>
      <c r="H595" t="n">
        <v>6.368126416851532</v>
      </c>
      <c r="I595" t="n">
        <v>855</v>
      </c>
      <c r="J595" t="n">
        <v>917</v>
      </c>
      <c r="K595" t="n">
        <v>6.408692722716448</v>
      </c>
    </row>
    <row r="596">
      <c r="A596" t="n">
        <v>117</v>
      </c>
      <c r="B596" t="inlineStr">
        <is>
          <t>Strik3r</t>
        </is>
      </c>
      <c r="C596" t="inlineStr">
        <is>
          <t>Mafia</t>
        </is>
      </c>
      <c r="D596" t="inlineStr">
        <is>
          <t>Win</t>
        </is>
      </c>
      <c r="E596" t="n">
        <v>85</v>
      </c>
      <c r="F596" t="n">
        <v>26.11716802434286</v>
      </c>
      <c r="G596" t="n">
        <v>27.2693133105005</v>
      </c>
      <c r="H596" t="n">
        <v>7.364674472533086</v>
      </c>
      <c r="I596" t="n">
        <v>1018</v>
      </c>
      <c r="J596" t="n">
        <v>1103</v>
      </c>
      <c r="K596" t="n">
        <v>7.428458476257216</v>
      </c>
    </row>
    <row r="597">
      <c r="A597" t="n">
        <v>117</v>
      </c>
      <c r="B597" t="inlineStr">
        <is>
          <t>Laur</t>
        </is>
      </c>
      <c r="C597" t="inlineStr">
        <is>
          <t>Town</t>
        </is>
      </c>
      <c r="D597" t="inlineStr">
        <is>
          <t>Loss</t>
        </is>
      </c>
      <c r="E597" t="n">
        <v>-61</v>
      </c>
      <c r="F597" t="n">
        <v>35.71491300044489</v>
      </c>
      <c r="G597" t="n">
        <v>34.74929972975229</v>
      </c>
      <c r="H597" t="n">
        <v>6.751787188550443</v>
      </c>
      <c r="I597" t="n">
        <v>1735</v>
      </c>
      <c r="J597" t="n">
        <v>1674</v>
      </c>
      <c r="K597" t="n">
        <v>6.800472481007833</v>
      </c>
    </row>
    <row r="598">
      <c r="A598" t="n">
        <v>117</v>
      </c>
      <c r="B598" t="inlineStr">
        <is>
          <t>Noah</t>
        </is>
      </c>
      <c r="C598" t="inlineStr">
        <is>
          <t>Town</t>
        </is>
      </c>
      <c r="D598" t="inlineStr">
        <is>
          <t>Loss</t>
        </is>
      </c>
      <c r="E598" t="n">
        <v>-56</v>
      </c>
      <c r="F598" t="n">
        <v>32.11206572437863</v>
      </c>
      <c r="G598" t="n">
        <v>31.22782498217514</v>
      </c>
      <c r="H598" t="n">
        <v>6.465038142271909</v>
      </c>
      <c r="I598" t="n">
        <v>1520</v>
      </c>
      <c r="J598" t="n">
        <v>1464</v>
      </c>
      <c r="K598" t="n">
        <v>6.507563496850634</v>
      </c>
    </row>
    <row r="599">
      <c r="A599" t="n">
        <v>117</v>
      </c>
      <c r="B599" t="inlineStr">
        <is>
          <t>Iln</t>
        </is>
      </c>
      <c r="C599" t="inlineStr">
        <is>
          <t>Town</t>
        </is>
      </c>
      <c r="D599" t="inlineStr">
        <is>
          <t>Loss</t>
        </is>
      </c>
      <c r="E599" t="n">
        <v>-57</v>
      </c>
      <c r="F599" t="n">
        <v>28.275618913871</v>
      </c>
      <c r="G599" t="n">
        <v>27.35771869128992</v>
      </c>
      <c r="H599" t="n">
        <v>6.585252962541659</v>
      </c>
      <c r="I599" t="n">
        <v>1246</v>
      </c>
      <c r="J599" t="n">
        <v>1189</v>
      </c>
      <c r="K599" t="n">
        <v>6.630293774217918</v>
      </c>
    </row>
    <row r="600">
      <c r="A600" t="n">
        <v>117</v>
      </c>
      <c r="B600" t="inlineStr">
        <is>
          <t>Brownkow</t>
        </is>
      </c>
      <c r="C600" t="inlineStr">
        <is>
          <t>Town</t>
        </is>
      </c>
      <c r="D600" t="inlineStr">
        <is>
          <t>Loss</t>
        </is>
      </c>
      <c r="E600" t="n">
        <v>-54</v>
      </c>
      <c r="F600" t="n">
        <v>33.43229984527831</v>
      </c>
      <c r="G600" t="n">
        <v>32.58310501509478</v>
      </c>
      <c r="H600" t="n">
        <v>6.337312503264707</v>
      </c>
      <c r="I600" t="n">
        <v>1623</v>
      </c>
      <c r="J600" t="n">
        <v>1569</v>
      </c>
      <c r="K600" t="n">
        <v>6.377268586585383</v>
      </c>
    </row>
    <row r="601">
      <c r="A601" t="n">
        <v>117</v>
      </c>
      <c r="B601" t="inlineStr">
        <is>
          <t>Motr</t>
        </is>
      </c>
      <c r="C601" t="inlineStr">
        <is>
          <t>Town</t>
        </is>
      </c>
      <c r="D601" t="inlineStr">
        <is>
          <t>Loss</t>
        </is>
      </c>
      <c r="E601" t="n">
        <v>-75</v>
      </c>
      <c r="F601" t="n">
        <v>26.90902655241322</v>
      </c>
      <c r="G601" t="n">
        <v>25.68987247202641</v>
      </c>
      <c r="H601" t="n">
        <v>7.571938551971835</v>
      </c>
      <c r="I601" t="n">
        <v>1050</v>
      </c>
      <c r="J601" t="n">
        <v>975</v>
      </c>
      <c r="K601" t="n">
        <v>7.641463403711641</v>
      </c>
    </row>
    <row r="602">
      <c r="A602" t="n">
        <v>117</v>
      </c>
      <c r="B602" t="inlineStr">
        <is>
          <t>Kwix</t>
        </is>
      </c>
      <c r="C602" t="inlineStr">
        <is>
          <t>Town</t>
        </is>
      </c>
      <c r="D602" t="inlineStr">
        <is>
          <t>Loss</t>
        </is>
      </c>
      <c r="E602" t="n">
        <v>-62</v>
      </c>
      <c r="F602" t="n">
        <v>25.66599192064458</v>
      </c>
      <c r="G602" t="n">
        <v>24.67816849038303</v>
      </c>
      <c r="H602" t="n">
        <v>6.827840956110211</v>
      </c>
      <c r="I602" t="n">
        <v>1044</v>
      </c>
      <c r="J602" t="n">
        <v>982</v>
      </c>
      <c r="K602" t="n">
        <v>6.878253722351759</v>
      </c>
    </row>
    <row r="603">
      <c r="A603" t="n">
        <v>117</v>
      </c>
      <c r="B603" t="inlineStr">
        <is>
          <t>Kden</t>
        </is>
      </c>
      <c r="C603" t="inlineStr">
        <is>
          <t>Town</t>
        </is>
      </c>
      <c r="D603" t="inlineStr">
        <is>
          <t>Loss</t>
        </is>
      </c>
      <c r="E603" t="n">
        <v>-63</v>
      </c>
      <c r="F603" t="n">
        <v>27.09268754484819</v>
      </c>
      <c r="G603" t="n">
        <v>26.0914220781217</v>
      </c>
      <c r="H603" t="n">
        <v>6.873436424663554</v>
      </c>
      <c r="I603" t="n">
        <v>1136</v>
      </c>
      <c r="J603" t="n">
        <v>1073</v>
      </c>
      <c r="K603" t="n">
        <v>6.924904132076346</v>
      </c>
    </row>
    <row r="604">
      <c r="A604" t="n">
        <v>117</v>
      </c>
      <c r="B604" t="inlineStr">
        <is>
          <t>Smit</t>
        </is>
      </c>
      <c r="C604" t="inlineStr">
        <is>
          <t>Town</t>
        </is>
      </c>
      <c r="D604" t="inlineStr">
        <is>
          <t>Loss</t>
        </is>
      </c>
      <c r="E604" t="n">
        <v>-58</v>
      </c>
      <c r="F604" t="n">
        <v>28.87345772300473</v>
      </c>
      <c r="G604" t="n">
        <v>27.95549880304781</v>
      </c>
      <c r="H604" t="n">
        <v>6.585460575490058</v>
      </c>
      <c r="I604" t="n">
        <v>1287</v>
      </c>
      <c r="J604" t="n">
        <v>1229</v>
      </c>
      <c r="K604" t="n">
        <v>6.630505814230886</v>
      </c>
    </row>
    <row r="605">
      <c r="A605" t="n">
        <v>117</v>
      </c>
      <c r="B605" t="inlineStr">
        <is>
          <t>Cj</t>
        </is>
      </c>
      <c r="C605" t="inlineStr">
        <is>
          <t>Town</t>
        </is>
      </c>
      <c r="D605" t="inlineStr">
        <is>
          <t>Loss</t>
        </is>
      </c>
      <c r="E605" t="n">
        <v>-77</v>
      </c>
      <c r="F605" t="n">
        <v>27.6507577979054</v>
      </c>
      <c r="G605" t="n">
        <v>26.41816402646828</v>
      </c>
      <c r="H605" t="n">
        <v>7.612778329908334</v>
      </c>
      <c r="I605" t="n">
        <v>1097</v>
      </c>
      <c r="J605" t="n">
        <v>1020</v>
      </c>
      <c r="K605" t="n">
        <v>7.683474055769443</v>
      </c>
    </row>
    <row r="606">
      <c r="A606" t="n">
        <v>117</v>
      </c>
      <c r="B606" t="inlineStr">
        <is>
          <t>Aipha</t>
        </is>
      </c>
      <c r="C606" t="inlineStr">
        <is>
          <t>Town</t>
        </is>
      </c>
      <c r="D606" t="inlineStr">
        <is>
          <t>Loss</t>
        </is>
      </c>
      <c r="E606" t="n">
        <v>-73</v>
      </c>
      <c r="F606" t="n">
        <v>23.42658708379433</v>
      </c>
      <c r="G606" t="n">
        <v>22.24725146027593</v>
      </c>
      <c r="H606" t="n">
        <v>7.449524034046363</v>
      </c>
      <c r="I606" t="n">
        <v>826</v>
      </c>
      <c r="J606" t="n">
        <v>753</v>
      </c>
      <c r="K606" t="n">
        <v>7.515617903045186</v>
      </c>
    </row>
    <row r="607">
      <c r="A607" t="n">
        <v>116</v>
      </c>
      <c r="B607" t="inlineStr">
        <is>
          <t>Ken</t>
        </is>
      </c>
      <c r="C607" t="inlineStr">
        <is>
          <t>Mafia</t>
        </is>
      </c>
      <c r="D607" t="inlineStr">
        <is>
          <t>Loss</t>
        </is>
      </c>
      <c r="E607" t="n">
        <v>-57</v>
      </c>
      <c r="F607" t="n">
        <v>23.54780199963091</v>
      </c>
      <c r="G607" t="n">
        <v>22.61400627451181</v>
      </c>
      <c r="H607" t="n">
        <v>8.004180895104888</v>
      </c>
      <c r="I607" t="n">
        <v>778</v>
      </c>
      <c r="J607" t="n">
        <v>721</v>
      </c>
      <c r="K607" t="n">
        <v>8.071487289290783</v>
      </c>
    </row>
    <row r="608">
      <c r="A608" t="n">
        <v>116</v>
      </c>
      <c r="B608" t="inlineStr">
        <is>
          <t>Kden</t>
        </is>
      </c>
      <c r="C608" t="inlineStr">
        <is>
          <t>Mafia</t>
        </is>
      </c>
      <c r="D608" t="inlineStr">
        <is>
          <t>Loss</t>
        </is>
      </c>
      <c r="E608" t="n">
        <v>-43</v>
      </c>
      <c r="F608" t="n">
        <v>27.78861517186821</v>
      </c>
      <c r="G608" t="n">
        <v>27.09268754484819</v>
      </c>
      <c r="H608" t="n">
        <v>6.924904132076346</v>
      </c>
      <c r="I608" t="n">
        <v>1179</v>
      </c>
      <c r="J608" t="n">
        <v>1136</v>
      </c>
      <c r="K608" t="n">
        <v>6.967841650393389</v>
      </c>
    </row>
    <row r="609">
      <c r="A609" t="n">
        <v>116</v>
      </c>
      <c r="B609" t="inlineStr">
        <is>
          <t>Decode</t>
        </is>
      </c>
      <c r="C609" t="inlineStr">
        <is>
          <t>Mafia</t>
        </is>
      </c>
      <c r="D609" t="inlineStr">
        <is>
          <t>Loss</t>
        </is>
      </c>
      <c r="E609" t="n">
        <v>-57</v>
      </c>
      <c r="F609" t="n">
        <v>24.92396417325999</v>
      </c>
      <c r="G609" t="n">
        <v>23.97622513818666</v>
      </c>
      <c r="H609" t="n">
        <v>8.062691930356074</v>
      </c>
      <c r="I609" t="n">
        <v>865</v>
      </c>
      <c r="J609" t="n">
        <v>808</v>
      </c>
      <c r="K609" t="n">
        <v>8.131534353539807</v>
      </c>
    </row>
    <row r="610">
      <c r="A610" t="n">
        <v>116</v>
      </c>
      <c r="B610" t="inlineStr">
        <is>
          <t>Brownkow</t>
        </is>
      </c>
      <c r="C610" t="inlineStr">
        <is>
          <t>Town</t>
        </is>
      </c>
      <c r="D610" t="inlineStr">
        <is>
          <t>Win</t>
        </is>
      </c>
      <c r="E610" t="n">
        <v>44</v>
      </c>
      <c r="F610" t="n">
        <v>32.84323470370679</v>
      </c>
      <c r="G610" t="n">
        <v>33.43229984527831</v>
      </c>
      <c r="H610" t="n">
        <v>6.377268586585383</v>
      </c>
      <c r="I610" t="n">
        <v>1579</v>
      </c>
      <c r="J610" t="n">
        <v>1623</v>
      </c>
      <c r="K610" t="n">
        <v>6.410468665491975</v>
      </c>
    </row>
    <row r="611">
      <c r="A611" t="n">
        <v>116</v>
      </c>
      <c r="B611" t="inlineStr">
        <is>
          <t>Iln</t>
        </is>
      </c>
      <c r="C611" t="inlineStr">
        <is>
          <t>Town</t>
        </is>
      </c>
      <c r="D611" t="inlineStr">
        <is>
          <t>Win</t>
        </is>
      </c>
      <c r="E611" t="n">
        <v>47</v>
      </c>
      <c r="F611" t="n">
        <v>27.63832533600736</v>
      </c>
      <c r="G611" t="n">
        <v>28.275618913871</v>
      </c>
      <c r="H611" t="n">
        <v>6.630293774217918</v>
      </c>
      <c r="I611" t="n">
        <v>1199</v>
      </c>
      <c r="J611" t="n">
        <v>1246</v>
      </c>
      <c r="K611" t="n">
        <v>6.667789635640893</v>
      </c>
    </row>
    <row r="612">
      <c r="A612" t="n">
        <v>116</v>
      </c>
      <c r="B612" t="inlineStr">
        <is>
          <t>Badpants</t>
        </is>
      </c>
      <c r="C612" t="inlineStr">
        <is>
          <t>Town</t>
        </is>
      </c>
      <c r="D612" t="inlineStr">
        <is>
          <t>Win</t>
        </is>
      </c>
      <c r="E612" t="n">
        <v>46</v>
      </c>
      <c r="F612" t="n">
        <v>23.24149610056503</v>
      </c>
      <c r="G612" t="n">
        <v>23.85637534274397</v>
      </c>
      <c r="H612" t="n">
        <v>6.513977611858905</v>
      </c>
      <c r="I612" t="n">
        <v>912</v>
      </c>
      <c r="J612" t="n">
        <v>958</v>
      </c>
      <c r="K612" t="n">
        <v>6.54945638149425</v>
      </c>
    </row>
    <row r="613">
      <c r="A613" t="n">
        <v>116</v>
      </c>
      <c r="B613" t="inlineStr">
        <is>
          <t>Rocker</t>
        </is>
      </c>
      <c r="C613" t="inlineStr">
        <is>
          <t>Town</t>
        </is>
      </c>
      <c r="D613" t="inlineStr">
        <is>
          <t>Win</t>
        </is>
      </c>
      <c r="E613" t="n">
        <v>42</v>
      </c>
      <c r="F613" t="n">
        <v>32.53211517916863</v>
      </c>
      <c r="G613" t="n">
        <v>33.09864067557707</v>
      </c>
      <c r="H613" t="n">
        <v>6.2553488941708</v>
      </c>
      <c r="I613" t="n">
        <v>1571</v>
      </c>
      <c r="J613" t="n">
        <v>1613</v>
      </c>
      <c r="K613" t="n">
        <v>6.286598831332409</v>
      </c>
    </row>
    <row r="614">
      <c r="A614" t="n">
        <v>116</v>
      </c>
      <c r="B614" t="inlineStr">
        <is>
          <t>Gilbert</t>
        </is>
      </c>
      <c r="C614" t="inlineStr">
        <is>
          <t>Town</t>
        </is>
      </c>
      <c r="D614" t="inlineStr">
        <is>
          <t>Win</t>
        </is>
      </c>
      <c r="E614" t="n">
        <v>63</v>
      </c>
      <c r="F614" t="n">
        <v>22.73377593039606</v>
      </c>
      <c r="G614" t="n">
        <v>23.58118766834932</v>
      </c>
      <c r="H614" t="n">
        <v>7.630979971917663</v>
      </c>
      <c r="I614" t="n">
        <v>762</v>
      </c>
      <c r="J614" t="n">
        <v>825</v>
      </c>
      <c r="K614" t="n">
        <v>7.689028425113258</v>
      </c>
    </row>
    <row r="615">
      <c r="A615" t="n">
        <v>116</v>
      </c>
      <c r="B615" t="inlineStr">
        <is>
          <t>Chester</t>
        </is>
      </c>
      <c r="C615" t="inlineStr">
        <is>
          <t>Town</t>
        </is>
      </c>
      <c r="D615" t="inlineStr">
        <is>
          <t>Win</t>
        </is>
      </c>
      <c r="E615" t="n">
        <v>60</v>
      </c>
      <c r="F615" t="n">
        <v>28.53635189054959</v>
      </c>
      <c r="G615" t="n">
        <v>29.34465848833343</v>
      </c>
      <c r="H615" t="n">
        <v>7.455483884031972</v>
      </c>
      <c r="I615" t="n">
        <v>1175</v>
      </c>
      <c r="J615" t="n">
        <v>1235</v>
      </c>
      <c r="K615" t="n">
        <v>7.509491216965663</v>
      </c>
    </row>
    <row r="616">
      <c r="A616" t="n">
        <v>116</v>
      </c>
      <c r="B616" t="inlineStr">
        <is>
          <t>Smit</t>
        </is>
      </c>
      <c r="C616" t="inlineStr">
        <is>
          <t>Town</t>
        </is>
      </c>
      <c r="D616" t="inlineStr">
        <is>
          <t>Win</t>
        </is>
      </c>
      <c r="E616" t="n">
        <v>47</v>
      </c>
      <c r="F616" t="n">
        <v>28.23612290540187</v>
      </c>
      <c r="G616" t="n">
        <v>28.87345772300473</v>
      </c>
      <c r="H616" t="n">
        <v>6.630505814230886</v>
      </c>
      <c r="I616" t="n">
        <v>1240</v>
      </c>
      <c r="J616" t="n">
        <v>1287</v>
      </c>
      <c r="K616" t="n">
        <v>6.668005419475931</v>
      </c>
    </row>
    <row r="617">
      <c r="A617" t="n">
        <v>116</v>
      </c>
      <c r="B617" t="inlineStr">
        <is>
          <t>Heckmuffins</t>
        </is>
      </c>
      <c r="C617" t="inlineStr">
        <is>
          <t>Town</t>
        </is>
      </c>
      <c r="D617" t="inlineStr">
        <is>
          <t>Win</t>
        </is>
      </c>
      <c r="E617" t="n">
        <v>71</v>
      </c>
      <c r="F617" t="n">
        <v>27.87631795073232</v>
      </c>
      <c r="G617" t="n">
        <v>28.81234360745226</v>
      </c>
      <c r="H617" t="n">
        <v>8.013569212494073</v>
      </c>
      <c r="I617" t="n">
        <v>1071</v>
      </c>
      <c r="J617" t="n">
        <v>1142</v>
      </c>
      <c r="K617" t="n">
        <v>8.081120494326459</v>
      </c>
    </row>
    <row r="618">
      <c r="A618" t="n">
        <v>116</v>
      </c>
      <c r="B618" t="inlineStr">
        <is>
          <t>Mintt</t>
        </is>
      </c>
      <c r="C618" t="inlineStr">
        <is>
          <t>Town</t>
        </is>
      </c>
      <c r="D618" t="inlineStr">
        <is>
          <t>Win</t>
        </is>
      </c>
      <c r="E618" t="n">
        <v>53</v>
      </c>
      <c r="F618" t="n">
        <v>29.6061677961007</v>
      </c>
      <c r="G618" t="n">
        <v>30.31667380072638</v>
      </c>
      <c r="H618" t="n">
        <v>6.996133085423252</v>
      </c>
      <c r="I618" t="n">
        <v>1295</v>
      </c>
      <c r="J618" t="n">
        <v>1348</v>
      </c>
      <c r="K618" t="n">
        <v>7.040459874417973</v>
      </c>
    </row>
    <row r="619">
      <c r="A619" t="n">
        <v>116</v>
      </c>
      <c r="B619" t="inlineStr">
        <is>
          <t>Rick</t>
        </is>
      </c>
      <c r="C619" t="inlineStr">
        <is>
          <t>Town</t>
        </is>
      </c>
      <c r="D619" t="inlineStr">
        <is>
          <t>Win</t>
        </is>
      </c>
      <c r="E619" t="n">
        <v>64</v>
      </c>
      <c r="F619" t="n">
        <v>27.42681329598674</v>
      </c>
      <c r="G619" t="n">
        <v>28.27877436712233</v>
      </c>
      <c r="H619" t="n">
        <v>7.651118835994682</v>
      </c>
      <c r="I619" t="n">
        <v>1079</v>
      </c>
      <c r="J619" t="n">
        <v>1143</v>
      </c>
      <c r="K619" t="n">
        <v>7.709643569747874</v>
      </c>
    </row>
    <row r="620">
      <c r="A620" t="n">
        <v>115</v>
      </c>
      <c r="B620" t="inlineStr">
        <is>
          <t>Iln</t>
        </is>
      </c>
      <c r="C620" t="inlineStr">
        <is>
          <t>Mafia</t>
        </is>
      </c>
      <c r="D620" t="inlineStr">
        <is>
          <t>Win</t>
        </is>
      </c>
      <c r="E620" t="n">
        <v>37</v>
      </c>
      <c r="F620" t="n">
        <v>27.13807707219339</v>
      </c>
      <c r="G620" t="n">
        <v>27.63832533600736</v>
      </c>
      <c r="H620" t="n">
        <v>6.667789635640893</v>
      </c>
      <c r="I620" t="n">
        <v>1162</v>
      </c>
      <c r="J620" t="n">
        <v>1199</v>
      </c>
      <c r="K620" t="n">
        <v>6.702855994168102</v>
      </c>
    </row>
    <row r="621">
      <c r="A621" t="n">
        <v>115</v>
      </c>
      <c r="B621" t="inlineStr">
        <is>
          <t>Rocker</t>
        </is>
      </c>
      <c r="C621" t="inlineStr">
        <is>
          <t>Mafia</t>
        </is>
      </c>
      <c r="D621" t="inlineStr">
        <is>
          <t>Win</t>
        </is>
      </c>
      <c r="E621" t="n">
        <v>33</v>
      </c>
      <c r="F621" t="n">
        <v>32.0879658001578</v>
      </c>
      <c r="G621" t="n">
        <v>32.53211517916863</v>
      </c>
      <c r="H621" t="n">
        <v>6.286598831332409</v>
      </c>
      <c r="I621" t="n">
        <v>1538</v>
      </c>
      <c r="J621" t="n">
        <v>1571</v>
      </c>
      <c r="K621" t="n">
        <v>6.315758553062491</v>
      </c>
    </row>
    <row r="622">
      <c r="A622" t="n">
        <v>115</v>
      </c>
      <c r="B622" t="inlineStr">
        <is>
          <t>Smit</t>
        </is>
      </c>
      <c r="C622" t="inlineStr">
        <is>
          <t>Mafia</t>
        </is>
      </c>
      <c r="D622" t="inlineStr">
        <is>
          <t>Win</t>
        </is>
      </c>
      <c r="E622" t="n">
        <v>38</v>
      </c>
      <c r="F622" t="n">
        <v>27.73584191030886</v>
      </c>
      <c r="G622" t="n">
        <v>28.23612290540187</v>
      </c>
      <c r="H622" t="n">
        <v>6.668005419475931</v>
      </c>
      <c r="I622" t="n">
        <v>1202</v>
      </c>
      <c r="J622" t="n">
        <v>1240</v>
      </c>
      <c r="K622" t="n">
        <v>6.703075323556591</v>
      </c>
    </row>
    <row r="623">
      <c r="A623" t="n">
        <v>115</v>
      </c>
      <c r="B623" t="inlineStr">
        <is>
          <t>Lofty</t>
        </is>
      </c>
      <c r="C623" t="inlineStr">
        <is>
          <t>Town</t>
        </is>
      </c>
      <c r="D623" t="inlineStr">
        <is>
          <t>Loss</t>
        </is>
      </c>
      <c r="E623" t="n">
        <v>-40</v>
      </c>
      <c r="F623" t="n">
        <v>24.17471232045063</v>
      </c>
      <c r="G623" t="n">
        <v>23.50386466116185</v>
      </c>
      <c r="H623" t="n">
        <v>7.70729478656004</v>
      </c>
      <c r="I623" t="n">
        <v>852</v>
      </c>
      <c r="J623" t="n">
        <v>812</v>
      </c>
      <c r="K623" t="n">
        <v>7.762316364296782</v>
      </c>
    </row>
    <row r="624">
      <c r="A624" t="n">
        <v>115</v>
      </c>
      <c r="B624" t="inlineStr">
        <is>
          <t>Cyclone</t>
        </is>
      </c>
      <c r="C624" t="inlineStr">
        <is>
          <t>Town</t>
        </is>
      </c>
      <c r="D624" t="inlineStr">
        <is>
          <t>Loss</t>
        </is>
      </c>
      <c r="E624" t="n">
        <v>-45</v>
      </c>
      <c r="F624" t="n">
        <v>25.21760025781108</v>
      </c>
      <c r="G624" t="n">
        <v>24.46785462504715</v>
      </c>
      <c r="H624" t="n">
        <v>8.140975301004355</v>
      </c>
      <c r="I624" t="n">
        <v>878</v>
      </c>
      <c r="J624" t="n">
        <v>833</v>
      </c>
      <c r="K624" t="n">
        <v>8.206163194660018</v>
      </c>
    </row>
    <row r="625">
      <c r="A625" t="n">
        <v>115</v>
      </c>
      <c r="B625" t="inlineStr">
        <is>
          <t>Laur</t>
        </is>
      </c>
      <c r="C625" t="inlineStr">
        <is>
          <t>Town</t>
        </is>
      </c>
      <c r="D625" t="inlineStr">
        <is>
          <t>Loss</t>
        </is>
      </c>
      <c r="E625" t="n">
        <v>-32</v>
      </c>
      <c r="F625" t="n">
        <v>36.23549622986758</v>
      </c>
      <c r="G625" t="n">
        <v>35.71491300044489</v>
      </c>
      <c r="H625" t="n">
        <v>6.800472481007833</v>
      </c>
      <c r="I625" t="n">
        <v>1767</v>
      </c>
      <c r="J625" t="n">
        <v>1735</v>
      </c>
      <c r="K625" t="n">
        <v>6.837763388093911</v>
      </c>
    </row>
    <row r="626">
      <c r="A626" t="n">
        <v>115</v>
      </c>
      <c r="B626" t="inlineStr">
        <is>
          <t>Decode</t>
        </is>
      </c>
      <c r="C626" t="inlineStr">
        <is>
          <t>Town</t>
        </is>
      </c>
      <c r="D626" t="inlineStr">
        <is>
          <t>Loss</t>
        </is>
      </c>
      <c r="E626" t="n">
        <v>-45</v>
      </c>
      <c r="F626" t="n">
        <v>25.67194327759783</v>
      </c>
      <c r="G626" t="n">
        <v>24.92396417325999</v>
      </c>
      <c r="H626" t="n">
        <v>8.131534353539807</v>
      </c>
      <c r="I626" t="n">
        <v>910</v>
      </c>
      <c r="J626" t="n">
        <v>865</v>
      </c>
      <c r="K626" t="n">
        <v>8.196488496850613</v>
      </c>
    </row>
    <row r="627">
      <c r="A627" t="n">
        <v>115</v>
      </c>
      <c r="B627" t="inlineStr">
        <is>
          <t>Creatchee</t>
        </is>
      </c>
      <c r="C627" t="inlineStr">
        <is>
          <t>Town</t>
        </is>
      </c>
      <c r="D627" t="inlineStr">
        <is>
          <t>Loss</t>
        </is>
      </c>
      <c r="E627" t="n">
        <v>-33</v>
      </c>
      <c r="F627" t="n">
        <v>37.18694326471266</v>
      </c>
      <c r="G627" t="n">
        <v>36.64023684566017</v>
      </c>
      <c r="H627" t="n">
        <v>6.96704899612941</v>
      </c>
      <c r="I627" t="n">
        <v>1814</v>
      </c>
      <c r="J627" t="n">
        <v>1781</v>
      </c>
      <c r="K627" t="n">
        <v>7.007260897972672</v>
      </c>
    </row>
    <row r="628">
      <c r="A628" t="n">
        <v>115</v>
      </c>
      <c r="B628" t="inlineStr">
        <is>
          <t>Cj</t>
        </is>
      </c>
      <c r="C628" t="inlineStr">
        <is>
          <t>Town</t>
        </is>
      </c>
      <c r="D628" t="inlineStr">
        <is>
          <t>Loss</t>
        </is>
      </c>
      <c r="E628" t="n">
        <v>-39</v>
      </c>
      <c r="F628" t="n">
        <v>28.31740460448497</v>
      </c>
      <c r="G628" t="n">
        <v>27.6507577979054</v>
      </c>
      <c r="H628" t="n">
        <v>7.683474055769443</v>
      </c>
      <c r="I628" t="n">
        <v>1136</v>
      </c>
      <c r="J628" t="n">
        <v>1097</v>
      </c>
      <c r="K628" t="n">
        <v>7.737970311177919</v>
      </c>
    </row>
    <row r="629">
      <c r="A629" t="n">
        <v>115</v>
      </c>
      <c r="B629" t="inlineStr">
        <is>
          <t>Plen</t>
        </is>
      </c>
      <c r="C629" t="inlineStr">
        <is>
          <t>Town</t>
        </is>
      </c>
      <c r="D629" t="inlineStr">
        <is>
          <t>Loss</t>
        </is>
      </c>
      <c r="E629" t="n">
        <v>-28</v>
      </c>
      <c r="F629" t="n">
        <v>22.64687386768189</v>
      </c>
      <c r="G629" t="n">
        <v>22.18513034470145</v>
      </c>
      <c r="H629" t="n">
        <v>6.408692722716448</v>
      </c>
      <c r="I629" t="n">
        <v>883</v>
      </c>
      <c r="J629" t="n">
        <v>855</v>
      </c>
      <c r="K629" t="n">
        <v>6.439667880656786</v>
      </c>
    </row>
    <row r="630">
      <c r="A630" t="n">
        <v>115</v>
      </c>
      <c r="B630" t="inlineStr">
        <is>
          <t>Carson</t>
        </is>
      </c>
      <c r="C630" t="inlineStr">
        <is>
          <t>Town</t>
        </is>
      </c>
      <c r="D630" t="inlineStr">
        <is>
          <t>Loss</t>
        </is>
      </c>
      <c r="E630" t="n">
        <v>-29</v>
      </c>
      <c r="F630" t="n">
        <v>32.64035189760607</v>
      </c>
      <c r="G630" t="n">
        <v>32.16584289211566</v>
      </c>
      <c r="H630" t="n">
        <v>6.495784830818712</v>
      </c>
      <c r="I630" t="n">
        <v>1554</v>
      </c>
      <c r="J630" t="n">
        <v>1525</v>
      </c>
      <c r="K630" t="n">
        <v>6.528098546811225</v>
      </c>
    </row>
    <row r="631">
      <c r="A631" t="n">
        <v>115</v>
      </c>
      <c r="B631" t="inlineStr">
        <is>
          <t>Gilbert</t>
        </is>
      </c>
      <c r="C631" t="inlineStr">
        <is>
          <t>Town</t>
        </is>
      </c>
      <c r="D631" t="inlineStr">
        <is>
          <t>Loss</t>
        </is>
      </c>
      <c r="E631" t="n">
        <v>-39</v>
      </c>
      <c r="F631" t="n">
        <v>23.4014010339266</v>
      </c>
      <c r="G631" t="n">
        <v>22.73377593039606</v>
      </c>
      <c r="H631" t="n">
        <v>7.689028425113258</v>
      </c>
      <c r="I631" t="n">
        <v>801</v>
      </c>
      <c r="J631" t="n">
        <v>762</v>
      </c>
      <c r="K631" t="n">
        <v>7.743646870971292</v>
      </c>
    </row>
    <row r="632">
      <c r="A632" t="n">
        <v>115</v>
      </c>
      <c r="B632" t="inlineStr">
        <is>
          <t>Lou</t>
        </is>
      </c>
      <c r="C632" t="inlineStr">
        <is>
          <t>Town</t>
        </is>
      </c>
      <c r="D632" t="inlineStr">
        <is>
          <t>Loss</t>
        </is>
      </c>
      <c r="E632" t="n">
        <v>-30</v>
      </c>
      <c r="F632" t="n">
        <v>30.00069305577707</v>
      </c>
      <c r="G632" t="n">
        <v>29.50996898100948</v>
      </c>
      <c r="H632" t="n">
        <v>6.60468791838202</v>
      </c>
      <c r="I632" t="n">
        <v>1363</v>
      </c>
      <c r="J632" t="n">
        <v>1333</v>
      </c>
      <c r="K632" t="n">
        <v>6.638727436537054</v>
      </c>
    </row>
    <row r="633">
      <c r="A633" t="n">
        <v>114</v>
      </c>
      <c r="B633" t="inlineStr">
        <is>
          <t>Brownkow</t>
        </is>
      </c>
      <c r="C633" t="inlineStr">
        <is>
          <t>Mafia</t>
        </is>
      </c>
      <c r="D633" t="inlineStr">
        <is>
          <t>Win</t>
        </is>
      </c>
      <c r="E633" t="n">
        <v>21</v>
      </c>
      <c r="F633" t="n">
        <v>32.55871300522116</v>
      </c>
      <c r="G633" t="n">
        <v>32.84323470370679</v>
      </c>
      <c r="H633" t="n">
        <v>6.410468665491975</v>
      </c>
      <c r="I633" t="n">
        <v>1558</v>
      </c>
      <c r="J633" t="n">
        <v>1579</v>
      </c>
      <c r="K633" t="n">
        <v>6.432151647660987</v>
      </c>
    </row>
    <row r="634">
      <c r="A634" t="n">
        <v>114</v>
      </c>
      <c r="B634" t="inlineStr">
        <is>
          <t>Strik3r</t>
        </is>
      </c>
      <c r="C634" t="inlineStr">
        <is>
          <t>Mafia</t>
        </is>
      </c>
      <c r="D634" t="inlineStr">
        <is>
          <t>Win</t>
        </is>
      </c>
      <c r="E634" t="n">
        <v>29</v>
      </c>
      <c r="F634" t="n">
        <v>25.73417611234498</v>
      </c>
      <c r="G634" t="n">
        <v>26.11716802434286</v>
      </c>
      <c r="H634" t="n">
        <v>7.428458476257216</v>
      </c>
      <c r="I634" t="n">
        <v>989</v>
      </c>
      <c r="J634" t="n">
        <v>1018</v>
      </c>
      <c r="K634" t="n">
        <v>7.462887143702885</v>
      </c>
    </row>
    <row r="635">
      <c r="A635" t="n">
        <v>114</v>
      </c>
      <c r="B635" t="inlineStr">
        <is>
          <t>Lou</t>
        </is>
      </c>
      <c r="C635" t="inlineStr">
        <is>
          <t>Mafia</t>
        </is>
      </c>
      <c r="D635" t="inlineStr">
        <is>
          <t>Win</t>
        </is>
      </c>
      <c r="E635" t="n">
        <v>23</v>
      </c>
      <c r="F635" t="n">
        <v>29.69539206817584</v>
      </c>
      <c r="G635" t="n">
        <v>30.00069305577707</v>
      </c>
      <c r="H635" t="n">
        <v>6.638727436537054</v>
      </c>
      <c r="I635" t="n">
        <v>1340</v>
      </c>
      <c r="J635" t="n">
        <v>1363</v>
      </c>
      <c r="K635" t="n">
        <v>6.662945417011053</v>
      </c>
    </row>
    <row r="636">
      <c r="A636" t="n">
        <v>114</v>
      </c>
      <c r="B636" t="inlineStr">
        <is>
          <t>Kango</t>
        </is>
      </c>
      <c r="C636" t="inlineStr">
        <is>
          <t>Town</t>
        </is>
      </c>
      <c r="D636" t="inlineStr">
        <is>
          <t>Loss</t>
        </is>
      </c>
      <c r="E636" t="n">
        <v>-28</v>
      </c>
      <c r="F636" t="n">
        <v>25</v>
      </c>
      <c r="G636" t="n">
        <v>24.52247300736177</v>
      </c>
      <c r="H636" t="n">
        <v>8.285039264286052</v>
      </c>
      <c r="I636" t="n">
        <v>850</v>
      </c>
      <c r="J636" t="n">
        <v>822</v>
      </c>
      <c r="K636" t="n">
        <v>8.333333333333334</v>
      </c>
    </row>
    <row r="637">
      <c r="A637" t="n">
        <v>114</v>
      </c>
      <c r="B637" t="inlineStr">
        <is>
          <t>Chester</t>
        </is>
      </c>
      <c r="C637" t="inlineStr">
        <is>
          <t>Town</t>
        </is>
      </c>
      <c r="D637" t="inlineStr">
        <is>
          <t>Loss</t>
        </is>
      </c>
      <c r="E637" t="n">
        <v>-22</v>
      </c>
      <c r="F637" t="n">
        <v>28.92782718426703</v>
      </c>
      <c r="G637" t="n">
        <v>28.53635189054959</v>
      </c>
      <c r="H637" t="n">
        <v>7.509491216965663</v>
      </c>
      <c r="I637" t="n">
        <v>1197</v>
      </c>
      <c r="J637" t="n">
        <v>1175</v>
      </c>
      <c r="K637" t="n">
        <v>7.545101683025558</v>
      </c>
    </row>
    <row r="638">
      <c r="A638" t="n">
        <v>114</v>
      </c>
      <c r="B638" t="inlineStr">
        <is>
          <t>Plen</t>
        </is>
      </c>
      <c r="C638" t="inlineStr">
        <is>
          <t>Town</t>
        </is>
      </c>
      <c r="D638" t="inlineStr">
        <is>
          <t>Loss</t>
        </is>
      </c>
      <c r="E638" t="n">
        <v>-17</v>
      </c>
      <c r="F638" t="n">
        <v>22.9340119552573</v>
      </c>
      <c r="G638" t="n">
        <v>22.64687386768189</v>
      </c>
      <c r="H638" t="n">
        <v>6.439667880656786</v>
      </c>
      <c r="I638" t="n">
        <v>900</v>
      </c>
      <c r="J638" t="n">
        <v>883</v>
      </c>
      <c r="K638" t="n">
        <v>6.461665299212122</v>
      </c>
    </row>
    <row r="639">
      <c r="A639" t="n">
        <v>114</v>
      </c>
      <c r="B639" t="inlineStr">
        <is>
          <t>Mintt</t>
        </is>
      </c>
      <c r="C639" t="inlineStr">
        <is>
          <t>Town</t>
        </is>
      </c>
      <c r="D639" t="inlineStr">
        <is>
          <t>Loss</t>
        </is>
      </c>
      <c r="E639" t="n">
        <v>-20</v>
      </c>
      <c r="F639" t="n">
        <v>29.9498621290845</v>
      </c>
      <c r="G639" t="n">
        <v>29.6061677961007</v>
      </c>
      <c r="H639" t="n">
        <v>7.040459874417973</v>
      </c>
      <c r="I639" t="n">
        <v>1315</v>
      </c>
      <c r="J639" t="n">
        <v>1295</v>
      </c>
      <c r="K639" t="n">
        <v>7.069583045827131</v>
      </c>
    </row>
    <row r="640">
      <c r="A640" t="n">
        <v>114</v>
      </c>
      <c r="B640" t="inlineStr">
        <is>
          <t>Noah</t>
        </is>
      </c>
      <c r="C640" t="inlineStr">
        <is>
          <t>Town</t>
        </is>
      </c>
      <c r="D640" t="inlineStr">
        <is>
          <t>Loss</t>
        </is>
      </c>
      <c r="E640" t="n">
        <v>-17</v>
      </c>
      <c r="F640" t="n">
        <v>32.40533488454842</v>
      </c>
      <c r="G640" t="n">
        <v>32.11206572437863</v>
      </c>
      <c r="H640" t="n">
        <v>6.507563496850634</v>
      </c>
      <c r="I640" t="n">
        <v>1537</v>
      </c>
      <c r="J640" t="n">
        <v>1520</v>
      </c>
      <c r="K640" t="n">
        <v>6.530303140755337</v>
      </c>
    </row>
    <row r="641">
      <c r="A641" t="n">
        <v>114</v>
      </c>
      <c r="B641" t="inlineStr">
        <is>
          <t>Carson</t>
        </is>
      </c>
      <c r="C641" t="inlineStr">
        <is>
          <t>Town</t>
        </is>
      </c>
      <c r="D641" t="inlineStr">
        <is>
          <t>Loss</t>
        </is>
      </c>
      <c r="E641" t="n">
        <v>-17</v>
      </c>
      <c r="F641" t="n">
        <v>32.93548843910445</v>
      </c>
      <c r="G641" t="n">
        <v>32.64035189760607</v>
      </c>
      <c r="H641" t="n">
        <v>6.528098546811225</v>
      </c>
      <c r="I641" t="n">
        <v>1571</v>
      </c>
      <c r="J641" t="n">
        <v>1554</v>
      </c>
      <c r="K641" t="n">
        <v>6.551065750241365</v>
      </c>
    </row>
    <row r="642">
      <c r="A642" t="n">
        <v>114</v>
      </c>
      <c r="B642" t="inlineStr">
        <is>
          <t>Iln</t>
        </is>
      </c>
      <c r="C642" t="inlineStr">
        <is>
          <t>Town</t>
        </is>
      </c>
      <c r="D642" t="inlineStr">
        <is>
          <t>Loss</t>
        </is>
      </c>
      <c r="E642" t="n">
        <v>-18</v>
      </c>
      <c r="F642" t="n">
        <v>27.44935071185117</v>
      </c>
      <c r="G642" t="n">
        <v>27.13807707219339</v>
      </c>
      <c r="H642" t="n">
        <v>6.702855994168102</v>
      </c>
      <c r="I642" t="n">
        <v>1180</v>
      </c>
      <c r="J642" t="n">
        <v>1162</v>
      </c>
      <c r="K642" t="n">
        <v>6.727818416834708</v>
      </c>
    </row>
    <row r="643">
      <c r="A643" t="n">
        <v>114</v>
      </c>
      <c r="B643" t="inlineStr">
        <is>
          <t>Gilbert</t>
        </is>
      </c>
      <c r="C643" t="inlineStr">
        <is>
          <t>Town</t>
        </is>
      </c>
      <c r="D643" t="inlineStr">
        <is>
          <t>Loss</t>
        </is>
      </c>
      <c r="E643" t="n">
        <v>-25</v>
      </c>
      <c r="F643" t="n">
        <v>23.81792848987274</v>
      </c>
      <c r="G643" t="n">
        <v>23.4014010339266</v>
      </c>
      <c r="H643" t="n">
        <v>7.743646870971292</v>
      </c>
      <c r="I643" t="n">
        <v>826</v>
      </c>
      <c r="J643" t="n">
        <v>801</v>
      </c>
      <c r="K643" t="n">
        <v>7.782820761140182</v>
      </c>
    </row>
    <row r="644">
      <c r="A644" t="n">
        <v>114</v>
      </c>
      <c r="B644" t="inlineStr">
        <is>
          <t>Kden</t>
        </is>
      </c>
      <c r="C644" t="inlineStr">
        <is>
          <t>Town</t>
        </is>
      </c>
      <c r="D644" t="inlineStr">
        <is>
          <t>Loss</t>
        </is>
      </c>
      <c r="E644" t="n">
        <v>-20</v>
      </c>
      <c r="F644" t="n">
        <v>28.12519690782286</v>
      </c>
      <c r="G644" t="n">
        <v>27.78861517186821</v>
      </c>
      <c r="H644" t="n">
        <v>6.967841650393389</v>
      </c>
      <c r="I644" t="n">
        <v>1199</v>
      </c>
      <c r="J644" t="n">
        <v>1179</v>
      </c>
      <c r="K644" t="n">
        <v>6.996034938297543</v>
      </c>
    </row>
    <row r="645">
      <c r="A645" t="n">
        <v>114</v>
      </c>
      <c r="B645" t="inlineStr">
        <is>
          <t>Ken</t>
        </is>
      </c>
      <c r="C645" t="inlineStr">
        <is>
          <t>Town</t>
        </is>
      </c>
      <c r="D645" t="inlineStr">
        <is>
          <t>Loss</t>
        </is>
      </c>
      <c r="E645" t="n">
        <v>-26</v>
      </c>
      <c r="F645" t="n">
        <v>24.00075319870608</v>
      </c>
      <c r="G645" t="n">
        <v>23.54780199963091</v>
      </c>
      <c r="H645" t="n">
        <v>8.071487289290783</v>
      </c>
      <c r="I645" t="n">
        <v>804</v>
      </c>
      <c r="J645" t="n">
        <v>778</v>
      </c>
      <c r="K645" t="n">
        <v>8.116032948546319</v>
      </c>
    </row>
    <row r="646">
      <c r="A646" t="n">
        <v>114</v>
      </c>
      <c r="B646" t="inlineStr">
        <is>
          <t>Badpants</t>
        </is>
      </c>
      <c r="C646" t="inlineStr">
        <is>
          <t>Town</t>
        </is>
      </c>
      <c r="D646" t="inlineStr">
        <is>
          <t>Loss</t>
        </is>
      </c>
      <c r="E646" t="n">
        <v>-18</v>
      </c>
      <c r="F646" t="n">
        <v>23.53858127091175</v>
      </c>
      <c r="G646" t="n">
        <v>23.24149610056503</v>
      </c>
      <c r="H646" t="n">
        <v>6.54945638149425</v>
      </c>
      <c r="I646" t="n">
        <v>930</v>
      </c>
      <c r="J646" t="n">
        <v>912</v>
      </c>
      <c r="K646" t="n">
        <v>6.572661786039666</v>
      </c>
    </row>
    <row r="647">
      <c r="A647" t="n">
        <v>113</v>
      </c>
      <c r="B647" t="inlineStr">
        <is>
          <t>Plen</t>
        </is>
      </c>
      <c r="C647" t="inlineStr">
        <is>
          <t>Mafia</t>
        </is>
      </c>
      <c r="D647" t="inlineStr">
        <is>
          <t>Win</t>
        </is>
      </c>
      <c r="E647" t="n">
        <v>27</v>
      </c>
      <c r="F647" t="n">
        <v>22.5768423352373</v>
      </c>
      <c r="G647" t="n">
        <v>22.9340119552573</v>
      </c>
      <c r="H647" t="n">
        <v>6.461665299212122</v>
      </c>
      <c r="I647" t="n">
        <v>873</v>
      </c>
      <c r="J647" t="n">
        <v>900</v>
      </c>
      <c r="K647" t="n">
        <v>6.488986664302955</v>
      </c>
    </row>
    <row r="648">
      <c r="A648" t="n">
        <v>113</v>
      </c>
      <c r="B648" t="inlineStr">
        <is>
          <t>Noah</t>
        </is>
      </c>
      <c r="C648" t="inlineStr">
        <is>
          <t>Mafia</t>
        </is>
      </c>
      <c r="D648" t="inlineStr">
        <is>
          <t>Win</t>
        </is>
      </c>
      <c r="E648" t="n">
        <v>27</v>
      </c>
      <c r="F648" t="n">
        <v>32.04046851425029</v>
      </c>
      <c r="G648" t="n">
        <v>32.40533488454842</v>
      </c>
      <c r="H648" t="n">
        <v>6.530303140755337</v>
      </c>
      <c r="I648" t="n">
        <v>1510</v>
      </c>
      <c r="J648" t="n">
        <v>1537</v>
      </c>
      <c r="K648" t="n">
        <v>6.558546949150259</v>
      </c>
    </row>
    <row r="649">
      <c r="A649" t="n">
        <v>113</v>
      </c>
      <c r="B649" t="inlineStr">
        <is>
          <t>Brownkow</t>
        </is>
      </c>
      <c r="C649" t="inlineStr">
        <is>
          <t>Mafia</t>
        </is>
      </c>
      <c r="D649" t="inlineStr">
        <is>
          <t>Win</t>
        </is>
      </c>
      <c r="E649" t="n">
        <v>27</v>
      </c>
      <c r="F649" t="n">
        <v>32.20482702791261</v>
      </c>
      <c r="G649" t="n">
        <v>32.55871300522116</v>
      </c>
      <c r="H649" t="n">
        <v>6.432151647660987</v>
      </c>
      <c r="I649" t="n">
        <v>1531</v>
      </c>
      <c r="J649" t="n">
        <v>1558</v>
      </c>
      <c r="K649" t="n">
        <v>6.459082389896069</v>
      </c>
    </row>
    <row r="650">
      <c r="A650" t="n">
        <v>113</v>
      </c>
      <c r="B650" t="inlineStr">
        <is>
          <t>Motr</t>
        </is>
      </c>
      <c r="C650" t="inlineStr">
        <is>
          <t>Town</t>
        </is>
      </c>
      <c r="D650" t="inlineStr">
        <is>
          <t>Loss</t>
        </is>
      </c>
      <c r="E650" t="n">
        <v>-30</v>
      </c>
      <c r="F650" t="n">
        <v>27.41029240634225</v>
      </c>
      <c r="G650" t="n">
        <v>26.90902655241322</v>
      </c>
      <c r="H650" t="n">
        <v>7.641463403711641</v>
      </c>
      <c r="I650" t="n">
        <v>1080</v>
      </c>
      <c r="J650" t="n">
        <v>1050</v>
      </c>
      <c r="K650" t="n">
        <v>7.687559864413051</v>
      </c>
    </row>
    <row r="651">
      <c r="A651" t="n">
        <v>113</v>
      </c>
      <c r="B651" t="inlineStr">
        <is>
          <t>Gilbert</t>
        </is>
      </c>
      <c r="C651" t="inlineStr">
        <is>
          <t>Town</t>
        </is>
      </c>
      <c r="D651" t="inlineStr">
        <is>
          <t>Loss</t>
        </is>
      </c>
      <c r="E651" t="n">
        <v>-30</v>
      </c>
      <c r="F651" t="n">
        <v>24.33815290870717</v>
      </c>
      <c r="G651" t="n">
        <v>23.81792848987274</v>
      </c>
      <c r="H651" t="n">
        <v>7.782820761140182</v>
      </c>
      <c r="I651" t="n">
        <v>856</v>
      </c>
      <c r="J651" t="n">
        <v>826</v>
      </c>
      <c r="K651" t="n">
        <v>7.831611867229547</v>
      </c>
    </row>
    <row r="652">
      <c r="A652" t="n">
        <v>113</v>
      </c>
      <c r="B652" t="inlineStr">
        <is>
          <t>Iln</t>
        </is>
      </c>
      <c r="C652" t="inlineStr">
        <is>
          <t>Town</t>
        </is>
      </c>
      <c r="D652" t="inlineStr">
        <is>
          <t>Loss</t>
        </is>
      </c>
      <c r="E652" t="n">
        <v>-24</v>
      </c>
      <c r="F652" t="n">
        <v>27.83683620314978</v>
      </c>
      <c r="G652" t="n">
        <v>27.44935071185117</v>
      </c>
      <c r="H652" t="n">
        <v>6.727818416834708</v>
      </c>
      <c r="I652" t="n">
        <v>1204</v>
      </c>
      <c r="J652" t="n">
        <v>1180</v>
      </c>
      <c r="K652" t="n">
        <v>6.758827825110385</v>
      </c>
    </row>
    <row r="653">
      <c r="A653" t="n">
        <v>113</v>
      </c>
      <c r="B653" t="inlineStr">
        <is>
          <t>Whyin</t>
        </is>
      </c>
      <c r="C653" t="inlineStr">
        <is>
          <t>Town</t>
        </is>
      </c>
      <c r="D653" t="inlineStr">
        <is>
          <t>Loss</t>
        </is>
      </c>
      <c r="E653" t="n">
        <v>-24</v>
      </c>
      <c r="F653" t="n">
        <v>29.42645053117147</v>
      </c>
      <c r="G653" t="n">
        <v>29.01336707164619</v>
      </c>
      <c r="H653" t="n">
        <v>6.944319398549869</v>
      </c>
      <c r="I653" t="n">
        <v>1289</v>
      </c>
      <c r="J653" t="n">
        <v>1265</v>
      </c>
      <c r="K653" t="n">
        <v>6.978555051187321</v>
      </c>
    </row>
    <row r="654">
      <c r="A654" t="n">
        <v>113</v>
      </c>
      <c r="B654" t="inlineStr">
        <is>
          <t>Rocker</t>
        </is>
      </c>
      <c r="C654" t="inlineStr">
        <is>
          <t>Town</t>
        </is>
      </c>
      <c r="D654" t="inlineStr">
        <is>
          <t>Loss</t>
        </is>
      </c>
      <c r="E654" t="n">
        <v>-20</v>
      </c>
      <c r="F654" t="n">
        <v>32.42905366807858</v>
      </c>
      <c r="G654" t="n">
        <v>32.0879658001578</v>
      </c>
      <c r="H654" t="n">
        <v>6.315758553062491</v>
      </c>
      <c r="I654" t="n">
        <v>1558</v>
      </c>
      <c r="J654" t="n">
        <v>1538</v>
      </c>
      <c r="K654" t="n">
        <v>6.341183639464535</v>
      </c>
    </row>
    <row r="655">
      <c r="A655" t="n">
        <v>113</v>
      </c>
      <c r="B655" t="inlineStr">
        <is>
          <t>Strik3r</t>
        </is>
      </c>
      <c r="C655" t="inlineStr">
        <is>
          <t>Town</t>
        </is>
      </c>
      <c r="D655" t="inlineStr">
        <is>
          <t>Loss</t>
        </is>
      </c>
      <c r="E655" t="n">
        <v>-28</v>
      </c>
      <c r="F655" t="n">
        <v>26.2120130860996</v>
      </c>
      <c r="G655" t="n">
        <v>25.73417611234498</v>
      </c>
      <c r="H655" t="n">
        <v>7.462887143702885</v>
      </c>
      <c r="I655" t="n">
        <v>1017</v>
      </c>
      <c r="J655" t="n">
        <v>989</v>
      </c>
      <c r="K655" t="n">
        <v>7.505722850004332</v>
      </c>
    </row>
    <row r="656">
      <c r="A656" t="n">
        <v>113</v>
      </c>
      <c r="B656" t="inlineStr">
        <is>
          <t>Decode</t>
        </is>
      </c>
      <c r="C656" t="inlineStr">
        <is>
          <t>Town</t>
        </is>
      </c>
      <c r="D656" t="inlineStr">
        <is>
          <t>Loss</t>
        </is>
      </c>
      <c r="E656" t="n">
        <v>-33</v>
      </c>
      <c r="F656" t="n">
        <v>26.24975368712738</v>
      </c>
      <c r="G656" t="n">
        <v>25.67194327759783</v>
      </c>
      <c r="H656" t="n">
        <v>8.196488496850613</v>
      </c>
      <c r="I656" t="n">
        <v>943</v>
      </c>
      <c r="J656" t="n">
        <v>910</v>
      </c>
      <c r="K656" t="n">
        <v>8.253763073230171</v>
      </c>
    </row>
    <row r="657">
      <c r="A657" t="n">
        <v>113</v>
      </c>
      <c r="B657" t="inlineStr">
        <is>
          <t>Kden</t>
        </is>
      </c>
      <c r="C657" t="inlineStr">
        <is>
          <t>Town</t>
        </is>
      </c>
      <c r="D657" t="inlineStr">
        <is>
          <t>Loss</t>
        </is>
      </c>
      <c r="E657" t="n">
        <v>-25</v>
      </c>
      <c r="F657" t="n">
        <v>28.54451980180384</v>
      </c>
      <c r="G657" t="n">
        <v>28.12519690782286</v>
      </c>
      <c r="H657" t="n">
        <v>6.996034938297543</v>
      </c>
      <c r="I657" t="n">
        <v>1224</v>
      </c>
      <c r="J657" t="n">
        <v>1199</v>
      </c>
      <c r="K657" t="n">
        <v>7.031072186346345</v>
      </c>
    </row>
    <row r="658">
      <c r="A658" t="n">
        <v>113</v>
      </c>
      <c r="B658" t="inlineStr">
        <is>
          <t>Ken</t>
        </is>
      </c>
      <c r="C658" t="inlineStr">
        <is>
          <t>Town</t>
        </is>
      </c>
      <c r="D658" t="inlineStr">
        <is>
          <t>Loss</t>
        </is>
      </c>
      <c r="E658" t="n">
        <v>-33</v>
      </c>
      <c r="F658" t="n">
        <v>24.5671168519645</v>
      </c>
      <c r="G658" t="n">
        <v>24.00075319870608</v>
      </c>
      <c r="H658" t="n">
        <v>8.116032948546319</v>
      </c>
      <c r="I658" t="n">
        <v>837</v>
      </c>
      <c r="J658" t="n">
        <v>804</v>
      </c>
      <c r="K658" t="n">
        <v>8.171586087822943</v>
      </c>
    </row>
    <row r="659">
      <c r="A659" t="n">
        <v>113</v>
      </c>
      <c r="B659" t="inlineStr">
        <is>
          <t>Badpants</t>
        </is>
      </c>
      <c r="C659" t="inlineStr">
        <is>
          <t>Town</t>
        </is>
      </c>
      <c r="D659" t="inlineStr">
        <is>
          <t>Loss</t>
        </is>
      </c>
      <c r="E659" t="n">
        <v>-22</v>
      </c>
      <c r="F659" t="n">
        <v>23.90823961014882</v>
      </c>
      <c r="G659" t="n">
        <v>23.53858127091175</v>
      </c>
      <c r="H659" t="n">
        <v>6.572661786039666</v>
      </c>
      <c r="I659" t="n">
        <v>952</v>
      </c>
      <c r="J659" t="n">
        <v>930</v>
      </c>
      <c r="K659" t="n">
        <v>6.601484714687389</v>
      </c>
    </row>
    <row r="660">
      <c r="A660" t="n">
        <v>112</v>
      </c>
      <c r="B660" t="inlineStr">
        <is>
          <t>Gilbert</t>
        </is>
      </c>
      <c r="C660" t="inlineStr">
        <is>
          <t>Mafia</t>
        </is>
      </c>
      <c r="D660" t="inlineStr">
        <is>
          <t>Loss</t>
        </is>
      </c>
      <c r="E660" t="n">
        <v>-70</v>
      </c>
      <c r="F660" t="n">
        <v>25.46111079826791</v>
      </c>
      <c r="G660" t="n">
        <v>24.33815290870717</v>
      </c>
      <c r="H660" t="n">
        <v>7.831611867229547</v>
      </c>
      <c r="I660" t="n">
        <v>926</v>
      </c>
      <c r="J660" t="n">
        <v>856</v>
      </c>
      <c r="K660" t="n">
        <v>7.899229745030517</v>
      </c>
    </row>
    <row r="661">
      <c r="A661" t="n">
        <v>112</v>
      </c>
      <c r="B661" t="inlineStr">
        <is>
          <t>Chelsea</t>
        </is>
      </c>
      <c r="C661" t="inlineStr">
        <is>
          <t>Mafia</t>
        </is>
      </c>
      <c r="D661" t="inlineStr">
        <is>
          <t>Loss</t>
        </is>
      </c>
      <c r="E661" t="n">
        <v>-75</v>
      </c>
      <c r="F661" t="n">
        <v>23.34260797977336</v>
      </c>
      <c r="G661" t="n">
        <v>22.11809910758223</v>
      </c>
      <c r="H661" t="n">
        <v>8.171586087822943</v>
      </c>
      <c r="I661" t="n">
        <v>746</v>
      </c>
      <c r="J661" t="n">
        <v>671</v>
      </c>
      <c r="K661" t="n">
        <v>8.248725738679656</v>
      </c>
    </row>
    <row r="662">
      <c r="A662" t="n">
        <v>112</v>
      </c>
      <c r="B662" t="inlineStr">
        <is>
          <t>Levi</t>
        </is>
      </c>
      <c r="C662" t="inlineStr">
        <is>
          <t>Mafia</t>
        </is>
      </c>
      <c r="D662" t="inlineStr">
        <is>
          <t>Loss</t>
        </is>
      </c>
      <c r="E662" t="n">
        <v>-74</v>
      </c>
      <c r="F662" t="n">
        <v>28.59882430233247</v>
      </c>
      <c r="G662" t="n">
        <v>27.4100649344862</v>
      </c>
      <c r="H662" t="n">
        <v>8.053664626496946</v>
      </c>
      <c r="I662" t="n">
        <v>1116</v>
      </c>
      <c r="J662" t="n">
        <v>1042</v>
      </c>
      <c r="K662" t="n">
        <v>8.127405197807489</v>
      </c>
    </row>
    <row r="663">
      <c r="A663" t="n">
        <v>112</v>
      </c>
      <c r="B663" t="inlineStr">
        <is>
          <t>Lou</t>
        </is>
      </c>
      <c r="C663" t="inlineStr">
        <is>
          <t>Town</t>
        </is>
      </c>
      <c r="D663" t="inlineStr">
        <is>
          <t>Win</t>
        </is>
      </c>
      <c r="E663" t="n">
        <v>60</v>
      </c>
      <c r="F663" t="n">
        <v>28.88653391237814</v>
      </c>
      <c r="G663" t="n">
        <v>29.69539206817584</v>
      </c>
      <c r="H663" t="n">
        <v>6.662945417011053</v>
      </c>
      <c r="I663" t="n">
        <v>1280</v>
      </c>
      <c r="J663" t="n">
        <v>1340</v>
      </c>
      <c r="K663" t="n">
        <v>6.703871482965463</v>
      </c>
    </row>
    <row r="664">
      <c r="A664" t="n">
        <v>112</v>
      </c>
      <c r="B664" t="inlineStr">
        <is>
          <t>Iln</t>
        </is>
      </c>
      <c r="C664" t="inlineStr">
        <is>
          <t>Town</t>
        </is>
      </c>
      <c r="D664" t="inlineStr">
        <is>
          <t>Win</t>
        </is>
      </c>
      <c r="E664" t="n">
        <v>61</v>
      </c>
      <c r="F664" t="n">
        <v>27.00422416288682</v>
      </c>
      <c r="G664" t="n">
        <v>27.83683620314978</v>
      </c>
      <c r="H664" t="n">
        <v>6.758827825110385</v>
      </c>
      <c r="I664" t="n">
        <v>1143</v>
      </c>
      <c r="J664" t="n">
        <v>1204</v>
      </c>
      <c r="K664" t="n">
        <v>6.801617694887939</v>
      </c>
    </row>
    <row r="665">
      <c r="A665" t="n">
        <v>112</v>
      </c>
      <c r="B665" t="inlineStr">
        <is>
          <t>Smit</t>
        </is>
      </c>
      <c r="C665" t="inlineStr">
        <is>
          <t>Town</t>
        </is>
      </c>
      <c r="D665" t="inlineStr">
        <is>
          <t>Win</t>
        </is>
      </c>
      <c r="E665" t="n">
        <v>60</v>
      </c>
      <c r="F665" t="n">
        <v>26.91708543357531</v>
      </c>
      <c r="G665" t="n">
        <v>27.73584191030886</v>
      </c>
      <c r="H665" t="n">
        <v>6.703075323556591</v>
      </c>
      <c r="I665" t="n">
        <v>1142</v>
      </c>
      <c r="J665" t="n">
        <v>1202</v>
      </c>
      <c r="K665" t="n">
        <v>6.744774804364465</v>
      </c>
    </row>
    <row r="666">
      <c r="A666" t="n">
        <v>112</v>
      </c>
      <c r="B666" t="inlineStr">
        <is>
          <t>Vandy</t>
        </is>
      </c>
      <c r="C666" t="inlineStr">
        <is>
          <t>Town</t>
        </is>
      </c>
      <c r="D666" t="inlineStr">
        <is>
          <t>Win</t>
        </is>
      </c>
      <c r="E666" t="n">
        <v>91</v>
      </c>
      <c r="F666" t="n">
        <v>24.10305750733407</v>
      </c>
      <c r="G666" t="n">
        <v>25.33311130947296</v>
      </c>
      <c r="H666" t="n">
        <v>8.189712303454042</v>
      </c>
      <c r="I666" t="n">
        <v>796</v>
      </c>
      <c r="J666" t="n">
        <v>887</v>
      </c>
      <c r="K666" t="n">
        <v>8.267383688781976</v>
      </c>
    </row>
    <row r="667">
      <c r="A667" t="n">
        <v>112</v>
      </c>
      <c r="B667" t="inlineStr">
        <is>
          <t>Badpants</t>
        </is>
      </c>
      <c r="C667" t="inlineStr">
        <is>
          <t>Town</t>
        </is>
      </c>
      <c r="D667" t="inlineStr">
        <is>
          <t>Win</t>
        </is>
      </c>
      <c r="E667" t="n">
        <v>58</v>
      </c>
      <c r="F667" t="n">
        <v>23.11442004839598</v>
      </c>
      <c r="G667" t="n">
        <v>23.90823961014882</v>
      </c>
      <c r="H667" t="n">
        <v>6.601484714687389</v>
      </c>
      <c r="I667" t="n">
        <v>894</v>
      </c>
      <c r="J667" t="n">
        <v>952</v>
      </c>
      <c r="K667" t="n">
        <v>6.641244643678629</v>
      </c>
    </row>
    <row r="668">
      <c r="A668" t="n">
        <v>112</v>
      </c>
      <c r="B668" t="inlineStr">
        <is>
          <t>Cj</t>
        </is>
      </c>
      <c r="C668" t="inlineStr">
        <is>
          <t>Town</t>
        </is>
      </c>
      <c r="D668" t="inlineStr">
        <is>
          <t>Win</t>
        </is>
      </c>
      <c r="E668" t="n">
        <v>81</v>
      </c>
      <c r="F668" t="n">
        <v>27.22160419849122</v>
      </c>
      <c r="G668" t="n">
        <v>28.31740460448497</v>
      </c>
      <c r="H668" t="n">
        <v>7.737970311177919</v>
      </c>
      <c r="I668" t="n">
        <v>1055</v>
      </c>
      <c r="J668" t="n">
        <v>1136</v>
      </c>
      <c r="K668" t="n">
        <v>7.803112636440612</v>
      </c>
    </row>
    <row r="669">
      <c r="A669" t="n">
        <v>112</v>
      </c>
      <c r="B669" t="inlineStr">
        <is>
          <t>Carson</t>
        </is>
      </c>
      <c r="C669" t="inlineStr">
        <is>
          <t>Town</t>
        </is>
      </c>
      <c r="D669" t="inlineStr">
        <is>
          <t>Win</t>
        </is>
      </c>
      <c r="E669" t="n">
        <v>57</v>
      </c>
      <c r="F669" t="n">
        <v>32.15389641681926</v>
      </c>
      <c r="G669" t="n">
        <v>32.93548843910445</v>
      </c>
      <c r="H669" t="n">
        <v>6.551065750241365</v>
      </c>
      <c r="I669" t="n">
        <v>1514</v>
      </c>
      <c r="J669" t="n">
        <v>1571</v>
      </c>
      <c r="K669" t="n">
        <v>6.589885503194745</v>
      </c>
    </row>
    <row r="670">
      <c r="A670" t="n">
        <v>112</v>
      </c>
      <c r="B670" t="inlineStr">
        <is>
          <t>Ken</t>
        </is>
      </c>
      <c r="C670" t="inlineStr">
        <is>
          <t>Town</t>
        </is>
      </c>
      <c r="D670" t="inlineStr">
        <is>
          <t>Win</t>
        </is>
      </c>
      <c r="E670" t="n">
        <v>91</v>
      </c>
      <c r="F670" t="n">
        <v>23.34260797977336</v>
      </c>
      <c r="G670" t="n">
        <v>24.5671168519645</v>
      </c>
      <c r="H670" t="n">
        <v>8.171586087822943</v>
      </c>
      <c r="I670" t="n">
        <v>746</v>
      </c>
      <c r="J670" t="n">
        <v>837</v>
      </c>
      <c r="K670" t="n">
        <v>8.248725738679656</v>
      </c>
    </row>
    <row r="671">
      <c r="A671" t="n">
        <v>112</v>
      </c>
      <c r="B671" t="inlineStr">
        <is>
          <t>Rocker</t>
        </is>
      </c>
      <c r="C671" t="inlineStr">
        <is>
          <t>Town</t>
        </is>
      </c>
      <c r="D671" t="inlineStr">
        <is>
          <t>Win</t>
        </is>
      </c>
      <c r="E671" t="n">
        <v>53</v>
      </c>
      <c r="F671" t="n">
        <v>31.69730603555266</v>
      </c>
      <c r="G671" t="n">
        <v>32.42905366807858</v>
      </c>
      <c r="H671" t="n">
        <v>6.341183639464535</v>
      </c>
      <c r="I671" t="n">
        <v>1505</v>
      </c>
      <c r="J671" t="n">
        <v>1558</v>
      </c>
      <c r="K671" t="n">
        <v>6.376246041451325</v>
      </c>
    </row>
    <row r="672">
      <c r="A672" t="n">
        <v>112</v>
      </c>
      <c r="B672" t="inlineStr">
        <is>
          <t>Decode</t>
        </is>
      </c>
      <c r="C672" t="inlineStr">
        <is>
          <t>Town</t>
        </is>
      </c>
      <c r="D672" t="inlineStr">
        <is>
          <t>Win</t>
        </is>
      </c>
      <c r="E672" t="n">
        <v>93</v>
      </c>
      <c r="F672" t="n">
        <v>25</v>
      </c>
      <c r="G672" t="n">
        <v>26.24975368712738</v>
      </c>
      <c r="H672" t="n">
        <v>8.253763073230171</v>
      </c>
      <c r="I672" t="n">
        <v>850</v>
      </c>
      <c r="J672" t="n">
        <v>943</v>
      </c>
      <c r="K672" t="n">
        <v>8.333333333333334</v>
      </c>
    </row>
    <row r="673">
      <c r="A673" t="n">
        <v>111</v>
      </c>
      <c r="B673" t="inlineStr">
        <is>
          <t>Laur</t>
        </is>
      </c>
      <c r="C673" t="inlineStr">
        <is>
          <t>Mafia</t>
        </is>
      </c>
      <c r="D673" t="inlineStr">
        <is>
          <t>Win</t>
        </is>
      </c>
      <c r="E673" t="n">
        <v>12</v>
      </c>
      <c r="F673" t="n">
        <v>36.09613572967241</v>
      </c>
      <c r="G673" t="n">
        <v>36.23549622986758</v>
      </c>
      <c r="H673" t="n">
        <v>6.837763388093911</v>
      </c>
      <c r="I673" t="n">
        <v>1755</v>
      </c>
      <c r="J673" t="n">
        <v>1767</v>
      </c>
      <c r="K673" t="n">
        <v>6.853832054583842</v>
      </c>
    </row>
    <row r="674">
      <c r="A674" t="n">
        <v>111</v>
      </c>
      <c r="B674" t="inlineStr">
        <is>
          <t>Iln</t>
        </is>
      </c>
      <c r="C674" t="inlineStr">
        <is>
          <t>Mafia</t>
        </is>
      </c>
      <c r="D674" t="inlineStr">
        <is>
          <t>Win</t>
        </is>
      </c>
      <c r="E674" t="n">
        <v>11</v>
      </c>
      <c r="F674" t="n">
        <v>26.86634032695314</v>
      </c>
      <c r="G674" t="n">
        <v>27.00422416288682</v>
      </c>
      <c r="H674" t="n">
        <v>6.801617694887939</v>
      </c>
      <c r="I674" t="n">
        <v>1132</v>
      </c>
      <c r="J674" t="n">
        <v>1143</v>
      </c>
      <c r="K674" t="n">
        <v>6.817415968718162</v>
      </c>
    </row>
    <row r="675">
      <c r="A675" t="n">
        <v>111</v>
      </c>
      <c r="B675" t="inlineStr">
        <is>
          <t>Carson</t>
        </is>
      </c>
      <c r="C675" t="inlineStr">
        <is>
          <t>Mafia</t>
        </is>
      </c>
      <c r="D675" t="inlineStr">
        <is>
          <t>Win</t>
        </is>
      </c>
      <c r="E675" t="n">
        <v>10</v>
      </c>
      <c r="F675" t="n">
        <v>32.02450229870388</v>
      </c>
      <c r="G675" t="n">
        <v>32.15389641681926</v>
      </c>
      <c r="H675" t="n">
        <v>6.589885503194745</v>
      </c>
      <c r="I675" t="n">
        <v>1504</v>
      </c>
      <c r="J675" t="n">
        <v>1514</v>
      </c>
      <c r="K675" t="n">
        <v>6.604155904032169</v>
      </c>
    </row>
    <row r="676">
      <c r="A676" t="n">
        <v>111</v>
      </c>
      <c r="B676" t="inlineStr">
        <is>
          <t>Strik3r</t>
        </is>
      </c>
      <c r="C676" t="inlineStr">
        <is>
          <t>Town</t>
        </is>
      </c>
      <c r="D676" t="inlineStr">
        <is>
          <t>Loss</t>
        </is>
      </c>
      <c r="E676" t="n">
        <v>-9</v>
      </c>
      <c r="F676" t="n">
        <v>26.38010129116811</v>
      </c>
      <c r="G676" t="n">
        <v>26.2120130860996</v>
      </c>
      <c r="H676" t="n">
        <v>7.505722850004332</v>
      </c>
      <c r="I676" t="n">
        <v>1026</v>
      </c>
      <c r="J676" t="n">
        <v>1017</v>
      </c>
      <c r="K676" t="n">
        <v>7.527315686426334</v>
      </c>
    </row>
    <row r="677">
      <c r="A677" t="n">
        <v>111</v>
      </c>
      <c r="B677" t="inlineStr">
        <is>
          <t>Chester</t>
        </is>
      </c>
      <c r="C677" t="inlineStr">
        <is>
          <t>Town</t>
        </is>
      </c>
      <c r="D677" t="inlineStr">
        <is>
          <t>Loss</t>
        </is>
      </c>
      <c r="E677" t="n">
        <v>-10</v>
      </c>
      <c r="F677" t="n">
        <v>29.09769444676149</v>
      </c>
      <c r="G677" t="n">
        <v>28.92782718426703</v>
      </c>
      <c r="H677" t="n">
        <v>7.545101683025558</v>
      </c>
      <c r="I677" t="n">
        <v>1207</v>
      </c>
      <c r="J677" t="n">
        <v>1197</v>
      </c>
      <c r="K677" t="n">
        <v>7.567052650699761</v>
      </c>
    </row>
    <row r="678">
      <c r="A678" t="n">
        <v>111</v>
      </c>
      <c r="B678" t="inlineStr">
        <is>
          <t>Lou</t>
        </is>
      </c>
      <c r="C678" t="inlineStr">
        <is>
          <t>Town</t>
        </is>
      </c>
      <c r="D678" t="inlineStr">
        <is>
          <t>Loss</t>
        </is>
      </c>
      <c r="E678" t="n">
        <v>-8</v>
      </c>
      <c r="F678" t="n">
        <v>29.02046447214089</v>
      </c>
      <c r="G678" t="n">
        <v>28.88653391237814</v>
      </c>
      <c r="H678" t="n">
        <v>6.703871482965463</v>
      </c>
      <c r="I678" t="n">
        <v>1288</v>
      </c>
      <c r="J678" t="n">
        <v>1280</v>
      </c>
      <c r="K678" t="n">
        <v>6.718952609987856</v>
      </c>
    </row>
    <row r="679">
      <c r="A679" t="n">
        <v>111</v>
      </c>
      <c r="B679" t="inlineStr">
        <is>
          <t>Kwix</t>
        </is>
      </c>
      <c r="C679" t="inlineStr">
        <is>
          <t>Town</t>
        </is>
      </c>
      <c r="D679" t="inlineStr">
        <is>
          <t>Loss</t>
        </is>
      </c>
      <c r="E679" t="n">
        <v>-8</v>
      </c>
      <c r="F679" t="n">
        <v>25.80701605681401</v>
      </c>
      <c r="G679" t="n">
        <v>25.66599192064458</v>
      </c>
      <c r="H679" t="n">
        <v>6.878253722351759</v>
      </c>
      <c r="I679" t="n">
        <v>1052</v>
      </c>
      <c r="J679" t="n">
        <v>1044</v>
      </c>
      <c r="K679" t="n">
        <v>6.894628646931213</v>
      </c>
    </row>
    <row r="680">
      <c r="A680" t="n">
        <v>111</v>
      </c>
      <c r="B680" t="inlineStr">
        <is>
          <t>Aipha</t>
        </is>
      </c>
      <c r="C680" t="inlineStr">
        <is>
          <t>Town</t>
        </is>
      </c>
      <c r="D680" t="inlineStr">
        <is>
          <t>Loss</t>
        </is>
      </c>
      <c r="E680" t="n">
        <v>-10</v>
      </c>
      <c r="F680" t="n">
        <v>23.59512143083111</v>
      </c>
      <c r="G680" t="n">
        <v>23.42658708379433</v>
      </c>
      <c r="H680" t="n">
        <v>7.515617903045186</v>
      </c>
      <c r="I680" t="n">
        <v>836</v>
      </c>
      <c r="J680" t="n">
        <v>826</v>
      </c>
      <c r="K680" t="n">
        <v>7.537300378452652</v>
      </c>
    </row>
    <row r="681">
      <c r="A681" t="n">
        <v>111</v>
      </c>
      <c r="B681" t="inlineStr">
        <is>
          <t>Plen</t>
        </is>
      </c>
      <c r="C681" t="inlineStr">
        <is>
          <t>Town</t>
        </is>
      </c>
      <c r="D681" t="inlineStr">
        <is>
          <t>Loss</t>
        </is>
      </c>
      <c r="E681" t="n">
        <v>-7</v>
      </c>
      <c r="F681" t="n">
        <v>22.70228695465502</v>
      </c>
      <c r="G681" t="n">
        <v>22.5768423352373</v>
      </c>
      <c r="H681" t="n">
        <v>6.488986664302955</v>
      </c>
      <c r="I681" t="n">
        <v>880</v>
      </c>
      <c r="J681" t="n">
        <v>873</v>
      </c>
      <c r="K681" t="n">
        <v>6.50256199157972</v>
      </c>
    </row>
    <row r="682">
      <c r="A682" t="n">
        <v>111</v>
      </c>
      <c r="B682" t="inlineStr">
        <is>
          <t>Noah</t>
        </is>
      </c>
      <c r="C682" t="inlineStr">
        <is>
          <t>Town</t>
        </is>
      </c>
      <c r="D682" t="inlineStr">
        <is>
          <t>Loss</t>
        </is>
      </c>
      <c r="E682" t="n">
        <v>-7</v>
      </c>
      <c r="F682" t="n">
        <v>32.16862929963307</v>
      </c>
      <c r="G682" t="n">
        <v>32.04046851425029</v>
      </c>
      <c r="H682" t="n">
        <v>6.558546949150259</v>
      </c>
      <c r="I682" t="n">
        <v>1517</v>
      </c>
      <c r="J682" t="n">
        <v>1510</v>
      </c>
      <c r="K682" t="n">
        <v>6.572599213887921</v>
      </c>
    </row>
    <row r="683">
      <c r="A683" t="n">
        <v>111</v>
      </c>
      <c r="B683" t="inlineStr">
        <is>
          <t>Smit</t>
        </is>
      </c>
      <c r="C683" t="inlineStr">
        <is>
          <t>Town</t>
        </is>
      </c>
      <c r="D683" t="inlineStr">
        <is>
          <t>Loss</t>
        </is>
      </c>
      <c r="E683" t="n">
        <v>-8</v>
      </c>
      <c r="F683" t="n">
        <v>27.05266320166147</v>
      </c>
      <c r="G683" t="n">
        <v>26.91708543357531</v>
      </c>
      <c r="H683" t="n">
        <v>6.744774804364465</v>
      </c>
      <c r="I683" t="n">
        <v>1150</v>
      </c>
      <c r="J683" t="n">
        <v>1142</v>
      </c>
      <c r="K683" t="n">
        <v>6.760153547373926</v>
      </c>
    </row>
    <row r="684">
      <c r="A684" t="n">
        <v>111</v>
      </c>
      <c r="B684" t="inlineStr">
        <is>
          <t>Badpants</t>
        </is>
      </c>
      <c r="C684" t="inlineStr">
        <is>
          <t>Town</t>
        </is>
      </c>
      <c r="D684" t="inlineStr">
        <is>
          <t>Loss</t>
        </is>
      </c>
      <c r="E684" t="n">
        <v>-8</v>
      </c>
      <c r="F684" t="n">
        <v>23.24584836027122</v>
      </c>
      <c r="G684" t="n">
        <v>23.11442004839598</v>
      </c>
      <c r="H684" t="n">
        <v>6.641244643678629</v>
      </c>
      <c r="I684" t="n">
        <v>902</v>
      </c>
      <c r="J684" t="n">
        <v>894</v>
      </c>
      <c r="K684" t="n">
        <v>6.655876959617967</v>
      </c>
    </row>
    <row r="685">
      <c r="A685" t="n">
        <v>111</v>
      </c>
      <c r="B685" t="inlineStr">
        <is>
          <t>Lofty</t>
        </is>
      </c>
      <c r="C685" t="inlineStr">
        <is>
          <t>Town</t>
        </is>
      </c>
      <c r="D685" t="inlineStr">
        <is>
          <t>Loss</t>
        </is>
      </c>
      <c r="E685" t="n">
        <v>-10</v>
      </c>
      <c r="F685" t="n">
        <v>24.35456438839598</v>
      </c>
      <c r="G685" t="n">
        <v>24.17471232045063</v>
      </c>
      <c r="H685" t="n">
        <v>7.762316364296782</v>
      </c>
      <c r="I685" t="n">
        <v>862</v>
      </c>
      <c r="J685" t="n">
        <v>852</v>
      </c>
      <c r="K685" t="n">
        <v>7.786310797523326</v>
      </c>
    </row>
    <row r="686">
      <c r="A686" t="n">
        <v>110</v>
      </c>
      <c r="B686" t="inlineStr">
        <is>
          <t>Plen</t>
        </is>
      </c>
      <c r="C686" t="inlineStr">
        <is>
          <t>Mafia</t>
        </is>
      </c>
      <c r="D686" t="inlineStr">
        <is>
          <t>Win</t>
        </is>
      </c>
      <c r="E686" t="n">
        <v>73</v>
      </c>
      <c r="F686" t="n">
        <v>21.68555321140652</v>
      </c>
      <c r="G686" t="n">
        <v>22.70228695465502</v>
      </c>
      <c r="H686" t="n">
        <v>6.50256199157972</v>
      </c>
      <c r="I686" t="n">
        <v>807</v>
      </c>
      <c r="J686" t="n">
        <v>880</v>
      </c>
      <c r="K686" t="n">
        <v>6.544045132241576</v>
      </c>
    </row>
    <row r="687">
      <c r="A687" t="n">
        <v>110</v>
      </c>
      <c r="B687" t="inlineStr">
        <is>
          <t>Smit</t>
        </is>
      </c>
      <c r="C687" t="inlineStr">
        <is>
          <t>Mafia</t>
        </is>
      </c>
      <c r="D687" t="inlineStr">
        <is>
          <t>Win</t>
        </is>
      </c>
      <c r="E687" t="n">
        <v>80</v>
      </c>
      <c r="F687" t="n">
        <v>25.95260519999333</v>
      </c>
      <c r="G687" t="n">
        <v>27.05266320166147</v>
      </c>
      <c r="H687" t="n">
        <v>6.760153547373926</v>
      </c>
      <c r="I687" t="n">
        <v>1070</v>
      </c>
      <c r="J687" t="n">
        <v>1150</v>
      </c>
      <c r="K687" t="n">
        <v>6.806977267285965</v>
      </c>
    </row>
    <row r="688">
      <c r="A688" t="n">
        <v>110</v>
      </c>
      <c r="B688" t="inlineStr">
        <is>
          <t>Snazz</t>
        </is>
      </c>
      <c r="C688" t="inlineStr">
        <is>
          <t>Mafia</t>
        </is>
      </c>
      <c r="D688" t="inlineStr">
        <is>
          <t>Win</t>
        </is>
      </c>
      <c r="E688" t="n">
        <v>108</v>
      </c>
      <c r="F688" t="n">
        <v>25.49642276327146</v>
      </c>
      <c r="G688" t="n">
        <v>26.97123669748129</v>
      </c>
      <c r="H688" t="n">
        <v>7.8085493148015</v>
      </c>
      <c r="I688" t="n">
        <v>930</v>
      </c>
      <c r="J688" t="n">
        <v>1038</v>
      </c>
      <c r="K688" t="n">
        <v>7.881829433980994</v>
      </c>
    </row>
    <row r="689">
      <c r="A689" t="n">
        <v>110</v>
      </c>
      <c r="B689" t="inlineStr">
        <is>
          <t>Doublea</t>
        </is>
      </c>
      <c r="C689" t="inlineStr">
        <is>
          <t>Town</t>
        </is>
      </c>
      <c r="D689" t="inlineStr">
        <is>
          <t>Loss</t>
        </is>
      </c>
      <c r="E689" t="n">
        <v>-83</v>
      </c>
      <c r="F689" t="n">
        <v>23.38247000766955</v>
      </c>
      <c r="G689" t="n">
        <v>22.07317448788596</v>
      </c>
      <c r="H689" t="n">
        <v>7.365184746958544</v>
      </c>
      <c r="I689" t="n">
        <v>833</v>
      </c>
      <c r="J689" t="n">
        <v>750</v>
      </c>
      <c r="K689" t="n">
        <v>7.426305964212917</v>
      </c>
    </row>
    <row r="690">
      <c r="A690" t="n">
        <v>110</v>
      </c>
      <c r="B690" t="inlineStr">
        <is>
          <t>Kwix</t>
        </is>
      </c>
      <c r="C690" t="inlineStr">
        <is>
          <t>Town</t>
        </is>
      </c>
      <c r="D690" t="inlineStr">
        <is>
          <t>Loss</t>
        </is>
      </c>
      <c r="E690" t="n">
        <v>-72</v>
      </c>
      <c r="F690" t="n">
        <v>26.95193399194763</v>
      </c>
      <c r="G690" t="n">
        <v>25.80701605681401</v>
      </c>
      <c r="H690" t="n">
        <v>6.894628646931213</v>
      </c>
      <c r="I690" t="n">
        <v>1124</v>
      </c>
      <c r="J690" t="n">
        <v>1052</v>
      </c>
      <c r="K690" t="n">
        <v>6.944412715092388</v>
      </c>
    </row>
    <row r="691">
      <c r="A691" t="n">
        <v>110</v>
      </c>
      <c r="B691" t="inlineStr">
        <is>
          <t>Chester</t>
        </is>
      </c>
      <c r="C691" t="inlineStr">
        <is>
          <t>Town</t>
        </is>
      </c>
      <c r="D691" t="inlineStr">
        <is>
          <t>Loss</t>
        </is>
      </c>
      <c r="E691" t="n">
        <v>-87</v>
      </c>
      <c r="F691" t="n">
        <v>30.48106371681855</v>
      </c>
      <c r="G691" t="n">
        <v>29.09769444676149</v>
      </c>
      <c r="H691" t="n">
        <v>7.567052650699761</v>
      </c>
      <c r="I691" t="n">
        <v>1294</v>
      </c>
      <c r="J691" t="n">
        <v>1207</v>
      </c>
      <c r="K691" t="n">
        <v>7.633525622503117</v>
      </c>
    </row>
    <row r="692">
      <c r="A692" t="n">
        <v>110</v>
      </c>
      <c r="B692" t="inlineStr">
        <is>
          <t>Aipha</t>
        </is>
      </c>
      <c r="C692" t="inlineStr">
        <is>
          <t>Town</t>
        </is>
      </c>
      <c r="D692" t="inlineStr">
        <is>
          <t>Loss</t>
        </is>
      </c>
      <c r="E692" t="n">
        <v>-86</v>
      </c>
      <c r="F692" t="n">
        <v>24.96743838669096</v>
      </c>
      <c r="G692" t="n">
        <v>23.59512143083111</v>
      </c>
      <c r="H692" t="n">
        <v>7.537300378452652</v>
      </c>
      <c r="I692" t="n">
        <v>922</v>
      </c>
      <c r="J692" t="n">
        <v>836</v>
      </c>
      <c r="K692" t="n">
        <v>7.602965506755888</v>
      </c>
    </row>
    <row r="693">
      <c r="A693" t="n">
        <v>110</v>
      </c>
      <c r="B693" t="inlineStr">
        <is>
          <t>Strik3r</t>
        </is>
      </c>
      <c r="C693" t="inlineStr">
        <is>
          <t>Town</t>
        </is>
      </c>
      <c r="D693" t="inlineStr">
        <is>
          <t>Loss</t>
        </is>
      </c>
      <c r="E693" t="n">
        <v>-86</v>
      </c>
      <c r="F693" t="n">
        <v>27.7487196272017</v>
      </c>
      <c r="G693" t="n">
        <v>26.38010129116811</v>
      </c>
      <c r="H693" t="n">
        <v>7.527315686426334</v>
      </c>
      <c r="I693" t="n">
        <v>1112</v>
      </c>
      <c r="J693" t="n">
        <v>1026</v>
      </c>
      <c r="K693" t="n">
        <v>7.592711198149372</v>
      </c>
    </row>
    <row r="694">
      <c r="A694" t="n">
        <v>110</v>
      </c>
      <c r="B694" t="inlineStr">
        <is>
          <t>Noah</t>
        </is>
      </c>
      <c r="C694" t="inlineStr">
        <is>
          <t>Town</t>
        </is>
      </c>
      <c r="D694" t="inlineStr">
        <is>
          <t>Loss</t>
        </is>
      </c>
      <c r="E694" t="n">
        <v>-66</v>
      </c>
      <c r="F694" t="n">
        <v>33.20768020210111</v>
      </c>
      <c r="G694" t="n">
        <v>32.16862929963307</v>
      </c>
      <c r="H694" t="n">
        <v>6.572599213887921</v>
      </c>
      <c r="I694" t="n">
        <v>1583</v>
      </c>
      <c r="J694" t="n">
        <v>1517</v>
      </c>
      <c r="K694" t="n">
        <v>6.615492300960807</v>
      </c>
    </row>
    <row r="695">
      <c r="A695" t="n">
        <v>110</v>
      </c>
      <c r="B695" t="inlineStr">
        <is>
          <t>Laur</t>
        </is>
      </c>
      <c r="C695" t="inlineStr">
        <is>
          <t>Town</t>
        </is>
      </c>
      <c r="D695" t="inlineStr">
        <is>
          <t>Loss</t>
        </is>
      </c>
      <c r="E695" t="n">
        <v>-72</v>
      </c>
      <c r="F695" t="n">
        <v>37.2273452823107</v>
      </c>
      <c r="G695" t="n">
        <v>36.09613572967241</v>
      </c>
      <c r="H695" t="n">
        <v>6.853832054583842</v>
      </c>
      <c r="I695" t="n">
        <v>1827</v>
      </c>
      <c r="J695" t="n">
        <v>1755</v>
      </c>
      <c r="K695" t="n">
        <v>6.902705272917796</v>
      </c>
    </row>
    <row r="696">
      <c r="A696" t="n">
        <v>110</v>
      </c>
      <c r="B696" t="inlineStr">
        <is>
          <t>Iln</t>
        </is>
      </c>
      <c r="C696" t="inlineStr">
        <is>
          <t>Town</t>
        </is>
      </c>
      <c r="D696" t="inlineStr">
        <is>
          <t>Loss</t>
        </is>
      </c>
      <c r="E696" t="n">
        <v>-71</v>
      </c>
      <c r="F696" t="n">
        <v>27.9853862476589</v>
      </c>
      <c r="G696" t="n">
        <v>26.86634032695314</v>
      </c>
      <c r="H696" t="n">
        <v>6.817415968718162</v>
      </c>
      <c r="I696" t="n">
        <v>1203</v>
      </c>
      <c r="J696" t="n">
        <v>1132</v>
      </c>
      <c r="K696" t="n">
        <v>6.865485550588434</v>
      </c>
    </row>
    <row r="697">
      <c r="A697" t="n">
        <v>110</v>
      </c>
      <c r="B697" t="inlineStr">
        <is>
          <t>Carson</t>
        </is>
      </c>
      <c r="C697" t="inlineStr">
        <is>
          <t>Town</t>
        </is>
      </c>
      <c r="D697" t="inlineStr">
        <is>
          <t>Loss</t>
        </is>
      </c>
      <c r="E697" t="n">
        <v>-67</v>
      </c>
      <c r="F697" t="n">
        <v>33.07369105598254</v>
      </c>
      <c r="G697" t="n">
        <v>32.02450229870388</v>
      </c>
      <c r="H697" t="n">
        <v>6.604155904032169</v>
      </c>
      <c r="I697" t="n">
        <v>1571</v>
      </c>
      <c r="J697" t="n">
        <v>1504</v>
      </c>
      <c r="K697" t="n">
        <v>6.647694454594808</v>
      </c>
    </row>
    <row r="698">
      <c r="A698" t="n">
        <v>110</v>
      </c>
      <c r="B698" t="inlineStr">
        <is>
          <t>Badpants</t>
        </is>
      </c>
      <c r="C698" t="inlineStr">
        <is>
          <t>Town</t>
        </is>
      </c>
      <c r="D698" t="inlineStr">
        <is>
          <t>Loss</t>
        </is>
      </c>
      <c r="E698" t="n">
        <v>-68</v>
      </c>
      <c r="F698" t="n">
        <v>24.31176380066037</v>
      </c>
      <c r="G698" t="n">
        <v>23.24584836027122</v>
      </c>
      <c r="H698" t="n">
        <v>6.655876959617967</v>
      </c>
      <c r="I698" t="n">
        <v>970</v>
      </c>
      <c r="J698" t="n">
        <v>902</v>
      </c>
      <c r="K698" t="n">
        <v>6.700487225286285</v>
      </c>
    </row>
    <row r="699">
      <c r="A699" t="n">
        <v>110</v>
      </c>
      <c r="B699" t="inlineStr">
        <is>
          <t>Lofty</t>
        </is>
      </c>
      <c r="C699" t="inlineStr">
        <is>
          <t>Town</t>
        </is>
      </c>
      <c r="D699" t="inlineStr">
        <is>
          <t>Loss</t>
        </is>
      </c>
      <c r="E699" t="n">
        <v>-92</v>
      </c>
      <c r="F699" t="n">
        <v>25.82082813933681</v>
      </c>
      <c r="G699" t="n">
        <v>24.35456438839598</v>
      </c>
      <c r="H699" t="n">
        <v>7.786310797523326</v>
      </c>
      <c r="I699" t="n">
        <v>954</v>
      </c>
      <c r="J699" t="n">
        <v>862</v>
      </c>
      <c r="K699" t="n">
        <v>7.85894521696779</v>
      </c>
    </row>
    <row r="700">
      <c r="A700" t="n">
        <v>109</v>
      </c>
      <c r="B700" t="inlineStr">
        <is>
          <t>Rick</t>
        </is>
      </c>
      <c r="C700" t="inlineStr">
        <is>
          <t>Mafia</t>
        </is>
      </c>
      <c r="D700" t="inlineStr">
        <is>
          <t>Win</t>
        </is>
      </c>
      <c r="E700" t="n">
        <v>66</v>
      </c>
      <c r="F700" t="n">
        <v>26.54761633751584</v>
      </c>
      <c r="G700" t="n">
        <v>27.42681329598674</v>
      </c>
      <c r="H700" t="n">
        <v>7.709643569747874</v>
      </c>
      <c r="I700" t="n">
        <v>1013</v>
      </c>
      <c r="J700" t="n">
        <v>1079</v>
      </c>
      <c r="K700" t="n">
        <v>7.771097758269936</v>
      </c>
    </row>
    <row r="701">
      <c r="A701" t="n">
        <v>109</v>
      </c>
      <c r="B701" t="inlineStr">
        <is>
          <t>Mintt</t>
        </is>
      </c>
      <c r="C701" t="inlineStr">
        <is>
          <t>Mafia</t>
        </is>
      </c>
      <c r="D701" t="inlineStr">
        <is>
          <t>Win</t>
        </is>
      </c>
      <c r="E701" t="n">
        <v>54</v>
      </c>
      <c r="F701" t="n">
        <v>29.21251265021768</v>
      </c>
      <c r="G701" t="n">
        <v>29.9498621290845</v>
      </c>
      <c r="H701" t="n">
        <v>7.069583045827131</v>
      </c>
      <c r="I701" t="n">
        <v>1261</v>
      </c>
      <c r="J701" t="n">
        <v>1315</v>
      </c>
      <c r="K701" t="n">
        <v>7.116542629177342</v>
      </c>
    </row>
    <row r="702">
      <c r="A702" t="n">
        <v>109</v>
      </c>
      <c r="B702" t="inlineStr">
        <is>
          <t>Iln</t>
        </is>
      </c>
      <c r="C702" t="inlineStr">
        <is>
          <t>Mafia</t>
        </is>
      </c>
      <c r="D702" t="inlineStr">
        <is>
          <t>Win</t>
        </is>
      </c>
      <c r="E702" t="n">
        <v>52</v>
      </c>
      <c r="F702" t="n">
        <v>27.29053835398032</v>
      </c>
      <c r="G702" t="n">
        <v>27.9853862476589</v>
      </c>
      <c r="H702" t="n">
        <v>6.865485550588434</v>
      </c>
      <c r="I702" t="n">
        <v>1151</v>
      </c>
      <c r="J702" t="n">
        <v>1203</v>
      </c>
      <c r="K702" t="n">
        <v>6.908354520452127</v>
      </c>
    </row>
    <row r="703">
      <c r="A703" t="n">
        <v>109</v>
      </c>
      <c r="B703" t="inlineStr">
        <is>
          <t>Laur</t>
        </is>
      </c>
      <c r="C703" t="inlineStr">
        <is>
          <t>Town</t>
        </is>
      </c>
      <c r="D703" t="inlineStr">
        <is>
          <t>Loss</t>
        </is>
      </c>
      <c r="E703" t="n">
        <v>-44</v>
      </c>
      <c r="F703" t="n">
        <v>37.9298460957105</v>
      </c>
      <c r="G703" t="n">
        <v>37.2273452823107</v>
      </c>
      <c r="H703" t="n">
        <v>6.902705272917796</v>
      </c>
      <c r="I703" t="n">
        <v>1871</v>
      </c>
      <c r="J703" t="n">
        <v>1827</v>
      </c>
      <c r="K703" t="n">
        <v>6.94630190722579</v>
      </c>
    </row>
    <row r="704">
      <c r="A704" t="n">
        <v>109</v>
      </c>
      <c r="B704" t="inlineStr">
        <is>
          <t>Badpants</t>
        </is>
      </c>
      <c r="C704" t="inlineStr">
        <is>
          <t>Town</t>
        </is>
      </c>
      <c r="D704" t="inlineStr">
        <is>
          <t>Loss</t>
        </is>
      </c>
      <c r="E704" t="n">
        <v>-41</v>
      </c>
      <c r="F704" t="n">
        <v>24.97320937739198</v>
      </c>
      <c r="G704" t="n">
        <v>24.31176380066037</v>
      </c>
      <c r="H704" t="n">
        <v>6.700487225286285</v>
      </c>
      <c r="I704" t="n">
        <v>1011</v>
      </c>
      <c r="J704" t="n">
        <v>970</v>
      </c>
      <c r="K704" t="n">
        <v>6.740226708700076</v>
      </c>
    </row>
    <row r="705">
      <c r="A705" t="n">
        <v>109</v>
      </c>
      <c r="B705" t="inlineStr">
        <is>
          <t>Hunterxp</t>
        </is>
      </c>
      <c r="C705" t="inlineStr">
        <is>
          <t>Town</t>
        </is>
      </c>
      <c r="D705" t="inlineStr">
        <is>
          <t>Loss</t>
        </is>
      </c>
      <c r="E705" t="n">
        <v>-56</v>
      </c>
      <c r="F705" t="n">
        <v>24.0366964046217</v>
      </c>
      <c r="G705" t="n">
        <v>23.11209882674074</v>
      </c>
      <c r="H705" t="n">
        <v>7.902893874646532</v>
      </c>
      <c r="I705" t="n">
        <v>822</v>
      </c>
      <c r="J705" t="n">
        <v>766</v>
      </c>
      <c r="K705" t="n">
        <v>7.969249523093685</v>
      </c>
    </row>
    <row r="706">
      <c r="A706" t="n">
        <v>109</v>
      </c>
      <c r="B706" t="inlineStr">
        <is>
          <t>Lou</t>
        </is>
      </c>
      <c r="C706" t="inlineStr">
        <is>
          <t>Town</t>
        </is>
      </c>
      <c r="D706" t="inlineStr">
        <is>
          <t>Loss</t>
        </is>
      </c>
      <c r="E706" t="n">
        <v>-41</v>
      </c>
      <c r="F706" t="n">
        <v>29.68560577252577</v>
      </c>
      <c r="G706" t="n">
        <v>29.02046447214089</v>
      </c>
      <c r="H706" t="n">
        <v>6.718952609987856</v>
      </c>
      <c r="I706" t="n">
        <v>1329</v>
      </c>
      <c r="J706" t="n">
        <v>1288</v>
      </c>
      <c r="K706" t="n">
        <v>6.759034593766918</v>
      </c>
    </row>
    <row r="707">
      <c r="A707" t="n">
        <v>109</v>
      </c>
      <c r="B707" t="inlineStr">
        <is>
          <t>Carson</t>
        </is>
      </c>
      <c r="C707" t="inlineStr">
        <is>
          <t>Town</t>
        </is>
      </c>
      <c r="D707" t="inlineStr">
        <is>
          <t>Loss</t>
        </is>
      </c>
      <c r="E707" t="n">
        <v>-40</v>
      </c>
      <c r="F707" t="n">
        <v>33.72462938655757</v>
      </c>
      <c r="G707" t="n">
        <v>33.07369105598254</v>
      </c>
      <c r="H707" t="n">
        <v>6.647694454594808</v>
      </c>
      <c r="I707" t="n">
        <v>1611</v>
      </c>
      <c r="J707" t="n">
        <v>1571</v>
      </c>
      <c r="K707" t="n">
        <v>6.686465335224377</v>
      </c>
    </row>
    <row r="708">
      <c r="A708" t="n">
        <v>109</v>
      </c>
      <c r="B708" t="inlineStr">
        <is>
          <t>Rocker</t>
        </is>
      </c>
      <c r="C708" t="inlineStr">
        <is>
          <t>Town</t>
        </is>
      </c>
      <c r="D708" t="inlineStr">
        <is>
          <t>Loss</t>
        </is>
      </c>
      <c r="E708" t="n">
        <v>-37</v>
      </c>
      <c r="F708" t="n">
        <v>32.29559250905069</v>
      </c>
      <c r="G708" t="n">
        <v>31.69730603555266</v>
      </c>
      <c r="H708" t="n">
        <v>6.376246041451325</v>
      </c>
      <c r="I708" t="n">
        <v>1542</v>
      </c>
      <c r="J708" t="n">
        <v>1505</v>
      </c>
      <c r="K708" t="n">
        <v>6.410279887779978</v>
      </c>
    </row>
    <row r="709">
      <c r="A709" t="n">
        <v>109</v>
      </c>
      <c r="B709" t="inlineStr">
        <is>
          <t>Plen</t>
        </is>
      </c>
      <c r="C709" t="inlineStr">
        <is>
          <t>Town</t>
        </is>
      </c>
      <c r="D709" t="inlineStr">
        <is>
          <t>Loss</t>
        </is>
      </c>
      <c r="E709" t="n">
        <v>-39</v>
      </c>
      <c r="F709" t="n">
        <v>22.31611585632831</v>
      </c>
      <c r="G709" t="n">
        <v>21.68555321140652</v>
      </c>
      <c r="H709" t="n">
        <v>6.544045132241576</v>
      </c>
      <c r="I709" t="n">
        <v>846</v>
      </c>
      <c r="J709" t="n">
        <v>807</v>
      </c>
      <c r="K709" t="n">
        <v>6.580959599712202</v>
      </c>
    </row>
    <row r="710">
      <c r="A710" t="n">
        <v>109</v>
      </c>
      <c r="B710" t="inlineStr">
        <is>
          <t>Chester</t>
        </is>
      </c>
      <c r="C710" t="inlineStr">
        <is>
          <t>Town</t>
        </is>
      </c>
      <c r="D710" t="inlineStr">
        <is>
          <t>Loss</t>
        </is>
      </c>
      <c r="E710" t="n">
        <v>-53</v>
      </c>
      <c r="F710" t="n">
        <v>31.34270737132459</v>
      </c>
      <c r="G710" t="n">
        <v>30.48106371681855</v>
      </c>
      <c r="H710" t="n">
        <v>7.633525622503117</v>
      </c>
      <c r="I710" t="n">
        <v>1347</v>
      </c>
      <c r="J710" t="n">
        <v>1294</v>
      </c>
      <c r="K710" t="n">
        <v>7.693118078479739</v>
      </c>
    </row>
    <row r="711">
      <c r="A711" t="n">
        <v>109</v>
      </c>
      <c r="B711" t="inlineStr">
        <is>
          <t>Raf</t>
        </is>
      </c>
      <c r="C711" t="inlineStr">
        <is>
          <t>Town</t>
        </is>
      </c>
      <c r="D711" t="inlineStr">
        <is>
          <t>Loss</t>
        </is>
      </c>
      <c r="E711" t="n">
        <v>-61</v>
      </c>
      <c r="F711" t="n">
        <v>25</v>
      </c>
      <c r="G711" t="n">
        <v>23.9890037023998</v>
      </c>
      <c r="H711" t="n">
        <v>8.257315078875889</v>
      </c>
      <c r="I711" t="n">
        <v>850</v>
      </c>
      <c r="J711" t="n">
        <v>789</v>
      </c>
      <c r="K711" t="n">
        <v>8.333333333333334</v>
      </c>
    </row>
    <row r="712">
      <c r="A712" t="n">
        <v>109</v>
      </c>
      <c r="B712" t="inlineStr">
        <is>
          <t>Aipha</t>
        </is>
      </c>
      <c r="C712" t="inlineStr">
        <is>
          <t>Town</t>
        </is>
      </c>
      <c r="D712" t="inlineStr">
        <is>
          <t>Loss</t>
        </is>
      </c>
      <c r="E712" t="n">
        <v>-52</v>
      </c>
      <c r="F712" t="n">
        <v>25.8220868844749</v>
      </c>
      <c r="G712" t="n">
        <v>24.96743838669096</v>
      </c>
      <c r="H712" t="n">
        <v>7.602965506755888</v>
      </c>
      <c r="I712" t="n">
        <v>974</v>
      </c>
      <c r="J712" t="n">
        <v>922</v>
      </c>
      <c r="K712" t="n">
        <v>7.661821286743965</v>
      </c>
    </row>
    <row r="713">
      <c r="A713" t="n">
        <v>108</v>
      </c>
      <c r="B713" t="inlineStr">
        <is>
          <t>Noah</t>
        </is>
      </c>
      <c r="C713" t="inlineStr">
        <is>
          <t>Mafia</t>
        </is>
      </c>
      <c r="D713" t="inlineStr">
        <is>
          <t>Win</t>
        </is>
      </c>
      <c r="E713" t="n">
        <v>25</v>
      </c>
      <c r="F713" t="n">
        <v>32.8761480172532</v>
      </c>
      <c r="G713" t="n">
        <v>33.20768020210111</v>
      </c>
      <c r="H713" t="n">
        <v>6.615492300960807</v>
      </c>
      <c r="I713" t="n">
        <v>1558</v>
      </c>
      <c r="J713" t="n">
        <v>1583</v>
      </c>
      <c r="K713" t="n">
        <v>6.642350155043586</v>
      </c>
    </row>
    <row r="714">
      <c r="A714" t="n">
        <v>108</v>
      </c>
      <c r="B714" t="inlineStr">
        <is>
          <t>Vert</t>
        </is>
      </c>
      <c r="C714" t="inlineStr">
        <is>
          <t>Mafia</t>
        </is>
      </c>
      <c r="D714" t="inlineStr">
        <is>
          <t>Win</t>
        </is>
      </c>
      <c r="E714" t="n">
        <v>39</v>
      </c>
      <c r="F714" t="n">
        <v>26.3030908299851</v>
      </c>
      <c r="G714" t="n">
        <v>26.80908948444402</v>
      </c>
      <c r="H714" t="n">
        <v>8.154851244322913</v>
      </c>
      <c r="I714" t="n">
        <v>952</v>
      </c>
      <c r="J714" t="n">
        <v>991</v>
      </c>
      <c r="K714" t="n">
        <v>8.206360060719796</v>
      </c>
    </row>
    <row r="715">
      <c r="A715" t="n">
        <v>108</v>
      </c>
      <c r="B715" t="inlineStr">
        <is>
          <t>Rocker</t>
        </is>
      </c>
      <c r="C715" t="inlineStr">
        <is>
          <t>Mafia</t>
        </is>
      </c>
      <c r="D715" t="inlineStr">
        <is>
          <t>Win</t>
        </is>
      </c>
      <c r="E715" t="n">
        <v>23</v>
      </c>
      <c r="F715" t="n">
        <v>31.98446976039496</v>
      </c>
      <c r="G715" t="n">
        <v>32.29559250905069</v>
      </c>
      <c r="H715" t="n">
        <v>6.410279887779978</v>
      </c>
      <c r="I715" t="n">
        <v>1519</v>
      </c>
      <c r="J715" t="n">
        <v>1542</v>
      </c>
      <c r="K715" t="n">
        <v>6.434600271891751</v>
      </c>
    </row>
    <row r="716">
      <c r="A716" t="n">
        <v>108</v>
      </c>
      <c r="B716" t="inlineStr">
        <is>
          <t>Rick</t>
        </is>
      </c>
      <c r="C716" t="inlineStr">
        <is>
          <t>Town</t>
        </is>
      </c>
      <c r="D716" t="inlineStr">
        <is>
          <t>Loss</t>
        </is>
      </c>
      <c r="E716" t="n">
        <v>-26</v>
      </c>
      <c r="F716" t="n">
        <v>27.00656542293456</v>
      </c>
      <c r="G716" t="n">
        <v>26.54761633751584</v>
      </c>
      <c r="H716" t="n">
        <v>7.771097758269936</v>
      </c>
      <c r="I716" t="n">
        <v>1039</v>
      </c>
      <c r="J716" t="n">
        <v>1013</v>
      </c>
      <c r="K716" t="n">
        <v>7.81546524028933</v>
      </c>
    </row>
    <row r="717">
      <c r="A717" t="n">
        <v>108</v>
      </c>
      <c r="B717" t="inlineStr">
        <is>
          <t>Laur</t>
        </is>
      </c>
      <c r="C717" t="inlineStr">
        <is>
          <t>Town</t>
        </is>
      </c>
      <c r="D717" t="inlineStr">
        <is>
          <t>Loss</t>
        </is>
      </c>
      <c r="E717" t="n">
        <v>-21</v>
      </c>
      <c r="F717" t="n">
        <v>38.29568062677542</v>
      </c>
      <c r="G717" t="n">
        <v>37.9298460957105</v>
      </c>
      <c r="H717" t="n">
        <v>6.94630190722579</v>
      </c>
      <c r="I717" t="n">
        <v>1892</v>
      </c>
      <c r="J717" t="n">
        <v>1871</v>
      </c>
      <c r="K717" t="n">
        <v>6.977596971470134</v>
      </c>
    </row>
    <row r="718">
      <c r="A718" t="n">
        <v>108</v>
      </c>
      <c r="B718" t="inlineStr">
        <is>
          <t>Cj</t>
        </is>
      </c>
      <c r="C718" t="inlineStr">
        <is>
          <t>Town</t>
        </is>
      </c>
      <c r="D718" t="inlineStr">
        <is>
          <t>Loss</t>
        </is>
      </c>
      <c r="E718" t="n">
        <v>-27</v>
      </c>
      <c r="F718" t="n">
        <v>27.68438748542728</v>
      </c>
      <c r="G718" t="n">
        <v>27.22160419849122</v>
      </c>
      <c r="H718" t="n">
        <v>7.803112636440612</v>
      </c>
      <c r="I718" t="n">
        <v>1082</v>
      </c>
      <c r="J718" t="n">
        <v>1055</v>
      </c>
      <c r="K718" t="n">
        <v>7.848049059306088</v>
      </c>
    </row>
    <row r="719">
      <c r="A719" t="n">
        <v>108</v>
      </c>
      <c r="B719" t="inlineStr">
        <is>
          <t>Brownkow</t>
        </is>
      </c>
      <c r="C719" t="inlineStr">
        <is>
          <t>Town</t>
        </is>
      </c>
      <c r="D719" t="inlineStr">
        <is>
          <t>Loss</t>
        </is>
      </c>
      <c r="E719" t="n">
        <v>-19</v>
      </c>
      <c r="F719" t="n">
        <v>32.52074325290295</v>
      </c>
      <c r="G719" t="n">
        <v>32.20482702791261</v>
      </c>
      <c r="H719" t="n">
        <v>6.459082389896069</v>
      </c>
      <c r="I719" t="n">
        <v>1550</v>
      </c>
      <c r="J719" t="n">
        <v>1531</v>
      </c>
      <c r="K719" t="n">
        <v>6.483991709131076</v>
      </c>
    </row>
    <row r="720">
      <c r="A720" t="n">
        <v>108</v>
      </c>
      <c r="B720" t="inlineStr">
        <is>
          <t>Carson</t>
        </is>
      </c>
      <c r="C720" t="inlineStr">
        <is>
          <t>Town</t>
        </is>
      </c>
      <c r="D720" t="inlineStr">
        <is>
          <t>Loss</t>
        </is>
      </c>
      <c r="E720" t="n">
        <v>-20</v>
      </c>
      <c r="F720" t="n">
        <v>34.06337493810179</v>
      </c>
      <c r="G720" t="n">
        <v>33.72462938655757</v>
      </c>
      <c r="H720" t="n">
        <v>6.686465335224377</v>
      </c>
      <c r="I720" t="n">
        <v>1631</v>
      </c>
      <c r="J720" t="n">
        <v>1611</v>
      </c>
      <c r="K720" t="n">
        <v>6.714238538206589</v>
      </c>
    </row>
    <row r="721">
      <c r="A721" t="n">
        <v>108</v>
      </c>
      <c r="B721" t="inlineStr">
        <is>
          <t>Plen</t>
        </is>
      </c>
      <c r="C721" t="inlineStr">
        <is>
          <t>Town</t>
        </is>
      </c>
      <c r="D721" t="inlineStr">
        <is>
          <t>Loss</t>
        </is>
      </c>
      <c r="E721" t="n">
        <v>-20</v>
      </c>
      <c r="F721" t="n">
        <v>22.64416708438856</v>
      </c>
      <c r="G721" t="n">
        <v>22.31611585632831</v>
      </c>
      <c r="H721" t="n">
        <v>6.580959599712202</v>
      </c>
      <c r="I721" t="n">
        <v>866</v>
      </c>
      <c r="J721" t="n">
        <v>846</v>
      </c>
      <c r="K721" t="n">
        <v>6.607379168522678</v>
      </c>
    </row>
    <row r="722">
      <c r="A722" t="n">
        <v>108</v>
      </c>
      <c r="B722" t="inlineStr">
        <is>
          <t>Badpants</t>
        </is>
      </c>
      <c r="C722" t="inlineStr">
        <is>
          <t>Town</t>
        </is>
      </c>
      <c r="D722" t="inlineStr">
        <is>
          <t>Loss</t>
        </is>
      </c>
      <c r="E722" t="n">
        <v>-20</v>
      </c>
      <c r="F722" t="n">
        <v>25.31747200762645</v>
      </c>
      <c r="G722" t="n">
        <v>24.97320937739198</v>
      </c>
      <c r="H722" t="n">
        <v>6.740226708700076</v>
      </c>
      <c r="I722" t="n">
        <v>1031</v>
      </c>
      <c r="J722" t="n">
        <v>1011</v>
      </c>
      <c r="K722" t="n">
        <v>6.768706443545893</v>
      </c>
    </row>
    <row r="723">
      <c r="A723" t="n">
        <v>108</v>
      </c>
      <c r="B723" t="inlineStr">
        <is>
          <t>Hunterxp</t>
        </is>
      </c>
      <c r="C723" t="inlineStr">
        <is>
          <t>Town</t>
        </is>
      </c>
      <c r="D723" t="inlineStr">
        <is>
          <t>Loss</t>
        </is>
      </c>
      <c r="E723" t="n">
        <v>-28</v>
      </c>
      <c r="F723" t="n">
        <v>24.51964230626978</v>
      </c>
      <c r="G723" t="n">
        <v>24.0366964046217</v>
      </c>
      <c r="H723" t="n">
        <v>7.969249523093685</v>
      </c>
      <c r="I723" t="n">
        <v>850</v>
      </c>
      <c r="J723" t="n">
        <v>822</v>
      </c>
      <c r="K723" t="n">
        <v>8.017216108569674</v>
      </c>
    </row>
    <row r="724">
      <c r="A724" t="n">
        <v>108</v>
      </c>
      <c r="B724" t="inlineStr">
        <is>
          <t>Doublea</t>
        </is>
      </c>
      <c r="C724" t="inlineStr">
        <is>
          <t>Town</t>
        </is>
      </c>
      <c r="D724" t="inlineStr">
        <is>
          <t>Loss</t>
        </is>
      </c>
      <c r="E724" t="n">
        <v>-24</v>
      </c>
      <c r="F724" t="n">
        <v>23.80117025885334</v>
      </c>
      <c r="G724" t="n">
        <v>23.38247000766955</v>
      </c>
      <c r="H724" t="n">
        <v>7.426305964212917</v>
      </c>
      <c r="I724" t="n">
        <v>857</v>
      </c>
      <c r="J724" t="n">
        <v>833</v>
      </c>
      <c r="K724" t="n">
        <v>7.464844662004329</v>
      </c>
    </row>
    <row r="725">
      <c r="A725" t="n">
        <v>108</v>
      </c>
      <c r="B725" t="inlineStr">
        <is>
          <t>Smit</t>
        </is>
      </c>
      <c r="C725" t="inlineStr">
        <is>
          <t>Town</t>
        </is>
      </c>
      <c r="D725" t="inlineStr">
        <is>
          <t>Loss</t>
        </is>
      </c>
      <c r="E725" t="n">
        <v>-21</v>
      </c>
      <c r="F725" t="n">
        <v>26.30378155073257</v>
      </c>
      <c r="G725" t="n">
        <v>25.95260519999333</v>
      </c>
      <c r="H725" t="n">
        <v>6.806977267285965</v>
      </c>
      <c r="I725" t="n">
        <v>1091</v>
      </c>
      <c r="J725" t="n">
        <v>1070</v>
      </c>
      <c r="K725" t="n">
        <v>6.836350200808778</v>
      </c>
    </row>
    <row r="726">
      <c r="A726" t="n">
        <v>107</v>
      </c>
      <c r="B726" t="inlineStr">
        <is>
          <t>Brownkow</t>
        </is>
      </c>
      <c r="C726" t="inlineStr">
        <is>
          <t>Mafia</t>
        </is>
      </c>
      <c r="D726" t="inlineStr">
        <is>
          <t>Win</t>
        </is>
      </c>
      <c r="E726" t="n">
        <v>15</v>
      </c>
      <c r="F726" t="n">
        <v>32.31970461273433</v>
      </c>
      <c r="G726" t="n">
        <v>32.52074325290295</v>
      </c>
      <c r="H726" t="n">
        <v>6.483991709131076</v>
      </c>
      <c r="I726" t="n">
        <v>1535</v>
      </c>
      <c r="J726" t="n">
        <v>1550</v>
      </c>
      <c r="K726" t="n">
        <v>6.501414858965044</v>
      </c>
    </row>
    <row r="727">
      <c r="A727" t="n">
        <v>107</v>
      </c>
      <c r="B727" t="inlineStr">
        <is>
          <t>Laur</t>
        </is>
      </c>
      <c r="C727" t="inlineStr">
        <is>
          <t>Mafia</t>
        </is>
      </c>
      <c r="D727" t="inlineStr">
        <is>
          <t>Win</t>
        </is>
      </c>
      <c r="E727" t="n">
        <v>18</v>
      </c>
      <c r="F727" t="n">
        <v>38.0626597638611</v>
      </c>
      <c r="G727" t="n">
        <v>38.29568062677542</v>
      </c>
      <c r="H727" t="n">
        <v>6.977596971470134</v>
      </c>
      <c r="I727" t="n">
        <v>1874</v>
      </c>
      <c r="J727" t="n">
        <v>1892</v>
      </c>
      <c r="K727" t="n">
        <v>6.99958939528435</v>
      </c>
    </row>
    <row r="728">
      <c r="A728" t="n">
        <v>107</v>
      </c>
      <c r="B728" t="inlineStr">
        <is>
          <t>Gilbert</t>
        </is>
      </c>
      <c r="C728" t="inlineStr">
        <is>
          <t>Mafia</t>
        </is>
      </c>
      <c r="D728" t="inlineStr">
        <is>
          <t>Win</t>
        </is>
      </c>
      <c r="E728" t="n">
        <v>24</v>
      </c>
      <c r="F728" t="n">
        <v>25.16191374168104</v>
      </c>
      <c r="G728" t="n">
        <v>25.46111079826791</v>
      </c>
      <c r="H728" t="n">
        <v>7.899229745030517</v>
      </c>
      <c r="I728" t="n">
        <v>902</v>
      </c>
      <c r="J728" t="n">
        <v>926</v>
      </c>
      <c r="K728" t="n">
        <v>7.931651472044172</v>
      </c>
    </row>
    <row r="729">
      <c r="A729" t="n">
        <v>107</v>
      </c>
      <c r="B729" t="inlineStr">
        <is>
          <t>Kden</t>
        </is>
      </c>
      <c r="C729" t="inlineStr">
        <is>
          <t>Town</t>
        </is>
      </c>
      <c r="D729" t="inlineStr">
        <is>
          <t>Loss</t>
        </is>
      </c>
      <c r="E729" t="n">
        <v>-14</v>
      </c>
      <c r="F729" t="n">
        <v>28.78114991551487</v>
      </c>
      <c r="G729" t="n">
        <v>28.54451980180384</v>
      </c>
      <c r="H729" t="n">
        <v>7.031072186346345</v>
      </c>
      <c r="I729" t="n">
        <v>1238</v>
      </c>
      <c r="J729" t="n">
        <v>1224</v>
      </c>
      <c r="K729" t="n">
        <v>7.053600257394153</v>
      </c>
    </row>
    <row r="730">
      <c r="A730" t="n">
        <v>107</v>
      </c>
      <c r="B730" t="inlineStr">
        <is>
          <t>Strik3r</t>
        </is>
      </c>
      <c r="C730" t="inlineStr">
        <is>
          <t>Town</t>
        </is>
      </c>
      <c r="D730" t="inlineStr">
        <is>
          <t>Loss</t>
        </is>
      </c>
      <c r="E730" t="n">
        <v>-16</v>
      </c>
      <c r="F730" t="n">
        <v>28.02496967147658</v>
      </c>
      <c r="G730" t="n">
        <v>27.7487196272017</v>
      </c>
      <c r="H730" t="n">
        <v>7.592711198149372</v>
      </c>
      <c r="I730" t="n">
        <v>1128</v>
      </c>
      <c r="J730" t="n">
        <v>1112</v>
      </c>
      <c r="K730" t="n">
        <v>7.621374017006337</v>
      </c>
    </row>
    <row r="731">
      <c r="A731" t="n">
        <v>107</v>
      </c>
      <c r="B731" t="inlineStr">
        <is>
          <t>Lovekilling</t>
        </is>
      </c>
      <c r="C731" t="inlineStr">
        <is>
          <t>Town</t>
        </is>
      </c>
      <c r="D731" t="inlineStr">
        <is>
          <t>Loss</t>
        </is>
      </c>
      <c r="E731" t="n">
        <v>-16</v>
      </c>
      <c r="F731" t="n">
        <v>23.65770695149355</v>
      </c>
      <c r="G731" t="n">
        <v>23.38005892208001</v>
      </c>
      <c r="H731" t="n">
        <v>7.611749676860064</v>
      </c>
      <c r="I731" t="n">
        <v>829</v>
      </c>
      <c r="J731" t="n">
        <v>813</v>
      </c>
      <c r="K731" t="n">
        <v>7.640637274937819</v>
      </c>
    </row>
    <row r="732">
      <c r="A732" t="n">
        <v>107</v>
      </c>
      <c r="B732" t="inlineStr">
        <is>
          <t>Smit</t>
        </is>
      </c>
      <c r="C732" t="inlineStr">
        <is>
          <t>Town</t>
        </is>
      </c>
      <c r="D732" t="inlineStr">
        <is>
          <t>Loss</t>
        </is>
      </c>
      <c r="E732" t="n">
        <v>-13</v>
      </c>
      <c r="F732" t="n">
        <v>26.52740507432329</v>
      </c>
      <c r="G732" t="n">
        <v>26.30378155073257</v>
      </c>
      <c r="H732" t="n">
        <v>6.836350200808778</v>
      </c>
      <c r="I732" t="n">
        <v>1104</v>
      </c>
      <c r="J732" t="n">
        <v>1091</v>
      </c>
      <c r="K732" t="n">
        <v>6.85696672627909</v>
      </c>
    </row>
    <row r="733">
      <c r="A733" t="n">
        <v>107</v>
      </c>
      <c r="B733" t="inlineStr">
        <is>
          <t>Aipha</t>
        </is>
      </c>
      <c r="C733" t="inlineStr">
        <is>
          <t>Town</t>
        </is>
      </c>
      <c r="D733" t="inlineStr">
        <is>
          <t>Loss</t>
        </is>
      </c>
      <c r="E733" t="n">
        <v>-17</v>
      </c>
      <c r="F733" t="n">
        <v>26.10342888811011</v>
      </c>
      <c r="G733" t="n">
        <v>25.8220868844749</v>
      </c>
      <c r="H733" t="n">
        <v>7.661821286743965</v>
      </c>
      <c r="I733" t="n">
        <v>991</v>
      </c>
      <c r="J733" t="n">
        <v>974</v>
      </c>
      <c r="K733" t="n">
        <v>7.691305492500594</v>
      </c>
    </row>
    <row r="734">
      <c r="A734" t="n">
        <v>107</v>
      </c>
      <c r="B734" t="inlineStr">
        <is>
          <t>Vert</t>
        </is>
      </c>
      <c r="C734" t="inlineStr">
        <is>
          <t>Town</t>
        </is>
      </c>
      <c r="D734" t="inlineStr">
        <is>
          <t>Loss</t>
        </is>
      </c>
      <c r="E734" t="n">
        <v>-18</v>
      </c>
      <c r="F734" t="n">
        <v>26.62622315957709</v>
      </c>
      <c r="G734" t="n">
        <v>26.3030908299851</v>
      </c>
      <c r="H734" t="n">
        <v>8.206360060719796</v>
      </c>
      <c r="I734" t="n">
        <v>970</v>
      </c>
      <c r="J734" t="n">
        <v>952</v>
      </c>
      <c r="K734" t="n">
        <v>8.242856259388221</v>
      </c>
    </row>
    <row r="735">
      <c r="A735" t="n">
        <v>107</v>
      </c>
      <c r="B735" t="inlineStr">
        <is>
          <t>Noah</t>
        </is>
      </c>
      <c r="C735" t="inlineStr">
        <is>
          <t>Town</t>
        </is>
      </c>
      <c r="D735" t="inlineStr">
        <is>
          <t>Loss</t>
        </is>
      </c>
      <c r="E735" t="n">
        <v>-12</v>
      </c>
      <c r="F735" t="n">
        <v>33.08718548233006</v>
      </c>
      <c r="G735" t="n">
        <v>32.8761480172532</v>
      </c>
      <c r="H735" t="n">
        <v>6.642350155043586</v>
      </c>
      <c r="I735" t="n">
        <v>1570</v>
      </c>
      <c r="J735" t="n">
        <v>1558</v>
      </c>
      <c r="K735" t="n">
        <v>6.661167053285381</v>
      </c>
    </row>
    <row r="736">
      <c r="A736" t="n">
        <v>107</v>
      </c>
      <c r="B736" t="inlineStr">
        <is>
          <t>Badpants</t>
        </is>
      </c>
      <c r="C736" t="inlineStr">
        <is>
          <t>Town</t>
        </is>
      </c>
      <c r="D736" t="inlineStr">
        <is>
          <t>Loss</t>
        </is>
      </c>
      <c r="E736" t="n">
        <v>-13</v>
      </c>
      <c r="F736" t="n">
        <v>25.53666487928685</v>
      </c>
      <c r="G736" t="n">
        <v>25.31747200762645</v>
      </c>
      <c r="H736" t="n">
        <v>6.768706443545893</v>
      </c>
      <c r="I736" t="n">
        <v>1044</v>
      </c>
      <c r="J736" t="n">
        <v>1031</v>
      </c>
      <c r="K736" t="n">
        <v>6.788683765241271</v>
      </c>
    </row>
    <row r="737">
      <c r="A737" t="n">
        <v>107</v>
      </c>
      <c r="B737" t="inlineStr">
        <is>
          <t>Carson</t>
        </is>
      </c>
      <c r="C737" t="inlineStr">
        <is>
          <t>Town</t>
        </is>
      </c>
      <c r="D737" t="inlineStr">
        <is>
          <t>Loss</t>
        </is>
      </c>
      <c r="E737" t="n">
        <v>-13</v>
      </c>
      <c r="F737" t="n">
        <v>34.27903298692133</v>
      </c>
      <c r="G737" t="n">
        <v>34.06337493810179</v>
      </c>
      <c r="H737" t="n">
        <v>6.714238538206589</v>
      </c>
      <c r="I737" t="n">
        <v>1644</v>
      </c>
      <c r="J737" t="n">
        <v>1631</v>
      </c>
      <c r="K737" t="n">
        <v>6.7337103118272</v>
      </c>
    </row>
    <row r="738">
      <c r="A738" t="n">
        <v>107</v>
      </c>
      <c r="B738" t="inlineStr">
        <is>
          <t>Iln</t>
        </is>
      </c>
      <c r="C738" t="inlineStr">
        <is>
          <t>Town</t>
        </is>
      </c>
      <c r="D738" t="inlineStr">
        <is>
          <t>Loss</t>
        </is>
      </c>
      <c r="E738" t="n">
        <v>-13</v>
      </c>
      <c r="F738" t="n">
        <v>27.51892778863818</v>
      </c>
      <c r="G738" t="n">
        <v>27.29053835398032</v>
      </c>
      <c r="H738" t="n">
        <v>6.908354520452127</v>
      </c>
      <c r="I738" t="n">
        <v>1164</v>
      </c>
      <c r="J738" t="n">
        <v>1151</v>
      </c>
      <c r="K738" t="n">
        <v>6.929665435730636</v>
      </c>
    </row>
    <row r="739">
      <c r="A739" t="n">
        <v>107</v>
      </c>
      <c r="B739" t="inlineStr">
        <is>
          <t>Lou</t>
        </is>
      </c>
      <c r="C739" t="inlineStr">
        <is>
          <t>Town</t>
        </is>
      </c>
      <c r="D739" t="inlineStr">
        <is>
          <t>Loss</t>
        </is>
      </c>
      <c r="E739" t="n">
        <v>-13</v>
      </c>
      <c r="F739" t="n">
        <v>29.90416882985697</v>
      </c>
      <c r="G739" t="n">
        <v>29.68560577252577</v>
      </c>
      <c r="H739" t="n">
        <v>6.759034593766918</v>
      </c>
      <c r="I739" t="n">
        <v>1342</v>
      </c>
      <c r="J739" t="n">
        <v>1329</v>
      </c>
      <c r="K739" t="n">
        <v>6.77892155196511</v>
      </c>
    </row>
    <row r="740">
      <c r="A740" t="n">
        <v>106</v>
      </c>
      <c r="B740" t="inlineStr">
        <is>
          <t>Plen</t>
        </is>
      </c>
      <c r="C740" t="inlineStr">
        <is>
          <t>Mafia</t>
        </is>
      </c>
      <c r="D740" t="inlineStr">
        <is>
          <t>Loss</t>
        </is>
      </c>
      <c r="E740" t="n">
        <v>-63</v>
      </c>
      <c r="F740" t="n">
        <v>23.64072076819577</v>
      </c>
      <c r="G740" t="n">
        <v>22.64416708438856</v>
      </c>
      <c r="H740" t="n">
        <v>6.607379168522678</v>
      </c>
      <c r="I740" t="n">
        <v>929</v>
      </c>
      <c r="J740" t="n">
        <v>866</v>
      </c>
      <c r="K740" t="n">
        <v>6.654423931781841</v>
      </c>
    </row>
    <row r="741">
      <c r="A741" t="n">
        <v>106</v>
      </c>
      <c r="B741" t="inlineStr">
        <is>
          <t>Kwix</t>
        </is>
      </c>
      <c r="C741" t="inlineStr">
        <is>
          <t>Mafia</t>
        </is>
      </c>
      <c r="D741" t="inlineStr">
        <is>
          <t>Loss</t>
        </is>
      </c>
      <c r="E741" t="n">
        <v>-70</v>
      </c>
      <c r="F741" t="n">
        <v>28.05444844366077</v>
      </c>
      <c r="G741" t="n">
        <v>26.95193399194763</v>
      </c>
      <c r="H741" t="n">
        <v>6.944412715092388</v>
      </c>
      <c r="I741" t="n">
        <v>1194</v>
      </c>
      <c r="J741" t="n">
        <v>1124</v>
      </c>
      <c r="K741" t="n">
        <v>6.999338122600681</v>
      </c>
    </row>
    <row r="742">
      <c r="A742" t="n">
        <v>106</v>
      </c>
      <c r="B742" t="inlineStr">
        <is>
          <t>Rocker</t>
        </is>
      </c>
      <c r="C742" t="inlineStr">
        <is>
          <t>Mafia</t>
        </is>
      </c>
      <c r="D742" t="inlineStr">
        <is>
          <t>Loss</t>
        </is>
      </c>
      <c r="E742" t="n">
        <v>-59</v>
      </c>
      <c r="F742" t="n">
        <v>32.92886870237984</v>
      </c>
      <c r="G742" t="n">
        <v>31.98446976039496</v>
      </c>
      <c r="H742" t="n">
        <v>6.434600271891751</v>
      </c>
      <c r="I742" t="n">
        <v>1578</v>
      </c>
      <c r="J742" t="n">
        <v>1519</v>
      </c>
      <c r="K742" t="n">
        <v>6.477913629646121</v>
      </c>
    </row>
    <row r="743">
      <c r="A743" t="n">
        <v>106</v>
      </c>
      <c r="B743" t="inlineStr">
        <is>
          <t>Carson</t>
        </is>
      </c>
      <c r="C743" t="inlineStr">
        <is>
          <t>Town</t>
        </is>
      </c>
      <c r="D743" t="inlineStr">
        <is>
          <t>Win</t>
        </is>
      </c>
      <c r="E743" t="n">
        <v>75</v>
      </c>
      <c r="F743" t="n">
        <v>33.2434179799989</v>
      </c>
      <c r="G743" t="n">
        <v>34.27903298692133</v>
      </c>
      <c r="H743" t="n">
        <v>6.7337103118272</v>
      </c>
      <c r="I743" t="n">
        <v>1569</v>
      </c>
      <c r="J743" t="n">
        <v>1644</v>
      </c>
      <c r="K743" t="n">
        <v>6.783614075357664</v>
      </c>
    </row>
    <row r="744">
      <c r="A744" t="n">
        <v>106</v>
      </c>
      <c r="B744" t="inlineStr">
        <is>
          <t>Iln</t>
        </is>
      </c>
      <c r="C744" t="inlineStr">
        <is>
          <t>Town</t>
        </is>
      </c>
      <c r="D744" t="inlineStr">
        <is>
          <t>Win</t>
        </is>
      </c>
      <c r="E744" t="n">
        <v>80</v>
      </c>
      <c r="F744" t="n">
        <v>26.42116715585656</v>
      </c>
      <c r="G744" t="n">
        <v>27.51892778863818</v>
      </c>
      <c r="H744" t="n">
        <v>6.929665435730636</v>
      </c>
      <c r="I744" t="n">
        <v>1084</v>
      </c>
      <c r="J744" t="n">
        <v>1164</v>
      </c>
      <c r="K744" t="n">
        <v>6.984228870607337</v>
      </c>
    </row>
    <row r="745">
      <c r="A745" t="n">
        <v>106</v>
      </c>
      <c r="B745" t="inlineStr">
        <is>
          <t>Noah</t>
        </is>
      </c>
      <c r="C745" t="inlineStr">
        <is>
          <t>Town</t>
        </is>
      </c>
      <c r="D745" t="inlineStr">
        <is>
          <t>Win</t>
        </is>
      </c>
      <c r="E745" t="n">
        <v>73</v>
      </c>
      <c r="F745" t="n">
        <v>32.07409664103288</v>
      </c>
      <c r="G745" t="n">
        <v>33.08718548233006</v>
      </c>
      <c r="H745" t="n">
        <v>6.661167053285381</v>
      </c>
      <c r="I745" t="n">
        <v>1497</v>
      </c>
      <c r="J745" t="n">
        <v>1570</v>
      </c>
      <c r="K745" t="n">
        <v>6.709415408956469</v>
      </c>
    </row>
    <row r="746">
      <c r="A746" t="n">
        <v>106</v>
      </c>
      <c r="B746" t="inlineStr">
        <is>
          <t>Motr</t>
        </is>
      </c>
      <c r="C746" t="inlineStr">
        <is>
          <t>Town</t>
        </is>
      </c>
      <c r="D746" t="inlineStr">
        <is>
          <t>Win</t>
        </is>
      </c>
      <c r="E746" t="n">
        <v>100</v>
      </c>
      <c r="F746" t="n">
        <v>26.05416494302047</v>
      </c>
      <c r="G746" t="n">
        <v>27.41029240634225</v>
      </c>
      <c r="H746" t="n">
        <v>7.687559864413051</v>
      </c>
      <c r="I746" t="n">
        <v>980</v>
      </c>
      <c r="J746" t="n">
        <v>1080</v>
      </c>
      <c r="K746" t="n">
        <v>7.76288893963577</v>
      </c>
    </row>
    <row r="747">
      <c r="A747" t="n">
        <v>106</v>
      </c>
      <c r="B747" t="inlineStr">
        <is>
          <t>Badpants</t>
        </is>
      </c>
      <c r="C747" t="inlineStr">
        <is>
          <t>Town</t>
        </is>
      </c>
      <c r="D747" t="inlineStr">
        <is>
          <t>Win</t>
        </is>
      </c>
      <c r="E747" t="n">
        <v>77</v>
      </c>
      <c r="F747" t="n">
        <v>24.48380683696556</v>
      </c>
      <c r="G747" t="n">
        <v>25.53666487928685</v>
      </c>
      <c r="H747" t="n">
        <v>6.788683765241271</v>
      </c>
      <c r="I747" t="n">
        <v>967</v>
      </c>
      <c r="J747" t="n">
        <v>1044</v>
      </c>
      <c r="K747" t="n">
        <v>6.839866847302954</v>
      </c>
    </row>
    <row r="748">
      <c r="A748" t="n">
        <v>106</v>
      </c>
      <c r="B748" t="inlineStr">
        <is>
          <t>Lovekilling</t>
        </is>
      </c>
      <c r="C748" t="inlineStr">
        <is>
          <t>Town</t>
        </is>
      </c>
      <c r="D748" t="inlineStr">
        <is>
          <t>Win</t>
        </is>
      </c>
      <c r="E748" t="n">
        <v>98</v>
      </c>
      <c r="F748" t="n">
        <v>22.31841399742341</v>
      </c>
      <c r="G748" t="n">
        <v>23.65770695149355</v>
      </c>
      <c r="H748" t="n">
        <v>7.640637274937819</v>
      </c>
      <c r="I748" t="n">
        <v>731</v>
      </c>
      <c r="J748" t="n">
        <v>829</v>
      </c>
      <c r="K748" t="n">
        <v>7.714547483512312</v>
      </c>
    </row>
    <row r="749">
      <c r="A749" t="n">
        <v>106</v>
      </c>
      <c r="B749" t="inlineStr">
        <is>
          <t>Cj</t>
        </is>
      </c>
      <c r="C749" t="inlineStr">
        <is>
          <t>Town</t>
        </is>
      </c>
      <c r="D749" t="inlineStr">
        <is>
          <t>Win</t>
        </is>
      </c>
      <c r="E749" t="n">
        <v>104</v>
      </c>
      <c r="F749" t="n">
        <v>26.26983618682529</v>
      </c>
      <c r="G749" t="n">
        <v>27.68438748542728</v>
      </c>
      <c r="H749" t="n">
        <v>7.848049059306088</v>
      </c>
      <c r="I749" t="n">
        <v>978</v>
      </c>
      <c r="J749" t="n">
        <v>1082</v>
      </c>
      <c r="K749" t="n">
        <v>7.928370857751979</v>
      </c>
    </row>
    <row r="750">
      <c r="A750" t="n">
        <v>106</v>
      </c>
      <c r="B750" t="inlineStr">
        <is>
          <t>Whyin</t>
        </is>
      </c>
      <c r="C750" t="inlineStr">
        <is>
          <t>Town</t>
        </is>
      </c>
      <c r="D750" t="inlineStr">
        <is>
          <t>Win</t>
        </is>
      </c>
      <c r="E750" t="n">
        <v>81</v>
      </c>
      <c r="F750" t="n">
        <v>28.31288884875156</v>
      </c>
      <c r="G750" t="n">
        <v>29.42645053117147</v>
      </c>
      <c r="H750" t="n">
        <v>6.978555051187321</v>
      </c>
      <c r="I750" t="n">
        <v>1208</v>
      </c>
      <c r="J750" t="n">
        <v>1289</v>
      </c>
      <c r="K750" t="n">
        <v>7.034324637540161</v>
      </c>
    </row>
    <row r="751">
      <c r="A751" t="n">
        <v>106</v>
      </c>
      <c r="B751" t="inlineStr">
        <is>
          <t>Laur</t>
        </is>
      </c>
      <c r="C751" t="inlineStr">
        <is>
          <t>Town</t>
        </is>
      </c>
      <c r="D751" t="inlineStr">
        <is>
          <t>Win</t>
        </is>
      </c>
      <c r="E751" t="n">
        <v>82</v>
      </c>
      <c r="F751" t="n">
        <v>36.94226334007938</v>
      </c>
      <c r="G751" t="n">
        <v>38.0626597638611</v>
      </c>
      <c r="H751" t="n">
        <v>6.99958939528435</v>
      </c>
      <c r="I751" t="n">
        <v>1792</v>
      </c>
      <c r="J751" t="n">
        <v>1874</v>
      </c>
      <c r="K751" t="n">
        <v>7.055883357772331</v>
      </c>
    </row>
    <row r="752">
      <c r="A752" t="n">
        <v>106</v>
      </c>
      <c r="B752" t="inlineStr">
        <is>
          <t>Aipha</t>
        </is>
      </c>
      <c r="C752" t="inlineStr">
        <is>
          <t>Town</t>
        </is>
      </c>
      <c r="D752" t="inlineStr">
        <is>
          <t>Win</t>
        </is>
      </c>
      <c r="E752" t="n">
        <v>100</v>
      </c>
      <c r="F752" t="n">
        <v>24.74595279001506</v>
      </c>
      <c r="G752" t="n">
        <v>26.10342888811011</v>
      </c>
      <c r="H752" t="n">
        <v>7.691305492500594</v>
      </c>
      <c r="I752" t="n">
        <v>891</v>
      </c>
      <c r="J752" t="n">
        <v>991</v>
      </c>
      <c r="K752" t="n">
        <v>7.766748619901215</v>
      </c>
    </row>
    <row r="753">
      <c r="A753" t="n">
        <v>105</v>
      </c>
      <c r="B753" t="inlineStr">
        <is>
          <t>Rollo</t>
        </is>
      </c>
      <c r="C753" t="inlineStr">
        <is>
          <t>Mafia</t>
        </is>
      </c>
      <c r="D753" t="inlineStr">
        <is>
          <t>Loss</t>
        </is>
      </c>
      <c r="E753" t="n">
        <v>-73</v>
      </c>
      <c r="F753" t="n">
        <v>34.1275215007291</v>
      </c>
      <c r="G753" t="n">
        <v>32.98597623171281</v>
      </c>
      <c r="H753" t="n">
        <v>6.928952088333647</v>
      </c>
      <c r="I753" t="n">
        <v>1609</v>
      </c>
      <c r="J753" t="n">
        <v>1536</v>
      </c>
      <c r="K753" t="n">
        <v>6.981712735125059</v>
      </c>
    </row>
    <row r="754">
      <c r="A754" t="n">
        <v>105</v>
      </c>
      <c r="B754" t="inlineStr">
        <is>
          <t>Maz</t>
        </is>
      </c>
      <c r="C754" t="inlineStr">
        <is>
          <t>Mafia</t>
        </is>
      </c>
      <c r="D754" t="inlineStr">
        <is>
          <t>Loss</t>
        </is>
      </c>
      <c r="E754" t="n">
        <v>-94</v>
      </c>
      <c r="F754" t="n">
        <v>24.81023393565041</v>
      </c>
      <c r="G754" t="n">
        <v>23.29422363929214</v>
      </c>
      <c r="H754" t="n">
        <v>7.964627972757929</v>
      </c>
      <c r="I754" t="n">
        <v>866</v>
      </c>
      <c r="J754" t="n">
        <v>772</v>
      </c>
      <c r="K754" t="n">
        <v>8.045952888243837</v>
      </c>
    </row>
    <row r="755">
      <c r="A755" t="n">
        <v>105</v>
      </c>
      <c r="B755" t="inlineStr">
        <is>
          <t>Motr</t>
        </is>
      </c>
      <c r="C755" t="inlineStr">
        <is>
          <t>Mafia</t>
        </is>
      </c>
      <c r="D755" t="inlineStr">
        <is>
          <t>Loss</t>
        </is>
      </c>
      <c r="E755" t="n">
        <v>-90</v>
      </c>
      <c r="F755" t="n">
        <v>27.49283056060883</v>
      </c>
      <c r="G755" t="n">
        <v>26.05416494302047</v>
      </c>
      <c r="H755" t="n">
        <v>7.76288893963577</v>
      </c>
      <c r="I755" t="n">
        <v>1070</v>
      </c>
      <c r="J755" t="n">
        <v>980</v>
      </c>
      <c r="K755" t="n">
        <v>7.837986999996386</v>
      </c>
    </row>
    <row r="756">
      <c r="A756" t="n">
        <v>105</v>
      </c>
      <c r="B756" t="inlineStr">
        <is>
          <t>Whyin</t>
        </is>
      </c>
      <c r="C756" t="inlineStr">
        <is>
          <t>Town</t>
        </is>
      </c>
      <c r="D756" t="inlineStr">
        <is>
          <t>Win</t>
        </is>
      </c>
      <c r="E756" t="n">
        <v>86</v>
      </c>
      <c r="F756" t="n">
        <v>27.13579125535781</v>
      </c>
      <c r="G756" t="n">
        <v>28.31288884875156</v>
      </c>
      <c r="H756" t="n">
        <v>7.034324637540161</v>
      </c>
      <c r="I756" t="n">
        <v>1122</v>
      </c>
      <c r="J756" t="n">
        <v>1208</v>
      </c>
      <c r="K756" t="n">
        <v>7.089620488865922</v>
      </c>
    </row>
    <row r="757">
      <c r="A757" t="n">
        <v>105</v>
      </c>
      <c r="B757" t="inlineStr">
        <is>
          <t>Chester</t>
        </is>
      </c>
      <c r="C757" t="inlineStr">
        <is>
          <t>Town</t>
        </is>
      </c>
      <c r="D757" t="inlineStr">
        <is>
          <t>Win</t>
        </is>
      </c>
      <c r="E757" t="n">
        <v>104</v>
      </c>
      <c r="F757" t="n">
        <v>29.93029155834217</v>
      </c>
      <c r="G757" t="n">
        <v>31.34270737132459</v>
      </c>
      <c r="H757" t="n">
        <v>7.693118078479739</v>
      </c>
      <c r="I757" t="n">
        <v>1243</v>
      </c>
      <c r="J757" t="n">
        <v>1347</v>
      </c>
      <c r="K757" t="n">
        <v>7.766140355645496</v>
      </c>
    </row>
    <row r="758">
      <c r="A758" t="n">
        <v>105</v>
      </c>
      <c r="B758" t="inlineStr">
        <is>
          <t>Svaan</t>
        </is>
      </c>
      <c r="C758" t="inlineStr">
        <is>
          <t>Town</t>
        </is>
      </c>
      <c r="D758" t="inlineStr">
        <is>
          <t>Win</t>
        </is>
      </c>
      <c r="E758" t="n">
        <v>101</v>
      </c>
      <c r="F758" t="n">
        <v>27.35374204901113</v>
      </c>
      <c r="G758" t="n">
        <v>28.73142973287656</v>
      </c>
      <c r="H758" t="n">
        <v>7.599748443859083</v>
      </c>
      <c r="I758" t="n">
        <v>1078</v>
      </c>
      <c r="J758" t="n">
        <v>1179</v>
      </c>
      <c r="K758" t="n">
        <v>7.670054149673752</v>
      </c>
    </row>
    <row r="759">
      <c r="A759" t="n">
        <v>105</v>
      </c>
      <c r="B759" t="inlineStr">
        <is>
          <t>Plen</t>
        </is>
      </c>
      <c r="C759" t="inlineStr">
        <is>
          <t>Town</t>
        </is>
      </c>
      <c r="D759" t="inlineStr">
        <is>
          <t>Win</t>
        </is>
      </c>
      <c r="E759" t="n">
        <v>76</v>
      </c>
      <c r="F759" t="n">
        <v>22.58912454864853</v>
      </c>
      <c r="G759" t="n">
        <v>23.64072076819577</v>
      </c>
      <c r="H759" t="n">
        <v>6.654423931781841</v>
      </c>
      <c r="I759" t="n">
        <v>853</v>
      </c>
      <c r="J759" t="n">
        <v>929</v>
      </c>
      <c r="K759" t="n">
        <v>6.700945781271415</v>
      </c>
    </row>
    <row r="760">
      <c r="A760" t="n">
        <v>105</v>
      </c>
      <c r="B760" t="inlineStr">
        <is>
          <t>Vert</t>
        </is>
      </c>
      <c r="C760" t="inlineStr">
        <is>
          <t>Town</t>
        </is>
      </c>
      <c r="D760" t="inlineStr">
        <is>
          <t>Win</t>
        </is>
      </c>
      <c r="E760" t="n">
        <v>120</v>
      </c>
      <c r="F760" t="n">
        <v>25</v>
      </c>
      <c r="G760" t="n">
        <v>26.62622315957709</v>
      </c>
      <c r="H760" t="n">
        <v>8.242856259388221</v>
      </c>
      <c r="I760" t="n">
        <v>850</v>
      </c>
      <c r="J760" t="n">
        <v>970</v>
      </c>
      <c r="K760" t="n">
        <v>8.333333333333334</v>
      </c>
    </row>
    <row r="761">
      <c r="A761" t="n">
        <v>105</v>
      </c>
      <c r="B761" t="inlineStr">
        <is>
          <t>Streety</t>
        </is>
      </c>
      <c r="C761" t="inlineStr">
        <is>
          <t>Town</t>
        </is>
      </c>
      <c r="D761" t="inlineStr">
        <is>
          <t>Win</t>
        </is>
      </c>
      <c r="E761" t="n">
        <v>88</v>
      </c>
      <c r="F761" t="n">
        <v>29.4134679807622</v>
      </c>
      <c r="G761" t="n">
        <v>30.63147117106377</v>
      </c>
      <c r="H761" t="n">
        <v>7.153518774144605</v>
      </c>
      <c r="I761" t="n">
        <v>1265</v>
      </c>
      <c r="J761" t="n">
        <v>1353</v>
      </c>
      <c r="K761" t="n">
        <v>7.211779101911068</v>
      </c>
    </row>
    <row r="762">
      <c r="A762" t="n">
        <v>105</v>
      </c>
      <c r="B762" t="inlineStr">
        <is>
          <t>Carson</t>
        </is>
      </c>
      <c r="C762" t="inlineStr">
        <is>
          <t>Town</t>
        </is>
      </c>
      <c r="D762" t="inlineStr">
        <is>
          <t>Win</t>
        </is>
      </c>
      <c r="E762" t="n">
        <v>80</v>
      </c>
      <c r="F762" t="n">
        <v>32.14997328526109</v>
      </c>
      <c r="G762" t="n">
        <v>33.2434179799989</v>
      </c>
      <c r="H762" t="n">
        <v>6.783614075357664</v>
      </c>
      <c r="I762" t="n">
        <v>1489</v>
      </c>
      <c r="J762" t="n">
        <v>1569</v>
      </c>
      <c r="K762" t="n">
        <v>6.833006873758921</v>
      </c>
    </row>
    <row r="763">
      <c r="A763" t="n">
        <v>105</v>
      </c>
      <c r="B763" t="inlineStr">
        <is>
          <t>Mintt</t>
        </is>
      </c>
      <c r="C763" t="inlineStr">
        <is>
          <t>Town</t>
        </is>
      </c>
      <c r="D763" t="inlineStr">
        <is>
          <t>Win</t>
        </is>
      </c>
      <c r="E763" t="n">
        <v>88</v>
      </c>
      <c r="F763" t="n">
        <v>28.00727760196507</v>
      </c>
      <c r="G763" t="n">
        <v>29.21251265021768</v>
      </c>
      <c r="H763" t="n">
        <v>7.116542629177342</v>
      </c>
      <c r="I763" t="n">
        <v>1173</v>
      </c>
      <c r="J763" t="n">
        <v>1261</v>
      </c>
      <c r="K763" t="n">
        <v>7.173872218797305</v>
      </c>
    </row>
    <row r="764">
      <c r="A764" t="n">
        <v>105</v>
      </c>
      <c r="B764" t="inlineStr">
        <is>
          <t>Lou</t>
        </is>
      </c>
      <c r="C764" t="inlineStr">
        <is>
          <t>Town</t>
        </is>
      </c>
      <c r="D764" t="inlineStr">
        <is>
          <t>Win</t>
        </is>
      </c>
      <c r="E764" t="n">
        <v>79</v>
      </c>
      <c r="F764" t="n">
        <v>28.81225911515651</v>
      </c>
      <c r="G764" t="n">
        <v>29.90416882985697</v>
      </c>
      <c r="H764" t="n">
        <v>6.77892155196511</v>
      </c>
      <c r="I764" t="n">
        <v>1263</v>
      </c>
      <c r="J764" t="n">
        <v>1342</v>
      </c>
      <c r="K764" t="n">
        <v>6.828208066496043</v>
      </c>
    </row>
    <row r="765">
      <c r="A765" t="n">
        <v>105</v>
      </c>
      <c r="B765" t="inlineStr">
        <is>
          <t>Noah</t>
        </is>
      </c>
      <c r="C765" t="inlineStr">
        <is>
          <t>Town</t>
        </is>
      </c>
      <c r="D765" t="inlineStr">
        <is>
          <t>Win</t>
        </is>
      </c>
      <c r="E765" t="n">
        <v>78</v>
      </c>
      <c r="F765" t="n">
        <v>31.00479130971448</v>
      </c>
      <c r="G765" t="n">
        <v>32.07409664103288</v>
      </c>
      <c r="H765" t="n">
        <v>6.709415408956469</v>
      </c>
      <c r="I765" t="n">
        <v>1419</v>
      </c>
      <c r="J765" t="n">
        <v>1497</v>
      </c>
      <c r="K765" t="n">
        <v>6.75714537982913</v>
      </c>
    </row>
    <row r="766">
      <c r="A766" t="n">
        <v>104</v>
      </c>
      <c r="B766" t="inlineStr">
        <is>
          <t>Streety</t>
        </is>
      </c>
      <c r="C766" t="inlineStr">
        <is>
          <t>Mafia</t>
        </is>
      </c>
      <c r="D766" t="inlineStr">
        <is>
          <t>Win</t>
        </is>
      </c>
      <c r="E766" t="n">
        <v>69</v>
      </c>
      <c r="F766" t="n">
        <v>28.4838389237831</v>
      </c>
      <c r="G766" t="n">
        <v>29.4134679807622</v>
      </c>
      <c r="H766" t="n">
        <v>7.211779101911068</v>
      </c>
      <c r="I766" t="n">
        <v>1196</v>
      </c>
      <c r="J766" t="n">
        <v>1265</v>
      </c>
      <c r="K766" t="n">
        <v>7.261803530678677</v>
      </c>
    </row>
    <row r="767">
      <c r="A767" t="n">
        <v>104</v>
      </c>
      <c r="B767" t="inlineStr">
        <is>
          <t>Noah</t>
        </is>
      </c>
      <c r="C767" t="inlineStr">
        <is>
          <t>Mafia</t>
        </is>
      </c>
      <c r="D767" t="inlineStr">
        <is>
          <t>Win</t>
        </is>
      </c>
      <c r="E767" t="n">
        <v>59</v>
      </c>
      <c r="F767" t="n">
        <v>30.19009783937548</v>
      </c>
      <c r="G767" t="n">
        <v>31.00479130971448</v>
      </c>
      <c r="H767" t="n">
        <v>6.75714537982913</v>
      </c>
      <c r="I767" t="n">
        <v>1360</v>
      </c>
      <c r="J767" t="n">
        <v>1419</v>
      </c>
      <c r="K767" t="n">
        <v>6.797996838624618</v>
      </c>
    </row>
    <row r="768">
      <c r="A768" t="n">
        <v>104</v>
      </c>
      <c r="B768" t="inlineStr">
        <is>
          <t>Lovekilling</t>
        </is>
      </c>
      <c r="C768" t="inlineStr">
        <is>
          <t>Mafia</t>
        </is>
      </c>
      <c r="D768" t="inlineStr">
        <is>
          <t>Win</t>
        </is>
      </c>
      <c r="E768" t="n">
        <v>79</v>
      </c>
      <c r="F768" t="n">
        <v>21.25244234517715</v>
      </c>
      <c r="G768" t="n">
        <v>22.31841399742341</v>
      </c>
      <c r="H768" t="n">
        <v>7.714547483512312</v>
      </c>
      <c r="I768" t="n">
        <v>652</v>
      </c>
      <c r="J768" t="n">
        <v>731</v>
      </c>
      <c r="K768" t="n">
        <v>7.776205775666674</v>
      </c>
    </row>
    <row r="769">
      <c r="A769" t="n">
        <v>104</v>
      </c>
      <c r="B769" t="inlineStr">
        <is>
          <t>Xcync</t>
        </is>
      </c>
      <c r="C769" t="inlineStr">
        <is>
          <t>Town</t>
        </is>
      </c>
      <c r="D769" t="inlineStr">
        <is>
          <t>Loss</t>
        </is>
      </c>
      <c r="E769" t="n">
        <v>-63</v>
      </c>
      <c r="F769" t="n">
        <v>31.83641457274413</v>
      </c>
      <c r="G769" t="n">
        <v>30.82414579489156</v>
      </c>
      <c r="H769" t="n">
        <v>7.520780003710587</v>
      </c>
      <c r="I769" t="n">
        <v>1392</v>
      </c>
      <c r="J769" t="n">
        <v>1329</v>
      </c>
      <c r="K769" t="n">
        <v>7.577761503158852</v>
      </c>
    </row>
    <row r="770">
      <c r="A770" t="n">
        <v>104</v>
      </c>
      <c r="B770" t="inlineStr">
        <is>
          <t>Maz</t>
        </is>
      </c>
      <c r="C770" t="inlineStr">
        <is>
          <t>Town</t>
        </is>
      </c>
      <c r="D770" t="inlineStr">
        <is>
          <t>Loss</t>
        </is>
      </c>
      <c r="E770" t="n">
        <v>-72</v>
      </c>
      <c r="F770" t="n">
        <v>25.97144024226325</v>
      </c>
      <c r="G770" t="n">
        <v>24.81023393565041</v>
      </c>
      <c r="H770" t="n">
        <v>8.045952888243837</v>
      </c>
      <c r="I770" t="n">
        <v>938</v>
      </c>
      <c r="J770" t="n">
        <v>866</v>
      </c>
      <c r="K770" t="n">
        <v>8.11619653043174</v>
      </c>
    </row>
    <row r="771">
      <c r="A771" t="n">
        <v>104</v>
      </c>
      <c r="B771" t="inlineStr">
        <is>
          <t>Rollo</t>
        </is>
      </c>
      <c r="C771" t="inlineStr">
        <is>
          <t>Town</t>
        </is>
      </c>
      <c r="D771" t="inlineStr">
        <is>
          <t>Loss</t>
        </is>
      </c>
      <c r="E771" t="n">
        <v>-54</v>
      </c>
      <c r="F771" t="n">
        <v>34.99800190238013</v>
      </c>
      <c r="G771" t="n">
        <v>34.1275215007291</v>
      </c>
      <c r="H771" t="n">
        <v>6.981712735125059</v>
      </c>
      <c r="I771" t="n">
        <v>1663</v>
      </c>
      <c r="J771" t="n">
        <v>1609</v>
      </c>
      <c r="K771" t="n">
        <v>7.026941705811726</v>
      </c>
    </row>
    <row r="772">
      <c r="A772" t="n">
        <v>104</v>
      </c>
      <c r="B772" t="inlineStr">
        <is>
          <t>Kwix</t>
        </is>
      </c>
      <c r="C772" t="inlineStr">
        <is>
          <t>Town</t>
        </is>
      </c>
      <c r="D772" t="inlineStr">
        <is>
          <t>Loss</t>
        </is>
      </c>
      <c r="E772" t="n">
        <v>-55</v>
      </c>
      <c r="F772" t="n">
        <v>28.92938864877936</v>
      </c>
      <c r="G772" t="n">
        <v>28.05444844366077</v>
      </c>
      <c r="H772" t="n">
        <v>6.999338122600681</v>
      </c>
      <c r="I772" t="n">
        <v>1249</v>
      </c>
      <c r="J772" t="n">
        <v>1194</v>
      </c>
      <c r="K772" t="n">
        <v>7.044923197304826</v>
      </c>
    </row>
    <row r="773">
      <c r="A773" t="n">
        <v>104</v>
      </c>
      <c r="B773" t="inlineStr">
        <is>
          <t>Plen</t>
        </is>
      </c>
      <c r="C773" t="inlineStr">
        <is>
          <t>Town</t>
        </is>
      </c>
      <c r="D773" t="inlineStr">
        <is>
          <t>Loss</t>
        </is>
      </c>
      <c r="E773" t="n">
        <v>-50</v>
      </c>
      <c r="F773" t="n">
        <v>23.39015681652582</v>
      </c>
      <c r="G773" t="n">
        <v>22.58912454864853</v>
      </c>
      <c r="H773" t="n">
        <v>6.700945781271415</v>
      </c>
      <c r="I773" t="n">
        <v>903</v>
      </c>
      <c r="J773" t="n">
        <v>853</v>
      </c>
      <c r="K773" t="n">
        <v>6.740747273005359</v>
      </c>
    </row>
    <row r="774">
      <c r="A774" t="n">
        <v>104</v>
      </c>
      <c r="B774" t="inlineStr">
        <is>
          <t>Motr</t>
        </is>
      </c>
      <c r="C774" t="inlineStr">
        <is>
          <t>Town</t>
        </is>
      </c>
      <c r="D774" t="inlineStr">
        <is>
          <t>Loss</t>
        </is>
      </c>
      <c r="E774" t="n">
        <v>-68</v>
      </c>
      <c r="F774" t="n">
        <v>28.59377382688582</v>
      </c>
      <c r="G774" t="n">
        <v>27.49283056060883</v>
      </c>
      <c r="H774" t="n">
        <v>7.837986999996386</v>
      </c>
      <c r="I774" t="n">
        <v>1138</v>
      </c>
      <c r="J774" t="n">
        <v>1070</v>
      </c>
      <c r="K774" t="n">
        <v>7.90275516287378</v>
      </c>
    </row>
    <row r="775">
      <c r="A775" t="n">
        <v>104</v>
      </c>
      <c r="B775" t="inlineStr">
        <is>
          <t>Whyin</t>
        </is>
      </c>
      <c r="C775" t="inlineStr">
        <is>
          <t>Town</t>
        </is>
      </c>
      <c r="D775" t="inlineStr">
        <is>
          <t>Loss</t>
        </is>
      </c>
      <c r="E775" t="n">
        <v>-56</v>
      </c>
      <c r="F775" t="n">
        <v>28.03376192103295</v>
      </c>
      <c r="G775" t="n">
        <v>27.13579125535781</v>
      </c>
      <c r="H775" t="n">
        <v>7.089620488865922</v>
      </c>
      <c r="I775" t="n">
        <v>1178</v>
      </c>
      <c r="J775" t="n">
        <v>1122</v>
      </c>
      <c r="K775" t="n">
        <v>7.137058770529862</v>
      </c>
    </row>
    <row r="776">
      <c r="A776" t="n">
        <v>104</v>
      </c>
      <c r="B776" t="inlineStr">
        <is>
          <t>Strik3r</t>
        </is>
      </c>
      <c r="C776" t="inlineStr">
        <is>
          <t>Town</t>
        </is>
      </c>
      <c r="D776" t="inlineStr">
        <is>
          <t>Loss</t>
        </is>
      </c>
      <c r="E776" t="n">
        <v>-65</v>
      </c>
      <c r="F776" t="n">
        <v>29.06493656185492</v>
      </c>
      <c r="G776" t="n">
        <v>28.02496967147658</v>
      </c>
      <c r="H776" t="n">
        <v>7.621374017006337</v>
      </c>
      <c r="I776" t="n">
        <v>1193</v>
      </c>
      <c r="J776" t="n">
        <v>1128</v>
      </c>
      <c r="K776" t="n">
        <v>7.680752575636087</v>
      </c>
    </row>
    <row r="777">
      <c r="A777" t="n">
        <v>104</v>
      </c>
      <c r="B777" t="inlineStr">
        <is>
          <t>Rocker</t>
        </is>
      </c>
      <c r="C777" t="inlineStr">
        <is>
          <t>Town</t>
        </is>
      </c>
      <c r="D777" t="inlineStr">
        <is>
          <t>Loss</t>
        </is>
      </c>
      <c r="E777" t="n">
        <v>-48</v>
      </c>
      <c r="F777" t="n">
        <v>33.67686464968349</v>
      </c>
      <c r="G777" t="n">
        <v>32.92886870237984</v>
      </c>
      <c r="H777" t="n">
        <v>6.477913629646121</v>
      </c>
      <c r="I777" t="n">
        <v>1626</v>
      </c>
      <c r="J777" t="n">
        <v>1578</v>
      </c>
      <c r="K777" t="n">
        <v>6.513722805340184</v>
      </c>
    </row>
    <row r="778">
      <c r="A778" t="n">
        <v>104</v>
      </c>
      <c r="B778" t="inlineStr">
        <is>
          <t>Aipha</t>
        </is>
      </c>
      <c r="C778" t="inlineStr">
        <is>
          <t>Town</t>
        </is>
      </c>
      <c r="D778" t="inlineStr">
        <is>
          <t>Loss</t>
        </is>
      </c>
      <c r="E778" t="n">
        <v>-67</v>
      </c>
      <c r="F778" t="n">
        <v>25.82664117774326</v>
      </c>
      <c r="G778" t="n">
        <v>24.74595279001506</v>
      </c>
      <c r="H778" t="n">
        <v>7.766748619901215</v>
      </c>
      <c r="I778" t="n">
        <v>958</v>
      </c>
      <c r="J778" t="n">
        <v>891</v>
      </c>
      <c r="K778" t="n">
        <v>7.829709484455434</v>
      </c>
    </row>
    <row r="779">
      <c r="A779" t="n">
        <v>104</v>
      </c>
      <c r="B779" t="inlineStr">
        <is>
          <t>Smit</t>
        </is>
      </c>
      <c r="C779" t="inlineStr">
        <is>
          <t>Town</t>
        </is>
      </c>
      <c r="D779" t="inlineStr">
        <is>
          <t>Loss</t>
        </is>
      </c>
      <c r="E779" t="n">
        <v>-53</v>
      </c>
      <c r="F779" t="n">
        <v>27.36665918760369</v>
      </c>
      <c r="G779" t="n">
        <v>26.52740507432329</v>
      </c>
      <c r="H779" t="n">
        <v>6.85696672627909</v>
      </c>
      <c r="I779" t="n">
        <v>1157</v>
      </c>
      <c r="J779" t="n">
        <v>1104</v>
      </c>
      <c r="K779" t="n">
        <v>6.899727753350405</v>
      </c>
    </row>
    <row r="780">
      <c r="A780" t="n">
        <v>103</v>
      </c>
      <c r="B780" t="inlineStr">
        <is>
          <t>Brady</t>
        </is>
      </c>
      <c r="C780" t="inlineStr">
        <is>
          <t>Mafia</t>
        </is>
      </c>
      <c r="D780" t="inlineStr">
        <is>
          <t>Loss</t>
        </is>
      </c>
      <c r="E780" t="n">
        <v>-46</v>
      </c>
      <c r="F780" t="n">
        <v>25</v>
      </c>
      <c r="G780" t="n">
        <v>24.23215933139716</v>
      </c>
      <c r="H780" t="n">
        <v>8.271402833426238</v>
      </c>
      <c r="I780" t="n">
        <v>850</v>
      </c>
      <c r="J780" t="n">
        <v>804</v>
      </c>
      <c r="K780" t="n">
        <v>8.333333333333334</v>
      </c>
    </row>
    <row r="781">
      <c r="A781" t="n">
        <v>103</v>
      </c>
      <c r="B781" t="inlineStr">
        <is>
          <t>Plen</t>
        </is>
      </c>
      <c r="C781" t="inlineStr">
        <is>
          <t>Mafia</t>
        </is>
      </c>
      <c r="D781" t="inlineStr">
        <is>
          <t>Loss</t>
        </is>
      </c>
      <c r="E781" t="n">
        <v>-31</v>
      </c>
      <c r="F781" t="n">
        <v>23.89749602228967</v>
      </c>
      <c r="G781" t="n">
        <v>23.39015681652582</v>
      </c>
      <c r="H781" t="n">
        <v>6.740747273005359</v>
      </c>
      <c r="I781" t="n">
        <v>934</v>
      </c>
      <c r="J781" t="n">
        <v>903</v>
      </c>
      <c r="K781" t="n">
        <v>6.773550213457796</v>
      </c>
    </row>
    <row r="782">
      <c r="A782" t="n">
        <v>103</v>
      </c>
      <c r="B782" t="inlineStr">
        <is>
          <t>Smit</t>
        </is>
      </c>
      <c r="C782" t="inlineStr">
        <is>
          <t>Mafia</t>
        </is>
      </c>
      <c r="D782" t="inlineStr">
        <is>
          <t>Loss</t>
        </is>
      </c>
      <c r="E782" t="n">
        <v>-33</v>
      </c>
      <c r="F782" t="n">
        <v>27.89846767708923</v>
      </c>
      <c r="G782" t="n">
        <v>27.36665918760369</v>
      </c>
      <c r="H782" t="n">
        <v>6.899727753350405</v>
      </c>
      <c r="I782" t="n">
        <v>1190</v>
      </c>
      <c r="J782" t="n">
        <v>1157</v>
      </c>
      <c r="K782" t="n">
        <v>6.9350077842045</v>
      </c>
    </row>
    <row r="783">
      <c r="A783" t="n">
        <v>103</v>
      </c>
      <c r="B783" t="inlineStr">
        <is>
          <t>Streety</t>
        </is>
      </c>
      <c r="C783" t="inlineStr">
        <is>
          <t>Town</t>
        </is>
      </c>
      <c r="D783" t="inlineStr">
        <is>
          <t>Win</t>
        </is>
      </c>
      <c r="E783" t="n">
        <v>44</v>
      </c>
      <c r="F783" t="n">
        <v>27.89407828392138</v>
      </c>
      <c r="G783" t="n">
        <v>28.4838389237831</v>
      </c>
      <c r="H783" t="n">
        <v>7.261803530678677</v>
      </c>
      <c r="I783" t="n">
        <v>1152</v>
      </c>
      <c r="J783" t="n">
        <v>1196</v>
      </c>
      <c r="K783" t="n">
        <v>7.303174016148088</v>
      </c>
    </row>
    <row r="784">
      <c r="A784" t="n">
        <v>103</v>
      </c>
      <c r="B784" t="inlineStr">
        <is>
          <t>Noah</t>
        </is>
      </c>
      <c r="C784" t="inlineStr">
        <is>
          <t>Town</t>
        </is>
      </c>
      <c r="D784" t="inlineStr">
        <is>
          <t>Win</t>
        </is>
      </c>
      <c r="E784" t="n">
        <v>39</v>
      </c>
      <c r="F784" t="n">
        <v>29.67401558625525</v>
      </c>
      <c r="G784" t="n">
        <v>30.19009783937548</v>
      </c>
      <c r="H784" t="n">
        <v>6.797996838624618</v>
      </c>
      <c r="I784" t="n">
        <v>1321</v>
      </c>
      <c r="J784" t="n">
        <v>1360</v>
      </c>
      <c r="K784" t="n">
        <v>6.831678285885433</v>
      </c>
    </row>
    <row r="785">
      <c r="A785" t="n">
        <v>103</v>
      </c>
      <c r="B785" t="inlineStr">
        <is>
          <t>Lovekilling</t>
        </is>
      </c>
      <c r="C785" t="inlineStr">
        <is>
          <t>Town</t>
        </is>
      </c>
      <c r="D785" t="inlineStr">
        <is>
          <t>Win</t>
        </is>
      </c>
      <c r="E785" t="n">
        <v>51</v>
      </c>
      <c r="F785" t="n">
        <v>20.57499901929654</v>
      </c>
      <c r="G785" t="n">
        <v>21.25244234517715</v>
      </c>
      <c r="H785" t="n">
        <v>7.776205775666674</v>
      </c>
      <c r="I785" t="n">
        <v>601</v>
      </c>
      <c r="J785" t="n">
        <v>652</v>
      </c>
      <c r="K785" t="n">
        <v>7.82736363485416</v>
      </c>
    </row>
    <row r="786">
      <c r="A786" t="n">
        <v>103</v>
      </c>
      <c r="B786" t="inlineStr">
        <is>
          <t>Lou</t>
        </is>
      </c>
      <c r="C786" t="inlineStr">
        <is>
          <t>Town</t>
        </is>
      </c>
      <c r="D786" t="inlineStr">
        <is>
          <t>Win</t>
        </is>
      </c>
      <c r="E786" t="n">
        <v>39</v>
      </c>
      <c r="F786" t="n">
        <v>28.29153201871895</v>
      </c>
      <c r="G786" t="n">
        <v>28.81225911515651</v>
      </c>
      <c r="H786" t="n">
        <v>6.828208066496043</v>
      </c>
      <c r="I786" t="n">
        <v>1224</v>
      </c>
      <c r="J786" t="n">
        <v>1263</v>
      </c>
      <c r="K786" t="n">
        <v>6.862359213564402</v>
      </c>
    </row>
    <row r="787">
      <c r="A787" t="n">
        <v>103</v>
      </c>
      <c r="B787" t="inlineStr">
        <is>
          <t>Brownkow</t>
        </is>
      </c>
      <c r="C787" t="inlineStr">
        <is>
          <t>Town</t>
        </is>
      </c>
      <c r="D787" t="inlineStr">
        <is>
          <t>Win</t>
        </is>
      </c>
      <c r="E787" t="n">
        <v>35</v>
      </c>
      <c r="F787" t="n">
        <v>31.84808358105273</v>
      </c>
      <c r="G787" t="n">
        <v>32.31970461273433</v>
      </c>
      <c r="H787" t="n">
        <v>6.501414858965044</v>
      </c>
      <c r="I787" t="n">
        <v>1500</v>
      </c>
      <c r="J787" t="n">
        <v>1535</v>
      </c>
      <c r="K787" t="n">
        <v>6.530706101818128</v>
      </c>
    </row>
    <row r="788">
      <c r="A788" t="n">
        <v>103</v>
      </c>
      <c r="B788" t="inlineStr">
        <is>
          <t>Laur</t>
        </is>
      </c>
      <c r="C788" t="inlineStr">
        <is>
          <t>Town</t>
        </is>
      </c>
      <c r="D788" t="inlineStr">
        <is>
          <t>Win</t>
        </is>
      </c>
      <c r="E788" t="n">
        <v>41</v>
      </c>
      <c r="F788" t="n">
        <v>36.38584107690056</v>
      </c>
      <c r="G788" t="n">
        <v>36.94226334007938</v>
      </c>
      <c r="H788" t="n">
        <v>7.055883357772331</v>
      </c>
      <c r="I788" t="n">
        <v>1751</v>
      </c>
      <c r="J788" t="n">
        <v>1792</v>
      </c>
      <c r="K788" t="n">
        <v>7.093712227765429</v>
      </c>
    </row>
    <row r="789">
      <c r="A789" t="n">
        <v>103</v>
      </c>
      <c r="B789" t="inlineStr">
        <is>
          <t>Carson</t>
        </is>
      </c>
      <c r="C789" t="inlineStr">
        <is>
          <t>Town</t>
        </is>
      </c>
      <c r="D789" t="inlineStr">
        <is>
          <t>Win</t>
        </is>
      </c>
      <c r="E789" t="n">
        <v>39</v>
      </c>
      <c r="F789" t="n">
        <v>31.62850641854284</v>
      </c>
      <c r="G789" t="n">
        <v>32.14997328526109</v>
      </c>
      <c r="H789" t="n">
        <v>6.833006873758921</v>
      </c>
      <c r="I789" t="n">
        <v>1450</v>
      </c>
      <c r="J789" t="n">
        <v>1489</v>
      </c>
      <c r="K789" t="n">
        <v>6.867233018823538</v>
      </c>
    </row>
    <row r="790">
      <c r="A790" t="n">
        <v>103</v>
      </c>
      <c r="B790" t="inlineStr">
        <is>
          <t>Iln</t>
        </is>
      </c>
      <c r="C790" t="inlineStr">
        <is>
          <t>Town</t>
        </is>
      </c>
      <c r="D790" t="inlineStr">
        <is>
          <t>Win</t>
        </is>
      </c>
      <c r="E790" t="n">
        <v>41</v>
      </c>
      <c r="F790" t="n">
        <v>25.87611069770428</v>
      </c>
      <c r="G790" t="n">
        <v>26.42116715585656</v>
      </c>
      <c r="H790" t="n">
        <v>6.984228870607337</v>
      </c>
      <c r="I790" t="n">
        <v>1043</v>
      </c>
      <c r="J790" t="n">
        <v>1084</v>
      </c>
      <c r="K790" t="n">
        <v>7.020873728381349</v>
      </c>
    </row>
    <row r="791">
      <c r="A791" t="n">
        <v>103</v>
      </c>
      <c r="B791" t="inlineStr">
        <is>
          <t>Kwix</t>
        </is>
      </c>
      <c r="C791" t="inlineStr">
        <is>
          <t>Town</t>
        </is>
      </c>
      <c r="D791" t="inlineStr">
        <is>
          <t>Win</t>
        </is>
      </c>
      <c r="E791" t="n">
        <v>42</v>
      </c>
      <c r="F791" t="n">
        <v>28.37471273133649</v>
      </c>
      <c r="G791" t="n">
        <v>28.92938864877936</v>
      </c>
      <c r="H791" t="n">
        <v>7.044923197304826</v>
      </c>
      <c r="I791" t="n">
        <v>1207</v>
      </c>
      <c r="J791" t="n">
        <v>1249</v>
      </c>
      <c r="K791" t="n">
        <v>7.08256936381764</v>
      </c>
    </row>
    <row r="792">
      <c r="A792" t="n">
        <v>103</v>
      </c>
      <c r="B792" t="inlineStr">
        <is>
          <t>Mintt</t>
        </is>
      </c>
      <c r="C792" t="inlineStr">
        <is>
          <t>Town</t>
        </is>
      </c>
      <c r="D792" t="inlineStr">
        <is>
          <t>Win</t>
        </is>
      </c>
      <c r="E792" t="n">
        <v>43</v>
      </c>
      <c r="F792" t="n">
        <v>27.43187574227447</v>
      </c>
      <c r="G792" t="n">
        <v>28.00727760196507</v>
      </c>
      <c r="H792" t="n">
        <v>7.173872218797305</v>
      </c>
      <c r="I792" t="n">
        <v>1130</v>
      </c>
      <c r="J792" t="n">
        <v>1173</v>
      </c>
      <c r="K792" t="n">
        <v>7.213704884201986</v>
      </c>
    </row>
    <row r="793">
      <c r="A793" t="n">
        <v>103</v>
      </c>
      <c r="B793" t="inlineStr">
        <is>
          <t>Rollo</t>
        </is>
      </c>
      <c r="C793" t="inlineStr">
        <is>
          <t>Town</t>
        </is>
      </c>
      <c r="D793" t="inlineStr">
        <is>
          <t>Win</t>
        </is>
      </c>
      <c r="E793" t="n">
        <v>41</v>
      </c>
      <c r="F793" t="n">
        <v>34.44618493736686</v>
      </c>
      <c r="G793" t="n">
        <v>34.99800190238013</v>
      </c>
      <c r="H793" t="n">
        <v>7.026941705811726</v>
      </c>
      <c r="I793" t="n">
        <v>1622</v>
      </c>
      <c r="J793" t="n">
        <v>1663</v>
      </c>
      <c r="K793" t="n">
        <v>7.064289378476963</v>
      </c>
    </row>
    <row r="794">
      <c r="A794" t="n">
        <v>102</v>
      </c>
      <c r="B794" t="inlineStr">
        <is>
          <t>Cj</t>
        </is>
      </c>
      <c r="C794" t="inlineStr">
        <is>
          <t>Mafia</t>
        </is>
      </c>
      <c r="D794" t="inlineStr">
        <is>
          <t>Win</t>
        </is>
      </c>
      <c r="E794" t="n">
        <v>38</v>
      </c>
      <c r="F794" t="n">
        <v>25.79174592109255</v>
      </c>
      <c r="G794" t="n">
        <v>26.26983618682529</v>
      </c>
      <c r="H794" t="n">
        <v>7.928370857751979</v>
      </c>
      <c r="I794" t="n">
        <v>940</v>
      </c>
      <c r="J794" t="n">
        <v>978</v>
      </c>
      <c r="K794" t="n">
        <v>7.97458831153578</v>
      </c>
    </row>
    <row r="795">
      <c r="A795" t="n">
        <v>102</v>
      </c>
      <c r="B795" t="inlineStr">
        <is>
          <t>Laur</t>
        </is>
      </c>
      <c r="C795" t="inlineStr">
        <is>
          <t>Mafia</t>
        </is>
      </c>
      <c r="D795" t="inlineStr">
        <is>
          <t>Win</t>
        </is>
      </c>
      <c r="E795" t="n">
        <v>30</v>
      </c>
      <c r="F795" t="n">
        <v>36.0040253152433</v>
      </c>
      <c r="G795" t="n">
        <v>36.38584107690056</v>
      </c>
      <c r="H795" t="n">
        <v>7.093712227765429</v>
      </c>
      <c r="I795" t="n">
        <v>1721</v>
      </c>
      <c r="J795" t="n">
        <v>1751</v>
      </c>
      <c r="K795" t="n">
        <v>7.126423663288599</v>
      </c>
    </row>
    <row r="796">
      <c r="A796" t="n">
        <v>102</v>
      </c>
      <c r="B796" t="inlineStr">
        <is>
          <t>Kwix</t>
        </is>
      </c>
      <c r="C796" t="inlineStr">
        <is>
          <t>Mafia</t>
        </is>
      </c>
      <c r="D796" t="inlineStr">
        <is>
          <t>Win</t>
        </is>
      </c>
      <c r="E796" t="n">
        <v>29</v>
      </c>
      <c r="F796" t="n">
        <v>27.99410693558494</v>
      </c>
      <c r="G796" t="n">
        <v>28.37471273133649</v>
      </c>
      <c r="H796" t="n">
        <v>7.08256936381764</v>
      </c>
      <c r="I796" t="n">
        <v>1178</v>
      </c>
      <c r="J796" t="n">
        <v>1207</v>
      </c>
      <c r="K796" t="n">
        <v>7.115120734964147</v>
      </c>
    </row>
    <row r="797">
      <c r="A797" t="n">
        <v>102</v>
      </c>
      <c r="B797" t="inlineStr">
        <is>
          <t>Plen</t>
        </is>
      </c>
      <c r="C797" t="inlineStr">
        <is>
          <t>Town</t>
        </is>
      </c>
      <c r="D797" t="inlineStr">
        <is>
          <t>Loss</t>
        </is>
      </c>
      <c r="E797" t="n">
        <v>-21</v>
      </c>
      <c r="F797" t="n">
        <v>24.24533209881631</v>
      </c>
      <c r="G797" t="n">
        <v>23.89749602228967</v>
      </c>
      <c r="H797" t="n">
        <v>6.773550213457796</v>
      </c>
      <c r="I797" t="n">
        <v>955</v>
      </c>
      <c r="J797" t="n">
        <v>934</v>
      </c>
      <c r="K797" t="n">
        <v>6.801862464289076</v>
      </c>
    </row>
    <row r="798">
      <c r="A798" t="n">
        <v>102</v>
      </c>
      <c r="B798" t="inlineStr">
        <is>
          <t>Chester</t>
        </is>
      </c>
      <c r="C798" t="inlineStr">
        <is>
          <t>Town</t>
        </is>
      </c>
      <c r="D798" t="inlineStr">
        <is>
          <t>Loss</t>
        </is>
      </c>
      <c r="E798" t="n">
        <v>-27</v>
      </c>
      <c r="F798" t="n">
        <v>30.38879397010576</v>
      </c>
      <c r="G798" t="n">
        <v>29.93029155834217</v>
      </c>
      <c r="H798" t="n">
        <v>7.766140355645496</v>
      </c>
      <c r="I798" t="n">
        <v>1270</v>
      </c>
      <c r="J798" t="n">
        <v>1243</v>
      </c>
      <c r="K798" t="n">
        <v>7.809490027794893</v>
      </c>
    </row>
    <row r="799">
      <c r="A799" t="n">
        <v>102</v>
      </c>
      <c r="B799" t="inlineStr">
        <is>
          <t>Badpants</t>
        </is>
      </c>
      <c r="C799" t="inlineStr">
        <is>
          <t>Town</t>
        </is>
      </c>
      <c r="D799" t="inlineStr">
        <is>
          <t>Loss</t>
        </is>
      </c>
      <c r="E799" t="n">
        <v>-21</v>
      </c>
      <c r="F799" t="n">
        <v>24.83854777884753</v>
      </c>
      <c r="G799" t="n">
        <v>24.48380683696556</v>
      </c>
      <c r="H799" t="n">
        <v>6.839866847302954</v>
      </c>
      <c r="I799" t="n">
        <v>988</v>
      </c>
      <c r="J799" t="n">
        <v>967</v>
      </c>
      <c r="K799" t="n">
        <v>6.869056762998788</v>
      </c>
    </row>
    <row r="800">
      <c r="A800" t="n">
        <v>102</v>
      </c>
      <c r="B800" t="inlineStr">
        <is>
          <t>Smit</t>
        </is>
      </c>
      <c r="C800" t="inlineStr">
        <is>
          <t>Town</t>
        </is>
      </c>
      <c r="D800" t="inlineStr">
        <is>
          <t>Loss</t>
        </is>
      </c>
      <c r="E800" t="n">
        <v>-21</v>
      </c>
      <c r="F800" t="n">
        <v>28.26323638118529</v>
      </c>
      <c r="G800" t="n">
        <v>27.89846767708923</v>
      </c>
      <c r="H800" t="n">
        <v>6.9350077842045</v>
      </c>
      <c r="I800" t="n">
        <v>1211</v>
      </c>
      <c r="J800" t="n">
        <v>1190</v>
      </c>
      <c r="K800" t="n">
        <v>6.965487194081638</v>
      </c>
    </row>
    <row r="801">
      <c r="A801" t="n">
        <v>102</v>
      </c>
      <c r="B801" t="inlineStr">
        <is>
          <t>Carson</t>
        </is>
      </c>
      <c r="C801" t="inlineStr">
        <is>
          <t>Town</t>
        </is>
      </c>
      <c r="D801" t="inlineStr">
        <is>
          <t>Loss</t>
        </is>
      </c>
      <c r="E801" t="n">
        <v>-22</v>
      </c>
      <c r="F801" t="n">
        <v>31.98611702441369</v>
      </c>
      <c r="G801" t="n">
        <v>31.62850641854284</v>
      </c>
      <c r="H801" t="n">
        <v>6.867233018823538</v>
      </c>
      <c r="I801" t="n">
        <v>1472</v>
      </c>
      <c r="J801" t="n">
        <v>1450</v>
      </c>
      <c r="K801" t="n">
        <v>6.896790158224325</v>
      </c>
    </row>
    <row r="802">
      <c r="A802" t="n">
        <v>102</v>
      </c>
      <c r="B802" t="inlineStr">
        <is>
          <t>Daniel</t>
        </is>
      </c>
      <c r="C802" t="inlineStr">
        <is>
          <t>Town</t>
        </is>
      </c>
      <c r="D802" t="inlineStr">
        <is>
          <t>Loss</t>
        </is>
      </c>
      <c r="E802" t="n">
        <v>-30</v>
      </c>
      <c r="F802" t="n">
        <v>25</v>
      </c>
      <c r="G802" t="n">
        <v>24.47793435734513</v>
      </c>
      <c r="H802" t="n">
        <v>8.280464719283026</v>
      </c>
      <c r="I802" t="n">
        <v>850</v>
      </c>
      <c r="J802" t="n">
        <v>820</v>
      </c>
      <c r="K802" t="n">
        <v>8.333333333333334</v>
      </c>
    </row>
    <row r="803">
      <c r="A803" t="n">
        <v>102</v>
      </c>
      <c r="B803" t="inlineStr">
        <is>
          <t>Dani</t>
        </is>
      </c>
      <c r="C803" t="inlineStr">
        <is>
          <t>Town</t>
        </is>
      </c>
      <c r="D803" t="inlineStr">
        <is>
          <t>Loss</t>
        </is>
      </c>
      <c r="E803" t="n">
        <v>-28</v>
      </c>
      <c r="F803" t="n">
        <v>24.2854082646787</v>
      </c>
      <c r="G803" t="n">
        <v>23.80612649048757</v>
      </c>
      <c r="H803" t="n">
        <v>7.938127113007826</v>
      </c>
      <c r="I803" t="n">
        <v>837</v>
      </c>
      <c r="J803" t="n">
        <v>809</v>
      </c>
      <c r="K803" t="n">
        <v>7.984520922170086</v>
      </c>
    </row>
    <row r="804">
      <c r="A804" t="n">
        <v>102</v>
      </c>
      <c r="B804" t="inlineStr">
        <is>
          <t>Streety</t>
        </is>
      </c>
      <c r="C804" t="inlineStr">
        <is>
          <t>Town</t>
        </is>
      </c>
      <c r="D804" t="inlineStr">
        <is>
          <t>Loss</t>
        </is>
      </c>
      <c r="E804" t="n">
        <v>-24</v>
      </c>
      <c r="F804" t="n">
        <v>28.29900677069775</v>
      </c>
      <c r="G804" t="n">
        <v>27.89407828392138</v>
      </c>
      <c r="H804" t="n">
        <v>7.303174016148088</v>
      </c>
      <c r="I804" t="n">
        <v>1176</v>
      </c>
      <c r="J804" t="n">
        <v>1152</v>
      </c>
      <c r="K804" t="n">
        <v>7.33899035564353</v>
      </c>
    </row>
    <row r="805">
      <c r="A805" t="n">
        <v>102</v>
      </c>
      <c r="B805" t="inlineStr">
        <is>
          <t>Kden</t>
        </is>
      </c>
      <c r="C805" t="inlineStr">
        <is>
          <t>Town</t>
        </is>
      </c>
      <c r="D805" t="inlineStr">
        <is>
          <t>Loss</t>
        </is>
      </c>
      <c r="E805" t="n">
        <v>-22</v>
      </c>
      <c r="F805" t="n">
        <v>29.15861929500118</v>
      </c>
      <c r="G805" t="n">
        <v>28.78114991551487</v>
      </c>
      <c r="H805" t="n">
        <v>7.053600257394153</v>
      </c>
      <c r="I805" t="n">
        <v>1260</v>
      </c>
      <c r="J805" t="n">
        <v>1238</v>
      </c>
      <c r="K805" t="n">
        <v>7.085737877886834</v>
      </c>
    </row>
    <row r="806">
      <c r="A806" t="n">
        <v>102</v>
      </c>
      <c r="B806" t="inlineStr">
        <is>
          <t>Noah</t>
        </is>
      </c>
      <c r="C806" t="inlineStr">
        <is>
          <t>Town</t>
        </is>
      </c>
      <c r="D806" t="inlineStr">
        <is>
          <t>Loss</t>
        </is>
      </c>
      <c r="E806" t="n">
        <v>-21</v>
      </c>
      <c r="F806" t="n">
        <v>30.02790016830133</v>
      </c>
      <c r="G806" t="n">
        <v>29.67401558625525</v>
      </c>
      <c r="H806" t="n">
        <v>6.831678285885433</v>
      </c>
      <c r="I806" t="n">
        <v>1342</v>
      </c>
      <c r="J806" t="n">
        <v>1321</v>
      </c>
      <c r="K806" t="n">
        <v>6.860758895174062</v>
      </c>
    </row>
    <row r="807">
      <c r="A807" t="n">
        <v>101</v>
      </c>
      <c r="B807" t="inlineStr">
        <is>
          <t>Noah</t>
        </is>
      </c>
      <c r="C807" t="inlineStr">
        <is>
          <t>Mafia</t>
        </is>
      </c>
      <c r="D807" t="inlineStr">
        <is>
          <t>Loss</t>
        </is>
      </c>
      <c r="E807" t="n">
        <v>-39</v>
      </c>
      <c r="F807" t="n">
        <v>30.65860362169667</v>
      </c>
      <c r="G807" t="n">
        <v>30.02790016830133</v>
      </c>
      <c r="H807" t="n">
        <v>6.860758895174062</v>
      </c>
      <c r="I807" t="n">
        <v>1381</v>
      </c>
      <c r="J807" t="n">
        <v>1342</v>
      </c>
      <c r="K807" t="n">
        <v>6.898945781502926</v>
      </c>
    </row>
    <row r="808">
      <c r="A808" t="n">
        <v>101</v>
      </c>
      <c r="B808" t="inlineStr">
        <is>
          <t>Lou</t>
        </is>
      </c>
      <c r="C808" t="inlineStr">
        <is>
          <t>Mafia</t>
        </is>
      </c>
      <c r="D808" t="inlineStr">
        <is>
          <t>Loss</t>
        </is>
      </c>
      <c r="E808" t="n">
        <v>-39</v>
      </c>
      <c r="F808" t="n">
        <v>28.92253312564434</v>
      </c>
      <c r="G808" t="n">
        <v>28.29153201871895</v>
      </c>
      <c r="H808" t="n">
        <v>6.862359213564402</v>
      </c>
      <c r="I808" t="n">
        <v>1263</v>
      </c>
      <c r="J808" t="n">
        <v>1224</v>
      </c>
      <c r="K808" t="n">
        <v>6.900573872071011</v>
      </c>
    </row>
    <row r="809">
      <c r="A809" t="n">
        <v>101</v>
      </c>
      <c r="B809" t="inlineStr">
        <is>
          <t>Lovekilling</t>
        </is>
      </c>
      <c r="C809" t="inlineStr">
        <is>
          <t>Mafia</t>
        </is>
      </c>
      <c r="D809" t="inlineStr">
        <is>
          <t>Loss</t>
        </is>
      </c>
      <c r="E809" t="n">
        <v>-50</v>
      </c>
      <c r="F809" t="n">
        <v>21.39880919472941</v>
      </c>
      <c r="G809" t="n">
        <v>20.57499901929654</v>
      </c>
      <c r="H809" t="n">
        <v>7.82736363485416</v>
      </c>
      <c r="I809" t="n">
        <v>651</v>
      </c>
      <c r="J809" t="n">
        <v>601</v>
      </c>
      <c r="K809" t="n">
        <v>7.884867460859977</v>
      </c>
    </row>
    <row r="810">
      <c r="A810" t="n">
        <v>101</v>
      </c>
      <c r="B810" t="inlineStr">
        <is>
          <t>Streety</t>
        </is>
      </c>
      <c r="C810" t="inlineStr">
        <is>
          <t>Town</t>
        </is>
      </c>
      <c r="D810" t="inlineStr">
        <is>
          <t>Win</t>
        </is>
      </c>
      <c r="E810" t="n">
        <v>54</v>
      </c>
      <c r="F810" t="n">
        <v>27.57611001516441</v>
      </c>
      <c r="G810" t="n">
        <v>28.29900677069775</v>
      </c>
      <c r="H810" t="n">
        <v>7.33899035564353</v>
      </c>
      <c r="I810" t="n">
        <v>1122</v>
      </c>
      <c r="J810" t="n">
        <v>1176</v>
      </c>
      <c r="K810" t="n">
        <v>7.386081298222854</v>
      </c>
    </row>
    <row r="811">
      <c r="A811" t="n">
        <v>101</v>
      </c>
      <c r="B811" t="inlineStr">
        <is>
          <t>Laur</t>
        </is>
      </c>
      <c r="C811" t="inlineStr">
        <is>
          <t>Town</t>
        </is>
      </c>
      <c r="D811" t="inlineStr">
        <is>
          <t>Win</t>
        </is>
      </c>
      <c r="E811" t="n">
        <v>50</v>
      </c>
      <c r="F811" t="n">
        <v>35.32291225948833</v>
      </c>
      <c r="G811" t="n">
        <v>36.0040253152433</v>
      </c>
      <c r="H811" t="n">
        <v>7.126423663288599</v>
      </c>
      <c r="I811" t="n">
        <v>1671</v>
      </c>
      <c r="J811" t="n">
        <v>1721</v>
      </c>
      <c r="K811" t="n">
        <v>7.169404869594658</v>
      </c>
    </row>
    <row r="812">
      <c r="A812" t="n">
        <v>101</v>
      </c>
      <c r="B812" t="inlineStr">
        <is>
          <t>Carson</t>
        </is>
      </c>
      <c r="C812" t="inlineStr">
        <is>
          <t>Town</t>
        </is>
      </c>
      <c r="D812" t="inlineStr">
        <is>
          <t>Win</t>
        </is>
      </c>
      <c r="E812" t="n">
        <v>48</v>
      </c>
      <c r="F812" t="n">
        <v>31.34869428266423</v>
      </c>
      <c r="G812" t="n">
        <v>31.98611702441369</v>
      </c>
      <c r="H812" t="n">
        <v>6.896790158224325</v>
      </c>
      <c r="I812" t="n">
        <v>1424</v>
      </c>
      <c r="J812" t="n">
        <v>1472</v>
      </c>
      <c r="K812" t="n">
        <v>6.935605547810255</v>
      </c>
    </row>
    <row r="813">
      <c r="A813" t="n">
        <v>101</v>
      </c>
      <c r="B813" t="inlineStr">
        <is>
          <t>Brownkow</t>
        </is>
      </c>
      <c r="C813" t="inlineStr">
        <is>
          <t>Town</t>
        </is>
      </c>
      <c r="D813" t="inlineStr">
        <is>
          <t>Win</t>
        </is>
      </c>
      <c r="E813" t="n">
        <v>43</v>
      </c>
      <c r="F813" t="n">
        <v>31.27721951398683</v>
      </c>
      <c r="G813" t="n">
        <v>31.84808358105273</v>
      </c>
      <c r="H813" t="n">
        <v>6.530706101818128</v>
      </c>
      <c r="I813" t="n">
        <v>1457</v>
      </c>
      <c r="J813" t="n">
        <v>1500</v>
      </c>
      <c r="K813" t="n">
        <v>6.563442707023606</v>
      </c>
    </row>
    <row r="814">
      <c r="A814" t="n">
        <v>101</v>
      </c>
      <c r="B814" t="inlineStr">
        <is>
          <t>Rocker</t>
        </is>
      </c>
      <c r="C814" t="inlineStr">
        <is>
          <t>Town</t>
        </is>
      </c>
      <c r="D814" t="inlineStr">
        <is>
          <t>Win</t>
        </is>
      </c>
      <c r="E814" t="n">
        <v>42</v>
      </c>
      <c r="F814" t="n">
        <v>33.10899647126531</v>
      </c>
      <c r="G814" t="n">
        <v>33.67686464968349</v>
      </c>
      <c r="H814" t="n">
        <v>6.513722805340184</v>
      </c>
      <c r="I814" t="n">
        <v>1584</v>
      </c>
      <c r="J814" t="n">
        <v>1626</v>
      </c>
      <c r="K814" t="n">
        <v>6.546193604007115</v>
      </c>
    </row>
    <row r="815">
      <c r="A815" t="n">
        <v>101</v>
      </c>
      <c r="B815" t="inlineStr">
        <is>
          <t>Chester</t>
        </is>
      </c>
      <c r="C815" t="inlineStr">
        <is>
          <t>Town</t>
        </is>
      </c>
      <c r="D815" t="inlineStr">
        <is>
          <t>Win</t>
        </is>
      </c>
      <c r="E815" t="n">
        <v>62</v>
      </c>
      <c r="F815" t="n">
        <v>29.56879841621139</v>
      </c>
      <c r="G815" t="n">
        <v>30.38879397010576</v>
      </c>
      <c r="H815" t="n">
        <v>7.809490027794893</v>
      </c>
      <c r="I815" t="n">
        <v>1208</v>
      </c>
      <c r="J815" t="n">
        <v>1270</v>
      </c>
      <c r="K815" t="n">
        <v>7.866588047324454</v>
      </c>
    </row>
    <row r="816">
      <c r="A816" t="n">
        <v>101</v>
      </c>
      <c r="B816" t="inlineStr">
        <is>
          <t>Rollo</t>
        </is>
      </c>
      <c r="C816" t="inlineStr">
        <is>
          <t>Town</t>
        </is>
      </c>
      <c r="D816" t="inlineStr">
        <is>
          <t>Win</t>
        </is>
      </c>
      <c r="E816" t="n">
        <v>50</v>
      </c>
      <c r="F816" t="n">
        <v>33.77704175442786</v>
      </c>
      <c r="G816" t="n">
        <v>34.44618493736686</v>
      </c>
      <c r="H816" t="n">
        <v>7.064289378476963</v>
      </c>
      <c r="I816" t="n">
        <v>1572</v>
      </c>
      <c r="J816" t="n">
        <v>1622</v>
      </c>
      <c r="K816" t="n">
        <v>7.10611574734313</v>
      </c>
    </row>
    <row r="817">
      <c r="A817" t="n">
        <v>101</v>
      </c>
      <c r="B817" t="inlineStr">
        <is>
          <t>Iln</t>
        </is>
      </c>
      <c r="C817" t="inlineStr">
        <is>
          <t>Town</t>
        </is>
      </c>
      <c r="D817" t="inlineStr">
        <is>
          <t>Win</t>
        </is>
      </c>
      <c r="E817" t="n">
        <v>49</v>
      </c>
      <c r="F817" t="n">
        <v>25.21526604888017</v>
      </c>
      <c r="G817" t="n">
        <v>25.87611069770428</v>
      </c>
      <c r="H817" t="n">
        <v>7.020873728381349</v>
      </c>
      <c r="I817" t="n">
        <v>994</v>
      </c>
      <c r="J817" t="n">
        <v>1043</v>
      </c>
      <c r="K817" t="n">
        <v>7.061905425273155</v>
      </c>
    </row>
    <row r="818">
      <c r="A818" t="n">
        <v>101</v>
      </c>
      <c r="B818" t="inlineStr">
        <is>
          <t>Plen</t>
        </is>
      </c>
      <c r="C818" t="inlineStr">
        <is>
          <t>Town</t>
        </is>
      </c>
      <c r="D818" t="inlineStr">
        <is>
          <t>Win</t>
        </is>
      </c>
      <c r="E818" t="n">
        <v>46</v>
      </c>
      <c r="F818" t="n">
        <v>23.62553265205809</v>
      </c>
      <c r="G818" t="n">
        <v>24.24533209881631</v>
      </c>
      <c r="H818" t="n">
        <v>6.801862464289076</v>
      </c>
      <c r="I818" t="n">
        <v>909</v>
      </c>
      <c r="J818" t="n">
        <v>955</v>
      </c>
      <c r="K818" t="n">
        <v>6.839036425681838</v>
      </c>
    </row>
    <row r="819">
      <c r="A819" t="n">
        <v>101</v>
      </c>
      <c r="B819" t="inlineStr">
        <is>
          <t>Mintt</t>
        </is>
      </c>
      <c r="C819" t="inlineStr">
        <is>
          <t>Town</t>
        </is>
      </c>
      <c r="D819" t="inlineStr">
        <is>
          <t>Win</t>
        </is>
      </c>
      <c r="E819" t="n">
        <v>52</v>
      </c>
      <c r="F819" t="n">
        <v>26.73376233747345</v>
      </c>
      <c r="G819" t="n">
        <v>27.43187574227447</v>
      </c>
      <c r="H819" t="n">
        <v>7.213704884201986</v>
      </c>
      <c r="I819" t="n">
        <v>1078</v>
      </c>
      <c r="J819" t="n">
        <v>1130</v>
      </c>
      <c r="K819" t="n">
        <v>7.258343567954257</v>
      </c>
    </row>
    <row r="820">
      <c r="A820" t="n">
        <v>101</v>
      </c>
      <c r="B820" t="inlineStr">
        <is>
          <t>Kden</t>
        </is>
      </c>
      <c r="C820" t="inlineStr">
        <is>
          <t>Town</t>
        </is>
      </c>
      <c r="D820" t="inlineStr">
        <is>
          <t>Win</t>
        </is>
      </c>
      <c r="E820" t="n">
        <v>50</v>
      </c>
      <c r="F820" t="n">
        <v>28.48535659877343</v>
      </c>
      <c r="G820" t="n">
        <v>29.15861929500118</v>
      </c>
      <c r="H820" t="n">
        <v>7.085737877886834</v>
      </c>
      <c r="I820" t="n">
        <v>1210</v>
      </c>
      <c r="J820" t="n">
        <v>1260</v>
      </c>
      <c r="K820" t="n">
        <v>7.127960549260177</v>
      </c>
    </row>
    <row r="821">
      <c r="A821" t="n">
        <v>100</v>
      </c>
      <c r="B821" t="inlineStr">
        <is>
          <t>Rocker</t>
        </is>
      </c>
      <c r="C821" t="inlineStr">
        <is>
          <t>Mafia</t>
        </is>
      </c>
      <c r="D821" t="inlineStr">
        <is>
          <t>Loss</t>
        </is>
      </c>
      <c r="E821" t="n">
        <v>-99</v>
      </c>
      <c r="F821" t="n">
        <v>34.6399243213212</v>
      </c>
      <c r="G821" t="n">
        <v>33.10899647126531</v>
      </c>
      <c r="H821" t="n">
        <v>6.546193604007115</v>
      </c>
      <c r="I821" t="n">
        <v>1683</v>
      </c>
      <c r="J821" t="n">
        <v>1584</v>
      </c>
      <c r="K821" t="n">
        <v>6.597570469430813</v>
      </c>
    </row>
    <row r="822">
      <c r="A822" t="n">
        <v>100</v>
      </c>
      <c r="B822" t="inlineStr">
        <is>
          <t>Kden</t>
        </is>
      </c>
      <c r="C822" t="inlineStr">
        <is>
          <t>Mafia</t>
        </is>
      </c>
      <c r="D822" t="inlineStr">
        <is>
          <t>Loss</t>
        </is>
      </c>
      <c r="E822" t="n">
        <v>-117</v>
      </c>
      <c r="F822" t="n">
        <v>30.30599577281249</v>
      </c>
      <c r="G822" t="n">
        <v>28.48535659877343</v>
      </c>
      <c r="H822" t="n">
        <v>7.127960549260177</v>
      </c>
      <c r="I822" t="n">
        <v>1327</v>
      </c>
      <c r="J822" t="n">
        <v>1210</v>
      </c>
      <c r="K822" t="n">
        <v>7.194929710464176</v>
      </c>
    </row>
    <row r="823">
      <c r="A823" t="n">
        <v>100</v>
      </c>
      <c r="B823" t="inlineStr">
        <is>
          <t>Keegan</t>
        </is>
      </c>
      <c r="C823" t="inlineStr">
        <is>
          <t>Mafia</t>
        </is>
      </c>
      <c r="D823" t="inlineStr">
        <is>
          <t>Loss</t>
        </is>
      </c>
      <c r="E823" t="n">
        <v>-140</v>
      </c>
      <c r="F823" t="n">
        <v>28.64500731421306</v>
      </c>
      <c r="G823" t="n">
        <v>26.45940057848706</v>
      </c>
      <c r="H823" t="n">
        <v>7.794843662479086</v>
      </c>
      <c r="I823" t="n">
        <v>1144</v>
      </c>
      <c r="J823" t="n">
        <v>1004</v>
      </c>
      <c r="K823" t="n">
        <v>7.883292280041026</v>
      </c>
    </row>
    <row r="824">
      <c r="A824" t="n">
        <v>100</v>
      </c>
      <c r="B824" t="inlineStr">
        <is>
          <t>Kwix</t>
        </is>
      </c>
      <c r="C824" t="inlineStr">
        <is>
          <t>Town</t>
        </is>
      </c>
      <c r="D824" t="inlineStr">
        <is>
          <t>Win</t>
        </is>
      </c>
      <c r="E824" t="n">
        <v>130</v>
      </c>
      <c r="F824" t="n">
        <v>26.18014796206608</v>
      </c>
      <c r="G824" t="n">
        <v>27.99410693558494</v>
      </c>
      <c r="H824" t="n">
        <v>7.115120734964147</v>
      </c>
      <c r="I824" t="n">
        <v>1048</v>
      </c>
      <c r="J824" t="n">
        <v>1178</v>
      </c>
      <c r="K824" t="n">
        <v>7.181715383112445</v>
      </c>
    </row>
    <row r="825">
      <c r="A825" t="n">
        <v>100</v>
      </c>
      <c r="B825" t="inlineStr">
        <is>
          <t>Xcync</t>
        </is>
      </c>
      <c r="C825" t="inlineStr">
        <is>
          <t>Town</t>
        </is>
      </c>
      <c r="D825" t="inlineStr">
        <is>
          <t>Win</t>
        </is>
      </c>
      <c r="E825" t="n">
        <v>149</v>
      </c>
      <c r="F825" t="n">
        <v>29.77351089578043</v>
      </c>
      <c r="G825" t="n">
        <v>31.83641457274413</v>
      </c>
      <c r="H825" t="n">
        <v>7.577761503158852</v>
      </c>
      <c r="I825" t="n">
        <v>1243</v>
      </c>
      <c r="J825" t="n">
        <v>1392</v>
      </c>
      <c r="K825" t="n">
        <v>7.658769782725797</v>
      </c>
    </row>
    <row r="826">
      <c r="A826" t="n">
        <v>100</v>
      </c>
      <c r="B826" t="inlineStr">
        <is>
          <t>Carson</t>
        </is>
      </c>
      <c r="C826" t="inlineStr">
        <is>
          <t>Town</t>
        </is>
      </c>
      <c r="D826" t="inlineStr">
        <is>
          <t>Win</t>
        </is>
      </c>
      <c r="E826" t="n">
        <v>123</v>
      </c>
      <c r="F826" t="n">
        <v>29.62677372030989</v>
      </c>
      <c r="G826" t="n">
        <v>31.34869428266423</v>
      </c>
      <c r="H826" t="n">
        <v>6.935605547810255</v>
      </c>
      <c r="I826" t="n">
        <v>1301</v>
      </c>
      <c r="J826" t="n">
        <v>1424</v>
      </c>
      <c r="K826" t="n">
        <v>6.997111028495316</v>
      </c>
    </row>
    <row r="827">
      <c r="A827" t="n">
        <v>100</v>
      </c>
      <c r="B827" t="inlineStr">
        <is>
          <t>Noah</t>
        </is>
      </c>
      <c r="C827" t="inlineStr">
        <is>
          <t>Town</t>
        </is>
      </c>
      <c r="D827" t="inlineStr">
        <is>
          <t>Win</t>
        </is>
      </c>
      <c r="E827" t="n">
        <v>122</v>
      </c>
      <c r="F827" t="n">
        <v>28.95516774629176</v>
      </c>
      <c r="G827" t="n">
        <v>30.65860362169667</v>
      </c>
      <c r="H827" t="n">
        <v>6.898945781502926</v>
      </c>
      <c r="I827" t="n">
        <v>1259</v>
      </c>
      <c r="J827" t="n">
        <v>1381</v>
      </c>
      <c r="K827" t="n">
        <v>6.959445250467667</v>
      </c>
    </row>
    <row r="828">
      <c r="A828" t="n">
        <v>100</v>
      </c>
      <c r="B828" t="inlineStr">
        <is>
          <t>Plen</t>
        </is>
      </c>
      <c r="C828" t="inlineStr">
        <is>
          <t>Town</t>
        </is>
      </c>
      <c r="D828" t="inlineStr">
        <is>
          <t>Win</t>
        </is>
      </c>
      <c r="E828" t="n">
        <v>120</v>
      </c>
      <c r="F828" t="n">
        <v>21.9520780918367</v>
      </c>
      <c r="G828" t="n">
        <v>23.62553265205809</v>
      </c>
      <c r="H828" t="n">
        <v>6.839036425681838</v>
      </c>
      <c r="I828" t="n">
        <v>789</v>
      </c>
      <c r="J828" t="n">
        <v>909</v>
      </c>
      <c r="K828" t="n">
        <v>6.897915767965537</v>
      </c>
    </row>
    <row r="829">
      <c r="A829" t="n">
        <v>100</v>
      </c>
      <c r="B829" t="inlineStr">
        <is>
          <t>Lovekilling</t>
        </is>
      </c>
      <c r="C829" t="inlineStr">
        <is>
          <t>Town</t>
        </is>
      </c>
      <c r="D829" t="inlineStr">
        <is>
          <t>Win</t>
        </is>
      </c>
      <c r="E829" t="n">
        <v>162</v>
      </c>
      <c r="F829" t="n">
        <v>19.16120338177522</v>
      </c>
      <c r="G829" t="n">
        <v>21.39880919472941</v>
      </c>
      <c r="H829" t="n">
        <v>7.884867460859977</v>
      </c>
      <c r="I829" t="n">
        <v>489</v>
      </c>
      <c r="J829" t="n">
        <v>651</v>
      </c>
      <c r="K829" t="n">
        <v>7.976534010397052</v>
      </c>
    </row>
    <row r="830">
      <c r="A830" t="n">
        <v>100</v>
      </c>
      <c r="B830" t="inlineStr">
        <is>
          <t>Laur</t>
        </is>
      </c>
      <c r="C830" t="inlineStr">
        <is>
          <t>Town</t>
        </is>
      </c>
      <c r="D830" t="inlineStr">
        <is>
          <t>Win</t>
        </is>
      </c>
      <c r="E830" t="n">
        <v>133</v>
      </c>
      <c r="F830" t="n">
        <v>33.48062201985287</v>
      </c>
      <c r="G830" t="n">
        <v>35.32291225948833</v>
      </c>
      <c r="H830" t="n">
        <v>7.169404869594658</v>
      </c>
      <c r="I830" t="n">
        <v>1538</v>
      </c>
      <c r="J830" t="n">
        <v>1671</v>
      </c>
      <c r="K830" t="n">
        <v>7.237592588794607</v>
      </c>
    </row>
    <row r="831">
      <c r="A831" t="n">
        <v>100</v>
      </c>
      <c r="B831" t="inlineStr">
        <is>
          <t>Smit</t>
        </is>
      </c>
      <c r="C831" t="inlineStr">
        <is>
          <t>Town</t>
        </is>
      </c>
      <c r="D831" t="inlineStr">
        <is>
          <t>Win</t>
        </is>
      </c>
      <c r="E831" t="n">
        <v>124</v>
      </c>
      <c r="F831" t="n">
        <v>26.52617091711733</v>
      </c>
      <c r="G831" t="n">
        <v>28.26323638118529</v>
      </c>
      <c r="H831" t="n">
        <v>6.965487194081638</v>
      </c>
      <c r="I831" t="n">
        <v>1087</v>
      </c>
      <c r="J831" t="n">
        <v>1211</v>
      </c>
      <c r="K831" t="n">
        <v>7.02782095728347</v>
      </c>
    </row>
    <row r="832">
      <c r="A832" t="n">
        <v>100</v>
      </c>
      <c r="B832" t="inlineStr">
        <is>
          <t>Rollo</t>
        </is>
      </c>
      <c r="C832" t="inlineStr">
        <is>
          <t>Town</t>
        </is>
      </c>
      <c r="D832" t="inlineStr">
        <is>
          <t>Win</t>
        </is>
      </c>
      <c r="E832" t="n">
        <v>130</v>
      </c>
      <c r="F832" t="n">
        <v>31.96776007420784</v>
      </c>
      <c r="G832" t="n">
        <v>33.77704175442786</v>
      </c>
      <c r="H832" t="n">
        <v>7.10611574734313</v>
      </c>
      <c r="I832" t="n">
        <v>1442</v>
      </c>
      <c r="J832" t="n">
        <v>1572</v>
      </c>
      <c r="K832" t="n">
        <v>7.172448582574495</v>
      </c>
    </row>
    <row r="833">
      <c r="A833" t="n">
        <v>100</v>
      </c>
      <c r="B833" t="inlineStr">
        <is>
          <t>Streety</t>
        </is>
      </c>
      <c r="C833" t="inlineStr">
        <is>
          <t>Town</t>
        </is>
      </c>
      <c r="D833" t="inlineStr">
        <is>
          <t>Win</t>
        </is>
      </c>
      <c r="E833" t="n">
        <v>141</v>
      </c>
      <c r="F833" t="n">
        <v>25.61841254525287</v>
      </c>
      <c r="G833" t="n">
        <v>27.57611001516441</v>
      </c>
      <c r="H833" t="n">
        <v>7.386081298222854</v>
      </c>
      <c r="I833" t="n">
        <v>981</v>
      </c>
      <c r="J833" t="n">
        <v>1122</v>
      </c>
      <c r="K833" t="n">
        <v>7.460884905933877</v>
      </c>
    </row>
    <row r="834">
      <c r="A834" t="n">
        <v>99</v>
      </c>
      <c r="B834" t="inlineStr">
        <is>
          <t>Chester</t>
        </is>
      </c>
      <c r="C834" t="inlineStr">
        <is>
          <t>Mafia</t>
        </is>
      </c>
      <c r="D834" t="inlineStr">
        <is>
          <t>Win</t>
        </is>
      </c>
      <c r="E834" t="n">
        <v>55</v>
      </c>
      <c r="F834" t="n">
        <v>28.82952817146678</v>
      </c>
      <c r="G834" t="n">
        <v>29.56879841621139</v>
      </c>
      <c r="H834" t="n">
        <v>7.866588047324454</v>
      </c>
      <c r="I834" t="n">
        <v>1153</v>
      </c>
      <c r="J834" t="n">
        <v>1208</v>
      </c>
      <c r="K834" t="n">
        <v>7.920407936576348</v>
      </c>
    </row>
    <row r="835">
      <c r="A835" t="n">
        <v>99</v>
      </c>
      <c r="B835" t="inlineStr">
        <is>
          <t>Streety</t>
        </is>
      </c>
      <c r="C835" t="inlineStr">
        <is>
          <t>Mafia</t>
        </is>
      </c>
      <c r="D835" t="inlineStr">
        <is>
          <t>Win</t>
        </is>
      </c>
      <c r="E835" t="n">
        <v>50</v>
      </c>
      <c r="F835" t="n">
        <v>24.95436736453593</v>
      </c>
      <c r="G835" t="n">
        <v>25.61841254525287</v>
      </c>
      <c r="H835" t="n">
        <v>7.460884905933877</v>
      </c>
      <c r="I835" t="n">
        <v>931</v>
      </c>
      <c r="J835" t="n">
        <v>981</v>
      </c>
      <c r="K835" t="n">
        <v>7.506557754892613</v>
      </c>
    </row>
    <row r="836">
      <c r="A836" t="n">
        <v>99</v>
      </c>
      <c r="B836" t="inlineStr">
        <is>
          <t>Carson</t>
        </is>
      </c>
      <c r="C836" t="inlineStr">
        <is>
          <t>Mafia</t>
        </is>
      </c>
      <c r="D836" t="inlineStr">
        <is>
          <t>Win</t>
        </is>
      </c>
      <c r="E836" t="n">
        <v>44</v>
      </c>
      <c r="F836" t="n">
        <v>29.04360272899273</v>
      </c>
      <c r="G836" t="n">
        <v>29.62677372030989</v>
      </c>
      <c r="H836" t="n">
        <v>6.997111028495316</v>
      </c>
      <c r="I836" t="n">
        <v>1257</v>
      </c>
      <c r="J836" t="n">
        <v>1301</v>
      </c>
      <c r="K836" t="n">
        <v>7.034522577292089</v>
      </c>
    </row>
    <row r="837">
      <c r="A837" t="n">
        <v>99</v>
      </c>
      <c r="B837" t="inlineStr">
        <is>
          <t>Laur</t>
        </is>
      </c>
      <c r="C837" t="inlineStr">
        <is>
          <t>Town</t>
        </is>
      </c>
      <c r="D837" t="inlineStr">
        <is>
          <t>Loss</t>
        </is>
      </c>
      <c r="E837" t="n">
        <v>-39</v>
      </c>
      <c r="F837" t="n">
        <v>34.1050501845905</v>
      </c>
      <c r="G837" t="n">
        <v>33.48062201985287</v>
      </c>
      <c r="H837" t="n">
        <v>7.237592588794607</v>
      </c>
      <c r="I837" t="n">
        <v>1577</v>
      </c>
      <c r="J837" t="n">
        <v>1538</v>
      </c>
      <c r="K837" t="n">
        <v>7.279152409113664</v>
      </c>
    </row>
    <row r="838">
      <c r="A838" t="n">
        <v>99</v>
      </c>
      <c r="B838" t="inlineStr">
        <is>
          <t>Kden</t>
        </is>
      </c>
      <c r="C838" t="inlineStr">
        <is>
          <t>Town</t>
        </is>
      </c>
      <c r="D838" t="inlineStr">
        <is>
          <t>Loss</t>
        </is>
      </c>
      <c r="E838" t="n">
        <v>-38</v>
      </c>
      <c r="F838" t="n">
        <v>30.92299818826669</v>
      </c>
      <c r="G838" t="n">
        <v>30.30599577281249</v>
      </c>
      <c r="H838" t="n">
        <v>7.194929710464176</v>
      </c>
      <c r="I838" t="n">
        <v>1365</v>
      </c>
      <c r="J838" t="n">
        <v>1327</v>
      </c>
      <c r="K838" t="n">
        <v>7.235732612996722</v>
      </c>
    </row>
    <row r="839">
      <c r="A839" t="n">
        <v>99</v>
      </c>
      <c r="B839" t="inlineStr">
        <is>
          <t>Noah</t>
        </is>
      </c>
      <c r="C839" t="inlineStr">
        <is>
          <t>Town</t>
        </is>
      </c>
      <c r="D839" t="inlineStr">
        <is>
          <t>Loss</t>
        </is>
      </c>
      <c r="E839" t="n">
        <v>-36</v>
      </c>
      <c r="F839" t="n">
        <v>29.53200875008186</v>
      </c>
      <c r="G839" t="n">
        <v>28.95516774629176</v>
      </c>
      <c r="H839" t="n">
        <v>6.959445250467667</v>
      </c>
      <c r="I839" t="n">
        <v>1295</v>
      </c>
      <c r="J839" t="n">
        <v>1259</v>
      </c>
      <c r="K839" t="n">
        <v>6.996232794796077</v>
      </c>
    </row>
    <row r="840">
      <c r="A840" t="n">
        <v>99</v>
      </c>
      <c r="B840" t="inlineStr">
        <is>
          <t>Rollo</t>
        </is>
      </c>
      <c r="C840" t="inlineStr">
        <is>
          <t>Town</t>
        </is>
      </c>
      <c r="D840" t="inlineStr">
        <is>
          <t>Loss</t>
        </is>
      </c>
      <c r="E840" t="n">
        <v>-38</v>
      </c>
      <c r="F840" t="n">
        <v>32.58086800261923</v>
      </c>
      <c r="G840" t="n">
        <v>31.96776007420784</v>
      </c>
      <c r="H840" t="n">
        <v>7.172448582574495</v>
      </c>
      <c r="I840" t="n">
        <v>1480</v>
      </c>
      <c r="J840" t="n">
        <v>1442</v>
      </c>
      <c r="K840" t="n">
        <v>7.212856305473587</v>
      </c>
    </row>
    <row r="841">
      <c r="A841" t="n">
        <v>99</v>
      </c>
      <c r="B841" t="inlineStr">
        <is>
          <t>Chipper</t>
        </is>
      </c>
      <c r="C841" t="inlineStr">
        <is>
          <t>Town</t>
        </is>
      </c>
      <c r="D841" t="inlineStr">
        <is>
          <t>Loss</t>
        </is>
      </c>
      <c r="E841" t="n">
        <v>-35</v>
      </c>
      <c r="F841" t="n">
        <v>22.234246371866</v>
      </c>
      <c r="G841" t="n">
        <v>21.65737225553629</v>
      </c>
      <c r="H841" t="n">
        <v>6.959642836327332</v>
      </c>
      <c r="I841" t="n">
        <v>798</v>
      </c>
      <c r="J841" t="n">
        <v>763</v>
      </c>
      <c r="K841" t="n">
        <v>6.996433636134674</v>
      </c>
    </row>
    <row r="842">
      <c r="A842" t="n">
        <v>99</v>
      </c>
      <c r="B842" t="inlineStr">
        <is>
          <t>Gilbert</t>
        </is>
      </c>
      <c r="C842" t="inlineStr">
        <is>
          <t>Town</t>
        </is>
      </c>
      <c r="D842" t="inlineStr">
        <is>
          <t>Loss</t>
        </is>
      </c>
      <c r="E842" t="n">
        <v>-45</v>
      </c>
      <c r="F842" t="n">
        <v>25.91363929346396</v>
      </c>
      <c r="G842" t="n">
        <v>25.16191374168104</v>
      </c>
      <c r="H842" t="n">
        <v>7.931651472044172</v>
      </c>
      <c r="I842" t="n">
        <v>947</v>
      </c>
      <c r="J842" t="n">
        <v>902</v>
      </c>
      <c r="K842" t="n">
        <v>7.986861747544185</v>
      </c>
    </row>
    <row r="843">
      <c r="A843" t="n">
        <v>99</v>
      </c>
      <c r="B843" t="inlineStr">
        <is>
          <t>Plen</t>
        </is>
      </c>
      <c r="C843" t="inlineStr">
        <is>
          <t>Town</t>
        </is>
      </c>
      <c r="D843" t="inlineStr">
        <is>
          <t>Loss</t>
        </is>
      </c>
      <c r="E843" t="n">
        <v>-35</v>
      </c>
      <c r="F843" t="n">
        <v>22.51865537177084</v>
      </c>
      <c r="G843" t="n">
        <v>21.9520780918367</v>
      </c>
      <c r="H843" t="n">
        <v>6.897915767965537</v>
      </c>
      <c r="I843" t="n">
        <v>824</v>
      </c>
      <c r="J843" t="n">
        <v>789</v>
      </c>
      <c r="K843" t="n">
        <v>6.933698669855095</v>
      </c>
    </row>
    <row r="844">
      <c r="A844" t="n">
        <v>99</v>
      </c>
      <c r="B844" t="inlineStr">
        <is>
          <t>Relm</t>
        </is>
      </c>
      <c r="C844" t="inlineStr">
        <is>
          <t>Town</t>
        </is>
      </c>
      <c r="D844" t="inlineStr">
        <is>
          <t>Loss</t>
        </is>
      </c>
      <c r="E844" t="n">
        <v>-49</v>
      </c>
      <c r="F844" t="n">
        <v>25</v>
      </c>
      <c r="G844" t="n">
        <v>24.18165026900128</v>
      </c>
      <c r="H844" t="n">
        <v>8.270492101166747</v>
      </c>
      <c r="I844" t="n">
        <v>850</v>
      </c>
      <c r="J844" t="n">
        <v>801</v>
      </c>
      <c r="K844" t="n">
        <v>8.333333333333334</v>
      </c>
    </row>
    <row r="845">
      <c r="A845" t="n">
        <v>99</v>
      </c>
      <c r="B845" t="inlineStr">
        <is>
          <t>Badpants</t>
        </is>
      </c>
      <c r="C845" t="inlineStr">
        <is>
          <t>Town</t>
        </is>
      </c>
      <c r="D845" t="inlineStr">
        <is>
          <t>Loss</t>
        </is>
      </c>
      <c r="E845" t="n">
        <v>-35</v>
      </c>
      <c r="F845" t="n">
        <v>25.40034385490157</v>
      </c>
      <c r="G845" t="n">
        <v>24.83854777884753</v>
      </c>
      <c r="H845" t="n">
        <v>6.869056762998788</v>
      </c>
      <c r="I845" t="n">
        <v>1023</v>
      </c>
      <c r="J845" t="n">
        <v>988</v>
      </c>
      <c r="K845" t="n">
        <v>6.904374702179115</v>
      </c>
    </row>
    <row r="846">
      <c r="A846" t="n">
        <v>99</v>
      </c>
      <c r="B846" t="inlineStr">
        <is>
          <t>Lou</t>
        </is>
      </c>
      <c r="C846" t="inlineStr">
        <is>
          <t>Town</t>
        </is>
      </c>
      <c r="D846" t="inlineStr">
        <is>
          <t>Loss</t>
        </is>
      </c>
      <c r="E846" t="n">
        <v>-35</v>
      </c>
      <c r="F846" t="n">
        <v>29.48955183770742</v>
      </c>
      <c r="G846" t="n">
        <v>28.92253312564434</v>
      </c>
      <c r="H846" t="n">
        <v>6.900573872071011</v>
      </c>
      <c r="I846" t="n">
        <v>1298</v>
      </c>
      <c r="J846" t="n">
        <v>1263</v>
      </c>
      <c r="K846" t="n">
        <v>6.936399799895455</v>
      </c>
    </row>
    <row r="847">
      <c r="A847" t="n">
        <v>99</v>
      </c>
      <c r="B847" t="inlineStr">
        <is>
          <t>Whyin</t>
        </is>
      </c>
      <c r="C847" t="inlineStr">
        <is>
          <t>Town</t>
        </is>
      </c>
      <c r="D847" t="inlineStr">
        <is>
          <t>Loss</t>
        </is>
      </c>
      <c r="E847" t="n">
        <v>-38</v>
      </c>
      <c r="F847" t="n">
        <v>28.64076499626</v>
      </c>
      <c r="G847" t="n">
        <v>28.03376192103295</v>
      </c>
      <c r="H847" t="n">
        <v>7.137058770529862</v>
      </c>
      <c r="I847" t="n">
        <v>1216</v>
      </c>
      <c r="J847" t="n">
        <v>1178</v>
      </c>
      <c r="K847" t="n">
        <v>7.176849515421461</v>
      </c>
    </row>
    <row r="848">
      <c r="A848" t="n">
        <v>98</v>
      </c>
      <c r="B848" t="inlineStr">
        <is>
          <t>Machop</t>
        </is>
      </c>
      <c r="C848" t="inlineStr">
        <is>
          <t>Mafia</t>
        </is>
      </c>
      <c r="D848" t="inlineStr">
        <is>
          <t>Loss</t>
        </is>
      </c>
      <c r="E848" t="n">
        <v>-48</v>
      </c>
      <c r="F848" t="n">
        <v>23.83558073095003</v>
      </c>
      <c r="G848" t="n">
        <v>23.06486400162713</v>
      </c>
      <c r="H848" t="n">
        <v>6.699914414945305</v>
      </c>
      <c r="I848" t="n">
        <v>933</v>
      </c>
      <c r="J848" t="n">
        <v>885</v>
      </c>
      <c r="K848" t="n">
        <v>6.742021113692624</v>
      </c>
    </row>
    <row r="849">
      <c r="A849" t="n">
        <v>98</v>
      </c>
      <c r="B849" t="inlineStr">
        <is>
          <t>Kwix</t>
        </is>
      </c>
      <c r="C849" t="inlineStr">
        <is>
          <t>Mafia</t>
        </is>
      </c>
      <c r="D849" t="inlineStr">
        <is>
          <t>Loss</t>
        </is>
      </c>
      <c r="E849" t="n">
        <v>-55</v>
      </c>
      <c r="F849" t="n">
        <v>27.06741882962404</v>
      </c>
      <c r="G849" t="n">
        <v>26.18014796206608</v>
      </c>
      <c r="H849" t="n">
        <v>7.181715383112445</v>
      </c>
      <c r="I849" t="n">
        <v>1103</v>
      </c>
      <c r="J849" t="n">
        <v>1048</v>
      </c>
      <c r="K849" t="n">
        <v>7.233976635804527</v>
      </c>
    </row>
    <row r="850">
      <c r="A850" t="n">
        <v>98</v>
      </c>
      <c r="B850" t="inlineStr">
        <is>
          <t>Cj</t>
        </is>
      </c>
      <c r="C850" t="inlineStr">
        <is>
          <t>Mafia</t>
        </is>
      </c>
      <c r="D850" t="inlineStr">
        <is>
          <t>Loss</t>
        </is>
      </c>
      <c r="E850" t="n">
        <v>-68</v>
      </c>
      <c r="F850" t="n">
        <v>26.88960010601632</v>
      </c>
      <c r="G850" t="n">
        <v>25.79174592109255</v>
      </c>
      <c r="H850" t="n">
        <v>7.97458831153578</v>
      </c>
      <c r="I850" t="n">
        <v>1008</v>
      </c>
      <c r="J850" t="n">
        <v>940</v>
      </c>
      <c r="K850" t="n">
        <v>8.046912532929605</v>
      </c>
    </row>
    <row r="851">
      <c r="A851" t="n">
        <v>98</v>
      </c>
      <c r="B851" t="inlineStr">
        <is>
          <t>Kden</t>
        </is>
      </c>
      <c r="C851" t="inlineStr">
        <is>
          <t>Town</t>
        </is>
      </c>
      <c r="D851" t="inlineStr">
        <is>
          <t>Win</t>
        </is>
      </c>
      <c r="E851" t="n">
        <v>67</v>
      </c>
      <c r="F851" t="n">
        <v>30.0221255160835</v>
      </c>
      <c r="G851" t="n">
        <v>30.92299818826669</v>
      </c>
      <c r="H851" t="n">
        <v>7.235732612996722</v>
      </c>
      <c r="I851" t="n">
        <v>1298</v>
      </c>
      <c r="J851" t="n">
        <v>1365</v>
      </c>
      <c r="K851" t="n">
        <v>7.289224455775233</v>
      </c>
    </row>
    <row r="852">
      <c r="A852" t="n">
        <v>98</v>
      </c>
      <c r="B852" t="inlineStr">
        <is>
          <t>Smit</t>
        </is>
      </c>
      <c r="C852" t="inlineStr">
        <is>
          <t>Town</t>
        </is>
      </c>
      <c r="D852" t="inlineStr">
        <is>
          <t>Win</t>
        </is>
      </c>
      <c r="E852" t="n">
        <v>63</v>
      </c>
      <c r="F852" t="n">
        <v>25.67705914628214</v>
      </c>
      <c r="G852" t="n">
        <v>26.52617091711733</v>
      </c>
      <c r="H852" t="n">
        <v>7.02782095728347</v>
      </c>
      <c r="I852" t="n">
        <v>1024</v>
      </c>
      <c r="J852" t="n">
        <v>1087</v>
      </c>
      <c r="K852" t="n">
        <v>7.076679980143592</v>
      </c>
    </row>
    <row r="853">
      <c r="A853" t="n">
        <v>98</v>
      </c>
      <c r="B853" t="inlineStr">
        <is>
          <t>Rollo</t>
        </is>
      </c>
      <c r="C853" t="inlineStr">
        <is>
          <t>Town</t>
        </is>
      </c>
      <c r="D853" t="inlineStr">
        <is>
          <t>Win</t>
        </is>
      </c>
      <c r="E853" t="n">
        <v>66</v>
      </c>
      <c r="F853" t="n">
        <v>31.68576890491222</v>
      </c>
      <c r="G853" t="n">
        <v>32.58086800261923</v>
      </c>
      <c r="H853" t="n">
        <v>7.212856305473587</v>
      </c>
      <c r="I853" t="n">
        <v>1414</v>
      </c>
      <c r="J853" t="n">
        <v>1480</v>
      </c>
      <c r="K853" t="n">
        <v>7.265824660314411</v>
      </c>
    </row>
    <row r="854">
      <c r="A854" t="n">
        <v>98</v>
      </c>
      <c r="B854" t="inlineStr">
        <is>
          <t>Carson</t>
        </is>
      </c>
      <c r="C854" t="inlineStr">
        <is>
          <t>Town</t>
        </is>
      </c>
      <c r="D854" t="inlineStr">
        <is>
          <t>Win</t>
        </is>
      </c>
      <c r="E854" t="n">
        <v>62</v>
      </c>
      <c r="F854" t="n">
        <v>28.19284747774317</v>
      </c>
      <c r="G854" t="n">
        <v>29.04360272899273</v>
      </c>
      <c r="H854" t="n">
        <v>7.034522577292089</v>
      </c>
      <c r="I854" t="n">
        <v>1195</v>
      </c>
      <c r="J854" t="n">
        <v>1257</v>
      </c>
      <c r="K854" t="n">
        <v>7.083526595155375</v>
      </c>
    </row>
    <row r="855">
      <c r="A855" t="n">
        <v>98</v>
      </c>
      <c r="B855" t="inlineStr">
        <is>
          <t>Streety</t>
        </is>
      </c>
      <c r="C855" t="inlineStr">
        <is>
          <t>Town</t>
        </is>
      </c>
      <c r="D855" t="inlineStr">
        <is>
          <t>Win</t>
        </is>
      </c>
      <c r="E855" t="n">
        <v>72</v>
      </c>
      <c r="F855" t="n">
        <v>23.98366440050617</v>
      </c>
      <c r="G855" t="n">
        <v>24.95436736453593</v>
      </c>
      <c r="H855" t="n">
        <v>7.506557754892613</v>
      </c>
      <c r="I855" t="n">
        <v>859</v>
      </c>
      <c r="J855" t="n">
        <v>931</v>
      </c>
      <c r="K855" t="n">
        <v>7.566512171423279</v>
      </c>
    </row>
    <row r="856">
      <c r="A856" t="n">
        <v>98</v>
      </c>
      <c r="B856" t="inlineStr">
        <is>
          <t>Nick</t>
        </is>
      </c>
      <c r="C856" t="inlineStr">
        <is>
          <t>Town</t>
        </is>
      </c>
      <c r="D856" t="inlineStr">
        <is>
          <t>Win</t>
        </is>
      </c>
      <c r="E856" t="n">
        <v>81</v>
      </c>
      <c r="F856" t="n">
        <v>25.6655520066161</v>
      </c>
      <c r="G856" t="n">
        <v>26.74527722680848</v>
      </c>
      <c r="H856" t="n">
        <v>7.909671623544502</v>
      </c>
      <c r="I856" t="n">
        <v>931</v>
      </c>
      <c r="J856" t="n">
        <v>1012</v>
      </c>
      <c r="K856" t="n">
        <v>7.980185922616482</v>
      </c>
    </row>
    <row r="857">
      <c r="A857" t="n">
        <v>98</v>
      </c>
      <c r="B857" t="inlineStr">
        <is>
          <t>Laur</t>
        </is>
      </c>
      <c r="C857" t="inlineStr">
        <is>
          <t>Town</t>
        </is>
      </c>
      <c r="D857" t="inlineStr">
        <is>
          <t>Win</t>
        </is>
      </c>
      <c r="E857" t="n">
        <v>68</v>
      </c>
      <c r="F857" t="n">
        <v>33.19316571320711</v>
      </c>
      <c r="G857" t="n">
        <v>34.1050501845905</v>
      </c>
      <c r="H857" t="n">
        <v>7.279152409113664</v>
      </c>
      <c r="I857" t="n">
        <v>1509</v>
      </c>
      <c r="J857" t="n">
        <v>1577</v>
      </c>
      <c r="K857" t="n">
        <v>7.333647321935471</v>
      </c>
    </row>
    <row r="858">
      <c r="A858" t="n">
        <v>98</v>
      </c>
      <c r="B858" t="inlineStr">
        <is>
          <t>Motr</t>
        </is>
      </c>
      <c r="C858" t="inlineStr">
        <is>
          <t>Town</t>
        </is>
      </c>
      <c r="D858" t="inlineStr">
        <is>
          <t>Win</t>
        </is>
      </c>
      <c r="E858" t="n">
        <v>80</v>
      </c>
      <c r="F858" t="n">
        <v>27.51597074074207</v>
      </c>
      <c r="G858" t="n">
        <v>28.59377382688582</v>
      </c>
      <c r="H858" t="n">
        <v>7.90275516287378</v>
      </c>
      <c r="I858" t="n">
        <v>1058</v>
      </c>
      <c r="J858" t="n">
        <v>1138</v>
      </c>
      <c r="K858" t="n">
        <v>7.973078451986804</v>
      </c>
    </row>
    <row r="859">
      <c r="A859" t="n">
        <v>98</v>
      </c>
      <c r="B859" t="inlineStr">
        <is>
          <t>Plen</t>
        </is>
      </c>
      <c r="C859" t="inlineStr">
        <is>
          <t>Town</t>
        </is>
      </c>
      <c r="D859" t="inlineStr">
        <is>
          <t>Win</t>
        </is>
      </c>
      <c r="E859" t="n">
        <v>61</v>
      </c>
      <c r="F859" t="n">
        <v>21.69245079677487</v>
      </c>
      <c r="G859" t="n">
        <v>22.51865537177084</v>
      </c>
      <c r="H859" t="n">
        <v>6.933698669855095</v>
      </c>
      <c r="I859" t="n">
        <v>763</v>
      </c>
      <c r="J859" t="n">
        <v>824</v>
      </c>
      <c r="K859" t="n">
        <v>6.980551272537153</v>
      </c>
    </row>
    <row r="860">
      <c r="A860" t="n">
        <v>98</v>
      </c>
      <c r="B860" t="inlineStr">
        <is>
          <t>Noah</t>
        </is>
      </c>
      <c r="C860" t="inlineStr">
        <is>
          <t>Town</t>
        </is>
      </c>
      <c r="D860" t="inlineStr">
        <is>
          <t>Win</t>
        </is>
      </c>
      <c r="E860" t="n">
        <v>63</v>
      </c>
      <c r="F860" t="n">
        <v>28.69062122653515</v>
      </c>
      <c r="G860" t="n">
        <v>29.53200875008186</v>
      </c>
      <c r="H860" t="n">
        <v>6.996232794796077</v>
      </c>
      <c r="I860" t="n">
        <v>1232</v>
      </c>
      <c r="J860" t="n">
        <v>1295</v>
      </c>
      <c r="K860" t="n">
        <v>7.044412218170676</v>
      </c>
    </row>
    <row r="861">
      <c r="A861" t="n">
        <v>97</v>
      </c>
      <c r="B861" t="inlineStr">
        <is>
          <t>Machop</t>
        </is>
      </c>
      <c r="C861" t="inlineStr">
        <is>
          <t>Mafia</t>
        </is>
      </c>
      <c r="D861" t="inlineStr">
        <is>
          <t>Loss</t>
        </is>
      </c>
      <c r="E861" t="n">
        <v>-70</v>
      </c>
      <c r="F861" t="n">
        <v>24.9426300840714</v>
      </c>
      <c r="G861" t="n">
        <v>23.83558073095003</v>
      </c>
      <c r="H861" t="n">
        <v>6.742021113692624</v>
      </c>
      <c r="I861" t="n">
        <v>1003</v>
      </c>
      <c r="J861" t="n">
        <v>933</v>
      </c>
      <c r="K861" t="n">
        <v>6.79095370382068</v>
      </c>
    </row>
    <row r="862">
      <c r="A862" t="n">
        <v>97</v>
      </c>
      <c r="B862" t="inlineStr">
        <is>
          <t>Happymeal</t>
        </is>
      </c>
      <c r="C862" t="inlineStr">
        <is>
          <t>Mafia</t>
        </is>
      </c>
      <c r="D862" t="inlineStr">
        <is>
          <t>Loss</t>
        </is>
      </c>
      <c r="E862" t="n">
        <v>-87</v>
      </c>
      <c r="F862" t="n">
        <v>24.6781108283857</v>
      </c>
      <c r="G862" t="n">
        <v>23.29695944183563</v>
      </c>
      <c r="H862" t="n">
        <v>7.516760321401981</v>
      </c>
      <c r="I862" t="n">
        <v>904</v>
      </c>
      <c r="J862" t="n">
        <v>817</v>
      </c>
      <c r="K862" t="n">
        <v>7.585378648019939</v>
      </c>
    </row>
    <row r="863">
      <c r="A863" t="n">
        <v>97</v>
      </c>
      <c r="B863" t="inlineStr">
        <is>
          <t>Motr</t>
        </is>
      </c>
      <c r="C863" t="inlineStr">
        <is>
          <t>Mafia</t>
        </is>
      </c>
      <c r="D863" t="inlineStr">
        <is>
          <t>Loss</t>
        </is>
      </c>
      <c r="E863" t="n">
        <v>-97</v>
      </c>
      <c r="F863" t="n">
        <v>29.07358779292562</v>
      </c>
      <c r="G863" t="n">
        <v>27.51597074074207</v>
      </c>
      <c r="H863" t="n">
        <v>7.973078451986804</v>
      </c>
      <c r="I863" t="n">
        <v>1155</v>
      </c>
      <c r="J863" t="n">
        <v>1058</v>
      </c>
      <c r="K863" t="n">
        <v>8.05547668588118</v>
      </c>
    </row>
    <row r="864">
      <c r="A864" t="n">
        <v>97</v>
      </c>
      <c r="B864" t="inlineStr">
        <is>
          <t>Cj</t>
        </is>
      </c>
      <c r="C864" t="inlineStr">
        <is>
          <t>Town</t>
        </is>
      </c>
      <c r="D864" t="inlineStr">
        <is>
          <t>Win</t>
        </is>
      </c>
      <c r="E864" t="n">
        <v>117</v>
      </c>
      <c r="F864" t="n">
        <v>25.30236939832314</v>
      </c>
      <c r="G864" t="n">
        <v>26.88960010601632</v>
      </c>
      <c r="H864" t="n">
        <v>8.046912532929605</v>
      </c>
      <c r="I864" t="n">
        <v>891</v>
      </c>
      <c r="J864" t="n">
        <v>1008</v>
      </c>
      <c r="K864" t="n">
        <v>8.131703809046323</v>
      </c>
    </row>
    <row r="865">
      <c r="A865" t="n">
        <v>97</v>
      </c>
      <c r="B865" t="inlineStr">
        <is>
          <t>Smit</t>
        </is>
      </c>
      <c r="C865" t="inlineStr">
        <is>
          <t>Town</t>
        </is>
      </c>
      <c r="D865" t="inlineStr">
        <is>
          <t>Win</t>
        </is>
      </c>
      <c r="E865" t="n">
        <v>89</v>
      </c>
      <c r="F865" t="n">
        <v>24.4555108296532</v>
      </c>
      <c r="G865" t="n">
        <v>25.67705914628214</v>
      </c>
      <c r="H865" t="n">
        <v>7.076679980143592</v>
      </c>
      <c r="I865" t="n">
        <v>935</v>
      </c>
      <c r="J865" t="n">
        <v>1024</v>
      </c>
      <c r="K865" t="n">
        <v>7.133571470310093</v>
      </c>
    </row>
    <row r="866">
      <c r="A866" t="n">
        <v>97</v>
      </c>
      <c r="B866" t="inlineStr">
        <is>
          <t>Kden</t>
        </is>
      </c>
      <c r="C866" t="inlineStr">
        <is>
          <t>Town</t>
        </is>
      </c>
      <c r="D866" t="inlineStr">
        <is>
          <t>Win</t>
        </is>
      </c>
      <c r="E866" t="n">
        <v>95</v>
      </c>
      <c r="F866" t="n">
        <v>28.72478255158434</v>
      </c>
      <c r="G866" t="n">
        <v>30.0221255160835</v>
      </c>
      <c r="H866" t="n">
        <v>7.289224455775233</v>
      </c>
      <c r="I866" t="n">
        <v>1203</v>
      </c>
      <c r="J866" t="n">
        <v>1298</v>
      </c>
      <c r="K866" t="n">
        <v>7.351595198612863</v>
      </c>
    </row>
    <row r="867">
      <c r="A867" t="n">
        <v>97</v>
      </c>
      <c r="B867" t="inlineStr">
        <is>
          <t>Chester</t>
        </is>
      </c>
      <c r="C867" t="inlineStr">
        <is>
          <t>Town</t>
        </is>
      </c>
      <c r="D867" t="inlineStr">
        <is>
          <t>Win</t>
        </is>
      </c>
      <c r="E867" t="n">
        <v>113</v>
      </c>
      <c r="F867" t="n">
        <v>27.29285505086434</v>
      </c>
      <c r="G867" t="n">
        <v>28.82952817146678</v>
      </c>
      <c r="H867" t="n">
        <v>7.920407936576348</v>
      </c>
      <c r="I867" t="n">
        <v>1040</v>
      </c>
      <c r="J867" t="n">
        <v>1153</v>
      </c>
      <c r="K867" t="n">
        <v>8.001127476789497</v>
      </c>
    </row>
    <row r="868">
      <c r="A868" t="n">
        <v>97</v>
      </c>
      <c r="B868" t="inlineStr">
        <is>
          <t>Lou</t>
        </is>
      </c>
      <c r="C868" t="inlineStr">
        <is>
          <t>Town</t>
        </is>
      </c>
      <c r="D868" t="inlineStr">
        <is>
          <t>Win</t>
        </is>
      </c>
      <c r="E868" t="n">
        <v>85</v>
      </c>
      <c r="F868" t="n">
        <v>28.31671710280012</v>
      </c>
      <c r="G868" t="n">
        <v>29.48955183770742</v>
      </c>
      <c r="H868" t="n">
        <v>6.936399799895455</v>
      </c>
      <c r="I868" t="n">
        <v>1213</v>
      </c>
      <c r="J868" t="n">
        <v>1298</v>
      </c>
      <c r="K868" t="n">
        <v>6.989857619000255</v>
      </c>
    </row>
    <row r="869">
      <c r="A869" t="n">
        <v>97</v>
      </c>
      <c r="B869" t="inlineStr">
        <is>
          <t>Badpants</t>
        </is>
      </c>
      <c r="C869" t="inlineStr">
        <is>
          <t>Town</t>
        </is>
      </c>
      <c r="D869" t="inlineStr">
        <is>
          <t>Win</t>
        </is>
      </c>
      <c r="E869" t="n">
        <v>84</v>
      </c>
      <c r="F869" t="n">
        <v>24.23848448089041</v>
      </c>
      <c r="G869" t="n">
        <v>25.40034385490157</v>
      </c>
      <c r="H869" t="n">
        <v>6.904374702179115</v>
      </c>
      <c r="I869" t="n">
        <v>939</v>
      </c>
      <c r="J869" t="n">
        <v>1023</v>
      </c>
      <c r="K869" t="n">
        <v>6.957068554445729</v>
      </c>
    </row>
    <row r="870">
      <c r="A870" t="n">
        <v>97</v>
      </c>
      <c r="B870" t="inlineStr">
        <is>
          <t>Chipper</t>
        </is>
      </c>
      <c r="C870" t="inlineStr">
        <is>
          <t>Town</t>
        </is>
      </c>
      <c r="D870" t="inlineStr">
        <is>
          <t>Win</t>
        </is>
      </c>
      <c r="E870" t="n">
        <v>86</v>
      </c>
      <c r="F870" t="n">
        <v>21.04069160215816</v>
      </c>
      <c r="G870" t="n">
        <v>22.234246371866</v>
      </c>
      <c r="H870" t="n">
        <v>6.996433636134674</v>
      </c>
      <c r="I870" t="n">
        <v>712</v>
      </c>
      <c r="J870" t="n">
        <v>798</v>
      </c>
      <c r="K870" t="n">
        <v>7.051343435059364</v>
      </c>
    </row>
    <row r="871">
      <c r="A871" t="n">
        <v>97</v>
      </c>
      <c r="B871" t="inlineStr">
        <is>
          <t>Kwix</t>
        </is>
      </c>
      <c r="C871" t="inlineStr">
        <is>
          <t>Town</t>
        </is>
      </c>
      <c r="D871" t="inlineStr">
        <is>
          <t>Win</t>
        </is>
      </c>
      <c r="E871" t="n">
        <v>93</v>
      </c>
      <c r="F871" t="n">
        <v>25.79000845261007</v>
      </c>
      <c r="G871" t="n">
        <v>27.06741882962404</v>
      </c>
      <c r="H871" t="n">
        <v>7.233976635804527</v>
      </c>
      <c r="I871" t="n">
        <v>1010</v>
      </c>
      <c r="J871" t="n">
        <v>1103</v>
      </c>
      <c r="K871" t="n">
        <v>7.294890510545505</v>
      </c>
    </row>
    <row r="872">
      <c r="A872" t="n">
        <v>97</v>
      </c>
      <c r="B872" t="inlineStr">
        <is>
          <t>Svaan</t>
        </is>
      </c>
      <c r="C872" t="inlineStr">
        <is>
          <t>Town</t>
        </is>
      </c>
      <c r="D872" t="inlineStr">
        <is>
          <t>Win</t>
        </is>
      </c>
      <c r="E872" t="n">
        <v>106</v>
      </c>
      <c r="F872" t="n">
        <v>25.91456325409843</v>
      </c>
      <c r="G872" t="n">
        <v>27.35374204901113</v>
      </c>
      <c r="H872" t="n">
        <v>7.670054149673752</v>
      </c>
      <c r="I872" t="n">
        <v>972</v>
      </c>
      <c r="J872" t="n">
        <v>1078</v>
      </c>
      <c r="K872" t="n">
        <v>7.743111628854392</v>
      </c>
    </row>
    <row r="873">
      <c r="A873" t="n">
        <v>97</v>
      </c>
      <c r="B873" t="inlineStr">
        <is>
          <t>Iln</t>
        </is>
      </c>
      <c r="C873" t="inlineStr">
        <is>
          <t>Town</t>
        </is>
      </c>
      <c r="D873" t="inlineStr">
        <is>
          <t>Win</t>
        </is>
      </c>
      <c r="E873" t="n">
        <v>88</v>
      </c>
      <c r="F873" t="n">
        <v>23.99889734837297</v>
      </c>
      <c r="G873" t="n">
        <v>25.21526604888017</v>
      </c>
      <c r="H873" t="n">
        <v>7.061905425273155</v>
      </c>
      <c r="I873" t="n">
        <v>906</v>
      </c>
      <c r="J873" t="n">
        <v>994</v>
      </c>
      <c r="K873" t="n">
        <v>7.118428520617409</v>
      </c>
    </row>
    <row r="874">
      <c r="A874" t="n">
        <v>96</v>
      </c>
      <c r="B874" t="inlineStr">
        <is>
          <t>Chipper</t>
        </is>
      </c>
      <c r="C874" t="inlineStr">
        <is>
          <t>Mafia</t>
        </is>
      </c>
      <c r="D874" t="inlineStr">
        <is>
          <t>Loss</t>
        </is>
      </c>
      <c r="E874" t="n">
        <v>-40</v>
      </c>
      <c r="F874" t="n">
        <v>21.7041425316887</v>
      </c>
      <c r="G874" t="n">
        <v>21.04069160215816</v>
      </c>
      <c r="H874" t="n">
        <v>7.051343435059364</v>
      </c>
      <c r="I874" t="n">
        <v>752</v>
      </c>
      <c r="J874" t="n">
        <v>712</v>
      </c>
      <c r="K874" t="n">
        <v>7.094903446713813</v>
      </c>
    </row>
    <row r="875">
      <c r="A875" t="n">
        <v>96</v>
      </c>
      <c r="B875" t="inlineStr">
        <is>
          <t>Pie</t>
        </is>
      </c>
      <c r="C875" t="inlineStr">
        <is>
          <t>Mafia</t>
        </is>
      </c>
      <c r="D875" t="inlineStr">
        <is>
          <t>Loss</t>
        </is>
      </c>
      <c r="E875" t="n">
        <v>-55</v>
      </c>
      <c r="F875" t="n">
        <v>25</v>
      </c>
      <c r="G875" t="n">
        <v>24.08477136022389</v>
      </c>
      <c r="H875" t="n">
        <v>8.26212792414416</v>
      </c>
      <c r="I875" t="n">
        <v>850</v>
      </c>
      <c r="J875" t="n">
        <v>795</v>
      </c>
      <c r="K875" t="n">
        <v>8.333333333333334</v>
      </c>
    </row>
    <row r="876">
      <c r="A876" t="n">
        <v>96</v>
      </c>
      <c r="B876" t="inlineStr">
        <is>
          <t>Brownkow</t>
        </is>
      </c>
      <c r="C876" t="inlineStr">
        <is>
          <t>Mafia</t>
        </is>
      </c>
      <c r="D876" t="inlineStr">
        <is>
          <t>Loss</t>
        </is>
      </c>
      <c r="E876" t="n">
        <v>-36</v>
      </c>
      <c r="F876" t="n">
        <v>31.85105884903562</v>
      </c>
      <c r="G876" t="n">
        <v>31.27721951398683</v>
      </c>
      <c r="H876" t="n">
        <v>6.563442707023606</v>
      </c>
      <c r="I876" t="n">
        <v>1493</v>
      </c>
      <c r="J876" t="n">
        <v>1457</v>
      </c>
      <c r="K876" t="n">
        <v>6.59827644180233</v>
      </c>
    </row>
    <row r="877">
      <c r="A877" t="n">
        <v>96</v>
      </c>
      <c r="B877" t="inlineStr">
        <is>
          <t>Whyin</t>
        </is>
      </c>
      <c r="C877" t="inlineStr">
        <is>
          <t>Town</t>
        </is>
      </c>
      <c r="D877" t="inlineStr">
        <is>
          <t>Win</t>
        </is>
      </c>
      <c r="E877" t="n">
        <v>52</v>
      </c>
      <c r="F877" t="n">
        <v>27.95317137920417</v>
      </c>
      <c r="G877" t="n">
        <v>28.64076499626</v>
      </c>
      <c r="H877" t="n">
        <v>7.176849515421461</v>
      </c>
      <c r="I877" t="n">
        <v>1164</v>
      </c>
      <c r="J877" t="n">
        <v>1216</v>
      </c>
      <c r="K877" t="n">
        <v>7.22286535501371</v>
      </c>
    </row>
    <row r="878">
      <c r="A878" t="n">
        <v>96</v>
      </c>
      <c r="B878" t="inlineStr">
        <is>
          <t>Rollo</t>
        </is>
      </c>
      <c r="C878" t="inlineStr">
        <is>
          <t>Town</t>
        </is>
      </c>
      <c r="D878" t="inlineStr">
        <is>
          <t>Win</t>
        </is>
      </c>
      <c r="E878" t="n">
        <v>53</v>
      </c>
      <c r="F878" t="n">
        <v>30.98078789485221</v>
      </c>
      <c r="G878" t="n">
        <v>31.68576890491222</v>
      </c>
      <c r="H878" t="n">
        <v>7.265824660314411</v>
      </c>
      <c r="I878" t="n">
        <v>1361</v>
      </c>
      <c r="J878" t="n">
        <v>1414</v>
      </c>
      <c r="K878" t="n">
        <v>7.313635916083189</v>
      </c>
    </row>
    <row r="879">
      <c r="A879" t="n">
        <v>96</v>
      </c>
      <c r="B879" t="inlineStr">
        <is>
          <t>Chester</t>
        </is>
      </c>
      <c r="C879" t="inlineStr">
        <is>
          <t>Town</t>
        </is>
      </c>
      <c r="D879" t="inlineStr">
        <is>
          <t>Win</t>
        </is>
      </c>
      <c r="E879" t="n">
        <v>65</v>
      </c>
      <c r="F879" t="n">
        <v>26.43548336595844</v>
      </c>
      <c r="G879" t="n">
        <v>27.29285505086434</v>
      </c>
      <c r="H879" t="n">
        <v>8.001127476789497</v>
      </c>
      <c r="I879" t="n">
        <v>975</v>
      </c>
      <c r="J879" t="n">
        <v>1040</v>
      </c>
      <c r="K879" t="n">
        <v>8.065595007145765</v>
      </c>
    </row>
    <row r="880">
      <c r="A880" t="n">
        <v>96</v>
      </c>
      <c r="B880" t="inlineStr">
        <is>
          <t>Rocker</t>
        </is>
      </c>
      <c r="C880" t="inlineStr">
        <is>
          <t>Town</t>
        </is>
      </c>
      <c r="D880" t="inlineStr">
        <is>
          <t>Win</t>
        </is>
      </c>
      <c r="E880" t="n">
        <v>43</v>
      </c>
      <c r="F880" t="n">
        <v>34.0600354356387</v>
      </c>
      <c r="G880" t="n">
        <v>34.6399243213212</v>
      </c>
      <c r="H880" t="n">
        <v>6.597570469430813</v>
      </c>
      <c r="I880" t="n">
        <v>1640</v>
      </c>
      <c r="J880" t="n">
        <v>1683</v>
      </c>
      <c r="K880" t="n">
        <v>6.632973502235033</v>
      </c>
    </row>
    <row r="881">
      <c r="A881" t="n">
        <v>96</v>
      </c>
      <c r="B881" t="inlineStr">
        <is>
          <t>Laur</t>
        </is>
      </c>
      <c r="C881" t="inlineStr">
        <is>
          <t>Town</t>
        </is>
      </c>
      <c r="D881" t="inlineStr">
        <is>
          <t>Win</t>
        </is>
      </c>
      <c r="E881" t="n">
        <v>54</v>
      </c>
      <c r="F881" t="n">
        <v>32.47477906055366</v>
      </c>
      <c r="G881" t="n">
        <v>33.19316571320711</v>
      </c>
      <c r="H881" t="n">
        <v>7.333647321935471</v>
      </c>
      <c r="I881" t="n">
        <v>1455</v>
      </c>
      <c r="J881" t="n">
        <v>1509</v>
      </c>
      <c r="K881" t="n">
        <v>7.382857947301622</v>
      </c>
    </row>
    <row r="882">
      <c r="A882" t="n">
        <v>96</v>
      </c>
      <c r="B882" t="inlineStr">
        <is>
          <t>Mintt</t>
        </is>
      </c>
      <c r="C882" t="inlineStr">
        <is>
          <t>Town</t>
        </is>
      </c>
      <c r="D882" t="inlineStr">
        <is>
          <t>Win</t>
        </is>
      </c>
      <c r="E882" t="n">
        <v>53</v>
      </c>
      <c r="F882" t="n">
        <v>26.03025197130707</v>
      </c>
      <c r="G882" t="n">
        <v>26.73376233747345</v>
      </c>
      <c r="H882" t="n">
        <v>7.258343567954257</v>
      </c>
      <c r="I882" t="n">
        <v>1025</v>
      </c>
      <c r="J882" t="n">
        <v>1078</v>
      </c>
      <c r="K882" t="n">
        <v>7.306002106122168</v>
      </c>
    </row>
    <row r="883">
      <c r="A883" t="n">
        <v>96</v>
      </c>
      <c r="B883" t="inlineStr">
        <is>
          <t>Creatchee</t>
        </is>
      </c>
      <c r="C883" t="inlineStr">
        <is>
          <t>Town</t>
        </is>
      </c>
      <c r="D883" t="inlineStr">
        <is>
          <t>Win</t>
        </is>
      </c>
      <c r="E883" t="n">
        <v>49</v>
      </c>
      <c r="F883" t="n">
        <v>36.53186586088572</v>
      </c>
      <c r="G883" t="n">
        <v>37.18694326471266</v>
      </c>
      <c r="H883" t="n">
        <v>7.007260897972672</v>
      </c>
      <c r="I883" t="n">
        <v>1765</v>
      </c>
      <c r="J883" t="n">
        <v>1814</v>
      </c>
      <c r="K883" t="n">
        <v>7.049979340561241</v>
      </c>
    </row>
    <row r="884">
      <c r="A884" t="n">
        <v>96</v>
      </c>
      <c r="B884" t="inlineStr">
        <is>
          <t>Streety</t>
        </is>
      </c>
      <c r="C884" t="inlineStr">
        <is>
          <t>Town</t>
        </is>
      </c>
      <c r="D884" t="inlineStr">
        <is>
          <t>Win</t>
        </is>
      </c>
      <c r="E884" t="n">
        <v>57</v>
      </c>
      <c r="F884" t="n">
        <v>23.21824759942904</v>
      </c>
      <c r="G884" t="n">
        <v>23.98366440050617</v>
      </c>
      <c r="H884" t="n">
        <v>7.566512171423279</v>
      </c>
      <c r="I884" t="n">
        <v>802</v>
      </c>
      <c r="J884" t="n">
        <v>859</v>
      </c>
      <c r="K884" t="n">
        <v>7.620734443197782</v>
      </c>
    </row>
    <row r="885">
      <c r="A885" t="n">
        <v>96</v>
      </c>
      <c r="B885" t="inlineStr">
        <is>
          <t>Maz</t>
        </is>
      </c>
      <c r="C885" t="inlineStr">
        <is>
          <t>Town</t>
        </is>
      </c>
      <c r="D885" t="inlineStr">
        <is>
          <t>Win</t>
        </is>
      </c>
      <c r="E885" t="n">
        <v>67</v>
      </c>
      <c r="F885" t="n">
        <v>25.08880561626226</v>
      </c>
      <c r="G885" t="n">
        <v>25.97144024226325</v>
      </c>
      <c r="H885" t="n">
        <v>8.11619653043174</v>
      </c>
      <c r="I885" t="n">
        <v>871</v>
      </c>
      <c r="J885" t="n">
        <v>938</v>
      </c>
      <c r="K885" t="n">
        <v>8.183578992014185</v>
      </c>
    </row>
    <row r="886">
      <c r="A886" t="n">
        <v>96</v>
      </c>
      <c r="B886" t="inlineStr">
        <is>
          <t>Motr</t>
        </is>
      </c>
      <c r="C886" t="inlineStr">
        <is>
          <t>Town</t>
        </is>
      </c>
      <c r="D886" t="inlineStr">
        <is>
          <t>Win</t>
        </is>
      </c>
      <c r="E886" t="n">
        <v>65</v>
      </c>
      <c r="F886" t="n">
        <v>28.2043319949359</v>
      </c>
      <c r="G886" t="n">
        <v>29.07358779292562</v>
      </c>
      <c r="H886" t="n">
        <v>8.05547668588118</v>
      </c>
      <c r="I886" t="n">
        <v>1090</v>
      </c>
      <c r="J886" t="n">
        <v>1155</v>
      </c>
      <c r="K886" t="n">
        <v>8.121310168564975</v>
      </c>
    </row>
    <row r="887">
      <c r="A887" t="n">
        <v>95</v>
      </c>
      <c r="B887" t="inlineStr">
        <is>
          <t>Doublea</t>
        </is>
      </c>
      <c r="C887" t="inlineStr">
        <is>
          <t>Mafia</t>
        </is>
      </c>
      <c r="D887" t="inlineStr">
        <is>
          <t>Loss</t>
        </is>
      </c>
      <c r="E887" t="n">
        <v>-71</v>
      </c>
      <c r="F887" t="n">
        <v>24.93395414922834</v>
      </c>
      <c r="G887" t="n">
        <v>23.80117025885334</v>
      </c>
      <c r="H887" t="n">
        <v>7.464844662004329</v>
      </c>
      <c r="I887" t="n">
        <v>928</v>
      </c>
      <c r="J887" t="n">
        <v>857</v>
      </c>
      <c r="K887" t="n">
        <v>7.527622206670544</v>
      </c>
    </row>
    <row r="888">
      <c r="A888" t="n">
        <v>95</v>
      </c>
      <c r="B888" t="inlineStr">
        <is>
          <t>Machop</t>
        </is>
      </c>
      <c r="C888" t="inlineStr">
        <is>
          <t>Mafia</t>
        </is>
      </c>
      <c r="D888" t="inlineStr">
        <is>
          <t>Loss</t>
        </is>
      </c>
      <c r="E888" t="n">
        <v>-59</v>
      </c>
      <c r="F888" t="n">
        <v>25.87733100554142</v>
      </c>
      <c r="G888" t="n">
        <v>24.9426300840714</v>
      </c>
      <c r="H888" t="n">
        <v>6.79095370382068</v>
      </c>
      <c r="I888" t="n">
        <v>1062</v>
      </c>
      <c r="J888" t="n">
        <v>1003</v>
      </c>
      <c r="K888" t="n">
        <v>6.837738643312658</v>
      </c>
    </row>
    <row r="889">
      <c r="A889" t="n">
        <v>95</v>
      </c>
      <c r="B889" t="inlineStr">
        <is>
          <t>Josh</t>
        </is>
      </c>
      <c r="C889" t="inlineStr">
        <is>
          <t>Mafia</t>
        </is>
      </c>
      <c r="D889" t="inlineStr">
        <is>
          <t>Loss</t>
        </is>
      </c>
      <c r="E889" t="n">
        <v>-72</v>
      </c>
      <c r="F889" t="n">
        <v>30.73071233037216</v>
      </c>
      <c r="G889" t="n">
        <v>29.57178308843688</v>
      </c>
      <c r="H889" t="n">
        <v>7.549012333156345</v>
      </c>
      <c r="I889" t="n">
        <v>1313</v>
      </c>
      <c r="J889" t="n">
        <v>1241</v>
      </c>
      <c r="K889" t="n">
        <v>7.614012890369909</v>
      </c>
    </row>
    <row r="890">
      <c r="A890" t="n">
        <v>95</v>
      </c>
      <c r="B890" t="inlineStr">
        <is>
          <t>Brownkow</t>
        </is>
      </c>
      <c r="C890" t="inlineStr">
        <is>
          <t>Town</t>
        </is>
      </c>
      <c r="D890" t="inlineStr">
        <is>
          <t>Win</t>
        </is>
      </c>
      <c r="E890" t="n">
        <v>64</v>
      </c>
      <c r="F890" t="n">
        <v>30.96934728585735</v>
      </c>
      <c r="G890" t="n">
        <v>31.85105884903562</v>
      </c>
      <c r="H890" t="n">
        <v>6.59827644180233</v>
      </c>
      <c r="I890" t="n">
        <v>1429</v>
      </c>
      <c r="J890" t="n">
        <v>1493</v>
      </c>
      <c r="K890" t="n">
        <v>6.641048293480542</v>
      </c>
    </row>
    <row r="891">
      <c r="A891" t="n">
        <v>95</v>
      </c>
      <c r="B891" t="inlineStr">
        <is>
          <t>Creatchee</t>
        </is>
      </c>
      <c r="C891" t="inlineStr">
        <is>
          <t>Town</t>
        </is>
      </c>
      <c r="D891" t="inlineStr">
        <is>
          <t>Win</t>
        </is>
      </c>
      <c r="E891" t="n">
        <v>74</v>
      </c>
      <c r="F891" t="n">
        <v>35.5233830488559</v>
      </c>
      <c r="G891" t="n">
        <v>36.53186586088572</v>
      </c>
      <c r="H891" t="n">
        <v>7.049979340561241</v>
      </c>
      <c r="I891" t="n">
        <v>1691</v>
      </c>
      <c r="J891" t="n">
        <v>1765</v>
      </c>
      <c r="K891" t="n">
        <v>7.102541986348032</v>
      </c>
    </row>
    <row r="892">
      <c r="A892" t="n">
        <v>95</v>
      </c>
      <c r="B892" t="inlineStr">
        <is>
          <t>Heckmuffins</t>
        </is>
      </c>
      <c r="C892" t="inlineStr">
        <is>
          <t>Town</t>
        </is>
      </c>
      <c r="D892" t="inlineStr">
        <is>
          <t>Win</t>
        </is>
      </c>
      <c r="E892" t="n">
        <v>98</v>
      </c>
      <c r="F892" t="n">
        <v>26.54478692128634</v>
      </c>
      <c r="G892" t="n">
        <v>27.87631795073232</v>
      </c>
      <c r="H892" t="n">
        <v>8.081120494326459</v>
      </c>
      <c r="I892" t="n">
        <v>973</v>
      </c>
      <c r="J892" t="n">
        <v>1071</v>
      </c>
      <c r="K892" t="n">
        <v>8.161418502715023</v>
      </c>
    </row>
    <row r="893">
      <c r="A893" t="n">
        <v>95</v>
      </c>
      <c r="B893" t="inlineStr">
        <is>
          <t>Rocker</t>
        </is>
      </c>
      <c r="C893" t="inlineStr">
        <is>
          <t>Town</t>
        </is>
      </c>
      <c r="D893" t="inlineStr">
        <is>
          <t>Win</t>
        </is>
      </c>
      <c r="E893" t="n">
        <v>66</v>
      </c>
      <c r="F893" t="n">
        <v>33.16890046082148</v>
      </c>
      <c r="G893" t="n">
        <v>34.0600354356387</v>
      </c>
      <c r="H893" t="n">
        <v>6.632973502235033</v>
      </c>
      <c r="I893" t="n">
        <v>1574</v>
      </c>
      <c r="J893" t="n">
        <v>1640</v>
      </c>
      <c r="K893" t="n">
        <v>6.67645052977513</v>
      </c>
    </row>
    <row r="894">
      <c r="A894" t="n">
        <v>95</v>
      </c>
      <c r="B894" t="inlineStr">
        <is>
          <t>Kwix</t>
        </is>
      </c>
      <c r="C894" t="inlineStr">
        <is>
          <t>Town</t>
        </is>
      </c>
      <c r="D894" t="inlineStr">
        <is>
          <t>Win</t>
        </is>
      </c>
      <c r="E894" t="n">
        <v>80</v>
      </c>
      <c r="F894" t="n">
        <v>24.70906255014665</v>
      </c>
      <c r="G894" t="n">
        <v>25.79000845261007</v>
      </c>
      <c r="H894" t="n">
        <v>7.294890510545505</v>
      </c>
      <c r="I894" t="n">
        <v>930</v>
      </c>
      <c r="J894" t="n">
        <v>1010</v>
      </c>
      <c r="K894" t="n">
        <v>7.353336234532682</v>
      </c>
    </row>
    <row r="895">
      <c r="A895" t="n">
        <v>95</v>
      </c>
      <c r="B895" t="inlineStr">
        <is>
          <t>Xcync</t>
        </is>
      </c>
      <c r="C895" t="inlineStr">
        <is>
          <t>Town</t>
        </is>
      </c>
      <c r="D895" t="inlineStr">
        <is>
          <t>Win</t>
        </is>
      </c>
      <c r="E895" t="n">
        <v>88</v>
      </c>
      <c r="F895" t="n">
        <v>28.58001468019463</v>
      </c>
      <c r="G895" t="n">
        <v>29.77351089578043</v>
      </c>
      <c r="H895" t="n">
        <v>7.658769782725797</v>
      </c>
      <c r="I895" t="n">
        <v>1155</v>
      </c>
      <c r="J895" t="n">
        <v>1243</v>
      </c>
      <c r="K895" t="n">
        <v>7.726748120386885</v>
      </c>
    </row>
    <row r="896">
      <c r="A896" t="n">
        <v>95</v>
      </c>
      <c r="B896" t="inlineStr">
        <is>
          <t>Svaan</t>
        </is>
      </c>
      <c r="C896" t="inlineStr">
        <is>
          <t>Town</t>
        </is>
      </c>
      <c r="D896" t="inlineStr">
        <is>
          <t>Win</t>
        </is>
      </c>
      <c r="E896" t="n">
        <v>90</v>
      </c>
      <c r="F896" t="n">
        <v>24.69414000495577</v>
      </c>
      <c r="G896" t="n">
        <v>25.91456325409843</v>
      </c>
      <c r="H896" t="n">
        <v>7.743111628854392</v>
      </c>
      <c r="I896" t="n">
        <v>882</v>
      </c>
      <c r="J896" t="n">
        <v>972</v>
      </c>
      <c r="K896" t="n">
        <v>7.813439805751943</v>
      </c>
    </row>
    <row r="897">
      <c r="A897" t="n">
        <v>95</v>
      </c>
      <c r="B897" t="inlineStr">
        <is>
          <t>Gilbert</t>
        </is>
      </c>
      <c r="C897" t="inlineStr">
        <is>
          <t>Town</t>
        </is>
      </c>
      <c r="D897" t="inlineStr">
        <is>
          <t>Win</t>
        </is>
      </c>
      <c r="E897" t="n">
        <v>96</v>
      </c>
      <c r="F897" t="n">
        <v>24.61360818239095</v>
      </c>
      <c r="G897" t="n">
        <v>25.91363929346396</v>
      </c>
      <c r="H897" t="n">
        <v>7.986861747544185</v>
      </c>
      <c r="I897" t="n">
        <v>851</v>
      </c>
      <c r="J897" t="n">
        <v>947</v>
      </c>
      <c r="K897" t="n">
        <v>8.064289040207303</v>
      </c>
    </row>
    <row r="898">
      <c r="A898" t="n">
        <v>95</v>
      </c>
      <c r="B898" t="inlineStr">
        <is>
          <t>Badpants</t>
        </is>
      </c>
      <c r="C898" t="inlineStr">
        <is>
          <t>Town</t>
        </is>
      </c>
      <c r="D898" t="inlineStr">
        <is>
          <t>Win</t>
        </is>
      </c>
      <c r="E898" t="n">
        <v>72</v>
      </c>
      <c r="F898" t="n">
        <v>23.25680358063995</v>
      </c>
      <c r="G898" t="n">
        <v>24.23848448089041</v>
      </c>
      <c r="H898" t="n">
        <v>6.957068554445729</v>
      </c>
      <c r="I898" t="n">
        <v>867</v>
      </c>
      <c r="J898" t="n">
        <v>939</v>
      </c>
      <c r="K898" t="n">
        <v>7.007507234389162</v>
      </c>
    </row>
    <row r="899">
      <c r="A899" t="n">
        <v>95</v>
      </c>
      <c r="B899" t="inlineStr">
        <is>
          <t>Pinkee</t>
        </is>
      </c>
      <c r="C899" t="inlineStr">
        <is>
          <t>Town</t>
        </is>
      </c>
      <c r="D899" t="inlineStr">
        <is>
          <t>Win</t>
        </is>
      </c>
      <c r="E899" t="n">
        <v>99</v>
      </c>
      <c r="F899" t="n">
        <v>25.44146101989384</v>
      </c>
      <c r="G899" t="n">
        <v>26.78219799670184</v>
      </c>
      <c r="H899" t="n">
        <v>8.108443864658931</v>
      </c>
      <c r="I899" t="n">
        <v>895</v>
      </c>
      <c r="J899" t="n">
        <v>994</v>
      </c>
      <c r="K899" t="n">
        <v>8.189587358998219</v>
      </c>
    </row>
    <row r="900">
      <c r="A900" t="n">
        <v>94</v>
      </c>
      <c r="B900" t="inlineStr">
        <is>
          <t>Josh</t>
        </is>
      </c>
      <c r="C900" t="inlineStr">
        <is>
          <t>Mafia</t>
        </is>
      </c>
      <c r="D900" t="inlineStr">
        <is>
          <t>Win</t>
        </is>
      </c>
      <c r="E900" t="n">
        <v>36</v>
      </c>
      <c r="F900" t="n">
        <v>30.26159018831058</v>
      </c>
      <c r="G900" t="n">
        <v>30.73071233037216</v>
      </c>
      <c r="H900" t="n">
        <v>7.614012890369909</v>
      </c>
      <c r="I900" t="n">
        <v>1277</v>
      </c>
      <c r="J900" t="n">
        <v>1313</v>
      </c>
      <c r="K900" t="n">
        <v>7.655498639271118</v>
      </c>
    </row>
    <row r="901">
      <c r="A901" t="n">
        <v>94</v>
      </c>
      <c r="B901" t="inlineStr">
        <is>
          <t>Motr</t>
        </is>
      </c>
      <c r="C901" t="inlineStr">
        <is>
          <t>Mafia</t>
        </is>
      </c>
      <c r="D901" t="inlineStr">
        <is>
          <t>Win</t>
        </is>
      </c>
      <c r="E901" t="n">
        <v>42</v>
      </c>
      <c r="F901" t="n">
        <v>27.66978773758687</v>
      </c>
      <c r="G901" t="n">
        <v>28.2043319949359</v>
      </c>
      <c r="H901" t="n">
        <v>8.121310168564975</v>
      </c>
      <c r="I901" t="n">
        <v>1048</v>
      </c>
      <c r="J901" t="n">
        <v>1090</v>
      </c>
      <c r="K901" t="n">
        <v>8.171972313397379</v>
      </c>
    </row>
    <row r="902">
      <c r="A902" t="n">
        <v>94</v>
      </c>
      <c r="B902" t="inlineStr">
        <is>
          <t>Rollo</t>
        </is>
      </c>
      <c r="C902" t="inlineStr">
        <is>
          <t>Mafia</t>
        </is>
      </c>
      <c r="D902" t="inlineStr">
        <is>
          <t>Win</t>
        </is>
      </c>
      <c r="E902" t="n">
        <v>33</v>
      </c>
      <c r="F902" t="n">
        <v>30.54832498552217</v>
      </c>
      <c r="G902" t="n">
        <v>30.98078789485221</v>
      </c>
      <c r="H902" t="n">
        <v>7.313635916083189</v>
      </c>
      <c r="I902" t="n">
        <v>1328</v>
      </c>
      <c r="J902" t="n">
        <v>1361</v>
      </c>
      <c r="K902" t="n">
        <v>7.350244906284016</v>
      </c>
    </row>
    <row r="903">
      <c r="A903" t="n">
        <v>94</v>
      </c>
      <c r="B903" t="inlineStr">
        <is>
          <t>Streety</t>
        </is>
      </c>
      <c r="C903" t="inlineStr">
        <is>
          <t>Town</t>
        </is>
      </c>
      <c r="D903" t="inlineStr">
        <is>
          <t>Loss</t>
        </is>
      </c>
      <c r="E903" t="n">
        <v>-27</v>
      </c>
      <c r="F903" t="n">
        <v>23.688207694473</v>
      </c>
      <c r="G903" t="n">
        <v>23.21824759942904</v>
      </c>
      <c r="H903" t="n">
        <v>7.620734443197782</v>
      </c>
      <c r="I903" t="n">
        <v>829</v>
      </c>
      <c r="J903" t="n">
        <v>802</v>
      </c>
      <c r="K903" t="n">
        <v>7.662333937457106</v>
      </c>
    </row>
    <row r="904">
      <c r="A904" t="n">
        <v>94</v>
      </c>
      <c r="B904" t="inlineStr">
        <is>
          <t>Iln</t>
        </is>
      </c>
      <c r="C904" t="inlineStr">
        <is>
          <t>Town</t>
        </is>
      </c>
      <c r="D904" t="inlineStr">
        <is>
          <t>Loss</t>
        </is>
      </c>
      <c r="E904" t="n">
        <v>-24</v>
      </c>
      <c r="F904" t="n">
        <v>24.40836008319337</v>
      </c>
      <c r="G904" t="n">
        <v>23.99889734837297</v>
      </c>
      <c r="H904" t="n">
        <v>7.118428520617409</v>
      </c>
      <c r="I904" t="n">
        <v>930</v>
      </c>
      <c r="J904" t="n">
        <v>906</v>
      </c>
      <c r="K904" t="n">
        <v>7.152079127159888</v>
      </c>
    </row>
    <row r="905">
      <c r="A905" t="n">
        <v>94</v>
      </c>
      <c r="B905" t="inlineStr">
        <is>
          <t>Lou</t>
        </is>
      </c>
      <c r="C905" t="inlineStr">
        <is>
          <t>Town</t>
        </is>
      </c>
      <c r="D905" t="inlineStr">
        <is>
          <t>Loss</t>
        </is>
      </c>
      <c r="E905" t="n">
        <v>-23</v>
      </c>
      <c r="F905" t="n">
        <v>28.71138426735013</v>
      </c>
      <c r="G905" t="n">
        <v>28.31671710280012</v>
      </c>
      <c r="H905" t="n">
        <v>6.989857619000255</v>
      </c>
      <c r="I905" t="n">
        <v>1236</v>
      </c>
      <c r="J905" t="n">
        <v>1213</v>
      </c>
      <c r="K905" t="n">
        <v>7.021647537236456</v>
      </c>
    </row>
    <row r="906">
      <c r="A906" t="n">
        <v>94</v>
      </c>
      <c r="B906" t="inlineStr">
        <is>
          <t>Cj</t>
        </is>
      </c>
      <c r="C906" t="inlineStr">
        <is>
          <t>Town</t>
        </is>
      </c>
      <c r="D906" t="inlineStr">
        <is>
          <t>Loss</t>
        </is>
      </c>
      <c r="E906" t="n">
        <v>-31</v>
      </c>
      <c r="F906" t="n">
        <v>25.83830035984126</v>
      </c>
      <c r="G906" t="n">
        <v>25.30236939832314</v>
      </c>
      <c r="H906" t="n">
        <v>8.131703809046323</v>
      </c>
      <c r="I906" t="n">
        <v>922</v>
      </c>
      <c r="J906" t="n">
        <v>891</v>
      </c>
      <c r="K906" t="n">
        <v>8.182566817745185</v>
      </c>
    </row>
    <row r="907">
      <c r="A907" t="n">
        <v>94</v>
      </c>
      <c r="B907" t="inlineStr">
        <is>
          <t>Brownkow</t>
        </is>
      </c>
      <c r="C907" t="inlineStr">
        <is>
          <t>Town</t>
        </is>
      </c>
      <c r="D907" t="inlineStr">
        <is>
          <t>Loss</t>
        </is>
      </c>
      <c r="E907" t="n">
        <v>-21</v>
      </c>
      <c r="F907" t="n">
        <v>31.32528213070609</v>
      </c>
      <c r="G907" t="n">
        <v>30.96934728585735</v>
      </c>
      <c r="H907" t="n">
        <v>6.641048293480542</v>
      </c>
      <c r="I907" t="n">
        <v>1450</v>
      </c>
      <c r="J907" t="n">
        <v>1429</v>
      </c>
      <c r="K907" t="n">
        <v>6.668128924932486</v>
      </c>
    </row>
    <row r="908">
      <c r="A908" t="n">
        <v>94</v>
      </c>
      <c r="B908" t="inlineStr">
        <is>
          <t>Laur</t>
        </is>
      </c>
      <c r="C908" t="inlineStr">
        <is>
          <t>Town</t>
        </is>
      </c>
      <c r="D908" t="inlineStr">
        <is>
          <t>Loss</t>
        </is>
      </c>
      <c r="E908" t="n">
        <v>-26</v>
      </c>
      <c r="F908" t="n">
        <v>32.91555365739548</v>
      </c>
      <c r="G908" t="n">
        <v>32.47477906055366</v>
      </c>
      <c r="H908" t="n">
        <v>7.382857947301622</v>
      </c>
      <c r="I908" t="n">
        <v>1481</v>
      </c>
      <c r="J908" t="n">
        <v>1455</v>
      </c>
      <c r="K908" t="n">
        <v>7.420555426632775</v>
      </c>
    </row>
    <row r="909">
      <c r="A909" t="n">
        <v>94</v>
      </c>
      <c r="B909" t="inlineStr">
        <is>
          <t>Kden</t>
        </is>
      </c>
      <c r="C909" t="inlineStr">
        <is>
          <t>Town</t>
        </is>
      </c>
      <c r="D909" t="inlineStr">
        <is>
          <t>Loss</t>
        </is>
      </c>
      <c r="E909" t="n">
        <v>-26</v>
      </c>
      <c r="F909" t="n">
        <v>29.16179323612526</v>
      </c>
      <c r="G909" t="n">
        <v>28.72478255158434</v>
      </c>
      <c r="H909" t="n">
        <v>7.351595198612863</v>
      </c>
      <c r="I909" t="n">
        <v>1229</v>
      </c>
      <c r="J909" t="n">
        <v>1203</v>
      </c>
      <c r="K909" t="n">
        <v>7.388798496315702</v>
      </c>
    </row>
    <row r="910">
      <c r="A910" t="n">
        <v>94</v>
      </c>
      <c r="B910" t="inlineStr">
        <is>
          <t>Noah</t>
        </is>
      </c>
      <c r="C910" t="inlineStr">
        <is>
          <t>Town</t>
        </is>
      </c>
      <c r="D910" t="inlineStr">
        <is>
          <t>Loss</t>
        </is>
      </c>
      <c r="E910" t="n">
        <v>-24</v>
      </c>
      <c r="F910" t="n">
        <v>29.09153216811996</v>
      </c>
      <c r="G910" t="n">
        <v>28.69062122653515</v>
      </c>
      <c r="H910" t="n">
        <v>7.044412218170676</v>
      </c>
      <c r="I910" t="n">
        <v>1256</v>
      </c>
      <c r="J910" t="n">
        <v>1232</v>
      </c>
      <c r="K910" t="n">
        <v>7.076983259236194</v>
      </c>
    </row>
    <row r="911">
      <c r="A911" t="n">
        <v>94</v>
      </c>
      <c r="B911" t="inlineStr">
        <is>
          <t>Gilbert</t>
        </is>
      </c>
      <c r="C911" t="inlineStr">
        <is>
          <t>Town</t>
        </is>
      </c>
      <c r="D911" t="inlineStr">
        <is>
          <t>Loss</t>
        </is>
      </c>
      <c r="E911" t="n">
        <v>-31</v>
      </c>
      <c r="F911" t="n">
        <v>25.14057794946028</v>
      </c>
      <c r="G911" t="n">
        <v>24.61360818239095</v>
      </c>
      <c r="H911" t="n">
        <v>8.064289040207303</v>
      </c>
      <c r="I911" t="n">
        <v>882</v>
      </c>
      <c r="J911" t="n">
        <v>851</v>
      </c>
      <c r="K911" t="n">
        <v>8.113858600473749</v>
      </c>
    </row>
    <row r="912">
      <c r="A912" t="n">
        <v>94</v>
      </c>
      <c r="B912" t="inlineStr">
        <is>
          <t>Mintt</t>
        </is>
      </c>
      <c r="C912" t="inlineStr">
        <is>
          <t>Town</t>
        </is>
      </c>
      <c r="D912" t="inlineStr">
        <is>
          <t>Loss</t>
        </is>
      </c>
      <c r="E912" t="n">
        <v>-25</v>
      </c>
      <c r="F912" t="n">
        <v>26.46180326153413</v>
      </c>
      <c r="G912" t="n">
        <v>26.03025197130707</v>
      </c>
      <c r="H912" t="n">
        <v>7.306002106122168</v>
      </c>
      <c r="I912" t="n">
        <v>1050</v>
      </c>
      <c r="J912" t="n">
        <v>1025</v>
      </c>
      <c r="K912" t="n">
        <v>7.342492333756107</v>
      </c>
    </row>
    <row r="913">
      <c r="A913" t="n">
        <v>93</v>
      </c>
      <c r="B913" t="inlineStr">
        <is>
          <t>Sam</t>
        </is>
      </c>
      <c r="C913" t="inlineStr">
        <is>
          <t>Mafia</t>
        </is>
      </c>
      <c r="D913" t="inlineStr">
        <is>
          <t>Loss</t>
        </is>
      </c>
      <c r="E913" t="n">
        <v>-93</v>
      </c>
      <c r="F913" t="n">
        <v>27.42784087542283</v>
      </c>
      <c r="G913" t="n">
        <v>25.94801079084729</v>
      </c>
      <c r="H913" t="n">
        <v>7.72941712573662</v>
      </c>
      <c r="I913" t="n">
        <v>1069</v>
      </c>
      <c r="J913" t="n">
        <v>976</v>
      </c>
      <c r="K913" t="n">
        <v>7.803283299728281</v>
      </c>
    </row>
    <row r="914">
      <c r="A914" t="n">
        <v>93</v>
      </c>
      <c r="B914" t="inlineStr">
        <is>
          <t>Doublea</t>
        </is>
      </c>
      <c r="C914" t="inlineStr">
        <is>
          <t>Mafia</t>
        </is>
      </c>
      <c r="D914" t="inlineStr">
        <is>
          <t>Loss</t>
        </is>
      </c>
      <c r="E914" t="n">
        <v>-88</v>
      </c>
      <c r="F914" t="n">
        <v>26.33609796054768</v>
      </c>
      <c r="G914" t="n">
        <v>24.93395414922834</v>
      </c>
      <c r="H914" t="n">
        <v>7.527622206670544</v>
      </c>
      <c r="I914" t="n">
        <v>1016</v>
      </c>
      <c r="J914" t="n">
        <v>928</v>
      </c>
      <c r="K914" t="n">
        <v>7.595664122515441</v>
      </c>
    </row>
    <row r="915">
      <c r="A915" t="n">
        <v>93</v>
      </c>
      <c r="B915" t="inlineStr">
        <is>
          <t>Carson</t>
        </is>
      </c>
      <c r="C915" t="inlineStr">
        <is>
          <t>Mafia</t>
        </is>
      </c>
      <c r="D915" t="inlineStr">
        <is>
          <t>Loss</t>
        </is>
      </c>
      <c r="E915" t="n">
        <v>-78</v>
      </c>
      <c r="F915" t="n">
        <v>29.43178692212919</v>
      </c>
      <c r="G915" t="n">
        <v>28.19284747774317</v>
      </c>
      <c r="H915" t="n">
        <v>7.083526595155375</v>
      </c>
      <c r="I915" t="n">
        <v>1273</v>
      </c>
      <c r="J915" t="n">
        <v>1195</v>
      </c>
      <c r="K915" t="n">
        <v>7.139857669002471</v>
      </c>
    </row>
    <row r="916">
      <c r="A916" t="n">
        <v>93</v>
      </c>
      <c r="B916" t="inlineStr">
        <is>
          <t>Noah</t>
        </is>
      </c>
      <c r="C916" t="inlineStr">
        <is>
          <t>Town</t>
        </is>
      </c>
      <c r="D916" t="inlineStr">
        <is>
          <t>Win</t>
        </is>
      </c>
      <c r="E916" t="n">
        <v>89</v>
      </c>
      <c r="F916" t="n">
        <v>27.85491810678384</v>
      </c>
      <c r="G916" t="n">
        <v>29.09153216811996</v>
      </c>
      <c r="H916" t="n">
        <v>7.076983259236194</v>
      </c>
      <c r="I916" t="n">
        <v>1167</v>
      </c>
      <c r="J916" t="n">
        <v>1256</v>
      </c>
      <c r="K916" t="n">
        <v>7.133152756216456</v>
      </c>
    </row>
    <row r="917">
      <c r="A917" t="n">
        <v>93</v>
      </c>
      <c r="B917" t="inlineStr">
        <is>
          <t>Cj</t>
        </is>
      </c>
      <c r="C917" t="inlineStr">
        <is>
          <t>Town</t>
        </is>
      </c>
      <c r="D917" t="inlineStr">
        <is>
          <t>Win</t>
        </is>
      </c>
      <c r="E917" t="n">
        <v>122</v>
      </c>
      <c r="F917" t="n">
        <v>24.17589594385148</v>
      </c>
      <c r="G917" t="n">
        <v>25.83830035984126</v>
      </c>
      <c r="H917" t="n">
        <v>8.182566817745185</v>
      </c>
      <c r="I917" t="n">
        <v>800</v>
      </c>
      <c r="J917" t="n">
        <v>922</v>
      </c>
      <c r="K917" t="n">
        <v>8.27072739654726</v>
      </c>
    </row>
    <row r="918">
      <c r="A918" t="n">
        <v>93</v>
      </c>
      <c r="B918" t="inlineStr">
        <is>
          <t>Snazz</t>
        </is>
      </c>
      <c r="C918" t="inlineStr">
        <is>
          <t>Town</t>
        </is>
      </c>
      <c r="D918" t="inlineStr">
        <is>
          <t>Win</t>
        </is>
      </c>
      <c r="E918" t="n">
        <v>113</v>
      </c>
      <c r="F918" t="n">
        <v>23.95644478687949</v>
      </c>
      <c r="G918" t="n">
        <v>25.49642276327146</v>
      </c>
      <c r="H918" t="n">
        <v>7.881829433980994</v>
      </c>
      <c r="I918" t="n">
        <v>817</v>
      </c>
      <c r="J918" t="n">
        <v>930</v>
      </c>
      <c r="K918" t="n">
        <v>7.960312111298486</v>
      </c>
    </row>
    <row r="919">
      <c r="A919" t="n">
        <v>93</v>
      </c>
      <c r="B919" t="inlineStr">
        <is>
          <t>Levi</t>
        </is>
      </c>
      <c r="C919" t="inlineStr">
        <is>
          <t>Town</t>
        </is>
      </c>
      <c r="D919" t="inlineStr">
        <is>
          <t>Win</t>
        </is>
      </c>
      <c r="E919" t="n">
        <v>121</v>
      </c>
      <c r="F919" t="n">
        <v>26.9592492230299</v>
      </c>
      <c r="G919" t="n">
        <v>28.59882430233247</v>
      </c>
      <c r="H919" t="n">
        <v>8.127405197807489</v>
      </c>
      <c r="I919" t="n">
        <v>995</v>
      </c>
      <c r="J919" t="n">
        <v>1116</v>
      </c>
      <c r="K919" t="n">
        <v>8.213732919463729</v>
      </c>
    </row>
    <row r="920">
      <c r="A920" t="n">
        <v>93</v>
      </c>
      <c r="B920" t="inlineStr">
        <is>
          <t>Josh</t>
        </is>
      </c>
      <c r="C920" t="inlineStr">
        <is>
          <t>Town</t>
        </is>
      </c>
      <c r="D920" t="inlineStr">
        <is>
          <t>Win</t>
        </is>
      </c>
      <c r="E920" t="n">
        <v>106</v>
      </c>
      <c r="F920" t="n">
        <v>28.81047423590719</v>
      </c>
      <c r="G920" t="n">
        <v>30.26159018831058</v>
      </c>
      <c r="H920" t="n">
        <v>7.655498639271118</v>
      </c>
      <c r="I920" t="n">
        <v>1171</v>
      </c>
      <c r="J920" t="n">
        <v>1277</v>
      </c>
      <c r="K920" t="n">
        <v>7.727193732653744</v>
      </c>
    </row>
    <row r="921">
      <c r="A921" t="n">
        <v>93</v>
      </c>
      <c r="B921" t="inlineStr">
        <is>
          <t>Rollo</t>
        </is>
      </c>
      <c r="C921" t="inlineStr">
        <is>
          <t>Town</t>
        </is>
      </c>
      <c r="D921" t="inlineStr">
        <is>
          <t>Win</t>
        </is>
      </c>
      <c r="E921" t="n">
        <v>98</v>
      </c>
      <c r="F921" t="n">
        <v>29.21264242224665</v>
      </c>
      <c r="G921" t="n">
        <v>30.54832498552217</v>
      </c>
      <c r="H921" t="n">
        <v>7.350244906284016</v>
      </c>
      <c r="I921" t="n">
        <v>1230</v>
      </c>
      <c r="J921" t="n">
        <v>1328</v>
      </c>
      <c r="K921" t="n">
        <v>7.413430626500082</v>
      </c>
    </row>
    <row r="922">
      <c r="A922" t="n">
        <v>93</v>
      </c>
      <c r="B922" t="inlineStr">
        <is>
          <t>Creatchee</t>
        </is>
      </c>
      <c r="C922" t="inlineStr">
        <is>
          <t>Town</t>
        </is>
      </c>
      <c r="D922" t="inlineStr">
        <is>
          <t>Win</t>
        </is>
      </c>
      <c r="E922" t="n">
        <v>90</v>
      </c>
      <c r="F922" t="n">
        <v>34.27767286483468</v>
      </c>
      <c r="G922" t="n">
        <v>35.5233830488559</v>
      </c>
      <c r="H922" t="n">
        <v>7.102541986348032</v>
      </c>
      <c r="I922" t="n">
        <v>1601</v>
      </c>
      <c r="J922" t="n">
        <v>1691</v>
      </c>
      <c r="K922" t="n">
        <v>7.159344379109425</v>
      </c>
    </row>
    <row r="923">
      <c r="A923" t="n">
        <v>93</v>
      </c>
      <c r="B923" t="inlineStr">
        <is>
          <t>Whyin</t>
        </is>
      </c>
      <c r="C923" t="inlineStr">
        <is>
          <t>Town</t>
        </is>
      </c>
      <c r="D923" t="inlineStr">
        <is>
          <t>Win</t>
        </is>
      </c>
      <c r="E923" t="n">
        <v>94</v>
      </c>
      <c r="F923" t="n">
        <v>26.66416853597766</v>
      </c>
      <c r="G923" t="n">
        <v>27.95317137920417</v>
      </c>
      <c r="H923" t="n">
        <v>7.22286535501371</v>
      </c>
      <c r="I923" t="n">
        <v>1070</v>
      </c>
      <c r="J923" t="n">
        <v>1164</v>
      </c>
      <c r="K923" t="n">
        <v>7.282711507304273</v>
      </c>
    </row>
    <row r="924">
      <c r="A924" t="n">
        <v>93</v>
      </c>
      <c r="B924" t="inlineStr">
        <is>
          <t>Plen</t>
        </is>
      </c>
      <c r="C924" t="inlineStr">
        <is>
          <t>Town</t>
        </is>
      </c>
      <c r="D924" t="inlineStr">
        <is>
          <t>Win</t>
        </is>
      </c>
      <c r="E924" t="n">
        <v>87</v>
      </c>
      <c r="F924" t="n">
        <v>20.48984131823077</v>
      </c>
      <c r="G924" t="n">
        <v>21.69245079677487</v>
      </c>
      <c r="H924" t="n">
        <v>6.980551272537153</v>
      </c>
      <c r="I924" t="n">
        <v>676</v>
      </c>
      <c r="J924" t="n">
        <v>763</v>
      </c>
      <c r="K924" t="n">
        <v>7.034375358322622</v>
      </c>
    </row>
    <row r="925">
      <c r="A925" t="n">
        <v>93</v>
      </c>
      <c r="B925" t="inlineStr">
        <is>
          <t>Motr</t>
        </is>
      </c>
      <c r="C925" t="inlineStr">
        <is>
          <t>Town</t>
        </is>
      </c>
      <c r="D925" t="inlineStr">
        <is>
          <t>Win</t>
        </is>
      </c>
      <c r="E925" t="n">
        <v>122</v>
      </c>
      <c r="F925" t="n">
        <v>26.01178105987008</v>
      </c>
      <c r="G925" t="n">
        <v>27.66978773758687</v>
      </c>
      <c r="H925" t="n">
        <v>8.171972313397379</v>
      </c>
      <c r="I925" t="n">
        <v>926</v>
      </c>
      <c r="J925" t="n">
        <v>1048</v>
      </c>
      <c r="K925" t="n">
        <v>8.259778825537202</v>
      </c>
    </row>
    <row r="926">
      <c r="A926" t="n">
        <v>92</v>
      </c>
      <c r="B926" t="inlineStr">
        <is>
          <t>Happymeal</t>
        </is>
      </c>
      <c r="C926" t="inlineStr">
        <is>
          <t>Mafia</t>
        </is>
      </c>
      <c r="D926" t="inlineStr">
        <is>
          <t>Loss</t>
        </is>
      </c>
      <c r="E926" t="n">
        <v>-43</v>
      </c>
      <c r="F926" t="n">
        <v>25.36958848183123</v>
      </c>
      <c r="G926" t="n">
        <v>24.6781108283857</v>
      </c>
      <c r="H926" t="n">
        <v>7.585378648019939</v>
      </c>
      <c r="I926" t="n">
        <v>947</v>
      </c>
      <c r="J926" t="n">
        <v>904</v>
      </c>
      <c r="K926" t="n">
        <v>7.63327318169205</v>
      </c>
    </row>
    <row r="927">
      <c r="A927" t="n">
        <v>92</v>
      </c>
      <c r="B927" t="inlineStr">
        <is>
          <t>Chipper</t>
        </is>
      </c>
      <c r="C927" t="inlineStr">
        <is>
          <t>Mafia</t>
        </is>
      </c>
      <c r="D927" t="inlineStr">
        <is>
          <t>Loss</t>
        </is>
      </c>
      <c r="E927" t="n">
        <v>-37</v>
      </c>
      <c r="F927" t="n">
        <v>22.30810692193317</v>
      </c>
      <c r="G927" t="n">
        <v>21.7041425316887</v>
      </c>
      <c r="H927" t="n">
        <v>7.094903446713813</v>
      </c>
      <c r="I927" t="n">
        <v>789</v>
      </c>
      <c r="J927" t="n">
        <v>752</v>
      </c>
      <c r="K927" t="n">
        <v>7.133817537455005</v>
      </c>
    </row>
    <row r="928">
      <c r="A928" t="n">
        <v>92</v>
      </c>
      <c r="B928" t="inlineStr">
        <is>
          <t>Cj</t>
        </is>
      </c>
      <c r="C928" t="inlineStr">
        <is>
          <t>Mafia</t>
        </is>
      </c>
      <c r="D928" t="inlineStr">
        <is>
          <t>Loss</t>
        </is>
      </c>
      <c r="E928" t="n">
        <v>-50</v>
      </c>
      <c r="F928" t="n">
        <v>25</v>
      </c>
      <c r="G928" t="n">
        <v>24.17589594385148</v>
      </c>
      <c r="H928" t="n">
        <v>8.27072739654726</v>
      </c>
      <c r="I928" t="n">
        <v>850</v>
      </c>
      <c r="J928" t="n">
        <v>800</v>
      </c>
      <c r="K928" t="n">
        <v>8.333333333333334</v>
      </c>
    </row>
    <row r="929">
      <c r="A929" t="n">
        <v>92</v>
      </c>
      <c r="B929" t="inlineStr">
        <is>
          <t>Laur</t>
        </is>
      </c>
      <c r="C929" t="inlineStr">
        <is>
          <t>Town</t>
        </is>
      </c>
      <c r="D929" t="inlineStr">
        <is>
          <t>Win</t>
        </is>
      </c>
      <c r="E929" t="n">
        <v>49</v>
      </c>
      <c r="F929" t="n">
        <v>32.2541694887017</v>
      </c>
      <c r="G929" t="n">
        <v>32.91555365739548</v>
      </c>
      <c r="H929" t="n">
        <v>7.420555426632775</v>
      </c>
      <c r="I929" t="n">
        <v>1432</v>
      </c>
      <c r="J929" t="n">
        <v>1481</v>
      </c>
      <c r="K929" t="n">
        <v>7.465294283965398</v>
      </c>
    </row>
    <row r="930">
      <c r="A930" t="n">
        <v>92</v>
      </c>
      <c r="B930" t="inlineStr">
        <is>
          <t>Creatchee</t>
        </is>
      </c>
      <c r="C930" t="inlineStr">
        <is>
          <t>Town</t>
        </is>
      </c>
      <c r="D930" t="inlineStr">
        <is>
          <t>Win</t>
        </is>
      </c>
      <c r="E930" t="n">
        <v>46</v>
      </c>
      <c r="F930" t="n">
        <v>33.66256024046663</v>
      </c>
      <c r="G930" t="n">
        <v>34.27767286483468</v>
      </c>
      <c r="H930" t="n">
        <v>7.159344379109425</v>
      </c>
      <c r="I930" t="n">
        <v>1555</v>
      </c>
      <c r="J930" t="n">
        <v>1601</v>
      </c>
      <c r="K930" t="n">
        <v>7.199368839535238</v>
      </c>
    </row>
    <row r="931">
      <c r="A931" t="n">
        <v>92</v>
      </c>
      <c r="B931" t="inlineStr">
        <is>
          <t>Plen</t>
        </is>
      </c>
      <c r="C931" t="inlineStr">
        <is>
          <t>Town</t>
        </is>
      </c>
      <c r="D931" t="inlineStr">
        <is>
          <t>Win</t>
        </is>
      </c>
      <c r="E931" t="n">
        <v>44</v>
      </c>
      <c r="F931" t="n">
        <v>19.89625225113786</v>
      </c>
      <c r="G931" t="n">
        <v>20.48984131823077</v>
      </c>
      <c r="H931" t="n">
        <v>7.034375358322622</v>
      </c>
      <c r="I931" t="n">
        <v>632</v>
      </c>
      <c r="J931" t="n">
        <v>676</v>
      </c>
      <c r="K931" t="n">
        <v>7.072265095709026</v>
      </c>
    </row>
    <row r="932">
      <c r="A932" t="n">
        <v>92</v>
      </c>
      <c r="B932" t="inlineStr">
        <is>
          <t>Brownkow</t>
        </is>
      </c>
      <c r="C932" t="inlineStr">
        <is>
          <t>Town</t>
        </is>
      </c>
      <c r="D932" t="inlineStr">
        <is>
          <t>Win</t>
        </is>
      </c>
      <c r="E932" t="n">
        <v>40</v>
      </c>
      <c r="F932" t="n">
        <v>30.79249520670457</v>
      </c>
      <c r="G932" t="n">
        <v>31.32528213070609</v>
      </c>
      <c r="H932" t="n">
        <v>6.668128924932486</v>
      </c>
      <c r="I932" t="n">
        <v>1410</v>
      </c>
      <c r="J932" t="n">
        <v>1450</v>
      </c>
      <c r="K932" t="n">
        <v>6.700194481811997</v>
      </c>
    </row>
    <row r="933">
      <c r="A933" t="n">
        <v>92</v>
      </c>
      <c r="B933" t="inlineStr">
        <is>
          <t>Doublea</t>
        </is>
      </c>
      <c r="C933" t="inlineStr">
        <is>
          <t>Town</t>
        </is>
      </c>
      <c r="D933" t="inlineStr">
        <is>
          <t>Win</t>
        </is>
      </c>
      <c r="E933" t="n">
        <v>52</v>
      </c>
      <c r="F933" t="n">
        <v>25.6427193237067</v>
      </c>
      <c r="G933" t="n">
        <v>26.33609796054768</v>
      </c>
      <c r="H933" t="n">
        <v>7.595664122515441</v>
      </c>
      <c r="I933" t="n">
        <v>964</v>
      </c>
      <c r="J933" t="n">
        <v>1016</v>
      </c>
      <c r="K933" t="n">
        <v>7.643760326922605</v>
      </c>
    </row>
    <row r="934">
      <c r="A934" t="n">
        <v>92</v>
      </c>
      <c r="B934" t="inlineStr">
        <is>
          <t>Carson</t>
        </is>
      </c>
      <c r="C934" t="inlineStr">
        <is>
          <t>Town</t>
        </is>
      </c>
      <c r="D934" t="inlineStr">
        <is>
          <t>Win</t>
        </is>
      </c>
      <c r="E934" t="n">
        <v>46</v>
      </c>
      <c r="F934" t="n">
        <v>28.82005660883617</v>
      </c>
      <c r="G934" t="n">
        <v>29.43178692212919</v>
      </c>
      <c r="H934" t="n">
        <v>7.139857669002471</v>
      </c>
      <c r="I934" t="n">
        <v>1227</v>
      </c>
      <c r="J934" t="n">
        <v>1273</v>
      </c>
      <c r="K934" t="n">
        <v>7.179544191719894</v>
      </c>
    </row>
    <row r="935">
      <c r="A935" t="n">
        <v>92</v>
      </c>
      <c r="B935" t="inlineStr">
        <is>
          <t>Machop</t>
        </is>
      </c>
      <c r="C935" t="inlineStr">
        <is>
          <t>Town</t>
        </is>
      </c>
      <c r="D935" t="inlineStr">
        <is>
          <t>Win</t>
        </is>
      </c>
      <c r="E935" t="n">
        <v>41</v>
      </c>
      <c r="F935" t="n">
        <v>25.31680768892869</v>
      </c>
      <c r="G935" t="n">
        <v>25.87733100554142</v>
      </c>
      <c r="H935" t="n">
        <v>6.837738643312658</v>
      </c>
      <c r="I935" t="n">
        <v>1021</v>
      </c>
      <c r="J935" t="n">
        <v>1062</v>
      </c>
      <c r="K935" t="n">
        <v>6.872422722642523</v>
      </c>
    </row>
    <row r="936">
      <c r="A936" t="n">
        <v>92</v>
      </c>
      <c r="B936" t="inlineStr">
        <is>
          <t>Iln</t>
        </is>
      </c>
      <c r="C936" t="inlineStr">
        <is>
          <t>Town</t>
        </is>
      </c>
      <c r="D936" t="inlineStr">
        <is>
          <t>Win</t>
        </is>
      </c>
      <c r="E936" t="n">
        <v>46</v>
      </c>
      <c r="F936" t="n">
        <v>23.79450961764353</v>
      </c>
      <c r="G936" t="n">
        <v>24.40836008319337</v>
      </c>
      <c r="H936" t="n">
        <v>7.152079127159888</v>
      </c>
      <c r="I936" t="n">
        <v>884</v>
      </c>
      <c r="J936" t="n">
        <v>930</v>
      </c>
      <c r="K936" t="n">
        <v>7.191977373683032</v>
      </c>
    </row>
    <row r="937">
      <c r="A937" t="n">
        <v>92</v>
      </c>
      <c r="B937" t="inlineStr">
        <is>
          <t>Rick</t>
        </is>
      </c>
      <c r="C937" t="inlineStr">
        <is>
          <t>Town</t>
        </is>
      </c>
      <c r="D937" t="inlineStr">
        <is>
          <t>Win</t>
        </is>
      </c>
      <c r="E937" t="n">
        <v>55</v>
      </c>
      <c r="F937" t="n">
        <v>26.27191344189347</v>
      </c>
      <c r="G937" t="n">
        <v>27.00656542293456</v>
      </c>
      <c r="H937" t="n">
        <v>7.81546524028933</v>
      </c>
      <c r="I937" t="n">
        <v>984</v>
      </c>
      <c r="J937" t="n">
        <v>1039</v>
      </c>
      <c r="K937" t="n">
        <v>7.868007182749315</v>
      </c>
    </row>
    <row r="938">
      <c r="A938" t="n">
        <v>92</v>
      </c>
      <c r="B938" t="inlineStr">
        <is>
          <t>Kwix</t>
        </is>
      </c>
      <c r="C938" t="inlineStr">
        <is>
          <t>Town</t>
        </is>
      </c>
      <c r="D938" t="inlineStr">
        <is>
          <t>Win</t>
        </is>
      </c>
      <c r="E938" t="n">
        <v>48</v>
      </c>
      <c r="F938" t="n">
        <v>24.05975193342216</v>
      </c>
      <c r="G938" t="n">
        <v>24.70906255014665</v>
      </c>
      <c r="H938" t="n">
        <v>7.353336234532682</v>
      </c>
      <c r="I938" t="n">
        <v>882</v>
      </c>
      <c r="J938" t="n">
        <v>930</v>
      </c>
      <c r="K938" t="n">
        <v>7.396828719255338</v>
      </c>
    </row>
    <row r="939">
      <c r="A939" t="n">
        <v>92</v>
      </c>
      <c r="B939" t="inlineStr">
        <is>
          <t>Rocker</t>
        </is>
      </c>
      <c r="C939" t="inlineStr">
        <is>
          <t>Town</t>
        </is>
      </c>
      <c r="D939" t="inlineStr">
        <is>
          <t>Win</t>
        </is>
      </c>
      <c r="E939" t="n">
        <v>39</v>
      </c>
      <c r="F939" t="n">
        <v>32.63476961402269</v>
      </c>
      <c r="G939" t="n">
        <v>33.16890046082148</v>
      </c>
      <c r="H939" t="n">
        <v>6.67645052977513</v>
      </c>
      <c r="I939" t="n">
        <v>1535</v>
      </c>
      <c r="J939" t="n">
        <v>1574</v>
      </c>
      <c r="K939" t="n">
        <v>6.708641457302647</v>
      </c>
    </row>
    <row r="940">
      <c r="A940" t="n">
        <v>91</v>
      </c>
      <c r="B940" t="inlineStr">
        <is>
          <t>Noah</t>
        </is>
      </c>
      <c r="C940" t="inlineStr">
        <is>
          <t>Mafia</t>
        </is>
      </c>
      <c r="D940" t="inlineStr">
        <is>
          <t>Loss</t>
        </is>
      </c>
      <c r="E940" t="n">
        <v>-96</v>
      </c>
      <c r="F940" t="n">
        <v>29.36263927289324</v>
      </c>
      <c r="G940" t="n">
        <v>27.85491810678384</v>
      </c>
      <c r="H940" t="n">
        <v>7.133152756216456</v>
      </c>
      <c r="I940" t="n">
        <v>1263</v>
      </c>
      <c r="J940" t="n">
        <v>1167</v>
      </c>
      <c r="K940" t="n">
        <v>7.195191236681618</v>
      </c>
    </row>
    <row r="941">
      <c r="A941" t="n">
        <v>91</v>
      </c>
      <c r="B941" t="inlineStr">
        <is>
          <t>Streety</t>
        </is>
      </c>
      <c r="C941" t="inlineStr">
        <is>
          <t>Mafia</t>
        </is>
      </c>
      <c r="D941" t="inlineStr">
        <is>
          <t>Loss</t>
        </is>
      </c>
      <c r="E941" t="n">
        <v>-111</v>
      </c>
      <c r="F941" t="n">
        <v>25.43277230762653</v>
      </c>
      <c r="G941" t="n">
        <v>23.688207694473</v>
      </c>
      <c r="H941" t="n">
        <v>7.662333937457106</v>
      </c>
      <c r="I941" t="n">
        <v>940</v>
      </c>
      <c r="J941" t="n">
        <v>829</v>
      </c>
      <c r="K941" t="n">
        <v>7.739823359221661</v>
      </c>
    </row>
    <row r="942">
      <c r="A942" t="n">
        <v>91</v>
      </c>
      <c r="B942" t="inlineStr">
        <is>
          <t>Kden</t>
        </is>
      </c>
      <c r="C942" t="inlineStr">
        <is>
          <t>Mafia</t>
        </is>
      </c>
      <c r="D942" t="inlineStr">
        <is>
          <t>Loss</t>
        </is>
      </c>
      <c r="E942" t="n">
        <v>-103</v>
      </c>
      <c r="F942" t="n">
        <v>30.7816500992756</v>
      </c>
      <c r="G942" t="n">
        <v>29.16179323612526</v>
      </c>
      <c r="H942" t="n">
        <v>7.388798496315702</v>
      </c>
      <c r="I942" t="n">
        <v>1332</v>
      </c>
      <c r="J942" t="n">
        <v>1229</v>
      </c>
      <c r="K942" t="n">
        <v>7.458011507861244</v>
      </c>
    </row>
    <row r="943">
      <c r="A943" t="n">
        <v>91</v>
      </c>
      <c r="B943" t="inlineStr">
        <is>
          <t>Strik3r</t>
        </is>
      </c>
      <c r="C943" t="inlineStr">
        <is>
          <t>Town</t>
        </is>
      </c>
      <c r="D943" t="inlineStr">
        <is>
          <t>Win</t>
        </is>
      </c>
      <c r="E943" t="n">
        <v>127</v>
      </c>
      <c r="F943" t="n">
        <v>27.31179812015911</v>
      </c>
      <c r="G943" t="n">
        <v>29.06493656185492</v>
      </c>
      <c r="H943" t="n">
        <v>7.680752575636087</v>
      </c>
      <c r="I943" t="n">
        <v>1066</v>
      </c>
      <c r="J943" t="n">
        <v>1193</v>
      </c>
      <c r="K943" t="n">
        <v>7.758822264468249</v>
      </c>
    </row>
    <row r="944">
      <c r="A944" t="n">
        <v>91</v>
      </c>
      <c r="B944" t="inlineStr">
        <is>
          <t>Rollo</t>
        </is>
      </c>
      <c r="C944" t="inlineStr">
        <is>
          <t>Town</t>
        </is>
      </c>
      <c r="D944" t="inlineStr">
        <is>
          <t>Win</t>
        </is>
      </c>
      <c r="E944" t="n">
        <v>118</v>
      </c>
      <c r="F944" t="n">
        <v>27.58175623737212</v>
      </c>
      <c r="G944" t="n">
        <v>29.21264242224665</v>
      </c>
      <c r="H944" t="n">
        <v>7.413430626500082</v>
      </c>
      <c r="I944" t="n">
        <v>1112</v>
      </c>
      <c r="J944" t="n">
        <v>1230</v>
      </c>
      <c r="K944" t="n">
        <v>7.483363131600635</v>
      </c>
    </row>
    <row r="945">
      <c r="A945" t="n">
        <v>91</v>
      </c>
      <c r="B945" t="inlineStr">
        <is>
          <t>Josh</t>
        </is>
      </c>
      <c r="C945" t="inlineStr">
        <is>
          <t>Town</t>
        </is>
      </c>
      <c r="D945" t="inlineStr">
        <is>
          <t>Win</t>
        </is>
      </c>
      <c r="E945" t="n">
        <v>129</v>
      </c>
      <c r="F945" t="n">
        <v>27.03561827637189</v>
      </c>
      <c r="G945" t="n">
        <v>28.81047423590719</v>
      </c>
      <c r="H945" t="n">
        <v>7.727193732653744</v>
      </c>
      <c r="I945" t="n">
        <v>1042</v>
      </c>
      <c r="J945" t="n">
        <v>1171</v>
      </c>
      <c r="K945" t="n">
        <v>7.806739628035723</v>
      </c>
    </row>
    <row r="946">
      <c r="A946" t="n">
        <v>91</v>
      </c>
      <c r="B946" t="inlineStr">
        <is>
          <t>Sam</t>
        </is>
      </c>
      <c r="C946" t="inlineStr">
        <is>
          <t>Town</t>
        </is>
      </c>
      <c r="D946" t="inlineStr">
        <is>
          <t>Win</t>
        </is>
      </c>
      <c r="E946" t="n">
        <v>131</v>
      </c>
      <c r="F946" t="n">
        <v>25.61709498078071</v>
      </c>
      <c r="G946" t="n">
        <v>27.42784087542283</v>
      </c>
      <c r="H946" t="n">
        <v>7.803283299728281</v>
      </c>
      <c r="I946" t="n">
        <v>938</v>
      </c>
      <c r="J946" t="n">
        <v>1069</v>
      </c>
      <c r="K946" t="n">
        <v>7.885288711154753</v>
      </c>
    </row>
    <row r="947">
      <c r="A947" t="n">
        <v>91</v>
      </c>
      <c r="B947" t="inlineStr">
        <is>
          <t>Mintt</t>
        </is>
      </c>
      <c r="C947" t="inlineStr">
        <is>
          <t>Town</t>
        </is>
      </c>
      <c r="D947" t="inlineStr">
        <is>
          <t>Win</t>
        </is>
      </c>
      <c r="E947" t="n">
        <v>115</v>
      </c>
      <c r="F947" t="n">
        <v>24.86257334227209</v>
      </c>
      <c r="G947" t="n">
        <v>26.46180326153413</v>
      </c>
      <c r="H947" t="n">
        <v>7.342492333756107</v>
      </c>
      <c r="I947" t="n">
        <v>935</v>
      </c>
      <c r="J947" t="n">
        <v>1050</v>
      </c>
      <c r="K947" t="n">
        <v>7.41036634360102</v>
      </c>
    </row>
    <row r="948">
      <c r="A948" t="n">
        <v>91</v>
      </c>
      <c r="B948" t="inlineStr">
        <is>
          <t>Brownkow</t>
        </is>
      </c>
      <c r="C948" t="inlineStr">
        <is>
          <t>Town</t>
        </is>
      </c>
      <c r="D948" t="inlineStr">
        <is>
          <t>Win</t>
        </is>
      </c>
      <c r="E948" t="n">
        <v>95</v>
      </c>
      <c r="F948" t="n">
        <v>29.4650506983246</v>
      </c>
      <c r="G948" t="n">
        <v>30.79249520670457</v>
      </c>
      <c r="H948" t="n">
        <v>6.700194481811997</v>
      </c>
      <c r="I948" t="n">
        <v>1315</v>
      </c>
      <c r="J948" t="n">
        <v>1410</v>
      </c>
      <c r="K948" t="n">
        <v>6.75125196412025</v>
      </c>
    </row>
    <row r="949">
      <c r="A949" t="n">
        <v>91</v>
      </c>
      <c r="B949" t="inlineStr">
        <is>
          <t>Plen</t>
        </is>
      </c>
      <c r="C949" t="inlineStr">
        <is>
          <t>Town</t>
        </is>
      </c>
      <c r="D949" t="inlineStr">
        <is>
          <t>Win</t>
        </is>
      </c>
      <c r="E949" t="n">
        <v>107</v>
      </c>
      <c r="F949" t="n">
        <v>18.41461346817207</v>
      </c>
      <c r="G949" t="n">
        <v>19.89625225113786</v>
      </c>
      <c r="H949" t="n">
        <v>7.072265095709026</v>
      </c>
      <c r="I949" t="n">
        <v>525</v>
      </c>
      <c r="J949" t="n">
        <v>632</v>
      </c>
      <c r="K949" t="n">
        <v>7.132672042411506</v>
      </c>
    </row>
    <row r="950">
      <c r="A950" t="n">
        <v>91</v>
      </c>
      <c r="B950" t="inlineStr">
        <is>
          <t>Lou</t>
        </is>
      </c>
      <c r="C950" t="inlineStr">
        <is>
          <t>Town</t>
        </is>
      </c>
      <c r="D950" t="inlineStr">
        <is>
          <t>Win</t>
        </is>
      </c>
      <c r="E950" t="n">
        <v>105</v>
      </c>
      <c r="F950" t="n">
        <v>27.2512460749703</v>
      </c>
      <c r="G950" t="n">
        <v>28.71138426735013</v>
      </c>
      <c r="H950" t="n">
        <v>7.021647537236456</v>
      </c>
      <c r="I950" t="n">
        <v>1131</v>
      </c>
      <c r="J950" t="n">
        <v>1236</v>
      </c>
      <c r="K950" t="n">
        <v>7.080720293054976</v>
      </c>
    </row>
    <row r="951">
      <c r="A951" t="n">
        <v>91</v>
      </c>
      <c r="B951" t="inlineStr">
        <is>
          <t>Rocker</t>
        </is>
      </c>
      <c r="C951" t="inlineStr">
        <is>
          <t>Town</t>
        </is>
      </c>
      <c r="D951" t="inlineStr">
        <is>
          <t>Win</t>
        </is>
      </c>
      <c r="E951" t="n">
        <v>96</v>
      </c>
      <c r="F951" t="n">
        <v>31.30392302075299</v>
      </c>
      <c r="G951" t="n">
        <v>32.63476961402269</v>
      </c>
      <c r="H951" t="n">
        <v>6.708641457302647</v>
      </c>
      <c r="I951" t="n">
        <v>1439</v>
      </c>
      <c r="J951" t="n">
        <v>1535</v>
      </c>
      <c r="K951" t="n">
        <v>6.759899658029694</v>
      </c>
    </row>
    <row r="952">
      <c r="A952" t="n">
        <v>91</v>
      </c>
      <c r="B952" t="inlineStr">
        <is>
          <t>Gilbert</t>
        </is>
      </c>
      <c r="C952" t="inlineStr">
        <is>
          <t>Town</t>
        </is>
      </c>
      <c r="D952" t="inlineStr">
        <is>
          <t>Win</t>
        </is>
      </c>
      <c r="E952" t="n">
        <v>143</v>
      </c>
      <c r="F952" t="n">
        <v>23.17935582408145</v>
      </c>
      <c r="G952" t="n">
        <v>25.14057794946028</v>
      </c>
      <c r="H952" t="n">
        <v>8.113858600473749</v>
      </c>
      <c r="I952" t="n">
        <v>739</v>
      </c>
      <c r="J952" t="n">
        <v>882</v>
      </c>
      <c r="K952" t="n">
        <v>8.206442220920371</v>
      </c>
    </row>
    <row r="953">
      <c r="A953" t="n">
        <v>90</v>
      </c>
      <c r="B953" t="inlineStr">
        <is>
          <t>Justice</t>
        </is>
      </c>
      <c r="C953" t="inlineStr">
        <is>
          <t>Mafia</t>
        </is>
      </c>
      <c r="D953" t="inlineStr">
        <is>
          <t>Loss</t>
        </is>
      </c>
      <c r="E953" t="n">
        <v>-101</v>
      </c>
      <c r="F953" t="n">
        <v>25</v>
      </c>
      <c r="G953" t="n">
        <v>23.39148775181838</v>
      </c>
      <c r="H953" t="n">
        <v>8.253232563552666</v>
      </c>
      <c r="I953" t="n">
        <v>850</v>
      </c>
      <c r="J953" t="n">
        <v>749</v>
      </c>
      <c r="K953" t="n">
        <v>8.333333333333334</v>
      </c>
    </row>
    <row r="954">
      <c r="A954" t="n">
        <v>90</v>
      </c>
      <c r="B954" t="inlineStr">
        <is>
          <t>Sam</t>
        </is>
      </c>
      <c r="C954" t="inlineStr">
        <is>
          <t>Mafia</t>
        </is>
      </c>
      <c r="D954" t="inlineStr">
        <is>
          <t>Loss</t>
        </is>
      </c>
      <c r="E954" t="n">
        <v>-92</v>
      </c>
      <c r="F954" t="n">
        <v>27.0828266816717</v>
      </c>
      <c r="G954" t="n">
        <v>25.61709498078071</v>
      </c>
      <c r="H954" t="n">
        <v>7.885288711154753</v>
      </c>
      <c r="I954" t="n">
        <v>1030</v>
      </c>
      <c r="J954" t="n">
        <v>938</v>
      </c>
      <c r="K954" t="n">
        <v>7.954827423373728</v>
      </c>
    </row>
    <row r="955">
      <c r="A955" t="n">
        <v>90</v>
      </c>
      <c r="B955" t="inlineStr">
        <is>
          <t>Streety</t>
        </is>
      </c>
      <c r="C955" t="inlineStr">
        <is>
          <t>Mafia</t>
        </is>
      </c>
      <c r="D955" t="inlineStr">
        <is>
          <t>Loss</t>
        </is>
      </c>
      <c r="E955" t="n">
        <v>-89</v>
      </c>
      <c r="F955" t="n">
        <v>26.84398576950177</v>
      </c>
      <c r="G955" t="n">
        <v>25.43277230762653</v>
      </c>
      <c r="H955" t="n">
        <v>7.739823359221661</v>
      </c>
      <c r="I955" t="n">
        <v>1029</v>
      </c>
      <c r="J955" t="n">
        <v>940</v>
      </c>
      <c r="K955" t="n">
        <v>7.805460879861638</v>
      </c>
    </row>
    <row r="956">
      <c r="A956" t="n">
        <v>90</v>
      </c>
      <c r="B956" t="inlineStr">
        <is>
          <t>Noah</t>
        </is>
      </c>
      <c r="C956" t="inlineStr">
        <is>
          <t>Town</t>
        </is>
      </c>
      <c r="D956" t="inlineStr">
        <is>
          <t>Win</t>
        </is>
      </c>
      <c r="E956" t="n">
        <v>88</v>
      </c>
      <c r="F956" t="n">
        <v>28.14592956965638</v>
      </c>
      <c r="G956" t="n">
        <v>29.36263927289324</v>
      </c>
      <c r="H956" t="n">
        <v>7.195191236681618</v>
      </c>
      <c r="I956" t="n">
        <v>1175</v>
      </c>
      <c r="J956" t="n">
        <v>1263</v>
      </c>
      <c r="K956" t="n">
        <v>7.247529372680696</v>
      </c>
    </row>
    <row r="957">
      <c r="A957" t="n">
        <v>90</v>
      </c>
      <c r="B957" t="inlineStr">
        <is>
          <t>Rollo</t>
        </is>
      </c>
      <c r="C957" t="inlineStr">
        <is>
          <t>Town</t>
        </is>
      </c>
      <c r="D957" t="inlineStr">
        <is>
          <t>Win</t>
        </is>
      </c>
      <c r="E957" t="n">
        <v>95</v>
      </c>
      <c r="F957" t="n">
        <v>26.26401613366683</v>
      </c>
      <c r="G957" t="n">
        <v>27.58175623737212</v>
      </c>
      <c r="H957" t="n">
        <v>7.483363131600635</v>
      </c>
      <c r="I957" t="n">
        <v>1017</v>
      </c>
      <c r="J957" t="n">
        <v>1112</v>
      </c>
      <c r="K957" t="n">
        <v>7.54248663921892</v>
      </c>
    </row>
    <row r="958">
      <c r="A958" t="n">
        <v>90</v>
      </c>
      <c r="B958" t="inlineStr">
        <is>
          <t>Josh</t>
        </is>
      </c>
      <c r="C958" t="inlineStr">
        <is>
          <t>Town</t>
        </is>
      </c>
      <c r="D958" t="inlineStr">
        <is>
          <t>Win</t>
        </is>
      </c>
      <c r="E958" t="n">
        <v>104</v>
      </c>
      <c r="F958" t="n">
        <v>25.59946082789925</v>
      </c>
      <c r="G958" t="n">
        <v>27.03561827637189</v>
      </c>
      <c r="H958" t="n">
        <v>7.806739628035723</v>
      </c>
      <c r="I958" t="n">
        <v>938</v>
      </c>
      <c r="J958" t="n">
        <v>1042</v>
      </c>
      <c r="K958" t="n">
        <v>7.874152881820558</v>
      </c>
    </row>
    <row r="959">
      <c r="A959" t="n">
        <v>90</v>
      </c>
      <c r="B959" t="inlineStr">
        <is>
          <t>Jerm</t>
        </is>
      </c>
      <c r="C959" t="inlineStr">
        <is>
          <t>Town</t>
        </is>
      </c>
      <c r="D959" t="inlineStr">
        <is>
          <t>Win</t>
        </is>
      </c>
      <c r="E959" t="n">
        <v>118</v>
      </c>
      <c r="F959" t="n">
        <v>25</v>
      </c>
      <c r="G959" t="n">
        <v>26.60851224818161</v>
      </c>
      <c r="H959" t="n">
        <v>8.253232563552666</v>
      </c>
      <c r="I959" t="n">
        <v>850</v>
      </c>
      <c r="J959" t="n">
        <v>968</v>
      </c>
      <c r="K959" t="n">
        <v>8.333333333333334</v>
      </c>
    </row>
    <row r="960">
      <c r="A960" t="n">
        <v>90</v>
      </c>
      <c r="B960" t="inlineStr">
        <is>
          <t>Carson</t>
        </is>
      </c>
      <c r="C960" t="inlineStr">
        <is>
          <t>Town</t>
        </is>
      </c>
      <c r="D960" t="inlineStr">
        <is>
          <t>Win</t>
        </is>
      </c>
      <c r="E960" t="n">
        <v>87</v>
      </c>
      <c r="F960" t="n">
        <v>27.60871201701929</v>
      </c>
      <c r="G960" t="n">
        <v>28.82005660883617</v>
      </c>
      <c r="H960" t="n">
        <v>7.179544191719894</v>
      </c>
      <c r="I960" t="n">
        <v>1140</v>
      </c>
      <c r="J960" t="n">
        <v>1227</v>
      </c>
      <c r="K960" t="n">
        <v>7.231529590196452</v>
      </c>
    </row>
    <row r="961">
      <c r="A961" t="n">
        <v>90</v>
      </c>
      <c r="B961" t="inlineStr">
        <is>
          <t>23flash</t>
        </is>
      </c>
      <c r="C961" t="inlineStr">
        <is>
          <t>Town</t>
        </is>
      </c>
      <c r="D961" t="inlineStr">
        <is>
          <t>Win</t>
        </is>
      </c>
      <c r="E961" t="n">
        <v>107</v>
      </c>
      <c r="F961" t="n">
        <v>23.28893284778541</v>
      </c>
      <c r="G961" t="n">
        <v>24.74700622999604</v>
      </c>
      <c r="H961" t="n">
        <v>7.865029040756593</v>
      </c>
      <c r="I961" t="n">
        <v>774</v>
      </c>
      <c r="J961" t="n">
        <v>881</v>
      </c>
      <c r="K961" t="n">
        <v>7.934015278595342</v>
      </c>
    </row>
    <row r="962">
      <c r="A962" t="n">
        <v>90</v>
      </c>
      <c r="B962" t="inlineStr">
        <is>
          <t>Kwix</t>
        </is>
      </c>
      <c r="C962" t="inlineStr">
        <is>
          <t>Town</t>
        </is>
      </c>
      <c r="D962" t="inlineStr">
        <is>
          <t>Win</t>
        </is>
      </c>
      <c r="E962" t="n">
        <v>94</v>
      </c>
      <c r="F962" t="n">
        <v>22.77279346650258</v>
      </c>
      <c r="G962" t="n">
        <v>24.05975193342216</v>
      </c>
      <c r="H962" t="n">
        <v>7.396828719255338</v>
      </c>
      <c r="I962" t="n">
        <v>788</v>
      </c>
      <c r="J962" t="n">
        <v>882</v>
      </c>
      <c r="K962" t="n">
        <v>7.453856381293808</v>
      </c>
    </row>
    <row r="963">
      <c r="A963" t="n">
        <v>90</v>
      </c>
      <c r="B963" t="inlineStr">
        <is>
          <t>Siggy</t>
        </is>
      </c>
      <c r="C963" t="inlineStr">
        <is>
          <t>Town</t>
        </is>
      </c>
      <c r="D963" t="inlineStr">
        <is>
          <t>Win</t>
        </is>
      </c>
      <c r="E963" t="n">
        <v>113</v>
      </c>
      <c r="F963" t="n">
        <v>25.37048164919284</v>
      </c>
      <c r="G963" t="n">
        <v>26.92418213714795</v>
      </c>
      <c r="H963" t="n">
        <v>8.11411041158205</v>
      </c>
      <c r="I963" t="n">
        <v>890</v>
      </c>
      <c r="J963" t="n">
        <v>1003</v>
      </c>
      <c r="K963" t="n">
        <v>8.190098327451111</v>
      </c>
    </row>
    <row r="964">
      <c r="A964" t="n">
        <v>90</v>
      </c>
      <c r="B964" t="inlineStr">
        <is>
          <t>Rocker</t>
        </is>
      </c>
      <c r="C964" t="inlineStr">
        <is>
          <t>Town</t>
        </is>
      </c>
      <c r="D964" t="inlineStr">
        <is>
          <t>Win</t>
        </is>
      </c>
      <c r="E964" t="n">
        <v>77</v>
      </c>
      <c r="F964" t="n">
        <v>30.23186171571484</v>
      </c>
      <c r="G964" t="n">
        <v>31.30392302075299</v>
      </c>
      <c r="H964" t="n">
        <v>6.759899658029694</v>
      </c>
      <c r="I964" t="n">
        <v>1362</v>
      </c>
      <c r="J964" t="n">
        <v>1439</v>
      </c>
      <c r="K964" t="n">
        <v>6.803004071069116</v>
      </c>
    </row>
    <row r="965">
      <c r="A965" t="n">
        <v>90</v>
      </c>
      <c r="B965" t="inlineStr">
        <is>
          <t>Smit</t>
        </is>
      </c>
      <c r="C965" t="inlineStr">
        <is>
          <t>Town</t>
        </is>
      </c>
      <c r="D965" t="inlineStr">
        <is>
          <t>Win</t>
        </is>
      </c>
      <c r="E965" t="n">
        <v>86</v>
      </c>
      <c r="F965" t="n">
        <v>23.25985786959799</v>
      </c>
      <c r="G965" t="n">
        <v>24.4555108296532</v>
      </c>
      <c r="H965" t="n">
        <v>7.133571470310093</v>
      </c>
      <c r="I965" t="n">
        <v>849</v>
      </c>
      <c r="J965" t="n">
        <v>935</v>
      </c>
      <c r="K965" t="n">
        <v>7.18452965935241</v>
      </c>
    </row>
    <row r="966">
      <c r="A966" t="n">
        <v>90</v>
      </c>
      <c r="B966" t="inlineStr">
        <is>
          <t>Badpants</t>
        </is>
      </c>
      <c r="C966" t="inlineStr">
        <is>
          <t>Town</t>
        </is>
      </c>
      <c r="D966" t="inlineStr">
        <is>
          <t>Win</t>
        </is>
      </c>
      <c r="E966" t="n">
        <v>84</v>
      </c>
      <c r="F966" t="n">
        <v>22.10363179940157</v>
      </c>
      <c r="G966" t="n">
        <v>23.25680358063995</v>
      </c>
      <c r="H966" t="n">
        <v>7.007507234389162</v>
      </c>
      <c r="I966" t="n">
        <v>783</v>
      </c>
      <c r="J966" t="n">
        <v>867</v>
      </c>
      <c r="K966" t="n">
        <v>7.055718146100363</v>
      </c>
    </row>
    <row r="967">
      <c r="A967" t="n">
        <v>89</v>
      </c>
      <c r="B967" t="inlineStr">
        <is>
          <t>Machop</t>
        </is>
      </c>
      <c r="C967" t="inlineStr">
        <is>
          <t>Mafia</t>
        </is>
      </c>
      <c r="D967" t="inlineStr">
        <is>
          <t>Loss</t>
        </is>
      </c>
      <c r="E967" t="n">
        <v>-99</v>
      </c>
      <c r="F967" t="n">
        <v>26.86793612882908</v>
      </c>
      <c r="G967" t="n">
        <v>25.31680768892869</v>
      </c>
      <c r="H967" t="n">
        <v>6.872422722642523</v>
      </c>
      <c r="I967" t="n">
        <v>1120</v>
      </c>
      <c r="J967" t="n">
        <v>1021</v>
      </c>
      <c r="K967" t="n">
        <v>6.931245610319468</v>
      </c>
    </row>
    <row r="968">
      <c r="A968" t="n">
        <v>89</v>
      </c>
      <c r="B968" t="inlineStr">
        <is>
          <t>Rocker</t>
        </is>
      </c>
      <c r="C968" t="inlineStr">
        <is>
          <t>Mafia</t>
        </is>
      </c>
      <c r="D968" t="inlineStr">
        <is>
          <t>Loss</t>
        </is>
      </c>
      <c r="E968" t="n">
        <v>-97</v>
      </c>
      <c r="F968" t="n">
        <v>31.75127165685848</v>
      </c>
      <c r="G968" t="n">
        <v>30.23186171571484</v>
      </c>
      <c r="H968" t="n">
        <v>6.803004071069116</v>
      </c>
      <c r="I968" t="n">
        <v>1459</v>
      </c>
      <c r="J968" t="n">
        <v>1362</v>
      </c>
      <c r="K968" t="n">
        <v>6.859997324405309</v>
      </c>
    </row>
    <row r="969">
      <c r="A969" t="n">
        <v>89</v>
      </c>
      <c r="B969" t="inlineStr">
        <is>
          <t>Badpants</t>
        </is>
      </c>
      <c r="C969" t="inlineStr">
        <is>
          <t>Mafia</t>
        </is>
      </c>
      <c r="D969" t="inlineStr">
        <is>
          <t>Loss</t>
        </is>
      </c>
      <c r="E969" t="n">
        <v>-105</v>
      </c>
      <c r="F969" t="n">
        <v>23.74017272679479</v>
      </c>
      <c r="G969" t="n">
        <v>22.10363179940157</v>
      </c>
      <c r="H969" t="n">
        <v>7.055718146100363</v>
      </c>
      <c r="I969" t="n">
        <v>888</v>
      </c>
      <c r="J969" t="n">
        <v>783</v>
      </c>
      <c r="K969" t="n">
        <v>7.119560788583096</v>
      </c>
    </row>
    <row r="970">
      <c r="A970" t="n">
        <v>89</v>
      </c>
      <c r="B970" t="inlineStr">
        <is>
          <t>Creatchee</t>
        </is>
      </c>
      <c r="C970" t="inlineStr">
        <is>
          <t>Town</t>
        </is>
      </c>
      <c r="D970" t="inlineStr">
        <is>
          <t>Win</t>
        </is>
      </c>
      <c r="E970" t="n">
        <v>123</v>
      </c>
      <c r="F970" t="n">
        <v>31.95738843981653</v>
      </c>
      <c r="G970" t="n">
        <v>33.66256024046663</v>
      </c>
      <c r="H970" t="n">
        <v>7.199368839535238</v>
      </c>
      <c r="I970" t="n">
        <v>1432</v>
      </c>
      <c r="J970" t="n">
        <v>1555</v>
      </c>
      <c r="K970" t="n">
        <v>7.267341393339213</v>
      </c>
    </row>
    <row r="971">
      <c r="A971" t="n">
        <v>89</v>
      </c>
      <c r="B971" t="inlineStr">
        <is>
          <t>Plen</t>
        </is>
      </c>
      <c r="C971" t="inlineStr">
        <is>
          <t>Town</t>
        </is>
      </c>
      <c r="D971" t="inlineStr">
        <is>
          <t>Win</t>
        </is>
      </c>
      <c r="E971" t="n">
        <v>121</v>
      </c>
      <c r="F971" t="n">
        <v>16.74149232051947</v>
      </c>
      <c r="G971" t="n">
        <v>18.41461346817207</v>
      </c>
      <c r="H971" t="n">
        <v>7.132672042411506</v>
      </c>
      <c r="I971" t="n">
        <v>404</v>
      </c>
      <c r="J971" t="n">
        <v>525</v>
      </c>
      <c r="K971" t="n">
        <v>7.198705352579942</v>
      </c>
    </row>
    <row r="972">
      <c r="A972" t="n">
        <v>89</v>
      </c>
      <c r="B972" t="inlineStr">
        <is>
          <t>Rick</t>
        </is>
      </c>
      <c r="C972" t="inlineStr">
        <is>
          <t>Town</t>
        </is>
      </c>
      <c r="D972" t="inlineStr">
        <is>
          <t>Win</t>
        </is>
      </c>
      <c r="E972" t="n">
        <v>148</v>
      </c>
      <c r="F972" t="n">
        <v>24.22750420992853</v>
      </c>
      <c r="G972" t="n">
        <v>26.27191344189347</v>
      </c>
      <c r="H972" t="n">
        <v>7.868007182749315</v>
      </c>
      <c r="I972" t="n">
        <v>836</v>
      </c>
      <c r="J972" t="n">
        <v>984</v>
      </c>
      <c r="K972" t="n">
        <v>7.95760229815857</v>
      </c>
    </row>
    <row r="973">
      <c r="A973" t="n">
        <v>89</v>
      </c>
      <c r="B973" t="inlineStr">
        <is>
          <t>Rollo</t>
        </is>
      </c>
      <c r="C973" t="inlineStr">
        <is>
          <t>Town</t>
        </is>
      </c>
      <c r="D973" t="inlineStr">
        <is>
          <t>Win</t>
        </is>
      </c>
      <c r="E973" t="n">
        <v>136</v>
      </c>
      <c r="F973" t="n">
        <v>24.38885348940737</v>
      </c>
      <c r="G973" t="n">
        <v>26.26401613366683</v>
      </c>
      <c r="H973" t="n">
        <v>7.54248663921892</v>
      </c>
      <c r="I973" t="n">
        <v>881</v>
      </c>
      <c r="J973" t="n">
        <v>1017</v>
      </c>
      <c r="K973" t="n">
        <v>7.621047875798347</v>
      </c>
    </row>
    <row r="974">
      <c r="A974" t="n">
        <v>89</v>
      </c>
      <c r="B974" t="inlineStr">
        <is>
          <t>Kwix</t>
        </is>
      </c>
      <c r="C974" t="inlineStr">
        <is>
          <t>Town</t>
        </is>
      </c>
      <c r="D974" t="inlineStr">
        <is>
          <t>Win</t>
        </is>
      </c>
      <c r="E974" t="n">
        <v>132</v>
      </c>
      <c r="F974" t="n">
        <v>20.94236325649406</v>
      </c>
      <c r="G974" t="n">
        <v>22.77279346650258</v>
      </c>
      <c r="H974" t="n">
        <v>7.453856381293808</v>
      </c>
      <c r="I974" t="n">
        <v>656</v>
      </c>
      <c r="J974" t="n">
        <v>788</v>
      </c>
      <c r="K974" t="n">
        <v>7.529582433980556</v>
      </c>
    </row>
    <row r="975">
      <c r="A975" t="n">
        <v>89</v>
      </c>
      <c r="B975" t="inlineStr">
        <is>
          <t>Chipper</t>
        </is>
      </c>
      <c r="C975" t="inlineStr">
        <is>
          <t>Town</t>
        </is>
      </c>
      <c r="D975" t="inlineStr">
        <is>
          <t>Win</t>
        </is>
      </c>
      <c r="E975" t="n">
        <v>120</v>
      </c>
      <c r="F975" t="n">
        <v>20.63443803042731</v>
      </c>
      <c r="G975" t="n">
        <v>22.30810692193317</v>
      </c>
      <c r="H975" t="n">
        <v>7.133817537455005</v>
      </c>
      <c r="I975" t="n">
        <v>669</v>
      </c>
      <c r="J975" t="n">
        <v>789</v>
      </c>
      <c r="K975" t="n">
        <v>7.199883834101476</v>
      </c>
    </row>
    <row r="976">
      <c r="A976" t="n">
        <v>89</v>
      </c>
      <c r="B976" t="inlineStr">
        <is>
          <t>Iln</t>
        </is>
      </c>
      <c r="C976" t="inlineStr">
        <is>
          <t>Town</t>
        </is>
      </c>
      <c r="D976" t="inlineStr">
        <is>
          <t>Win</t>
        </is>
      </c>
      <c r="E976" t="n">
        <v>122</v>
      </c>
      <c r="F976" t="n">
        <v>22.09290559298481</v>
      </c>
      <c r="G976" t="n">
        <v>23.79450961764353</v>
      </c>
      <c r="H976" t="n">
        <v>7.191977373683032</v>
      </c>
      <c r="I976" t="n">
        <v>762</v>
      </c>
      <c r="J976" t="n">
        <v>884</v>
      </c>
      <c r="K976" t="n">
        <v>7.259733146063959</v>
      </c>
    </row>
    <row r="977">
      <c r="A977" t="n">
        <v>89</v>
      </c>
      <c r="B977" t="inlineStr">
        <is>
          <t>Brownkow</t>
        </is>
      </c>
      <c r="C977" t="inlineStr">
        <is>
          <t>Town</t>
        </is>
      </c>
      <c r="D977" t="inlineStr">
        <is>
          <t>Win</t>
        </is>
      </c>
      <c r="E977" t="n">
        <v>107</v>
      </c>
      <c r="F977" t="n">
        <v>27.96906286749377</v>
      </c>
      <c r="G977" t="n">
        <v>29.4650506983246</v>
      </c>
      <c r="H977" t="n">
        <v>6.75125196412025</v>
      </c>
      <c r="I977" t="n">
        <v>1208</v>
      </c>
      <c r="J977" t="n">
        <v>1315</v>
      </c>
      <c r="K977" t="n">
        <v>6.80690630118691</v>
      </c>
    </row>
    <row r="978">
      <c r="A978" t="n">
        <v>89</v>
      </c>
      <c r="B978" t="inlineStr">
        <is>
          <t>Kden</t>
        </is>
      </c>
      <c r="C978" t="inlineStr">
        <is>
          <t>Town</t>
        </is>
      </c>
      <c r="D978" t="inlineStr">
        <is>
          <t>Win</t>
        </is>
      </c>
      <c r="E978" t="n">
        <v>132</v>
      </c>
      <c r="F978" t="n">
        <v>28.94913559732878</v>
      </c>
      <c r="G978" t="n">
        <v>30.7816500992756</v>
      </c>
      <c r="H978" t="n">
        <v>7.458011507861244</v>
      </c>
      <c r="I978" t="n">
        <v>1200</v>
      </c>
      <c r="J978" t="n">
        <v>1332</v>
      </c>
      <c r="K978" t="n">
        <v>7.533868898817886</v>
      </c>
    </row>
    <row r="979">
      <c r="A979" t="n">
        <v>89</v>
      </c>
      <c r="B979" t="inlineStr">
        <is>
          <t>Carson</t>
        </is>
      </c>
      <c r="C979" t="inlineStr">
        <is>
          <t>Town</t>
        </is>
      </c>
      <c r="D979" t="inlineStr">
        <is>
          <t>Win</t>
        </is>
      </c>
      <c r="E979" t="n">
        <v>124</v>
      </c>
      <c r="F979" t="n">
        <v>25.88797051169454</v>
      </c>
      <c r="G979" t="n">
        <v>27.60871201701929</v>
      </c>
      <c r="H979" t="n">
        <v>7.231529590196452</v>
      </c>
      <c r="I979" t="n">
        <v>1016</v>
      </c>
      <c r="J979" t="n">
        <v>1140</v>
      </c>
      <c r="K979" t="n">
        <v>7.300450833821377</v>
      </c>
    </row>
    <row r="980">
      <c r="A980" t="n">
        <v>88</v>
      </c>
      <c r="B980" t="inlineStr">
        <is>
          <t>Mintt</t>
        </is>
      </c>
      <c r="C980" t="inlineStr">
        <is>
          <t>Mafia</t>
        </is>
      </c>
      <c r="D980" t="inlineStr">
        <is>
          <t>Loss</t>
        </is>
      </c>
      <c r="E980" t="n">
        <v>-53</v>
      </c>
      <c r="F980" t="n">
        <v>25.73086978504509</v>
      </c>
      <c r="G980" t="n">
        <v>24.86257334227209</v>
      </c>
      <c r="H980" t="n">
        <v>7.41036634360102</v>
      </c>
      <c r="I980" t="n">
        <v>988</v>
      </c>
      <c r="J980" t="n">
        <v>935</v>
      </c>
      <c r="K980" t="n">
        <v>7.464885088035222</v>
      </c>
    </row>
    <row r="981">
      <c r="A981" t="n">
        <v>88</v>
      </c>
      <c r="B981" t="inlineStr">
        <is>
          <t>Lovekilling</t>
        </is>
      </c>
      <c r="C981" t="inlineStr">
        <is>
          <t>Mafia</t>
        </is>
      </c>
      <c r="D981" t="inlineStr">
        <is>
          <t>Loss</t>
        </is>
      </c>
      <c r="E981" t="n">
        <v>-62</v>
      </c>
      <c r="F981" t="n">
        <v>20.169681819101</v>
      </c>
      <c r="G981" t="n">
        <v>19.16120338177522</v>
      </c>
      <c r="H981" t="n">
        <v>7.976534010397052</v>
      </c>
      <c r="I981" t="n">
        <v>551</v>
      </c>
      <c r="J981" t="n">
        <v>489</v>
      </c>
      <c r="K981" t="n">
        <v>8.045033203344168</v>
      </c>
    </row>
    <row r="982">
      <c r="A982" t="n">
        <v>88</v>
      </c>
      <c r="B982" t="inlineStr">
        <is>
          <t>Rollo</t>
        </is>
      </c>
      <c r="C982" t="inlineStr">
        <is>
          <t>Mafia</t>
        </is>
      </c>
      <c r="D982" t="inlineStr">
        <is>
          <t>Loss</t>
        </is>
      </c>
      <c r="E982" t="n">
        <v>-57</v>
      </c>
      <c r="F982" t="n">
        <v>25.30802948582111</v>
      </c>
      <c r="G982" t="n">
        <v>24.38885348940737</v>
      </c>
      <c r="H982" t="n">
        <v>7.621047875798347</v>
      </c>
      <c r="I982" t="n">
        <v>938</v>
      </c>
      <c r="J982" t="n">
        <v>881</v>
      </c>
      <c r="K982" t="n">
        <v>7.680519747260891</v>
      </c>
    </row>
    <row r="983">
      <c r="A983" t="n">
        <v>88</v>
      </c>
      <c r="B983" t="inlineStr">
        <is>
          <t>Noah</t>
        </is>
      </c>
      <c r="C983" t="inlineStr">
        <is>
          <t>Town</t>
        </is>
      </c>
      <c r="D983" t="inlineStr">
        <is>
          <t>Win</t>
        </is>
      </c>
      <c r="E983" t="n">
        <v>62</v>
      </c>
      <c r="F983" t="n">
        <v>27.31592130116693</v>
      </c>
      <c r="G983" t="n">
        <v>28.14592956965638</v>
      </c>
      <c r="H983" t="n">
        <v>7.247529372680696</v>
      </c>
      <c r="I983" t="n">
        <v>1113</v>
      </c>
      <c r="J983" t="n">
        <v>1175</v>
      </c>
      <c r="K983" t="n">
        <v>7.298414549517151</v>
      </c>
    </row>
    <row r="984">
      <c r="A984" t="n">
        <v>88</v>
      </c>
      <c r="B984" t="inlineStr">
        <is>
          <t>Lou</t>
        </is>
      </c>
      <c r="C984" t="inlineStr">
        <is>
          <t>Town</t>
        </is>
      </c>
      <c r="D984" t="inlineStr">
        <is>
          <t>Win</t>
        </is>
      </c>
      <c r="E984" t="n">
        <v>59</v>
      </c>
      <c r="F984" t="n">
        <v>26.45952665503049</v>
      </c>
      <c r="G984" t="n">
        <v>27.2512460749703</v>
      </c>
      <c r="H984" t="n">
        <v>7.080720293054976</v>
      </c>
      <c r="I984" t="n">
        <v>1072</v>
      </c>
      <c r="J984" t="n">
        <v>1131</v>
      </c>
      <c r="K984" t="n">
        <v>7.12805423770149</v>
      </c>
    </row>
    <row r="985">
      <c r="A985" t="n">
        <v>88</v>
      </c>
      <c r="B985" t="inlineStr">
        <is>
          <t>Plen</t>
        </is>
      </c>
      <c r="C985" t="inlineStr">
        <is>
          <t>Town</t>
        </is>
      </c>
      <c r="D985" t="inlineStr">
        <is>
          <t>Win</t>
        </is>
      </c>
      <c r="E985" t="n">
        <v>61</v>
      </c>
      <c r="F985" t="n">
        <v>15.92278857300568</v>
      </c>
      <c r="G985" t="n">
        <v>16.74149232051947</v>
      </c>
      <c r="H985" t="n">
        <v>7.198705352579942</v>
      </c>
      <c r="I985" t="n">
        <v>343</v>
      </c>
      <c r="J985" t="n">
        <v>404</v>
      </c>
      <c r="K985" t="n">
        <v>7.248533401557541</v>
      </c>
    </row>
    <row r="986">
      <c r="A986" t="n">
        <v>88</v>
      </c>
      <c r="B986" t="inlineStr">
        <is>
          <t>Doublea</t>
        </is>
      </c>
      <c r="C986" t="inlineStr">
        <is>
          <t>Town</t>
        </is>
      </c>
      <c r="D986" t="inlineStr">
        <is>
          <t>Win</t>
        </is>
      </c>
      <c r="E986" t="n">
        <v>69</v>
      </c>
      <c r="F986" t="n">
        <v>24.71796760034999</v>
      </c>
      <c r="G986" t="n">
        <v>25.6427193237067</v>
      </c>
      <c r="H986" t="n">
        <v>7.643760326922605</v>
      </c>
      <c r="I986" t="n">
        <v>895</v>
      </c>
      <c r="J986" t="n">
        <v>964</v>
      </c>
      <c r="K986" t="n">
        <v>7.703783502814384</v>
      </c>
    </row>
    <row r="987">
      <c r="A987" t="n">
        <v>88</v>
      </c>
      <c r="B987" t="inlineStr">
        <is>
          <t>Machop</t>
        </is>
      </c>
      <c r="C987" t="inlineStr">
        <is>
          <t>Town</t>
        </is>
      </c>
      <c r="D987" t="inlineStr">
        <is>
          <t>Win</t>
        </is>
      </c>
      <c r="E987" t="n">
        <v>56</v>
      </c>
      <c r="F987" t="n">
        <v>26.10972733782085</v>
      </c>
      <c r="G987" t="n">
        <v>26.86793612882908</v>
      </c>
      <c r="H987" t="n">
        <v>6.931245610319468</v>
      </c>
      <c r="I987" t="n">
        <v>1064</v>
      </c>
      <c r="J987" t="n">
        <v>1120</v>
      </c>
      <c r="K987" t="n">
        <v>6.975540516085745</v>
      </c>
    </row>
    <row r="988">
      <c r="A988" t="n">
        <v>88</v>
      </c>
      <c r="B988" t="inlineStr">
        <is>
          <t>Chipper</t>
        </is>
      </c>
      <c r="C988" t="inlineStr">
        <is>
          <t>Town</t>
        </is>
      </c>
      <c r="D988" t="inlineStr">
        <is>
          <t>Win</t>
        </is>
      </c>
      <c r="E988" t="n">
        <v>61</v>
      </c>
      <c r="F988" t="n">
        <v>19.81546237423778</v>
      </c>
      <c r="G988" t="n">
        <v>20.63443803042731</v>
      </c>
      <c r="H988" t="n">
        <v>7.199883834101476</v>
      </c>
      <c r="I988" t="n">
        <v>608</v>
      </c>
      <c r="J988" t="n">
        <v>669</v>
      </c>
      <c r="K988" t="n">
        <v>7.249737225629422</v>
      </c>
    </row>
    <row r="989">
      <c r="A989" t="n">
        <v>88</v>
      </c>
      <c r="B989" t="inlineStr">
        <is>
          <t>Creatchee</t>
        </is>
      </c>
      <c r="C989" t="inlineStr">
        <is>
          <t>Town</t>
        </is>
      </c>
      <c r="D989" t="inlineStr">
        <is>
          <t>Win</t>
        </is>
      </c>
      <c r="E989" t="n">
        <v>62</v>
      </c>
      <c r="F989" t="n">
        <v>31.1227698993065</v>
      </c>
      <c r="G989" t="n">
        <v>31.95738843981653</v>
      </c>
      <c r="H989" t="n">
        <v>7.267341393339213</v>
      </c>
      <c r="I989" t="n">
        <v>1370</v>
      </c>
      <c r="J989" t="n">
        <v>1432</v>
      </c>
      <c r="K989" t="n">
        <v>7.318659758155142</v>
      </c>
    </row>
    <row r="990">
      <c r="A990" t="n">
        <v>88</v>
      </c>
      <c r="B990" t="inlineStr">
        <is>
          <t>Laur</t>
        </is>
      </c>
      <c r="C990" t="inlineStr">
        <is>
          <t>Town</t>
        </is>
      </c>
      <c r="D990" t="inlineStr">
        <is>
          <t>Win</t>
        </is>
      </c>
      <c r="E990" t="n">
        <v>66</v>
      </c>
      <c r="F990" t="n">
        <v>31.37275407562772</v>
      </c>
      <c r="G990" t="n">
        <v>32.2541694887017</v>
      </c>
      <c r="H990" t="n">
        <v>7.465294283965398</v>
      </c>
      <c r="I990" t="n">
        <v>1366</v>
      </c>
      <c r="J990" t="n">
        <v>1432</v>
      </c>
      <c r="K990" t="n">
        <v>7.52107667393754</v>
      </c>
    </row>
    <row r="991">
      <c r="A991" t="n">
        <v>88</v>
      </c>
      <c r="B991" t="inlineStr">
        <is>
          <t>Kden</t>
        </is>
      </c>
      <c r="C991" t="inlineStr">
        <is>
          <t>Town</t>
        </is>
      </c>
      <c r="D991" t="inlineStr">
        <is>
          <t>Win</t>
        </is>
      </c>
      <c r="E991" t="n">
        <v>67</v>
      </c>
      <c r="F991" t="n">
        <v>28.05119730583167</v>
      </c>
      <c r="G991" t="n">
        <v>28.94913559732878</v>
      </c>
      <c r="H991" t="n">
        <v>7.533868898817886</v>
      </c>
      <c r="I991" t="n">
        <v>1133</v>
      </c>
      <c r="J991" t="n">
        <v>1200</v>
      </c>
      <c r="K991" t="n">
        <v>7.591256188074834</v>
      </c>
    </row>
    <row r="992">
      <c r="A992" t="n">
        <v>88</v>
      </c>
      <c r="B992" t="inlineStr">
        <is>
          <t>Brownkow</t>
        </is>
      </c>
      <c r="C992" t="inlineStr">
        <is>
          <t>Town</t>
        </is>
      </c>
      <c r="D992" t="inlineStr">
        <is>
          <t>Win</t>
        </is>
      </c>
      <c r="E992" t="n">
        <v>54</v>
      </c>
      <c r="F992" t="n">
        <v>27.23815596788744</v>
      </c>
      <c r="G992" t="n">
        <v>27.96906286749377</v>
      </c>
      <c r="H992" t="n">
        <v>6.80690630118691</v>
      </c>
      <c r="I992" t="n">
        <v>1154</v>
      </c>
      <c r="J992" t="n">
        <v>1208</v>
      </c>
      <c r="K992" t="n">
        <v>6.848773783528783</v>
      </c>
    </row>
    <row r="993">
      <c r="A993" t="n">
        <v>87</v>
      </c>
      <c r="B993" t="inlineStr">
        <is>
          <t>Crispy</t>
        </is>
      </c>
      <c r="C993" t="inlineStr">
        <is>
          <t>Mafia</t>
        </is>
      </c>
      <c r="D993" t="inlineStr">
        <is>
          <t>Win</t>
        </is>
      </c>
      <c r="E993" t="n">
        <v>61</v>
      </c>
      <c r="F993" t="n">
        <v>26.42406224096552</v>
      </c>
      <c r="G993" t="n">
        <v>27.22608066124318</v>
      </c>
      <c r="H993" t="n">
        <v>8.186960400757851</v>
      </c>
      <c r="I993" t="n">
        <v>955</v>
      </c>
      <c r="J993" t="n">
        <v>1016</v>
      </c>
      <c r="K993" t="n">
        <v>8.25085089236887</v>
      </c>
    </row>
    <row r="994">
      <c r="A994" t="n">
        <v>87</v>
      </c>
      <c r="B994" t="inlineStr">
        <is>
          <t>Lofty</t>
        </is>
      </c>
      <c r="C994" t="inlineStr">
        <is>
          <t>Mafia</t>
        </is>
      </c>
      <c r="D994" t="inlineStr">
        <is>
          <t>Win</t>
        </is>
      </c>
      <c r="E994" t="n">
        <v>56</v>
      </c>
      <c r="F994" t="n">
        <v>25.0827192828503</v>
      </c>
      <c r="G994" t="n">
        <v>25.82082813933681</v>
      </c>
      <c r="H994" t="n">
        <v>7.85894521696779</v>
      </c>
      <c r="I994" t="n">
        <v>898</v>
      </c>
      <c r="J994" t="n">
        <v>954</v>
      </c>
      <c r="K994" t="n">
        <v>7.915238647185383</v>
      </c>
    </row>
    <row r="995">
      <c r="A995" t="n">
        <v>87</v>
      </c>
      <c r="B995" t="inlineStr">
        <is>
          <t>Noah</t>
        </is>
      </c>
      <c r="C995" t="inlineStr">
        <is>
          <t>Mafia</t>
        </is>
      </c>
      <c r="D995" t="inlineStr">
        <is>
          <t>Win</t>
        </is>
      </c>
      <c r="E995" t="n">
        <v>48</v>
      </c>
      <c r="F995" t="n">
        <v>26.68063391215885</v>
      </c>
      <c r="G995" t="n">
        <v>27.31592130116693</v>
      </c>
      <c r="H995" t="n">
        <v>7.298414549517151</v>
      </c>
      <c r="I995" t="n">
        <v>1065</v>
      </c>
      <c r="J995" t="n">
        <v>1113</v>
      </c>
      <c r="K995" t="n">
        <v>7.343165436882367</v>
      </c>
    </row>
    <row r="996">
      <c r="A996" t="n">
        <v>87</v>
      </c>
      <c r="B996" t="inlineStr">
        <is>
          <t>Streety</t>
        </is>
      </c>
      <c r="C996" t="inlineStr">
        <is>
          <t>Town</t>
        </is>
      </c>
      <c r="D996" t="inlineStr">
        <is>
          <t>Loss</t>
        </is>
      </c>
      <c r="E996" t="n">
        <v>-44</v>
      </c>
      <c r="F996" t="n">
        <v>27.57193670322621</v>
      </c>
      <c r="G996" t="n">
        <v>26.84398576950177</v>
      </c>
      <c r="H996" t="n">
        <v>7.805460879861638</v>
      </c>
      <c r="I996" t="n">
        <v>1073</v>
      </c>
      <c r="J996" t="n">
        <v>1029</v>
      </c>
      <c r="K996" t="n">
        <v>7.860576078783554</v>
      </c>
    </row>
    <row r="997">
      <c r="A997" t="n">
        <v>87</v>
      </c>
      <c r="B997" t="inlineStr">
        <is>
          <t>Rollo</t>
        </is>
      </c>
      <c r="C997" t="inlineStr">
        <is>
          <t>Town</t>
        </is>
      </c>
      <c r="D997" t="inlineStr">
        <is>
          <t>Loss</t>
        </is>
      </c>
      <c r="E997" t="n">
        <v>-42</v>
      </c>
      <c r="F997" t="n">
        <v>26.01253721510731</v>
      </c>
      <c r="G997" t="n">
        <v>25.30802948582111</v>
      </c>
      <c r="H997" t="n">
        <v>7.680519747260891</v>
      </c>
      <c r="I997" t="n">
        <v>980</v>
      </c>
      <c r="J997" t="n">
        <v>938</v>
      </c>
      <c r="K997" t="n">
        <v>7.732946994758104</v>
      </c>
    </row>
    <row r="998">
      <c r="A998" t="n">
        <v>87</v>
      </c>
      <c r="B998" t="inlineStr">
        <is>
          <t>Doublea</t>
        </is>
      </c>
      <c r="C998" t="inlineStr">
        <is>
          <t>Town</t>
        </is>
      </c>
      <c r="D998" t="inlineStr">
        <is>
          <t>Loss</t>
        </is>
      </c>
      <c r="E998" t="n">
        <v>-43</v>
      </c>
      <c r="F998" t="n">
        <v>25.42681008687779</v>
      </c>
      <c r="G998" t="n">
        <v>24.71796760034999</v>
      </c>
      <c r="H998" t="n">
        <v>7.703783502814384</v>
      </c>
      <c r="I998" t="n">
        <v>938</v>
      </c>
      <c r="J998" t="n">
        <v>895</v>
      </c>
      <c r="K998" t="n">
        <v>7.756704457680948</v>
      </c>
    </row>
    <row r="999">
      <c r="A999" t="n">
        <v>87</v>
      </c>
      <c r="B999" t="inlineStr">
        <is>
          <t>Iln</t>
        </is>
      </c>
      <c r="C999" t="inlineStr">
        <is>
          <t>Town</t>
        </is>
      </c>
      <c r="D999" t="inlineStr">
        <is>
          <t>Loss</t>
        </is>
      </c>
      <c r="E999" t="n">
        <v>-38</v>
      </c>
      <c r="F999" t="n">
        <v>22.72139279930914</v>
      </c>
      <c r="G999" t="n">
        <v>22.09290559298481</v>
      </c>
      <c r="H999" t="n">
        <v>7.259733146063959</v>
      </c>
      <c r="I999" t="n">
        <v>800</v>
      </c>
      <c r="J999" t="n">
        <v>762</v>
      </c>
      <c r="K999" t="n">
        <v>7.303751366296298</v>
      </c>
    </row>
    <row r="1000">
      <c r="A1000" t="n">
        <v>87</v>
      </c>
      <c r="B1000" t="inlineStr">
        <is>
          <t>Rocker</t>
        </is>
      </c>
      <c r="C1000" t="inlineStr">
        <is>
          <t>Town</t>
        </is>
      </c>
      <c r="D1000" t="inlineStr">
        <is>
          <t>Loss</t>
        </is>
      </c>
      <c r="E1000" t="n">
        <v>-35</v>
      </c>
      <c r="F1000" t="n">
        <v>32.31170306621167</v>
      </c>
      <c r="G1000" t="n">
        <v>31.75127165685848</v>
      </c>
      <c r="H1000" t="n">
        <v>6.859997324405309</v>
      </c>
      <c r="I1000" t="n">
        <v>1494</v>
      </c>
      <c r="J1000" t="n">
        <v>1459</v>
      </c>
      <c r="K1000" t="n">
        <v>6.896901924300739</v>
      </c>
    </row>
    <row r="1001">
      <c r="A1001" t="n">
        <v>87</v>
      </c>
      <c r="B1001" t="inlineStr">
        <is>
          <t>Smit</t>
        </is>
      </c>
      <c r="C1001" t="inlineStr">
        <is>
          <t>Town</t>
        </is>
      </c>
      <c r="D1001" t="inlineStr">
        <is>
          <t>Loss</t>
        </is>
      </c>
      <c r="E1001" t="n">
        <v>-37</v>
      </c>
      <c r="F1001" t="n">
        <v>23.87523293818908</v>
      </c>
      <c r="G1001" t="n">
        <v>23.25985786959799</v>
      </c>
      <c r="H1001" t="n">
        <v>7.18452965935241</v>
      </c>
      <c r="I1001" t="n">
        <v>886</v>
      </c>
      <c r="J1001" t="n">
        <v>849</v>
      </c>
      <c r="K1001" t="n">
        <v>7.227146213068274</v>
      </c>
    </row>
    <row r="1002">
      <c r="A1002" t="n">
        <v>87</v>
      </c>
      <c r="B1002" t="inlineStr">
        <is>
          <t>Strik3r</t>
        </is>
      </c>
      <c r="C1002" t="inlineStr">
        <is>
          <t>Town</t>
        </is>
      </c>
      <c r="D1002" t="inlineStr">
        <is>
          <t>Loss</t>
        </is>
      </c>
      <c r="E1002" t="n">
        <v>-43</v>
      </c>
      <c r="F1002" t="n">
        <v>28.0309512426671</v>
      </c>
      <c r="G1002" t="n">
        <v>27.31179812015911</v>
      </c>
      <c r="H1002" t="n">
        <v>7.758822264468249</v>
      </c>
      <c r="I1002" t="n">
        <v>1109</v>
      </c>
      <c r="J1002" t="n">
        <v>1066</v>
      </c>
      <c r="K1002" t="n">
        <v>7.812923590381761</v>
      </c>
    </row>
    <row r="1003">
      <c r="A1003" t="n">
        <v>87</v>
      </c>
      <c r="B1003" t="inlineStr">
        <is>
          <t>Carson</t>
        </is>
      </c>
      <c r="C1003" t="inlineStr">
        <is>
          <t>Town</t>
        </is>
      </c>
      <c r="D1003" t="inlineStr">
        <is>
          <t>Loss</t>
        </is>
      </c>
      <c r="E1003" t="n">
        <v>-38</v>
      </c>
      <c r="F1003" t="n">
        <v>26.52361693145036</v>
      </c>
      <c r="G1003" t="n">
        <v>25.88797051169454</v>
      </c>
      <c r="H1003" t="n">
        <v>7.300450833821377</v>
      </c>
      <c r="I1003" t="n">
        <v>1054</v>
      </c>
      <c r="J1003" t="n">
        <v>1016</v>
      </c>
      <c r="K1003" t="n">
        <v>7.345240512376241</v>
      </c>
    </row>
    <row r="1004">
      <c r="A1004" t="n">
        <v>87</v>
      </c>
      <c r="B1004" t="inlineStr">
        <is>
          <t>Machop</t>
        </is>
      </c>
      <c r="C1004" t="inlineStr">
        <is>
          <t>Town</t>
        </is>
      </c>
      <c r="D1004" t="inlineStr">
        <is>
          <t>Loss</t>
        </is>
      </c>
      <c r="E1004" t="n">
        <v>-35</v>
      </c>
      <c r="F1004" t="n">
        <v>26.68941558886998</v>
      </c>
      <c r="G1004" t="n">
        <v>26.10972733782085</v>
      </c>
      <c r="H1004" t="n">
        <v>6.975540516085745</v>
      </c>
      <c r="I1004" t="n">
        <v>1099</v>
      </c>
      <c r="J1004" t="n">
        <v>1064</v>
      </c>
      <c r="K1004" t="n">
        <v>7.014417024991391</v>
      </c>
    </row>
    <row r="1005">
      <c r="A1005" t="n">
        <v>87</v>
      </c>
      <c r="B1005" t="inlineStr">
        <is>
          <t>Kwix</t>
        </is>
      </c>
      <c r="C1005" t="inlineStr">
        <is>
          <t>Town</t>
        </is>
      </c>
      <c r="D1005" t="inlineStr">
        <is>
          <t>Loss</t>
        </is>
      </c>
      <c r="E1005" t="n">
        <v>-41</v>
      </c>
      <c r="F1005" t="n">
        <v>21.61908297523724</v>
      </c>
      <c r="G1005" t="n">
        <v>20.94236325649406</v>
      </c>
      <c r="H1005" t="n">
        <v>7.529582433980556</v>
      </c>
      <c r="I1005" t="n">
        <v>697</v>
      </c>
      <c r="J1005" t="n">
        <v>656</v>
      </c>
      <c r="K1005" t="n">
        <v>7.57888080451269</v>
      </c>
    </row>
    <row r="1006">
      <c r="A1006" t="n">
        <v>86</v>
      </c>
      <c r="B1006" t="inlineStr">
        <is>
          <t>Machop</t>
        </is>
      </c>
      <c r="C1006" t="inlineStr">
        <is>
          <t>Mafia</t>
        </is>
      </c>
      <c r="D1006" t="inlineStr">
        <is>
          <t>Win</t>
        </is>
      </c>
      <c r="E1006" t="n">
        <v>53</v>
      </c>
      <c r="F1006" t="n">
        <v>25.96343352355203</v>
      </c>
      <c r="G1006" t="n">
        <v>26.68941558886998</v>
      </c>
      <c r="H1006" t="n">
        <v>7.014417024991391</v>
      </c>
      <c r="I1006" t="n">
        <v>1046</v>
      </c>
      <c r="J1006" t="n">
        <v>1099</v>
      </c>
      <c r="K1006" t="n">
        <v>7.058722635539105</v>
      </c>
    </row>
    <row r="1007">
      <c r="A1007" t="n">
        <v>86</v>
      </c>
      <c r="B1007" t="inlineStr">
        <is>
          <t>Badpants</t>
        </is>
      </c>
      <c r="C1007" t="inlineStr">
        <is>
          <t>Mafia</t>
        </is>
      </c>
      <c r="D1007" t="inlineStr">
        <is>
          <t>Win</t>
        </is>
      </c>
      <c r="E1007" t="n">
        <v>55</v>
      </c>
      <c r="F1007" t="n">
        <v>22.99196819195706</v>
      </c>
      <c r="G1007" t="n">
        <v>23.74017272679479</v>
      </c>
      <c r="H1007" t="n">
        <v>7.119560788583096</v>
      </c>
      <c r="I1007" t="n">
        <v>833</v>
      </c>
      <c r="J1007" t="n">
        <v>888</v>
      </c>
      <c r="K1007" t="n">
        <v>7.16596419039414</v>
      </c>
    </row>
    <row r="1008">
      <c r="A1008" t="n">
        <v>86</v>
      </c>
      <c r="B1008" t="inlineStr">
        <is>
          <t>Motr</t>
        </is>
      </c>
      <c r="C1008" t="inlineStr">
        <is>
          <t>Mafia</t>
        </is>
      </c>
      <c r="D1008" t="inlineStr">
        <is>
          <t>Win</t>
        </is>
      </c>
      <c r="E1008" t="n">
        <v>76</v>
      </c>
      <c r="F1008" t="n">
        <v>25</v>
      </c>
      <c r="G1008" t="n">
        <v>26.01178105987008</v>
      </c>
      <c r="H1008" t="n">
        <v>8.259778825537202</v>
      </c>
      <c r="I1008" t="n">
        <v>850</v>
      </c>
      <c r="J1008" t="n">
        <v>926</v>
      </c>
      <c r="K1008" t="n">
        <v>8.333333333333334</v>
      </c>
    </row>
    <row r="1009">
      <c r="A1009" t="n">
        <v>86</v>
      </c>
      <c r="B1009" t="inlineStr">
        <is>
          <t>Brownkow</t>
        </is>
      </c>
      <c r="C1009" t="inlineStr">
        <is>
          <t>Town</t>
        </is>
      </c>
      <c r="D1009" t="inlineStr">
        <is>
          <t>Loss</t>
        </is>
      </c>
      <c r="E1009" t="n">
        <v>-42</v>
      </c>
      <c r="F1009" t="n">
        <v>27.92983438658091</v>
      </c>
      <c r="G1009" t="n">
        <v>27.23815596788744</v>
      </c>
      <c r="H1009" t="n">
        <v>6.848773783528783</v>
      </c>
      <c r="I1009" t="n">
        <v>1196</v>
      </c>
      <c r="J1009" t="n">
        <v>1154</v>
      </c>
      <c r="K1009" t="n">
        <v>6.88990323235024</v>
      </c>
    </row>
    <row r="1010">
      <c r="A1010" t="n">
        <v>86</v>
      </c>
      <c r="B1010" t="inlineStr">
        <is>
          <t>Lofty</t>
        </is>
      </c>
      <c r="C1010" t="inlineStr">
        <is>
          <t>Town</t>
        </is>
      </c>
      <c r="D1010" t="inlineStr">
        <is>
          <t>Loss</t>
        </is>
      </c>
      <c r="E1010" t="n">
        <v>-57</v>
      </c>
      <c r="F1010" t="n">
        <v>26.0104621323957</v>
      </c>
      <c r="G1010" t="n">
        <v>25.0827192828503</v>
      </c>
      <c r="H1010" t="n">
        <v>7.915238647185383</v>
      </c>
      <c r="I1010" t="n">
        <v>955</v>
      </c>
      <c r="J1010" t="n">
        <v>898</v>
      </c>
      <c r="K1010" t="n">
        <v>7.979698024673893</v>
      </c>
    </row>
    <row r="1011">
      <c r="A1011" t="n">
        <v>86</v>
      </c>
      <c r="B1011" t="inlineStr">
        <is>
          <t>Mintt</t>
        </is>
      </c>
      <c r="C1011" t="inlineStr">
        <is>
          <t>Town</t>
        </is>
      </c>
      <c r="D1011" t="inlineStr">
        <is>
          <t>Loss</t>
        </is>
      </c>
      <c r="E1011" t="n">
        <v>-51</v>
      </c>
      <c r="F1011" t="n">
        <v>26.55451829035872</v>
      </c>
      <c r="G1011" t="n">
        <v>25.73086978504509</v>
      </c>
      <c r="H1011" t="n">
        <v>7.464885088035222</v>
      </c>
      <c r="I1011" t="n">
        <v>1039</v>
      </c>
      <c r="J1011" t="n">
        <v>988</v>
      </c>
      <c r="K1011" t="n">
        <v>7.51864009191928</v>
      </c>
    </row>
    <row r="1012">
      <c r="A1012" t="n">
        <v>86</v>
      </c>
      <c r="B1012" t="inlineStr">
        <is>
          <t>Chipper</t>
        </is>
      </c>
      <c r="C1012" t="inlineStr">
        <is>
          <t>Town</t>
        </is>
      </c>
      <c r="D1012" t="inlineStr">
        <is>
          <t>Loss</t>
        </is>
      </c>
      <c r="E1012" t="n">
        <v>-48</v>
      </c>
      <c r="F1012" t="n">
        <v>20.59166345942193</v>
      </c>
      <c r="G1012" t="n">
        <v>19.81546237423778</v>
      </c>
      <c r="H1012" t="n">
        <v>7.249737225629422</v>
      </c>
      <c r="I1012" t="n">
        <v>656</v>
      </c>
      <c r="J1012" t="n">
        <v>608</v>
      </c>
      <c r="K1012" t="n">
        <v>7.298827732956822</v>
      </c>
    </row>
    <row r="1013">
      <c r="A1013" t="n">
        <v>86</v>
      </c>
      <c r="B1013" t="inlineStr">
        <is>
          <t>Rick</t>
        </is>
      </c>
      <c r="C1013" t="inlineStr">
        <is>
          <t>Town</t>
        </is>
      </c>
      <c r="D1013" t="inlineStr">
        <is>
          <t>Loss</t>
        </is>
      </c>
      <c r="E1013" t="n">
        <v>-57</v>
      </c>
      <c r="F1013" t="n">
        <v>25.16537354544556</v>
      </c>
      <c r="G1013" t="n">
        <v>24.22750420992853</v>
      </c>
      <c r="H1013" t="n">
        <v>7.95760229815857</v>
      </c>
      <c r="I1013" t="n">
        <v>893</v>
      </c>
      <c r="J1013" t="n">
        <v>836</v>
      </c>
      <c r="K1013" t="n">
        <v>8.023136577218045</v>
      </c>
    </row>
    <row r="1014">
      <c r="A1014" t="n">
        <v>86</v>
      </c>
      <c r="B1014" t="inlineStr">
        <is>
          <t>Heckmuffins</t>
        </is>
      </c>
      <c r="C1014" t="inlineStr">
        <is>
          <t>Town</t>
        </is>
      </c>
      <c r="D1014" t="inlineStr">
        <is>
          <t>Loss</t>
        </is>
      </c>
      <c r="E1014" t="n">
        <v>-59</v>
      </c>
      <c r="F1014" t="n">
        <v>27.53218500089739</v>
      </c>
      <c r="G1014" t="n">
        <v>26.54478692128634</v>
      </c>
      <c r="H1014" t="n">
        <v>8.161418502715023</v>
      </c>
      <c r="I1014" t="n">
        <v>1032</v>
      </c>
      <c r="J1014" t="n">
        <v>973</v>
      </c>
      <c r="K1014" t="n">
        <v>8.232293549536262</v>
      </c>
    </row>
    <row r="1015">
      <c r="A1015" t="n">
        <v>86</v>
      </c>
      <c r="B1015" t="inlineStr">
        <is>
          <t>Plen</t>
        </is>
      </c>
      <c r="C1015" t="inlineStr">
        <is>
          <t>Town</t>
        </is>
      </c>
      <c r="D1015" t="inlineStr">
        <is>
          <t>Loss</t>
        </is>
      </c>
      <c r="E1015" t="n">
        <v>-48</v>
      </c>
      <c r="F1015" t="n">
        <v>16.69872830213279</v>
      </c>
      <c r="G1015" t="n">
        <v>15.92278857300568</v>
      </c>
      <c r="H1015" t="n">
        <v>7.248533401557541</v>
      </c>
      <c r="I1015" t="n">
        <v>391</v>
      </c>
      <c r="J1015" t="n">
        <v>343</v>
      </c>
      <c r="K1015" t="n">
        <v>7.297598598124416</v>
      </c>
    </row>
    <row r="1016">
      <c r="A1016" t="n">
        <v>86</v>
      </c>
      <c r="B1016" t="inlineStr">
        <is>
          <t>Kden</t>
        </is>
      </c>
      <c r="C1016" t="inlineStr">
        <is>
          <t>Town</t>
        </is>
      </c>
      <c r="D1016" t="inlineStr">
        <is>
          <t>Loss</t>
        </is>
      </c>
      <c r="E1016" t="n">
        <v>-52</v>
      </c>
      <c r="F1016" t="n">
        <v>28.90340086164333</v>
      </c>
      <c r="G1016" t="n">
        <v>28.05119730583167</v>
      </c>
      <c r="H1016" t="n">
        <v>7.591256188074834</v>
      </c>
      <c r="I1016" t="n">
        <v>1185</v>
      </c>
      <c r="J1016" t="n">
        <v>1133</v>
      </c>
      <c r="K1016" t="n">
        <v>7.647884084963046</v>
      </c>
    </row>
    <row r="1017">
      <c r="A1017" t="n">
        <v>86</v>
      </c>
      <c r="B1017" t="inlineStr">
        <is>
          <t>Laur</t>
        </is>
      </c>
      <c r="C1017" t="inlineStr">
        <is>
          <t>Town</t>
        </is>
      </c>
      <c r="D1017" t="inlineStr">
        <is>
          <t>Loss</t>
        </is>
      </c>
      <c r="E1017" t="n">
        <v>-51</v>
      </c>
      <c r="F1017" t="n">
        <v>32.20903692447317</v>
      </c>
      <c r="G1017" t="n">
        <v>31.37275407562772</v>
      </c>
      <c r="H1017" t="n">
        <v>7.52107667393754</v>
      </c>
      <c r="I1017" t="n">
        <v>1417</v>
      </c>
      <c r="J1017" t="n">
        <v>1366</v>
      </c>
      <c r="K1017" t="n">
        <v>7.576096785552682</v>
      </c>
    </row>
    <row r="1018">
      <c r="A1018" t="n">
        <v>86</v>
      </c>
      <c r="B1018" t="inlineStr">
        <is>
          <t>Happymeal</t>
        </is>
      </c>
      <c r="C1018" t="inlineStr">
        <is>
          <t>Town</t>
        </is>
      </c>
      <c r="D1018" t="inlineStr">
        <is>
          <t>Loss</t>
        </is>
      </c>
      <c r="E1018" t="n">
        <v>-52</v>
      </c>
      <c r="F1018" t="n">
        <v>26.23139907372609</v>
      </c>
      <c r="G1018" t="n">
        <v>25.36958848183123</v>
      </c>
      <c r="H1018" t="n">
        <v>7.63327318169205</v>
      </c>
      <c r="I1018" t="n">
        <v>999</v>
      </c>
      <c r="J1018" t="n">
        <v>947</v>
      </c>
      <c r="K1018" t="n">
        <v>7.690878554139545</v>
      </c>
    </row>
    <row r="1019">
      <c r="A1019" t="n">
        <v>85</v>
      </c>
      <c r="B1019" t="inlineStr">
        <is>
          <t>Rocker</t>
        </is>
      </c>
      <c r="C1019" t="inlineStr">
        <is>
          <t>Mafia</t>
        </is>
      </c>
      <c r="D1019" t="inlineStr">
        <is>
          <t>Win</t>
        </is>
      </c>
      <c r="E1019" t="n">
        <v>19</v>
      </c>
      <c r="F1019" t="n">
        <v>32.07421762871628</v>
      </c>
      <c r="G1019" t="n">
        <v>32.31170306621167</v>
      </c>
      <c r="H1019" t="n">
        <v>6.896901924300739</v>
      </c>
      <c r="I1019" t="n">
        <v>1475</v>
      </c>
      <c r="J1019" t="n">
        <v>1494</v>
      </c>
      <c r="K1019" t="n">
        <v>6.919882064352083</v>
      </c>
    </row>
    <row r="1020">
      <c r="A1020" t="n">
        <v>85</v>
      </c>
      <c r="B1020" t="inlineStr">
        <is>
          <t>Creatchee</t>
        </is>
      </c>
      <c r="C1020" t="inlineStr">
        <is>
          <t>Mafia</t>
        </is>
      </c>
      <c r="D1020" t="inlineStr">
        <is>
          <t>Win</t>
        </is>
      </c>
      <c r="E1020" t="n">
        <v>21</v>
      </c>
      <c r="F1020" t="n">
        <v>30.85511696525046</v>
      </c>
      <c r="G1020" t="n">
        <v>31.1227698993065</v>
      </c>
      <c r="H1020" t="n">
        <v>7.318659758155142</v>
      </c>
      <c r="I1020" t="n">
        <v>1349</v>
      </c>
      <c r="J1020" t="n">
        <v>1370</v>
      </c>
      <c r="K1020" t="n">
        <v>7.346344938598101</v>
      </c>
    </row>
    <row r="1021">
      <c r="A1021" t="n">
        <v>85</v>
      </c>
      <c r="B1021" t="inlineStr">
        <is>
          <t>Lou</t>
        </is>
      </c>
      <c r="C1021" t="inlineStr">
        <is>
          <t>Mafia</t>
        </is>
      </c>
      <c r="D1021" t="inlineStr">
        <is>
          <t>Win</t>
        </is>
      </c>
      <c r="E1021" t="n">
        <v>20</v>
      </c>
      <c r="F1021" t="n">
        <v>26.20573564775876</v>
      </c>
      <c r="G1021" t="n">
        <v>26.45952665503049</v>
      </c>
      <c r="H1021" t="n">
        <v>7.12805423770149</v>
      </c>
      <c r="I1021" t="n">
        <v>1052</v>
      </c>
      <c r="J1021" t="n">
        <v>1072</v>
      </c>
      <c r="K1021" t="n">
        <v>7.153543609022337</v>
      </c>
    </row>
    <row r="1022">
      <c r="A1022" t="n">
        <v>85</v>
      </c>
      <c r="B1022" t="inlineStr">
        <is>
          <t>Laur</t>
        </is>
      </c>
      <c r="C1022" t="inlineStr">
        <is>
          <t>Town</t>
        </is>
      </c>
      <c r="D1022" t="inlineStr">
        <is>
          <t>Loss</t>
        </is>
      </c>
      <c r="E1022" t="n">
        <v>-17</v>
      </c>
      <c r="F1022" t="n">
        <v>32.4960115420775</v>
      </c>
      <c r="G1022" t="n">
        <v>32.20903692447317</v>
      </c>
      <c r="H1022" t="n">
        <v>7.576096785552682</v>
      </c>
      <c r="I1022" t="n">
        <v>1434</v>
      </c>
      <c r="J1022" t="n">
        <v>1417</v>
      </c>
      <c r="K1022" t="n">
        <v>7.606936026686643</v>
      </c>
    </row>
    <row r="1023">
      <c r="A1023" t="n">
        <v>85</v>
      </c>
      <c r="B1023" t="inlineStr">
        <is>
          <t>Rick</t>
        </is>
      </c>
      <c r="C1023" t="inlineStr">
        <is>
          <t>Town</t>
        </is>
      </c>
      <c r="D1023" t="inlineStr">
        <is>
          <t>Loss</t>
        </is>
      </c>
      <c r="E1023" t="n">
        <v>-18</v>
      </c>
      <c r="F1023" t="n">
        <v>25.48754335477225</v>
      </c>
      <c r="G1023" t="n">
        <v>25.16537354544556</v>
      </c>
      <c r="H1023" t="n">
        <v>8.023136577218045</v>
      </c>
      <c r="I1023" t="n">
        <v>911</v>
      </c>
      <c r="J1023" t="n">
        <v>893</v>
      </c>
      <c r="K1023" t="n">
        <v>8.059990696365833</v>
      </c>
    </row>
    <row r="1024">
      <c r="A1024" t="n">
        <v>85</v>
      </c>
      <c r="B1024" t="inlineStr">
        <is>
          <t>Iln</t>
        </is>
      </c>
      <c r="C1024" t="inlineStr">
        <is>
          <t>Town</t>
        </is>
      </c>
      <c r="D1024" t="inlineStr">
        <is>
          <t>Loss</t>
        </is>
      </c>
      <c r="E1024" t="n">
        <v>-15</v>
      </c>
      <c r="F1024" t="n">
        <v>22.98794791391768</v>
      </c>
      <c r="G1024" t="n">
        <v>22.72139279930914</v>
      </c>
      <c r="H1024" t="n">
        <v>7.303751366296298</v>
      </c>
      <c r="I1024" t="n">
        <v>815</v>
      </c>
      <c r="J1024" t="n">
        <v>800</v>
      </c>
      <c r="K1024" t="n">
        <v>7.331260581797538</v>
      </c>
    </row>
    <row r="1025">
      <c r="A1025" t="n">
        <v>85</v>
      </c>
      <c r="B1025" t="inlineStr">
        <is>
          <t>Badpants</t>
        </is>
      </c>
      <c r="C1025" t="inlineStr">
        <is>
          <t>Town</t>
        </is>
      </c>
      <c r="D1025" t="inlineStr">
        <is>
          <t>Loss</t>
        </is>
      </c>
      <c r="E1025" t="n">
        <v>-14</v>
      </c>
      <c r="F1025" t="n">
        <v>23.24848620017357</v>
      </c>
      <c r="G1025" t="n">
        <v>22.99196819195706</v>
      </c>
      <c r="H1025" t="n">
        <v>7.16596419039414</v>
      </c>
      <c r="I1025" t="n">
        <v>847</v>
      </c>
      <c r="J1025" t="n">
        <v>833</v>
      </c>
      <c r="K1025" t="n">
        <v>7.191881036531491</v>
      </c>
    </row>
    <row r="1026">
      <c r="A1026" t="n">
        <v>85</v>
      </c>
      <c r="B1026" t="inlineStr">
        <is>
          <t>Plen</t>
        </is>
      </c>
      <c r="C1026" t="inlineStr">
        <is>
          <t>Town</t>
        </is>
      </c>
      <c r="D1026" t="inlineStr">
        <is>
          <t>Loss</t>
        </is>
      </c>
      <c r="E1026" t="n">
        <v>-15</v>
      </c>
      <c r="F1026" t="n">
        <v>16.96483101423313</v>
      </c>
      <c r="G1026" t="n">
        <v>16.69872830213279</v>
      </c>
      <c r="H1026" t="n">
        <v>7.297598598124416</v>
      </c>
      <c r="I1026" t="n">
        <v>406</v>
      </c>
      <c r="J1026" t="n">
        <v>391</v>
      </c>
      <c r="K1026" t="n">
        <v>7.325035402493156</v>
      </c>
    </row>
    <row r="1027">
      <c r="A1027" t="n">
        <v>85</v>
      </c>
      <c r="B1027" t="inlineStr">
        <is>
          <t>Brownkow</t>
        </is>
      </c>
      <c r="C1027" t="inlineStr">
        <is>
          <t>Town</t>
        </is>
      </c>
      <c r="D1027" t="inlineStr">
        <is>
          <t>Loss</t>
        </is>
      </c>
      <c r="E1027" t="n">
        <v>-14</v>
      </c>
      <c r="F1027" t="n">
        <v>28.1668347547527</v>
      </c>
      <c r="G1027" t="n">
        <v>27.92983438658091</v>
      </c>
      <c r="H1027" t="n">
        <v>6.88990323235024</v>
      </c>
      <c r="I1027" t="n">
        <v>1210</v>
      </c>
      <c r="J1027" t="n">
        <v>1196</v>
      </c>
      <c r="K1027" t="n">
        <v>6.912809967656716</v>
      </c>
    </row>
    <row r="1028">
      <c r="A1028" t="n">
        <v>85</v>
      </c>
      <c r="B1028" t="inlineStr">
        <is>
          <t>Keegan</t>
        </is>
      </c>
      <c r="C1028" t="inlineStr">
        <is>
          <t>Town</t>
        </is>
      </c>
      <c r="D1028" t="inlineStr">
        <is>
          <t>Loss</t>
        </is>
      </c>
      <c r="E1028" t="n">
        <v>-17</v>
      </c>
      <c r="F1028" t="n">
        <v>28.95594255413122</v>
      </c>
      <c r="G1028" t="n">
        <v>28.64500731421306</v>
      </c>
      <c r="H1028" t="n">
        <v>7.883292280041026</v>
      </c>
      <c r="I1028" t="n">
        <v>1161</v>
      </c>
      <c r="J1028" t="n">
        <v>1144</v>
      </c>
      <c r="K1028" t="n">
        <v>7.918189397881443</v>
      </c>
    </row>
    <row r="1029">
      <c r="A1029" t="n">
        <v>85</v>
      </c>
      <c r="B1029" t="inlineStr">
        <is>
          <t>Kden</t>
        </is>
      </c>
      <c r="C1029" t="inlineStr">
        <is>
          <t>Town</t>
        </is>
      </c>
      <c r="D1029" t="inlineStr">
        <is>
          <t>Loss</t>
        </is>
      </c>
      <c r="E1029" t="n">
        <v>-17</v>
      </c>
      <c r="F1029" t="n">
        <v>29.19588650040404</v>
      </c>
      <c r="G1029" t="n">
        <v>28.90340086164333</v>
      </c>
      <c r="H1029" t="n">
        <v>7.647884084963046</v>
      </c>
      <c r="I1029" t="n">
        <v>1202</v>
      </c>
      <c r="J1029" t="n">
        <v>1185</v>
      </c>
      <c r="K1029" t="n">
        <v>7.679642465878149</v>
      </c>
    </row>
    <row r="1030">
      <c r="A1030" t="n">
        <v>85</v>
      </c>
      <c r="B1030" t="inlineStr">
        <is>
          <t>Lofty</t>
        </is>
      </c>
      <c r="C1030" t="inlineStr">
        <is>
          <t>Town</t>
        </is>
      </c>
      <c r="D1030" t="inlineStr">
        <is>
          <t>Loss</t>
        </is>
      </c>
      <c r="E1030" t="n">
        <v>-18</v>
      </c>
      <c r="F1030" t="n">
        <v>26.32912030464601</v>
      </c>
      <c r="G1030" t="n">
        <v>26.0104621323957</v>
      </c>
      <c r="H1030" t="n">
        <v>7.979698024673893</v>
      </c>
      <c r="I1030" t="n">
        <v>973</v>
      </c>
      <c r="J1030" t="n">
        <v>955</v>
      </c>
      <c r="K1030" t="n">
        <v>8.015936764500374</v>
      </c>
    </row>
    <row r="1031">
      <c r="A1031" t="n">
        <v>85</v>
      </c>
      <c r="B1031" t="inlineStr">
        <is>
          <t>Machop</t>
        </is>
      </c>
      <c r="C1031" t="inlineStr">
        <is>
          <t>Town</t>
        </is>
      </c>
      <c r="D1031" t="inlineStr">
        <is>
          <t>Loss</t>
        </is>
      </c>
      <c r="E1031" t="n">
        <v>-14</v>
      </c>
      <c r="F1031" t="n">
        <v>26.21227578353752</v>
      </c>
      <c r="G1031" t="n">
        <v>25.96343352355203</v>
      </c>
      <c r="H1031" t="n">
        <v>7.058722635539105</v>
      </c>
      <c r="I1031" t="n">
        <v>1060</v>
      </c>
      <c r="J1031" t="n">
        <v>1046</v>
      </c>
      <c r="K1031" t="n">
        <v>7.083441946119597</v>
      </c>
    </row>
    <row r="1032">
      <c r="A1032" t="n">
        <v>84</v>
      </c>
      <c r="B1032" t="inlineStr">
        <is>
          <t>Chipper</t>
        </is>
      </c>
      <c r="C1032" t="inlineStr">
        <is>
          <t>Mafia</t>
        </is>
      </c>
      <c r="D1032" t="inlineStr">
        <is>
          <t>Win</t>
        </is>
      </c>
      <c r="E1032" t="n">
        <v>71</v>
      </c>
      <c r="F1032" t="n">
        <v>19.63219867680764</v>
      </c>
      <c r="G1032" t="n">
        <v>20.59166345942193</v>
      </c>
      <c r="H1032" t="n">
        <v>7.298827732956822</v>
      </c>
      <c r="I1032" t="n">
        <v>585</v>
      </c>
      <c r="J1032" t="n">
        <v>656</v>
      </c>
      <c r="K1032" t="n">
        <v>7.349676524910088</v>
      </c>
    </row>
    <row r="1033">
      <c r="A1033" t="n">
        <v>84</v>
      </c>
      <c r="B1033" t="inlineStr">
        <is>
          <t>Doublea</t>
        </is>
      </c>
      <c r="C1033" t="inlineStr">
        <is>
          <t>Mafia</t>
        </is>
      </c>
      <c r="D1033" t="inlineStr">
        <is>
          <t>Win</t>
        </is>
      </c>
      <c r="E1033" t="n">
        <v>80</v>
      </c>
      <c r="F1033" t="n">
        <v>24.34116632617911</v>
      </c>
      <c r="G1033" t="n">
        <v>25.42681008687779</v>
      </c>
      <c r="H1033" t="n">
        <v>7.756704457680948</v>
      </c>
      <c r="I1033" t="n">
        <v>858</v>
      </c>
      <c r="J1033" t="n">
        <v>938</v>
      </c>
      <c r="K1033" t="n">
        <v>7.818114894826666</v>
      </c>
    </row>
    <row r="1034">
      <c r="A1034" t="n">
        <v>84</v>
      </c>
      <c r="B1034" t="inlineStr">
        <is>
          <t>Kden</t>
        </is>
      </c>
      <c r="C1034" t="inlineStr">
        <is>
          <t>Mafia</t>
        </is>
      </c>
      <c r="D1034" t="inlineStr">
        <is>
          <t>Win</t>
        </is>
      </c>
      <c r="E1034" t="n">
        <v>78</v>
      </c>
      <c r="F1034" t="n">
        <v>28.13205034329309</v>
      </c>
      <c r="G1034" t="n">
        <v>29.19588650040404</v>
      </c>
      <c r="H1034" t="n">
        <v>7.679642465878149</v>
      </c>
      <c r="I1034" t="n">
        <v>1124</v>
      </c>
      <c r="J1034" t="n">
        <v>1202</v>
      </c>
      <c r="K1034" t="n">
        <v>7.739181346619193</v>
      </c>
    </row>
    <row r="1035">
      <c r="A1035" t="n">
        <v>84</v>
      </c>
      <c r="B1035" t="inlineStr">
        <is>
          <t>Badpants</t>
        </is>
      </c>
      <c r="C1035" t="inlineStr">
        <is>
          <t>Town</t>
        </is>
      </c>
      <c r="D1035" t="inlineStr">
        <is>
          <t>Loss</t>
        </is>
      </c>
      <c r="E1035" t="n">
        <v>-59</v>
      </c>
      <c r="F1035" t="n">
        <v>24.17965051912985</v>
      </c>
      <c r="G1035" t="n">
        <v>23.24848620017357</v>
      </c>
      <c r="H1035" t="n">
        <v>7.191881036531491</v>
      </c>
      <c r="I1035" t="n">
        <v>906</v>
      </c>
      <c r="J1035" t="n">
        <v>847</v>
      </c>
      <c r="K1035" t="n">
        <v>7.24045147497996</v>
      </c>
    </row>
    <row r="1036">
      <c r="A1036" t="n">
        <v>84</v>
      </c>
      <c r="B1036" t="inlineStr">
        <is>
          <t>Creatchee</t>
        </is>
      </c>
      <c r="C1036" t="inlineStr">
        <is>
          <t>Town</t>
        </is>
      </c>
      <c r="D1036" t="inlineStr">
        <is>
          <t>Loss</t>
        </is>
      </c>
      <c r="E1036" t="n">
        <v>-61</v>
      </c>
      <c r="F1036" t="n">
        <v>31.82729769632821</v>
      </c>
      <c r="G1036" t="n">
        <v>30.85511696525046</v>
      </c>
      <c r="H1036" t="n">
        <v>7.346344938598101</v>
      </c>
      <c r="I1036" t="n">
        <v>1410</v>
      </c>
      <c r="J1036" t="n">
        <v>1349</v>
      </c>
      <c r="K1036" t="n">
        <v>7.398228425165035</v>
      </c>
    </row>
    <row r="1037">
      <c r="A1037" t="n">
        <v>84</v>
      </c>
      <c r="B1037" t="inlineStr">
        <is>
          <t>Iln</t>
        </is>
      </c>
      <c r="C1037" t="inlineStr">
        <is>
          <t>Town</t>
        </is>
      </c>
      <c r="D1037" t="inlineStr">
        <is>
          <t>Loss</t>
        </is>
      </c>
      <c r="E1037" t="n">
        <v>-61</v>
      </c>
      <c r="F1037" t="n">
        <v>23.95608249668864</v>
      </c>
      <c r="G1037" t="n">
        <v>22.98794791391768</v>
      </c>
      <c r="H1037" t="n">
        <v>7.331260581797538</v>
      </c>
      <c r="I1037" t="n">
        <v>876</v>
      </c>
      <c r="J1037" t="n">
        <v>815</v>
      </c>
      <c r="K1037" t="n">
        <v>7.382814099370055</v>
      </c>
    </row>
    <row r="1038">
      <c r="A1038" t="n">
        <v>84</v>
      </c>
      <c r="B1038" t="inlineStr">
        <is>
          <t>Lou</t>
        </is>
      </c>
      <c r="C1038" t="inlineStr">
        <is>
          <t>Town</t>
        </is>
      </c>
      <c r="D1038" t="inlineStr">
        <is>
          <t>Loss</t>
        </is>
      </c>
      <c r="E1038" t="n">
        <v>-58</v>
      </c>
      <c r="F1038" t="n">
        <v>27.12686251020192</v>
      </c>
      <c r="G1038" t="n">
        <v>26.20573564775876</v>
      </c>
      <c r="H1038" t="n">
        <v>7.153543609022337</v>
      </c>
      <c r="I1038" t="n">
        <v>1110</v>
      </c>
      <c r="J1038" t="n">
        <v>1052</v>
      </c>
      <c r="K1038" t="n">
        <v>7.201314145592231</v>
      </c>
    </row>
    <row r="1039">
      <c r="A1039" t="n">
        <v>84</v>
      </c>
      <c r="B1039" t="inlineStr">
        <is>
          <t>Machop</t>
        </is>
      </c>
      <c r="C1039" t="inlineStr">
        <is>
          <t>Town</t>
        </is>
      </c>
      <c r="D1039" t="inlineStr">
        <is>
          <t>Loss</t>
        </is>
      </c>
      <c r="E1039" t="n">
        <v>-57</v>
      </c>
      <c r="F1039" t="n">
        <v>27.11519515405737</v>
      </c>
      <c r="G1039" t="n">
        <v>26.21227578353752</v>
      </c>
      <c r="H1039" t="n">
        <v>7.083441946119597</v>
      </c>
      <c r="I1039" t="n">
        <v>1117</v>
      </c>
      <c r="J1039" t="n">
        <v>1060</v>
      </c>
      <c r="K1039" t="n">
        <v>7.129772519566985</v>
      </c>
    </row>
    <row r="1040">
      <c r="A1040" t="n">
        <v>84</v>
      </c>
      <c r="B1040" t="inlineStr">
        <is>
          <t>Mintt</t>
        </is>
      </c>
      <c r="C1040" t="inlineStr">
        <is>
          <t>Town</t>
        </is>
      </c>
      <c r="D1040" t="inlineStr">
        <is>
          <t>Loss</t>
        </is>
      </c>
      <c r="E1040" t="n">
        <v>-63</v>
      </c>
      <c r="F1040" t="n">
        <v>27.57354028818238</v>
      </c>
      <c r="G1040" t="n">
        <v>26.55451829035872</v>
      </c>
      <c r="H1040" t="n">
        <v>7.51864009191928</v>
      </c>
      <c r="I1040" t="n">
        <v>1102</v>
      </c>
      <c r="J1040" t="n">
        <v>1039</v>
      </c>
      <c r="K1040" t="n">
        <v>7.574393004258383</v>
      </c>
    </row>
    <row r="1041">
      <c r="A1041" t="n">
        <v>84</v>
      </c>
      <c r="B1041" t="inlineStr">
        <is>
          <t>Plen</t>
        </is>
      </c>
      <c r="C1041" t="inlineStr">
        <is>
          <t>Town</t>
        </is>
      </c>
      <c r="D1041" t="inlineStr">
        <is>
          <t>Loss</t>
        </is>
      </c>
      <c r="E1041" t="n">
        <v>-61</v>
      </c>
      <c r="F1041" t="n">
        <v>17.93129835478249</v>
      </c>
      <c r="G1041" t="n">
        <v>16.96483101423313</v>
      </c>
      <c r="H1041" t="n">
        <v>7.325035402493156</v>
      </c>
      <c r="I1041" t="n">
        <v>467</v>
      </c>
      <c r="J1041" t="n">
        <v>406</v>
      </c>
      <c r="K1041" t="n">
        <v>7.376453153406573</v>
      </c>
    </row>
    <row r="1042">
      <c r="A1042" t="n">
        <v>84</v>
      </c>
      <c r="B1042" t="inlineStr">
        <is>
          <t>Rocker</t>
        </is>
      </c>
      <c r="C1042" t="inlineStr">
        <is>
          <t>Town</t>
        </is>
      </c>
      <c r="D1042" t="inlineStr">
        <is>
          <t>Loss</t>
        </is>
      </c>
      <c r="E1042" t="n">
        <v>-54</v>
      </c>
      <c r="F1042" t="n">
        <v>32.93539027967002</v>
      </c>
      <c r="G1042" t="n">
        <v>32.07421762871628</v>
      </c>
      <c r="H1042" t="n">
        <v>6.919882064352083</v>
      </c>
      <c r="I1042" t="n">
        <v>1529</v>
      </c>
      <c r="J1042" t="n">
        <v>1475</v>
      </c>
      <c r="K1042" t="n">
        <v>6.9629653225971</v>
      </c>
    </row>
    <row r="1043">
      <c r="A1043" t="n">
        <v>84</v>
      </c>
      <c r="B1043" t="inlineStr">
        <is>
          <t>Rollo</t>
        </is>
      </c>
      <c r="C1043" t="inlineStr">
        <is>
          <t>Town</t>
        </is>
      </c>
      <c r="D1043" t="inlineStr">
        <is>
          <t>Loss</t>
        </is>
      </c>
      <c r="E1043" t="n">
        <v>-67</v>
      </c>
      <c r="F1043" t="n">
        <v>27.09143316001112</v>
      </c>
      <c r="G1043" t="n">
        <v>26.01253721510731</v>
      </c>
      <c r="H1043" t="n">
        <v>7.732946994758104</v>
      </c>
      <c r="I1043" t="n">
        <v>1047</v>
      </c>
      <c r="J1043" t="n">
        <v>980</v>
      </c>
      <c r="K1043" t="n">
        <v>7.793776299728234</v>
      </c>
    </row>
    <row r="1044">
      <c r="A1044" t="n">
        <v>84</v>
      </c>
      <c r="B1044" t="inlineStr">
        <is>
          <t>Smit</t>
        </is>
      </c>
      <c r="C1044" t="inlineStr">
        <is>
          <t>Town</t>
        </is>
      </c>
      <c r="D1044" t="inlineStr">
        <is>
          <t>Loss</t>
        </is>
      </c>
      <c r="E1044" t="n">
        <v>-59</v>
      </c>
      <c r="F1044" t="n">
        <v>24.81568039751431</v>
      </c>
      <c r="G1044" t="n">
        <v>23.87523293818908</v>
      </c>
      <c r="H1044" t="n">
        <v>7.227146213068274</v>
      </c>
      <c r="I1044" t="n">
        <v>945</v>
      </c>
      <c r="J1044" t="n">
        <v>886</v>
      </c>
      <c r="K1044" t="n">
        <v>7.27646026134385</v>
      </c>
    </row>
    <row r="1045">
      <c r="A1045" t="n">
        <v>84</v>
      </c>
      <c r="B1045" t="inlineStr">
        <is>
          <t>Wyz</t>
        </is>
      </c>
      <c r="C1045" t="inlineStr">
        <is>
          <t>Town</t>
        </is>
      </c>
      <c r="D1045" t="inlineStr">
        <is>
          <t>Loss</t>
        </is>
      </c>
      <c r="E1045" t="n">
        <v>-75</v>
      </c>
      <c r="F1045" t="n">
        <v>26.41459359781429</v>
      </c>
      <c r="G1045" t="n">
        <v>25.20361015848539</v>
      </c>
      <c r="H1045" t="n">
        <v>8.184640354954565</v>
      </c>
      <c r="I1045" t="n">
        <v>954</v>
      </c>
      <c r="J1045" t="n">
        <v>879</v>
      </c>
      <c r="K1045" t="n">
        <v>8.257168691306232</v>
      </c>
    </row>
    <row r="1046">
      <c r="A1046" t="n">
        <v>83</v>
      </c>
      <c r="B1046" t="inlineStr">
        <is>
          <t>Whyin</t>
        </is>
      </c>
      <c r="C1046" t="inlineStr">
        <is>
          <t>Mafia</t>
        </is>
      </c>
      <c r="D1046" t="inlineStr">
        <is>
          <t>Loss</t>
        </is>
      </c>
      <c r="E1046" t="n">
        <v>-74</v>
      </c>
      <c r="F1046" t="n">
        <v>27.83305991975393</v>
      </c>
      <c r="G1046" t="n">
        <v>26.66416853597766</v>
      </c>
      <c r="H1046" t="n">
        <v>7.282711507304273</v>
      </c>
      <c r="I1046" t="n">
        <v>1144</v>
      </c>
      <c r="J1046" t="n">
        <v>1070</v>
      </c>
      <c r="K1046" t="n">
        <v>7.341466492253075</v>
      </c>
    </row>
    <row r="1047">
      <c r="A1047" t="n">
        <v>83</v>
      </c>
      <c r="B1047" t="inlineStr">
        <is>
          <t>Noah</t>
        </is>
      </c>
      <c r="C1047" t="inlineStr">
        <is>
          <t>Mafia</t>
        </is>
      </c>
      <c r="D1047" t="inlineStr">
        <is>
          <t>Loss</t>
        </is>
      </c>
      <c r="E1047" t="n">
        <v>-75</v>
      </c>
      <c r="F1047" t="n">
        <v>27.86934210666952</v>
      </c>
      <c r="G1047" t="n">
        <v>26.68063391215885</v>
      </c>
      <c r="H1047" t="n">
        <v>7.343165436882367</v>
      </c>
      <c r="I1047" t="n">
        <v>1140</v>
      </c>
      <c r="J1047" t="n">
        <v>1065</v>
      </c>
      <c r="K1047" t="n">
        <v>7.403448202107154</v>
      </c>
    </row>
    <row r="1048">
      <c r="A1048" t="n">
        <v>83</v>
      </c>
      <c r="B1048" t="inlineStr">
        <is>
          <t>23flash</t>
        </is>
      </c>
      <c r="C1048" t="inlineStr">
        <is>
          <t>Mafia</t>
        </is>
      </c>
      <c r="D1048" t="inlineStr">
        <is>
          <t>Loss</t>
        </is>
      </c>
      <c r="E1048" t="n">
        <v>-87</v>
      </c>
      <c r="F1048" t="n">
        <v>24.68059116849044</v>
      </c>
      <c r="G1048" t="n">
        <v>23.28893284778541</v>
      </c>
      <c r="H1048" t="n">
        <v>7.934015278595342</v>
      </c>
      <c r="I1048" t="n">
        <v>861</v>
      </c>
      <c r="J1048" t="n">
        <v>774</v>
      </c>
      <c r="K1048" t="n">
        <v>8.0106637351952</v>
      </c>
    </row>
    <row r="1049">
      <c r="A1049" t="n">
        <v>83</v>
      </c>
      <c r="B1049" t="inlineStr">
        <is>
          <t>Brownkow</t>
        </is>
      </c>
      <c r="C1049" t="inlineStr">
        <is>
          <t>Town</t>
        </is>
      </c>
      <c r="D1049" t="inlineStr">
        <is>
          <t>Win</t>
        </is>
      </c>
      <c r="E1049" t="n">
        <v>76</v>
      </c>
      <c r="F1049" t="n">
        <v>27.11539946966229</v>
      </c>
      <c r="G1049" t="n">
        <v>28.1668347547527</v>
      </c>
      <c r="H1049" t="n">
        <v>6.912809967656716</v>
      </c>
      <c r="I1049" t="n">
        <v>1134</v>
      </c>
      <c r="J1049" t="n">
        <v>1210</v>
      </c>
      <c r="K1049" t="n">
        <v>6.962777467357074</v>
      </c>
    </row>
    <row r="1050">
      <c r="A1050" t="n">
        <v>83</v>
      </c>
      <c r="B1050" t="inlineStr">
        <is>
          <t>Machop</t>
        </is>
      </c>
      <c r="C1050" t="inlineStr">
        <is>
          <t>Town</t>
        </is>
      </c>
      <c r="D1050" t="inlineStr">
        <is>
          <t>Win</t>
        </is>
      </c>
      <c r="E1050" t="n">
        <v>82</v>
      </c>
      <c r="F1050" t="n">
        <v>25.99565707487913</v>
      </c>
      <c r="G1050" t="n">
        <v>27.11519515405737</v>
      </c>
      <c r="H1050" t="n">
        <v>7.129772519566985</v>
      </c>
      <c r="I1050" t="n">
        <v>1035</v>
      </c>
      <c r="J1050" t="n">
        <v>1117</v>
      </c>
      <c r="K1050" t="n">
        <v>7.184778787123351</v>
      </c>
    </row>
    <row r="1051">
      <c r="A1051" t="n">
        <v>83</v>
      </c>
      <c r="B1051" t="inlineStr">
        <is>
          <t>Streety</t>
        </is>
      </c>
      <c r="C1051" t="inlineStr">
        <is>
          <t>Town</t>
        </is>
      </c>
      <c r="D1051" t="inlineStr">
        <is>
          <t>Win</t>
        </is>
      </c>
      <c r="E1051" t="n">
        <v>100</v>
      </c>
      <c r="F1051" t="n">
        <v>26.20642437023821</v>
      </c>
      <c r="G1051" t="n">
        <v>27.57193670322621</v>
      </c>
      <c r="H1051" t="n">
        <v>7.860576078783554</v>
      </c>
      <c r="I1051" t="n">
        <v>973</v>
      </c>
      <c r="J1051" t="n">
        <v>1073</v>
      </c>
      <c r="K1051" t="n">
        <v>7.935044322554957</v>
      </c>
    </row>
    <row r="1052">
      <c r="A1052" t="n">
        <v>83</v>
      </c>
      <c r="B1052" t="inlineStr">
        <is>
          <t>Rollo</t>
        </is>
      </c>
      <c r="C1052" t="inlineStr">
        <is>
          <t>Town</t>
        </is>
      </c>
      <c r="D1052" t="inlineStr">
        <is>
          <t>Win</t>
        </is>
      </c>
      <c r="E1052" t="n">
        <v>98</v>
      </c>
      <c r="F1052" t="n">
        <v>25.74947508530294</v>
      </c>
      <c r="G1052" t="n">
        <v>27.09143316001112</v>
      </c>
      <c r="H1052" t="n">
        <v>7.793776299728234</v>
      </c>
      <c r="I1052" t="n">
        <v>949</v>
      </c>
      <c r="J1052" t="n">
        <v>1047</v>
      </c>
      <c r="K1052" t="n">
        <v>7.866298312380938</v>
      </c>
    </row>
    <row r="1053">
      <c r="A1053" t="n">
        <v>83</v>
      </c>
      <c r="B1053" t="inlineStr">
        <is>
          <t>Rocker</t>
        </is>
      </c>
      <c r="C1053" t="inlineStr">
        <is>
          <t>Town</t>
        </is>
      </c>
      <c r="D1053" t="inlineStr">
        <is>
          <t>Win</t>
        </is>
      </c>
      <c r="E1053" t="n">
        <v>77</v>
      </c>
      <c r="F1053" t="n">
        <v>31.86841026208501</v>
      </c>
      <c r="G1053" t="n">
        <v>32.93539027967002</v>
      </c>
      <c r="H1053" t="n">
        <v>6.9629653225971</v>
      </c>
      <c r="I1053" t="n">
        <v>1452</v>
      </c>
      <c r="J1053" t="n">
        <v>1529</v>
      </c>
      <c r="K1053" t="n">
        <v>7.014069051452807</v>
      </c>
    </row>
    <row r="1054">
      <c r="A1054" t="n">
        <v>83</v>
      </c>
      <c r="B1054" t="inlineStr">
        <is>
          <t>Doublea</t>
        </is>
      </c>
      <c r="C1054" t="inlineStr">
        <is>
          <t>Town</t>
        </is>
      </c>
      <c r="D1054" t="inlineStr">
        <is>
          <t>Win</t>
        </is>
      </c>
      <c r="E1054" t="n">
        <v>100</v>
      </c>
      <c r="F1054" t="n">
        <v>22.99065134083278</v>
      </c>
      <c r="G1054" t="n">
        <v>24.34116632617911</v>
      </c>
      <c r="H1054" t="n">
        <v>7.818114894826666</v>
      </c>
      <c r="I1054" t="n">
        <v>758</v>
      </c>
      <c r="J1054" t="n">
        <v>858</v>
      </c>
      <c r="K1054" t="n">
        <v>7.891341976457243</v>
      </c>
    </row>
    <row r="1055">
      <c r="A1055" t="n">
        <v>83</v>
      </c>
      <c r="B1055" t="inlineStr">
        <is>
          <t>Keegan</t>
        </is>
      </c>
      <c r="C1055" t="inlineStr">
        <is>
          <t>Town</t>
        </is>
      </c>
      <c r="D1055" t="inlineStr">
        <is>
          <t>Win</t>
        </is>
      </c>
      <c r="E1055" t="n">
        <v>102</v>
      </c>
      <c r="F1055" t="n">
        <v>27.56994081308643</v>
      </c>
      <c r="G1055" t="n">
        <v>28.95594255413122</v>
      </c>
      <c r="H1055" t="n">
        <v>7.918189397881443</v>
      </c>
      <c r="I1055" t="n">
        <v>1059</v>
      </c>
      <c r="J1055" t="n">
        <v>1161</v>
      </c>
      <c r="K1055" t="n">
        <v>7.99436441390014</v>
      </c>
    </row>
    <row r="1056">
      <c r="A1056" t="n">
        <v>83</v>
      </c>
      <c r="B1056" t="inlineStr">
        <is>
          <t>Laur</t>
        </is>
      </c>
      <c r="C1056" t="inlineStr">
        <is>
          <t>Town</t>
        </is>
      </c>
      <c r="D1056" t="inlineStr">
        <is>
          <t>Win</t>
        </is>
      </c>
      <c r="E1056" t="n">
        <v>94</v>
      </c>
      <c r="F1056" t="n">
        <v>31.21878583564271</v>
      </c>
      <c r="G1056" t="n">
        <v>32.4960115420775</v>
      </c>
      <c r="H1056" t="n">
        <v>7.606936026686643</v>
      </c>
      <c r="I1056" t="n">
        <v>1340</v>
      </c>
      <c r="J1056" t="n">
        <v>1434</v>
      </c>
      <c r="K1056" t="n">
        <v>7.674197733076941</v>
      </c>
    </row>
    <row r="1057">
      <c r="A1057" t="n">
        <v>83</v>
      </c>
      <c r="B1057" t="inlineStr">
        <is>
          <t>Gunny</t>
        </is>
      </c>
      <c r="C1057" t="inlineStr">
        <is>
          <t>Town</t>
        </is>
      </c>
      <c r="D1057" t="inlineStr">
        <is>
          <t>Win</t>
        </is>
      </c>
      <c r="E1057" t="n">
        <v>111</v>
      </c>
      <c r="F1057" t="n">
        <v>25</v>
      </c>
      <c r="G1057" t="n">
        <v>26.50601045333377</v>
      </c>
      <c r="H1057" t="n">
        <v>8.246908626783018</v>
      </c>
      <c r="I1057" t="n">
        <v>850</v>
      </c>
      <c r="J1057" t="n">
        <v>961</v>
      </c>
      <c r="K1057" t="n">
        <v>8.333333333333334</v>
      </c>
    </row>
    <row r="1058">
      <c r="A1058" t="n">
        <v>83</v>
      </c>
      <c r="B1058" t="inlineStr">
        <is>
          <t>Smit</t>
        </is>
      </c>
      <c r="C1058" t="inlineStr">
        <is>
          <t>Town</t>
        </is>
      </c>
      <c r="D1058" t="inlineStr">
        <is>
          <t>Win</t>
        </is>
      </c>
      <c r="E1058" t="n">
        <v>85</v>
      </c>
      <c r="F1058" t="n">
        <v>23.64882819224828</v>
      </c>
      <c r="G1058" t="n">
        <v>24.81568039751431</v>
      </c>
      <c r="H1058" t="n">
        <v>7.27646026134385</v>
      </c>
      <c r="I1058" t="n">
        <v>860</v>
      </c>
      <c r="J1058" t="n">
        <v>945</v>
      </c>
      <c r="K1058" t="n">
        <v>7.335058764449862</v>
      </c>
    </row>
    <row r="1059">
      <c r="A1059" t="n">
        <v>82</v>
      </c>
      <c r="B1059" t="inlineStr">
        <is>
          <t>Iln</t>
        </is>
      </c>
      <c r="C1059" t="inlineStr">
        <is>
          <t>Mafia</t>
        </is>
      </c>
      <c r="D1059" t="inlineStr">
        <is>
          <t>Loss</t>
        </is>
      </c>
      <c r="E1059" t="n">
        <v>-86</v>
      </c>
      <c r="F1059" t="n">
        <v>25.31603515728986</v>
      </c>
      <c r="G1059" t="n">
        <v>23.95608249668864</v>
      </c>
      <c r="H1059" t="n">
        <v>7.382814099370055</v>
      </c>
      <c r="I1059" t="n">
        <v>962</v>
      </c>
      <c r="J1059" t="n">
        <v>876</v>
      </c>
      <c r="K1059" t="n">
        <v>7.447740855584296</v>
      </c>
    </row>
    <row r="1060">
      <c r="A1060" t="n">
        <v>82</v>
      </c>
      <c r="B1060" t="inlineStr">
        <is>
          <t>Smit</t>
        </is>
      </c>
      <c r="C1060" t="inlineStr">
        <is>
          <t>Mafia</t>
        </is>
      </c>
      <c r="D1060" t="inlineStr">
        <is>
          <t>Loss</t>
        </is>
      </c>
      <c r="E1060" t="n">
        <v>-85</v>
      </c>
      <c r="F1060" t="n">
        <v>24.99092974383468</v>
      </c>
      <c r="G1060" t="n">
        <v>23.64882819224828</v>
      </c>
      <c r="H1060" t="n">
        <v>7.335058764449862</v>
      </c>
      <c r="I1060" t="n">
        <v>945</v>
      </c>
      <c r="J1060" t="n">
        <v>860</v>
      </c>
      <c r="K1060" t="n">
        <v>7.398689981173836</v>
      </c>
    </row>
    <row r="1061">
      <c r="A1061" t="n">
        <v>82</v>
      </c>
      <c r="B1061" t="inlineStr">
        <is>
          <t>Whyin</t>
        </is>
      </c>
      <c r="C1061" t="inlineStr">
        <is>
          <t>Mafia</t>
        </is>
      </c>
      <c r="D1061" t="inlineStr">
        <is>
          <t>Loss</t>
        </is>
      </c>
      <c r="E1061" t="n">
        <v>-85</v>
      </c>
      <c r="F1061" t="n">
        <v>29.1775494797295</v>
      </c>
      <c r="G1061" t="n">
        <v>27.83305991975393</v>
      </c>
      <c r="H1061" t="n">
        <v>7.341466492253075</v>
      </c>
      <c r="I1061" t="n">
        <v>1229</v>
      </c>
      <c r="J1061" t="n">
        <v>1144</v>
      </c>
      <c r="K1061" t="n">
        <v>7.405270521296969</v>
      </c>
    </row>
    <row r="1062">
      <c r="A1062" t="n">
        <v>82</v>
      </c>
      <c r="B1062" t="inlineStr">
        <is>
          <t>Badpants</t>
        </is>
      </c>
      <c r="C1062" t="inlineStr">
        <is>
          <t>Town</t>
        </is>
      </c>
      <c r="D1062" t="inlineStr">
        <is>
          <t>Win</t>
        </is>
      </c>
      <c r="E1062" t="n">
        <v>95</v>
      </c>
      <c r="F1062" t="n">
        <v>22.87254671459741</v>
      </c>
      <c r="G1062" t="n">
        <v>24.17965051912985</v>
      </c>
      <c r="H1062" t="n">
        <v>7.24045147497996</v>
      </c>
      <c r="I1062" t="n">
        <v>811</v>
      </c>
      <c r="J1062" t="n">
        <v>906</v>
      </c>
      <c r="K1062" t="n">
        <v>7.301567727688226</v>
      </c>
    </row>
    <row r="1063">
      <c r="A1063" t="n">
        <v>82</v>
      </c>
      <c r="B1063" t="inlineStr">
        <is>
          <t>Happymeal</t>
        </is>
      </c>
      <c r="C1063" t="inlineStr">
        <is>
          <t>Town</t>
        </is>
      </c>
      <c r="D1063" t="inlineStr">
        <is>
          <t>Win</t>
        </is>
      </c>
      <c r="E1063" t="n">
        <v>108</v>
      </c>
      <c r="F1063" t="n">
        <v>24.75329215594454</v>
      </c>
      <c r="G1063" t="n">
        <v>26.23139907372609</v>
      </c>
      <c r="H1063" t="n">
        <v>7.690878554139545</v>
      </c>
      <c r="I1063" t="n">
        <v>891</v>
      </c>
      <c r="J1063" t="n">
        <v>999</v>
      </c>
      <c r="K1063" t="n">
        <v>7.764593347662716</v>
      </c>
    </row>
    <row r="1064">
      <c r="A1064" t="n">
        <v>82</v>
      </c>
      <c r="B1064" t="inlineStr">
        <is>
          <t>Brownkow</t>
        </is>
      </c>
      <c r="C1064" t="inlineStr">
        <is>
          <t>Town</t>
        </is>
      </c>
      <c r="D1064" t="inlineStr">
        <is>
          <t>Win</t>
        </is>
      </c>
      <c r="E1064" t="n">
        <v>88</v>
      </c>
      <c r="F1064" t="n">
        <v>25.90821107657843</v>
      </c>
      <c r="G1064" t="n">
        <v>27.11539946966229</v>
      </c>
      <c r="H1064" t="n">
        <v>6.962777467357074</v>
      </c>
      <c r="I1064" t="n">
        <v>1046</v>
      </c>
      <c r="J1064" t="n">
        <v>1134</v>
      </c>
      <c r="K1064" t="n">
        <v>7.016899122263242</v>
      </c>
    </row>
    <row r="1065">
      <c r="A1065" t="n">
        <v>82</v>
      </c>
      <c r="B1065" t="inlineStr">
        <is>
          <t>Carson</t>
        </is>
      </c>
      <c r="C1065" t="inlineStr">
        <is>
          <t>Town</t>
        </is>
      </c>
      <c r="D1065" t="inlineStr">
        <is>
          <t>Win</t>
        </is>
      </c>
      <c r="E1065" t="n">
        <v>98</v>
      </c>
      <c r="F1065" t="n">
        <v>25.17771983645677</v>
      </c>
      <c r="G1065" t="n">
        <v>26.52361693145036</v>
      </c>
      <c r="H1065" t="n">
        <v>7.345240512376241</v>
      </c>
      <c r="I1065" t="n">
        <v>956</v>
      </c>
      <c r="J1065" t="n">
        <v>1054</v>
      </c>
      <c r="K1065" t="n">
        <v>7.409146472087343</v>
      </c>
    </row>
    <row r="1066">
      <c r="A1066" t="n">
        <v>82</v>
      </c>
      <c r="B1066" t="inlineStr">
        <is>
          <t>Chipper</t>
        </is>
      </c>
      <c r="C1066" t="inlineStr">
        <is>
          <t>Town</t>
        </is>
      </c>
      <c r="D1066" t="inlineStr">
        <is>
          <t>Win</t>
        </is>
      </c>
      <c r="E1066" t="n">
        <v>98</v>
      </c>
      <c r="F1066" t="n">
        <v>18.28464616165703</v>
      </c>
      <c r="G1066" t="n">
        <v>19.63219867680764</v>
      </c>
      <c r="H1066" t="n">
        <v>7.349676524910088</v>
      </c>
      <c r="I1066" t="n">
        <v>487</v>
      </c>
      <c r="J1066" t="n">
        <v>585</v>
      </c>
      <c r="K1066" t="n">
        <v>7.413702434876245</v>
      </c>
    </row>
    <row r="1067">
      <c r="A1067" t="n">
        <v>82</v>
      </c>
      <c r="B1067" t="inlineStr">
        <is>
          <t>Jake</t>
        </is>
      </c>
      <c r="C1067" t="inlineStr">
        <is>
          <t>Town</t>
        </is>
      </c>
      <c r="D1067" t="inlineStr">
        <is>
          <t>Win</t>
        </is>
      </c>
      <c r="E1067" t="n">
        <v>120</v>
      </c>
      <c r="F1067" t="n">
        <v>26.70373542350658</v>
      </c>
      <c r="G1067" t="n">
        <v>28.34176100425068</v>
      </c>
      <c r="H1067" t="n">
        <v>8.087725479030304</v>
      </c>
      <c r="I1067" t="n">
        <v>982</v>
      </c>
      <c r="J1067" t="n">
        <v>1102</v>
      </c>
      <c r="K1067" t="n">
        <v>8.173906149521041</v>
      </c>
    </row>
    <row r="1068">
      <c r="A1068" t="n">
        <v>82</v>
      </c>
      <c r="B1068" t="inlineStr">
        <is>
          <t>Laur</t>
        </is>
      </c>
      <c r="C1068" t="inlineStr">
        <is>
          <t>Town</t>
        </is>
      </c>
      <c r="D1068" t="inlineStr">
        <is>
          <t>Win</t>
        </is>
      </c>
      <c r="E1068" t="n">
        <v>107</v>
      </c>
      <c r="F1068" t="n">
        <v>29.74721006714836</v>
      </c>
      <c r="G1068" t="n">
        <v>31.21878583564271</v>
      </c>
      <c r="H1068" t="n">
        <v>7.674197733076941</v>
      </c>
      <c r="I1068" t="n">
        <v>1233</v>
      </c>
      <c r="J1068" t="n">
        <v>1340</v>
      </c>
      <c r="K1068" t="n">
        <v>7.747417225124165</v>
      </c>
    </row>
    <row r="1069">
      <c r="A1069" t="n">
        <v>82</v>
      </c>
      <c r="B1069" t="inlineStr">
        <is>
          <t>Rocker</t>
        </is>
      </c>
      <c r="C1069" t="inlineStr">
        <is>
          <t>Town</t>
        </is>
      </c>
      <c r="D1069" t="inlineStr">
        <is>
          <t>Win</t>
        </is>
      </c>
      <c r="E1069" t="n">
        <v>89</v>
      </c>
      <c r="F1069" t="n">
        <v>30.64307956486659</v>
      </c>
      <c r="G1069" t="n">
        <v>31.86841026208501</v>
      </c>
      <c r="H1069" t="n">
        <v>7.014069051452807</v>
      </c>
      <c r="I1069" t="n">
        <v>1363</v>
      </c>
      <c r="J1069" t="n">
        <v>1452</v>
      </c>
      <c r="K1069" t="n">
        <v>7.069440071204903</v>
      </c>
    </row>
    <row r="1070">
      <c r="A1070" t="n">
        <v>82</v>
      </c>
      <c r="B1070" t="inlineStr">
        <is>
          <t>Sam</t>
        </is>
      </c>
      <c r="C1070" t="inlineStr">
        <is>
          <t>Town</t>
        </is>
      </c>
      <c r="D1070" t="inlineStr">
        <is>
          <t>Win</t>
        </is>
      </c>
      <c r="E1070" t="n">
        <v>116</v>
      </c>
      <c r="F1070" t="n">
        <v>25.4993285290141</v>
      </c>
      <c r="G1070" t="n">
        <v>27.0828266816717</v>
      </c>
      <c r="H1070" t="n">
        <v>7.954827423373728</v>
      </c>
      <c r="I1070" t="n">
        <v>914</v>
      </c>
      <c r="J1070" t="n">
        <v>1030</v>
      </c>
      <c r="K1070" t="n">
        <v>8.036685408194678</v>
      </c>
    </row>
    <row r="1071">
      <c r="A1071" t="n">
        <v>82</v>
      </c>
      <c r="B1071" t="inlineStr">
        <is>
          <t>Mintt</t>
        </is>
      </c>
      <c r="C1071" t="inlineStr">
        <is>
          <t>Town</t>
        </is>
      </c>
      <c r="D1071" t="inlineStr">
        <is>
          <t>Win</t>
        </is>
      </c>
      <c r="E1071" t="n">
        <v>104</v>
      </c>
      <c r="F1071" t="n">
        <v>26.14072192742395</v>
      </c>
      <c r="G1071" t="n">
        <v>27.57354028818238</v>
      </c>
      <c r="H1071" t="n">
        <v>7.574393004258383</v>
      </c>
      <c r="I1071" t="n">
        <v>998</v>
      </c>
      <c r="J1071" t="n">
        <v>1102</v>
      </c>
      <c r="K1071" t="n">
        <v>7.644696025473348</v>
      </c>
    </row>
    <row r="1072">
      <c r="A1072" t="n">
        <v>81</v>
      </c>
      <c r="B1072" t="inlineStr">
        <is>
          <t>Brownkow</t>
        </is>
      </c>
      <c r="C1072" t="inlineStr">
        <is>
          <t>Mafia</t>
        </is>
      </c>
      <c r="D1072" t="inlineStr">
        <is>
          <t>Loss</t>
        </is>
      </c>
      <c r="E1072" t="n">
        <v>-118</v>
      </c>
      <c r="F1072" t="n">
        <v>27.73525840771669</v>
      </c>
      <c r="G1072" t="n">
        <v>25.90821107657843</v>
      </c>
      <c r="H1072" t="n">
        <v>7.016899122263242</v>
      </c>
      <c r="I1072" t="n">
        <v>1164</v>
      </c>
      <c r="J1072" t="n">
        <v>1046</v>
      </c>
      <c r="K1072" t="n">
        <v>7.07837991440493</v>
      </c>
    </row>
    <row r="1073">
      <c r="A1073" t="n">
        <v>81</v>
      </c>
      <c r="B1073" t="inlineStr">
        <is>
          <t>Carson</t>
        </is>
      </c>
      <c r="C1073" t="inlineStr">
        <is>
          <t>Mafia</t>
        </is>
      </c>
      <c r="D1073" t="inlineStr">
        <is>
          <t>Loss</t>
        </is>
      </c>
      <c r="E1073" t="n">
        <v>-132</v>
      </c>
      <c r="F1073" t="n">
        <v>27.21900310379187</v>
      </c>
      <c r="G1073" t="n">
        <v>25.17771983645677</v>
      </c>
      <c r="H1073" t="n">
        <v>7.409146472087343</v>
      </c>
      <c r="I1073" t="n">
        <v>1088</v>
      </c>
      <c r="J1073" t="n">
        <v>956</v>
      </c>
      <c r="K1073" t="n">
        <v>7.481956102517534</v>
      </c>
    </row>
    <row r="1074">
      <c r="A1074" t="n">
        <v>81</v>
      </c>
      <c r="B1074" t="inlineStr">
        <is>
          <t>Laur</t>
        </is>
      </c>
      <c r="C1074" t="inlineStr">
        <is>
          <t>Mafia</t>
        </is>
      </c>
      <c r="D1074" t="inlineStr">
        <is>
          <t>Loss</t>
        </is>
      </c>
      <c r="E1074" t="n">
        <v>-143</v>
      </c>
      <c r="F1074" t="n">
        <v>31.98339717727328</v>
      </c>
      <c r="G1074" t="n">
        <v>29.74721006714836</v>
      </c>
      <c r="H1074" t="n">
        <v>7.747417225124165</v>
      </c>
      <c r="I1074" t="n">
        <v>1376</v>
      </c>
      <c r="J1074" t="n">
        <v>1233</v>
      </c>
      <c r="K1074" t="n">
        <v>7.831067525396018</v>
      </c>
    </row>
    <row r="1075">
      <c r="A1075" t="n">
        <v>81</v>
      </c>
      <c r="B1075" t="inlineStr">
        <is>
          <t>Badpants</t>
        </is>
      </c>
      <c r="C1075" t="inlineStr">
        <is>
          <t>Town</t>
        </is>
      </c>
      <c r="D1075" t="inlineStr">
        <is>
          <t>Win</t>
        </is>
      </c>
      <c r="E1075" t="n">
        <v>142</v>
      </c>
      <c r="F1075" t="n">
        <v>20.89127179543097</v>
      </c>
      <c r="G1075" t="n">
        <v>22.87254671459741</v>
      </c>
      <c r="H1075" t="n">
        <v>7.301567727688226</v>
      </c>
      <c r="I1075" t="n">
        <v>669</v>
      </c>
      <c r="J1075" t="n">
        <v>811</v>
      </c>
      <c r="K1075" t="n">
        <v>7.371140920500594</v>
      </c>
    </row>
    <row r="1076">
      <c r="A1076" t="n">
        <v>81</v>
      </c>
      <c r="B1076" t="inlineStr">
        <is>
          <t>Heckmuffins</t>
        </is>
      </c>
      <c r="C1076" t="inlineStr">
        <is>
          <t>Town</t>
        </is>
      </c>
      <c r="D1076" t="inlineStr">
        <is>
          <t>Win</t>
        </is>
      </c>
      <c r="E1076" t="n">
        <v>182</v>
      </c>
      <c r="F1076" t="n">
        <v>25</v>
      </c>
      <c r="G1076" t="n">
        <v>27.53218500089739</v>
      </c>
      <c r="H1076" t="n">
        <v>8.232293549536262</v>
      </c>
      <c r="I1076" t="n">
        <v>850</v>
      </c>
      <c r="J1076" t="n">
        <v>1032</v>
      </c>
      <c r="K1076" t="n">
        <v>8.333333333333334</v>
      </c>
    </row>
    <row r="1077">
      <c r="A1077" t="n">
        <v>81</v>
      </c>
      <c r="B1077" t="inlineStr">
        <is>
          <t>Kden</t>
        </is>
      </c>
      <c r="C1077" t="inlineStr">
        <is>
          <t>Town</t>
        </is>
      </c>
      <c r="D1077" t="inlineStr">
        <is>
          <t>Win</t>
        </is>
      </c>
      <c r="E1077" t="n">
        <v>161</v>
      </c>
      <c r="F1077" t="n">
        <v>25.90072110324822</v>
      </c>
      <c r="G1077" t="n">
        <v>28.13205034329309</v>
      </c>
      <c r="H1077" t="n">
        <v>7.739181346619193</v>
      </c>
      <c r="I1077" t="n">
        <v>963</v>
      </c>
      <c r="J1077" t="n">
        <v>1124</v>
      </c>
      <c r="K1077" t="n">
        <v>7.822555446579511</v>
      </c>
    </row>
    <row r="1078">
      <c r="A1078" t="n">
        <v>81</v>
      </c>
      <c r="B1078" t="inlineStr">
        <is>
          <t>Rocker</t>
        </is>
      </c>
      <c r="C1078" t="inlineStr">
        <is>
          <t>Town</t>
        </is>
      </c>
      <c r="D1078" t="inlineStr">
        <is>
          <t>Win</t>
        </is>
      </c>
      <c r="E1078" t="n">
        <v>133</v>
      </c>
      <c r="F1078" t="n">
        <v>28.78806319553125</v>
      </c>
      <c r="G1078" t="n">
        <v>30.64307956486659</v>
      </c>
      <c r="H1078" t="n">
        <v>7.069440071204903</v>
      </c>
      <c r="I1078" t="n">
        <v>1230</v>
      </c>
      <c r="J1078" t="n">
        <v>1363</v>
      </c>
      <c r="K1078" t="n">
        <v>7.132363947878501</v>
      </c>
    </row>
    <row r="1079">
      <c r="A1079" t="n">
        <v>81</v>
      </c>
      <c r="B1079" t="inlineStr">
        <is>
          <t>Lofty</t>
        </is>
      </c>
      <c r="C1079" t="inlineStr">
        <is>
          <t>Town</t>
        </is>
      </c>
      <c r="D1079" t="inlineStr">
        <is>
          <t>Win</t>
        </is>
      </c>
      <c r="E1079" t="n">
        <v>173</v>
      </c>
      <c r="F1079" t="n">
        <v>23.93144990625131</v>
      </c>
      <c r="G1079" t="n">
        <v>26.32912030464601</v>
      </c>
      <c r="H1079" t="n">
        <v>8.015936764500374</v>
      </c>
      <c r="I1079" t="n">
        <v>800</v>
      </c>
      <c r="J1079" t="n">
        <v>973</v>
      </c>
      <c r="K1079" t="n">
        <v>8.108938832431651</v>
      </c>
    </row>
    <row r="1080">
      <c r="A1080" t="n">
        <v>81</v>
      </c>
      <c r="B1080" t="inlineStr">
        <is>
          <t>Jake</t>
        </is>
      </c>
      <c r="C1080" t="inlineStr">
        <is>
          <t>Town</t>
        </is>
      </c>
      <c r="D1080" t="inlineStr">
        <is>
          <t>Win</t>
        </is>
      </c>
      <c r="E1080" t="n">
        <v>180</v>
      </c>
      <c r="F1080" t="n">
        <v>24.20824036946116</v>
      </c>
      <c r="G1080" t="n">
        <v>26.70373542350658</v>
      </c>
      <c r="H1080" t="n">
        <v>8.173906149521041</v>
      </c>
      <c r="I1080" t="n">
        <v>802</v>
      </c>
      <c r="J1080" t="n">
        <v>982</v>
      </c>
      <c r="K1080" t="n">
        <v>8.272731611951896</v>
      </c>
    </row>
    <row r="1081">
      <c r="A1081" t="n">
        <v>81</v>
      </c>
      <c r="B1081" t="inlineStr">
        <is>
          <t>Iln</t>
        </is>
      </c>
      <c r="C1081" t="inlineStr">
        <is>
          <t>Town</t>
        </is>
      </c>
      <c r="D1081" t="inlineStr">
        <is>
          <t>Win</t>
        </is>
      </c>
      <c r="E1081" t="n">
        <v>148</v>
      </c>
      <c r="F1081" t="n">
        <v>23.25299197826311</v>
      </c>
      <c r="G1081" t="n">
        <v>25.31603515728986</v>
      </c>
      <c r="H1081" t="n">
        <v>7.447740855584296</v>
      </c>
      <c r="I1081" t="n">
        <v>814</v>
      </c>
      <c r="J1081" t="n">
        <v>962</v>
      </c>
      <c r="K1081" t="n">
        <v>7.521735994116002</v>
      </c>
    </row>
    <row r="1082">
      <c r="A1082" t="n">
        <v>81</v>
      </c>
      <c r="B1082" t="inlineStr">
        <is>
          <t>Dani</t>
        </is>
      </c>
      <c r="C1082" t="inlineStr">
        <is>
          <t>Town</t>
        </is>
      </c>
      <c r="D1082" t="inlineStr">
        <is>
          <t>Win</t>
        </is>
      </c>
      <c r="E1082" t="n">
        <v>171</v>
      </c>
      <c r="F1082" t="n">
        <v>21.90694239551599</v>
      </c>
      <c r="G1082" t="n">
        <v>24.2854082646787</v>
      </c>
      <c r="H1082" t="n">
        <v>7.984520922170086</v>
      </c>
      <c r="I1082" t="n">
        <v>666</v>
      </c>
      <c r="J1082" t="n">
        <v>837</v>
      </c>
      <c r="K1082" t="n">
        <v>8.07639365451055</v>
      </c>
    </row>
    <row r="1083">
      <c r="A1083" t="n">
        <v>81</v>
      </c>
      <c r="B1083" t="inlineStr">
        <is>
          <t>Whyin</t>
        </is>
      </c>
      <c r="C1083" t="inlineStr">
        <is>
          <t>Town</t>
        </is>
      </c>
      <c r="D1083" t="inlineStr">
        <is>
          <t>Win</t>
        </is>
      </c>
      <c r="E1083" t="n">
        <v>146</v>
      </c>
      <c r="F1083" t="n">
        <v>27.13844474677123</v>
      </c>
      <c r="G1083" t="n">
        <v>29.1775494797295</v>
      </c>
      <c r="H1083" t="n">
        <v>7.405270521296969</v>
      </c>
      <c r="I1083" t="n">
        <v>1083</v>
      </c>
      <c r="J1083" t="n">
        <v>1229</v>
      </c>
      <c r="K1083" t="n">
        <v>7.477961810460116</v>
      </c>
    </row>
    <row r="1084">
      <c r="A1084" t="n">
        <v>81</v>
      </c>
      <c r="B1084" t="inlineStr">
        <is>
          <t>Happymeal</t>
        </is>
      </c>
      <c r="C1084" t="inlineStr">
        <is>
          <t>Town</t>
        </is>
      </c>
      <c r="D1084" t="inlineStr">
        <is>
          <t>Win</t>
        </is>
      </c>
      <c r="E1084" t="n">
        <v>161</v>
      </c>
      <c r="F1084" t="n">
        <v>22.50695569330352</v>
      </c>
      <c r="G1084" t="n">
        <v>24.75329215594454</v>
      </c>
      <c r="H1084" t="n">
        <v>7.764593347662716</v>
      </c>
      <c r="I1084" t="n">
        <v>730</v>
      </c>
      <c r="J1084" t="n">
        <v>891</v>
      </c>
      <c r="K1084" t="n">
        <v>7.848821678361118</v>
      </c>
    </row>
    <row r="1085">
      <c r="A1085" t="n">
        <v>80</v>
      </c>
      <c r="B1085" t="inlineStr">
        <is>
          <t>Lofty</t>
        </is>
      </c>
      <c r="C1085" t="inlineStr">
        <is>
          <t>Mafia</t>
        </is>
      </c>
      <c r="D1085" t="inlineStr">
        <is>
          <t>Win</t>
        </is>
      </c>
      <c r="E1085" t="n">
        <v>87</v>
      </c>
      <c r="F1085" t="n">
        <v>22.7631685918259</v>
      </c>
      <c r="G1085" t="n">
        <v>23.93144990625131</v>
      </c>
      <c r="H1085" t="n">
        <v>8.108938832431651</v>
      </c>
      <c r="I1085" t="n">
        <v>713</v>
      </c>
      <c r="J1085" t="n">
        <v>800</v>
      </c>
      <c r="K1085" t="n">
        <v>8.182758184317192</v>
      </c>
    </row>
    <row r="1086">
      <c r="A1086" t="n">
        <v>80</v>
      </c>
      <c r="B1086" t="inlineStr">
        <is>
          <t>Laur</t>
        </is>
      </c>
      <c r="C1086" t="inlineStr">
        <is>
          <t>Mafia</t>
        </is>
      </c>
      <c r="D1086" t="inlineStr">
        <is>
          <t>Win</t>
        </is>
      </c>
      <c r="E1086" t="n">
        <v>81</v>
      </c>
      <c r="F1086" t="n">
        <v>30.89518712271051</v>
      </c>
      <c r="G1086" t="n">
        <v>31.98339717727328</v>
      </c>
      <c r="H1086" t="n">
        <v>7.831067525396018</v>
      </c>
      <c r="I1086" t="n">
        <v>1295</v>
      </c>
      <c r="J1086" t="n">
        <v>1376</v>
      </c>
      <c r="K1086" t="n">
        <v>7.89732448594549</v>
      </c>
    </row>
    <row r="1087">
      <c r="A1087" t="n">
        <v>80</v>
      </c>
      <c r="B1087" t="inlineStr">
        <is>
          <t>Badpants</t>
        </is>
      </c>
      <c r="C1087" t="inlineStr">
        <is>
          <t>Mafia</t>
        </is>
      </c>
      <c r="D1087" t="inlineStr">
        <is>
          <t>Win</t>
        </is>
      </c>
      <c r="E1087" t="n">
        <v>71</v>
      </c>
      <c r="F1087" t="n">
        <v>19.92904265867485</v>
      </c>
      <c r="G1087" t="n">
        <v>20.89127179543097</v>
      </c>
      <c r="H1087" t="n">
        <v>7.371140920500594</v>
      </c>
      <c r="I1087" t="n">
        <v>598</v>
      </c>
      <c r="J1087" t="n">
        <v>669</v>
      </c>
      <c r="K1087" t="n">
        <v>7.426057518751652</v>
      </c>
    </row>
    <row r="1088">
      <c r="A1088" t="n">
        <v>80</v>
      </c>
      <c r="B1088" t="inlineStr">
        <is>
          <t>Noah</t>
        </is>
      </c>
      <c r="C1088" t="inlineStr">
        <is>
          <t>Town</t>
        </is>
      </c>
      <c r="D1088" t="inlineStr">
        <is>
          <t>Loss</t>
        </is>
      </c>
      <c r="E1088" t="n">
        <v>-60</v>
      </c>
      <c r="F1088" t="n">
        <v>28.84015564381811</v>
      </c>
      <c r="G1088" t="n">
        <v>27.86934210666952</v>
      </c>
      <c r="H1088" t="n">
        <v>7.403448202107154</v>
      </c>
      <c r="I1088" t="n">
        <v>1200</v>
      </c>
      <c r="J1088" t="n">
        <v>1140</v>
      </c>
      <c r="K1088" t="n">
        <v>7.459115242509942</v>
      </c>
    </row>
    <row r="1089">
      <c r="A1089" t="n">
        <v>80</v>
      </c>
      <c r="B1089" t="inlineStr">
        <is>
          <t>Brownkow</t>
        </is>
      </c>
      <c r="C1089" t="inlineStr">
        <is>
          <t>Town</t>
        </is>
      </c>
      <c r="D1089" t="inlineStr">
        <is>
          <t>Loss</t>
        </is>
      </c>
      <c r="E1089" t="n">
        <v>-55</v>
      </c>
      <c r="F1089" t="n">
        <v>28.62151189514569</v>
      </c>
      <c r="G1089" t="n">
        <v>27.73525840771669</v>
      </c>
      <c r="H1089" t="n">
        <v>7.07837991440493</v>
      </c>
      <c r="I1089" t="n">
        <v>1219</v>
      </c>
      <c r="J1089" t="n">
        <v>1164</v>
      </c>
      <c r="K1089" t="n">
        <v>7.126801454601342</v>
      </c>
    </row>
    <row r="1090">
      <c r="A1090" t="n">
        <v>80</v>
      </c>
      <c r="B1090" t="inlineStr">
        <is>
          <t>Plen</t>
        </is>
      </c>
      <c r="C1090" t="inlineStr">
        <is>
          <t>Town</t>
        </is>
      </c>
      <c r="D1090" t="inlineStr">
        <is>
          <t>Loss</t>
        </is>
      </c>
      <c r="E1090" t="n">
        <v>-60</v>
      </c>
      <c r="F1090" t="n">
        <v>18.89493626975709</v>
      </c>
      <c r="G1090" t="n">
        <v>17.93129835478249</v>
      </c>
      <c r="H1090" t="n">
        <v>7.376453153406573</v>
      </c>
      <c r="I1090" t="n">
        <v>527</v>
      </c>
      <c r="J1090" t="n">
        <v>467</v>
      </c>
      <c r="K1090" t="n">
        <v>7.431492678110097</v>
      </c>
    </row>
    <row r="1091">
      <c r="A1091" t="n">
        <v>80</v>
      </c>
      <c r="B1091" t="inlineStr">
        <is>
          <t>Carson</t>
        </is>
      </c>
      <c r="C1091" t="inlineStr">
        <is>
          <t>Town</t>
        </is>
      </c>
      <c r="D1091" t="inlineStr">
        <is>
          <t>Loss</t>
        </is>
      </c>
      <c r="E1091" t="n">
        <v>-61</v>
      </c>
      <c r="F1091" t="n">
        <v>28.21084346421097</v>
      </c>
      <c r="G1091" t="n">
        <v>27.21900310379187</v>
      </c>
      <c r="H1091" t="n">
        <v>7.481956102517534</v>
      </c>
      <c r="I1091" t="n">
        <v>1149</v>
      </c>
      <c r="J1091" t="n">
        <v>1088</v>
      </c>
      <c r="K1091" t="n">
        <v>7.53947526992661</v>
      </c>
    </row>
    <row r="1092">
      <c r="A1092" t="n">
        <v>80</v>
      </c>
      <c r="B1092" t="inlineStr">
        <is>
          <t>Mintt</t>
        </is>
      </c>
      <c r="C1092" t="inlineStr">
        <is>
          <t>Town</t>
        </is>
      </c>
      <c r="D1092" t="inlineStr">
        <is>
          <t>Loss</t>
        </is>
      </c>
      <c r="E1092" t="n">
        <v>-64</v>
      </c>
      <c r="F1092" t="n">
        <v>27.17690177250049</v>
      </c>
      <c r="G1092" t="n">
        <v>26.14072192742395</v>
      </c>
      <c r="H1092" t="n">
        <v>7.644696025473348</v>
      </c>
      <c r="I1092" t="n">
        <v>1062</v>
      </c>
      <c r="J1092" t="n">
        <v>998</v>
      </c>
      <c r="K1092" t="n">
        <v>7.706185119621681</v>
      </c>
    </row>
    <row r="1093">
      <c r="A1093" t="n">
        <v>80</v>
      </c>
      <c r="B1093" t="inlineStr">
        <is>
          <t>Hunterxp</t>
        </is>
      </c>
      <c r="C1093" t="inlineStr">
        <is>
          <t>Town</t>
        </is>
      </c>
      <c r="D1093" t="inlineStr">
        <is>
          <t>Loss</t>
        </is>
      </c>
      <c r="E1093" t="n">
        <v>-70</v>
      </c>
      <c r="F1093" t="n">
        <v>25.66116127061385</v>
      </c>
      <c r="G1093" t="n">
        <v>24.51964230626978</v>
      </c>
      <c r="H1093" t="n">
        <v>8.017216108569674</v>
      </c>
      <c r="I1093" t="n">
        <v>920</v>
      </c>
      <c r="J1093" t="n">
        <v>850</v>
      </c>
      <c r="K1093" t="n">
        <v>8.088477970412466</v>
      </c>
    </row>
    <row r="1094">
      <c r="A1094" t="n">
        <v>80</v>
      </c>
      <c r="B1094" t="inlineStr">
        <is>
          <t>Sam</t>
        </is>
      </c>
      <c r="C1094" t="inlineStr">
        <is>
          <t>Town</t>
        </is>
      </c>
      <c r="D1094" t="inlineStr">
        <is>
          <t>Loss</t>
        </is>
      </c>
      <c r="E1094" t="n">
        <v>-71</v>
      </c>
      <c r="F1094" t="n">
        <v>26.64650076761055</v>
      </c>
      <c r="G1094" t="n">
        <v>25.4993285290141</v>
      </c>
      <c r="H1094" t="n">
        <v>8.036685408194678</v>
      </c>
      <c r="I1094" t="n">
        <v>985</v>
      </c>
      <c r="J1094" t="n">
        <v>914</v>
      </c>
      <c r="K1094" t="n">
        <v>8.108485032707637</v>
      </c>
    </row>
    <row r="1095">
      <c r="A1095" t="n">
        <v>80</v>
      </c>
      <c r="B1095" t="inlineStr">
        <is>
          <t>Rollo</t>
        </is>
      </c>
      <c r="C1095" t="inlineStr">
        <is>
          <t>Town</t>
        </is>
      </c>
      <c r="D1095" t="inlineStr">
        <is>
          <t>Loss</t>
        </is>
      </c>
      <c r="E1095" t="n">
        <v>-67</v>
      </c>
      <c r="F1095" t="n">
        <v>26.84767144884811</v>
      </c>
      <c r="G1095" t="n">
        <v>25.74947508530294</v>
      </c>
      <c r="H1095" t="n">
        <v>7.866298312380938</v>
      </c>
      <c r="I1095" t="n">
        <v>1016</v>
      </c>
      <c r="J1095" t="n">
        <v>949</v>
      </c>
      <c r="K1095" t="n">
        <v>7.933483682579613</v>
      </c>
    </row>
    <row r="1096">
      <c r="A1096" t="n">
        <v>80</v>
      </c>
      <c r="B1096" t="inlineStr">
        <is>
          <t>Rocker</t>
        </is>
      </c>
      <c r="C1096" t="inlineStr">
        <is>
          <t>Town</t>
        </is>
      </c>
      <c r="D1096" t="inlineStr">
        <is>
          <t>Loss</t>
        </is>
      </c>
      <c r="E1096" t="n">
        <v>-56</v>
      </c>
      <c r="F1096" t="n">
        <v>29.68808113666165</v>
      </c>
      <c r="G1096" t="n">
        <v>28.78806319553125</v>
      </c>
      <c r="H1096" t="n">
        <v>7.132363947878501</v>
      </c>
      <c r="I1096" t="n">
        <v>1286</v>
      </c>
      <c r="J1096" t="n">
        <v>1230</v>
      </c>
      <c r="K1096" t="n">
        <v>7.181942415454896</v>
      </c>
    </row>
    <row r="1097">
      <c r="A1097" t="n">
        <v>80</v>
      </c>
      <c r="B1097" t="inlineStr">
        <is>
          <t>Steep</t>
        </is>
      </c>
      <c r="C1097" t="inlineStr">
        <is>
          <t>Town</t>
        </is>
      </c>
      <c r="D1097" t="inlineStr">
        <is>
          <t>Loss</t>
        </is>
      </c>
      <c r="E1097" t="n">
        <v>-74</v>
      </c>
      <c r="F1097" t="n">
        <v>25</v>
      </c>
      <c r="G1097" t="n">
        <v>23.78833327394493</v>
      </c>
      <c r="H1097" t="n">
        <v>8.255305200856052</v>
      </c>
      <c r="I1097" t="n">
        <v>850</v>
      </c>
      <c r="J1097" t="n">
        <v>776</v>
      </c>
      <c r="K1097" t="n">
        <v>8.333333333333334</v>
      </c>
    </row>
    <row r="1098">
      <c r="A1098" t="n">
        <v>79</v>
      </c>
      <c r="B1098" t="inlineStr">
        <is>
          <t>Whyin</t>
        </is>
      </c>
      <c r="C1098" t="inlineStr">
        <is>
          <t>Mafia</t>
        </is>
      </c>
      <c r="D1098" t="inlineStr">
        <is>
          <t>Win</t>
        </is>
      </c>
      <c r="E1098" t="n">
        <v>62</v>
      </c>
      <c r="F1098" t="n">
        <v>26.31713106093077</v>
      </c>
      <c r="G1098" t="n">
        <v>27.13844474677123</v>
      </c>
      <c r="H1098" t="n">
        <v>7.477961810460116</v>
      </c>
      <c r="I1098" t="n">
        <v>1021</v>
      </c>
      <c r="J1098" t="n">
        <v>1083</v>
      </c>
      <c r="K1098" t="n">
        <v>7.530348187928239</v>
      </c>
    </row>
    <row r="1099">
      <c r="A1099" t="n">
        <v>79</v>
      </c>
      <c r="B1099" t="inlineStr">
        <is>
          <t>Doublea</t>
        </is>
      </c>
      <c r="C1099" t="inlineStr">
        <is>
          <t>Mafia</t>
        </is>
      </c>
      <c r="D1099" t="inlineStr">
        <is>
          <t>Win</t>
        </is>
      </c>
      <c r="E1099" t="n">
        <v>68</v>
      </c>
      <c r="F1099" t="n">
        <v>22.07451775226421</v>
      </c>
      <c r="G1099" t="n">
        <v>22.99065134083278</v>
      </c>
      <c r="H1099" t="n">
        <v>7.891341976457243</v>
      </c>
      <c r="I1099" t="n">
        <v>690</v>
      </c>
      <c r="J1099" t="n">
        <v>758</v>
      </c>
      <c r="K1099" t="n">
        <v>7.95323644786783</v>
      </c>
    </row>
    <row r="1100">
      <c r="A1100" t="n">
        <v>79</v>
      </c>
      <c r="B1100" t="inlineStr">
        <is>
          <t>Strik3r</t>
        </is>
      </c>
      <c r="C1100" t="inlineStr">
        <is>
          <t>Mafia</t>
        </is>
      </c>
      <c r="D1100" t="inlineStr">
        <is>
          <t>Win</t>
        </is>
      </c>
      <c r="E1100" t="n">
        <v>67</v>
      </c>
      <c r="F1100" t="n">
        <v>27.13322182397651</v>
      </c>
      <c r="G1100" t="n">
        <v>28.0309512426671</v>
      </c>
      <c r="H1100" t="n">
        <v>7.812923590381761</v>
      </c>
      <c r="I1100" t="n">
        <v>1042</v>
      </c>
      <c r="J1100" t="n">
        <v>1109</v>
      </c>
      <c r="K1100" t="n">
        <v>7.872932281656815</v>
      </c>
    </row>
    <row r="1101">
      <c r="A1101" t="n">
        <v>79</v>
      </c>
      <c r="B1101" t="inlineStr">
        <is>
          <t>Carson</t>
        </is>
      </c>
      <c r="C1101" t="inlineStr">
        <is>
          <t>Town</t>
        </is>
      </c>
      <c r="D1101" t="inlineStr">
        <is>
          <t>Loss</t>
        </is>
      </c>
      <c r="E1101" t="n">
        <v>-52</v>
      </c>
      <c r="F1101" t="n">
        <v>29.04592423461964</v>
      </c>
      <c r="G1101" t="n">
        <v>28.21084346421097</v>
      </c>
      <c r="H1101" t="n">
        <v>7.53947526992661</v>
      </c>
      <c r="I1101" t="n">
        <v>1201</v>
      </c>
      <c r="J1101" t="n">
        <v>1149</v>
      </c>
      <c r="K1101" t="n">
        <v>7.593209818109952</v>
      </c>
    </row>
    <row r="1102">
      <c r="A1102" t="n">
        <v>79</v>
      </c>
      <c r="B1102" t="inlineStr">
        <is>
          <t>Sam</t>
        </is>
      </c>
      <c r="C1102" t="inlineStr">
        <is>
          <t>Town</t>
        </is>
      </c>
      <c r="D1102" t="inlineStr">
        <is>
          <t>Loss</t>
        </is>
      </c>
      <c r="E1102" t="n">
        <v>-59</v>
      </c>
      <c r="F1102" t="n">
        <v>27.61461977248649</v>
      </c>
      <c r="G1102" t="n">
        <v>26.64650076761055</v>
      </c>
      <c r="H1102" t="n">
        <v>8.108485032707637</v>
      </c>
      <c r="I1102" t="n">
        <v>1044</v>
      </c>
      <c r="J1102" t="n">
        <v>985</v>
      </c>
      <c r="K1102" t="n">
        <v>8.175808439083887</v>
      </c>
    </row>
    <row r="1103">
      <c r="A1103" t="n">
        <v>79</v>
      </c>
      <c r="B1103" t="inlineStr">
        <is>
          <t>23flash</t>
        </is>
      </c>
      <c r="C1103" t="inlineStr">
        <is>
          <t>Town</t>
        </is>
      </c>
      <c r="D1103" t="inlineStr">
        <is>
          <t>Loss</t>
        </is>
      </c>
      <c r="E1103" t="n">
        <v>-58</v>
      </c>
      <c r="F1103" t="n">
        <v>25.62510465405866</v>
      </c>
      <c r="G1103" t="n">
        <v>24.68059116849044</v>
      </c>
      <c r="H1103" t="n">
        <v>8.0106637351952</v>
      </c>
      <c r="I1103" t="n">
        <v>919</v>
      </c>
      <c r="J1103" t="n">
        <v>861</v>
      </c>
      <c r="K1103" t="n">
        <v>8.075503395522018</v>
      </c>
    </row>
    <row r="1104">
      <c r="A1104" t="n">
        <v>79</v>
      </c>
      <c r="B1104" t="inlineStr">
        <is>
          <t>Pinkee</t>
        </is>
      </c>
      <c r="C1104" t="inlineStr">
        <is>
          <t>Town</t>
        </is>
      </c>
      <c r="D1104" t="inlineStr">
        <is>
          <t>Loss</t>
        </is>
      </c>
      <c r="E1104" t="n">
        <v>-60</v>
      </c>
      <c r="F1104" t="n">
        <v>26.42938347472506</v>
      </c>
      <c r="G1104" t="n">
        <v>25.44146101989384</v>
      </c>
      <c r="H1104" t="n">
        <v>8.189587358998219</v>
      </c>
      <c r="I1104" t="n">
        <v>955</v>
      </c>
      <c r="J1104" t="n">
        <v>895</v>
      </c>
      <c r="K1104" t="n">
        <v>8.259018026377053</v>
      </c>
    </row>
    <row r="1105">
      <c r="A1105" t="n">
        <v>79</v>
      </c>
      <c r="B1105" t="inlineStr">
        <is>
          <t>Streety</t>
        </is>
      </c>
      <c r="C1105" t="inlineStr">
        <is>
          <t>Town</t>
        </is>
      </c>
      <c r="D1105" t="inlineStr">
        <is>
          <t>Loss</t>
        </is>
      </c>
      <c r="E1105" t="n">
        <v>-56</v>
      </c>
      <c r="F1105" t="n">
        <v>27.13289955305309</v>
      </c>
      <c r="G1105" t="n">
        <v>26.20642437023821</v>
      </c>
      <c r="H1105" t="n">
        <v>7.935044322554957</v>
      </c>
      <c r="I1105" t="n">
        <v>1029</v>
      </c>
      <c r="J1105" t="n">
        <v>973</v>
      </c>
      <c r="K1105" t="n">
        <v>7.998006808387999</v>
      </c>
    </row>
    <row r="1106">
      <c r="A1106" t="n">
        <v>79</v>
      </c>
      <c r="B1106" t="inlineStr">
        <is>
          <t>Rick</t>
        </is>
      </c>
      <c r="C1106" t="inlineStr">
        <is>
          <t>Town</t>
        </is>
      </c>
      <c r="D1106" t="inlineStr">
        <is>
          <t>Loss</t>
        </is>
      </c>
      <c r="E1106" t="n">
        <v>-58</v>
      </c>
      <c r="F1106" t="n">
        <v>26.44392178912738</v>
      </c>
      <c r="G1106" t="n">
        <v>25.48754335477225</v>
      </c>
      <c r="H1106" t="n">
        <v>8.059990696365833</v>
      </c>
      <c r="I1106" t="n">
        <v>969</v>
      </c>
      <c r="J1106" t="n">
        <v>911</v>
      </c>
      <c r="K1106" t="n">
        <v>8.126074935490291</v>
      </c>
    </row>
    <row r="1107">
      <c r="A1107" t="n">
        <v>79</v>
      </c>
      <c r="B1107" t="inlineStr">
        <is>
          <t>Rollo</t>
        </is>
      </c>
      <c r="C1107" t="inlineStr">
        <is>
          <t>Town</t>
        </is>
      </c>
      <c r="D1107" t="inlineStr">
        <is>
          <t>Loss</t>
        </is>
      </c>
      <c r="E1107" t="n">
        <v>-57</v>
      </c>
      <c r="F1107" t="n">
        <v>27.77377627788008</v>
      </c>
      <c r="G1107" t="n">
        <v>26.84767144884811</v>
      </c>
      <c r="H1107" t="n">
        <v>7.933483682579613</v>
      </c>
      <c r="I1107" t="n">
        <v>1073</v>
      </c>
      <c r="J1107" t="n">
        <v>1016</v>
      </c>
      <c r="K1107" t="n">
        <v>7.996407817199772</v>
      </c>
    </row>
    <row r="1108">
      <c r="A1108" t="n">
        <v>79</v>
      </c>
      <c r="B1108" t="inlineStr">
        <is>
          <t>Plen</t>
        </is>
      </c>
      <c r="C1108" t="inlineStr">
        <is>
          <t>Town</t>
        </is>
      </c>
      <c r="D1108" t="inlineStr">
        <is>
          <t>Loss</t>
        </is>
      </c>
      <c r="E1108" t="n">
        <v>-50</v>
      </c>
      <c r="F1108" t="n">
        <v>19.70592903739481</v>
      </c>
      <c r="G1108" t="n">
        <v>18.89493626975709</v>
      </c>
      <c r="H1108" t="n">
        <v>7.431492678110097</v>
      </c>
      <c r="I1108" t="n">
        <v>577</v>
      </c>
      <c r="J1108" t="n">
        <v>527</v>
      </c>
      <c r="K1108" t="n">
        <v>7.482875698054409</v>
      </c>
    </row>
    <row r="1109">
      <c r="A1109" t="n">
        <v>79</v>
      </c>
      <c r="B1109" t="inlineStr">
        <is>
          <t>Nick</t>
        </is>
      </c>
      <c r="C1109" t="inlineStr">
        <is>
          <t>Town</t>
        </is>
      </c>
      <c r="D1109" t="inlineStr">
        <is>
          <t>Loss</t>
        </is>
      </c>
      <c r="E1109" t="n">
        <v>-57</v>
      </c>
      <c r="F1109" t="n">
        <v>26.60277333007209</v>
      </c>
      <c r="G1109" t="n">
        <v>25.6655520066161</v>
      </c>
      <c r="H1109" t="n">
        <v>7.980185922616482</v>
      </c>
      <c r="I1109" t="n">
        <v>988</v>
      </c>
      <c r="J1109" t="n">
        <v>931</v>
      </c>
      <c r="K1109" t="n">
        <v>8.044264536353587</v>
      </c>
    </row>
    <row r="1110">
      <c r="A1110" t="n">
        <v>79</v>
      </c>
      <c r="B1110" t="inlineStr">
        <is>
          <t>Machop</t>
        </is>
      </c>
      <c r="C1110" t="inlineStr">
        <is>
          <t>Town</t>
        </is>
      </c>
      <c r="D1110" t="inlineStr">
        <is>
          <t>Loss</t>
        </is>
      </c>
      <c r="E1110" t="n">
        <v>-47</v>
      </c>
      <c r="F1110" t="n">
        <v>26.75299191198386</v>
      </c>
      <c r="G1110" t="n">
        <v>25.99565707487913</v>
      </c>
      <c r="H1110" t="n">
        <v>7.184778787123351</v>
      </c>
      <c r="I1110" t="n">
        <v>1082</v>
      </c>
      <c r="J1110" t="n">
        <v>1035</v>
      </c>
      <c r="K1110" t="n">
        <v>7.231048260063</v>
      </c>
    </row>
    <row r="1111">
      <c r="A1111" t="n">
        <v>78</v>
      </c>
      <c r="B1111" t="inlineStr">
        <is>
          <t>Badpants</t>
        </is>
      </c>
      <c r="C1111" t="inlineStr">
        <is>
          <t>Mafia</t>
        </is>
      </c>
      <c r="D1111" t="inlineStr">
        <is>
          <t>Win</t>
        </is>
      </c>
      <c r="E1111" t="n">
        <v>70</v>
      </c>
      <c r="F1111" t="n">
        <v>18.98607827667928</v>
      </c>
      <c r="G1111" t="n">
        <v>19.92904265867485</v>
      </c>
      <c r="H1111" t="n">
        <v>7.426057518751652</v>
      </c>
      <c r="I1111" t="n">
        <v>528</v>
      </c>
      <c r="J1111" t="n">
        <v>598</v>
      </c>
      <c r="K1111" t="n">
        <v>7.482404273143731</v>
      </c>
    </row>
    <row r="1112">
      <c r="A1112" t="n">
        <v>78</v>
      </c>
      <c r="B1112" t="inlineStr">
        <is>
          <t>Brownkow</t>
        </is>
      </c>
      <c r="C1112" t="inlineStr">
        <is>
          <t>Mafia</t>
        </is>
      </c>
      <c r="D1112" t="inlineStr">
        <is>
          <t>Win</t>
        </is>
      </c>
      <c r="E1112" t="n">
        <v>64</v>
      </c>
      <c r="F1112" t="n">
        <v>27.75408666628742</v>
      </c>
      <c r="G1112" t="n">
        <v>28.62151189514569</v>
      </c>
      <c r="H1112" t="n">
        <v>7.126801454601342</v>
      </c>
      <c r="I1112" t="n">
        <v>1155</v>
      </c>
      <c r="J1112" t="n">
        <v>1219</v>
      </c>
      <c r="K1112" t="n">
        <v>7.176392307876938</v>
      </c>
    </row>
    <row r="1113">
      <c r="A1113" t="n">
        <v>78</v>
      </c>
      <c r="B1113" t="inlineStr">
        <is>
          <t>Iln</t>
        </is>
      </c>
      <c r="C1113" t="inlineStr">
        <is>
          <t>Mafia</t>
        </is>
      </c>
      <c r="D1113" t="inlineStr">
        <is>
          <t>Win</t>
        </is>
      </c>
      <c r="E1113" t="n">
        <v>72</v>
      </c>
      <c r="F1113" t="n">
        <v>22.28517935258912</v>
      </c>
      <c r="G1113" t="n">
        <v>23.25299197826311</v>
      </c>
      <c r="H1113" t="n">
        <v>7.521735994116002</v>
      </c>
      <c r="I1113" t="n">
        <v>742</v>
      </c>
      <c r="J1113" t="n">
        <v>814</v>
      </c>
      <c r="K1113" t="n">
        <v>7.580365781973323</v>
      </c>
    </row>
    <row r="1114">
      <c r="A1114" t="n">
        <v>78</v>
      </c>
      <c r="B1114" t="inlineStr">
        <is>
          <t>Lofty</t>
        </is>
      </c>
      <c r="C1114" t="inlineStr">
        <is>
          <t>Town</t>
        </is>
      </c>
      <c r="D1114" t="inlineStr">
        <is>
          <t>Loss</t>
        </is>
      </c>
      <c r="E1114" t="n">
        <v>-71</v>
      </c>
      <c r="F1114" t="n">
        <v>23.91196164862937</v>
      </c>
      <c r="G1114" t="n">
        <v>22.7631685918259</v>
      </c>
      <c r="H1114" t="n">
        <v>8.182758184317192</v>
      </c>
      <c r="I1114" t="n">
        <v>784</v>
      </c>
      <c r="J1114" t="n">
        <v>713</v>
      </c>
      <c r="K1114" t="n">
        <v>8.258884168616325</v>
      </c>
    </row>
    <row r="1115">
      <c r="A1115" t="n">
        <v>78</v>
      </c>
      <c r="B1115" t="inlineStr">
        <is>
          <t>Kden</t>
        </is>
      </c>
      <c r="C1115" t="inlineStr">
        <is>
          <t>Town</t>
        </is>
      </c>
      <c r="D1115" t="inlineStr">
        <is>
          <t>Loss</t>
        </is>
      </c>
      <c r="E1115" t="n">
        <v>-65</v>
      </c>
      <c r="F1115" t="n">
        <v>26.94887089780633</v>
      </c>
      <c r="G1115" t="n">
        <v>25.90072110324822</v>
      </c>
      <c r="H1115" t="n">
        <v>7.822555446579511</v>
      </c>
      <c r="I1115" t="n">
        <v>1028</v>
      </c>
      <c r="J1115" t="n">
        <v>963</v>
      </c>
      <c r="K1115" t="n">
        <v>7.888766363321912</v>
      </c>
    </row>
    <row r="1116">
      <c r="A1116" t="n">
        <v>78</v>
      </c>
      <c r="B1116" t="inlineStr">
        <is>
          <t>Snazz</t>
        </is>
      </c>
      <c r="C1116" t="inlineStr">
        <is>
          <t>Town</t>
        </is>
      </c>
      <c r="D1116" t="inlineStr">
        <is>
          <t>Loss</t>
        </is>
      </c>
      <c r="E1116" t="n">
        <v>-67</v>
      </c>
      <c r="F1116" t="n">
        <v>25.04251015557806</v>
      </c>
      <c r="G1116" t="n">
        <v>23.95644478687949</v>
      </c>
      <c r="H1116" t="n">
        <v>7.960312111298486</v>
      </c>
      <c r="I1116" t="n">
        <v>884</v>
      </c>
      <c r="J1116" t="n">
        <v>817</v>
      </c>
      <c r="K1116" t="n">
        <v>8.030204737956794</v>
      </c>
    </row>
    <row r="1117">
      <c r="A1117" t="n">
        <v>78</v>
      </c>
      <c r="B1117" t="inlineStr">
        <is>
          <t>Chipper</t>
        </is>
      </c>
      <c r="C1117" t="inlineStr">
        <is>
          <t>Town</t>
        </is>
      </c>
      <c r="D1117" t="inlineStr">
        <is>
          <t>Loss</t>
        </is>
      </c>
      <c r="E1117" t="n">
        <v>-58</v>
      </c>
      <c r="F1117" t="n">
        <v>19.2244265310741</v>
      </c>
      <c r="G1117" t="n">
        <v>18.28464616165703</v>
      </c>
      <c r="H1117" t="n">
        <v>7.413702434876245</v>
      </c>
      <c r="I1117" t="n">
        <v>545</v>
      </c>
      <c r="J1117" t="n">
        <v>487</v>
      </c>
      <c r="K1117" t="n">
        <v>7.469758791817783</v>
      </c>
    </row>
    <row r="1118">
      <c r="A1118" t="n">
        <v>78</v>
      </c>
      <c r="B1118" t="inlineStr">
        <is>
          <t>Doublea</t>
        </is>
      </c>
      <c r="C1118" t="inlineStr">
        <is>
          <t>Town</t>
        </is>
      </c>
      <c r="D1118" t="inlineStr">
        <is>
          <t>Loss</t>
        </is>
      </c>
      <c r="E1118" t="n">
        <v>-66</v>
      </c>
      <c r="F1118" t="n">
        <v>23.15861834210376</v>
      </c>
      <c r="G1118" t="n">
        <v>22.07451775226421</v>
      </c>
      <c r="H1118" t="n">
        <v>7.95323644786783</v>
      </c>
      <c r="I1118" t="n">
        <v>756</v>
      </c>
      <c r="J1118" t="n">
        <v>690</v>
      </c>
      <c r="K1118" t="n">
        <v>8.022936682048218</v>
      </c>
    </row>
    <row r="1119">
      <c r="A1119" t="n">
        <v>78</v>
      </c>
      <c r="B1119" t="inlineStr">
        <is>
          <t>Kwix</t>
        </is>
      </c>
      <c r="C1119" t="inlineStr">
        <is>
          <t>Town</t>
        </is>
      </c>
      <c r="D1119" t="inlineStr">
        <is>
          <t>Loss</t>
        </is>
      </c>
      <c r="E1119" t="n">
        <v>-61</v>
      </c>
      <c r="F1119" t="n">
        <v>22.60189809271196</v>
      </c>
      <c r="G1119" t="n">
        <v>21.61908297523724</v>
      </c>
      <c r="H1119" t="n">
        <v>7.57888080451269</v>
      </c>
      <c r="I1119" t="n">
        <v>758</v>
      </c>
      <c r="J1119" t="n">
        <v>697</v>
      </c>
      <c r="K1119" t="n">
        <v>7.638903288252814</v>
      </c>
    </row>
    <row r="1120">
      <c r="A1120" t="n">
        <v>78</v>
      </c>
      <c r="B1120" t="inlineStr">
        <is>
          <t>Machop</t>
        </is>
      </c>
      <c r="C1120" t="inlineStr">
        <is>
          <t>Town</t>
        </is>
      </c>
      <c r="D1120" t="inlineStr">
        <is>
          <t>Loss</t>
        </is>
      </c>
      <c r="E1120" t="n">
        <v>-55</v>
      </c>
      <c r="F1120" t="n">
        <v>27.64635749832403</v>
      </c>
      <c r="G1120" t="n">
        <v>26.75299191198386</v>
      </c>
      <c r="H1120" t="n">
        <v>7.231048260063</v>
      </c>
      <c r="I1120" t="n">
        <v>1137</v>
      </c>
      <c r="J1120" t="n">
        <v>1082</v>
      </c>
      <c r="K1120" t="n">
        <v>7.28292740611189</v>
      </c>
    </row>
    <row r="1121">
      <c r="A1121" t="n">
        <v>78</v>
      </c>
      <c r="B1121" t="inlineStr">
        <is>
          <t>Mintt</t>
        </is>
      </c>
      <c r="C1121" t="inlineStr">
        <is>
          <t>Town</t>
        </is>
      </c>
      <c r="D1121" t="inlineStr">
        <is>
          <t>Loss</t>
        </is>
      </c>
      <c r="E1121" t="n">
        <v>-63</v>
      </c>
      <c r="F1121" t="n">
        <v>28.19357441272875</v>
      </c>
      <c r="G1121" t="n">
        <v>27.17690177250049</v>
      </c>
      <c r="H1121" t="n">
        <v>7.706185119621681</v>
      </c>
      <c r="I1121" t="n">
        <v>1125</v>
      </c>
      <c r="J1121" t="n">
        <v>1062</v>
      </c>
      <c r="K1121" t="n">
        <v>7.769389693141109</v>
      </c>
    </row>
    <row r="1122">
      <c r="A1122" t="n">
        <v>78</v>
      </c>
      <c r="B1122" t="inlineStr">
        <is>
          <t>Svaan</t>
        </is>
      </c>
      <c r="C1122" t="inlineStr">
        <is>
          <t>Town</t>
        </is>
      </c>
      <c r="D1122" t="inlineStr">
        <is>
          <t>Loss</t>
        </is>
      </c>
      <c r="E1122" t="n">
        <v>-65</v>
      </c>
      <c r="F1122" t="n">
        <v>25.73980586903976</v>
      </c>
      <c r="G1122" t="n">
        <v>24.69414000495577</v>
      </c>
      <c r="H1122" t="n">
        <v>7.813439805751943</v>
      </c>
      <c r="I1122" t="n">
        <v>947</v>
      </c>
      <c r="J1122" t="n">
        <v>882</v>
      </c>
      <c r="K1122" t="n">
        <v>7.879411821278119</v>
      </c>
    </row>
    <row r="1123">
      <c r="A1123" t="n">
        <v>78</v>
      </c>
      <c r="B1123" t="inlineStr">
        <is>
          <t>Smit</t>
        </is>
      </c>
      <c r="C1123" t="inlineStr">
        <is>
          <t>Town</t>
        </is>
      </c>
      <c r="D1123" t="inlineStr">
        <is>
          <t>Loss</t>
        </is>
      </c>
      <c r="E1123" t="n">
        <v>-58</v>
      </c>
      <c r="F1123" t="n">
        <v>25.92684885990885</v>
      </c>
      <c r="G1123" t="n">
        <v>24.99092974383468</v>
      </c>
      <c r="H1123" t="n">
        <v>7.398689981173836</v>
      </c>
      <c r="I1123" t="n">
        <v>1003</v>
      </c>
      <c r="J1123" t="n">
        <v>945</v>
      </c>
      <c r="K1123" t="n">
        <v>7.454394830642879</v>
      </c>
    </row>
    <row r="1124">
      <c r="A1124" t="n">
        <v>77</v>
      </c>
      <c r="B1124" t="inlineStr">
        <is>
          <t>Iln</t>
        </is>
      </c>
      <c r="C1124" t="inlineStr">
        <is>
          <t>Mafia</t>
        </is>
      </c>
      <c r="D1124" t="inlineStr">
        <is>
          <t>Win</t>
        </is>
      </c>
      <c r="E1124" t="n">
        <v>68</v>
      </c>
      <c r="F1124" t="n">
        <v>21.37124523869867</v>
      </c>
      <c r="G1124" t="n">
        <v>22.28517935258912</v>
      </c>
      <c r="H1124" t="n">
        <v>7.580365781973323</v>
      </c>
      <c r="I1124" t="n">
        <v>674</v>
      </c>
      <c r="J1124" t="n">
        <v>742</v>
      </c>
      <c r="K1124" t="n">
        <v>7.637445767230767</v>
      </c>
    </row>
    <row r="1125">
      <c r="A1125" t="n">
        <v>77</v>
      </c>
      <c r="B1125" t="inlineStr">
        <is>
          <t>Kden</t>
        </is>
      </c>
      <c r="C1125" t="inlineStr">
        <is>
          <t>Mafia</t>
        </is>
      </c>
      <c r="D1125" t="inlineStr">
        <is>
          <t>Win</t>
        </is>
      </c>
      <c r="E1125" t="n">
        <v>74</v>
      </c>
      <c r="F1125" t="n">
        <v>25.95777942387489</v>
      </c>
      <c r="G1125" t="n">
        <v>26.94887089780633</v>
      </c>
      <c r="H1125" t="n">
        <v>7.888766363321912</v>
      </c>
      <c r="I1125" t="n">
        <v>954</v>
      </c>
      <c r="J1125" t="n">
        <v>1028</v>
      </c>
      <c r="K1125" t="n">
        <v>7.953356751921106</v>
      </c>
    </row>
    <row r="1126">
      <c r="A1126" t="n">
        <v>77</v>
      </c>
      <c r="B1126" t="inlineStr">
        <is>
          <t>Snazz</t>
        </is>
      </c>
      <c r="C1126" t="inlineStr">
        <is>
          <t>Mafia</t>
        </is>
      </c>
      <c r="D1126" t="inlineStr">
        <is>
          <t>Win</t>
        </is>
      </c>
      <c r="E1126" t="n">
        <v>77</v>
      </c>
      <c r="F1126" t="n">
        <v>24.0149332961739</v>
      </c>
      <c r="G1126" t="n">
        <v>25.04251015557806</v>
      </c>
      <c r="H1126" t="n">
        <v>8.030204737956794</v>
      </c>
      <c r="I1126" t="n">
        <v>807</v>
      </c>
      <c r="J1126" t="n">
        <v>884</v>
      </c>
      <c r="K1126" t="n">
        <v>8.098451208994682</v>
      </c>
    </row>
    <row r="1127">
      <c r="A1127" t="n">
        <v>77</v>
      </c>
      <c r="B1127" t="inlineStr">
        <is>
          <t>Kwix</t>
        </is>
      </c>
      <c r="C1127" t="inlineStr">
        <is>
          <t>Town</t>
        </is>
      </c>
      <c r="D1127" t="inlineStr">
        <is>
          <t>Loss</t>
        </is>
      </c>
      <c r="E1127" t="n">
        <v>-57</v>
      </c>
      <c r="F1127" t="n">
        <v>23.53022551889043</v>
      </c>
      <c r="G1127" t="n">
        <v>22.60189809271196</v>
      </c>
      <c r="H1127" t="n">
        <v>7.638903288252814</v>
      </c>
      <c r="I1127" t="n">
        <v>815</v>
      </c>
      <c r="J1127" t="n">
        <v>758</v>
      </c>
      <c r="K1127" t="n">
        <v>7.697361141221199</v>
      </c>
    </row>
    <row r="1128">
      <c r="A1128" t="n">
        <v>77</v>
      </c>
      <c r="B1128" t="inlineStr">
        <is>
          <t>Badpants</t>
        </is>
      </c>
      <c r="C1128" t="inlineStr">
        <is>
          <t>Town</t>
        </is>
      </c>
      <c r="D1128" t="inlineStr">
        <is>
          <t>Loss</t>
        </is>
      </c>
      <c r="E1128" t="n">
        <v>-55</v>
      </c>
      <c r="F1128" t="n">
        <v>19.87618858851178</v>
      </c>
      <c r="G1128" t="n">
        <v>18.98607827667928</v>
      </c>
      <c r="H1128" t="n">
        <v>7.482404273143731</v>
      </c>
      <c r="I1128" t="n">
        <v>583</v>
      </c>
      <c r="J1128" t="n">
        <v>528</v>
      </c>
      <c r="K1128" t="n">
        <v>7.537227343957716</v>
      </c>
    </row>
    <row r="1129">
      <c r="A1129" t="n">
        <v>77</v>
      </c>
      <c r="B1129" t="inlineStr">
        <is>
          <t>Lofty</t>
        </is>
      </c>
      <c r="C1129" t="inlineStr">
        <is>
          <t>Town</t>
        </is>
      </c>
      <c r="D1129" t="inlineStr">
        <is>
          <t>Loss</t>
        </is>
      </c>
      <c r="E1129" t="n">
        <v>-66</v>
      </c>
      <c r="F1129" t="n">
        <v>25</v>
      </c>
      <c r="G1129" t="n">
        <v>23.91196164862937</v>
      </c>
      <c r="H1129" t="n">
        <v>8.258884168616325</v>
      </c>
      <c r="I1129" t="n">
        <v>850</v>
      </c>
      <c r="J1129" t="n">
        <v>784</v>
      </c>
      <c r="K1129" t="n">
        <v>8.333333333333334</v>
      </c>
    </row>
    <row r="1130">
      <c r="A1130" t="n">
        <v>77</v>
      </c>
      <c r="B1130" t="inlineStr">
        <is>
          <t>Rocker</t>
        </is>
      </c>
      <c r="C1130" t="inlineStr">
        <is>
          <t>Town</t>
        </is>
      </c>
      <c r="D1130" t="inlineStr">
        <is>
          <t>Loss</t>
        </is>
      </c>
      <c r="E1130" t="n">
        <v>-51</v>
      </c>
      <c r="F1130" t="n">
        <v>30.50716766427671</v>
      </c>
      <c r="G1130" t="n">
        <v>29.68808113666165</v>
      </c>
      <c r="H1130" t="n">
        <v>7.181942415454896</v>
      </c>
      <c r="I1130" t="n">
        <v>1337</v>
      </c>
      <c r="J1130" t="n">
        <v>1286</v>
      </c>
      <c r="K1130" t="n">
        <v>7.230216064850661</v>
      </c>
    </row>
    <row r="1131">
      <c r="A1131" t="n">
        <v>77</v>
      </c>
      <c r="B1131" t="inlineStr">
        <is>
          <t>Brownkow</t>
        </is>
      </c>
      <c r="C1131" t="inlineStr">
        <is>
          <t>Town</t>
        </is>
      </c>
      <c r="D1131" t="inlineStr">
        <is>
          <t>Loss</t>
        </is>
      </c>
      <c r="E1131" t="n">
        <v>-51</v>
      </c>
      <c r="F1131" t="n">
        <v>28.57189019857536</v>
      </c>
      <c r="G1131" t="n">
        <v>27.75408666628742</v>
      </c>
      <c r="H1131" t="n">
        <v>7.176392307876938</v>
      </c>
      <c r="I1131" t="n">
        <v>1206</v>
      </c>
      <c r="J1131" t="n">
        <v>1155</v>
      </c>
      <c r="K1131" t="n">
        <v>7.224550152646616</v>
      </c>
    </row>
    <row r="1132">
      <c r="A1132" t="n">
        <v>77</v>
      </c>
      <c r="B1132" t="inlineStr">
        <is>
          <t>Chipper</t>
        </is>
      </c>
      <c r="C1132" t="inlineStr">
        <is>
          <t>Town</t>
        </is>
      </c>
      <c r="D1132" t="inlineStr">
        <is>
          <t>Loss</t>
        </is>
      </c>
      <c r="E1132" t="n">
        <v>-55</v>
      </c>
      <c r="F1132" t="n">
        <v>20.11148549331535</v>
      </c>
      <c r="G1132" t="n">
        <v>19.2244265310741</v>
      </c>
      <c r="H1132" t="n">
        <v>7.469758791817783</v>
      </c>
      <c r="I1132" t="n">
        <v>600</v>
      </c>
      <c r="J1132" t="n">
        <v>545</v>
      </c>
      <c r="K1132" t="n">
        <v>7.524294949688077</v>
      </c>
    </row>
    <row r="1133">
      <c r="A1133" t="n">
        <v>77</v>
      </c>
      <c r="B1133" t="inlineStr">
        <is>
          <t>Doublea</t>
        </is>
      </c>
      <c r="C1133" t="inlineStr">
        <is>
          <t>Town</t>
        </is>
      </c>
      <c r="D1133" t="inlineStr">
        <is>
          <t>Loss</t>
        </is>
      </c>
      <c r="E1133" t="n">
        <v>-63</v>
      </c>
      <c r="F1133" t="n">
        <v>24.18430341926245</v>
      </c>
      <c r="G1133" t="n">
        <v>23.15861834210376</v>
      </c>
      <c r="H1133" t="n">
        <v>8.022936682048218</v>
      </c>
      <c r="I1133" t="n">
        <v>819</v>
      </c>
      <c r="J1133" t="n">
        <v>756</v>
      </c>
      <c r="K1133" t="n">
        <v>8.09099196056138</v>
      </c>
    </row>
    <row r="1134">
      <c r="A1134" t="n">
        <v>77</v>
      </c>
      <c r="B1134" t="inlineStr">
        <is>
          <t>Machop</t>
        </is>
      </c>
      <c r="C1134" t="inlineStr">
        <is>
          <t>Town</t>
        </is>
      </c>
      <c r="D1134" t="inlineStr">
        <is>
          <t>Loss</t>
        </is>
      </c>
      <c r="E1134" t="n">
        <v>-52</v>
      </c>
      <c r="F1134" t="n">
        <v>28.48897140107593</v>
      </c>
      <c r="G1134" t="n">
        <v>27.64635749832403</v>
      </c>
      <c r="H1134" t="n">
        <v>7.28292740611189</v>
      </c>
      <c r="I1134" t="n">
        <v>1189</v>
      </c>
      <c r="J1134" t="n">
        <v>1137</v>
      </c>
      <c r="K1134" t="n">
        <v>7.333340567339569</v>
      </c>
    </row>
    <row r="1135">
      <c r="A1135" t="n">
        <v>77</v>
      </c>
      <c r="B1135" t="inlineStr">
        <is>
          <t>Smit</t>
        </is>
      </c>
      <c r="C1135" t="inlineStr">
        <is>
          <t>Town</t>
        </is>
      </c>
      <c r="D1135" t="inlineStr">
        <is>
          <t>Loss</t>
        </is>
      </c>
      <c r="E1135" t="n">
        <v>-54</v>
      </c>
      <c r="F1135" t="n">
        <v>26.81020787331159</v>
      </c>
      <c r="G1135" t="n">
        <v>25.92684885990885</v>
      </c>
      <c r="H1135" t="n">
        <v>7.454394830642879</v>
      </c>
      <c r="I1135" t="n">
        <v>1057</v>
      </c>
      <c r="J1135" t="n">
        <v>1003</v>
      </c>
      <c r="K1135" t="n">
        <v>7.508583747998204</v>
      </c>
    </row>
    <row r="1136">
      <c r="A1136" t="n">
        <v>77</v>
      </c>
      <c r="B1136" t="inlineStr">
        <is>
          <t>Svaan</t>
        </is>
      </c>
      <c r="C1136" t="inlineStr">
        <is>
          <t>Town</t>
        </is>
      </c>
      <c r="D1136" t="inlineStr">
        <is>
          <t>Loss</t>
        </is>
      </c>
      <c r="E1136" t="n">
        <v>-60</v>
      </c>
      <c r="F1136" t="n">
        <v>26.72850869002304</v>
      </c>
      <c r="G1136" t="n">
        <v>25.73980586903976</v>
      </c>
      <c r="H1136" t="n">
        <v>7.879411821278119</v>
      </c>
      <c r="I1136" t="n">
        <v>1007</v>
      </c>
      <c r="J1136" t="n">
        <v>947</v>
      </c>
      <c r="K1136" t="n">
        <v>7.943765166740596</v>
      </c>
    </row>
    <row r="1137">
      <c r="A1137" t="n">
        <v>76</v>
      </c>
      <c r="B1137" t="inlineStr">
        <is>
          <t>Noah</t>
        </is>
      </c>
      <c r="C1137" t="inlineStr">
        <is>
          <t>Mafia</t>
        </is>
      </c>
      <c r="D1137" t="inlineStr">
        <is>
          <t>Win</t>
        </is>
      </c>
      <c r="E1137" t="n">
        <v>60</v>
      </c>
      <c r="F1137" t="n">
        <v>28.03700602849748</v>
      </c>
      <c r="G1137" t="n">
        <v>28.84015564381811</v>
      </c>
      <c r="H1137" t="n">
        <v>7.459115242509942</v>
      </c>
      <c r="I1137" t="n">
        <v>1140</v>
      </c>
      <c r="J1137" t="n">
        <v>1200</v>
      </c>
      <c r="K1137" t="n">
        <v>7.511156989666962</v>
      </c>
    </row>
    <row r="1138">
      <c r="A1138" t="n">
        <v>76</v>
      </c>
      <c r="B1138" t="inlineStr">
        <is>
          <t>Strik3r</t>
        </is>
      </c>
      <c r="C1138" t="inlineStr">
        <is>
          <t>Mafia</t>
        </is>
      </c>
      <c r="D1138" t="inlineStr">
        <is>
          <t>Win</t>
        </is>
      </c>
      <c r="E1138" t="n">
        <v>67</v>
      </c>
      <c r="F1138" t="n">
        <v>26.23701323524453</v>
      </c>
      <c r="G1138" t="n">
        <v>27.13322182397651</v>
      </c>
      <c r="H1138" t="n">
        <v>7.872932281656815</v>
      </c>
      <c r="I1138" t="n">
        <v>975</v>
      </c>
      <c r="J1138" t="n">
        <v>1042</v>
      </c>
      <c r="K1138" t="n">
        <v>7.934456047399634</v>
      </c>
    </row>
    <row r="1139">
      <c r="A1139" t="n">
        <v>76</v>
      </c>
      <c r="B1139" t="inlineStr">
        <is>
          <t>Snazz</t>
        </is>
      </c>
      <c r="C1139" t="inlineStr">
        <is>
          <t>Mafia</t>
        </is>
      </c>
      <c r="D1139" t="inlineStr">
        <is>
          <t>Win</t>
        </is>
      </c>
      <c r="E1139" t="n">
        <v>71</v>
      </c>
      <c r="F1139" t="n">
        <v>23.06575657799802</v>
      </c>
      <c r="G1139" t="n">
        <v>24.0149332961739</v>
      </c>
      <c r="H1139" t="n">
        <v>8.098451208994682</v>
      </c>
      <c r="I1139" t="n">
        <v>736</v>
      </c>
      <c r="J1139" t="n">
        <v>807</v>
      </c>
      <c r="K1139" t="n">
        <v>8.165599426723816</v>
      </c>
    </row>
    <row r="1140">
      <c r="A1140" t="n">
        <v>76</v>
      </c>
      <c r="B1140" t="inlineStr">
        <is>
          <t>Rocker</t>
        </is>
      </c>
      <c r="C1140" t="inlineStr">
        <is>
          <t>Town</t>
        </is>
      </c>
      <c r="D1140" t="inlineStr">
        <is>
          <t>Loss</t>
        </is>
      </c>
      <c r="E1140" t="n">
        <v>-46</v>
      </c>
      <c r="F1140" t="n">
        <v>31.26112590540853</v>
      </c>
      <c r="G1140" t="n">
        <v>30.50716766427671</v>
      </c>
      <c r="H1140" t="n">
        <v>7.230216064850661</v>
      </c>
      <c r="I1140" t="n">
        <v>1383</v>
      </c>
      <c r="J1140" t="n">
        <v>1337</v>
      </c>
      <c r="K1140" t="n">
        <v>7.277458649432093</v>
      </c>
    </row>
    <row r="1141">
      <c r="A1141" t="n">
        <v>76</v>
      </c>
      <c r="B1141" t="inlineStr">
        <is>
          <t>Brownkow</t>
        </is>
      </c>
      <c r="C1141" t="inlineStr">
        <is>
          <t>Town</t>
        </is>
      </c>
      <c r="D1141" t="inlineStr">
        <is>
          <t>Loss</t>
        </is>
      </c>
      <c r="E1141" t="n">
        <v>-46</v>
      </c>
      <c r="F1141" t="n">
        <v>29.32465133497766</v>
      </c>
      <c r="G1141" t="n">
        <v>28.57189019857536</v>
      </c>
      <c r="H1141" t="n">
        <v>7.224550152646616</v>
      </c>
      <c r="I1141" t="n">
        <v>1252</v>
      </c>
      <c r="J1141" t="n">
        <v>1206</v>
      </c>
      <c r="K1141" t="n">
        <v>7.27167783373783</v>
      </c>
    </row>
    <row r="1142">
      <c r="A1142" t="n">
        <v>76</v>
      </c>
      <c r="B1142" t="inlineStr">
        <is>
          <t>Creatchee</t>
        </is>
      </c>
      <c r="C1142" t="inlineStr">
        <is>
          <t>Town</t>
        </is>
      </c>
      <c r="D1142" t="inlineStr">
        <is>
          <t>Loss</t>
        </is>
      </c>
      <c r="E1142" t="n">
        <v>-48</v>
      </c>
      <c r="F1142" t="n">
        <v>32.61720430388505</v>
      </c>
      <c r="G1142" t="n">
        <v>31.82729769632821</v>
      </c>
      <c r="H1142" t="n">
        <v>7.398228425165035</v>
      </c>
      <c r="I1142" t="n">
        <v>1458</v>
      </c>
      <c r="J1142" t="n">
        <v>1410</v>
      </c>
      <c r="K1142" t="n">
        <v>7.448963383345667</v>
      </c>
    </row>
    <row r="1143">
      <c r="A1143" t="n">
        <v>76</v>
      </c>
      <c r="B1143" t="inlineStr">
        <is>
          <t>Lou</t>
        </is>
      </c>
      <c r="C1143" t="inlineStr">
        <is>
          <t>Town</t>
        </is>
      </c>
      <c r="D1143" t="inlineStr">
        <is>
          <t>Loss</t>
        </is>
      </c>
      <c r="E1143" t="n">
        <v>-46</v>
      </c>
      <c r="F1143" t="n">
        <v>27.87472464885312</v>
      </c>
      <c r="G1143" t="n">
        <v>27.12686251020192</v>
      </c>
      <c r="H1143" t="n">
        <v>7.201314145592231</v>
      </c>
      <c r="I1143" t="n">
        <v>1156</v>
      </c>
      <c r="J1143" t="n">
        <v>1110</v>
      </c>
      <c r="K1143" t="n">
        <v>7.247972543570824</v>
      </c>
    </row>
    <row r="1144">
      <c r="A1144" t="n">
        <v>76</v>
      </c>
      <c r="B1144" t="inlineStr">
        <is>
          <t>Aipha</t>
        </is>
      </c>
      <c r="C1144" t="inlineStr">
        <is>
          <t>Town</t>
        </is>
      </c>
      <c r="D1144" t="inlineStr">
        <is>
          <t>Loss</t>
        </is>
      </c>
      <c r="E1144" t="n">
        <v>-54</v>
      </c>
      <c r="F1144" t="n">
        <v>26.7128800396831</v>
      </c>
      <c r="G1144" t="n">
        <v>25.82664117774326</v>
      </c>
      <c r="H1144" t="n">
        <v>7.829709484455434</v>
      </c>
      <c r="I1144" t="n">
        <v>1012</v>
      </c>
      <c r="J1144" t="n">
        <v>958</v>
      </c>
      <c r="K1144" t="n">
        <v>7.890192790080196</v>
      </c>
    </row>
    <row r="1145">
      <c r="A1145" t="n">
        <v>76</v>
      </c>
      <c r="B1145" t="inlineStr">
        <is>
          <t>Kwix</t>
        </is>
      </c>
      <c r="C1145" t="inlineStr">
        <is>
          <t>Town</t>
        </is>
      </c>
      <c r="D1145" t="inlineStr">
        <is>
          <t>Loss</t>
        </is>
      </c>
      <c r="E1145" t="n">
        <v>-52</v>
      </c>
      <c r="F1145" t="n">
        <v>24.38630012501411</v>
      </c>
      <c r="G1145" t="n">
        <v>23.53022551889043</v>
      </c>
      <c r="H1145" t="n">
        <v>7.697361141221199</v>
      </c>
      <c r="I1145" t="n">
        <v>867</v>
      </c>
      <c r="J1145" t="n">
        <v>815</v>
      </c>
      <c r="K1145" t="n">
        <v>7.754732086247357</v>
      </c>
    </row>
    <row r="1146">
      <c r="A1146" t="n">
        <v>76</v>
      </c>
      <c r="B1146" t="inlineStr">
        <is>
          <t>Mintt</t>
        </is>
      </c>
      <c r="C1146" t="inlineStr">
        <is>
          <t>Town</t>
        </is>
      </c>
      <c r="D1146" t="inlineStr">
        <is>
          <t>Loss</t>
        </is>
      </c>
      <c r="E1146" t="n">
        <v>-53</v>
      </c>
      <c r="F1146" t="n">
        <v>29.06599762104249</v>
      </c>
      <c r="G1146" t="n">
        <v>28.19357441272875</v>
      </c>
      <c r="H1146" t="n">
        <v>7.769389693141109</v>
      </c>
      <c r="I1146" t="n">
        <v>1178</v>
      </c>
      <c r="J1146" t="n">
        <v>1125</v>
      </c>
      <c r="K1146" t="n">
        <v>7.828440816776197</v>
      </c>
    </row>
    <row r="1147">
      <c r="A1147" t="n">
        <v>76</v>
      </c>
      <c r="B1147" t="inlineStr">
        <is>
          <t>Dani</t>
        </is>
      </c>
      <c r="C1147" t="inlineStr">
        <is>
          <t>Town</t>
        </is>
      </c>
      <c r="D1147" t="inlineStr">
        <is>
          <t>Loss</t>
        </is>
      </c>
      <c r="E1147" t="n">
        <v>-57</v>
      </c>
      <c r="F1147" t="n">
        <v>22.85086790178768</v>
      </c>
      <c r="G1147" t="n">
        <v>21.90694239551599</v>
      </c>
      <c r="H1147" t="n">
        <v>8.07639365451055</v>
      </c>
      <c r="I1147" t="n">
        <v>723</v>
      </c>
      <c r="J1147" t="n">
        <v>666</v>
      </c>
      <c r="K1147" t="n">
        <v>8.142977078496461</v>
      </c>
    </row>
    <row r="1148">
      <c r="A1148" t="n">
        <v>76</v>
      </c>
      <c r="B1148" t="inlineStr">
        <is>
          <t>Happymeal</t>
        </is>
      </c>
      <c r="C1148" t="inlineStr">
        <is>
          <t>Town</t>
        </is>
      </c>
      <c r="D1148" t="inlineStr">
        <is>
          <t>Loss</t>
        </is>
      </c>
      <c r="E1148" t="n">
        <v>-54</v>
      </c>
      <c r="F1148" t="n">
        <v>23.39759574534528</v>
      </c>
      <c r="G1148" t="n">
        <v>22.50695569330352</v>
      </c>
      <c r="H1148" t="n">
        <v>7.848821678361118</v>
      </c>
      <c r="I1148" t="n">
        <v>784</v>
      </c>
      <c r="J1148" t="n">
        <v>730</v>
      </c>
      <c r="K1148" t="n">
        <v>7.909763583574156</v>
      </c>
    </row>
    <row r="1149">
      <c r="A1149" t="n">
        <v>76</v>
      </c>
      <c r="B1149" t="inlineStr">
        <is>
          <t>Plen</t>
        </is>
      </c>
      <c r="C1149" t="inlineStr">
        <is>
          <t>Town</t>
        </is>
      </c>
      <c r="D1149" t="inlineStr">
        <is>
          <t>Loss</t>
        </is>
      </c>
      <c r="E1149" t="n">
        <v>-49</v>
      </c>
      <c r="F1149" t="n">
        <v>20.51427776118197</v>
      </c>
      <c r="G1149" t="n">
        <v>19.70592903739481</v>
      </c>
      <c r="H1149" t="n">
        <v>7.482875698054409</v>
      </c>
      <c r="I1149" t="n">
        <v>626</v>
      </c>
      <c r="J1149" t="n">
        <v>577</v>
      </c>
      <c r="K1149" t="n">
        <v>7.535433428163265</v>
      </c>
    </row>
    <row r="1150">
      <c r="A1150" t="n">
        <v>75</v>
      </c>
      <c r="B1150" t="inlineStr">
        <is>
          <t>Strik3r</t>
        </is>
      </c>
      <c r="C1150" t="inlineStr">
        <is>
          <t>Mafia</t>
        </is>
      </c>
      <c r="D1150" t="inlineStr">
        <is>
          <t>Win</t>
        </is>
      </c>
      <c r="E1150" t="n">
        <v>55</v>
      </c>
      <c r="F1150" t="n">
        <v>25.5193467206518</v>
      </c>
      <c r="G1150" t="n">
        <v>26.23701323524453</v>
      </c>
      <c r="H1150" t="n">
        <v>7.934456047399634</v>
      </c>
      <c r="I1150" t="n">
        <v>920</v>
      </c>
      <c r="J1150" t="n">
        <v>975</v>
      </c>
      <c r="K1150" t="n">
        <v>7.990272985763623</v>
      </c>
    </row>
    <row r="1151">
      <c r="A1151" t="n">
        <v>75</v>
      </c>
      <c r="B1151" t="inlineStr">
        <is>
          <t>Kwix</t>
        </is>
      </c>
      <c r="C1151" t="inlineStr">
        <is>
          <t>Mafia</t>
        </is>
      </c>
      <c r="D1151" t="inlineStr">
        <is>
          <t>Win</t>
        </is>
      </c>
      <c r="E1151" t="n">
        <v>52</v>
      </c>
      <c r="F1151" t="n">
        <v>23.70122138826436</v>
      </c>
      <c r="G1151" t="n">
        <v>24.38630012501411</v>
      </c>
      <c r="H1151" t="n">
        <v>7.754732086247357</v>
      </c>
      <c r="I1151" t="n">
        <v>815</v>
      </c>
      <c r="J1151" t="n">
        <v>867</v>
      </c>
      <c r="K1151" t="n">
        <v>7.806725371612036</v>
      </c>
    </row>
    <row r="1152">
      <c r="A1152" t="n">
        <v>75</v>
      </c>
      <c r="B1152" t="inlineStr">
        <is>
          <t>Creatchee</t>
        </is>
      </c>
      <c r="C1152" t="inlineStr">
        <is>
          <t>Mafia</t>
        </is>
      </c>
      <c r="D1152" t="inlineStr">
        <is>
          <t>Win</t>
        </is>
      </c>
      <c r="E1152" t="n">
        <v>47</v>
      </c>
      <c r="F1152" t="n">
        <v>31.98575903517646</v>
      </c>
      <c r="G1152" t="n">
        <v>32.61720430388505</v>
      </c>
      <c r="H1152" t="n">
        <v>7.448963383345667</v>
      </c>
      <c r="I1152" t="n">
        <v>1411</v>
      </c>
      <c r="J1152" t="n">
        <v>1458</v>
      </c>
      <c r="K1152" t="n">
        <v>7.494859365755816</v>
      </c>
    </row>
    <row r="1153">
      <c r="A1153" t="n">
        <v>75</v>
      </c>
      <c r="B1153" t="inlineStr">
        <is>
          <t>Brownkow</t>
        </is>
      </c>
      <c r="C1153" t="inlineStr">
        <is>
          <t>Town</t>
        </is>
      </c>
      <c r="D1153" t="inlineStr">
        <is>
          <t>Loss</t>
        </is>
      </c>
      <c r="E1153" t="n">
        <v>-37</v>
      </c>
      <c r="F1153" t="n">
        <v>29.92603843364264</v>
      </c>
      <c r="G1153" t="n">
        <v>29.32465133497766</v>
      </c>
      <c r="H1153" t="n">
        <v>7.27167783373783</v>
      </c>
      <c r="I1153" t="n">
        <v>1289</v>
      </c>
      <c r="J1153" t="n">
        <v>1252</v>
      </c>
      <c r="K1153" t="n">
        <v>7.314266040015304</v>
      </c>
    </row>
    <row r="1154">
      <c r="A1154" t="n">
        <v>75</v>
      </c>
      <c r="B1154" t="inlineStr">
        <is>
          <t>Nick</t>
        </is>
      </c>
      <c r="C1154" t="inlineStr">
        <is>
          <t>Town</t>
        </is>
      </c>
      <c r="D1154" t="inlineStr">
        <is>
          <t>Loss</t>
        </is>
      </c>
      <c r="E1154" t="n">
        <v>-45</v>
      </c>
      <c r="F1154" t="n">
        <v>27.34073954991849</v>
      </c>
      <c r="G1154" t="n">
        <v>26.60277333007209</v>
      </c>
      <c r="H1154" t="n">
        <v>8.044264536353587</v>
      </c>
      <c r="I1154" t="n">
        <v>1033</v>
      </c>
      <c r="J1154" t="n">
        <v>988</v>
      </c>
      <c r="K1154" t="n">
        <v>8.102507701018956</v>
      </c>
    </row>
    <row r="1155">
      <c r="A1155" t="n">
        <v>75</v>
      </c>
      <c r="B1155" t="inlineStr">
        <is>
          <t>Smit</t>
        </is>
      </c>
      <c r="C1155" t="inlineStr">
        <is>
          <t>Town</t>
        </is>
      </c>
      <c r="D1155" t="inlineStr">
        <is>
          <t>Loss</t>
        </is>
      </c>
      <c r="E1155" t="n">
        <v>-39</v>
      </c>
      <c r="F1155" t="n">
        <v>27.45193258912555</v>
      </c>
      <c r="G1155" t="n">
        <v>26.81020787331159</v>
      </c>
      <c r="H1155" t="n">
        <v>7.508583747998204</v>
      </c>
      <c r="I1155" t="n">
        <v>1096</v>
      </c>
      <c r="J1155" t="n">
        <v>1057</v>
      </c>
      <c r="K1155" t="n">
        <v>7.55562915483705</v>
      </c>
    </row>
    <row r="1156">
      <c r="A1156" t="n">
        <v>75</v>
      </c>
      <c r="B1156" t="inlineStr">
        <is>
          <t>Happymeal</t>
        </is>
      </c>
      <c r="C1156" t="inlineStr">
        <is>
          <t>Town</t>
        </is>
      </c>
      <c r="D1156" t="inlineStr">
        <is>
          <t>Loss</t>
        </is>
      </c>
      <c r="E1156" t="n">
        <v>-43</v>
      </c>
      <c r="F1156" t="n">
        <v>24.11073818832812</v>
      </c>
      <c r="G1156" t="n">
        <v>23.39759574534528</v>
      </c>
      <c r="H1156" t="n">
        <v>7.909763583574156</v>
      </c>
      <c r="I1156" t="n">
        <v>827</v>
      </c>
      <c r="J1156" t="n">
        <v>784</v>
      </c>
      <c r="K1156" t="n">
        <v>7.965044418233028</v>
      </c>
    </row>
    <row r="1157">
      <c r="A1157" t="n">
        <v>75</v>
      </c>
      <c r="B1157" t="inlineStr">
        <is>
          <t>Streety</t>
        </is>
      </c>
      <c r="C1157" t="inlineStr">
        <is>
          <t>Town</t>
        </is>
      </c>
      <c r="D1157" t="inlineStr">
        <is>
          <t>Loss</t>
        </is>
      </c>
      <c r="E1157" t="n">
        <v>-44</v>
      </c>
      <c r="F1157" t="n">
        <v>27.86227831370901</v>
      </c>
      <c r="G1157" t="n">
        <v>27.13289955305309</v>
      </c>
      <c r="H1157" t="n">
        <v>7.998006808387999</v>
      </c>
      <c r="I1157" t="n">
        <v>1073</v>
      </c>
      <c r="J1157" t="n">
        <v>1029</v>
      </c>
      <c r="K1157" t="n">
        <v>8.055219479037582</v>
      </c>
    </row>
    <row r="1158">
      <c r="A1158" t="n">
        <v>75</v>
      </c>
      <c r="B1158" t="inlineStr">
        <is>
          <t>Noah</t>
        </is>
      </c>
      <c r="C1158" t="inlineStr">
        <is>
          <t>Town</t>
        </is>
      </c>
      <c r="D1158" t="inlineStr">
        <is>
          <t>Loss</t>
        </is>
      </c>
      <c r="E1158" t="n">
        <v>-39</v>
      </c>
      <c r="F1158" t="n">
        <v>28.67917635076514</v>
      </c>
      <c r="G1158" t="n">
        <v>28.03700602849748</v>
      </c>
      <c r="H1158" t="n">
        <v>7.511156989666962</v>
      </c>
      <c r="I1158" t="n">
        <v>1179</v>
      </c>
      <c r="J1158" t="n">
        <v>1140</v>
      </c>
      <c r="K1158" t="n">
        <v>7.55825243108179</v>
      </c>
    </row>
    <row r="1159">
      <c r="A1159" t="n">
        <v>75</v>
      </c>
      <c r="B1159" t="inlineStr">
        <is>
          <t>Snazz</t>
        </is>
      </c>
      <c r="C1159" t="inlineStr">
        <is>
          <t>Town</t>
        </is>
      </c>
      <c r="D1159" t="inlineStr">
        <is>
          <t>Loss</t>
        </is>
      </c>
      <c r="E1159" t="n">
        <v>-45</v>
      </c>
      <c r="F1159" t="n">
        <v>23.82649760818784</v>
      </c>
      <c r="G1159" t="n">
        <v>23.06575657799802</v>
      </c>
      <c r="H1159" t="n">
        <v>8.165599426723816</v>
      </c>
      <c r="I1159" t="n">
        <v>781</v>
      </c>
      <c r="J1159" t="n">
        <v>736</v>
      </c>
      <c r="K1159" t="n">
        <v>8.226604552854585</v>
      </c>
    </row>
    <row r="1160">
      <c r="A1160" t="n">
        <v>75</v>
      </c>
      <c r="B1160" t="inlineStr">
        <is>
          <t>Zesta</t>
        </is>
      </c>
      <c r="C1160" t="inlineStr">
        <is>
          <t>Town</t>
        </is>
      </c>
      <c r="D1160" t="inlineStr">
        <is>
          <t>Loss</t>
        </is>
      </c>
      <c r="E1160" t="n">
        <v>-47</v>
      </c>
      <c r="F1160" t="n">
        <v>25</v>
      </c>
      <c r="G1160" t="n">
        <v>24.21939474229215</v>
      </c>
      <c r="H1160" t="n">
        <v>8.269885204166961</v>
      </c>
      <c r="I1160" t="n">
        <v>850</v>
      </c>
      <c r="J1160" t="n">
        <v>803</v>
      </c>
      <c r="K1160" t="n">
        <v>8.333333333333334</v>
      </c>
    </row>
    <row r="1161">
      <c r="A1161" t="n">
        <v>75</v>
      </c>
      <c r="B1161" t="inlineStr">
        <is>
          <t>Plen</t>
        </is>
      </c>
      <c r="C1161" t="inlineStr">
        <is>
          <t>Town</t>
        </is>
      </c>
      <c r="D1161" t="inlineStr">
        <is>
          <t>Loss</t>
        </is>
      </c>
      <c r="E1161" t="n">
        <v>-39</v>
      </c>
      <c r="F1161" t="n">
        <v>21.16065992703875</v>
      </c>
      <c r="G1161" t="n">
        <v>20.51427776118197</v>
      </c>
      <c r="H1161" t="n">
        <v>7.535433428163265</v>
      </c>
      <c r="I1161" t="n">
        <v>665</v>
      </c>
      <c r="J1161" t="n">
        <v>626</v>
      </c>
      <c r="K1161" t="n">
        <v>7.583002643395876</v>
      </c>
    </row>
    <row r="1162">
      <c r="A1162" t="n">
        <v>75</v>
      </c>
      <c r="B1162" t="inlineStr">
        <is>
          <t>Rocker</t>
        </is>
      </c>
      <c r="C1162" t="inlineStr">
        <is>
          <t>Town</t>
        </is>
      </c>
      <c r="D1162" t="inlineStr">
        <is>
          <t>Loss</t>
        </is>
      </c>
      <c r="E1162" t="n">
        <v>-37</v>
      </c>
      <c r="F1162" t="n">
        <v>31.86348113688641</v>
      </c>
      <c r="G1162" t="n">
        <v>31.26112590540853</v>
      </c>
      <c r="H1162" t="n">
        <v>7.277458649432093</v>
      </c>
      <c r="I1162" t="n">
        <v>1420</v>
      </c>
      <c r="J1162" t="n">
        <v>1383</v>
      </c>
      <c r="K1162" t="n">
        <v>7.32015214560485</v>
      </c>
    </row>
    <row r="1163">
      <c r="A1163" t="n">
        <v>74</v>
      </c>
      <c r="B1163" t="inlineStr">
        <is>
          <t>Brownkow</t>
        </is>
      </c>
      <c r="C1163" t="inlineStr">
        <is>
          <t>Mafia</t>
        </is>
      </c>
      <c r="D1163" t="inlineStr">
        <is>
          <t>Win</t>
        </is>
      </c>
      <c r="E1163" t="n">
        <v>43</v>
      </c>
      <c r="F1163" t="n">
        <v>29.35556882982555</v>
      </c>
      <c r="G1163" t="n">
        <v>29.92603843364264</v>
      </c>
      <c r="H1163" t="n">
        <v>7.314266040015304</v>
      </c>
      <c r="I1163" t="n">
        <v>1246</v>
      </c>
      <c r="J1163" t="n">
        <v>1289</v>
      </c>
      <c r="K1163" t="n">
        <v>7.356296192489333</v>
      </c>
    </row>
    <row r="1164">
      <c r="A1164" t="n">
        <v>74</v>
      </c>
      <c r="B1164" t="inlineStr">
        <is>
          <t>Svaan</t>
        </is>
      </c>
      <c r="C1164" t="inlineStr">
        <is>
          <t>Mafia</t>
        </is>
      </c>
      <c r="D1164" t="inlineStr">
        <is>
          <t>Win</t>
        </is>
      </c>
      <c r="E1164" t="n">
        <v>51</v>
      </c>
      <c r="F1164" t="n">
        <v>26.05418121157899</v>
      </c>
      <c r="G1164" t="n">
        <v>26.72850869002304</v>
      </c>
      <c r="H1164" t="n">
        <v>7.943765166740596</v>
      </c>
      <c r="I1164" t="n">
        <v>956</v>
      </c>
      <c r="J1164" t="n">
        <v>1007</v>
      </c>
      <c r="K1164" t="n">
        <v>7.998058227487352</v>
      </c>
    </row>
    <row r="1165">
      <c r="A1165" t="n">
        <v>74</v>
      </c>
      <c r="B1165" t="inlineStr">
        <is>
          <t>Lombax</t>
        </is>
      </c>
      <c r="C1165" t="inlineStr">
        <is>
          <t>Mafia</t>
        </is>
      </c>
      <c r="D1165" t="inlineStr">
        <is>
          <t>Win</t>
        </is>
      </c>
      <c r="E1165" t="n">
        <v>51</v>
      </c>
      <c r="F1165" t="n">
        <v>23.33804733261043</v>
      </c>
      <c r="G1165" t="n">
        <v>24.00618232304074</v>
      </c>
      <c r="H1165" t="n">
        <v>7.907710149606683</v>
      </c>
      <c r="I1165" t="n">
        <v>775</v>
      </c>
      <c r="J1165" t="n">
        <v>826</v>
      </c>
      <c r="K1165" t="n">
        <v>7.961243852520425</v>
      </c>
    </row>
    <row r="1166">
      <c r="A1166" t="n">
        <v>74</v>
      </c>
      <c r="B1166" t="inlineStr">
        <is>
          <t>Rocker</t>
        </is>
      </c>
      <c r="C1166" t="inlineStr">
        <is>
          <t>Town</t>
        </is>
      </c>
      <c r="D1166" t="inlineStr">
        <is>
          <t>Loss</t>
        </is>
      </c>
      <c r="E1166" t="n">
        <v>-35</v>
      </c>
      <c r="F1166" t="n">
        <v>32.43488017701784</v>
      </c>
      <c r="G1166" t="n">
        <v>31.86348113688641</v>
      </c>
      <c r="H1166" t="n">
        <v>7.32015214560485</v>
      </c>
      <c r="I1166" t="n">
        <v>1455</v>
      </c>
      <c r="J1166" t="n">
        <v>1420</v>
      </c>
      <c r="K1166" t="n">
        <v>7.362287474577763</v>
      </c>
    </row>
    <row r="1167">
      <c r="A1167" t="n">
        <v>74</v>
      </c>
      <c r="B1167" t="inlineStr">
        <is>
          <t>Kden</t>
        </is>
      </c>
      <c r="C1167" t="inlineStr">
        <is>
          <t>Town</t>
        </is>
      </c>
      <c r="D1167" t="inlineStr">
        <is>
          <t>Loss</t>
        </is>
      </c>
      <c r="E1167" t="n">
        <v>-40</v>
      </c>
      <c r="F1167" t="n">
        <v>26.63375928165559</v>
      </c>
      <c r="G1167" t="n">
        <v>25.95777942387489</v>
      </c>
      <c r="H1167" t="n">
        <v>7.953356751921106</v>
      </c>
      <c r="I1167" t="n">
        <v>994</v>
      </c>
      <c r="J1167" t="n">
        <v>954</v>
      </c>
      <c r="K1167" t="n">
        <v>8.007853025914525</v>
      </c>
    </row>
    <row r="1168">
      <c r="A1168" t="n">
        <v>74</v>
      </c>
      <c r="B1168" t="inlineStr">
        <is>
          <t>Badpants</t>
        </is>
      </c>
      <c r="C1168" t="inlineStr">
        <is>
          <t>Town</t>
        </is>
      </c>
      <c r="D1168" t="inlineStr">
        <is>
          <t>Loss</t>
        </is>
      </c>
      <c r="E1168" t="n">
        <v>-36</v>
      </c>
      <c r="F1168" t="n">
        <v>20.48241264000994</v>
      </c>
      <c r="G1168" t="n">
        <v>19.87618858851178</v>
      </c>
      <c r="H1168" t="n">
        <v>7.537227343957716</v>
      </c>
      <c r="I1168" t="n">
        <v>619</v>
      </c>
      <c r="J1168" t="n">
        <v>583</v>
      </c>
      <c r="K1168" t="n">
        <v>7.583363968915855</v>
      </c>
    </row>
    <row r="1169">
      <c r="A1169" t="n">
        <v>74</v>
      </c>
      <c r="B1169" t="inlineStr">
        <is>
          <t>Machop</t>
        </is>
      </c>
      <c r="C1169" t="inlineStr">
        <is>
          <t>Town</t>
        </is>
      </c>
      <c r="D1169" t="inlineStr">
        <is>
          <t>Loss</t>
        </is>
      </c>
      <c r="E1169" t="n">
        <v>-35</v>
      </c>
      <c r="F1169" t="n">
        <v>29.06245578329412</v>
      </c>
      <c r="G1169" t="n">
        <v>28.48897140107593</v>
      </c>
      <c r="H1169" t="n">
        <v>7.333340567339569</v>
      </c>
      <c r="I1169" t="n">
        <v>1224</v>
      </c>
      <c r="J1169" t="n">
        <v>1189</v>
      </c>
      <c r="K1169" t="n">
        <v>7.375712184742309</v>
      </c>
    </row>
    <row r="1170">
      <c r="A1170" t="n">
        <v>74</v>
      </c>
      <c r="B1170" t="inlineStr">
        <is>
          <t>Iln</t>
        </is>
      </c>
      <c r="C1170" t="inlineStr">
        <is>
          <t>Town</t>
        </is>
      </c>
      <c r="D1170" t="inlineStr">
        <is>
          <t>Loss</t>
        </is>
      </c>
      <c r="E1170" t="n">
        <v>-38</v>
      </c>
      <c r="F1170" t="n">
        <v>21.99390804339914</v>
      </c>
      <c r="G1170" t="n">
        <v>21.37124523869867</v>
      </c>
      <c r="H1170" t="n">
        <v>7.637445767230767</v>
      </c>
      <c r="I1170" t="n">
        <v>712</v>
      </c>
      <c r="J1170" t="n">
        <v>674</v>
      </c>
      <c r="K1170" t="n">
        <v>7.685511523402365</v>
      </c>
    </row>
    <row r="1171">
      <c r="A1171" t="n">
        <v>74</v>
      </c>
      <c r="B1171" t="inlineStr">
        <is>
          <t>Plen</t>
        </is>
      </c>
      <c r="C1171" t="inlineStr">
        <is>
          <t>Town</t>
        </is>
      </c>
      <c r="D1171" t="inlineStr">
        <is>
          <t>Loss</t>
        </is>
      </c>
      <c r="E1171" t="n">
        <v>-37</v>
      </c>
      <c r="F1171" t="n">
        <v>21.77436413337638</v>
      </c>
      <c r="G1171" t="n">
        <v>21.16065992703875</v>
      </c>
      <c r="H1171" t="n">
        <v>7.583002643395876</v>
      </c>
      <c r="I1171" t="n">
        <v>702</v>
      </c>
      <c r="J1171" t="n">
        <v>665</v>
      </c>
      <c r="K1171" t="n">
        <v>7.630013908673074</v>
      </c>
    </row>
    <row r="1172">
      <c r="A1172" t="n">
        <v>74</v>
      </c>
      <c r="B1172" t="inlineStr">
        <is>
          <t>Snazz</t>
        </is>
      </c>
      <c r="C1172" t="inlineStr">
        <is>
          <t>Town</t>
        </is>
      </c>
      <c r="D1172" t="inlineStr">
        <is>
          <t>Loss</t>
        </is>
      </c>
      <c r="E1172" t="n">
        <v>-43</v>
      </c>
      <c r="F1172" t="n">
        <v>24.5504380908334</v>
      </c>
      <c r="G1172" t="n">
        <v>23.82649760818784</v>
      </c>
      <c r="H1172" t="n">
        <v>8.226604552854585</v>
      </c>
      <c r="I1172" t="n">
        <v>824</v>
      </c>
      <c r="J1172" t="n">
        <v>781</v>
      </c>
      <c r="K1172" t="n">
        <v>8.287105939874756</v>
      </c>
    </row>
    <row r="1173">
      <c r="A1173" t="n">
        <v>74</v>
      </c>
      <c r="B1173" t="inlineStr">
        <is>
          <t>Hunterxp</t>
        </is>
      </c>
      <c r="C1173" t="inlineStr">
        <is>
          <t>Town</t>
        </is>
      </c>
      <c r="D1173" t="inlineStr">
        <is>
          <t>Loss</t>
        </is>
      </c>
      <c r="E1173" t="n">
        <v>-42</v>
      </c>
      <c r="F1173" t="n">
        <v>26.36064321691013</v>
      </c>
      <c r="G1173" t="n">
        <v>25.66116127061385</v>
      </c>
      <c r="H1173" t="n">
        <v>8.088477970412466</v>
      </c>
      <c r="I1173" t="n">
        <v>962</v>
      </c>
      <c r="J1173" t="n">
        <v>920</v>
      </c>
      <c r="K1173" t="n">
        <v>8.14589126351469</v>
      </c>
    </row>
    <row r="1174">
      <c r="A1174" t="n">
        <v>74</v>
      </c>
      <c r="B1174" t="inlineStr">
        <is>
          <t>Lou</t>
        </is>
      </c>
      <c r="C1174" t="inlineStr">
        <is>
          <t>Town</t>
        </is>
      </c>
      <c r="D1174" t="inlineStr">
        <is>
          <t>Loss</t>
        </is>
      </c>
      <c r="E1174" t="n">
        <v>-34</v>
      </c>
      <c r="F1174" t="n">
        <v>28.43478036567169</v>
      </c>
      <c r="G1174" t="n">
        <v>27.87472464885312</v>
      </c>
      <c r="H1174" t="n">
        <v>7.247972543570824</v>
      </c>
      <c r="I1174" t="n">
        <v>1190</v>
      </c>
      <c r="J1174" t="n">
        <v>1156</v>
      </c>
      <c r="K1174" t="n">
        <v>7.288830047829066</v>
      </c>
    </row>
    <row r="1175">
      <c r="A1175" t="n">
        <v>74</v>
      </c>
      <c r="B1175" t="inlineStr">
        <is>
          <t>Happymeal</t>
        </is>
      </c>
      <c r="C1175" t="inlineStr">
        <is>
          <t>Town</t>
        </is>
      </c>
      <c r="D1175" t="inlineStr">
        <is>
          <t>Loss</t>
        </is>
      </c>
      <c r="E1175" t="n">
        <v>-41</v>
      </c>
      <c r="F1175" t="n">
        <v>24.78873437493067</v>
      </c>
      <c r="G1175" t="n">
        <v>24.11073818832812</v>
      </c>
      <c r="H1175" t="n">
        <v>7.965044418233028</v>
      </c>
      <c r="I1175" t="n">
        <v>868</v>
      </c>
      <c r="J1175" t="n">
        <v>827</v>
      </c>
      <c r="K1175" t="n">
        <v>8.019789000243273</v>
      </c>
    </row>
    <row r="1176">
      <c r="A1176" t="n">
        <v>73</v>
      </c>
      <c r="B1176" t="inlineStr">
        <is>
          <t>Hunterxp</t>
        </is>
      </c>
      <c r="C1176" t="inlineStr">
        <is>
          <t>Mafia</t>
        </is>
      </c>
      <c r="D1176" t="inlineStr">
        <is>
          <t>Win</t>
        </is>
      </c>
      <c r="E1176" t="n">
        <v>34</v>
      </c>
      <c r="F1176" t="n">
        <v>25.92644021572866</v>
      </c>
      <c r="G1176" t="n">
        <v>26.36064321691013</v>
      </c>
      <c r="H1176" t="n">
        <v>8.14589126351469</v>
      </c>
      <c r="I1176" t="n">
        <v>928</v>
      </c>
      <c r="J1176" t="n">
        <v>962</v>
      </c>
      <c r="K1176" t="n">
        <v>8.189724734673831</v>
      </c>
    </row>
    <row r="1177">
      <c r="A1177" t="n">
        <v>73</v>
      </c>
      <c r="B1177" t="inlineStr">
        <is>
          <t>Rocker</t>
        </is>
      </c>
      <c r="C1177" t="inlineStr">
        <is>
          <t>Mafia</t>
        </is>
      </c>
      <c r="D1177" t="inlineStr">
        <is>
          <t>Win</t>
        </is>
      </c>
      <c r="E1177" t="n">
        <v>28</v>
      </c>
      <c r="F1177" t="n">
        <v>32.08091223171117</v>
      </c>
      <c r="G1177" t="n">
        <v>32.43488017701784</v>
      </c>
      <c r="H1177" t="n">
        <v>7.362287474577763</v>
      </c>
      <c r="I1177" t="n">
        <v>1427</v>
      </c>
      <c r="J1177" t="n">
        <v>1455</v>
      </c>
      <c r="K1177" t="n">
        <v>7.394307770861142</v>
      </c>
    </row>
    <row r="1178">
      <c r="A1178" t="n">
        <v>73</v>
      </c>
      <c r="B1178" t="inlineStr">
        <is>
          <t>Svaan</t>
        </is>
      </c>
      <c r="C1178" t="inlineStr">
        <is>
          <t>Mafia</t>
        </is>
      </c>
      <c r="D1178" t="inlineStr">
        <is>
          <t>Win</t>
        </is>
      </c>
      <c r="E1178" t="n">
        <v>33</v>
      </c>
      <c r="F1178" t="n">
        <v>25.63576160506151</v>
      </c>
      <c r="G1178" t="n">
        <v>26.05418121157899</v>
      </c>
      <c r="H1178" t="n">
        <v>7.998058227487352</v>
      </c>
      <c r="I1178" t="n">
        <v>923</v>
      </c>
      <c r="J1178" t="n">
        <v>956</v>
      </c>
      <c r="K1178" t="n">
        <v>8.039474953847243</v>
      </c>
    </row>
    <row r="1179">
      <c r="A1179" t="n">
        <v>73</v>
      </c>
      <c r="B1179" t="inlineStr">
        <is>
          <t>Badpants</t>
        </is>
      </c>
      <c r="C1179" t="inlineStr">
        <is>
          <t>Town</t>
        </is>
      </c>
      <c r="D1179" t="inlineStr">
        <is>
          <t>Loss</t>
        </is>
      </c>
      <c r="E1179" t="n">
        <v>-22</v>
      </c>
      <c r="F1179" t="n">
        <v>20.85816366461298</v>
      </c>
      <c r="G1179" t="n">
        <v>20.48241264000994</v>
      </c>
      <c r="H1179" t="n">
        <v>7.583363968915855</v>
      </c>
      <c r="I1179" t="n">
        <v>641</v>
      </c>
      <c r="J1179" t="n">
        <v>619</v>
      </c>
      <c r="K1179" t="n">
        <v>7.618473211425171</v>
      </c>
    </row>
    <row r="1180">
      <c r="A1180" t="n">
        <v>73</v>
      </c>
      <c r="B1180" t="inlineStr">
        <is>
          <t>Lou</t>
        </is>
      </c>
      <c r="C1180" t="inlineStr">
        <is>
          <t>Town</t>
        </is>
      </c>
      <c r="D1180" t="inlineStr">
        <is>
          <t>Loss</t>
        </is>
      </c>
      <c r="E1180" t="n">
        <v>-21</v>
      </c>
      <c r="F1180" t="n">
        <v>28.7816582483333</v>
      </c>
      <c r="G1180" t="n">
        <v>28.43478036567169</v>
      </c>
      <c r="H1180" t="n">
        <v>7.288830047829066</v>
      </c>
      <c r="I1180" t="n">
        <v>1211</v>
      </c>
      <c r="J1180" t="n">
        <v>1190</v>
      </c>
      <c r="K1180" t="n">
        <v>7.319864616418404</v>
      </c>
    </row>
    <row r="1181">
      <c r="A1181" t="n">
        <v>73</v>
      </c>
      <c r="B1181" t="inlineStr">
        <is>
          <t>Chipper</t>
        </is>
      </c>
      <c r="C1181" t="inlineStr">
        <is>
          <t>Town</t>
        </is>
      </c>
      <c r="D1181" t="inlineStr">
        <is>
          <t>Loss</t>
        </is>
      </c>
      <c r="E1181" t="n">
        <v>-22</v>
      </c>
      <c r="F1181" t="n">
        <v>20.4813508723128</v>
      </c>
      <c r="G1181" t="n">
        <v>20.11148549331535</v>
      </c>
      <c r="H1181" t="n">
        <v>7.524294949688077</v>
      </c>
      <c r="I1181" t="n">
        <v>622</v>
      </c>
      <c r="J1181" t="n">
        <v>600</v>
      </c>
      <c r="K1181" t="n">
        <v>7.558560670384942</v>
      </c>
    </row>
    <row r="1182">
      <c r="A1182" t="n">
        <v>73</v>
      </c>
      <c r="B1182" t="inlineStr">
        <is>
          <t>Keegan</t>
        </is>
      </c>
      <c r="C1182" t="inlineStr">
        <is>
          <t>Town</t>
        </is>
      </c>
      <c r="D1182" t="inlineStr">
        <is>
          <t>Loss</t>
        </is>
      </c>
      <c r="E1182" t="n">
        <v>-25</v>
      </c>
      <c r="F1182" t="n">
        <v>27.98796991199052</v>
      </c>
      <c r="G1182" t="n">
        <v>27.56994081308643</v>
      </c>
      <c r="H1182" t="n">
        <v>7.99436441390014</v>
      </c>
      <c r="I1182" t="n">
        <v>1084</v>
      </c>
      <c r="J1182" t="n">
        <v>1059</v>
      </c>
      <c r="K1182" t="n">
        <v>8.035721909120635</v>
      </c>
    </row>
    <row r="1183">
      <c r="A1183" t="n">
        <v>73</v>
      </c>
      <c r="B1183" t="inlineStr">
        <is>
          <t>Lombax</t>
        </is>
      </c>
      <c r="C1183" t="inlineStr">
        <is>
          <t>Town</t>
        </is>
      </c>
      <c r="D1183" t="inlineStr">
        <is>
          <t>Loss</t>
        </is>
      </c>
      <c r="E1183" t="n">
        <v>-24</v>
      </c>
      <c r="F1183" t="n">
        <v>23.75258335264659</v>
      </c>
      <c r="G1183" t="n">
        <v>23.33804733261043</v>
      </c>
      <c r="H1183" t="n">
        <v>7.961243852520425</v>
      </c>
      <c r="I1183" t="n">
        <v>799</v>
      </c>
      <c r="J1183" t="n">
        <v>775</v>
      </c>
      <c r="K1183" t="n">
        <v>8.002072745199833</v>
      </c>
    </row>
    <row r="1184">
      <c r="A1184" t="n">
        <v>73</v>
      </c>
      <c r="B1184" t="inlineStr">
        <is>
          <t>Kden</t>
        </is>
      </c>
      <c r="C1184" t="inlineStr">
        <is>
          <t>Town</t>
        </is>
      </c>
      <c r="D1184" t="inlineStr">
        <is>
          <t>Loss</t>
        </is>
      </c>
      <c r="E1184" t="n">
        <v>-25</v>
      </c>
      <c r="F1184" t="n">
        <v>27.05321529903563</v>
      </c>
      <c r="G1184" t="n">
        <v>26.63375928165559</v>
      </c>
      <c r="H1184" t="n">
        <v>8.007853025914525</v>
      </c>
      <c r="I1184" t="n">
        <v>1019</v>
      </c>
      <c r="J1184" t="n">
        <v>994</v>
      </c>
      <c r="K1184" t="n">
        <v>8.049427084840351</v>
      </c>
    </row>
    <row r="1185">
      <c r="A1185" t="n">
        <v>73</v>
      </c>
      <c r="B1185" t="inlineStr">
        <is>
          <t>Plen</t>
        </is>
      </c>
      <c r="C1185" t="inlineStr">
        <is>
          <t>Town</t>
        </is>
      </c>
      <c r="D1185" t="inlineStr">
        <is>
          <t>Loss</t>
        </is>
      </c>
      <c r="E1185" t="n">
        <v>-23</v>
      </c>
      <c r="F1185" t="n">
        <v>22.15479714817775</v>
      </c>
      <c r="G1185" t="n">
        <v>21.77436413337638</v>
      </c>
      <c r="H1185" t="n">
        <v>7.630013908673074</v>
      </c>
      <c r="I1185" t="n">
        <v>725</v>
      </c>
      <c r="J1185" t="n">
        <v>702</v>
      </c>
      <c r="K1185" t="n">
        <v>7.665798827494618</v>
      </c>
    </row>
    <row r="1186">
      <c r="A1186" t="n">
        <v>73</v>
      </c>
      <c r="B1186" t="inlineStr">
        <is>
          <t>Brownkow</t>
        </is>
      </c>
      <c r="C1186" t="inlineStr">
        <is>
          <t>Town</t>
        </is>
      </c>
      <c r="D1186" t="inlineStr">
        <is>
          <t>Loss</t>
        </is>
      </c>
      <c r="E1186" t="n">
        <v>-21</v>
      </c>
      <c r="F1186" t="n">
        <v>29.70895574170044</v>
      </c>
      <c r="G1186" t="n">
        <v>29.35556882982555</v>
      </c>
      <c r="H1186" t="n">
        <v>7.356296192489333</v>
      </c>
      <c r="I1186" t="n">
        <v>1267</v>
      </c>
      <c r="J1186" t="n">
        <v>1246</v>
      </c>
      <c r="K1186" t="n">
        <v>7.388235341067153</v>
      </c>
    </row>
    <row r="1187">
      <c r="A1187" t="n">
        <v>73</v>
      </c>
      <c r="B1187" t="inlineStr">
        <is>
          <t>Snazz</t>
        </is>
      </c>
      <c r="C1187" t="inlineStr">
        <is>
          <t>Town</t>
        </is>
      </c>
      <c r="D1187" t="inlineStr">
        <is>
          <t>Loss</t>
        </is>
      </c>
      <c r="E1187" t="n">
        <v>-26</v>
      </c>
      <c r="F1187" t="n">
        <v>25</v>
      </c>
      <c r="G1187" t="n">
        <v>24.5504380908334</v>
      </c>
      <c r="H1187" t="n">
        <v>8.287105939874756</v>
      </c>
      <c r="I1187" t="n">
        <v>850</v>
      </c>
      <c r="J1187" t="n">
        <v>824</v>
      </c>
      <c r="K1187" t="n">
        <v>8.333333333333334</v>
      </c>
    </row>
    <row r="1188">
      <c r="A1188" t="n">
        <v>73</v>
      </c>
      <c r="B1188" t="inlineStr">
        <is>
          <t>Happymeal</t>
        </is>
      </c>
      <c r="C1188" t="inlineStr">
        <is>
          <t>Town</t>
        </is>
      </c>
      <c r="D1188" t="inlineStr">
        <is>
          <t>Loss</t>
        </is>
      </c>
      <c r="E1188" t="n">
        <v>-24</v>
      </c>
      <c r="F1188" t="n">
        <v>25.20945515487548</v>
      </c>
      <c r="G1188" t="n">
        <v>24.78873437493067</v>
      </c>
      <c r="H1188" t="n">
        <v>8.019789000243273</v>
      </c>
      <c r="I1188" t="n">
        <v>892</v>
      </c>
      <c r="J1188" t="n">
        <v>868</v>
      </c>
      <c r="K1188" t="n">
        <v>8.061555317351322</v>
      </c>
    </row>
    <row r="1189">
      <c r="A1189" t="n">
        <v>72</v>
      </c>
      <c r="B1189" t="inlineStr">
        <is>
          <t>Sam</t>
        </is>
      </c>
      <c r="C1189" t="inlineStr">
        <is>
          <t>Mafia</t>
        </is>
      </c>
      <c r="D1189" t="inlineStr">
        <is>
          <t>Win</t>
        </is>
      </c>
      <c r="E1189" t="n">
        <v>89</v>
      </c>
      <c r="F1189" t="n">
        <v>26.42406224096552</v>
      </c>
      <c r="G1189" t="n">
        <v>27.61461977248649</v>
      </c>
      <c r="H1189" t="n">
        <v>8.175808439083887</v>
      </c>
      <c r="I1189" t="n">
        <v>955</v>
      </c>
      <c r="J1189" t="n">
        <v>1044</v>
      </c>
      <c r="K1189" t="n">
        <v>8.25085089236887</v>
      </c>
    </row>
    <row r="1190">
      <c r="A1190" t="n">
        <v>72</v>
      </c>
      <c r="B1190" t="inlineStr">
        <is>
          <t>Whyin</t>
        </is>
      </c>
      <c r="C1190" t="inlineStr">
        <is>
          <t>Mafia</t>
        </is>
      </c>
      <c r="D1190" t="inlineStr">
        <is>
          <t>Win</t>
        </is>
      </c>
      <c r="E1190" t="n">
        <v>74</v>
      </c>
      <c r="F1190" t="n">
        <v>25.31002135805772</v>
      </c>
      <c r="G1190" t="n">
        <v>26.31713106093077</v>
      </c>
      <c r="H1190" t="n">
        <v>7.530348187928239</v>
      </c>
      <c r="I1190" t="n">
        <v>947</v>
      </c>
      <c r="J1190" t="n">
        <v>1021</v>
      </c>
      <c r="K1190" t="n">
        <v>7.588503261350517</v>
      </c>
    </row>
    <row r="1191">
      <c r="A1191" t="n">
        <v>72</v>
      </c>
      <c r="B1191" t="inlineStr">
        <is>
          <t>Kwix</t>
        </is>
      </c>
      <c r="C1191" t="inlineStr">
        <is>
          <t>Mafia</t>
        </is>
      </c>
      <c r="D1191" t="inlineStr">
        <is>
          <t>Win</t>
        </is>
      </c>
      <c r="E1191" t="n">
        <v>80</v>
      </c>
      <c r="F1191" t="n">
        <v>22.61753755105843</v>
      </c>
      <c r="G1191" t="n">
        <v>23.70122138826436</v>
      </c>
      <c r="H1191" t="n">
        <v>7.806725371612036</v>
      </c>
      <c r="I1191" t="n">
        <v>735</v>
      </c>
      <c r="J1191" t="n">
        <v>815</v>
      </c>
      <c r="K1191" t="n">
        <v>7.871757336508025</v>
      </c>
    </row>
    <row r="1192">
      <c r="A1192" t="n">
        <v>72</v>
      </c>
      <c r="B1192" t="inlineStr">
        <is>
          <t>Aipha</t>
        </is>
      </c>
      <c r="C1192" t="inlineStr">
        <is>
          <t>Town</t>
        </is>
      </c>
      <c r="D1192" t="inlineStr">
        <is>
          <t>Loss</t>
        </is>
      </c>
      <c r="E1192" t="n">
        <v>-68</v>
      </c>
      <c r="F1192" t="n">
        <v>27.82026992150029</v>
      </c>
      <c r="G1192" t="n">
        <v>26.7128800396831</v>
      </c>
      <c r="H1192" t="n">
        <v>7.890192790080196</v>
      </c>
      <c r="I1192" t="n">
        <v>1080</v>
      </c>
      <c r="J1192" t="n">
        <v>1012</v>
      </c>
      <c r="K1192" t="n">
        <v>7.957404318503842</v>
      </c>
    </row>
    <row r="1193">
      <c r="A1193" t="n">
        <v>72</v>
      </c>
      <c r="B1193" t="inlineStr">
        <is>
          <t>Brownkow</t>
        </is>
      </c>
      <c r="C1193" t="inlineStr">
        <is>
          <t>Town</t>
        </is>
      </c>
      <c r="D1193" t="inlineStr">
        <is>
          <t>Loss</t>
        </is>
      </c>
      <c r="E1193" t="n">
        <v>-60</v>
      </c>
      <c r="F1193" t="n">
        <v>30.67783499672279</v>
      </c>
      <c r="G1193" t="n">
        <v>29.70895574170044</v>
      </c>
      <c r="H1193" t="n">
        <v>7.388235341067153</v>
      </c>
      <c r="I1193" t="n">
        <v>1327</v>
      </c>
      <c r="J1193" t="n">
        <v>1267</v>
      </c>
      <c r="K1193" t="n">
        <v>7.443052386542433</v>
      </c>
    </row>
    <row r="1194">
      <c r="A1194" t="n">
        <v>72</v>
      </c>
      <c r="B1194" t="inlineStr">
        <is>
          <t>Plen</t>
        </is>
      </c>
      <c r="C1194" t="inlineStr">
        <is>
          <t>Town</t>
        </is>
      </c>
      <c r="D1194" t="inlineStr">
        <is>
          <t>Loss</t>
        </is>
      </c>
      <c r="E1194" t="n">
        <v>-64</v>
      </c>
      <c r="F1194" t="n">
        <v>23.19906729870359</v>
      </c>
      <c r="G1194" t="n">
        <v>22.15479714817775</v>
      </c>
      <c r="H1194" t="n">
        <v>7.665798827494618</v>
      </c>
      <c r="I1194" t="n">
        <v>789</v>
      </c>
      <c r="J1194" t="n">
        <v>725</v>
      </c>
      <c r="K1194" t="n">
        <v>7.727259711786663</v>
      </c>
    </row>
    <row r="1195">
      <c r="A1195" t="n">
        <v>72</v>
      </c>
      <c r="B1195" t="inlineStr">
        <is>
          <t>Doublea</t>
        </is>
      </c>
      <c r="C1195" t="inlineStr">
        <is>
          <t>Town</t>
        </is>
      </c>
      <c r="D1195" t="inlineStr">
        <is>
          <t>Loss</t>
        </is>
      </c>
      <c r="E1195" t="n">
        <v>-72</v>
      </c>
      <c r="F1195" t="n">
        <v>25.34983166781754</v>
      </c>
      <c r="G1195" t="n">
        <v>24.18430341926245</v>
      </c>
      <c r="H1195" t="n">
        <v>8.09099196056138</v>
      </c>
      <c r="I1195" t="n">
        <v>891</v>
      </c>
      <c r="J1195" t="n">
        <v>819</v>
      </c>
      <c r="K1195" t="n">
        <v>8.163647844506766</v>
      </c>
    </row>
    <row r="1196">
      <c r="A1196" t="n">
        <v>72</v>
      </c>
      <c r="B1196" t="inlineStr">
        <is>
          <t>Machop</t>
        </is>
      </c>
      <c r="C1196" t="inlineStr">
        <is>
          <t>Town</t>
        </is>
      </c>
      <c r="D1196" t="inlineStr">
        <is>
          <t>Loss</t>
        </is>
      </c>
      <c r="E1196" t="n">
        <v>-60</v>
      </c>
      <c r="F1196" t="n">
        <v>30.02800323403225</v>
      </c>
      <c r="G1196" t="n">
        <v>29.06245578329412</v>
      </c>
      <c r="H1196" t="n">
        <v>7.375712184742309</v>
      </c>
      <c r="I1196" t="n">
        <v>1284</v>
      </c>
      <c r="J1196" t="n">
        <v>1224</v>
      </c>
      <c r="K1196" t="n">
        <v>7.430241381344987</v>
      </c>
    </row>
    <row r="1197">
      <c r="A1197" t="n">
        <v>72</v>
      </c>
      <c r="B1197" t="inlineStr">
        <is>
          <t>Keegan</t>
        </is>
      </c>
      <c r="C1197" t="inlineStr">
        <is>
          <t>Town</t>
        </is>
      </c>
      <c r="D1197" t="inlineStr">
        <is>
          <t>Loss</t>
        </is>
      </c>
      <c r="E1197" t="n">
        <v>-70</v>
      </c>
      <c r="F1197" t="n">
        <v>29.13733905301395</v>
      </c>
      <c r="G1197" t="n">
        <v>27.98796991199052</v>
      </c>
      <c r="H1197" t="n">
        <v>8.035721909120635</v>
      </c>
      <c r="I1197" t="n">
        <v>1154</v>
      </c>
      <c r="J1197" t="n">
        <v>1084</v>
      </c>
      <c r="K1197" t="n">
        <v>8.10685058323989</v>
      </c>
    </row>
    <row r="1198">
      <c r="A1198" t="n">
        <v>72</v>
      </c>
      <c r="B1198" t="inlineStr">
        <is>
          <t>Rocker</t>
        </is>
      </c>
      <c r="C1198" t="inlineStr">
        <is>
          <t>Town</t>
        </is>
      </c>
      <c r="D1198" t="inlineStr">
        <is>
          <t>Loss</t>
        </is>
      </c>
      <c r="E1198" t="n">
        <v>-61</v>
      </c>
      <c r="F1198" t="n">
        <v>33.05140922704017</v>
      </c>
      <c r="G1198" t="n">
        <v>32.08091223171117</v>
      </c>
      <c r="H1198" t="n">
        <v>7.394307770861142</v>
      </c>
      <c r="I1198" t="n">
        <v>1488</v>
      </c>
      <c r="J1198" t="n">
        <v>1427</v>
      </c>
      <c r="K1198" t="n">
        <v>7.449264757932347</v>
      </c>
    </row>
    <row r="1199">
      <c r="A1199" t="n">
        <v>72</v>
      </c>
      <c r="B1199" t="inlineStr">
        <is>
          <t>Chipper</t>
        </is>
      </c>
      <c r="C1199" t="inlineStr">
        <is>
          <t>Town</t>
        </is>
      </c>
      <c r="D1199" t="inlineStr">
        <is>
          <t>Loss</t>
        </is>
      </c>
      <c r="E1199" t="n">
        <v>-63</v>
      </c>
      <c r="F1199" t="n">
        <v>21.49614237413202</v>
      </c>
      <c r="G1199" t="n">
        <v>20.4813508723128</v>
      </c>
      <c r="H1199" t="n">
        <v>7.558560670384942</v>
      </c>
      <c r="I1199" t="n">
        <v>685</v>
      </c>
      <c r="J1199" t="n">
        <v>622</v>
      </c>
      <c r="K1199" t="n">
        <v>7.617394207151853</v>
      </c>
    </row>
    <row r="1200">
      <c r="A1200" t="n">
        <v>72</v>
      </c>
      <c r="B1200" t="inlineStr">
        <is>
          <t>Antfrost</t>
        </is>
      </c>
      <c r="C1200" t="inlineStr">
        <is>
          <t>Town</t>
        </is>
      </c>
      <c r="D1200" t="inlineStr">
        <is>
          <t>Loss</t>
        </is>
      </c>
      <c r="E1200" t="n">
        <v>-71</v>
      </c>
      <c r="F1200" t="n">
        <v>23.72550821604876</v>
      </c>
      <c r="G1200" t="n">
        <v>22.57389445057403</v>
      </c>
      <c r="H1200" t="n">
        <v>8.043423760562726</v>
      </c>
      <c r="I1200" t="n">
        <v>786</v>
      </c>
      <c r="J1200" t="n">
        <v>715</v>
      </c>
      <c r="K1200" t="n">
        <v>8.114763935409574</v>
      </c>
    </row>
    <row r="1201">
      <c r="A1201" t="n">
        <v>72</v>
      </c>
      <c r="B1201" t="inlineStr">
        <is>
          <t>23flash</t>
        </is>
      </c>
      <c r="C1201" t="inlineStr">
        <is>
          <t>Town</t>
        </is>
      </c>
      <c r="D1201" t="inlineStr">
        <is>
          <t>Loss</t>
        </is>
      </c>
      <c r="E1201" t="n">
        <v>-71</v>
      </c>
      <c r="F1201" t="n">
        <v>26.78609255715886</v>
      </c>
      <c r="G1201" t="n">
        <v>25.62510465405866</v>
      </c>
      <c r="H1201" t="n">
        <v>8.075503395522018</v>
      </c>
      <c r="I1201" t="n">
        <v>990</v>
      </c>
      <c r="J1201" t="n">
        <v>919</v>
      </c>
      <c r="K1201" t="n">
        <v>8.147729087445692</v>
      </c>
    </row>
    <row r="1202">
      <c r="A1202" t="n">
        <v>71</v>
      </c>
      <c r="B1202" t="inlineStr">
        <is>
          <t>Brownkow</t>
        </is>
      </c>
      <c r="C1202" t="inlineStr">
        <is>
          <t>Mafia</t>
        </is>
      </c>
      <c r="D1202" t="inlineStr">
        <is>
          <t>Loss</t>
        </is>
      </c>
      <c r="E1202" t="n">
        <v>-72</v>
      </c>
      <c r="F1202" t="n">
        <v>31.83227812180952</v>
      </c>
      <c r="G1202" t="n">
        <v>30.67783499672279</v>
      </c>
      <c r="H1202" t="n">
        <v>7.443052386542433</v>
      </c>
      <c r="I1202" t="n">
        <v>1399</v>
      </c>
      <c r="J1202" t="n">
        <v>1327</v>
      </c>
      <c r="K1202" t="n">
        <v>7.502970453196852</v>
      </c>
    </row>
    <row r="1203">
      <c r="A1203" t="n">
        <v>71</v>
      </c>
      <c r="B1203" t="inlineStr">
        <is>
          <t>Whyin</t>
        </is>
      </c>
      <c r="C1203" t="inlineStr">
        <is>
          <t>Mafia</t>
        </is>
      </c>
      <c r="D1203" t="inlineStr">
        <is>
          <t>Loss</t>
        </is>
      </c>
      <c r="E1203" t="n">
        <v>-75</v>
      </c>
      <c r="F1203" t="n">
        <v>26.51081323120898</v>
      </c>
      <c r="G1203" t="n">
        <v>25.31002135805772</v>
      </c>
      <c r="H1203" t="n">
        <v>7.588503261350517</v>
      </c>
      <c r="I1203" t="n">
        <v>1022</v>
      </c>
      <c r="J1203" t="n">
        <v>947</v>
      </c>
      <c r="K1203" t="n">
        <v>7.652129729222323</v>
      </c>
    </row>
    <row r="1204">
      <c r="A1204" t="n">
        <v>71</v>
      </c>
      <c r="B1204" t="inlineStr">
        <is>
          <t>Lovekilling</t>
        </is>
      </c>
      <c r="C1204" t="inlineStr">
        <is>
          <t>Mafia</t>
        </is>
      </c>
      <c r="D1204" t="inlineStr">
        <is>
          <t>Loss</t>
        </is>
      </c>
      <c r="E1204" t="n">
        <v>-84</v>
      </c>
      <c r="F1204" t="n">
        <v>21.52220846694562</v>
      </c>
      <c r="G1204" t="n">
        <v>20.169681819101</v>
      </c>
      <c r="H1204" t="n">
        <v>8.045033203344168</v>
      </c>
      <c r="I1204" t="n">
        <v>635</v>
      </c>
      <c r="J1204" t="n">
        <v>551</v>
      </c>
      <c r="K1204" t="n">
        <v>8.121299553425976</v>
      </c>
    </row>
    <row r="1205">
      <c r="A1205" t="n">
        <v>71</v>
      </c>
      <c r="B1205" t="inlineStr">
        <is>
          <t>Nick</t>
        </is>
      </c>
      <c r="C1205" t="inlineStr">
        <is>
          <t>Town</t>
        </is>
      </c>
      <c r="D1205" t="inlineStr">
        <is>
          <t>Win</t>
        </is>
      </c>
      <c r="E1205" t="n">
        <v>102</v>
      </c>
      <c r="F1205" t="n">
        <v>25.96843330137072</v>
      </c>
      <c r="G1205" t="n">
        <v>27.34073954991849</v>
      </c>
      <c r="H1205" t="n">
        <v>8.102507701018956</v>
      </c>
      <c r="I1205" t="n">
        <v>931</v>
      </c>
      <c r="J1205" t="n">
        <v>1033</v>
      </c>
      <c r="K1205" t="n">
        <v>8.180476651432825</v>
      </c>
    </row>
    <row r="1206">
      <c r="A1206" t="n">
        <v>71</v>
      </c>
      <c r="B1206" t="inlineStr">
        <is>
          <t>Sam</t>
        </is>
      </c>
      <c r="C1206" t="inlineStr">
        <is>
          <t>Town</t>
        </is>
      </c>
      <c r="D1206" t="inlineStr">
        <is>
          <t>Win</t>
        </is>
      </c>
      <c r="E1206" t="n">
        <v>105</v>
      </c>
      <c r="F1206" t="n">
        <v>25</v>
      </c>
      <c r="G1206" t="n">
        <v>26.42406224096552</v>
      </c>
      <c r="H1206" t="n">
        <v>8.25085089236887</v>
      </c>
      <c r="I1206" t="n">
        <v>850</v>
      </c>
      <c r="J1206" t="n">
        <v>955</v>
      </c>
      <c r="K1206" t="n">
        <v>8.333333333333334</v>
      </c>
    </row>
    <row r="1207">
      <c r="A1207" t="n">
        <v>71</v>
      </c>
      <c r="B1207" t="inlineStr">
        <is>
          <t>Crispy</t>
        </is>
      </c>
      <c r="C1207" t="inlineStr">
        <is>
          <t>Town</t>
        </is>
      </c>
      <c r="D1207" t="inlineStr">
        <is>
          <t>Win</t>
        </is>
      </c>
      <c r="E1207" t="n">
        <v>105</v>
      </c>
      <c r="F1207" t="n">
        <v>25</v>
      </c>
      <c r="G1207" t="n">
        <v>26.42406224096552</v>
      </c>
      <c r="H1207" t="n">
        <v>8.25085089236887</v>
      </c>
      <c r="I1207" t="n">
        <v>850</v>
      </c>
      <c r="J1207" t="n">
        <v>955</v>
      </c>
      <c r="K1207" t="n">
        <v>8.333333333333334</v>
      </c>
    </row>
    <row r="1208">
      <c r="A1208" t="n">
        <v>71</v>
      </c>
      <c r="B1208" t="inlineStr">
        <is>
          <t>Creatchee</t>
        </is>
      </c>
      <c r="C1208" t="inlineStr">
        <is>
          <t>Town</t>
        </is>
      </c>
      <c r="D1208" t="inlineStr">
        <is>
          <t>Win</t>
        </is>
      </c>
      <c r="E1208" t="n">
        <v>86</v>
      </c>
      <c r="F1208" t="n">
        <v>30.81491724154469</v>
      </c>
      <c r="G1208" t="n">
        <v>31.98575903517646</v>
      </c>
      <c r="H1208" t="n">
        <v>7.494859365755816</v>
      </c>
      <c r="I1208" t="n">
        <v>1325</v>
      </c>
      <c r="J1208" t="n">
        <v>1411</v>
      </c>
      <c r="K1208" t="n">
        <v>7.556081154579578</v>
      </c>
    </row>
    <row r="1209">
      <c r="A1209" t="n">
        <v>71</v>
      </c>
      <c r="B1209" t="inlineStr">
        <is>
          <t>Cody</t>
        </is>
      </c>
      <c r="C1209" t="inlineStr">
        <is>
          <t>Town</t>
        </is>
      </c>
      <c r="D1209" t="inlineStr">
        <is>
          <t>Win</t>
        </is>
      </c>
      <c r="E1209" t="n">
        <v>101</v>
      </c>
      <c r="F1209" t="n">
        <v>28.14158743607243</v>
      </c>
      <c r="G1209" t="n">
        <v>29.51026221434581</v>
      </c>
      <c r="H1209" t="n">
        <v>8.091988626341161</v>
      </c>
      <c r="I1209" t="n">
        <v>1080</v>
      </c>
      <c r="J1209" t="n">
        <v>1181</v>
      </c>
      <c r="K1209" t="n">
        <v>8.169644054075887</v>
      </c>
    </row>
    <row r="1210">
      <c r="A1210" t="n">
        <v>71</v>
      </c>
      <c r="B1210" t="inlineStr">
        <is>
          <t>Strik3r</t>
        </is>
      </c>
      <c r="C1210" t="inlineStr">
        <is>
          <t>Town</t>
        </is>
      </c>
      <c r="D1210" t="inlineStr">
        <is>
          <t>Win</t>
        </is>
      </c>
      <c r="E1210" t="n">
        <v>98</v>
      </c>
      <c r="F1210" t="n">
        <v>24.18552415526162</v>
      </c>
      <c r="G1210" t="n">
        <v>25.5193467206518</v>
      </c>
      <c r="H1210" t="n">
        <v>7.990272985763623</v>
      </c>
      <c r="I1210" t="n">
        <v>822</v>
      </c>
      <c r="J1210" t="n">
        <v>920</v>
      </c>
      <c r="K1210" t="n">
        <v>8.064940784989542</v>
      </c>
    </row>
    <row r="1211">
      <c r="A1211" t="n">
        <v>71</v>
      </c>
      <c r="B1211" t="inlineStr">
        <is>
          <t>Lou</t>
        </is>
      </c>
      <c r="C1211" t="inlineStr">
        <is>
          <t>Town</t>
        </is>
      </c>
      <c r="D1211" t="inlineStr">
        <is>
          <t>Win</t>
        </is>
      </c>
      <c r="E1211" t="n">
        <v>82</v>
      </c>
      <c r="F1211" t="n">
        <v>27.66572100102877</v>
      </c>
      <c r="G1211" t="n">
        <v>28.7816582483333</v>
      </c>
      <c r="H1211" t="n">
        <v>7.319864616418404</v>
      </c>
      <c r="I1211" t="n">
        <v>1129</v>
      </c>
      <c r="J1211" t="n">
        <v>1211</v>
      </c>
      <c r="K1211" t="n">
        <v>7.376757740688224</v>
      </c>
    </row>
    <row r="1212">
      <c r="A1212" t="n">
        <v>71</v>
      </c>
      <c r="B1212" t="inlineStr">
        <is>
          <t>Smit</t>
        </is>
      </c>
      <c r="C1212" t="inlineStr">
        <is>
          <t>Town</t>
        </is>
      </c>
      <c r="D1212" t="inlineStr">
        <is>
          <t>Win</t>
        </is>
      </c>
      <c r="E1212" t="n">
        <v>87</v>
      </c>
      <c r="F1212" t="n">
        <v>26.26170013528489</v>
      </c>
      <c r="G1212" t="n">
        <v>27.45193258912555</v>
      </c>
      <c r="H1212" t="n">
        <v>7.55562915483705</v>
      </c>
      <c r="I1212" t="n">
        <v>1009</v>
      </c>
      <c r="J1212" t="n">
        <v>1096</v>
      </c>
      <c r="K1212" t="n">
        <v>7.618404347033004</v>
      </c>
    </row>
    <row r="1213">
      <c r="A1213" t="n">
        <v>71</v>
      </c>
      <c r="B1213" t="inlineStr">
        <is>
          <t>Noah</t>
        </is>
      </c>
      <c r="C1213" t="inlineStr">
        <is>
          <t>Town</t>
        </is>
      </c>
      <c r="D1213" t="inlineStr">
        <is>
          <t>Win</t>
        </is>
      </c>
      <c r="E1213" t="n">
        <v>87</v>
      </c>
      <c r="F1213" t="n">
        <v>27.48810308105598</v>
      </c>
      <c r="G1213" t="n">
        <v>28.67917635076514</v>
      </c>
      <c r="H1213" t="n">
        <v>7.55825243108179</v>
      </c>
      <c r="I1213" t="n">
        <v>1092</v>
      </c>
      <c r="J1213" t="n">
        <v>1179</v>
      </c>
      <c r="K1213" t="n">
        <v>7.621095269982739</v>
      </c>
    </row>
    <row r="1214">
      <c r="A1214" t="n">
        <v>71</v>
      </c>
      <c r="B1214" t="inlineStr">
        <is>
          <t>Kden</t>
        </is>
      </c>
      <c r="C1214" t="inlineStr">
        <is>
          <t>Town</t>
        </is>
      </c>
      <c r="D1214" t="inlineStr">
        <is>
          <t>Win</t>
        </is>
      </c>
      <c r="E1214" t="n">
        <v>100</v>
      </c>
      <c r="F1214" t="n">
        <v>25.69918188524139</v>
      </c>
      <c r="G1214" t="n">
        <v>27.05321529903563</v>
      </c>
      <c r="H1214" t="n">
        <v>8.049427084840351</v>
      </c>
      <c r="I1214" t="n">
        <v>919</v>
      </c>
      <c r="J1214" t="n">
        <v>1019</v>
      </c>
      <c r="K1214" t="n">
        <v>8.125822697480801</v>
      </c>
    </row>
    <row r="1215">
      <c r="A1215" t="n">
        <v>70</v>
      </c>
      <c r="B1215" t="inlineStr">
        <is>
          <t>Rocker</t>
        </is>
      </c>
      <c r="C1215" t="inlineStr">
        <is>
          <t>Mafia</t>
        </is>
      </c>
      <c r="D1215" t="inlineStr">
        <is>
          <t>Win</t>
        </is>
      </c>
      <c r="E1215" t="n">
        <v>20</v>
      </c>
      <c r="F1215" t="n">
        <v>32.80351104697593</v>
      </c>
      <c r="G1215" t="n">
        <v>33.05140922704017</v>
      </c>
      <c r="H1215" t="n">
        <v>7.449264757932347</v>
      </c>
      <c r="I1215" t="n">
        <v>1468</v>
      </c>
      <c r="J1215" t="n">
        <v>1488</v>
      </c>
      <c r="K1215" t="n">
        <v>7.475079482775066</v>
      </c>
    </row>
    <row r="1216">
      <c r="A1216" t="n">
        <v>70</v>
      </c>
      <c r="B1216" t="inlineStr">
        <is>
          <t>Levi</t>
        </is>
      </c>
      <c r="C1216" t="inlineStr">
        <is>
          <t>Mafia</t>
        </is>
      </c>
      <c r="D1216" t="inlineStr">
        <is>
          <t>Win</t>
        </is>
      </c>
      <c r="E1216" t="n">
        <v>24</v>
      </c>
      <c r="F1216" t="n">
        <v>26.65739202022665</v>
      </c>
      <c r="G1216" t="n">
        <v>26.9592492230299</v>
      </c>
      <c r="H1216" t="n">
        <v>8.213732919463729</v>
      </c>
      <c r="I1216" t="n">
        <v>971</v>
      </c>
      <c r="J1216" t="n">
        <v>995</v>
      </c>
      <c r="K1216" t="n">
        <v>8.248725738679656</v>
      </c>
    </row>
    <row r="1217">
      <c r="A1217" t="n">
        <v>70</v>
      </c>
      <c r="B1217" t="inlineStr">
        <is>
          <t>Mintt</t>
        </is>
      </c>
      <c r="C1217" t="inlineStr">
        <is>
          <t>Mafia</t>
        </is>
      </c>
      <c r="D1217" t="inlineStr">
        <is>
          <t>Win</t>
        </is>
      </c>
      <c r="E1217" t="n">
        <v>22</v>
      </c>
      <c r="F1217" t="n">
        <v>28.79201520708565</v>
      </c>
      <c r="G1217" t="n">
        <v>29.06599762104249</v>
      </c>
      <c r="H1217" t="n">
        <v>7.828440816776197</v>
      </c>
      <c r="I1217" t="n">
        <v>1156</v>
      </c>
      <c r="J1217" t="n">
        <v>1178</v>
      </c>
      <c r="K1217" t="n">
        <v>7.85858200312493</v>
      </c>
    </row>
    <row r="1218">
      <c r="A1218" t="n">
        <v>70</v>
      </c>
      <c r="B1218" t="inlineStr">
        <is>
          <t>Lombax</t>
        </is>
      </c>
      <c r="C1218" t="inlineStr">
        <is>
          <t>Town</t>
        </is>
      </c>
      <c r="D1218" t="inlineStr">
        <is>
          <t>Loss</t>
        </is>
      </c>
      <c r="E1218" t="n">
        <v>-16</v>
      </c>
      <c r="F1218" t="n">
        <v>24.03895623815984</v>
      </c>
      <c r="G1218" t="n">
        <v>23.75258335264659</v>
      </c>
      <c r="H1218" t="n">
        <v>8.002072745199833</v>
      </c>
      <c r="I1218" t="n">
        <v>815</v>
      </c>
      <c r="J1218" t="n">
        <v>799</v>
      </c>
      <c r="K1218" t="n">
        <v>8.034342000060194</v>
      </c>
    </row>
    <row r="1219">
      <c r="A1219" t="n">
        <v>70</v>
      </c>
      <c r="B1219" t="inlineStr">
        <is>
          <t>Machop</t>
        </is>
      </c>
      <c r="C1219" t="inlineStr">
        <is>
          <t>Town</t>
        </is>
      </c>
      <c r="D1219" t="inlineStr">
        <is>
          <t>Loss</t>
        </is>
      </c>
      <c r="E1219" t="n">
        <v>-14</v>
      </c>
      <c r="F1219" t="n">
        <v>30.27462787818295</v>
      </c>
      <c r="G1219" t="n">
        <v>30.02800323403225</v>
      </c>
      <c r="H1219" t="n">
        <v>7.430241381344987</v>
      </c>
      <c r="I1219" t="n">
        <v>1298</v>
      </c>
      <c r="J1219" t="n">
        <v>1284</v>
      </c>
      <c r="K1219" t="n">
        <v>7.455850321105032</v>
      </c>
    </row>
    <row r="1220">
      <c r="A1220" t="n">
        <v>70</v>
      </c>
      <c r="B1220" t="inlineStr">
        <is>
          <t>Torharo</t>
        </is>
      </c>
      <c r="C1220" t="inlineStr">
        <is>
          <t>Town</t>
        </is>
      </c>
      <c r="D1220" t="inlineStr">
        <is>
          <t>Loss</t>
        </is>
      </c>
      <c r="E1220" t="n">
        <v>-17</v>
      </c>
      <c r="F1220" t="n">
        <v>26.20909612895417</v>
      </c>
      <c r="G1220" t="n">
        <v>25.92134493265212</v>
      </c>
      <c r="H1220" t="n">
        <v>8.021147576202242</v>
      </c>
      <c r="I1220" t="n">
        <v>961</v>
      </c>
      <c r="J1220" t="n">
        <v>944</v>
      </c>
      <c r="K1220" t="n">
        <v>8.05365639685386</v>
      </c>
    </row>
    <row r="1221">
      <c r="A1221" t="n">
        <v>70</v>
      </c>
      <c r="B1221" t="inlineStr">
        <is>
          <t>Plen</t>
        </is>
      </c>
      <c r="C1221" t="inlineStr">
        <is>
          <t>Town</t>
        </is>
      </c>
      <c r="D1221" t="inlineStr">
        <is>
          <t>Loss</t>
        </is>
      </c>
      <c r="E1221" t="n">
        <v>-16</v>
      </c>
      <c r="F1221" t="n">
        <v>23.46595872068519</v>
      </c>
      <c r="G1221" t="n">
        <v>23.19906729870359</v>
      </c>
      <c r="H1221" t="n">
        <v>7.727259711786663</v>
      </c>
      <c r="I1221" t="n">
        <v>805</v>
      </c>
      <c r="J1221" t="n">
        <v>789</v>
      </c>
      <c r="K1221" t="n">
        <v>7.756203926266934</v>
      </c>
    </row>
    <row r="1222">
      <c r="A1222" t="n">
        <v>70</v>
      </c>
      <c r="B1222" t="inlineStr">
        <is>
          <t>Kden</t>
        </is>
      </c>
      <c r="C1222" t="inlineStr">
        <is>
          <t>Town</t>
        </is>
      </c>
      <c r="D1222" t="inlineStr">
        <is>
          <t>Loss</t>
        </is>
      </c>
      <c r="E1222" t="n">
        <v>-16</v>
      </c>
      <c r="F1222" t="n">
        <v>25.99455711138991</v>
      </c>
      <c r="G1222" t="n">
        <v>25.69918188524139</v>
      </c>
      <c r="H1222" t="n">
        <v>8.125822697480801</v>
      </c>
      <c r="I1222" t="n">
        <v>935</v>
      </c>
      <c r="J1222" t="n">
        <v>919</v>
      </c>
      <c r="K1222" t="n">
        <v>8.159666816891397</v>
      </c>
    </row>
    <row r="1223">
      <c r="A1223" t="n">
        <v>70</v>
      </c>
      <c r="B1223" t="inlineStr">
        <is>
          <t>Dani</t>
        </is>
      </c>
      <c r="C1223" t="inlineStr">
        <is>
          <t>Town</t>
        </is>
      </c>
      <c r="D1223" t="inlineStr">
        <is>
          <t>Loss</t>
        </is>
      </c>
      <c r="E1223" t="n">
        <v>-17</v>
      </c>
      <c r="F1223" t="n">
        <v>23.14750232174812</v>
      </c>
      <c r="G1223" t="n">
        <v>22.85086790178768</v>
      </c>
      <c r="H1223" t="n">
        <v>8.142977078496461</v>
      </c>
      <c r="I1223" t="n">
        <v>740</v>
      </c>
      <c r="J1223" t="n">
        <v>723</v>
      </c>
      <c r="K1223" t="n">
        <v>8.177043384066636</v>
      </c>
    </row>
    <row r="1224">
      <c r="A1224" t="n">
        <v>70</v>
      </c>
      <c r="B1224" t="inlineStr">
        <is>
          <t>Chipper</t>
        </is>
      </c>
      <c r="C1224" t="inlineStr">
        <is>
          <t>Town</t>
        </is>
      </c>
      <c r="D1224" t="inlineStr">
        <is>
          <t>Loss</t>
        </is>
      </c>
      <c r="E1224" t="n">
        <v>-15</v>
      </c>
      <c r="F1224" t="n">
        <v>21.75544187455282</v>
      </c>
      <c r="G1224" t="n">
        <v>21.49614237413202</v>
      </c>
      <c r="H1224" t="n">
        <v>7.617394207151853</v>
      </c>
      <c r="I1224" t="n">
        <v>700</v>
      </c>
      <c r="J1224" t="n">
        <v>685</v>
      </c>
      <c r="K1224" t="n">
        <v>7.6450740164853</v>
      </c>
    </row>
    <row r="1225">
      <c r="A1225" t="n">
        <v>70</v>
      </c>
      <c r="B1225" t="inlineStr">
        <is>
          <t>Doublea</t>
        </is>
      </c>
      <c r="C1225" t="inlineStr">
        <is>
          <t>Town</t>
        </is>
      </c>
      <c r="D1225" t="inlineStr">
        <is>
          <t>Loss</t>
        </is>
      </c>
      <c r="E1225" t="n">
        <v>-17</v>
      </c>
      <c r="F1225" t="n">
        <v>25.64798704748309</v>
      </c>
      <c r="G1225" t="n">
        <v>25.34983166781754</v>
      </c>
      <c r="H1225" t="n">
        <v>8.163647844506766</v>
      </c>
      <c r="I1225" t="n">
        <v>908</v>
      </c>
      <c r="J1225" t="n">
        <v>891</v>
      </c>
      <c r="K1225" t="n">
        <v>8.197983144278879</v>
      </c>
    </row>
    <row r="1226">
      <c r="A1226" t="n">
        <v>70</v>
      </c>
      <c r="B1226" t="inlineStr">
        <is>
          <t>Matt</t>
        </is>
      </c>
      <c r="C1226" t="inlineStr">
        <is>
          <t>Town</t>
        </is>
      </c>
      <c r="D1226" t="inlineStr">
        <is>
          <t>Loss</t>
        </is>
      </c>
      <c r="E1226" t="n">
        <v>-17</v>
      </c>
      <c r="F1226" t="n">
        <v>24.00634316491066</v>
      </c>
      <c r="G1226" t="n">
        <v>23.70327889559178</v>
      </c>
      <c r="H1226" t="n">
        <v>8.229996123529469</v>
      </c>
      <c r="I1226" t="n">
        <v>789</v>
      </c>
      <c r="J1226" t="n">
        <v>772</v>
      </c>
      <c r="K1226" t="n">
        <v>8.265204204394333</v>
      </c>
    </row>
    <row r="1227">
      <c r="A1227" t="n">
        <v>70</v>
      </c>
      <c r="B1227" t="inlineStr">
        <is>
          <t>Lou</t>
        </is>
      </c>
      <c r="C1227" t="inlineStr">
        <is>
          <t>Town</t>
        </is>
      </c>
      <c r="D1227" t="inlineStr">
        <is>
          <t>Loss</t>
        </is>
      </c>
      <c r="E1227" t="n">
        <v>-14</v>
      </c>
      <c r="F1227" t="n">
        <v>27.90878308416038</v>
      </c>
      <c r="G1227" t="n">
        <v>27.66572100102877</v>
      </c>
      <c r="H1227" t="n">
        <v>7.376757740688224</v>
      </c>
      <c r="I1227" t="n">
        <v>1143</v>
      </c>
      <c r="J1227" t="n">
        <v>1129</v>
      </c>
      <c r="K1227" t="n">
        <v>7.401793765598218</v>
      </c>
    </row>
    <row r="1228">
      <c r="A1228" t="n">
        <v>69</v>
      </c>
      <c r="B1228" t="inlineStr">
        <is>
          <t>Rocker</t>
        </is>
      </c>
      <c r="C1228" t="inlineStr">
        <is>
          <t>Mafia</t>
        </is>
      </c>
      <c r="D1228" t="inlineStr">
        <is>
          <t>Loss</t>
        </is>
      </c>
      <c r="E1228" t="n">
        <v>-73</v>
      </c>
      <c r="F1228" t="n">
        <v>33.9588697862354</v>
      </c>
      <c r="G1228" t="n">
        <v>32.80351104697593</v>
      </c>
      <c r="H1228" t="n">
        <v>7.475079482775066</v>
      </c>
      <c r="I1228" t="n">
        <v>1541</v>
      </c>
      <c r="J1228" t="n">
        <v>1468</v>
      </c>
      <c r="K1228" t="n">
        <v>7.531029010137335</v>
      </c>
    </row>
    <row r="1229">
      <c r="A1229" t="n">
        <v>69</v>
      </c>
      <c r="B1229" t="inlineStr">
        <is>
          <t>Lombax</t>
        </is>
      </c>
      <c r="C1229" t="inlineStr">
        <is>
          <t>Mafia</t>
        </is>
      </c>
      <c r="D1229" t="inlineStr">
        <is>
          <t>Loss</t>
        </is>
      </c>
      <c r="E1229" t="n">
        <v>-84</v>
      </c>
      <c r="F1229" t="n">
        <v>25.37687737732252</v>
      </c>
      <c r="G1229" t="n">
        <v>24.03895623815984</v>
      </c>
      <c r="H1229" t="n">
        <v>8.034342000060194</v>
      </c>
      <c r="I1229" t="n">
        <v>899</v>
      </c>
      <c r="J1229" t="n">
        <v>815</v>
      </c>
      <c r="K1229" t="n">
        <v>8.104316171790403</v>
      </c>
    </row>
    <row r="1230">
      <c r="A1230" t="n">
        <v>69</v>
      </c>
      <c r="B1230" t="inlineStr">
        <is>
          <t>Badpants</t>
        </is>
      </c>
      <c r="C1230" t="inlineStr">
        <is>
          <t>Mafia</t>
        </is>
      </c>
      <c r="D1230" t="inlineStr">
        <is>
          <t>Loss</t>
        </is>
      </c>
      <c r="E1230" t="n">
        <v>-76</v>
      </c>
      <c r="F1230" t="n">
        <v>22.0589923893601</v>
      </c>
      <c r="G1230" t="n">
        <v>20.85816366461298</v>
      </c>
      <c r="H1230" t="n">
        <v>7.618473211425171</v>
      </c>
      <c r="I1230" t="n">
        <v>717</v>
      </c>
      <c r="J1230" t="n">
        <v>641</v>
      </c>
      <c r="K1230" t="n">
        <v>7.677819136889848</v>
      </c>
    </row>
    <row r="1231">
      <c r="A1231" t="n">
        <v>69</v>
      </c>
      <c r="B1231" t="inlineStr">
        <is>
          <t>Keegan</t>
        </is>
      </c>
      <c r="C1231" t="inlineStr">
        <is>
          <t>Town</t>
        </is>
      </c>
      <c r="D1231" t="inlineStr">
        <is>
          <t>Win</t>
        </is>
      </c>
      <c r="E1231" t="n">
        <v>100</v>
      </c>
      <c r="F1231" t="n">
        <v>27.77471588874734</v>
      </c>
      <c r="G1231" t="n">
        <v>29.13733905301395</v>
      </c>
      <c r="H1231" t="n">
        <v>8.10685058323989</v>
      </c>
      <c r="I1231" t="n">
        <v>1054</v>
      </c>
      <c r="J1231" t="n">
        <v>1154</v>
      </c>
      <c r="K1231" t="n">
        <v>8.178800239220061</v>
      </c>
    </row>
    <row r="1232">
      <c r="A1232" t="n">
        <v>69</v>
      </c>
      <c r="B1232" t="inlineStr">
        <is>
          <t>Brownkow</t>
        </is>
      </c>
      <c r="C1232" t="inlineStr">
        <is>
          <t>Town</t>
        </is>
      </c>
      <c r="D1232" t="inlineStr">
        <is>
          <t>Win</t>
        </is>
      </c>
      <c r="E1232" t="n">
        <v>85</v>
      </c>
      <c r="F1232" t="n">
        <v>30.66814717242832</v>
      </c>
      <c r="G1232" t="n">
        <v>31.83227812180952</v>
      </c>
      <c r="H1232" t="n">
        <v>7.502970453196852</v>
      </c>
      <c r="I1232" t="n">
        <v>1314</v>
      </c>
      <c r="J1232" t="n">
        <v>1399</v>
      </c>
      <c r="K1232" t="n">
        <v>7.55957012259602</v>
      </c>
    </row>
    <row r="1233">
      <c r="A1233" t="n">
        <v>69</v>
      </c>
      <c r="B1233" t="inlineStr">
        <is>
          <t>Kden</t>
        </is>
      </c>
      <c r="C1233" t="inlineStr">
        <is>
          <t>Town</t>
        </is>
      </c>
      <c r="D1233" t="inlineStr">
        <is>
          <t>Win</t>
        </is>
      </c>
      <c r="E1233" t="n">
        <v>101</v>
      </c>
      <c r="F1233" t="n">
        <v>24.61379051007276</v>
      </c>
      <c r="G1233" t="n">
        <v>25.99455711138991</v>
      </c>
      <c r="H1233" t="n">
        <v>8.159666816891397</v>
      </c>
      <c r="I1233" t="n">
        <v>834</v>
      </c>
      <c r="J1233" t="n">
        <v>935</v>
      </c>
      <c r="K1233" t="n">
        <v>8.23307896004645</v>
      </c>
    </row>
    <row r="1234">
      <c r="A1234" t="n">
        <v>69</v>
      </c>
      <c r="B1234" t="inlineStr">
        <is>
          <t>Machop</t>
        </is>
      </c>
      <c r="C1234" t="inlineStr">
        <is>
          <t>Town</t>
        </is>
      </c>
      <c r="D1234" t="inlineStr">
        <is>
          <t>Win</t>
        </is>
      </c>
      <c r="E1234" t="n">
        <v>84</v>
      </c>
      <c r="F1234" t="n">
        <v>29.12529683625405</v>
      </c>
      <c r="G1234" t="n">
        <v>30.27462787818295</v>
      </c>
      <c r="H1234" t="n">
        <v>7.455850321105032</v>
      </c>
      <c r="I1234" t="n">
        <v>1214</v>
      </c>
      <c r="J1234" t="n">
        <v>1298</v>
      </c>
      <c r="K1234" t="n">
        <v>7.511354536035208</v>
      </c>
    </row>
    <row r="1235">
      <c r="A1235" t="n">
        <v>69</v>
      </c>
      <c r="B1235" t="inlineStr">
        <is>
          <t>Smit</t>
        </is>
      </c>
      <c r="C1235" t="inlineStr">
        <is>
          <t>Town</t>
        </is>
      </c>
      <c r="D1235" t="inlineStr">
        <is>
          <t>Win</t>
        </is>
      </c>
      <c r="E1235" t="n">
        <v>88</v>
      </c>
      <c r="F1235" t="n">
        <v>25.06089346811865</v>
      </c>
      <c r="G1235" t="n">
        <v>26.26170013528489</v>
      </c>
      <c r="H1235" t="n">
        <v>7.618404347033004</v>
      </c>
      <c r="I1235" t="n">
        <v>921</v>
      </c>
      <c r="J1235" t="n">
        <v>1009</v>
      </c>
      <c r="K1235" t="n">
        <v>7.677748609086841</v>
      </c>
    </row>
    <row r="1236">
      <c r="A1236" t="n">
        <v>69</v>
      </c>
      <c r="B1236" t="inlineStr">
        <is>
          <t>Mintt</t>
        </is>
      </c>
      <c r="C1236" t="inlineStr">
        <is>
          <t>Town</t>
        </is>
      </c>
      <c r="D1236" t="inlineStr">
        <is>
          <t>Win</t>
        </is>
      </c>
      <c r="E1236" t="n">
        <v>93</v>
      </c>
      <c r="F1236" t="n">
        <v>27.51298439428934</v>
      </c>
      <c r="G1236" t="n">
        <v>28.79201520708565</v>
      </c>
      <c r="H1236" t="n">
        <v>7.85858200312493</v>
      </c>
      <c r="I1236" t="n">
        <v>1063</v>
      </c>
      <c r="J1236" t="n">
        <v>1156</v>
      </c>
      <c r="K1236" t="n">
        <v>7.923920308927549</v>
      </c>
    </row>
    <row r="1237">
      <c r="A1237" t="n">
        <v>69</v>
      </c>
      <c r="B1237" t="inlineStr">
        <is>
          <t>Wyz</t>
        </is>
      </c>
      <c r="C1237" t="inlineStr">
        <is>
          <t>Town</t>
        </is>
      </c>
      <c r="D1237" t="inlineStr">
        <is>
          <t>Win</t>
        </is>
      </c>
      <c r="E1237" t="n">
        <v>104</v>
      </c>
      <c r="F1237" t="n">
        <v>25</v>
      </c>
      <c r="G1237" t="n">
        <v>26.41459359781429</v>
      </c>
      <c r="H1237" t="n">
        <v>8.257168691306232</v>
      </c>
      <c r="I1237" t="n">
        <v>850</v>
      </c>
      <c r="J1237" t="n">
        <v>954</v>
      </c>
      <c r="K1237" t="n">
        <v>8.333333333333334</v>
      </c>
    </row>
    <row r="1238">
      <c r="A1238" t="n">
        <v>69</v>
      </c>
      <c r="B1238" t="inlineStr">
        <is>
          <t>Creatchee</t>
        </is>
      </c>
      <c r="C1238" t="inlineStr">
        <is>
          <t>Town</t>
        </is>
      </c>
      <c r="D1238" t="inlineStr">
        <is>
          <t>Win</t>
        </is>
      </c>
      <c r="E1238" t="n">
        <v>87</v>
      </c>
      <c r="F1238" t="n">
        <v>29.63398594561206</v>
      </c>
      <c r="G1238" t="n">
        <v>30.81491724154469</v>
      </c>
      <c r="H1238" t="n">
        <v>7.556081154579578</v>
      </c>
      <c r="I1238" t="n">
        <v>1238</v>
      </c>
      <c r="J1238" t="n">
        <v>1325</v>
      </c>
      <c r="K1238" t="n">
        <v>7.613932787937656</v>
      </c>
    </row>
    <row r="1239">
      <c r="A1239" t="n">
        <v>69</v>
      </c>
      <c r="B1239" t="inlineStr">
        <is>
          <t>Doublea</t>
        </is>
      </c>
      <c r="C1239" t="inlineStr">
        <is>
          <t>Town</t>
        </is>
      </c>
      <c r="D1239" t="inlineStr">
        <is>
          <t>Win</t>
        </is>
      </c>
      <c r="E1239" t="n">
        <v>103</v>
      </c>
      <c r="F1239" t="n">
        <v>24.25397869012649</v>
      </c>
      <c r="G1239" t="n">
        <v>25.64798704748309</v>
      </c>
      <c r="H1239" t="n">
        <v>8.197983144278879</v>
      </c>
      <c r="I1239" t="n">
        <v>805</v>
      </c>
      <c r="J1239" t="n">
        <v>908</v>
      </c>
      <c r="K1239" t="n">
        <v>8.272468779926852</v>
      </c>
    </row>
    <row r="1240">
      <c r="A1240" t="n">
        <v>69</v>
      </c>
      <c r="B1240" t="inlineStr">
        <is>
          <t>Lou</t>
        </is>
      </c>
      <c r="C1240" t="inlineStr">
        <is>
          <t>Town</t>
        </is>
      </c>
      <c r="D1240" t="inlineStr">
        <is>
          <t>Win</t>
        </is>
      </c>
      <c r="E1240" t="n">
        <v>83</v>
      </c>
      <c r="F1240" t="n">
        <v>26.7763086341093</v>
      </c>
      <c r="G1240" t="n">
        <v>27.90878308416038</v>
      </c>
      <c r="H1240" t="n">
        <v>7.401793765598218</v>
      </c>
      <c r="I1240" t="n">
        <v>1060</v>
      </c>
      <c r="J1240" t="n">
        <v>1143</v>
      </c>
      <c r="K1240" t="n">
        <v>7.456058834481555</v>
      </c>
    </row>
    <row r="1241">
      <c r="A1241" t="n">
        <v>69</v>
      </c>
      <c r="B1241" t="inlineStr">
        <is>
          <t>Torharo</t>
        </is>
      </c>
      <c r="C1241" t="inlineStr">
        <is>
          <t>Town</t>
        </is>
      </c>
      <c r="D1241" t="inlineStr">
        <is>
          <t>Win</t>
        </is>
      </c>
      <c r="E1241" t="n">
        <v>99</v>
      </c>
      <c r="F1241" t="n">
        <v>24.86461829697181</v>
      </c>
      <c r="G1241" t="n">
        <v>26.20909612895417</v>
      </c>
      <c r="H1241" t="n">
        <v>8.05365639685386</v>
      </c>
      <c r="I1241" t="n">
        <v>862</v>
      </c>
      <c r="J1241" t="n">
        <v>961</v>
      </c>
      <c r="K1241" t="n">
        <v>8.12415315529028</v>
      </c>
    </row>
    <row r="1242">
      <c r="A1242" t="n">
        <v>68</v>
      </c>
      <c r="B1242" t="inlineStr">
        <is>
          <t>Kny</t>
        </is>
      </c>
      <c r="C1242" t="inlineStr">
        <is>
          <t>Mafia</t>
        </is>
      </c>
      <c r="D1242" t="inlineStr">
        <is>
          <t>Win</t>
        </is>
      </c>
      <c r="E1242" t="n">
        <v>71</v>
      </c>
      <c r="F1242" t="n">
        <v>27.65863991764613</v>
      </c>
      <c r="G1242" t="n">
        <v>28.60564849287844</v>
      </c>
      <c r="H1242" t="n">
        <v>7.936035823307176</v>
      </c>
      <c r="I1242" t="n">
        <v>1065</v>
      </c>
      <c r="J1242" t="n">
        <v>1136</v>
      </c>
      <c r="K1242" t="n">
        <v>7.999622381936419</v>
      </c>
    </row>
    <row r="1243">
      <c r="A1243" t="n">
        <v>68</v>
      </c>
      <c r="B1243" t="inlineStr">
        <is>
          <t>Mintt</t>
        </is>
      </c>
      <c r="C1243" t="inlineStr">
        <is>
          <t>Mafia</t>
        </is>
      </c>
      <c r="D1243" t="inlineStr">
        <is>
          <t>Win</t>
        </is>
      </c>
      <c r="E1243" t="n">
        <v>71</v>
      </c>
      <c r="F1243" t="n">
        <v>26.5689126742011</v>
      </c>
      <c r="G1243" t="n">
        <v>27.51298439428934</v>
      </c>
      <c r="H1243" t="n">
        <v>7.923920308927549</v>
      </c>
      <c r="I1243" t="n">
        <v>992</v>
      </c>
      <c r="J1243" t="n">
        <v>1063</v>
      </c>
      <c r="K1243" t="n">
        <v>7.987206627397919</v>
      </c>
    </row>
    <row r="1244">
      <c r="A1244" t="n">
        <v>68</v>
      </c>
      <c r="B1244" t="inlineStr">
        <is>
          <t>Smit</t>
        </is>
      </c>
      <c r="C1244" t="inlineStr">
        <is>
          <t>Mafia</t>
        </is>
      </c>
      <c r="D1244" t="inlineStr">
        <is>
          <t>Win</t>
        </is>
      </c>
      <c r="E1244" t="n">
        <v>66</v>
      </c>
      <c r="F1244" t="n">
        <v>24.17546010043686</v>
      </c>
      <c r="G1244" t="n">
        <v>25.06089346811865</v>
      </c>
      <c r="H1244" t="n">
        <v>7.677748609086841</v>
      </c>
      <c r="I1244" t="n">
        <v>855</v>
      </c>
      <c r="J1244" t="n">
        <v>921</v>
      </c>
      <c r="K1244" t="n">
        <v>7.735138841872285</v>
      </c>
    </row>
    <row r="1245">
      <c r="A1245" t="n">
        <v>68</v>
      </c>
      <c r="B1245" t="inlineStr">
        <is>
          <t>Aipha</t>
        </is>
      </c>
      <c r="C1245" t="inlineStr">
        <is>
          <t>Town</t>
        </is>
      </c>
      <c r="D1245" t="inlineStr">
        <is>
          <t>Loss</t>
        </is>
      </c>
      <c r="E1245" t="n">
        <v>-58</v>
      </c>
      <c r="F1245" t="n">
        <v>28.77246998771756</v>
      </c>
      <c r="G1245" t="n">
        <v>27.82026992150029</v>
      </c>
      <c r="H1245" t="n">
        <v>7.957404318503842</v>
      </c>
      <c r="I1245" t="n">
        <v>1138</v>
      </c>
      <c r="J1245" t="n">
        <v>1080</v>
      </c>
      <c r="K1245" t="n">
        <v>8.021522752895327</v>
      </c>
    </row>
    <row r="1246">
      <c r="A1246" t="n">
        <v>68</v>
      </c>
      <c r="B1246" t="inlineStr">
        <is>
          <t>Brownkow</t>
        </is>
      </c>
      <c r="C1246" t="inlineStr">
        <is>
          <t>Town</t>
        </is>
      </c>
      <c r="D1246" t="inlineStr">
        <is>
          <t>Loss</t>
        </is>
      </c>
      <c r="E1246" t="n">
        <v>-53</v>
      </c>
      <c r="F1246" t="n">
        <v>31.52612887391775</v>
      </c>
      <c r="G1246" t="n">
        <v>30.66814717242832</v>
      </c>
      <c r="H1246" t="n">
        <v>7.55957012259602</v>
      </c>
      <c r="I1246" t="n">
        <v>1367</v>
      </c>
      <c r="J1246" t="n">
        <v>1314</v>
      </c>
      <c r="K1246" t="n">
        <v>7.614265619278448</v>
      </c>
    </row>
    <row r="1247">
      <c r="A1247" t="n">
        <v>68</v>
      </c>
      <c r="B1247" t="inlineStr">
        <is>
          <t>Chipper</t>
        </is>
      </c>
      <c r="C1247" t="inlineStr">
        <is>
          <t>Town</t>
        </is>
      </c>
      <c r="D1247" t="inlineStr">
        <is>
          <t>Loss</t>
        </is>
      </c>
      <c r="E1247" t="n">
        <v>-53</v>
      </c>
      <c r="F1247" t="n">
        <v>22.63324004226487</v>
      </c>
      <c r="G1247" t="n">
        <v>21.75544187455282</v>
      </c>
      <c r="H1247" t="n">
        <v>7.6450740164853</v>
      </c>
      <c r="I1247" t="n">
        <v>753</v>
      </c>
      <c r="J1247" t="n">
        <v>700</v>
      </c>
      <c r="K1247" t="n">
        <v>7.701710512578178</v>
      </c>
    </row>
    <row r="1248">
      <c r="A1248" t="n">
        <v>68</v>
      </c>
      <c r="B1248" t="inlineStr">
        <is>
          <t>Creatchee</t>
        </is>
      </c>
      <c r="C1248" t="inlineStr">
        <is>
          <t>Town</t>
        </is>
      </c>
      <c r="D1248" t="inlineStr">
        <is>
          <t>Loss</t>
        </is>
      </c>
      <c r="E1248" t="n">
        <v>-54</v>
      </c>
      <c r="F1248" t="n">
        <v>30.504539402815</v>
      </c>
      <c r="G1248" t="n">
        <v>29.63398594561206</v>
      </c>
      <c r="H1248" t="n">
        <v>7.613932787937656</v>
      </c>
      <c r="I1248" t="n">
        <v>1292</v>
      </c>
      <c r="J1248" t="n">
        <v>1238</v>
      </c>
      <c r="K1248" t="n">
        <v>7.669857112390179</v>
      </c>
    </row>
    <row r="1249">
      <c r="A1249" t="n">
        <v>68</v>
      </c>
      <c r="B1249" t="inlineStr">
        <is>
          <t>Kwix</t>
        </is>
      </c>
      <c r="C1249" t="inlineStr">
        <is>
          <t>Town</t>
        </is>
      </c>
      <c r="D1249" t="inlineStr">
        <is>
          <t>Loss</t>
        </is>
      </c>
      <c r="E1249" t="n">
        <v>-57</v>
      </c>
      <c r="F1249" t="n">
        <v>23.54901938800011</v>
      </c>
      <c r="G1249" t="n">
        <v>22.61753755105843</v>
      </c>
      <c r="H1249" t="n">
        <v>7.871757336508025</v>
      </c>
      <c r="I1249" t="n">
        <v>792</v>
      </c>
      <c r="J1249" t="n">
        <v>735</v>
      </c>
      <c r="K1249" t="n">
        <v>7.933761866560303</v>
      </c>
    </row>
    <row r="1250">
      <c r="A1250" t="n">
        <v>68</v>
      </c>
      <c r="B1250" t="inlineStr">
        <is>
          <t>Lovekilling</t>
        </is>
      </c>
      <c r="C1250" t="inlineStr">
        <is>
          <t>Town</t>
        </is>
      </c>
      <c r="D1250" t="inlineStr">
        <is>
          <t>Loss</t>
        </is>
      </c>
      <c r="E1250" t="n">
        <v>-61</v>
      </c>
      <c r="F1250" t="n">
        <v>22.51472314280742</v>
      </c>
      <c r="G1250" t="n">
        <v>21.52220846694562</v>
      </c>
      <c r="H1250" t="n">
        <v>8.121299553425976</v>
      </c>
      <c r="I1250" t="n">
        <v>696</v>
      </c>
      <c r="J1250" t="n">
        <v>635</v>
      </c>
      <c r="K1250" t="n">
        <v>8.189597456663371</v>
      </c>
    </row>
    <row r="1251">
      <c r="A1251" t="n">
        <v>68</v>
      </c>
      <c r="B1251" t="inlineStr">
        <is>
          <t>Noah</t>
        </is>
      </c>
      <c r="C1251" t="inlineStr">
        <is>
          <t>Town</t>
        </is>
      </c>
      <c r="D1251" t="inlineStr">
        <is>
          <t>Loss</t>
        </is>
      </c>
      <c r="E1251" t="n">
        <v>-53</v>
      </c>
      <c r="F1251" t="n">
        <v>28.36032004156467</v>
      </c>
      <c r="G1251" t="n">
        <v>27.48810308105598</v>
      </c>
      <c r="H1251" t="n">
        <v>7.621095269982739</v>
      </c>
      <c r="I1251" t="n">
        <v>1145</v>
      </c>
      <c r="J1251" t="n">
        <v>1092</v>
      </c>
      <c r="K1251" t="n">
        <v>7.67718286022922</v>
      </c>
    </row>
    <row r="1252">
      <c r="A1252" t="n">
        <v>68</v>
      </c>
      <c r="B1252" t="inlineStr">
        <is>
          <t>Plen</t>
        </is>
      </c>
      <c r="C1252" t="inlineStr">
        <is>
          <t>Town</t>
        </is>
      </c>
      <c r="D1252" t="inlineStr">
        <is>
          <t>Loss</t>
        </is>
      </c>
      <c r="E1252" t="n">
        <v>-55</v>
      </c>
      <c r="F1252" t="n">
        <v>24.36986640390503</v>
      </c>
      <c r="G1252" t="n">
        <v>23.46595872068519</v>
      </c>
      <c r="H1252" t="n">
        <v>7.756203926266934</v>
      </c>
      <c r="I1252" t="n">
        <v>860</v>
      </c>
      <c r="J1252" t="n">
        <v>805</v>
      </c>
      <c r="K1252" t="n">
        <v>7.815431338311584</v>
      </c>
    </row>
    <row r="1253">
      <c r="A1253" t="n">
        <v>68</v>
      </c>
      <c r="B1253" t="inlineStr">
        <is>
          <t>Rocker</t>
        </is>
      </c>
      <c r="C1253" t="inlineStr">
        <is>
          <t>Town</t>
        </is>
      </c>
      <c r="D1253" t="inlineStr">
        <is>
          <t>Loss</t>
        </is>
      </c>
      <c r="E1253" t="n">
        <v>-52</v>
      </c>
      <c r="F1253" t="n">
        <v>34.81028939691294</v>
      </c>
      <c r="G1253" t="n">
        <v>33.9588697862354</v>
      </c>
      <c r="H1253" t="n">
        <v>7.531029010137335</v>
      </c>
      <c r="I1253" t="n">
        <v>1593</v>
      </c>
      <c r="J1253" t="n">
        <v>1541</v>
      </c>
      <c r="K1253" t="n">
        <v>7.585086641209997</v>
      </c>
    </row>
    <row r="1254">
      <c r="A1254" t="n">
        <v>68</v>
      </c>
      <c r="B1254" t="inlineStr">
        <is>
          <t>Whyin</t>
        </is>
      </c>
      <c r="C1254" t="inlineStr">
        <is>
          <t>Town</t>
        </is>
      </c>
      <c r="D1254" t="inlineStr">
        <is>
          <t>Loss</t>
        </is>
      </c>
      <c r="E1254" t="n">
        <v>-54</v>
      </c>
      <c r="F1254" t="n">
        <v>27.39025720682208</v>
      </c>
      <c r="G1254" t="n">
        <v>26.51081323120898</v>
      </c>
      <c r="H1254" t="n">
        <v>7.652129729222323</v>
      </c>
      <c r="I1254" t="n">
        <v>1076</v>
      </c>
      <c r="J1254" t="n">
        <v>1022</v>
      </c>
      <c r="K1254" t="n">
        <v>7.708928421861067</v>
      </c>
    </row>
    <row r="1255">
      <c r="A1255" t="n">
        <v>67</v>
      </c>
      <c r="B1255" t="inlineStr">
        <is>
          <t>Brownkow</t>
        </is>
      </c>
      <c r="C1255" t="inlineStr">
        <is>
          <t>Mafia</t>
        </is>
      </c>
      <c r="D1255" t="inlineStr">
        <is>
          <t>Loss</t>
        </is>
      </c>
      <c r="E1255" t="n">
        <v>-81</v>
      </c>
      <c r="F1255" t="n">
        <v>32.81221971029356</v>
      </c>
      <c r="G1255" t="n">
        <v>31.52612887391775</v>
      </c>
      <c r="H1255" t="n">
        <v>7.614265619278448</v>
      </c>
      <c r="I1255" t="n">
        <v>1448</v>
      </c>
      <c r="J1255" t="n">
        <v>1367</v>
      </c>
      <c r="K1255" t="n">
        <v>7.674590784370277</v>
      </c>
    </row>
    <row r="1256">
      <c r="A1256" t="n">
        <v>67</v>
      </c>
      <c r="B1256" t="inlineStr">
        <is>
          <t>Lovekilling</t>
        </is>
      </c>
      <c r="C1256" t="inlineStr">
        <is>
          <t>Mafia</t>
        </is>
      </c>
      <c r="D1256" t="inlineStr">
        <is>
          <t>Loss</t>
        </is>
      </c>
      <c r="E1256" t="n">
        <v>-93</v>
      </c>
      <c r="F1256" t="n">
        <v>24.00634316491066</v>
      </c>
      <c r="G1256" t="n">
        <v>22.51472314280742</v>
      </c>
      <c r="H1256" t="n">
        <v>8.189597456663371</v>
      </c>
      <c r="I1256" t="n">
        <v>789</v>
      </c>
      <c r="J1256" t="n">
        <v>696</v>
      </c>
      <c r="K1256" t="n">
        <v>8.265204204394333</v>
      </c>
    </row>
    <row r="1257">
      <c r="A1257" t="n">
        <v>67</v>
      </c>
      <c r="B1257" t="inlineStr">
        <is>
          <t>Smit</t>
        </is>
      </c>
      <c r="C1257" t="inlineStr">
        <is>
          <t>Mafia</t>
        </is>
      </c>
      <c r="D1257" t="inlineStr">
        <is>
          <t>Loss</t>
        </is>
      </c>
      <c r="E1257" t="n">
        <v>-84</v>
      </c>
      <c r="F1257" t="n">
        <v>25.50340221431101</v>
      </c>
      <c r="G1257" t="n">
        <v>24.17546010043686</v>
      </c>
      <c r="H1257" t="n">
        <v>7.735138841872285</v>
      </c>
      <c r="I1257" t="n">
        <v>939</v>
      </c>
      <c r="J1257" t="n">
        <v>855</v>
      </c>
      <c r="K1257" t="n">
        <v>7.798483182144499</v>
      </c>
    </row>
    <row r="1258">
      <c r="A1258" t="n">
        <v>67</v>
      </c>
      <c r="B1258" t="inlineStr">
        <is>
          <t>Noah</t>
        </is>
      </c>
      <c r="C1258" t="inlineStr">
        <is>
          <t>Town</t>
        </is>
      </c>
      <c r="D1258" t="inlineStr">
        <is>
          <t>Win</t>
        </is>
      </c>
      <c r="E1258" t="n">
        <v>95</v>
      </c>
      <c r="F1258" t="n">
        <v>27.05253248403618</v>
      </c>
      <c r="G1258" t="n">
        <v>28.36032004156467</v>
      </c>
      <c r="H1258" t="n">
        <v>7.67718286022922</v>
      </c>
      <c r="I1258" t="n">
        <v>1050</v>
      </c>
      <c r="J1258" t="n">
        <v>1145</v>
      </c>
      <c r="K1258" t="n">
        <v>7.739067206462775</v>
      </c>
    </row>
    <row r="1259">
      <c r="A1259" t="n">
        <v>67</v>
      </c>
      <c r="B1259" t="inlineStr">
        <is>
          <t>Plen</t>
        </is>
      </c>
      <c r="C1259" t="inlineStr">
        <is>
          <t>Town</t>
        </is>
      </c>
      <c r="D1259" t="inlineStr">
        <is>
          <t>Win</t>
        </is>
      </c>
      <c r="E1259" t="n">
        <v>99</v>
      </c>
      <c r="F1259" t="n">
        <v>23.01373427566277</v>
      </c>
      <c r="G1259" t="n">
        <v>24.36986640390503</v>
      </c>
      <c r="H1259" t="n">
        <v>7.815431338311584</v>
      </c>
      <c r="I1259" t="n">
        <v>761</v>
      </c>
      <c r="J1259" t="n">
        <v>860</v>
      </c>
      <c r="K1259" t="n">
        <v>7.880836409859517</v>
      </c>
    </row>
    <row r="1260">
      <c r="A1260" t="n">
        <v>67</v>
      </c>
      <c r="B1260" t="inlineStr">
        <is>
          <t>Kny</t>
        </is>
      </c>
      <c r="C1260" t="inlineStr">
        <is>
          <t>Town</t>
        </is>
      </c>
      <c r="D1260" t="inlineStr">
        <is>
          <t>Win</t>
        </is>
      </c>
      <c r="E1260" t="n">
        <v>104</v>
      </c>
      <c r="F1260" t="n">
        <v>26.23666120848014</v>
      </c>
      <c r="G1260" t="n">
        <v>27.65863991764613</v>
      </c>
      <c r="H1260" t="n">
        <v>7.999622381936419</v>
      </c>
      <c r="I1260" t="n">
        <v>961</v>
      </c>
      <c r="J1260" t="n">
        <v>1065</v>
      </c>
      <c r="K1260" t="n">
        <v>8.069924581378057</v>
      </c>
    </row>
    <row r="1261">
      <c r="A1261" t="n">
        <v>67</v>
      </c>
      <c r="B1261" t="inlineStr">
        <is>
          <t>Creatchee</t>
        </is>
      </c>
      <c r="C1261" t="inlineStr">
        <is>
          <t>Town</t>
        </is>
      </c>
      <c r="D1261" t="inlineStr">
        <is>
          <t>Win</t>
        </is>
      </c>
      <c r="E1261" t="n">
        <v>95</v>
      </c>
      <c r="F1261" t="n">
        <v>29.19928789749621</v>
      </c>
      <c r="G1261" t="n">
        <v>30.504539402815</v>
      </c>
      <c r="H1261" t="n">
        <v>7.669857112390179</v>
      </c>
      <c r="I1261" t="n">
        <v>1197</v>
      </c>
      <c r="J1261" t="n">
        <v>1292</v>
      </c>
      <c r="K1261" t="n">
        <v>7.731558539354548</v>
      </c>
    </row>
    <row r="1262">
      <c r="A1262" t="n">
        <v>67</v>
      </c>
      <c r="B1262" t="inlineStr">
        <is>
          <t>Qe</t>
        </is>
      </c>
      <c r="C1262" t="inlineStr">
        <is>
          <t>Town</t>
        </is>
      </c>
      <c r="D1262" t="inlineStr">
        <is>
          <t>Win</t>
        </is>
      </c>
      <c r="E1262" t="n">
        <v>111</v>
      </c>
      <c r="F1262" t="n">
        <v>25</v>
      </c>
      <c r="G1262" t="n">
        <v>26.51630826153879</v>
      </c>
      <c r="H1262" t="n">
        <v>8.25581571368895</v>
      </c>
      <c r="I1262" t="n">
        <v>850</v>
      </c>
      <c r="J1262" t="n">
        <v>961</v>
      </c>
      <c r="K1262" t="n">
        <v>8.333333333333334</v>
      </c>
    </row>
    <row r="1263">
      <c r="A1263" t="n">
        <v>67</v>
      </c>
      <c r="B1263" t="inlineStr">
        <is>
          <t>Rocker</t>
        </is>
      </c>
      <c r="C1263" t="inlineStr">
        <is>
          <t>Town</t>
        </is>
      </c>
      <c r="D1263" t="inlineStr">
        <is>
          <t>Win</t>
        </is>
      </c>
      <c r="E1263" t="n">
        <v>92</v>
      </c>
      <c r="F1263" t="n">
        <v>33.53419616701989</v>
      </c>
      <c r="G1263" t="n">
        <v>34.81028939691294</v>
      </c>
      <c r="H1263" t="n">
        <v>7.585086641209997</v>
      </c>
      <c r="I1263" t="n">
        <v>1501</v>
      </c>
      <c r="J1263" t="n">
        <v>1593</v>
      </c>
      <c r="K1263" t="n">
        <v>7.644697751276277</v>
      </c>
    </row>
    <row r="1264">
      <c r="A1264" t="n">
        <v>67</v>
      </c>
      <c r="B1264" t="inlineStr">
        <is>
          <t>Boobles</t>
        </is>
      </c>
      <c r="C1264" t="inlineStr">
        <is>
          <t>Town</t>
        </is>
      </c>
      <c r="D1264" t="inlineStr">
        <is>
          <t>Win</t>
        </is>
      </c>
      <c r="E1264" t="n">
        <v>99</v>
      </c>
      <c r="F1264" t="n">
        <v>26.84407775243291</v>
      </c>
      <c r="G1264" t="n">
        <v>28.19483314602323</v>
      </c>
      <c r="H1264" t="n">
        <v>7.800185217844302</v>
      </c>
      <c r="I1264" t="n">
        <v>1023</v>
      </c>
      <c r="J1264" t="n">
        <v>1122</v>
      </c>
      <c r="K1264" t="n">
        <v>7.86519557194529</v>
      </c>
    </row>
    <row r="1265">
      <c r="A1265" t="n">
        <v>67</v>
      </c>
      <c r="B1265" t="inlineStr">
        <is>
          <t>Whyin</t>
        </is>
      </c>
      <c r="C1265" t="inlineStr">
        <is>
          <t>Town</t>
        </is>
      </c>
      <c r="D1265" t="inlineStr">
        <is>
          <t>Win</t>
        </is>
      </c>
      <c r="E1265" t="n">
        <v>96</v>
      </c>
      <c r="F1265" t="n">
        <v>26.07144998555189</v>
      </c>
      <c r="G1265" t="n">
        <v>27.39025720682208</v>
      </c>
      <c r="H1265" t="n">
        <v>7.708928421861067</v>
      </c>
      <c r="I1265" t="n">
        <v>980</v>
      </c>
      <c r="J1265" t="n">
        <v>1076</v>
      </c>
      <c r="K1265" t="n">
        <v>7.771609647986298</v>
      </c>
    </row>
    <row r="1266">
      <c r="A1266" t="n">
        <v>67</v>
      </c>
      <c r="B1266" t="inlineStr">
        <is>
          <t>Streety</t>
        </is>
      </c>
      <c r="C1266" t="inlineStr">
        <is>
          <t>Town</t>
        </is>
      </c>
      <c r="D1266" t="inlineStr">
        <is>
          <t>Win</t>
        </is>
      </c>
      <c r="E1266" t="n">
        <v>105</v>
      </c>
      <c r="F1266" t="n">
        <v>26.42010066436153</v>
      </c>
      <c r="G1266" t="n">
        <v>27.86227831370901</v>
      </c>
      <c r="H1266" t="n">
        <v>8.055219479037582</v>
      </c>
      <c r="I1266" t="n">
        <v>968</v>
      </c>
      <c r="J1266" t="n">
        <v>1073</v>
      </c>
      <c r="K1266" t="n">
        <v>8.127047093818769</v>
      </c>
    </row>
    <row r="1267">
      <c r="A1267" t="n">
        <v>67</v>
      </c>
      <c r="B1267" t="inlineStr">
        <is>
          <t>Lou</t>
        </is>
      </c>
      <c r="C1267" t="inlineStr">
        <is>
          <t>Town</t>
        </is>
      </c>
      <c r="D1267" t="inlineStr">
        <is>
          <t>Win</t>
        </is>
      </c>
      <c r="E1267" t="n">
        <v>89</v>
      </c>
      <c r="F1267" t="n">
        <v>25.54393426021688</v>
      </c>
      <c r="G1267" t="n">
        <v>26.7763086341093</v>
      </c>
      <c r="H1267" t="n">
        <v>7.456058834481555</v>
      </c>
      <c r="I1267" t="n">
        <v>971</v>
      </c>
      <c r="J1267" t="n">
        <v>1060</v>
      </c>
      <c r="K1267" t="n">
        <v>7.512580322948198</v>
      </c>
    </row>
    <row r="1268">
      <c r="A1268" t="n">
        <v>67</v>
      </c>
      <c r="B1268" t="inlineStr">
        <is>
          <t>23flash</t>
        </is>
      </c>
      <c r="C1268" t="inlineStr">
        <is>
          <t>Town</t>
        </is>
      </c>
      <c r="D1268" t="inlineStr">
        <is>
          <t>Win</t>
        </is>
      </c>
      <c r="E1268" t="n">
        <v>108</v>
      </c>
      <c r="F1268" t="n">
        <v>25.3099718196216</v>
      </c>
      <c r="G1268" t="n">
        <v>26.78609255715886</v>
      </c>
      <c r="H1268" t="n">
        <v>8.147729087445692</v>
      </c>
      <c r="I1268" t="n">
        <v>882</v>
      </c>
      <c r="J1268" t="n">
        <v>990</v>
      </c>
      <c r="K1268" t="n">
        <v>8.222144268853866</v>
      </c>
    </row>
    <row r="1269">
      <c r="A1269" t="n">
        <v>66</v>
      </c>
      <c r="B1269" t="inlineStr">
        <is>
          <t>Brownkow</t>
        </is>
      </c>
      <c r="C1269" t="inlineStr">
        <is>
          <t>Mafia</t>
        </is>
      </c>
      <c r="D1269" t="inlineStr">
        <is>
          <t>Win</t>
        </is>
      </c>
      <c r="E1269" t="n">
        <v>24</v>
      </c>
      <c r="F1269" t="n">
        <v>32.49996961039148</v>
      </c>
      <c r="G1269" t="n">
        <v>32.81221971029356</v>
      </c>
      <c r="H1269" t="n">
        <v>7.674590784370277</v>
      </c>
      <c r="I1269" t="n">
        <v>1424</v>
      </c>
      <c r="J1269" t="n">
        <v>1448</v>
      </c>
      <c r="K1269" t="n">
        <v>7.70626401073641</v>
      </c>
    </row>
    <row r="1270">
      <c r="A1270" t="n">
        <v>66</v>
      </c>
      <c r="B1270" t="inlineStr">
        <is>
          <t>Kden</t>
        </is>
      </c>
      <c r="C1270" t="inlineStr">
        <is>
          <t>Mafia</t>
        </is>
      </c>
      <c r="D1270" t="inlineStr">
        <is>
          <t>Win</t>
        </is>
      </c>
      <c r="E1270" t="n">
        <v>29</v>
      </c>
      <c r="F1270" t="n">
        <v>24.25397869012649</v>
      </c>
      <c r="G1270" t="n">
        <v>24.61379051007276</v>
      </c>
      <c r="H1270" t="n">
        <v>8.23307896004645</v>
      </c>
      <c r="I1270" t="n">
        <v>805</v>
      </c>
      <c r="J1270" t="n">
        <v>834</v>
      </c>
      <c r="K1270" t="n">
        <v>8.272468779926852</v>
      </c>
    </row>
    <row r="1271">
      <c r="A1271" t="n">
        <v>66</v>
      </c>
      <c r="B1271" t="inlineStr">
        <is>
          <t>Aipha</t>
        </is>
      </c>
      <c r="C1271" t="inlineStr">
        <is>
          <t>Mafia</t>
        </is>
      </c>
      <c r="D1271" t="inlineStr">
        <is>
          <t>Win</t>
        </is>
      </c>
      <c r="E1271" t="n">
        <v>27</v>
      </c>
      <c r="F1271" t="n">
        <v>28.43108219990266</v>
      </c>
      <c r="G1271" t="n">
        <v>28.77246998771756</v>
      </c>
      <c r="H1271" t="n">
        <v>8.021522752895327</v>
      </c>
      <c r="I1271" t="n">
        <v>1111</v>
      </c>
      <c r="J1271" t="n">
        <v>1138</v>
      </c>
      <c r="K1271" t="n">
        <v>8.057859712892721</v>
      </c>
    </row>
    <row r="1272">
      <c r="A1272" t="n">
        <v>66</v>
      </c>
      <c r="B1272" t="inlineStr">
        <is>
          <t>Iln</t>
        </is>
      </c>
      <c r="C1272" t="inlineStr">
        <is>
          <t>Town</t>
        </is>
      </c>
      <c r="D1272" t="inlineStr">
        <is>
          <t>Loss</t>
        </is>
      </c>
      <c r="E1272" t="n">
        <v>-18</v>
      </c>
      <c r="F1272" t="n">
        <v>22.30705501488895</v>
      </c>
      <c r="G1272" t="n">
        <v>21.99390804339914</v>
      </c>
      <c r="H1272" t="n">
        <v>7.685511523402365</v>
      </c>
      <c r="I1272" t="n">
        <v>730</v>
      </c>
      <c r="J1272" t="n">
        <v>712</v>
      </c>
      <c r="K1272" t="n">
        <v>7.717325233034067</v>
      </c>
    </row>
    <row r="1273">
      <c r="A1273" t="n">
        <v>66</v>
      </c>
      <c r="B1273" t="inlineStr">
        <is>
          <t>Lombax</t>
        </is>
      </c>
      <c r="C1273" t="inlineStr">
        <is>
          <t>Town</t>
        </is>
      </c>
      <c r="D1273" t="inlineStr">
        <is>
          <t>Loss</t>
        </is>
      </c>
      <c r="E1273" t="n">
        <v>-20</v>
      </c>
      <c r="F1273" t="n">
        <v>25.72541616847589</v>
      </c>
      <c r="G1273" t="n">
        <v>25.37687737732252</v>
      </c>
      <c r="H1273" t="n">
        <v>8.104316171790403</v>
      </c>
      <c r="I1273" t="n">
        <v>919</v>
      </c>
      <c r="J1273" t="n">
        <v>899</v>
      </c>
      <c r="K1273" t="n">
        <v>8.141828644232364</v>
      </c>
    </row>
    <row r="1274">
      <c r="A1274" t="n">
        <v>66</v>
      </c>
      <c r="B1274" t="inlineStr">
        <is>
          <t>Dani</t>
        </is>
      </c>
      <c r="C1274" t="inlineStr">
        <is>
          <t>Town</t>
        </is>
      </c>
      <c r="D1274" t="inlineStr">
        <is>
          <t>Loss</t>
        </is>
      </c>
      <c r="E1274" t="n">
        <v>-20</v>
      </c>
      <c r="F1274" t="n">
        <v>23.50238560054137</v>
      </c>
      <c r="G1274" t="n">
        <v>23.14750232174812</v>
      </c>
      <c r="H1274" t="n">
        <v>8.177043384066636</v>
      </c>
      <c r="I1274" t="n">
        <v>760</v>
      </c>
      <c r="J1274" t="n">
        <v>740</v>
      </c>
      <c r="K1274" t="n">
        <v>8.215608804197732</v>
      </c>
    </row>
    <row r="1275">
      <c r="A1275" t="n">
        <v>66</v>
      </c>
      <c r="B1275" t="inlineStr">
        <is>
          <t>Lou</t>
        </is>
      </c>
      <c r="C1275" t="inlineStr">
        <is>
          <t>Town</t>
        </is>
      </c>
      <c r="D1275" t="inlineStr">
        <is>
          <t>Loss</t>
        </is>
      </c>
      <c r="E1275" t="n">
        <v>-17</v>
      </c>
      <c r="F1275" t="n">
        <v>25.84303399586133</v>
      </c>
      <c r="G1275" t="n">
        <v>25.54393426021688</v>
      </c>
      <c r="H1275" t="n">
        <v>7.512580322948198</v>
      </c>
      <c r="I1275" t="n">
        <v>988</v>
      </c>
      <c r="J1275" t="n">
        <v>971</v>
      </c>
      <c r="K1275" t="n">
        <v>7.542216548115909</v>
      </c>
    </row>
    <row r="1276">
      <c r="A1276" t="n">
        <v>66</v>
      </c>
      <c r="B1276" t="inlineStr">
        <is>
          <t>Machop</t>
        </is>
      </c>
      <c r="C1276" t="inlineStr">
        <is>
          <t>Town</t>
        </is>
      </c>
      <c r="D1276" t="inlineStr">
        <is>
          <t>Loss</t>
        </is>
      </c>
      <c r="E1276" t="n">
        <v>-18</v>
      </c>
      <c r="F1276" t="n">
        <v>29.42429817991178</v>
      </c>
      <c r="G1276" t="n">
        <v>29.12529683625405</v>
      </c>
      <c r="H1276" t="n">
        <v>7.511354536035208</v>
      </c>
      <c r="I1276" t="n">
        <v>1232</v>
      </c>
      <c r="J1276" t="n">
        <v>1214</v>
      </c>
      <c r="K1276" t="n">
        <v>7.540975682447398</v>
      </c>
    </row>
    <row r="1277">
      <c r="A1277" t="n">
        <v>66</v>
      </c>
      <c r="B1277" t="inlineStr">
        <is>
          <t>Chipper</t>
        </is>
      </c>
      <c r="C1277" t="inlineStr">
        <is>
          <t>Town</t>
        </is>
      </c>
      <c r="D1277" t="inlineStr">
        <is>
          <t>Loss</t>
        </is>
      </c>
      <c r="E1277" t="n">
        <v>-19</v>
      </c>
      <c r="F1277" t="n">
        <v>22.94771979436208</v>
      </c>
      <c r="G1277" t="n">
        <v>22.63324004226487</v>
      </c>
      <c r="H1277" t="n">
        <v>7.701710512578178</v>
      </c>
      <c r="I1277" t="n">
        <v>772</v>
      </c>
      <c r="J1277" t="n">
        <v>753</v>
      </c>
      <c r="K1277" t="n">
        <v>7.733733349530598</v>
      </c>
    </row>
    <row r="1278">
      <c r="A1278" t="n">
        <v>66</v>
      </c>
      <c r="B1278" t="inlineStr">
        <is>
          <t>Badpants</t>
        </is>
      </c>
      <c r="C1278" t="inlineStr">
        <is>
          <t>Town</t>
        </is>
      </c>
      <c r="D1278" t="inlineStr">
        <is>
          <t>Loss</t>
        </is>
      </c>
      <c r="E1278" t="n">
        <v>-18</v>
      </c>
      <c r="F1278" t="n">
        <v>22.37150748211237</v>
      </c>
      <c r="G1278" t="n">
        <v>22.0589923893601</v>
      </c>
      <c r="H1278" t="n">
        <v>7.677819136889848</v>
      </c>
      <c r="I1278" t="n">
        <v>735</v>
      </c>
      <c r="J1278" t="n">
        <v>717</v>
      </c>
      <c r="K1278" t="n">
        <v>7.709533850376045</v>
      </c>
    </row>
    <row r="1279">
      <c r="A1279" t="n">
        <v>66</v>
      </c>
      <c r="B1279" t="inlineStr">
        <is>
          <t>Smit</t>
        </is>
      </c>
      <c r="C1279" t="inlineStr">
        <is>
          <t>Town</t>
        </is>
      </c>
      <c r="D1279" t="inlineStr">
        <is>
          <t>Loss</t>
        </is>
      </c>
      <c r="E1279" t="n">
        <v>-18</v>
      </c>
      <c r="F1279" t="n">
        <v>25.82590449301146</v>
      </c>
      <c r="G1279" t="n">
        <v>25.50340221431101</v>
      </c>
      <c r="H1279" t="n">
        <v>7.798483182144499</v>
      </c>
      <c r="I1279" t="n">
        <v>957</v>
      </c>
      <c r="J1279" t="n">
        <v>939</v>
      </c>
      <c r="K1279" t="n">
        <v>7.831774001378006</v>
      </c>
    </row>
    <row r="1280">
      <c r="A1280" t="n">
        <v>66</v>
      </c>
      <c r="B1280" t="inlineStr">
        <is>
          <t>Whyin</t>
        </is>
      </c>
      <c r="C1280" t="inlineStr">
        <is>
          <t>Town</t>
        </is>
      </c>
      <c r="D1280" t="inlineStr">
        <is>
          <t>Loss</t>
        </is>
      </c>
      <c r="E1280" t="n">
        <v>-19</v>
      </c>
      <c r="F1280" t="n">
        <v>26.39171402854501</v>
      </c>
      <c r="G1280" t="n">
        <v>26.07144998555189</v>
      </c>
      <c r="H1280" t="n">
        <v>7.771609647986298</v>
      </c>
      <c r="I1280" t="n">
        <v>999</v>
      </c>
      <c r="J1280" t="n">
        <v>980</v>
      </c>
      <c r="K1280" t="n">
        <v>7.80454513258153</v>
      </c>
    </row>
    <row r="1281">
      <c r="A1281" t="n">
        <v>66</v>
      </c>
      <c r="B1281" t="inlineStr">
        <is>
          <t>Plen</t>
        </is>
      </c>
      <c r="C1281" t="inlineStr">
        <is>
          <t>Town</t>
        </is>
      </c>
      <c r="D1281" t="inlineStr">
        <is>
          <t>Loss</t>
        </is>
      </c>
      <c r="E1281" t="n">
        <v>-19</v>
      </c>
      <c r="F1281" t="n">
        <v>23.34314540875658</v>
      </c>
      <c r="G1281" t="n">
        <v>23.01373427566277</v>
      </c>
      <c r="H1281" t="n">
        <v>7.880836409859517</v>
      </c>
      <c r="I1281" t="n">
        <v>780</v>
      </c>
      <c r="J1281" t="n">
        <v>761</v>
      </c>
      <c r="K1281" t="n">
        <v>7.915231691494278</v>
      </c>
    </row>
    <row r="1282">
      <c r="A1282" t="n">
        <v>65</v>
      </c>
      <c r="B1282" t="inlineStr">
        <is>
          <t>Chipper</t>
        </is>
      </c>
      <c r="C1282" t="inlineStr">
        <is>
          <t>Mafia</t>
        </is>
      </c>
      <c r="D1282" t="inlineStr">
        <is>
          <t>Loss</t>
        </is>
      </c>
      <c r="E1282" t="n">
        <v>-47</v>
      </c>
      <c r="F1282" t="n">
        <v>23.73270456287809</v>
      </c>
      <c r="G1282" t="n">
        <v>22.94771979436208</v>
      </c>
      <c r="H1282" t="n">
        <v>7.733733349530598</v>
      </c>
      <c r="I1282" t="n">
        <v>819</v>
      </c>
      <c r="J1282" t="n">
        <v>772</v>
      </c>
      <c r="K1282" t="n">
        <v>7.788814908696016</v>
      </c>
    </row>
    <row r="1283">
      <c r="A1283" t="n">
        <v>65</v>
      </c>
      <c r="B1283" t="inlineStr">
        <is>
          <t>Iln</t>
        </is>
      </c>
      <c r="C1283" t="inlineStr">
        <is>
          <t>Mafia</t>
        </is>
      </c>
      <c r="D1283" t="inlineStr">
        <is>
          <t>Loss</t>
        </is>
      </c>
      <c r="E1283" t="n">
        <v>-47</v>
      </c>
      <c r="F1283" t="n">
        <v>23.08866380847808</v>
      </c>
      <c r="G1283" t="n">
        <v>22.30705501488895</v>
      </c>
      <c r="H1283" t="n">
        <v>7.717325233034067</v>
      </c>
      <c r="I1283" t="n">
        <v>777</v>
      </c>
      <c r="J1283" t="n">
        <v>730</v>
      </c>
      <c r="K1283" t="n">
        <v>7.772045462282714</v>
      </c>
    </row>
    <row r="1284">
      <c r="A1284" t="n">
        <v>65</v>
      </c>
      <c r="B1284" t="inlineStr">
        <is>
          <t>Smit</t>
        </is>
      </c>
      <c r="C1284" t="inlineStr">
        <is>
          <t>Mafia</t>
        </is>
      </c>
      <c r="D1284" t="inlineStr">
        <is>
          <t>Loss</t>
        </is>
      </c>
      <c r="E1284" t="n">
        <v>-49</v>
      </c>
      <c r="F1284" t="n">
        <v>26.63121958132441</v>
      </c>
      <c r="G1284" t="n">
        <v>25.82590449301146</v>
      </c>
      <c r="H1284" t="n">
        <v>7.831774001378006</v>
      </c>
      <c r="I1284" t="n">
        <v>1006</v>
      </c>
      <c r="J1284" t="n">
        <v>957</v>
      </c>
      <c r="K1284" t="n">
        <v>7.889047849162531</v>
      </c>
    </row>
    <row r="1285">
      <c r="A1285" t="n">
        <v>65</v>
      </c>
      <c r="B1285" t="inlineStr">
        <is>
          <t>Badpants</t>
        </is>
      </c>
      <c r="C1285" t="inlineStr">
        <is>
          <t>Town</t>
        </is>
      </c>
      <c r="D1285" t="inlineStr">
        <is>
          <t>Win</t>
        </is>
      </c>
      <c r="E1285" t="n">
        <v>59</v>
      </c>
      <c r="F1285" t="n">
        <v>21.5914991082341</v>
      </c>
      <c r="G1285" t="n">
        <v>22.37150748211237</v>
      </c>
      <c r="H1285" t="n">
        <v>7.709533850376045</v>
      </c>
      <c r="I1285" t="n">
        <v>676</v>
      </c>
      <c r="J1285" t="n">
        <v>735</v>
      </c>
      <c r="K1285" t="n">
        <v>7.764083058348202</v>
      </c>
    </row>
    <row r="1286">
      <c r="A1286" t="n">
        <v>65</v>
      </c>
      <c r="B1286" t="inlineStr">
        <is>
          <t>Brownkow</t>
        </is>
      </c>
      <c r="C1286" t="inlineStr">
        <is>
          <t>Town</t>
        </is>
      </c>
      <c r="D1286" t="inlineStr">
        <is>
          <t>Win</t>
        </is>
      </c>
      <c r="E1286" t="n">
        <v>59</v>
      </c>
      <c r="F1286" t="n">
        <v>31.72063238075287</v>
      </c>
      <c r="G1286" t="n">
        <v>32.49996961039148</v>
      </c>
      <c r="H1286" t="n">
        <v>7.70626401073641</v>
      </c>
      <c r="I1286" t="n">
        <v>1365</v>
      </c>
      <c r="J1286" t="n">
        <v>1424</v>
      </c>
      <c r="K1286" t="n">
        <v>7.760741552051013</v>
      </c>
    </row>
    <row r="1287">
      <c r="A1287" t="n">
        <v>65</v>
      </c>
      <c r="B1287" t="inlineStr">
        <is>
          <t>Creatchee</t>
        </is>
      </c>
      <c r="C1287" t="inlineStr">
        <is>
          <t>Town</t>
        </is>
      </c>
      <c r="D1287" t="inlineStr">
        <is>
          <t>Win</t>
        </is>
      </c>
      <c r="E1287" t="n">
        <v>59</v>
      </c>
      <c r="F1287" t="n">
        <v>28.41475103354817</v>
      </c>
      <c r="G1287" t="n">
        <v>29.19928789749621</v>
      </c>
      <c r="H1287" t="n">
        <v>7.731558539354548</v>
      </c>
      <c r="I1287" t="n">
        <v>1138</v>
      </c>
      <c r="J1287" t="n">
        <v>1197</v>
      </c>
      <c r="K1287" t="n">
        <v>7.786592114744584</v>
      </c>
    </row>
    <row r="1288">
      <c r="A1288" t="n">
        <v>65</v>
      </c>
      <c r="B1288" t="inlineStr">
        <is>
          <t>Keegan</t>
        </is>
      </c>
      <c r="C1288" t="inlineStr">
        <is>
          <t>Town</t>
        </is>
      </c>
      <c r="D1288" t="inlineStr">
        <is>
          <t>Win</t>
        </is>
      </c>
      <c r="E1288" t="n">
        <v>66</v>
      </c>
      <c r="F1288" t="n">
        <v>26.89525065685886</v>
      </c>
      <c r="G1288" t="n">
        <v>27.77471588874734</v>
      </c>
      <c r="H1288" t="n">
        <v>8.178800239220061</v>
      </c>
      <c r="I1288" t="n">
        <v>988</v>
      </c>
      <c r="J1288" t="n">
        <v>1054</v>
      </c>
      <c r="K1288" t="n">
        <v>8.244303123038677</v>
      </c>
    </row>
    <row r="1289">
      <c r="A1289" t="n">
        <v>65</v>
      </c>
      <c r="B1289" t="inlineStr">
        <is>
          <t>Laur</t>
        </is>
      </c>
      <c r="C1289" t="inlineStr">
        <is>
          <t>Town</t>
        </is>
      </c>
      <c r="D1289" t="inlineStr">
        <is>
          <t>Win</t>
        </is>
      </c>
      <c r="E1289" t="n">
        <v>61</v>
      </c>
      <c r="F1289" t="n">
        <v>30.07612745933774</v>
      </c>
      <c r="G1289" t="n">
        <v>30.89518712271051</v>
      </c>
      <c r="H1289" t="n">
        <v>7.89732448594549</v>
      </c>
      <c r="I1289" t="n">
        <v>1234</v>
      </c>
      <c r="J1289" t="n">
        <v>1295</v>
      </c>
      <c r="K1289" t="n">
        <v>7.956096222260022</v>
      </c>
    </row>
    <row r="1290">
      <c r="A1290" t="n">
        <v>65</v>
      </c>
      <c r="B1290" t="inlineStr">
        <is>
          <t>Lombax</t>
        </is>
      </c>
      <c r="C1290" t="inlineStr">
        <is>
          <t>Town</t>
        </is>
      </c>
      <c r="D1290" t="inlineStr">
        <is>
          <t>Win</t>
        </is>
      </c>
      <c r="E1290" t="n">
        <v>66</v>
      </c>
      <c r="F1290" t="n">
        <v>24.85401373659398</v>
      </c>
      <c r="G1290" t="n">
        <v>25.72541616847589</v>
      </c>
      <c r="H1290" t="n">
        <v>8.141828644232364</v>
      </c>
      <c r="I1290" t="n">
        <v>853</v>
      </c>
      <c r="J1290" t="n">
        <v>919</v>
      </c>
      <c r="K1290" t="n">
        <v>8.20641927962099</v>
      </c>
    </row>
    <row r="1291">
      <c r="A1291" t="n">
        <v>65</v>
      </c>
      <c r="B1291" t="inlineStr">
        <is>
          <t>Lou</t>
        </is>
      </c>
      <c r="C1291" t="inlineStr">
        <is>
          <t>Town</t>
        </is>
      </c>
      <c r="D1291" t="inlineStr">
        <is>
          <t>Win</t>
        </is>
      </c>
      <c r="E1291" t="n">
        <v>56</v>
      </c>
      <c r="F1291" t="n">
        <v>25.09698141326975</v>
      </c>
      <c r="G1291" t="n">
        <v>25.84303399586133</v>
      </c>
      <c r="H1291" t="n">
        <v>7.542216548115909</v>
      </c>
      <c r="I1291" t="n">
        <v>932</v>
      </c>
      <c r="J1291" t="n">
        <v>988</v>
      </c>
      <c r="K1291" t="n">
        <v>7.593178680095532</v>
      </c>
    </row>
    <row r="1292">
      <c r="A1292" t="n">
        <v>65</v>
      </c>
      <c r="B1292" t="inlineStr">
        <is>
          <t>Machop</t>
        </is>
      </c>
      <c r="C1292" t="inlineStr">
        <is>
          <t>Town</t>
        </is>
      </c>
      <c r="D1292" t="inlineStr">
        <is>
          <t>Win</t>
        </is>
      </c>
      <c r="E1292" t="n">
        <v>56</v>
      </c>
      <c r="F1292" t="n">
        <v>28.67849447959281</v>
      </c>
      <c r="G1292" t="n">
        <v>29.42429817991178</v>
      </c>
      <c r="H1292" t="n">
        <v>7.540975682447398</v>
      </c>
      <c r="I1292" t="n">
        <v>1176</v>
      </c>
      <c r="J1292" t="n">
        <v>1232</v>
      </c>
      <c r="K1292" t="n">
        <v>7.591911816960429</v>
      </c>
    </row>
    <row r="1293">
      <c r="A1293" t="n">
        <v>65</v>
      </c>
      <c r="B1293" t="inlineStr">
        <is>
          <t>Mintt</t>
        </is>
      </c>
      <c r="C1293" t="inlineStr">
        <is>
          <t>Town</t>
        </is>
      </c>
      <c r="D1293" t="inlineStr">
        <is>
          <t>Win</t>
        </is>
      </c>
      <c r="E1293" t="n">
        <v>63</v>
      </c>
      <c r="F1293" t="n">
        <v>25.73080866985735</v>
      </c>
      <c r="G1293" t="n">
        <v>26.5689126742011</v>
      </c>
      <c r="H1293" t="n">
        <v>7.987206627397919</v>
      </c>
      <c r="I1293" t="n">
        <v>929</v>
      </c>
      <c r="J1293" t="n">
        <v>992</v>
      </c>
      <c r="K1293" t="n">
        <v>8.048074630356421</v>
      </c>
    </row>
    <row r="1294">
      <c r="A1294" t="n">
        <v>65</v>
      </c>
      <c r="B1294" t="inlineStr">
        <is>
          <t>Rocker</t>
        </is>
      </c>
      <c r="C1294" t="inlineStr">
        <is>
          <t>Town</t>
        </is>
      </c>
      <c r="D1294" t="inlineStr">
        <is>
          <t>Win</t>
        </is>
      </c>
      <c r="E1294" t="n">
        <v>58</v>
      </c>
      <c r="F1294" t="n">
        <v>32.76743933049388</v>
      </c>
      <c r="G1294" t="n">
        <v>33.53419616701989</v>
      </c>
      <c r="H1294" t="n">
        <v>7.644697751276277</v>
      </c>
      <c r="I1294" t="n">
        <v>1443</v>
      </c>
      <c r="J1294" t="n">
        <v>1501</v>
      </c>
      <c r="K1294" t="n">
        <v>7.69783762531997</v>
      </c>
    </row>
    <row r="1295">
      <c r="A1295" t="n">
        <v>64</v>
      </c>
      <c r="B1295" t="inlineStr">
        <is>
          <t>Noah</t>
        </is>
      </c>
      <c r="C1295" t="inlineStr">
        <is>
          <t>Mafia</t>
        </is>
      </c>
      <c r="D1295" t="inlineStr">
        <is>
          <t>Win</t>
        </is>
      </c>
      <c r="E1295" t="n">
        <v>57</v>
      </c>
      <c r="F1295" t="n">
        <v>26.2874557493565</v>
      </c>
      <c r="G1295" t="n">
        <v>27.05253248403618</v>
      </c>
      <c r="H1295" t="n">
        <v>7.739067206462775</v>
      </c>
      <c r="I1295" t="n">
        <v>993</v>
      </c>
      <c r="J1295" t="n">
        <v>1050</v>
      </c>
      <c r="K1295" t="n">
        <v>7.78881608642808</v>
      </c>
    </row>
    <row r="1296">
      <c r="A1296" t="n">
        <v>64</v>
      </c>
      <c r="B1296" t="inlineStr">
        <is>
          <t>5up</t>
        </is>
      </c>
      <c r="C1296" t="inlineStr">
        <is>
          <t>Mafia</t>
        </is>
      </c>
      <c r="D1296" t="inlineStr">
        <is>
          <t>Win</t>
        </is>
      </c>
      <c r="E1296" t="n">
        <v>64</v>
      </c>
      <c r="F1296" t="n">
        <v>26.89525065685886</v>
      </c>
      <c r="G1296" t="n">
        <v>27.7524114724755</v>
      </c>
      <c r="H1296" t="n">
        <v>8.185129361909656</v>
      </c>
      <c r="I1296" t="n">
        <v>988</v>
      </c>
      <c r="J1296" t="n">
        <v>1052</v>
      </c>
      <c r="K1296" t="n">
        <v>8.244303123038677</v>
      </c>
    </row>
    <row r="1297">
      <c r="A1297" t="n">
        <v>64</v>
      </c>
      <c r="B1297" t="inlineStr">
        <is>
          <t>23flash</t>
        </is>
      </c>
      <c r="C1297" t="inlineStr">
        <is>
          <t>Mafia</t>
        </is>
      </c>
      <c r="D1297" t="inlineStr">
        <is>
          <t>Win</t>
        </is>
      </c>
      <c r="E1297" t="n">
        <v>65</v>
      </c>
      <c r="F1297" t="n">
        <v>24.44492425888844</v>
      </c>
      <c r="G1297" t="n">
        <v>25.3099718196216</v>
      </c>
      <c r="H1297" t="n">
        <v>8.222144268853866</v>
      </c>
      <c r="I1297" t="n">
        <v>817</v>
      </c>
      <c r="J1297" t="n">
        <v>882</v>
      </c>
      <c r="K1297" t="n">
        <v>8.282149790123244</v>
      </c>
    </row>
    <row r="1298">
      <c r="A1298" t="n">
        <v>64</v>
      </c>
      <c r="B1298" t="inlineStr">
        <is>
          <t>Strik3r</t>
        </is>
      </c>
      <c r="C1298" t="inlineStr">
        <is>
          <t>Town</t>
        </is>
      </c>
      <c r="D1298" t="inlineStr">
        <is>
          <t>Loss</t>
        </is>
      </c>
      <c r="E1298" t="n">
        <v>-51</v>
      </c>
      <c r="F1298" t="n">
        <v>25.01733644830525</v>
      </c>
      <c r="G1298" t="n">
        <v>24.18552415526162</v>
      </c>
      <c r="H1298" t="n">
        <v>8.064940784989542</v>
      </c>
      <c r="I1298" t="n">
        <v>873</v>
      </c>
      <c r="J1298" t="n">
        <v>822</v>
      </c>
      <c r="K1298" t="n">
        <v>8.121467117041711</v>
      </c>
    </row>
    <row r="1299">
      <c r="A1299" t="n">
        <v>64</v>
      </c>
      <c r="B1299" t="inlineStr">
        <is>
          <t>Antfrost</t>
        </is>
      </c>
      <c r="C1299" t="inlineStr">
        <is>
          <t>Town</t>
        </is>
      </c>
      <c r="D1299" t="inlineStr">
        <is>
          <t>Loss</t>
        </is>
      </c>
      <c r="E1299" t="n">
        <v>-51</v>
      </c>
      <c r="F1299" t="n">
        <v>24.56778031972222</v>
      </c>
      <c r="G1299" t="n">
        <v>23.72550821604876</v>
      </c>
      <c r="H1299" t="n">
        <v>8.114763935409574</v>
      </c>
      <c r="I1299" t="n">
        <v>837</v>
      </c>
      <c r="J1299" t="n">
        <v>786</v>
      </c>
      <c r="K1299" t="n">
        <v>8.172377894119935</v>
      </c>
    </row>
    <row r="1300">
      <c r="A1300" t="n">
        <v>64</v>
      </c>
      <c r="B1300" t="inlineStr">
        <is>
          <t>Whyin</t>
        </is>
      </c>
      <c r="C1300" t="inlineStr">
        <is>
          <t>Town</t>
        </is>
      </c>
      <c r="D1300" t="inlineStr">
        <is>
          <t>Loss</t>
        </is>
      </c>
      <c r="E1300" t="n">
        <v>-47</v>
      </c>
      <c r="F1300" t="n">
        <v>27.16996680713037</v>
      </c>
      <c r="G1300" t="n">
        <v>26.39171402854501</v>
      </c>
      <c r="H1300" t="n">
        <v>7.80454513258153</v>
      </c>
      <c r="I1300" t="n">
        <v>1046</v>
      </c>
      <c r="J1300" t="n">
        <v>999</v>
      </c>
      <c r="K1300" t="n">
        <v>7.855609692533162</v>
      </c>
    </row>
    <row r="1301">
      <c r="A1301" t="n">
        <v>64</v>
      </c>
      <c r="B1301" t="inlineStr">
        <is>
          <t>Brownkow</t>
        </is>
      </c>
      <c r="C1301" t="inlineStr">
        <is>
          <t>Town</t>
        </is>
      </c>
      <c r="D1301" t="inlineStr">
        <is>
          <t>Loss</t>
        </is>
      </c>
      <c r="E1301" t="n">
        <v>-48</v>
      </c>
      <c r="F1301" t="n">
        <v>32.49005766226274</v>
      </c>
      <c r="G1301" t="n">
        <v>31.72063238075287</v>
      </c>
      <c r="H1301" t="n">
        <v>7.760741552051013</v>
      </c>
      <c r="I1301" t="n">
        <v>1413</v>
      </c>
      <c r="J1301" t="n">
        <v>1365</v>
      </c>
      <c r="K1301" t="n">
        <v>7.810923416231177</v>
      </c>
    </row>
    <row r="1302">
      <c r="A1302" t="n">
        <v>64</v>
      </c>
      <c r="B1302" t="inlineStr">
        <is>
          <t>Creatchee</t>
        </is>
      </c>
      <c r="C1302" t="inlineStr">
        <is>
          <t>Town</t>
        </is>
      </c>
      <c r="D1302" t="inlineStr">
        <is>
          <t>Loss</t>
        </is>
      </c>
      <c r="E1302" t="n">
        <v>-47</v>
      </c>
      <c r="F1302" t="n">
        <v>29.18937950314278</v>
      </c>
      <c r="G1302" t="n">
        <v>28.41475103354817</v>
      </c>
      <c r="H1302" t="n">
        <v>7.786592114744584</v>
      </c>
      <c r="I1302" t="n">
        <v>1185</v>
      </c>
      <c r="J1302" t="n">
        <v>1138</v>
      </c>
      <c r="K1302" t="n">
        <v>7.837293660208694</v>
      </c>
    </row>
    <row r="1303">
      <c r="A1303" t="n">
        <v>64</v>
      </c>
      <c r="B1303" t="inlineStr">
        <is>
          <t>Lou</t>
        </is>
      </c>
      <c r="C1303" t="inlineStr">
        <is>
          <t>Town</t>
        </is>
      </c>
      <c r="D1303" t="inlineStr">
        <is>
          <t>Loss</t>
        </is>
      </c>
      <c r="E1303" t="n">
        <v>-45</v>
      </c>
      <c r="F1303" t="n">
        <v>25.83312147037077</v>
      </c>
      <c r="G1303" t="n">
        <v>25.09698141326975</v>
      </c>
      <c r="H1303" t="n">
        <v>7.593178680095532</v>
      </c>
      <c r="I1303" t="n">
        <v>977</v>
      </c>
      <c r="J1303" t="n">
        <v>932</v>
      </c>
      <c r="K1303" t="n">
        <v>7.64007759793193</v>
      </c>
    </row>
    <row r="1304">
      <c r="A1304" t="n">
        <v>64</v>
      </c>
      <c r="B1304" t="inlineStr">
        <is>
          <t>Iln</t>
        </is>
      </c>
      <c r="C1304" t="inlineStr">
        <is>
          <t>Town</t>
        </is>
      </c>
      <c r="D1304" t="inlineStr">
        <is>
          <t>Loss</t>
        </is>
      </c>
      <c r="E1304" t="n">
        <v>-48</v>
      </c>
      <c r="F1304" t="n">
        <v>23.86036209120775</v>
      </c>
      <c r="G1304" t="n">
        <v>23.08866380847808</v>
      </c>
      <c r="H1304" t="n">
        <v>7.772045462282714</v>
      </c>
      <c r="I1304" t="n">
        <v>825</v>
      </c>
      <c r="J1304" t="n">
        <v>777</v>
      </c>
      <c r="K1304" t="n">
        <v>7.82245413387178</v>
      </c>
    </row>
    <row r="1305">
      <c r="A1305" t="n">
        <v>64</v>
      </c>
      <c r="B1305" t="inlineStr">
        <is>
          <t>Plen</t>
        </is>
      </c>
      <c r="C1305" t="inlineStr">
        <is>
          <t>Town</t>
        </is>
      </c>
      <c r="D1305" t="inlineStr">
        <is>
          <t>Loss</t>
        </is>
      </c>
      <c r="E1305" t="n">
        <v>-49</v>
      </c>
      <c r="F1305" t="n">
        <v>24.14393787795082</v>
      </c>
      <c r="G1305" t="n">
        <v>23.34314540875658</v>
      </c>
      <c r="H1305" t="n">
        <v>7.915231691494278</v>
      </c>
      <c r="I1305" t="n">
        <v>829</v>
      </c>
      <c r="J1305" t="n">
        <v>780</v>
      </c>
      <c r="K1305" t="n">
        <v>7.968572676517316</v>
      </c>
    </row>
    <row r="1306">
      <c r="A1306" t="n">
        <v>64</v>
      </c>
      <c r="B1306" t="inlineStr">
        <is>
          <t>Carson</t>
        </is>
      </c>
      <c r="C1306" t="inlineStr">
        <is>
          <t>Town</t>
        </is>
      </c>
      <c r="D1306" t="inlineStr">
        <is>
          <t>Loss</t>
        </is>
      </c>
      <c r="E1306" t="n">
        <v>-45</v>
      </c>
      <c r="F1306" t="n">
        <v>29.78207040606567</v>
      </c>
      <c r="G1306" t="n">
        <v>29.04592423461964</v>
      </c>
      <c r="H1306" t="n">
        <v>7.593209818109952</v>
      </c>
      <c r="I1306" t="n">
        <v>1246</v>
      </c>
      <c r="J1306" t="n">
        <v>1201</v>
      </c>
      <c r="K1306" t="n">
        <v>7.640109332366036</v>
      </c>
    </row>
    <row r="1307">
      <c r="A1307" t="n">
        <v>64</v>
      </c>
      <c r="B1307" t="inlineStr">
        <is>
          <t>Chipper</t>
        </is>
      </c>
      <c r="C1307" t="inlineStr">
        <is>
          <t>Town</t>
        </is>
      </c>
      <c r="D1307" t="inlineStr">
        <is>
          <t>Loss</t>
        </is>
      </c>
      <c r="E1307" t="n">
        <v>-48</v>
      </c>
      <c r="F1307" t="n">
        <v>24.50778128701127</v>
      </c>
      <c r="G1307" t="n">
        <v>23.73270456287809</v>
      </c>
      <c r="H1307" t="n">
        <v>7.788814908696016</v>
      </c>
      <c r="I1307" t="n">
        <v>867</v>
      </c>
      <c r="J1307" t="n">
        <v>819</v>
      </c>
      <c r="K1307" t="n">
        <v>7.83956130611341</v>
      </c>
    </row>
    <row r="1308">
      <c r="A1308" t="n">
        <v>64</v>
      </c>
      <c r="B1308" t="inlineStr">
        <is>
          <t>Mintt</t>
        </is>
      </c>
      <c r="C1308" t="inlineStr">
        <is>
          <t>Town</t>
        </is>
      </c>
      <c r="D1308" t="inlineStr">
        <is>
          <t>Loss</t>
        </is>
      </c>
      <c r="E1308" t="n">
        <v>-50</v>
      </c>
      <c r="F1308" t="n">
        <v>26.55909555312029</v>
      </c>
      <c r="G1308" t="n">
        <v>25.73080866985735</v>
      </c>
      <c r="H1308" t="n">
        <v>8.048074630356421</v>
      </c>
      <c r="I1308" t="n">
        <v>979</v>
      </c>
      <c r="J1308" t="n">
        <v>929</v>
      </c>
      <c r="K1308" t="n">
        <v>8.104235915308976</v>
      </c>
    </row>
    <row r="1309">
      <c r="A1309" t="n">
        <v>63</v>
      </c>
      <c r="B1309" t="inlineStr">
        <is>
          <t>Antfrost</t>
        </is>
      </c>
      <c r="C1309" t="inlineStr">
        <is>
          <t>Mafia</t>
        </is>
      </c>
      <c r="D1309" t="inlineStr">
        <is>
          <t>Loss</t>
        </is>
      </c>
      <c r="E1309" t="n">
        <v>-118</v>
      </c>
      <c r="F1309" t="n">
        <v>26.42938347472506</v>
      </c>
      <c r="G1309" t="n">
        <v>24.56778031972222</v>
      </c>
      <c r="H1309" t="n">
        <v>8.172377894119935</v>
      </c>
      <c r="I1309" t="n">
        <v>955</v>
      </c>
      <c r="J1309" t="n">
        <v>837</v>
      </c>
      <c r="K1309" t="n">
        <v>8.259018026377053</v>
      </c>
    </row>
    <row r="1310">
      <c r="A1310" t="n">
        <v>63</v>
      </c>
      <c r="B1310" t="inlineStr">
        <is>
          <t>Machop</t>
        </is>
      </c>
      <c r="C1310" t="inlineStr">
        <is>
          <t>Mafia</t>
        </is>
      </c>
      <c r="D1310" t="inlineStr">
        <is>
          <t>Loss</t>
        </is>
      </c>
      <c r="E1310" t="n">
        <v>-102</v>
      </c>
      <c r="F1310" t="n">
        <v>30.28023882474345</v>
      </c>
      <c r="G1310" t="n">
        <v>28.67849447959281</v>
      </c>
      <c r="H1310" t="n">
        <v>7.591911816960429</v>
      </c>
      <c r="I1310" t="n">
        <v>1278</v>
      </c>
      <c r="J1310" t="n">
        <v>1176</v>
      </c>
      <c r="K1310" t="n">
        <v>7.660838303880555</v>
      </c>
    </row>
    <row r="1311">
      <c r="A1311" t="n">
        <v>63</v>
      </c>
      <c r="B1311" t="inlineStr">
        <is>
          <t>Plen</t>
        </is>
      </c>
      <c r="C1311" t="inlineStr">
        <is>
          <t>Mafia</t>
        </is>
      </c>
      <c r="D1311" t="inlineStr">
        <is>
          <t>Loss</t>
        </is>
      </c>
      <c r="E1311" t="n">
        <v>-112</v>
      </c>
      <c r="F1311" t="n">
        <v>25.9119402124521</v>
      </c>
      <c r="G1311" t="n">
        <v>24.14393787795082</v>
      </c>
      <c r="H1311" t="n">
        <v>7.968572676517316</v>
      </c>
      <c r="I1311" t="n">
        <v>941</v>
      </c>
      <c r="J1311" t="n">
        <v>829</v>
      </c>
      <c r="K1311" t="n">
        <v>8.048678731052487</v>
      </c>
    </row>
    <row r="1312">
      <c r="A1312" t="n">
        <v>63</v>
      </c>
      <c r="B1312" t="inlineStr">
        <is>
          <t>Cody</t>
        </is>
      </c>
      <c r="C1312" t="inlineStr">
        <is>
          <t>Town</t>
        </is>
      </c>
      <c r="D1312" t="inlineStr">
        <is>
          <t>Win</t>
        </is>
      </c>
      <c r="E1312" t="n">
        <v>135</v>
      </c>
      <c r="F1312" t="n">
        <v>26.28125686479722</v>
      </c>
      <c r="G1312" t="n">
        <v>28.14158743607243</v>
      </c>
      <c r="H1312" t="n">
        <v>8.169644054075887</v>
      </c>
      <c r="I1312" t="n">
        <v>945</v>
      </c>
      <c r="J1312" t="n">
        <v>1080</v>
      </c>
      <c r="K1312" t="n">
        <v>8.256194215593773</v>
      </c>
    </row>
    <row r="1313">
      <c r="A1313" t="n">
        <v>63</v>
      </c>
      <c r="B1313" t="inlineStr">
        <is>
          <t>Keegan</t>
        </is>
      </c>
      <c r="C1313" t="inlineStr">
        <is>
          <t>Town</t>
        </is>
      </c>
      <c r="D1313" t="inlineStr">
        <is>
          <t>Win</t>
        </is>
      </c>
      <c r="E1313" t="n">
        <v>138</v>
      </c>
      <c r="F1313" t="n">
        <v>25</v>
      </c>
      <c r="G1313" t="n">
        <v>26.89525065685886</v>
      </c>
      <c r="H1313" t="n">
        <v>8.244303123038677</v>
      </c>
      <c r="I1313" t="n">
        <v>850</v>
      </c>
      <c r="J1313" t="n">
        <v>988</v>
      </c>
      <c r="K1313" t="n">
        <v>8.333333333333334</v>
      </c>
    </row>
    <row r="1314">
      <c r="A1314" t="n">
        <v>63</v>
      </c>
      <c r="B1314" t="inlineStr">
        <is>
          <t>5up</t>
        </is>
      </c>
      <c r="C1314" t="inlineStr">
        <is>
          <t>Town</t>
        </is>
      </c>
      <c r="D1314" t="inlineStr">
        <is>
          <t>Win</t>
        </is>
      </c>
      <c r="E1314" t="n">
        <v>138</v>
      </c>
      <c r="F1314" t="n">
        <v>25</v>
      </c>
      <c r="G1314" t="n">
        <v>26.89525065685886</v>
      </c>
      <c r="H1314" t="n">
        <v>8.244303123038677</v>
      </c>
      <c r="I1314" t="n">
        <v>850</v>
      </c>
      <c r="J1314" t="n">
        <v>988</v>
      </c>
      <c r="K1314" t="n">
        <v>8.333333333333334</v>
      </c>
    </row>
    <row r="1315">
      <c r="A1315" t="n">
        <v>63</v>
      </c>
      <c r="B1315" t="inlineStr">
        <is>
          <t>Torharo</t>
        </is>
      </c>
      <c r="C1315" t="inlineStr">
        <is>
          <t>Town</t>
        </is>
      </c>
      <c r="D1315" t="inlineStr">
        <is>
          <t>Win</t>
        </is>
      </c>
      <c r="E1315" t="n">
        <v>134</v>
      </c>
      <c r="F1315" t="n">
        <v>23.02539537092303</v>
      </c>
      <c r="G1315" t="n">
        <v>24.86461829697181</v>
      </c>
      <c r="H1315" t="n">
        <v>8.12415315529028</v>
      </c>
      <c r="I1315" t="n">
        <v>728</v>
      </c>
      <c r="J1315" t="n">
        <v>862</v>
      </c>
      <c r="K1315" t="n">
        <v>8.209215555198858</v>
      </c>
    </row>
    <row r="1316">
      <c r="A1316" t="n">
        <v>63</v>
      </c>
      <c r="B1316" t="inlineStr">
        <is>
          <t>Laur</t>
        </is>
      </c>
      <c r="C1316" t="inlineStr">
        <is>
          <t>Town</t>
        </is>
      </c>
      <c r="D1316" t="inlineStr">
        <is>
          <t>Win</t>
        </is>
      </c>
      <c r="E1316" t="n">
        <v>128</v>
      </c>
      <c r="F1316" t="n">
        <v>28.31377176089542</v>
      </c>
      <c r="G1316" t="n">
        <v>30.07612745933774</v>
      </c>
      <c r="H1316" t="n">
        <v>7.956096222260022</v>
      </c>
      <c r="I1316" t="n">
        <v>1106</v>
      </c>
      <c r="J1316" t="n">
        <v>1234</v>
      </c>
      <c r="K1316" t="n">
        <v>8.035813552250548</v>
      </c>
    </row>
    <row r="1317">
      <c r="A1317" t="n">
        <v>63</v>
      </c>
      <c r="B1317" t="inlineStr">
        <is>
          <t>Nick</t>
        </is>
      </c>
      <c r="C1317" t="inlineStr">
        <is>
          <t>Town</t>
        </is>
      </c>
      <c r="D1317" t="inlineStr">
        <is>
          <t>Win</t>
        </is>
      </c>
      <c r="E1317" t="n">
        <v>135</v>
      </c>
      <c r="F1317" t="n">
        <v>24.10305750733407</v>
      </c>
      <c r="G1317" t="n">
        <v>25.96843330137072</v>
      </c>
      <c r="H1317" t="n">
        <v>8.180476651432825</v>
      </c>
      <c r="I1317" t="n">
        <v>796</v>
      </c>
      <c r="J1317" t="n">
        <v>931</v>
      </c>
      <c r="K1317" t="n">
        <v>8.267383688781976</v>
      </c>
    </row>
    <row r="1318">
      <c r="A1318" t="n">
        <v>63</v>
      </c>
      <c r="B1318" t="inlineStr">
        <is>
          <t>Strik3r</t>
        </is>
      </c>
      <c r="C1318" t="inlineStr">
        <is>
          <t>Town</t>
        </is>
      </c>
      <c r="D1318" t="inlineStr">
        <is>
          <t>Win</t>
        </is>
      </c>
      <c r="E1318" t="n">
        <v>134</v>
      </c>
      <c r="F1318" t="n">
        <v>23.17935582408145</v>
      </c>
      <c r="G1318" t="n">
        <v>25.01733644830525</v>
      </c>
      <c r="H1318" t="n">
        <v>8.121467117041711</v>
      </c>
      <c r="I1318" t="n">
        <v>739</v>
      </c>
      <c r="J1318" t="n">
        <v>873</v>
      </c>
      <c r="K1318" t="n">
        <v>8.206442220920371</v>
      </c>
    </row>
    <row r="1319">
      <c r="A1319" t="n">
        <v>63</v>
      </c>
      <c r="B1319" t="inlineStr">
        <is>
          <t>Carson</t>
        </is>
      </c>
      <c r="C1319" t="inlineStr">
        <is>
          <t>Town</t>
        </is>
      </c>
      <c r="D1319" t="inlineStr">
        <is>
          <t>Win</t>
        </is>
      </c>
      <c r="E1319" t="n">
        <v>118</v>
      </c>
      <c r="F1319" t="n">
        <v>28.15953625728158</v>
      </c>
      <c r="G1319" t="n">
        <v>29.78207040606567</v>
      </c>
      <c r="H1319" t="n">
        <v>7.640109332366036</v>
      </c>
      <c r="I1319" t="n">
        <v>1128</v>
      </c>
      <c r="J1319" t="n">
        <v>1246</v>
      </c>
      <c r="K1319" t="n">
        <v>7.710403271325315</v>
      </c>
    </row>
    <row r="1320">
      <c r="A1320" t="n">
        <v>63</v>
      </c>
      <c r="B1320" t="inlineStr">
        <is>
          <t>Whyin</t>
        </is>
      </c>
      <c r="C1320" t="inlineStr">
        <is>
          <t>Town</t>
        </is>
      </c>
      <c r="D1320" t="inlineStr">
        <is>
          <t>Win</t>
        </is>
      </c>
      <c r="E1320" t="n">
        <v>124</v>
      </c>
      <c r="F1320" t="n">
        <v>25.4527400978531</v>
      </c>
      <c r="G1320" t="n">
        <v>27.16996680713037</v>
      </c>
      <c r="H1320" t="n">
        <v>7.855609692533162</v>
      </c>
      <c r="I1320" t="n">
        <v>922</v>
      </c>
      <c r="J1320" t="n">
        <v>1046</v>
      </c>
      <c r="K1320" t="n">
        <v>7.93224284687225</v>
      </c>
    </row>
    <row r="1321">
      <c r="A1321" t="n">
        <v>63</v>
      </c>
      <c r="B1321" t="inlineStr">
        <is>
          <t>Noah</t>
        </is>
      </c>
      <c r="C1321" t="inlineStr">
        <is>
          <t>Town</t>
        </is>
      </c>
      <c r="D1321" t="inlineStr">
        <is>
          <t>Win</t>
        </is>
      </c>
      <c r="E1321" t="n">
        <v>122</v>
      </c>
      <c r="F1321" t="n">
        <v>24.5998829599387</v>
      </c>
      <c r="G1321" t="n">
        <v>26.2874557493565</v>
      </c>
      <c r="H1321" t="n">
        <v>7.78881608642808</v>
      </c>
      <c r="I1321" t="n">
        <v>871</v>
      </c>
      <c r="J1321" t="n">
        <v>993</v>
      </c>
      <c r="K1321" t="n">
        <v>7.863444664878112</v>
      </c>
    </row>
    <row r="1322">
      <c r="A1322" t="n">
        <v>62</v>
      </c>
      <c r="B1322" t="inlineStr">
        <is>
          <t>Brownkow</t>
        </is>
      </c>
      <c r="C1322" t="inlineStr">
        <is>
          <t>Mafia</t>
        </is>
      </c>
      <c r="D1322" t="inlineStr">
        <is>
          <t>Win</t>
        </is>
      </c>
      <c r="E1322" t="n">
        <v>51</v>
      </c>
      <c r="F1322" t="n">
        <v>31.82604829876045</v>
      </c>
      <c r="G1322" t="n">
        <v>32.49005766226274</v>
      </c>
      <c r="H1322" t="n">
        <v>7.810923416231177</v>
      </c>
      <c r="I1322" t="n">
        <v>1362</v>
      </c>
      <c r="J1322" t="n">
        <v>1413</v>
      </c>
      <c r="K1322" t="n">
        <v>7.861879391938333</v>
      </c>
    </row>
    <row r="1323">
      <c r="A1323" t="n">
        <v>62</v>
      </c>
      <c r="B1323" t="inlineStr">
        <is>
          <t>Chipper</t>
        </is>
      </c>
      <c r="C1323" t="inlineStr">
        <is>
          <t>Mafia</t>
        </is>
      </c>
      <c r="D1323" t="inlineStr">
        <is>
          <t>Win</t>
        </is>
      </c>
      <c r="E1323" t="n">
        <v>51</v>
      </c>
      <c r="F1323" t="n">
        <v>23.83882794884139</v>
      </c>
      <c r="G1323" t="n">
        <v>24.50778128701127</v>
      </c>
      <c r="H1323" t="n">
        <v>7.83956130611341</v>
      </c>
      <c r="I1323" t="n">
        <v>816</v>
      </c>
      <c r="J1323" t="n">
        <v>867</v>
      </c>
      <c r="K1323" t="n">
        <v>7.891098192927394</v>
      </c>
    </row>
    <row r="1324">
      <c r="A1324" t="n">
        <v>62</v>
      </c>
      <c r="B1324" t="inlineStr">
        <is>
          <t>Smit</t>
        </is>
      </c>
      <c r="C1324" t="inlineStr">
        <is>
          <t>Mafia</t>
        </is>
      </c>
      <c r="D1324" t="inlineStr">
        <is>
          <t>Win</t>
        </is>
      </c>
      <c r="E1324" t="n">
        <v>51</v>
      </c>
      <c r="F1324" t="n">
        <v>25.95367801099093</v>
      </c>
      <c r="G1324" t="n">
        <v>26.63121958132441</v>
      </c>
      <c r="H1324" t="n">
        <v>7.889047849162531</v>
      </c>
      <c r="I1324" t="n">
        <v>955</v>
      </c>
      <c r="J1324" t="n">
        <v>1006</v>
      </c>
      <c r="K1324" t="n">
        <v>7.941598925837772</v>
      </c>
    </row>
    <row r="1325">
      <c r="A1325" t="n">
        <v>62</v>
      </c>
      <c r="B1325" t="inlineStr">
        <is>
          <t>Hunterxp</t>
        </is>
      </c>
      <c r="C1325" t="inlineStr">
        <is>
          <t>Town</t>
        </is>
      </c>
      <c r="D1325" t="inlineStr">
        <is>
          <t>Loss</t>
        </is>
      </c>
      <c r="E1325" t="n">
        <v>-43</v>
      </c>
      <c r="F1325" t="n">
        <v>26.65739202022665</v>
      </c>
      <c r="G1325" t="n">
        <v>25.92644021572866</v>
      </c>
      <c r="H1325" t="n">
        <v>8.189724734673831</v>
      </c>
      <c r="I1325" t="n">
        <v>971</v>
      </c>
      <c r="J1325" t="n">
        <v>928</v>
      </c>
      <c r="K1325" t="n">
        <v>8.248725738679656</v>
      </c>
    </row>
    <row r="1326">
      <c r="A1326" t="n">
        <v>62</v>
      </c>
      <c r="B1326" t="inlineStr">
        <is>
          <t>Badpants</t>
        </is>
      </c>
      <c r="C1326" t="inlineStr">
        <is>
          <t>Town</t>
        </is>
      </c>
      <c r="D1326" t="inlineStr">
        <is>
          <t>Loss</t>
        </is>
      </c>
      <c r="E1326" t="n">
        <v>-40</v>
      </c>
      <c r="F1326" t="n">
        <v>22.2474631806607</v>
      </c>
      <c r="G1326" t="n">
        <v>21.5914991082341</v>
      </c>
      <c r="H1326" t="n">
        <v>7.764083058348202</v>
      </c>
      <c r="I1326" t="n">
        <v>716</v>
      </c>
      <c r="J1326" t="n">
        <v>676</v>
      </c>
      <c r="K1326" t="n">
        <v>7.814098315141331</v>
      </c>
    </row>
    <row r="1327">
      <c r="A1327" t="n">
        <v>62</v>
      </c>
      <c r="B1327" t="inlineStr">
        <is>
          <t>Lou</t>
        </is>
      </c>
      <c r="C1327" t="inlineStr">
        <is>
          <t>Town</t>
        </is>
      </c>
      <c r="D1327" t="inlineStr">
        <is>
          <t>Loss</t>
        </is>
      </c>
      <c r="E1327" t="n">
        <v>-39</v>
      </c>
      <c r="F1327" t="n">
        <v>26.46803241367407</v>
      </c>
      <c r="G1327" t="n">
        <v>25.83312147037077</v>
      </c>
      <c r="H1327" t="n">
        <v>7.64007759793193</v>
      </c>
      <c r="I1327" t="n">
        <v>1016</v>
      </c>
      <c r="J1327" t="n">
        <v>977</v>
      </c>
      <c r="K1327" t="n">
        <v>7.687658297181065</v>
      </c>
    </row>
    <row r="1328">
      <c r="A1328" t="n">
        <v>62</v>
      </c>
      <c r="B1328" t="inlineStr">
        <is>
          <t>Machop</t>
        </is>
      </c>
      <c r="C1328" t="inlineStr">
        <is>
          <t>Town</t>
        </is>
      </c>
      <c r="D1328" t="inlineStr">
        <is>
          <t>Loss</t>
        </is>
      </c>
      <c r="E1328" t="n">
        <v>-38</v>
      </c>
      <c r="F1328" t="n">
        <v>30.91864956852775</v>
      </c>
      <c r="G1328" t="n">
        <v>30.28023882474345</v>
      </c>
      <c r="H1328" t="n">
        <v>7.660838303880555</v>
      </c>
      <c r="I1328" t="n">
        <v>1316</v>
      </c>
      <c r="J1328" t="n">
        <v>1278</v>
      </c>
      <c r="K1328" t="n">
        <v>7.708820977590589</v>
      </c>
    </row>
    <row r="1329">
      <c r="A1329" t="n">
        <v>62</v>
      </c>
      <c r="B1329" t="inlineStr">
        <is>
          <t>Whyin</t>
        </is>
      </c>
      <c r="C1329" t="inlineStr">
        <is>
          <t>Town</t>
        </is>
      </c>
      <c r="D1329" t="inlineStr">
        <is>
          <t>Loss</t>
        </is>
      </c>
      <c r="E1329" t="n">
        <v>-41</v>
      </c>
      <c r="F1329" t="n">
        <v>26.13782465753813</v>
      </c>
      <c r="G1329" t="n">
        <v>25.4527400978531</v>
      </c>
      <c r="H1329" t="n">
        <v>7.93224284687225</v>
      </c>
      <c r="I1329" t="n">
        <v>963</v>
      </c>
      <c r="J1329" t="n">
        <v>922</v>
      </c>
      <c r="K1329" t="n">
        <v>7.985689976261965</v>
      </c>
    </row>
    <row r="1330">
      <c r="A1330" t="n">
        <v>62</v>
      </c>
      <c r="B1330" t="inlineStr">
        <is>
          <t>Rocker</t>
        </is>
      </c>
      <c r="C1330" t="inlineStr">
        <is>
          <t>Town</t>
        </is>
      </c>
      <c r="D1330" t="inlineStr">
        <is>
          <t>Loss</t>
        </is>
      </c>
      <c r="E1330" t="n">
        <v>-39</v>
      </c>
      <c r="F1330" t="n">
        <v>33.41211213031456</v>
      </c>
      <c r="G1330" t="n">
        <v>32.76743933049388</v>
      </c>
      <c r="H1330" t="n">
        <v>7.69783762531997</v>
      </c>
      <c r="I1330" t="n">
        <v>1482</v>
      </c>
      <c r="J1330" t="n">
        <v>1443</v>
      </c>
      <c r="K1330" t="n">
        <v>7.746542268040251</v>
      </c>
    </row>
    <row r="1331">
      <c r="A1331" t="n">
        <v>62</v>
      </c>
      <c r="B1331" t="inlineStr">
        <is>
          <t>Kden</t>
        </is>
      </c>
      <c r="C1331" t="inlineStr">
        <is>
          <t>Town</t>
        </is>
      </c>
      <c r="D1331" t="inlineStr">
        <is>
          <t>Loss</t>
        </is>
      </c>
      <c r="E1331" t="n">
        <v>-45</v>
      </c>
      <c r="F1331" t="n">
        <v>25</v>
      </c>
      <c r="G1331" t="n">
        <v>24.25397869012649</v>
      </c>
      <c r="H1331" t="n">
        <v>8.272468779926852</v>
      </c>
      <c r="I1331" t="n">
        <v>850</v>
      </c>
      <c r="J1331" t="n">
        <v>805</v>
      </c>
      <c r="K1331" t="n">
        <v>8.333333333333334</v>
      </c>
    </row>
    <row r="1332">
      <c r="A1332" t="n">
        <v>62</v>
      </c>
      <c r="B1332" t="inlineStr">
        <is>
          <t>Doublea</t>
        </is>
      </c>
      <c r="C1332" t="inlineStr">
        <is>
          <t>Town</t>
        </is>
      </c>
      <c r="D1332" t="inlineStr">
        <is>
          <t>Loss</t>
        </is>
      </c>
      <c r="E1332" t="n">
        <v>-45</v>
      </c>
      <c r="F1332" t="n">
        <v>25</v>
      </c>
      <c r="G1332" t="n">
        <v>24.25397869012649</v>
      </c>
      <c r="H1332" t="n">
        <v>8.272468779926852</v>
      </c>
      <c r="I1332" t="n">
        <v>850</v>
      </c>
      <c r="J1332" t="n">
        <v>805</v>
      </c>
      <c r="K1332" t="n">
        <v>8.333333333333334</v>
      </c>
    </row>
    <row r="1333">
      <c r="A1333" t="n">
        <v>62</v>
      </c>
      <c r="B1333" t="inlineStr">
        <is>
          <t>Cyclone</t>
        </is>
      </c>
      <c r="C1333" t="inlineStr">
        <is>
          <t>Town</t>
        </is>
      </c>
      <c r="D1333" t="inlineStr">
        <is>
          <t>Loss</t>
        </is>
      </c>
      <c r="E1333" t="n">
        <v>-44</v>
      </c>
      <c r="F1333" t="n">
        <v>25.9515330769544</v>
      </c>
      <c r="G1333" t="n">
        <v>25.21760025781108</v>
      </c>
      <c r="H1333" t="n">
        <v>8.206163194660018</v>
      </c>
      <c r="I1333" t="n">
        <v>922</v>
      </c>
      <c r="J1333" t="n">
        <v>878</v>
      </c>
      <c r="K1333" t="n">
        <v>8.265531333071781</v>
      </c>
    </row>
    <row r="1334">
      <c r="A1334" t="n">
        <v>62</v>
      </c>
      <c r="B1334" t="inlineStr">
        <is>
          <t>Sunspot</t>
        </is>
      </c>
      <c r="C1334" t="inlineStr">
        <is>
          <t>Town</t>
        </is>
      </c>
      <c r="D1334" t="inlineStr">
        <is>
          <t>Loss</t>
        </is>
      </c>
      <c r="E1334" t="n">
        <v>-45</v>
      </c>
      <c r="F1334" t="n">
        <v>25</v>
      </c>
      <c r="G1334" t="n">
        <v>24.25397869012649</v>
      </c>
      <c r="H1334" t="n">
        <v>8.272468779926852</v>
      </c>
      <c r="I1334" t="n">
        <v>850</v>
      </c>
      <c r="J1334" t="n">
        <v>805</v>
      </c>
      <c r="K1334" t="n">
        <v>8.333333333333334</v>
      </c>
    </row>
    <row r="1335">
      <c r="A1335" t="n">
        <v>61</v>
      </c>
      <c r="B1335" t="inlineStr">
        <is>
          <t>Strik3r</t>
        </is>
      </c>
      <c r="C1335" t="inlineStr">
        <is>
          <t>Mafia</t>
        </is>
      </c>
      <c r="D1335" t="inlineStr">
        <is>
          <t>Loss</t>
        </is>
      </c>
      <c r="E1335" t="n">
        <v>-78</v>
      </c>
      <c r="F1335" t="n">
        <v>24.44492425888844</v>
      </c>
      <c r="G1335" t="n">
        <v>23.17935582408145</v>
      </c>
      <c r="H1335" t="n">
        <v>8.206442220920371</v>
      </c>
      <c r="I1335" t="n">
        <v>817</v>
      </c>
      <c r="J1335" t="n">
        <v>739</v>
      </c>
      <c r="K1335" t="n">
        <v>8.282149790123244</v>
      </c>
    </row>
    <row r="1336">
      <c r="A1336" t="n">
        <v>61</v>
      </c>
      <c r="B1336" t="inlineStr">
        <is>
          <t>Gilbert</t>
        </is>
      </c>
      <c r="C1336" t="inlineStr">
        <is>
          <t>Mafia</t>
        </is>
      </c>
      <c r="D1336" t="inlineStr">
        <is>
          <t>Loss</t>
        </is>
      </c>
      <c r="E1336" t="n">
        <v>-78</v>
      </c>
      <c r="F1336" t="n">
        <v>24.44492425888844</v>
      </c>
      <c r="G1336" t="n">
        <v>23.17935582408145</v>
      </c>
      <c r="H1336" t="n">
        <v>8.206442220920371</v>
      </c>
      <c r="I1336" t="n">
        <v>817</v>
      </c>
      <c r="J1336" t="n">
        <v>739</v>
      </c>
      <c r="K1336" t="n">
        <v>8.282149790123244</v>
      </c>
    </row>
    <row r="1337">
      <c r="A1337" t="n">
        <v>61</v>
      </c>
      <c r="B1337" t="inlineStr">
        <is>
          <t>Josh</t>
        </is>
      </c>
      <c r="C1337" t="inlineStr">
        <is>
          <t>Mafia</t>
        </is>
      </c>
      <c r="D1337" t="inlineStr">
        <is>
          <t>Loss</t>
        </is>
      </c>
      <c r="E1337" t="n">
        <v>-72</v>
      </c>
      <c r="F1337" t="n">
        <v>26.76286039871471</v>
      </c>
      <c r="G1337" t="n">
        <v>25.59946082789925</v>
      </c>
      <c r="H1337" t="n">
        <v>7.874152881820558</v>
      </c>
      <c r="I1337" t="n">
        <v>1010</v>
      </c>
      <c r="J1337" t="n">
        <v>938</v>
      </c>
      <c r="K1337" t="n">
        <v>7.940757495359324</v>
      </c>
    </row>
    <row r="1338">
      <c r="A1338" t="n">
        <v>61</v>
      </c>
      <c r="B1338" t="inlineStr">
        <is>
          <t>Noah</t>
        </is>
      </c>
      <c r="C1338" t="inlineStr">
        <is>
          <t>Town</t>
        </is>
      </c>
      <c r="D1338" t="inlineStr">
        <is>
          <t>Win</t>
        </is>
      </c>
      <c r="E1338" t="n">
        <v>86</v>
      </c>
      <c r="F1338" t="n">
        <v>23.43970051950116</v>
      </c>
      <c r="G1338" t="n">
        <v>24.5998829599387</v>
      </c>
      <c r="H1338" t="n">
        <v>7.863444664878112</v>
      </c>
      <c r="I1338" t="n">
        <v>785</v>
      </c>
      <c r="J1338" t="n">
        <v>871</v>
      </c>
      <c r="K1338" t="n">
        <v>7.929768925699872</v>
      </c>
    </row>
    <row r="1339">
      <c r="A1339" t="n">
        <v>61</v>
      </c>
      <c r="B1339" t="inlineStr">
        <is>
          <t>Rollo</t>
        </is>
      </c>
      <c r="C1339" t="inlineStr">
        <is>
          <t>Town</t>
        </is>
      </c>
      <c r="D1339" t="inlineStr">
        <is>
          <t>Win</t>
        </is>
      </c>
      <c r="E1339" t="n">
        <v>89</v>
      </c>
      <c r="F1339" t="n">
        <v>26.57331425265949</v>
      </c>
      <c r="G1339" t="n">
        <v>27.77377627788008</v>
      </c>
      <c r="H1339" t="n">
        <v>7.996407817199772</v>
      </c>
      <c r="I1339" t="n">
        <v>984</v>
      </c>
      <c r="J1339" t="n">
        <v>1073</v>
      </c>
      <c r="K1339" t="n">
        <v>8.066270093444766</v>
      </c>
    </row>
    <row r="1340">
      <c r="A1340" t="n">
        <v>61</v>
      </c>
      <c r="B1340" t="inlineStr">
        <is>
          <t>Xcync</t>
        </is>
      </c>
      <c r="C1340" t="inlineStr">
        <is>
          <t>Town</t>
        </is>
      </c>
      <c r="D1340" t="inlineStr">
        <is>
          <t>Win</t>
        </is>
      </c>
      <c r="E1340" t="n">
        <v>82</v>
      </c>
      <c r="F1340" t="n">
        <v>27.4604893405705</v>
      </c>
      <c r="G1340" t="n">
        <v>28.58001468019463</v>
      </c>
      <c r="H1340" t="n">
        <v>7.726748120386885</v>
      </c>
      <c r="I1340" t="n">
        <v>1073</v>
      </c>
      <c r="J1340" t="n">
        <v>1155</v>
      </c>
      <c r="K1340" t="n">
        <v>7.789563068575006</v>
      </c>
    </row>
    <row r="1341">
      <c r="A1341" t="n">
        <v>61</v>
      </c>
      <c r="B1341" t="inlineStr">
        <is>
          <t>Creatchee</t>
        </is>
      </c>
      <c r="C1341" t="inlineStr">
        <is>
          <t>Town</t>
        </is>
      </c>
      <c r="D1341" t="inlineStr">
        <is>
          <t>Win</t>
        </is>
      </c>
      <c r="E1341" t="n">
        <v>85</v>
      </c>
      <c r="F1341" t="n">
        <v>28.03703405688266</v>
      </c>
      <c r="G1341" t="n">
        <v>29.18937950314278</v>
      </c>
      <c r="H1341" t="n">
        <v>7.837293660208694</v>
      </c>
      <c r="I1341" t="n">
        <v>1100</v>
      </c>
      <c r="J1341" t="n">
        <v>1185</v>
      </c>
      <c r="K1341" t="n">
        <v>7.902936605609653</v>
      </c>
    </row>
    <row r="1342">
      <c r="A1342" t="n">
        <v>61</v>
      </c>
      <c r="B1342" t="inlineStr">
        <is>
          <t>Aipha</t>
        </is>
      </c>
      <c r="C1342" t="inlineStr">
        <is>
          <t>Town</t>
        </is>
      </c>
      <c r="D1342" t="inlineStr">
        <is>
          <t>Win</t>
        </is>
      </c>
      <c r="E1342" t="n">
        <v>90</v>
      </c>
      <c r="F1342" t="n">
        <v>27.21175912248801</v>
      </c>
      <c r="G1342" t="n">
        <v>28.43108219990266</v>
      </c>
      <c r="H1342" t="n">
        <v>8.057859712892721</v>
      </c>
      <c r="I1342" t="n">
        <v>1021</v>
      </c>
      <c r="J1342" t="n">
        <v>1111</v>
      </c>
      <c r="K1342" t="n">
        <v>8.129399375249292</v>
      </c>
    </row>
    <row r="1343">
      <c r="A1343" t="n">
        <v>61</v>
      </c>
      <c r="B1343" t="inlineStr">
        <is>
          <t>Boobles</t>
        </is>
      </c>
      <c r="C1343" t="inlineStr">
        <is>
          <t>Town</t>
        </is>
      </c>
      <c r="D1343" t="inlineStr">
        <is>
          <t>Win</t>
        </is>
      </c>
      <c r="E1343" t="n">
        <v>86</v>
      </c>
      <c r="F1343" t="n">
        <v>25.68336959767205</v>
      </c>
      <c r="G1343" t="n">
        <v>26.84407775243291</v>
      </c>
      <c r="H1343" t="n">
        <v>7.86519557194529</v>
      </c>
      <c r="I1343" t="n">
        <v>937</v>
      </c>
      <c r="J1343" t="n">
        <v>1023</v>
      </c>
      <c r="K1343" t="n">
        <v>7.931565618886746</v>
      </c>
    </row>
    <row r="1344">
      <c r="A1344" t="n">
        <v>61</v>
      </c>
      <c r="B1344" t="inlineStr">
        <is>
          <t>Kwix</t>
        </is>
      </c>
      <c r="C1344" t="inlineStr">
        <is>
          <t>Town</t>
        </is>
      </c>
      <c r="D1344" t="inlineStr">
        <is>
          <t>Win</t>
        </is>
      </c>
      <c r="E1344" t="n">
        <v>87</v>
      </c>
      <c r="F1344" t="n">
        <v>22.36762540937544</v>
      </c>
      <c r="G1344" t="n">
        <v>23.54901938800011</v>
      </c>
      <c r="H1344" t="n">
        <v>7.933761866560303</v>
      </c>
      <c r="I1344" t="n">
        <v>705</v>
      </c>
      <c r="J1344" t="n">
        <v>792</v>
      </c>
      <c r="K1344" t="n">
        <v>8.001941731497309</v>
      </c>
    </row>
    <row r="1345">
      <c r="A1345" t="n">
        <v>61</v>
      </c>
      <c r="B1345" t="inlineStr">
        <is>
          <t>Laura</t>
        </is>
      </c>
      <c r="C1345" t="inlineStr">
        <is>
          <t>Town</t>
        </is>
      </c>
      <c r="D1345" t="inlineStr">
        <is>
          <t>Win</t>
        </is>
      </c>
      <c r="E1345" t="n">
        <v>94</v>
      </c>
      <c r="F1345" t="n">
        <v>24.04846692304561</v>
      </c>
      <c r="G1345" t="n">
        <v>25.30896236785641</v>
      </c>
      <c r="H1345" t="n">
        <v>8.190284767840945</v>
      </c>
      <c r="I1345" t="n">
        <v>792</v>
      </c>
      <c r="J1345" t="n">
        <v>886</v>
      </c>
      <c r="K1345" t="n">
        <v>8.265531333071781</v>
      </c>
    </row>
    <row r="1346">
      <c r="A1346" t="n">
        <v>61</v>
      </c>
      <c r="B1346" t="inlineStr">
        <is>
          <t>Cody</t>
        </is>
      </c>
      <c r="C1346" t="inlineStr">
        <is>
          <t>Town</t>
        </is>
      </c>
      <c r="D1346" t="inlineStr">
        <is>
          <t>Win</t>
        </is>
      </c>
      <c r="E1346" t="n">
        <v>95</v>
      </c>
      <c r="F1346" t="n">
        <v>25</v>
      </c>
      <c r="G1346" t="n">
        <v>26.28125686479722</v>
      </c>
      <c r="H1346" t="n">
        <v>8.256194215593773</v>
      </c>
      <c r="I1346" t="n">
        <v>850</v>
      </c>
      <c r="J1346" t="n">
        <v>945</v>
      </c>
      <c r="K1346" t="n">
        <v>8.333333333333334</v>
      </c>
    </row>
    <row r="1347">
      <c r="A1347" t="n">
        <v>61</v>
      </c>
      <c r="B1347" t="inlineStr">
        <is>
          <t>Brownkow</t>
        </is>
      </c>
      <c r="C1347" t="inlineStr">
        <is>
          <t>Town</t>
        </is>
      </c>
      <c r="D1347" t="inlineStr">
        <is>
          <t>Win</t>
        </is>
      </c>
      <c r="E1347" t="n">
        <v>85</v>
      </c>
      <c r="F1347" t="n">
        <v>30.6663357294206</v>
      </c>
      <c r="G1347" t="n">
        <v>31.82604829876045</v>
      </c>
      <c r="H1347" t="n">
        <v>7.861879391938333</v>
      </c>
      <c r="I1347" t="n">
        <v>1277</v>
      </c>
      <c r="J1347" t="n">
        <v>1362</v>
      </c>
      <c r="K1347" t="n">
        <v>7.92816273899641</v>
      </c>
    </row>
    <row r="1348">
      <c r="A1348" t="n">
        <v>60</v>
      </c>
      <c r="B1348" t="inlineStr">
        <is>
          <t>Rollo</t>
        </is>
      </c>
      <c r="C1348" t="inlineStr">
        <is>
          <t>Mafia</t>
        </is>
      </c>
      <c r="D1348" t="inlineStr">
        <is>
          <t>Win</t>
        </is>
      </c>
      <c r="E1348" t="n">
        <v>40</v>
      </c>
      <c r="F1348" t="n">
        <v>26.04714189674128</v>
      </c>
      <c r="G1348" t="n">
        <v>26.57331425265949</v>
      </c>
      <c r="H1348" t="n">
        <v>8.066270093444766</v>
      </c>
      <c r="I1348" t="n">
        <v>944</v>
      </c>
      <c r="J1348" t="n">
        <v>984</v>
      </c>
      <c r="K1348" t="n">
        <v>8.11343808311017</v>
      </c>
    </row>
    <row r="1349">
      <c r="A1349" t="n">
        <v>60</v>
      </c>
      <c r="B1349" t="inlineStr">
        <is>
          <t>Dlgn</t>
        </is>
      </c>
      <c r="C1349" t="inlineStr">
        <is>
          <t>Mafia</t>
        </is>
      </c>
      <c r="D1349" t="inlineStr">
        <is>
          <t>Win</t>
        </is>
      </c>
      <c r="E1349" t="n">
        <v>43</v>
      </c>
      <c r="F1349" t="n">
        <v>25</v>
      </c>
      <c r="G1349" t="n">
        <v>25.55507574111157</v>
      </c>
      <c r="H1349" t="n">
        <v>8.282149790123244</v>
      </c>
      <c r="I1349" t="n">
        <v>850</v>
      </c>
      <c r="J1349" t="n">
        <v>893</v>
      </c>
      <c r="K1349" t="n">
        <v>8.333333333333334</v>
      </c>
    </row>
    <row r="1350">
      <c r="A1350" t="n">
        <v>60</v>
      </c>
      <c r="B1350" t="inlineStr">
        <is>
          <t>Rocker</t>
        </is>
      </c>
      <c r="C1350" t="inlineStr">
        <is>
          <t>Mafia</t>
        </is>
      </c>
      <c r="D1350" t="inlineStr">
        <is>
          <t>Win</t>
        </is>
      </c>
      <c r="E1350" t="n">
        <v>37</v>
      </c>
      <c r="F1350" t="n">
        <v>32.92727816444909</v>
      </c>
      <c r="G1350" t="n">
        <v>33.41211213031456</v>
      </c>
      <c r="H1350" t="n">
        <v>7.746542268040251</v>
      </c>
      <c r="I1350" t="n">
        <v>1445</v>
      </c>
      <c r="J1350" t="n">
        <v>1482</v>
      </c>
      <c r="K1350" t="n">
        <v>7.788155581373911</v>
      </c>
    </row>
    <row r="1351">
      <c r="A1351" t="n">
        <v>60</v>
      </c>
      <c r="B1351" t="inlineStr">
        <is>
          <t>Noah</t>
        </is>
      </c>
      <c r="C1351" t="inlineStr">
        <is>
          <t>Town</t>
        </is>
      </c>
      <c r="D1351" t="inlineStr">
        <is>
          <t>Loss</t>
        </is>
      </c>
      <c r="E1351" t="n">
        <v>-30</v>
      </c>
      <c r="F1351" t="n">
        <v>23.9480102335279</v>
      </c>
      <c r="G1351" t="n">
        <v>23.43970051950116</v>
      </c>
      <c r="H1351" t="n">
        <v>7.929768925699872</v>
      </c>
      <c r="I1351" t="n">
        <v>815</v>
      </c>
      <c r="J1351" t="n">
        <v>785</v>
      </c>
      <c r="K1351" t="n">
        <v>7.974509100881047</v>
      </c>
    </row>
    <row r="1352">
      <c r="A1352" t="n">
        <v>60</v>
      </c>
      <c r="B1352" t="inlineStr">
        <is>
          <t>Torharo</t>
        </is>
      </c>
      <c r="C1352" t="inlineStr">
        <is>
          <t>Town</t>
        </is>
      </c>
      <c r="D1352" t="inlineStr">
        <is>
          <t>Loss</t>
        </is>
      </c>
      <c r="E1352" t="n">
        <v>-32</v>
      </c>
      <c r="F1352" t="n">
        <v>23.57061652527494</v>
      </c>
      <c r="G1352" t="n">
        <v>23.02539537092303</v>
      </c>
      <c r="H1352" t="n">
        <v>8.209215555198858</v>
      </c>
      <c r="I1352" t="n">
        <v>760</v>
      </c>
      <c r="J1352" t="n">
        <v>728</v>
      </c>
      <c r="K1352" t="n">
        <v>8.259018026377053</v>
      </c>
    </row>
    <row r="1353">
      <c r="A1353" t="n">
        <v>60</v>
      </c>
      <c r="B1353" t="inlineStr">
        <is>
          <t>Carson</t>
        </is>
      </c>
      <c r="C1353" t="inlineStr">
        <is>
          <t>Town</t>
        </is>
      </c>
      <c r="D1353" t="inlineStr">
        <is>
          <t>Loss</t>
        </is>
      </c>
      <c r="E1353" t="n">
        <v>-29</v>
      </c>
      <c r="F1353" t="n">
        <v>28.63980766059776</v>
      </c>
      <c r="G1353" t="n">
        <v>28.15953625728158</v>
      </c>
      <c r="H1353" t="n">
        <v>7.710403271325315</v>
      </c>
      <c r="I1353" t="n">
        <v>1157</v>
      </c>
      <c r="J1353" t="n">
        <v>1128</v>
      </c>
      <c r="K1353" t="n">
        <v>7.751417409213613</v>
      </c>
    </row>
    <row r="1354">
      <c r="A1354" t="n">
        <v>60</v>
      </c>
      <c r="B1354" t="inlineStr">
        <is>
          <t>Strik3r</t>
        </is>
      </c>
      <c r="C1354" t="inlineStr">
        <is>
          <t>Town</t>
        </is>
      </c>
      <c r="D1354" t="inlineStr">
        <is>
          <t>Loss</t>
        </is>
      </c>
      <c r="E1354" t="n">
        <v>-33</v>
      </c>
      <c r="F1354" t="n">
        <v>25</v>
      </c>
      <c r="G1354" t="n">
        <v>24.44492425888844</v>
      </c>
      <c r="H1354" t="n">
        <v>8.282149790123244</v>
      </c>
      <c r="I1354" t="n">
        <v>850</v>
      </c>
      <c r="J1354" t="n">
        <v>817</v>
      </c>
      <c r="K1354" t="n">
        <v>8.333333333333334</v>
      </c>
    </row>
    <row r="1355">
      <c r="A1355" t="n">
        <v>60</v>
      </c>
      <c r="B1355" t="inlineStr">
        <is>
          <t>Gilbert</t>
        </is>
      </c>
      <c r="C1355" t="inlineStr">
        <is>
          <t>Town</t>
        </is>
      </c>
      <c r="D1355" t="inlineStr">
        <is>
          <t>Loss</t>
        </is>
      </c>
      <c r="E1355" t="n">
        <v>-33</v>
      </c>
      <c r="F1355" t="n">
        <v>25</v>
      </c>
      <c r="G1355" t="n">
        <v>24.44492425888844</v>
      </c>
      <c r="H1355" t="n">
        <v>8.282149790123244</v>
      </c>
      <c r="I1355" t="n">
        <v>850</v>
      </c>
      <c r="J1355" t="n">
        <v>817</v>
      </c>
      <c r="K1355" t="n">
        <v>8.333333333333334</v>
      </c>
    </row>
    <row r="1356">
      <c r="A1356" t="n">
        <v>60</v>
      </c>
      <c r="B1356" t="inlineStr">
        <is>
          <t>Kny</t>
        </is>
      </c>
      <c r="C1356" t="inlineStr">
        <is>
          <t>Town</t>
        </is>
      </c>
      <c r="D1356" t="inlineStr">
        <is>
          <t>Loss</t>
        </is>
      </c>
      <c r="E1356" t="n">
        <v>-31</v>
      </c>
      <c r="F1356" t="n">
        <v>26.76331618581039</v>
      </c>
      <c r="G1356" t="n">
        <v>26.23666120848014</v>
      </c>
      <c r="H1356" t="n">
        <v>8.069924581378057</v>
      </c>
      <c r="I1356" t="n">
        <v>992</v>
      </c>
      <c r="J1356" t="n">
        <v>961</v>
      </c>
      <c r="K1356" t="n">
        <v>8.11715874229801</v>
      </c>
    </row>
    <row r="1357">
      <c r="A1357" t="n">
        <v>60</v>
      </c>
      <c r="B1357" t="inlineStr">
        <is>
          <t>Dani</t>
        </is>
      </c>
      <c r="C1357" t="inlineStr">
        <is>
          <t>Town</t>
        </is>
      </c>
      <c r="D1357" t="inlineStr">
        <is>
          <t>Loss</t>
        </is>
      </c>
      <c r="E1357" t="n">
        <v>-32</v>
      </c>
      <c r="F1357" t="n">
        <v>24.04846692304561</v>
      </c>
      <c r="G1357" t="n">
        <v>23.50238560054137</v>
      </c>
      <c r="H1357" t="n">
        <v>8.215608804197732</v>
      </c>
      <c r="I1357" t="n">
        <v>792</v>
      </c>
      <c r="J1357" t="n">
        <v>760</v>
      </c>
      <c r="K1357" t="n">
        <v>8.265531333071781</v>
      </c>
    </row>
    <row r="1358">
      <c r="A1358" t="n">
        <v>60</v>
      </c>
      <c r="B1358" t="inlineStr">
        <is>
          <t>Josh</t>
        </is>
      </c>
      <c r="C1358" t="inlineStr">
        <is>
          <t>Town</t>
        </is>
      </c>
      <c r="D1358" t="inlineStr">
        <is>
          <t>Loss</t>
        </is>
      </c>
      <c r="E1358" t="n">
        <v>-30</v>
      </c>
      <c r="F1358" t="n">
        <v>27.27259626638815</v>
      </c>
      <c r="G1358" t="n">
        <v>26.76286039871471</v>
      </c>
      <c r="H1358" t="n">
        <v>7.940757495359324</v>
      </c>
      <c r="I1358" t="n">
        <v>1040</v>
      </c>
      <c r="J1358" t="n">
        <v>1010</v>
      </c>
      <c r="K1358" t="n">
        <v>7.985689976261965</v>
      </c>
    </row>
    <row r="1359">
      <c r="A1359" t="n">
        <v>60</v>
      </c>
      <c r="B1359" t="inlineStr">
        <is>
          <t>Machop</t>
        </is>
      </c>
      <c r="C1359" t="inlineStr">
        <is>
          <t>Town</t>
        </is>
      </c>
      <c r="D1359" t="inlineStr">
        <is>
          <t>Loss</t>
        </is>
      </c>
      <c r="E1359" t="n">
        <v>-29</v>
      </c>
      <c r="F1359" t="n">
        <v>31.39872171578925</v>
      </c>
      <c r="G1359" t="n">
        <v>30.91864956852775</v>
      </c>
      <c r="H1359" t="n">
        <v>7.708820977590589</v>
      </c>
      <c r="I1359" t="n">
        <v>1345</v>
      </c>
      <c r="J1359" t="n">
        <v>1316</v>
      </c>
      <c r="K1359" t="n">
        <v>7.749809012187737</v>
      </c>
    </row>
    <row r="1360">
      <c r="A1360" t="n">
        <v>60</v>
      </c>
      <c r="B1360" t="inlineStr">
        <is>
          <t>23flash</t>
        </is>
      </c>
      <c r="C1360" t="inlineStr">
        <is>
          <t>Town</t>
        </is>
      </c>
      <c r="D1360" t="inlineStr">
        <is>
          <t>Loss</t>
        </is>
      </c>
      <c r="E1360" t="n">
        <v>-33</v>
      </c>
      <c r="F1360" t="n">
        <v>25</v>
      </c>
      <c r="G1360" t="n">
        <v>24.44492425888844</v>
      </c>
      <c r="H1360" t="n">
        <v>8.282149790123244</v>
      </c>
      <c r="I1360" t="n">
        <v>850</v>
      </c>
      <c r="J1360" t="n">
        <v>817</v>
      </c>
      <c r="K1360" t="n">
        <v>8.333333333333334</v>
      </c>
    </row>
    <row r="1361">
      <c r="A1361" t="n">
        <v>59</v>
      </c>
      <c r="B1361" t="inlineStr">
        <is>
          <t>Creatchee</t>
        </is>
      </c>
      <c r="C1361" t="inlineStr">
        <is>
          <t>Mafia</t>
        </is>
      </c>
      <c r="D1361" t="inlineStr">
        <is>
          <t>Loss</t>
        </is>
      </c>
      <c r="E1361" t="n">
        <v>-96</v>
      </c>
      <c r="F1361" t="n">
        <v>29.55574290764237</v>
      </c>
      <c r="G1361" t="n">
        <v>28.03703405688266</v>
      </c>
      <c r="H1361" t="n">
        <v>7.902936605609653</v>
      </c>
      <c r="I1361" t="n">
        <v>1196</v>
      </c>
      <c r="J1361" t="n">
        <v>1100</v>
      </c>
      <c r="K1361" t="n">
        <v>7.977017388611724</v>
      </c>
    </row>
    <row r="1362">
      <c r="A1362" t="n">
        <v>59</v>
      </c>
      <c r="B1362" t="inlineStr">
        <is>
          <t>Chelsea</t>
        </is>
      </c>
      <c r="C1362" t="inlineStr">
        <is>
          <t>Mafia</t>
        </is>
      </c>
      <c r="D1362" t="inlineStr">
        <is>
          <t>Loss</t>
        </is>
      </c>
      <c r="E1362" t="n">
        <v>-104</v>
      </c>
      <c r="F1362" t="n">
        <v>25</v>
      </c>
      <c r="G1362" t="n">
        <v>23.34260797977336</v>
      </c>
      <c r="H1362" t="n">
        <v>8.248725738679656</v>
      </c>
      <c r="I1362" t="n">
        <v>850</v>
      </c>
      <c r="J1362" t="n">
        <v>746</v>
      </c>
      <c r="K1362" t="n">
        <v>8.333333333333334</v>
      </c>
    </row>
    <row r="1363">
      <c r="A1363" t="n">
        <v>59</v>
      </c>
      <c r="B1363" t="inlineStr">
        <is>
          <t>Ken</t>
        </is>
      </c>
      <c r="C1363" t="inlineStr">
        <is>
          <t>Mafia</t>
        </is>
      </c>
      <c r="D1363" t="inlineStr">
        <is>
          <t>Loss</t>
        </is>
      </c>
      <c r="E1363" t="n">
        <v>-104</v>
      </c>
      <c r="F1363" t="n">
        <v>25</v>
      </c>
      <c r="G1363" t="n">
        <v>23.34260797977336</v>
      </c>
      <c r="H1363" t="n">
        <v>8.248725738679656</v>
      </c>
      <c r="I1363" t="n">
        <v>850</v>
      </c>
      <c r="J1363" t="n">
        <v>746</v>
      </c>
      <c r="K1363" t="n">
        <v>8.333333333333334</v>
      </c>
    </row>
    <row r="1364">
      <c r="A1364" t="n">
        <v>59</v>
      </c>
      <c r="B1364" t="inlineStr">
        <is>
          <t>Lou</t>
        </is>
      </c>
      <c r="C1364" t="inlineStr">
        <is>
          <t>Town</t>
        </is>
      </c>
      <c r="D1364" t="inlineStr">
        <is>
          <t>Win</t>
        </is>
      </c>
      <c r="E1364" t="n">
        <v>105</v>
      </c>
      <c r="F1364" t="n">
        <v>25.0324290345923</v>
      </c>
      <c r="G1364" t="n">
        <v>26.46803241367407</v>
      </c>
      <c r="H1364" t="n">
        <v>7.687658297181065</v>
      </c>
      <c r="I1364" t="n">
        <v>911</v>
      </c>
      <c r="J1364" t="n">
        <v>1016</v>
      </c>
      <c r="K1364" t="n">
        <v>7.755655989788115</v>
      </c>
    </row>
    <row r="1365">
      <c r="A1365" t="n">
        <v>59</v>
      </c>
      <c r="B1365" t="inlineStr">
        <is>
          <t>Rocker</t>
        </is>
      </c>
      <c r="C1365" t="inlineStr">
        <is>
          <t>Town</t>
        </is>
      </c>
      <c r="D1365" t="inlineStr">
        <is>
          <t>Win</t>
        </is>
      </c>
      <c r="E1365" t="n">
        <v>108</v>
      </c>
      <c r="F1365" t="n">
        <v>31.4531865713896</v>
      </c>
      <c r="G1365" t="n">
        <v>32.92727816444909</v>
      </c>
      <c r="H1365" t="n">
        <v>7.788155581373911</v>
      </c>
      <c r="I1365" t="n">
        <v>1337</v>
      </c>
      <c r="J1365" t="n">
        <v>1445</v>
      </c>
      <c r="K1365" t="n">
        <v>7.858949146610481</v>
      </c>
    </row>
    <row r="1366">
      <c r="A1366" t="n">
        <v>59</v>
      </c>
      <c r="B1366" t="inlineStr">
        <is>
          <t>Iln</t>
        </is>
      </c>
      <c r="C1366" t="inlineStr">
        <is>
          <t>Town</t>
        </is>
      </c>
      <c r="D1366" t="inlineStr">
        <is>
          <t>Win</t>
        </is>
      </c>
      <c r="E1366" t="n">
        <v>109</v>
      </c>
      <c r="F1366" t="n">
        <v>22.37301177336661</v>
      </c>
      <c r="G1366" t="n">
        <v>23.86036209120775</v>
      </c>
      <c r="H1366" t="n">
        <v>7.82245413387178</v>
      </c>
      <c r="I1366" t="n">
        <v>716</v>
      </c>
      <c r="J1366" t="n">
        <v>825</v>
      </c>
      <c r="K1366" t="n">
        <v>7.894219404432831</v>
      </c>
    </row>
    <row r="1367">
      <c r="A1367" t="n">
        <v>59</v>
      </c>
      <c r="B1367" t="inlineStr">
        <is>
          <t>Badpants</t>
        </is>
      </c>
      <c r="C1367" t="inlineStr">
        <is>
          <t>Town</t>
        </is>
      </c>
      <c r="D1367" t="inlineStr">
        <is>
          <t>Win</t>
        </is>
      </c>
      <c r="E1367" t="n">
        <v>108</v>
      </c>
      <c r="F1367" t="n">
        <v>20.76334873652143</v>
      </c>
      <c r="G1367" t="n">
        <v>22.2474631806607</v>
      </c>
      <c r="H1367" t="n">
        <v>7.814098315141331</v>
      </c>
      <c r="I1367" t="n">
        <v>608</v>
      </c>
      <c r="J1367" t="n">
        <v>716</v>
      </c>
      <c r="K1367" t="n">
        <v>7.885626032367045</v>
      </c>
    </row>
    <row r="1368">
      <c r="A1368" t="n">
        <v>59</v>
      </c>
      <c r="B1368" t="inlineStr">
        <is>
          <t>Chipper</t>
        </is>
      </c>
      <c r="C1368" t="inlineStr">
        <is>
          <t>Town</t>
        </is>
      </c>
      <c r="D1368" t="inlineStr">
        <is>
          <t>Win</t>
        </is>
      </c>
      <c r="E1368" t="n">
        <v>110</v>
      </c>
      <c r="F1368" t="n">
        <v>22.32475343383811</v>
      </c>
      <c r="G1368" t="n">
        <v>23.83882794884139</v>
      </c>
      <c r="H1368" t="n">
        <v>7.891098192927394</v>
      </c>
      <c r="I1368" t="n">
        <v>706</v>
      </c>
      <c r="J1368" t="n">
        <v>816</v>
      </c>
      <c r="K1368" t="n">
        <v>7.964835250944838</v>
      </c>
    </row>
    <row r="1369">
      <c r="A1369" t="n">
        <v>59</v>
      </c>
      <c r="B1369" t="inlineStr">
        <is>
          <t>Levi</t>
        </is>
      </c>
      <c r="C1369" t="inlineStr">
        <is>
          <t>Town</t>
        </is>
      </c>
      <c r="D1369" t="inlineStr">
        <is>
          <t>Win</t>
        </is>
      </c>
      <c r="E1369" t="n">
        <v>121</v>
      </c>
      <c r="F1369" t="n">
        <v>25</v>
      </c>
      <c r="G1369" t="n">
        <v>26.65739202022665</v>
      </c>
      <c r="H1369" t="n">
        <v>8.248725738679656</v>
      </c>
      <c r="I1369" t="n">
        <v>850</v>
      </c>
      <c r="J1369" t="n">
        <v>971</v>
      </c>
      <c r="K1369" t="n">
        <v>8.333333333333334</v>
      </c>
    </row>
    <row r="1370">
      <c r="A1370" t="n">
        <v>59</v>
      </c>
      <c r="B1370" t="inlineStr">
        <is>
          <t>Machop</t>
        </is>
      </c>
      <c r="C1370" t="inlineStr">
        <is>
          <t>Town</t>
        </is>
      </c>
      <c r="D1370" t="inlineStr">
        <is>
          <t>Win</t>
        </is>
      </c>
      <c r="E1370" t="n">
        <v>107</v>
      </c>
      <c r="F1370" t="n">
        <v>29.93937943703448</v>
      </c>
      <c r="G1370" t="n">
        <v>31.39872171578925</v>
      </c>
      <c r="H1370" t="n">
        <v>7.749809012187737</v>
      </c>
      <c r="I1370" t="n">
        <v>1238</v>
      </c>
      <c r="J1370" t="n">
        <v>1345</v>
      </c>
      <c r="K1370" t="n">
        <v>7.819526771550577</v>
      </c>
    </row>
    <row r="1371">
      <c r="A1371" t="n">
        <v>59</v>
      </c>
      <c r="B1371" t="inlineStr">
        <is>
          <t>Coffee</t>
        </is>
      </c>
      <c r="C1371" t="inlineStr">
        <is>
          <t>Town</t>
        </is>
      </c>
      <c r="D1371" t="inlineStr">
        <is>
          <t>Win</t>
        </is>
      </c>
      <c r="E1371" t="n">
        <v>121</v>
      </c>
      <c r="F1371" t="n">
        <v>25</v>
      </c>
      <c r="G1371" t="n">
        <v>26.65739202022665</v>
      </c>
      <c r="H1371" t="n">
        <v>8.248725738679656</v>
      </c>
      <c r="I1371" t="n">
        <v>850</v>
      </c>
      <c r="J1371" t="n">
        <v>971</v>
      </c>
      <c r="K1371" t="n">
        <v>8.333333333333334</v>
      </c>
    </row>
    <row r="1372">
      <c r="A1372" t="n">
        <v>59</v>
      </c>
      <c r="B1372" t="inlineStr">
        <is>
          <t>Hunterxp</t>
        </is>
      </c>
      <c r="C1372" t="inlineStr">
        <is>
          <t>Town</t>
        </is>
      </c>
      <c r="D1372" t="inlineStr">
        <is>
          <t>Win</t>
        </is>
      </c>
      <c r="E1372" t="n">
        <v>121</v>
      </c>
      <c r="F1372" t="n">
        <v>25</v>
      </c>
      <c r="G1372" t="n">
        <v>26.65739202022665</v>
      </c>
      <c r="H1372" t="n">
        <v>8.248725738679656</v>
      </c>
      <c r="I1372" t="n">
        <v>850</v>
      </c>
      <c r="J1372" t="n">
        <v>971</v>
      </c>
      <c r="K1372" t="n">
        <v>8.333333333333334</v>
      </c>
    </row>
    <row r="1373">
      <c r="A1373" t="n">
        <v>59</v>
      </c>
      <c r="B1373" t="inlineStr">
        <is>
          <t>Laur</t>
        </is>
      </c>
      <c r="C1373" t="inlineStr">
        <is>
          <t>Town</t>
        </is>
      </c>
      <c r="D1373" t="inlineStr">
        <is>
          <t>Win</t>
        </is>
      </c>
      <c r="E1373" t="n">
        <v>115</v>
      </c>
      <c r="F1373" t="n">
        <v>26.74253120828374</v>
      </c>
      <c r="G1373" t="n">
        <v>28.31377176089542</v>
      </c>
      <c r="H1373" t="n">
        <v>8.035813552250548</v>
      </c>
      <c r="I1373" t="n">
        <v>991</v>
      </c>
      <c r="J1373" t="n">
        <v>1106</v>
      </c>
      <c r="K1373" t="n">
        <v>8.113827257648559</v>
      </c>
    </row>
    <row r="1374">
      <c r="A1374" t="n">
        <v>58</v>
      </c>
      <c r="B1374" t="inlineStr">
        <is>
          <t>Boobles</t>
        </is>
      </c>
      <c r="C1374" t="inlineStr">
        <is>
          <t>Mafia</t>
        </is>
      </c>
      <c r="D1374" t="inlineStr">
        <is>
          <t>Win</t>
        </is>
      </c>
      <c r="E1374" t="n">
        <v>65</v>
      </c>
      <c r="F1374" t="n">
        <v>24.80834509415916</v>
      </c>
      <c r="G1374" t="n">
        <v>25.68336959767205</v>
      </c>
      <c r="H1374" t="n">
        <v>7.931565618886746</v>
      </c>
      <c r="I1374" t="n">
        <v>872</v>
      </c>
      <c r="J1374" t="n">
        <v>937</v>
      </c>
      <c r="K1374" t="n">
        <v>7.991240155749352</v>
      </c>
    </row>
    <row r="1375">
      <c r="A1375" t="n">
        <v>58</v>
      </c>
      <c r="B1375" t="inlineStr">
        <is>
          <t>Smit</t>
        </is>
      </c>
      <c r="C1375" t="inlineStr">
        <is>
          <t>Mafia</t>
        </is>
      </c>
      <c r="D1375" t="inlineStr">
        <is>
          <t>Win</t>
        </is>
      </c>
      <c r="E1375" t="n">
        <v>66</v>
      </c>
      <c r="F1375" t="n">
        <v>25.07640389867761</v>
      </c>
      <c r="G1375" t="n">
        <v>25.95367801099093</v>
      </c>
      <c r="H1375" t="n">
        <v>7.941598925837772</v>
      </c>
      <c r="I1375" t="n">
        <v>889</v>
      </c>
      <c r="J1375" t="n">
        <v>955</v>
      </c>
      <c r="K1375" t="n">
        <v>8.001507545978688</v>
      </c>
    </row>
    <row r="1376">
      <c r="A1376" t="n">
        <v>58</v>
      </c>
      <c r="B1376" t="inlineStr">
        <is>
          <t>Cyclone</t>
        </is>
      </c>
      <c r="C1376" t="inlineStr">
        <is>
          <t>Mafia</t>
        </is>
      </c>
      <c r="D1376" t="inlineStr">
        <is>
          <t>Win</t>
        </is>
      </c>
      <c r="E1376" t="n">
        <v>72</v>
      </c>
      <c r="F1376" t="n">
        <v>25</v>
      </c>
      <c r="G1376" t="n">
        <v>25.9515330769544</v>
      </c>
      <c r="H1376" t="n">
        <v>8.265531333071781</v>
      </c>
      <c r="I1376" t="n">
        <v>850</v>
      </c>
      <c r="J1376" t="n">
        <v>922</v>
      </c>
      <c r="K1376" t="n">
        <v>8.333333333333334</v>
      </c>
    </row>
    <row r="1377">
      <c r="A1377" t="n">
        <v>58</v>
      </c>
      <c r="B1377" t="inlineStr">
        <is>
          <t>Lombax</t>
        </is>
      </c>
      <c r="C1377" t="inlineStr">
        <is>
          <t>Town</t>
        </is>
      </c>
      <c r="D1377" t="inlineStr">
        <is>
          <t>Loss</t>
        </is>
      </c>
      <c r="E1377" t="n">
        <v>-57</v>
      </c>
      <c r="F1377" t="n">
        <v>25.79175963053884</v>
      </c>
      <c r="G1377" t="n">
        <v>24.85401373659398</v>
      </c>
      <c r="H1377" t="n">
        <v>8.20641927962099</v>
      </c>
      <c r="I1377" t="n">
        <v>910</v>
      </c>
      <c r="J1377" t="n">
        <v>853</v>
      </c>
      <c r="K1377" t="n">
        <v>8.272731611951896</v>
      </c>
    </row>
    <row r="1378">
      <c r="A1378" t="n">
        <v>58</v>
      </c>
      <c r="B1378" t="inlineStr">
        <is>
          <t>Asiansam</t>
        </is>
      </c>
      <c r="C1378" t="inlineStr">
        <is>
          <t>Town</t>
        </is>
      </c>
      <c r="D1378" t="inlineStr">
        <is>
          <t>Loss</t>
        </is>
      </c>
      <c r="E1378" t="n">
        <v>-55</v>
      </c>
      <c r="F1378" t="n">
        <v>25.78770150613939</v>
      </c>
      <c r="G1378" t="n">
        <v>24.88506205512831</v>
      </c>
      <c r="H1378" t="n">
        <v>8.053809414564119</v>
      </c>
      <c r="I1378" t="n">
        <v>926</v>
      </c>
      <c r="J1378" t="n">
        <v>871</v>
      </c>
      <c r="K1378" t="n">
        <v>8.116378108390418</v>
      </c>
    </row>
    <row r="1379">
      <c r="A1379" t="n">
        <v>58</v>
      </c>
      <c r="B1379" t="inlineStr">
        <is>
          <t>Rocker</t>
        </is>
      </c>
      <c r="C1379" t="inlineStr">
        <is>
          <t>Town</t>
        </is>
      </c>
      <c r="D1379" t="inlineStr">
        <is>
          <t>Loss</t>
        </is>
      </c>
      <c r="E1379" t="n">
        <v>-53</v>
      </c>
      <c r="F1379" t="n">
        <v>32.31201950443052</v>
      </c>
      <c r="G1379" t="n">
        <v>31.4531865713896</v>
      </c>
      <c r="H1379" t="n">
        <v>7.858949146610481</v>
      </c>
      <c r="I1379" t="n">
        <v>1390</v>
      </c>
      <c r="J1379" t="n">
        <v>1337</v>
      </c>
      <c r="K1379" t="n">
        <v>7.916947751318205</v>
      </c>
    </row>
    <row r="1380">
      <c r="A1380" t="n">
        <v>58</v>
      </c>
      <c r="B1380" t="inlineStr">
        <is>
          <t>Iln</t>
        </is>
      </c>
      <c r="C1380" t="inlineStr">
        <is>
          <t>Town</t>
        </is>
      </c>
      <c r="D1380" t="inlineStr">
        <is>
          <t>Loss</t>
        </is>
      </c>
      <c r="E1380" t="n">
        <v>-53</v>
      </c>
      <c r="F1380" t="n">
        <v>23.23968929018252</v>
      </c>
      <c r="G1380" t="n">
        <v>22.37301177336661</v>
      </c>
      <c r="H1380" t="n">
        <v>7.894219404432831</v>
      </c>
      <c r="I1380" t="n">
        <v>769</v>
      </c>
      <c r="J1380" t="n">
        <v>716</v>
      </c>
      <c r="K1380" t="n">
        <v>7.953028022547699</v>
      </c>
    </row>
    <row r="1381">
      <c r="A1381" t="n">
        <v>58</v>
      </c>
      <c r="B1381" t="inlineStr">
        <is>
          <t>Dani</t>
        </is>
      </c>
      <c r="C1381" t="inlineStr">
        <is>
          <t>Town</t>
        </is>
      </c>
      <c r="D1381" t="inlineStr">
        <is>
          <t>Loss</t>
        </is>
      </c>
      <c r="E1381" t="n">
        <v>-58</v>
      </c>
      <c r="F1381" t="n">
        <v>25</v>
      </c>
      <c r="G1381" t="n">
        <v>24.04846692304561</v>
      </c>
      <c r="H1381" t="n">
        <v>8.265531333071781</v>
      </c>
      <c r="I1381" t="n">
        <v>850</v>
      </c>
      <c r="J1381" t="n">
        <v>792</v>
      </c>
      <c r="K1381" t="n">
        <v>8.333333333333334</v>
      </c>
    </row>
    <row r="1382">
      <c r="A1382" t="n">
        <v>58</v>
      </c>
      <c r="B1382" t="inlineStr">
        <is>
          <t>Laura</t>
        </is>
      </c>
      <c r="C1382" t="inlineStr">
        <is>
          <t>Town</t>
        </is>
      </c>
      <c r="D1382" t="inlineStr">
        <is>
          <t>Loss</t>
        </is>
      </c>
      <c r="E1382" t="n">
        <v>-58</v>
      </c>
      <c r="F1382" t="n">
        <v>25</v>
      </c>
      <c r="G1382" t="n">
        <v>24.04846692304561</v>
      </c>
      <c r="H1382" t="n">
        <v>8.265531333071781</v>
      </c>
      <c r="I1382" t="n">
        <v>850</v>
      </c>
      <c r="J1382" t="n">
        <v>792</v>
      </c>
      <c r="K1382" t="n">
        <v>8.333333333333334</v>
      </c>
    </row>
    <row r="1383">
      <c r="A1383" t="n">
        <v>58</v>
      </c>
      <c r="B1383" t="inlineStr">
        <is>
          <t>Badpants</t>
        </is>
      </c>
      <c r="C1383" t="inlineStr">
        <is>
          <t>Town</t>
        </is>
      </c>
      <c r="D1383" t="inlineStr">
        <is>
          <t>Loss</t>
        </is>
      </c>
      <c r="E1383" t="n">
        <v>-52</v>
      </c>
      <c r="F1383" t="n">
        <v>21.62811153317054</v>
      </c>
      <c r="G1383" t="n">
        <v>20.76334873652143</v>
      </c>
      <c r="H1383" t="n">
        <v>7.885626032367045</v>
      </c>
      <c r="I1383" t="n">
        <v>660</v>
      </c>
      <c r="J1383" t="n">
        <v>608</v>
      </c>
      <c r="K1383" t="n">
        <v>7.944236601907772</v>
      </c>
    </row>
    <row r="1384">
      <c r="A1384" t="n">
        <v>58</v>
      </c>
      <c r="B1384" t="inlineStr">
        <is>
          <t>Chipper</t>
        </is>
      </c>
      <c r="C1384" t="inlineStr">
        <is>
          <t>Town</t>
        </is>
      </c>
      <c r="D1384" t="inlineStr">
        <is>
          <t>Loss</t>
        </is>
      </c>
      <c r="E1384" t="n">
        <v>-54</v>
      </c>
      <c r="F1384" t="n">
        <v>23.20724906850483</v>
      </c>
      <c r="G1384" t="n">
        <v>22.32475343383811</v>
      </c>
      <c r="H1384" t="n">
        <v>7.964835250944838</v>
      </c>
      <c r="I1384" t="n">
        <v>760</v>
      </c>
      <c r="J1384" t="n">
        <v>706</v>
      </c>
      <c r="K1384" t="n">
        <v>8.025288352931442</v>
      </c>
    </row>
    <row r="1385">
      <c r="A1385" t="n">
        <v>58</v>
      </c>
      <c r="B1385" t="inlineStr">
        <is>
          <t>Machop</t>
        </is>
      </c>
      <c r="C1385" t="inlineStr">
        <is>
          <t>Town</t>
        </is>
      </c>
      <c r="D1385" t="inlineStr">
        <is>
          <t>Loss</t>
        </is>
      </c>
      <c r="E1385" t="n">
        <v>-52</v>
      </c>
      <c r="F1385" t="n">
        <v>30.78948843154986</v>
      </c>
      <c r="G1385" t="n">
        <v>29.93937943703448</v>
      </c>
      <c r="H1385" t="n">
        <v>7.819526771550577</v>
      </c>
      <c r="I1385" t="n">
        <v>1290</v>
      </c>
      <c r="J1385" t="n">
        <v>1238</v>
      </c>
      <c r="K1385" t="n">
        <v>7.876628890173104</v>
      </c>
    </row>
    <row r="1386">
      <c r="A1386" t="n">
        <v>58</v>
      </c>
      <c r="B1386" t="inlineStr">
        <is>
          <t>Svaan</t>
        </is>
      </c>
      <c r="C1386" t="inlineStr">
        <is>
          <t>Town</t>
        </is>
      </c>
      <c r="D1386" t="inlineStr">
        <is>
          <t>Loss</t>
        </is>
      </c>
      <c r="E1386" t="n">
        <v>-55</v>
      </c>
      <c r="F1386" t="n">
        <v>26.53513962587866</v>
      </c>
      <c r="G1386" t="n">
        <v>25.63576160506151</v>
      </c>
      <c r="H1386" t="n">
        <v>8.039474953847243</v>
      </c>
      <c r="I1386" t="n">
        <v>978</v>
      </c>
      <c r="J1386" t="n">
        <v>923</v>
      </c>
      <c r="K1386" t="n">
        <v>8.101699500636707</v>
      </c>
    </row>
    <row r="1387">
      <c r="A1387" t="n">
        <v>57</v>
      </c>
      <c r="B1387" t="inlineStr">
        <is>
          <t>Lou</t>
        </is>
      </c>
      <c r="C1387" t="inlineStr">
        <is>
          <t>Mafia</t>
        </is>
      </c>
      <c r="D1387" t="inlineStr">
        <is>
          <t>Loss</t>
        </is>
      </c>
      <c r="E1387" t="n">
        <v>-79</v>
      </c>
      <c r="F1387" t="n">
        <v>26.29013602031775</v>
      </c>
      <c r="G1387" t="n">
        <v>25.0324290345923</v>
      </c>
      <c r="H1387" t="n">
        <v>7.755655989788115</v>
      </c>
      <c r="I1387" t="n">
        <v>990</v>
      </c>
      <c r="J1387" t="n">
        <v>911</v>
      </c>
      <c r="K1387" t="n">
        <v>7.816815182746046</v>
      </c>
    </row>
    <row r="1388">
      <c r="A1388" t="n">
        <v>57</v>
      </c>
      <c r="B1388" t="inlineStr">
        <is>
          <t>Mintt</t>
        </is>
      </c>
      <c r="C1388" t="inlineStr">
        <is>
          <t>Mafia</t>
        </is>
      </c>
      <c r="D1388" t="inlineStr">
        <is>
          <t>Loss</t>
        </is>
      </c>
      <c r="E1388" t="n">
        <v>-87</v>
      </c>
      <c r="F1388" t="n">
        <v>27.93445769771747</v>
      </c>
      <c r="G1388" t="n">
        <v>26.55909555312029</v>
      </c>
      <c r="H1388" t="n">
        <v>8.104235915308976</v>
      </c>
      <c r="I1388" t="n">
        <v>1066</v>
      </c>
      <c r="J1388" t="n">
        <v>979</v>
      </c>
      <c r="K1388" t="n">
        <v>8.17432085894116</v>
      </c>
    </row>
    <row r="1389">
      <c r="A1389" t="n">
        <v>57</v>
      </c>
      <c r="B1389" t="inlineStr">
        <is>
          <t>Torharo</t>
        </is>
      </c>
      <c r="C1389" t="inlineStr">
        <is>
          <t>Mafia</t>
        </is>
      </c>
      <c r="D1389" t="inlineStr">
        <is>
          <t>Loss</t>
        </is>
      </c>
      <c r="E1389" t="n">
        <v>-90</v>
      </c>
      <c r="F1389" t="n">
        <v>25</v>
      </c>
      <c r="G1389" t="n">
        <v>23.57061652527494</v>
      </c>
      <c r="H1389" t="n">
        <v>8.259018026377053</v>
      </c>
      <c r="I1389" t="n">
        <v>850</v>
      </c>
      <c r="J1389" t="n">
        <v>760</v>
      </c>
      <c r="K1389" t="n">
        <v>8.333333333333334</v>
      </c>
    </row>
    <row r="1390">
      <c r="A1390" t="n">
        <v>57</v>
      </c>
      <c r="B1390" t="inlineStr">
        <is>
          <t>Aipha</t>
        </is>
      </c>
      <c r="C1390" t="inlineStr">
        <is>
          <t>Town</t>
        </is>
      </c>
      <c r="D1390" t="inlineStr">
        <is>
          <t>Win</t>
        </is>
      </c>
      <c r="E1390" t="n">
        <v>101</v>
      </c>
      <c r="F1390" t="n">
        <v>25.82768923345282</v>
      </c>
      <c r="G1390" t="n">
        <v>27.21175912248801</v>
      </c>
      <c r="H1390" t="n">
        <v>8.129399375249292</v>
      </c>
      <c r="I1390" t="n">
        <v>920</v>
      </c>
      <c r="J1390" t="n">
        <v>1021</v>
      </c>
      <c r="K1390" t="n">
        <v>8.200160674042262</v>
      </c>
    </row>
    <row r="1391">
      <c r="A1391" t="n">
        <v>57</v>
      </c>
      <c r="B1391" t="inlineStr">
        <is>
          <t>Antfrost</t>
        </is>
      </c>
      <c r="C1391" t="inlineStr">
        <is>
          <t>Town</t>
        </is>
      </c>
      <c r="D1391" t="inlineStr">
        <is>
          <t>Win</t>
        </is>
      </c>
      <c r="E1391" t="n">
        <v>105</v>
      </c>
      <c r="F1391" t="n">
        <v>25</v>
      </c>
      <c r="G1391" t="n">
        <v>26.42938347472506</v>
      </c>
      <c r="H1391" t="n">
        <v>8.259018026377053</v>
      </c>
      <c r="I1391" t="n">
        <v>850</v>
      </c>
      <c r="J1391" t="n">
        <v>955</v>
      </c>
      <c r="K1391" t="n">
        <v>8.333333333333334</v>
      </c>
    </row>
    <row r="1392">
      <c r="A1392" t="n">
        <v>57</v>
      </c>
      <c r="B1392" t="inlineStr">
        <is>
          <t>Brownkow</t>
        </is>
      </c>
      <c r="C1392" t="inlineStr">
        <is>
          <t>Town</t>
        </is>
      </c>
      <c r="D1392" t="inlineStr">
        <is>
          <t>Win</t>
        </is>
      </c>
      <c r="E1392" t="n">
        <v>96</v>
      </c>
      <c r="F1392" t="n">
        <v>29.35109424402285</v>
      </c>
      <c r="G1392" t="n">
        <v>30.6663357294206</v>
      </c>
      <c r="H1392" t="n">
        <v>7.92816273899641</v>
      </c>
      <c r="I1392" t="n">
        <v>1181</v>
      </c>
      <c r="J1392" t="n">
        <v>1277</v>
      </c>
      <c r="K1392" t="n">
        <v>7.993636792651419</v>
      </c>
    </row>
    <row r="1393">
      <c r="A1393" t="n">
        <v>57</v>
      </c>
      <c r="B1393" t="inlineStr">
        <is>
          <t>Carson</t>
        </is>
      </c>
      <c r="C1393" t="inlineStr">
        <is>
          <t>Town</t>
        </is>
      </c>
      <c r="D1393" t="inlineStr">
        <is>
          <t>Win</t>
        </is>
      </c>
      <c r="E1393" t="n">
        <v>92</v>
      </c>
      <c r="F1393" t="n">
        <v>27.38349733173354</v>
      </c>
      <c r="G1393" t="n">
        <v>28.63980766059776</v>
      </c>
      <c r="H1393" t="n">
        <v>7.751417409213613</v>
      </c>
      <c r="I1393" t="n">
        <v>1065</v>
      </c>
      <c r="J1393" t="n">
        <v>1157</v>
      </c>
      <c r="K1393" t="n">
        <v>7.812473062927883</v>
      </c>
    </row>
    <row r="1394">
      <c r="A1394" t="n">
        <v>57</v>
      </c>
      <c r="B1394" t="inlineStr">
        <is>
          <t>Josh</t>
        </is>
      </c>
      <c r="C1394" t="inlineStr">
        <is>
          <t>Town</t>
        </is>
      </c>
      <c r="D1394" t="inlineStr">
        <is>
          <t>Win</t>
        </is>
      </c>
      <c r="E1394" t="n">
        <v>98</v>
      </c>
      <c r="F1394" t="n">
        <v>25.93786745361785</v>
      </c>
      <c r="G1394" t="n">
        <v>27.27259626638815</v>
      </c>
      <c r="H1394" t="n">
        <v>7.985689976261965</v>
      </c>
      <c r="I1394" t="n">
        <v>942</v>
      </c>
      <c r="J1394" t="n">
        <v>1040</v>
      </c>
      <c r="K1394" t="n">
        <v>8.052647264870016</v>
      </c>
    </row>
    <row r="1395">
      <c r="A1395" t="n">
        <v>57</v>
      </c>
      <c r="B1395" t="inlineStr">
        <is>
          <t>Maz</t>
        </is>
      </c>
      <c r="C1395" t="inlineStr">
        <is>
          <t>Town</t>
        </is>
      </c>
      <c r="D1395" t="inlineStr">
        <is>
          <t>Win</t>
        </is>
      </c>
      <c r="E1395" t="n">
        <v>102</v>
      </c>
      <c r="F1395" t="n">
        <v>23.68588865247774</v>
      </c>
      <c r="G1395" t="n">
        <v>25.08880561626226</v>
      </c>
      <c r="H1395" t="n">
        <v>8.183578992014185</v>
      </c>
      <c r="I1395" t="n">
        <v>769</v>
      </c>
      <c r="J1395" t="n">
        <v>871</v>
      </c>
      <c r="K1395" t="n">
        <v>8.255811510115693</v>
      </c>
    </row>
    <row r="1396">
      <c r="A1396" t="n">
        <v>57</v>
      </c>
      <c r="B1396" t="inlineStr">
        <is>
          <t>Noah</t>
        </is>
      </c>
      <c r="C1396" t="inlineStr">
        <is>
          <t>Town</t>
        </is>
      </c>
      <c r="D1396" t="inlineStr">
        <is>
          <t>Win</t>
        </is>
      </c>
      <c r="E1396" t="n">
        <v>97</v>
      </c>
      <c r="F1396" t="n">
        <v>22.61708073999378</v>
      </c>
      <c r="G1396" t="n">
        <v>23.9480102335279</v>
      </c>
      <c r="H1396" t="n">
        <v>7.974509100881047</v>
      </c>
      <c r="I1396" t="n">
        <v>718</v>
      </c>
      <c r="J1396" t="n">
        <v>815</v>
      </c>
      <c r="K1396" t="n">
        <v>8.04117635588114</v>
      </c>
    </row>
    <row r="1397">
      <c r="A1397" t="n">
        <v>57</v>
      </c>
      <c r="B1397" t="inlineStr">
        <is>
          <t>Pinkee</t>
        </is>
      </c>
      <c r="C1397" t="inlineStr">
        <is>
          <t>Town</t>
        </is>
      </c>
      <c r="D1397" t="inlineStr">
        <is>
          <t>Win</t>
        </is>
      </c>
      <c r="E1397" t="n">
        <v>105</v>
      </c>
      <c r="F1397" t="n">
        <v>25</v>
      </c>
      <c r="G1397" t="n">
        <v>26.42938347472506</v>
      </c>
      <c r="H1397" t="n">
        <v>8.259018026377053</v>
      </c>
      <c r="I1397" t="n">
        <v>850</v>
      </c>
      <c r="J1397" t="n">
        <v>955</v>
      </c>
      <c r="K1397" t="n">
        <v>8.333333333333334</v>
      </c>
    </row>
    <row r="1398">
      <c r="A1398" t="n">
        <v>57</v>
      </c>
      <c r="B1398" t="inlineStr">
        <is>
          <t>Rocker</t>
        </is>
      </c>
      <c r="C1398" t="inlineStr">
        <is>
          <t>Town</t>
        </is>
      </c>
      <c r="D1398" t="inlineStr">
        <is>
          <t>Win</t>
        </is>
      </c>
      <c r="E1398" t="n">
        <v>96</v>
      </c>
      <c r="F1398" t="n">
        <v>31.00055954115837</v>
      </c>
      <c r="G1398" t="n">
        <v>32.31201950443052</v>
      </c>
      <c r="H1398" t="n">
        <v>7.916947751318205</v>
      </c>
      <c r="I1398" t="n">
        <v>1294</v>
      </c>
      <c r="J1398" t="n">
        <v>1390</v>
      </c>
      <c r="K1398" t="n">
        <v>7.982135250490973</v>
      </c>
    </row>
    <row r="1399">
      <c r="A1399" t="n">
        <v>57</v>
      </c>
      <c r="B1399" t="inlineStr">
        <is>
          <t>Starv</t>
        </is>
      </c>
      <c r="C1399" t="inlineStr">
        <is>
          <t>Town</t>
        </is>
      </c>
      <c r="D1399" t="inlineStr">
        <is>
          <t>Win</t>
        </is>
      </c>
      <c r="E1399" t="n">
        <v>98</v>
      </c>
      <c r="F1399" t="n">
        <v>27.52463554834957</v>
      </c>
      <c r="G1399" t="n">
        <v>28.86407313670582</v>
      </c>
      <c r="H1399" t="n">
        <v>7.999524047130461</v>
      </c>
      <c r="I1399" t="n">
        <v>1049</v>
      </c>
      <c r="J1399" t="n">
        <v>1147</v>
      </c>
      <c r="K1399" t="n">
        <v>8.066841370001393</v>
      </c>
    </row>
    <row r="1400">
      <c r="A1400" t="n">
        <v>57</v>
      </c>
      <c r="B1400" t="inlineStr">
        <is>
          <t>Whyin</t>
        </is>
      </c>
      <c r="C1400" t="inlineStr">
        <is>
          <t>Town</t>
        </is>
      </c>
      <c r="D1400" t="inlineStr">
        <is>
          <t>Win</t>
        </is>
      </c>
      <c r="E1400" t="n">
        <v>98</v>
      </c>
      <c r="F1400" t="n">
        <v>24.80309584476783</v>
      </c>
      <c r="G1400" t="n">
        <v>26.13782465753813</v>
      </c>
      <c r="H1400" t="n">
        <v>7.985689976261965</v>
      </c>
      <c r="I1400" t="n">
        <v>865</v>
      </c>
      <c r="J1400" t="n">
        <v>963</v>
      </c>
      <c r="K1400" t="n">
        <v>8.052647264870016</v>
      </c>
    </row>
    <row r="1401">
      <c r="A1401" t="n">
        <v>56</v>
      </c>
      <c r="B1401" t="inlineStr">
        <is>
          <t>Asiansam</t>
        </is>
      </c>
      <c r="C1401" t="inlineStr">
        <is>
          <t>Mafia</t>
        </is>
      </c>
      <c r="D1401" t="inlineStr">
        <is>
          <t>Win</t>
        </is>
      </c>
      <c r="E1401" t="n">
        <v>65</v>
      </c>
      <c r="F1401" t="n">
        <v>24.92373897110417</v>
      </c>
      <c r="G1401" t="n">
        <v>25.78770150613939</v>
      </c>
      <c r="H1401" t="n">
        <v>8.116378108390418</v>
      </c>
      <c r="I1401" t="n">
        <v>861</v>
      </c>
      <c r="J1401" t="n">
        <v>926</v>
      </c>
      <c r="K1401" t="n">
        <v>8.178670574321114</v>
      </c>
    </row>
    <row r="1402">
      <c r="A1402" t="n">
        <v>56</v>
      </c>
      <c r="B1402" t="inlineStr">
        <is>
          <t>Whyin</t>
        </is>
      </c>
      <c r="C1402" t="inlineStr">
        <is>
          <t>Mafia</t>
        </is>
      </c>
      <c r="D1402" t="inlineStr">
        <is>
          <t>Win</t>
        </is>
      </c>
      <c r="E1402" t="n">
        <v>64</v>
      </c>
      <c r="F1402" t="n">
        <v>23.95285810325873</v>
      </c>
      <c r="G1402" t="n">
        <v>24.80309584476783</v>
      </c>
      <c r="H1402" t="n">
        <v>8.052647264870016</v>
      </c>
      <c r="I1402" t="n">
        <v>801</v>
      </c>
      <c r="J1402" t="n">
        <v>865</v>
      </c>
      <c r="K1402" t="n">
        <v>8.11343808311017</v>
      </c>
    </row>
    <row r="1403">
      <c r="A1403" t="n">
        <v>56</v>
      </c>
      <c r="B1403" t="inlineStr">
        <is>
          <t>Xcync</t>
        </is>
      </c>
      <c r="C1403" t="inlineStr">
        <is>
          <t>Mafia</t>
        </is>
      </c>
      <c r="D1403" t="inlineStr">
        <is>
          <t>Win</t>
        </is>
      </c>
      <c r="E1403" t="n">
        <v>60</v>
      </c>
      <c r="F1403" t="n">
        <v>26.66569294528718</v>
      </c>
      <c r="G1403" t="n">
        <v>27.4604893405705</v>
      </c>
      <c r="H1403" t="n">
        <v>7.789563068575006</v>
      </c>
      <c r="I1403" t="n">
        <v>1013</v>
      </c>
      <c r="J1403" t="n">
        <v>1073</v>
      </c>
      <c r="K1403" t="n">
        <v>7.844411722420582</v>
      </c>
    </row>
    <row r="1404">
      <c r="A1404" t="n">
        <v>56</v>
      </c>
      <c r="B1404" t="inlineStr">
        <is>
          <t>Kwix</t>
        </is>
      </c>
      <c r="C1404" t="inlineStr">
        <is>
          <t>Town</t>
        </is>
      </c>
      <c r="D1404" t="inlineStr">
        <is>
          <t>Loss</t>
        </is>
      </c>
      <c r="E1404" t="n">
        <v>-51</v>
      </c>
      <c r="F1404" t="n">
        <v>23.20702558404685</v>
      </c>
      <c r="G1404" t="n">
        <v>22.36762540937544</v>
      </c>
      <c r="H1404" t="n">
        <v>8.001941731497309</v>
      </c>
      <c r="I1404" t="n">
        <v>756</v>
      </c>
      <c r="J1404" t="n">
        <v>705</v>
      </c>
      <c r="K1404" t="n">
        <v>8.061555317351322</v>
      </c>
    </row>
    <row r="1405">
      <c r="A1405" t="n">
        <v>56</v>
      </c>
      <c r="B1405" t="inlineStr">
        <is>
          <t>Noah</t>
        </is>
      </c>
      <c r="C1405" t="inlineStr">
        <is>
          <t>Town</t>
        </is>
      </c>
      <c r="D1405" t="inlineStr">
        <is>
          <t>Loss</t>
        </is>
      </c>
      <c r="E1405" t="n">
        <v>-51</v>
      </c>
      <c r="F1405" t="n">
        <v>23.46486037412136</v>
      </c>
      <c r="G1405" t="n">
        <v>22.61708073999378</v>
      </c>
      <c r="H1405" t="n">
        <v>8.04117635588114</v>
      </c>
      <c r="I1405" t="n">
        <v>769</v>
      </c>
      <c r="J1405" t="n">
        <v>718</v>
      </c>
      <c r="K1405" t="n">
        <v>8.101699500636707</v>
      </c>
    </row>
    <row r="1406">
      <c r="A1406" t="n">
        <v>56</v>
      </c>
      <c r="B1406" t="inlineStr">
        <is>
          <t>Vandy</t>
        </is>
      </c>
      <c r="C1406" t="inlineStr">
        <is>
          <t>Town</t>
        </is>
      </c>
      <c r="D1406" t="inlineStr">
        <is>
          <t>Loss</t>
        </is>
      </c>
      <c r="E1406" t="n">
        <v>-54</v>
      </c>
      <c r="F1406" t="n">
        <v>25</v>
      </c>
      <c r="G1406" t="n">
        <v>24.10305750733407</v>
      </c>
      <c r="H1406" t="n">
        <v>8.267383688781976</v>
      </c>
      <c r="I1406" t="n">
        <v>850</v>
      </c>
      <c r="J1406" t="n">
        <v>796</v>
      </c>
      <c r="K1406" t="n">
        <v>8.333333333333334</v>
      </c>
    </row>
    <row r="1407">
      <c r="A1407" t="n">
        <v>56</v>
      </c>
      <c r="B1407" t="inlineStr">
        <is>
          <t>Kny</t>
        </is>
      </c>
      <c r="C1407" t="inlineStr">
        <is>
          <t>Town</t>
        </is>
      </c>
      <c r="D1407" t="inlineStr">
        <is>
          <t>Loss</t>
        </is>
      </c>
      <c r="E1407" t="n">
        <v>-52</v>
      </c>
      <c r="F1407" t="n">
        <v>27.62744754836989</v>
      </c>
      <c r="G1407" t="n">
        <v>26.76331618581039</v>
      </c>
      <c r="H1407" t="n">
        <v>8.11715874229801</v>
      </c>
      <c r="I1407" t="n">
        <v>1044</v>
      </c>
      <c r="J1407" t="n">
        <v>992</v>
      </c>
      <c r="K1407" t="n">
        <v>8.179469754612272</v>
      </c>
    </row>
    <row r="1408">
      <c r="A1408" t="n">
        <v>56</v>
      </c>
      <c r="B1408" t="inlineStr">
        <is>
          <t>Streety</t>
        </is>
      </c>
      <c r="C1408" t="inlineStr">
        <is>
          <t>Town</t>
        </is>
      </c>
      <c r="D1408" t="inlineStr">
        <is>
          <t>Loss</t>
        </is>
      </c>
      <c r="E1408" t="n">
        <v>-52</v>
      </c>
      <c r="F1408" t="n">
        <v>27.28637207443524</v>
      </c>
      <c r="G1408" t="n">
        <v>26.42010066436153</v>
      </c>
      <c r="H1408" t="n">
        <v>8.127047093818769</v>
      </c>
      <c r="I1408" t="n">
        <v>1020</v>
      </c>
      <c r="J1408" t="n">
        <v>968</v>
      </c>
      <c r="K1408" t="n">
        <v>8.18959335596846</v>
      </c>
    </row>
    <row r="1409">
      <c r="A1409" t="n">
        <v>56</v>
      </c>
      <c r="B1409" t="inlineStr">
        <is>
          <t>Carson</t>
        </is>
      </c>
      <c r="C1409" t="inlineStr">
        <is>
          <t>Town</t>
        </is>
      </c>
      <c r="D1409" t="inlineStr">
        <is>
          <t>Loss</t>
        </is>
      </c>
      <c r="E1409" t="n">
        <v>-49</v>
      </c>
      <c r="F1409" t="n">
        <v>28.18304409792932</v>
      </c>
      <c r="G1409" t="n">
        <v>27.38349733173354</v>
      </c>
      <c r="H1409" t="n">
        <v>7.812473062927883</v>
      </c>
      <c r="I1409" t="n">
        <v>1114</v>
      </c>
      <c r="J1409" t="n">
        <v>1065</v>
      </c>
      <c r="K1409" t="n">
        <v>7.867822994130784</v>
      </c>
    </row>
    <row r="1410">
      <c r="A1410" t="n">
        <v>56</v>
      </c>
      <c r="B1410" t="inlineStr">
        <is>
          <t>Chipper</t>
        </is>
      </c>
      <c r="C1410" t="inlineStr">
        <is>
          <t>Town</t>
        </is>
      </c>
      <c r="D1410" t="inlineStr">
        <is>
          <t>Loss</t>
        </is>
      </c>
      <c r="E1410" t="n">
        <v>-51</v>
      </c>
      <c r="F1410" t="n">
        <v>24.05163020548573</v>
      </c>
      <c r="G1410" t="n">
        <v>23.20724906850483</v>
      </c>
      <c r="H1410" t="n">
        <v>8.025288352931442</v>
      </c>
      <c r="I1410" t="n">
        <v>811</v>
      </c>
      <c r="J1410" t="n">
        <v>760</v>
      </c>
      <c r="K1410" t="n">
        <v>8.085442059602672</v>
      </c>
    </row>
    <row r="1411">
      <c r="A1411" t="n">
        <v>56</v>
      </c>
      <c r="B1411" t="inlineStr">
        <is>
          <t>Nick</t>
        </is>
      </c>
      <c r="C1411" t="inlineStr">
        <is>
          <t>Town</t>
        </is>
      </c>
      <c r="D1411" t="inlineStr">
        <is>
          <t>Loss</t>
        </is>
      </c>
      <c r="E1411" t="n">
        <v>-54</v>
      </c>
      <c r="F1411" t="n">
        <v>25</v>
      </c>
      <c r="G1411" t="n">
        <v>24.10305750733407</v>
      </c>
      <c r="H1411" t="n">
        <v>8.267383688781976</v>
      </c>
      <c r="I1411" t="n">
        <v>850</v>
      </c>
      <c r="J1411" t="n">
        <v>796</v>
      </c>
      <c r="K1411" t="n">
        <v>8.333333333333334</v>
      </c>
    </row>
    <row r="1412">
      <c r="A1412" t="n">
        <v>56</v>
      </c>
      <c r="B1412" t="inlineStr">
        <is>
          <t>Josh</t>
        </is>
      </c>
      <c r="C1412" t="inlineStr">
        <is>
          <t>Town</t>
        </is>
      </c>
      <c r="D1412" t="inlineStr">
        <is>
          <t>Loss</t>
        </is>
      </c>
      <c r="E1412" t="n">
        <v>-52</v>
      </c>
      <c r="F1412" t="n">
        <v>26.78810519512694</v>
      </c>
      <c r="G1412" t="n">
        <v>25.93786745361785</v>
      </c>
      <c r="H1412" t="n">
        <v>8.052647264870016</v>
      </c>
      <c r="I1412" t="n">
        <v>994</v>
      </c>
      <c r="J1412" t="n">
        <v>942</v>
      </c>
      <c r="K1412" t="n">
        <v>8.11343808311017</v>
      </c>
    </row>
    <row r="1413">
      <c r="A1413" t="n">
        <v>56</v>
      </c>
      <c r="B1413" t="inlineStr">
        <is>
          <t>Rick</t>
        </is>
      </c>
      <c r="C1413" t="inlineStr">
        <is>
          <t>Town</t>
        </is>
      </c>
      <c r="D1413" t="inlineStr">
        <is>
          <t>Loss</t>
        </is>
      </c>
      <c r="E1413" t="n">
        <v>-53</v>
      </c>
      <c r="F1413" t="n">
        <v>27.30998268075072</v>
      </c>
      <c r="G1413" t="n">
        <v>26.44392178912738</v>
      </c>
      <c r="H1413" t="n">
        <v>8.126074935490291</v>
      </c>
      <c r="I1413" t="n">
        <v>1022</v>
      </c>
      <c r="J1413" t="n">
        <v>969</v>
      </c>
      <c r="K1413" t="n">
        <v>8.188598042994785</v>
      </c>
    </row>
    <row r="1414">
      <c r="A1414" t="n">
        <v>55</v>
      </c>
      <c r="B1414" t="inlineStr">
        <is>
          <t>Badpants</t>
        </is>
      </c>
      <c r="C1414" t="inlineStr">
        <is>
          <t>Mafia</t>
        </is>
      </c>
      <c r="D1414" t="inlineStr">
        <is>
          <t>Loss</t>
        </is>
      </c>
      <c r="E1414" t="n">
        <v>-77</v>
      </c>
      <c r="F1414" t="n">
        <v>22.86564332285717</v>
      </c>
      <c r="G1414" t="n">
        <v>21.62811153317054</v>
      </c>
      <c r="H1414" t="n">
        <v>7.944236601907772</v>
      </c>
      <c r="I1414" t="n">
        <v>737</v>
      </c>
      <c r="J1414" t="n">
        <v>660</v>
      </c>
      <c r="K1414" t="n">
        <v>8.013976077608136</v>
      </c>
    </row>
    <row r="1415">
      <c r="A1415" t="n">
        <v>55</v>
      </c>
      <c r="B1415" t="inlineStr">
        <is>
          <t>Boobles</t>
        </is>
      </c>
      <c r="C1415" t="inlineStr">
        <is>
          <t>Mafia</t>
        </is>
      </c>
      <c r="D1415" t="inlineStr">
        <is>
          <t>Loss</t>
        </is>
      </c>
      <c r="E1415" t="n">
        <v>-78</v>
      </c>
      <c r="F1415" t="n">
        <v>26.06083372034216</v>
      </c>
      <c r="G1415" t="n">
        <v>24.80834509415916</v>
      </c>
      <c r="H1415" t="n">
        <v>7.991240155749352</v>
      </c>
      <c r="I1415" t="n">
        <v>950</v>
      </c>
      <c r="J1415" t="n">
        <v>872</v>
      </c>
      <c r="K1415" t="n">
        <v>8.062266669337573</v>
      </c>
    </row>
    <row r="1416">
      <c r="A1416" t="n">
        <v>55</v>
      </c>
      <c r="B1416" t="inlineStr">
        <is>
          <t>Happymeal</t>
        </is>
      </c>
      <c r="C1416" t="inlineStr">
        <is>
          <t>Mafia</t>
        </is>
      </c>
      <c r="D1416" t="inlineStr">
        <is>
          <t>Loss</t>
        </is>
      </c>
      <c r="E1416" t="n">
        <v>-79</v>
      </c>
      <c r="F1416" t="n">
        <v>26.48449563294323</v>
      </c>
      <c r="G1416" t="n">
        <v>25.20945515487548</v>
      </c>
      <c r="H1416" t="n">
        <v>8.061555317351322</v>
      </c>
      <c r="I1416" t="n">
        <v>971</v>
      </c>
      <c r="J1416" t="n">
        <v>892</v>
      </c>
      <c r="K1416" t="n">
        <v>8.13453703100061</v>
      </c>
    </row>
    <row r="1417">
      <c r="A1417" t="n">
        <v>55</v>
      </c>
      <c r="B1417" t="inlineStr">
        <is>
          <t>Starv</t>
        </is>
      </c>
      <c r="C1417" t="inlineStr">
        <is>
          <t>Town</t>
        </is>
      </c>
      <c r="D1417" t="inlineStr">
        <is>
          <t>Win</t>
        </is>
      </c>
      <c r="E1417" t="n">
        <v>94</v>
      </c>
      <c r="F1417" t="n">
        <v>26.2478911095355</v>
      </c>
      <c r="G1417" t="n">
        <v>27.52463554834957</v>
      </c>
      <c r="H1417" t="n">
        <v>8.066841370001393</v>
      </c>
      <c r="I1417" t="n">
        <v>955</v>
      </c>
      <c r="J1417" t="n">
        <v>1049</v>
      </c>
      <c r="K1417" t="n">
        <v>8.139971524068704</v>
      </c>
    </row>
    <row r="1418">
      <c r="A1418" t="n">
        <v>55</v>
      </c>
      <c r="B1418" t="inlineStr">
        <is>
          <t>Xcync</t>
        </is>
      </c>
      <c r="C1418" t="inlineStr">
        <is>
          <t>Town</t>
        </is>
      </c>
      <c r="D1418" t="inlineStr">
        <is>
          <t>Win</t>
        </is>
      </c>
      <c r="E1418" t="n">
        <v>89</v>
      </c>
      <c r="F1418" t="n">
        <v>25.45961203160518</v>
      </c>
      <c r="G1418" t="n">
        <v>26.66569294528718</v>
      </c>
      <c r="H1418" t="n">
        <v>7.844411722420582</v>
      </c>
      <c r="I1418" t="n">
        <v>924</v>
      </c>
      <c r="J1418" t="n">
        <v>1013</v>
      </c>
      <c r="K1418" t="n">
        <v>7.911470270539325</v>
      </c>
    </row>
    <row r="1419">
      <c r="A1419" t="n">
        <v>55</v>
      </c>
      <c r="B1419" t="inlineStr">
        <is>
          <t>Kny</t>
        </is>
      </c>
      <c r="C1419" t="inlineStr">
        <is>
          <t>Town</t>
        </is>
      </c>
      <c r="D1419" t="inlineStr">
        <is>
          <t>Win</t>
        </is>
      </c>
      <c r="E1419" t="n">
        <v>97</v>
      </c>
      <c r="F1419" t="n">
        <v>26.31411134752226</v>
      </c>
      <c r="G1419" t="n">
        <v>27.62744754836989</v>
      </c>
      <c r="H1419" t="n">
        <v>8.179469754612272</v>
      </c>
      <c r="I1419" t="n">
        <v>947</v>
      </c>
      <c r="J1419" t="n">
        <v>1044</v>
      </c>
      <c r="K1419" t="n">
        <v>8.255811510115693</v>
      </c>
    </row>
    <row r="1420">
      <c r="A1420" t="n">
        <v>55</v>
      </c>
      <c r="B1420" t="inlineStr">
        <is>
          <t>Kwix</t>
        </is>
      </c>
      <c r="C1420" t="inlineStr">
        <is>
          <t>Town</t>
        </is>
      </c>
      <c r="D1420" t="inlineStr">
        <is>
          <t>Win</t>
        </is>
      </c>
      <c r="E1420" t="n">
        <v>94</v>
      </c>
      <c r="F1420" t="n">
        <v>21.93198510597909</v>
      </c>
      <c r="G1420" t="n">
        <v>23.20702558404685</v>
      </c>
      <c r="H1420" t="n">
        <v>8.061555317351322</v>
      </c>
      <c r="I1420" t="n">
        <v>662</v>
      </c>
      <c r="J1420" t="n">
        <v>756</v>
      </c>
      <c r="K1420" t="n">
        <v>8.13453703100061</v>
      </c>
    </row>
    <row r="1421">
      <c r="A1421" t="n">
        <v>55</v>
      </c>
      <c r="B1421" t="inlineStr">
        <is>
          <t>Lou</t>
        </is>
      </c>
      <c r="C1421" t="inlineStr">
        <is>
          <t>Town</t>
        </is>
      </c>
      <c r="D1421" t="inlineStr">
        <is>
          <t>Win</t>
        </is>
      </c>
      <c r="E1421" t="n">
        <v>88</v>
      </c>
      <c r="F1421" t="n">
        <v>25.09267446360974</v>
      </c>
      <c r="G1421" t="n">
        <v>26.29013602031775</v>
      </c>
      <c r="H1421" t="n">
        <v>7.816815182746046</v>
      </c>
      <c r="I1421" t="n">
        <v>902</v>
      </c>
      <c r="J1421" t="n">
        <v>990</v>
      </c>
      <c r="K1421" t="n">
        <v>7.883145059749641</v>
      </c>
    </row>
    <row r="1422">
      <c r="A1422" t="n">
        <v>55</v>
      </c>
      <c r="B1422" t="inlineStr">
        <is>
          <t>Machop</t>
        </is>
      </c>
      <c r="C1422" t="inlineStr">
        <is>
          <t>Town</t>
        </is>
      </c>
      <c r="D1422" t="inlineStr">
        <is>
          <t>Win</t>
        </is>
      </c>
      <c r="E1422" t="n">
        <v>89</v>
      </c>
      <c r="F1422" t="n">
        <v>29.57330378109269</v>
      </c>
      <c r="G1422" t="n">
        <v>30.78948843154986</v>
      </c>
      <c r="H1422" t="n">
        <v>7.876628890173104</v>
      </c>
      <c r="I1422" t="n">
        <v>1201</v>
      </c>
      <c r="J1422" t="n">
        <v>1290</v>
      </c>
      <c r="K1422" t="n">
        <v>7.944544924283649</v>
      </c>
    </row>
    <row r="1423">
      <c r="A1423" t="n">
        <v>55</v>
      </c>
      <c r="B1423" t="inlineStr">
        <is>
          <t>Rick</t>
        </is>
      </c>
      <c r="C1423" t="inlineStr">
        <is>
          <t>Town</t>
        </is>
      </c>
      <c r="D1423" t="inlineStr">
        <is>
          <t>Win</t>
        </is>
      </c>
      <c r="E1423" t="n">
        <v>97</v>
      </c>
      <c r="F1423" t="n">
        <v>25.99365683508934</v>
      </c>
      <c r="G1423" t="n">
        <v>27.30998268075072</v>
      </c>
      <c r="H1423" t="n">
        <v>8.188598042994785</v>
      </c>
      <c r="I1423" t="n">
        <v>925</v>
      </c>
      <c r="J1423" t="n">
        <v>1022</v>
      </c>
      <c r="K1423" t="n">
        <v>8.265204204394333</v>
      </c>
    </row>
    <row r="1424">
      <c r="A1424" t="n">
        <v>55</v>
      </c>
      <c r="B1424" t="inlineStr">
        <is>
          <t>Chipper</t>
        </is>
      </c>
      <c r="C1424" t="inlineStr">
        <is>
          <t>Town</t>
        </is>
      </c>
      <c r="D1424" t="inlineStr">
        <is>
          <t>Win</t>
        </is>
      </c>
      <c r="E1424" t="n">
        <v>95</v>
      </c>
      <c r="F1424" t="n">
        <v>22.76888026979154</v>
      </c>
      <c r="G1424" t="n">
        <v>24.05163020548573</v>
      </c>
      <c r="H1424" t="n">
        <v>8.085442059602672</v>
      </c>
      <c r="I1424" t="n">
        <v>716</v>
      </c>
      <c r="J1424" t="n">
        <v>811</v>
      </c>
      <c r="K1424" t="n">
        <v>8.15909617505705</v>
      </c>
    </row>
    <row r="1425">
      <c r="A1425" t="n">
        <v>55</v>
      </c>
      <c r="B1425" t="inlineStr">
        <is>
          <t>Brownkow</t>
        </is>
      </c>
      <c r="C1425" t="inlineStr">
        <is>
          <t>Town</t>
        </is>
      </c>
      <c r="D1425" t="inlineStr">
        <is>
          <t>Win</t>
        </is>
      </c>
      <c r="E1425" t="n">
        <v>93</v>
      </c>
      <c r="F1425" t="n">
        <v>28.09784045210953</v>
      </c>
      <c r="G1425" t="n">
        <v>29.35109424402285</v>
      </c>
      <c r="H1425" t="n">
        <v>7.993636792651419</v>
      </c>
      <c r="I1425" t="n">
        <v>1088</v>
      </c>
      <c r="J1425" t="n">
        <v>1181</v>
      </c>
      <c r="K1425" t="n">
        <v>8.064729357190433</v>
      </c>
    </row>
    <row r="1426">
      <c r="A1426" t="n">
        <v>55</v>
      </c>
      <c r="B1426" t="inlineStr">
        <is>
          <t>Insomnia</t>
        </is>
      </c>
      <c r="C1426" t="inlineStr">
        <is>
          <t>Town</t>
        </is>
      </c>
      <c r="D1426" t="inlineStr">
        <is>
          <t>Win</t>
        </is>
      </c>
      <c r="E1426" t="n">
        <v>99</v>
      </c>
      <c r="F1426" t="n">
        <v>25</v>
      </c>
      <c r="G1426" t="n">
        <v>26.33811273989137</v>
      </c>
      <c r="H1426" t="n">
        <v>8.254791225653094</v>
      </c>
      <c r="I1426" t="n">
        <v>850</v>
      </c>
      <c r="J1426" t="n">
        <v>949</v>
      </c>
      <c r="K1426" t="n">
        <v>8.333333333333334</v>
      </c>
    </row>
    <row r="1427">
      <c r="A1427" t="n">
        <v>54</v>
      </c>
      <c r="B1427" t="inlineStr">
        <is>
          <t>Lou</t>
        </is>
      </c>
      <c r="C1427" t="inlineStr">
        <is>
          <t>Mafia</t>
        </is>
      </c>
      <c r="D1427" t="inlineStr">
        <is>
          <t>Loss</t>
        </is>
      </c>
      <c r="E1427" t="n">
        <v>-75</v>
      </c>
      <c r="F1427" t="n">
        <v>26.28878345548135</v>
      </c>
      <c r="G1427" t="n">
        <v>25.09267446360974</v>
      </c>
      <c r="H1427" t="n">
        <v>7.883145059749641</v>
      </c>
      <c r="I1427" t="n">
        <v>977</v>
      </c>
      <c r="J1427" t="n">
        <v>902</v>
      </c>
      <c r="K1427" t="n">
        <v>7.950326491297777</v>
      </c>
    </row>
    <row r="1428">
      <c r="A1428" t="n">
        <v>54</v>
      </c>
      <c r="B1428" t="inlineStr">
        <is>
          <t>Kowa</t>
        </is>
      </c>
      <c r="C1428" t="inlineStr">
        <is>
          <t>Mafia</t>
        </is>
      </c>
      <c r="D1428" t="inlineStr">
        <is>
          <t>Loss</t>
        </is>
      </c>
      <c r="E1428" t="n">
        <v>-80</v>
      </c>
      <c r="F1428" t="n">
        <v>24.16331093417789</v>
      </c>
      <c r="G1428" t="n">
        <v>22.86884721601134</v>
      </c>
      <c r="H1428" t="n">
        <v>8.195026317999153</v>
      </c>
      <c r="I1428" t="n">
        <v>799</v>
      </c>
      <c r="J1428" t="n">
        <v>719</v>
      </c>
      <c r="K1428" t="n">
        <v>8.270792738028632</v>
      </c>
    </row>
    <row r="1429">
      <c r="A1429" t="n">
        <v>54</v>
      </c>
      <c r="B1429" t="inlineStr">
        <is>
          <t>Maz</t>
        </is>
      </c>
      <c r="C1429" t="inlineStr">
        <is>
          <t>Mafia</t>
        </is>
      </c>
      <c r="D1429" t="inlineStr">
        <is>
          <t>Loss</t>
        </is>
      </c>
      <c r="E1429" t="n">
        <v>-81</v>
      </c>
      <c r="F1429" t="n">
        <v>25</v>
      </c>
      <c r="G1429" t="n">
        <v>23.68588865247774</v>
      </c>
      <c r="H1429" t="n">
        <v>8.255811510115693</v>
      </c>
      <c r="I1429" t="n">
        <v>850</v>
      </c>
      <c r="J1429" t="n">
        <v>769</v>
      </c>
      <c r="K1429" t="n">
        <v>8.333333333333334</v>
      </c>
    </row>
    <row r="1430">
      <c r="A1430" t="n">
        <v>54</v>
      </c>
      <c r="B1430" t="inlineStr">
        <is>
          <t>Creatchee</t>
        </is>
      </c>
      <c r="C1430" t="inlineStr">
        <is>
          <t>Town</t>
        </is>
      </c>
      <c r="D1430" t="inlineStr">
        <is>
          <t>Win</t>
        </is>
      </c>
      <c r="E1430" t="n">
        <v>90</v>
      </c>
      <c r="F1430" t="n">
        <v>28.33046149475255</v>
      </c>
      <c r="G1430" t="n">
        <v>29.55574290764237</v>
      </c>
      <c r="H1430" t="n">
        <v>7.977017388611724</v>
      </c>
      <c r="I1430" t="n">
        <v>1106</v>
      </c>
      <c r="J1430" t="n">
        <v>1196</v>
      </c>
      <c r="K1430" t="n">
        <v>8.04670957675453</v>
      </c>
    </row>
    <row r="1431">
      <c r="A1431" t="n">
        <v>54</v>
      </c>
      <c r="B1431" t="inlineStr">
        <is>
          <t>Iln</t>
        </is>
      </c>
      <c r="C1431" t="inlineStr">
        <is>
          <t>Town</t>
        </is>
      </c>
      <c r="D1431" t="inlineStr">
        <is>
          <t>Win</t>
        </is>
      </c>
      <c r="E1431" t="n">
        <v>90</v>
      </c>
      <c r="F1431" t="n">
        <v>22.02189821723129</v>
      </c>
      <c r="G1431" t="n">
        <v>23.23968929018252</v>
      </c>
      <c r="H1431" t="n">
        <v>7.953028022547699</v>
      </c>
      <c r="I1431" t="n">
        <v>679</v>
      </c>
      <c r="J1431" t="n">
        <v>769</v>
      </c>
      <c r="K1431" t="n">
        <v>8.022072655286358</v>
      </c>
    </row>
    <row r="1432">
      <c r="A1432" t="n">
        <v>54</v>
      </c>
      <c r="B1432" t="inlineStr">
        <is>
          <t>Xcync</t>
        </is>
      </c>
      <c r="C1432" t="inlineStr">
        <is>
          <t>Town</t>
        </is>
      </c>
      <c r="D1432" t="inlineStr">
        <is>
          <t>Win</t>
        </is>
      </c>
      <c r="E1432" t="n">
        <v>89</v>
      </c>
      <c r="F1432" t="n">
        <v>24.25473950863402</v>
      </c>
      <c r="G1432" t="n">
        <v>25.45961203160518</v>
      </c>
      <c r="H1432" t="n">
        <v>7.911470270539325</v>
      </c>
      <c r="I1432" t="n">
        <v>835</v>
      </c>
      <c r="J1432" t="n">
        <v>924</v>
      </c>
      <c r="K1432" t="n">
        <v>7.979402756020931</v>
      </c>
    </row>
    <row r="1433">
      <c r="A1433" t="n">
        <v>54</v>
      </c>
      <c r="B1433" t="inlineStr">
        <is>
          <t>Boobles</t>
        </is>
      </c>
      <c r="C1433" t="inlineStr">
        <is>
          <t>Town</t>
        </is>
      </c>
      <c r="D1433" t="inlineStr">
        <is>
          <t>Win</t>
        </is>
      </c>
      <c r="E1433" t="n">
        <v>93</v>
      </c>
      <c r="F1433" t="n">
        <v>24.80873836626635</v>
      </c>
      <c r="G1433" t="n">
        <v>26.06083372034216</v>
      </c>
      <c r="H1433" t="n">
        <v>8.062266669337573</v>
      </c>
      <c r="I1433" t="n">
        <v>857</v>
      </c>
      <c r="J1433" t="n">
        <v>950</v>
      </c>
      <c r="K1433" t="n">
        <v>8.134293237870461</v>
      </c>
    </row>
    <row r="1434">
      <c r="A1434" t="n">
        <v>54</v>
      </c>
      <c r="B1434" t="inlineStr">
        <is>
          <t>Smit</t>
        </is>
      </c>
      <c r="C1434" t="inlineStr">
        <is>
          <t>Town</t>
        </is>
      </c>
      <c r="D1434" t="inlineStr">
        <is>
          <t>Win</t>
        </is>
      </c>
      <c r="E1434" t="n">
        <v>91</v>
      </c>
      <c r="F1434" t="n">
        <v>23.84345079877628</v>
      </c>
      <c r="G1434" t="n">
        <v>25.07640389867761</v>
      </c>
      <c r="H1434" t="n">
        <v>8.001507545978688</v>
      </c>
      <c r="I1434" t="n">
        <v>798</v>
      </c>
      <c r="J1434" t="n">
        <v>889</v>
      </c>
      <c r="K1434" t="n">
        <v>8.071865028382078</v>
      </c>
    </row>
    <row r="1435">
      <c r="A1435" t="n">
        <v>54</v>
      </c>
      <c r="B1435" t="inlineStr">
        <is>
          <t>Rocker</t>
        </is>
      </c>
      <c r="C1435" t="inlineStr">
        <is>
          <t>Town</t>
        </is>
      </c>
      <c r="D1435" t="inlineStr">
        <is>
          <t>Win</t>
        </is>
      </c>
      <c r="E1435" t="n">
        <v>91</v>
      </c>
      <c r="F1435" t="n">
        <v>29.77367701441026</v>
      </c>
      <c r="G1435" t="n">
        <v>31.00055954115837</v>
      </c>
      <c r="H1435" t="n">
        <v>7.982135250490973</v>
      </c>
      <c r="I1435" t="n">
        <v>1203</v>
      </c>
      <c r="J1435" t="n">
        <v>1294</v>
      </c>
      <c r="K1435" t="n">
        <v>8.051966116362996</v>
      </c>
    </row>
    <row r="1436">
      <c r="A1436" t="n">
        <v>54</v>
      </c>
      <c r="B1436" t="inlineStr">
        <is>
          <t>Streety</t>
        </is>
      </c>
      <c r="C1436" t="inlineStr">
        <is>
          <t>Town</t>
        </is>
      </c>
      <c r="D1436" t="inlineStr">
        <is>
          <t>Win</t>
        </is>
      </c>
      <c r="E1436" t="n">
        <v>95</v>
      </c>
      <c r="F1436" t="n">
        <v>25.99365683508934</v>
      </c>
      <c r="G1436" t="n">
        <v>27.28637207443524</v>
      </c>
      <c r="H1436" t="n">
        <v>8.18959335596846</v>
      </c>
      <c r="I1436" t="n">
        <v>925</v>
      </c>
      <c r="J1436" t="n">
        <v>1020</v>
      </c>
      <c r="K1436" t="n">
        <v>8.265204204394333</v>
      </c>
    </row>
    <row r="1437">
      <c r="A1437" t="n">
        <v>54</v>
      </c>
      <c r="B1437" t="inlineStr">
        <is>
          <t>Machop</t>
        </is>
      </c>
      <c r="C1437" t="inlineStr">
        <is>
          <t>Town</t>
        </is>
      </c>
      <c r="D1437" t="inlineStr">
        <is>
          <t>Win</t>
        </is>
      </c>
      <c r="E1437" t="n">
        <v>90</v>
      </c>
      <c r="F1437" t="n">
        <v>28.35815564224697</v>
      </c>
      <c r="G1437" t="n">
        <v>29.57330378109269</v>
      </c>
      <c r="H1437" t="n">
        <v>7.944544924283649</v>
      </c>
      <c r="I1437" t="n">
        <v>1111</v>
      </c>
      <c r="J1437" t="n">
        <v>1201</v>
      </c>
      <c r="K1437" t="n">
        <v>8.013361545493266</v>
      </c>
    </row>
    <row r="1438">
      <c r="A1438" t="n">
        <v>54</v>
      </c>
      <c r="B1438" t="inlineStr">
        <is>
          <t>Kny</t>
        </is>
      </c>
      <c r="C1438" t="inlineStr">
        <is>
          <t>Town</t>
        </is>
      </c>
      <c r="D1438" t="inlineStr">
        <is>
          <t>Win</t>
        </is>
      </c>
      <c r="E1438" t="n">
        <v>97</v>
      </c>
      <c r="F1438" t="n">
        <v>25</v>
      </c>
      <c r="G1438" t="n">
        <v>26.31411134752226</v>
      </c>
      <c r="H1438" t="n">
        <v>8.255811510115693</v>
      </c>
      <c r="I1438" t="n">
        <v>850</v>
      </c>
      <c r="J1438" t="n">
        <v>947</v>
      </c>
      <c r="K1438" t="n">
        <v>8.333333333333334</v>
      </c>
    </row>
    <row r="1439">
      <c r="A1439" t="n">
        <v>54</v>
      </c>
      <c r="B1439" t="inlineStr">
        <is>
          <t>Laur</t>
        </is>
      </c>
      <c r="C1439" t="inlineStr">
        <is>
          <t>Town</t>
        </is>
      </c>
      <c r="D1439" t="inlineStr">
        <is>
          <t>Win</t>
        </is>
      </c>
      <c r="E1439" t="n">
        <v>94</v>
      </c>
      <c r="F1439" t="n">
        <v>25.47406947694476</v>
      </c>
      <c r="G1439" t="n">
        <v>26.74253120828374</v>
      </c>
      <c r="H1439" t="n">
        <v>8.113827257648559</v>
      </c>
      <c r="I1439" t="n">
        <v>897</v>
      </c>
      <c r="J1439" t="n">
        <v>991</v>
      </c>
      <c r="K1439" t="n">
        <v>8.187291071989909</v>
      </c>
    </row>
    <row r="1440">
      <c r="A1440" t="n">
        <v>53</v>
      </c>
      <c r="B1440" t="inlineStr">
        <is>
          <t>Noah</t>
        </is>
      </c>
      <c r="C1440" t="inlineStr">
        <is>
          <t>Mafia</t>
        </is>
      </c>
      <c r="D1440" t="inlineStr">
        <is>
          <t>Loss</t>
        </is>
      </c>
      <c r="E1440" t="n">
        <v>-89</v>
      </c>
      <c r="F1440" t="n">
        <v>24.87830509105362</v>
      </c>
      <c r="G1440" t="n">
        <v>23.46486037412136</v>
      </c>
      <c r="H1440" t="n">
        <v>8.101699500636707</v>
      </c>
      <c r="I1440" t="n">
        <v>858</v>
      </c>
      <c r="J1440" t="n">
        <v>769</v>
      </c>
      <c r="K1440" t="n">
        <v>8.17801635072731</v>
      </c>
    </row>
    <row r="1441">
      <c r="A1441" t="n">
        <v>53</v>
      </c>
      <c r="B1441" t="inlineStr">
        <is>
          <t>Whyin</t>
        </is>
      </c>
      <c r="C1441" t="inlineStr">
        <is>
          <t>Mafia</t>
        </is>
      </c>
      <c r="D1441" t="inlineStr">
        <is>
          <t>Loss</t>
        </is>
      </c>
      <c r="E1441" t="n">
        <v>-89</v>
      </c>
      <c r="F1441" t="n">
        <v>25.37048164919284</v>
      </c>
      <c r="G1441" t="n">
        <v>23.95285810325873</v>
      </c>
      <c r="H1441" t="n">
        <v>8.11343808311017</v>
      </c>
      <c r="I1441" t="n">
        <v>890</v>
      </c>
      <c r="J1441" t="n">
        <v>801</v>
      </c>
      <c r="K1441" t="n">
        <v>8.190098327451111</v>
      </c>
    </row>
    <row r="1442">
      <c r="A1442" t="n">
        <v>53</v>
      </c>
      <c r="B1442" t="inlineStr">
        <is>
          <t>Plen</t>
        </is>
      </c>
      <c r="C1442" t="inlineStr">
        <is>
          <t>Mafia</t>
        </is>
      </c>
      <c r="D1442" t="inlineStr">
        <is>
          <t>Loss</t>
        </is>
      </c>
      <c r="E1442" t="n">
        <v>-87</v>
      </c>
      <c r="F1442" t="n">
        <v>27.30659133957761</v>
      </c>
      <c r="G1442" t="n">
        <v>25.9119402124521</v>
      </c>
      <c r="H1442" t="n">
        <v>8.048678731052487</v>
      </c>
      <c r="I1442" t="n">
        <v>1028</v>
      </c>
      <c r="J1442" t="n">
        <v>941</v>
      </c>
      <c r="K1442" t="n">
        <v>8.123457536269109</v>
      </c>
    </row>
    <row r="1443">
      <c r="A1443" t="n">
        <v>53</v>
      </c>
      <c r="B1443" t="inlineStr">
        <is>
          <t>Carson</t>
        </is>
      </c>
      <c r="C1443" t="inlineStr">
        <is>
          <t>Town</t>
        </is>
      </c>
      <c r="D1443" t="inlineStr">
        <is>
          <t>Win</t>
        </is>
      </c>
      <c r="E1443" t="n">
        <v>98</v>
      </c>
      <c r="F1443" t="n">
        <v>26.85149914217846</v>
      </c>
      <c r="G1443" t="n">
        <v>28.18304409792932</v>
      </c>
      <c r="H1443" t="n">
        <v>7.867822994130784</v>
      </c>
      <c r="I1443" t="n">
        <v>1016</v>
      </c>
      <c r="J1443" t="n">
        <v>1114</v>
      </c>
      <c r="K1443" t="n">
        <v>7.937513572164448</v>
      </c>
    </row>
    <row r="1444">
      <c r="A1444" t="n">
        <v>53</v>
      </c>
      <c r="B1444" t="inlineStr">
        <is>
          <t>Rocker</t>
        </is>
      </c>
      <c r="C1444" t="inlineStr">
        <is>
          <t>Town</t>
        </is>
      </c>
      <c r="D1444" t="inlineStr">
        <is>
          <t>Win</t>
        </is>
      </c>
      <c r="E1444" t="n">
        <v>102</v>
      </c>
      <c r="F1444" t="n">
        <v>28.37786452008802</v>
      </c>
      <c r="G1444" t="n">
        <v>29.77367701441026</v>
      </c>
      <c r="H1444" t="n">
        <v>8.051966116362996</v>
      </c>
      <c r="I1444" t="n">
        <v>1101</v>
      </c>
      <c r="J1444" t="n">
        <v>1203</v>
      </c>
      <c r="K1444" t="n">
        <v>8.126839666299123</v>
      </c>
    </row>
    <row r="1445">
      <c r="A1445" t="n">
        <v>53</v>
      </c>
      <c r="B1445" t="inlineStr">
        <is>
          <t>Brownkow</t>
        </is>
      </c>
      <c r="C1445" t="inlineStr">
        <is>
          <t>Town</t>
        </is>
      </c>
      <c r="D1445" t="inlineStr">
        <is>
          <t>Win</t>
        </is>
      </c>
      <c r="E1445" t="n">
        <v>103</v>
      </c>
      <c r="F1445" t="n">
        <v>26.69751411382124</v>
      </c>
      <c r="G1445" t="n">
        <v>28.09784045210953</v>
      </c>
      <c r="H1445" t="n">
        <v>8.064729357190433</v>
      </c>
      <c r="I1445" t="n">
        <v>985</v>
      </c>
      <c r="J1445" t="n">
        <v>1088</v>
      </c>
      <c r="K1445" t="n">
        <v>8.139971524068704</v>
      </c>
    </row>
    <row r="1446">
      <c r="A1446" t="n">
        <v>53</v>
      </c>
      <c r="B1446" t="inlineStr">
        <is>
          <t>Josh</t>
        </is>
      </c>
      <c r="C1446" t="inlineStr">
        <is>
          <t>Town</t>
        </is>
      </c>
      <c r="D1446" t="inlineStr">
        <is>
          <t>Win</t>
        </is>
      </c>
      <c r="E1446" t="n">
        <v>104</v>
      </c>
      <c r="F1446" t="n">
        <v>25.37048164919284</v>
      </c>
      <c r="G1446" t="n">
        <v>26.78810519512694</v>
      </c>
      <c r="H1446" t="n">
        <v>8.11343808311017</v>
      </c>
      <c r="I1446" t="n">
        <v>890</v>
      </c>
      <c r="J1446" t="n">
        <v>994</v>
      </c>
      <c r="K1446" t="n">
        <v>8.190098327451111</v>
      </c>
    </row>
    <row r="1447">
      <c r="A1447" t="n">
        <v>53</v>
      </c>
      <c r="B1447" t="inlineStr">
        <is>
          <t>Xcync</t>
        </is>
      </c>
      <c r="C1447" t="inlineStr">
        <is>
          <t>Town</t>
        </is>
      </c>
      <c r="D1447" t="inlineStr">
        <is>
          <t>Win</t>
        </is>
      </c>
      <c r="E1447" t="n">
        <v>100</v>
      </c>
      <c r="F1447" t="n">
        <v>22.88444334373875</v>
      </c>
      <c r="G1447" t="n">
        <v>24.25473950863402</v>
      </c>
      <c r="H1447" t="n">
        <v>7.979402756020931</v>
      </c>
      <c r="I1447" t="n">
        <v>735</v>
      </c>
      <c r="J1447" t="n">
        <v>835</v>
      </c>
      <c r="K1447" t="n">
        <v>8.052203828600593</v>
      </c>
    </row>
    <row r="1448">
      <c r="A1448" t="n">
        <v>53</v>
      </c>
      <c r="B1448" t="inlineStr">
        <is>
          <t>Creatchee</t>
        </is>
      </c>
      <c r="C1448" t="inlineStr">
        <is>
          <t>Town</t>
        </is>
      </c>
      <c r="D1448" t="inlineStr">
        <is>
          <t>Win</t>
        </is>
      </c>
      <c r="E1448" t="n">
        <v>103</v>
      </c>
      <c r="F1448" t="n">
        <v>26.93650578540498</v>
      </c>
      <c r="G1448" t="n">
        <v>28.33046149475255</v>
      </c>
      <c r="H1448" t="n">
        <v>8.04670957675453</v>
      </c>
      <c r="I1448" t="n">
        <v>1003</v>
      </c>
      <c r="J1448" t="n">
        <v>1106</v>
      </c>
      <c r="K1448" t="n">
        <v>8.121431668527958</v>
      </c>
    </row>
    <row r="1449">
      <c r="A1449" t="n">
        <v>53</v>
      </c>
      <c r="B1449" t="inlineStr">
        <is>
          <t>Mintt</t>
        </is>
      </c>
      <c r="C1449" t="inlineStr">
        <is>
          <t>Town</t>
        </is>
      </c>
      <c r="D1449" t="inlineStr">
        <is>
          <t>Win</t>
        </is>
      </c>
      <c r="E1449" t="n">
        <v>106</v>
      </c>
      <c r="F1449" t="n">
        <v>26.49505558662805</v>
      </c>
      <c r="G1449" t="n">
        <v>27.93445769771747</v>
      </c>
      <c r="H1449" t="n">
        <v>8.17432085894116</v>
      </c>
      <c r="I1449" t="n">
        <v>960</v>
      </c>
      <c r="J1449" t="n">
        <v>1066</v>
      </c>
      <c r="K1449" t="n">
        <v>8.25277897884585</v>
      </c>
    </row>
    <row r="1450">
      <c r="A1450" t="n">
        <v>53</v>
      </c>
      <c r="B1450" t="inlineStr">
        <is>
          <t>Svaan</t>
        </is>
      </c>
      <c r="C1450" t="inlineStr">
        <is>
          <t>Town</t>
        </is>
      </c>
      <c r="D1450" t="inlineStr">
        <is>
          <t>Win</t>
        </is>
      </c>
      <c r="E1450" t="n">
        <v>104</v>
      </c>
      <c r="F1450" t="n">
        <v>25.1216949089464</v>
      </c>
      <c r="G1450" t="n">
        <v>26.53513962587866</v>
      </c>
      <c r="H1450" t="n">
        <v>8.101699500636707</v>
      </c>
      <c r="I1450" t="n">
        <v>874</v>
      </c>
      <c r="J1450" t="n">
        <v>978</v>
      </c>
      <c r="K1450" t="n">
        <v>8.17801635072731</v>
      </c>
    </row>
    <row r="1451">
      <c r="A1451" t="n">
        <v>53</v>
      </c>
      <c r="B1451" t="inlineStr">
        <is>
          <t>Boobles</t>
        </is>
      </c>
      <c r="C1451" t="inlineStr">
        <is>
          <t>Town</t>
        </is>
      </c>
      <c r="D1451" t="inlineStr">
        <is>
          <t>Win</t>
        </is>
      </c>
      <c r="E1451" t="n">
        <v>104</v>
      </c>
      <c r="F1451" t="n">
        <v>23.38367446104886</v>
      </c>
      <c r="G1451" t="n">
        <v>24.80873836626635</v>
      </c>
      <c r="H1451" t="n">
        <v>8.134293237870461</v>
      </c>
      <c r="I1451" t="n">
        <v>753</v>
      </c>
      <c r="J1451" t="n">
        <v>857</v>
      </c>
      <c r="K1451" t="n">
        <v>8.211566152020559</v>
      </c>
    </row>
    <row r="1452">
      <c r="A1452" t="n">
        <v>53</v>
      </c>
      <c r="B1452" t="inlineStr">
        <is>
          <t>Rollo</t>
        </is>
      </c>
      <c r="C1452" t="inlineStr">
        <is>
          <t>Town</t>
        </is>
      </c>
      <c r="D1452" t="inlineStr">
        <is>
          <t>Win</t>
        </is>
      </c>
      <c r="E1452" t="n">
        <v>105</v>
      </c>
      <c r="F1452" t="n">
        <v>24.62951835080717</v>
      </c>
      <c r="G1452" t="n">
        <v>26.04714189674128</v>
      </c>
      <c r="H1452" t="n">
        <v>8.11343808311017</v>
      </c>
      <c r="I1452" t="n">
        <v>839</v>
      </c>
      <c r="J1452" t="n">
        <v>944</v>
      </c>
      <c r="K1452" t="n">
        <v>8.190098327451111</v>
      </c>
    </row>
    <row r="1453">
      <c r="A1453" t="n">
        <v>52</v>
      </c>
      <c r="B1453" t="inlineStr">
        <is>
          <t>Rollo</t>
        </is>
      </c>
      <c r="C1453" t="inlineStr">
        <is>
          <t>Mafia</t>
        </is>
      </c>
      <c r="D1453" t="inlineStr">
        <is>
          <t>Win</t>
        </is>
      </c>
      <c r="E1453" t="n">
        <v>73</v>
      </c>
      <c r="F1453" t="n">
        <v>23.65413777882735</v>
      </c>
      <c r="G1453" t="n">
        <v>24.62951835080717</v>
      </c>
      <c r="H1453" t="n">
        <v>8.190098327451111</v>
      </c>
      <c r="I1453" t="n">
        <v>766</v>
      </c>
      <c r="J1453" t="n">
        <v>839</v>
      </c>
      <c r="K1453" t="n">
        <v>8.256329301511959</v>
      </c>
    </row>
    <row r="1454">
      <c r="A1454" t="n">
        <v>52</v>
      </c>
      <c r="B1454" t="inlineStr">
        <is>
          <t>Streety</t>
        </is>
      </c>
      <c r="C1454" t="inlineStr">
        <is>
          <t>Mafia</t>
        </is>
      </c>
      <c r="D1454" t="inlineStr">
        <is>
          <t>Win</t>
        </is>
      </c>
      <c r="E1454" t="n">
        <v>75</v>
      </c>
      <c r="F1454" t="n">
        <v>25</v>
      </c>
      <c r="G1454" t="n">
        <v>25.99365683508934</v>
      </c>
      <c r="H1454" t="n">
        <v>8.265204204394333</v>
      </c>
      <c r="I1454" t="n">
        <v>850</v>
      </c>
      <c r="J1454" t="n">
        <v>925</v>
      </c>
      <c r="K1454" t="n">
        <v>8.333333333333334</v>
      </c>
    </row>
    <row r="1455">
      <c r="A1455" t="n">
        <v>52</v>
      </c>
      <c r="B1455" t="inlineStr">
        <is>
          <t>Rick</t>
        </is>
      </c>
      <c r="C1455" t="inlineStr">
        <is>
          <t>Mafia</t>
        </is>
      </c>
      <c r="D1455" t="inlineStr">
        <is>
          <t>Win</t>
        </is>
      </c>
      <c r="E1455" t="n">
        <v>75</v>
      </c>
      <c r="F1455" t="n">
        <v>25</v>
      </c>
      <c r="G1455" t="n">
        <v>25.99365683508934</v>
      </c>
      <c r="H1455" t="n">
        <v>8.265204204394333</v>
      </c>
      <c r="I1455" t="n">
        <v>850</v>
      </c>
      <c r="J1455" t="n">
        <v>925</v>
      </c>
      <c r="K1455" t="n">
        <v>8.333333333333334</v>
      </c>
    </row>
    <row r="1456">
      <c r="A1456" t="n">
        <v>52</v>
      </c>
      <c r="B1456" t="inlineStr">
        <is>
          <t>Josh</t>
        </is>
      </c>
      <c r="C1456" t="inlineStr">
        <is>
          <t>Town</t>
        </is>
      </c>
      <c r="D1456" t="inlineStr">
        <is>
          <t>Loss</t>
        </is>
      </c>
      <c r="E1456" t="n">
        <v>-59</v>
      </c>
      <c r="F1456" t="n">
        <v>26.34586222117265</v>
      </c>
      <c r="G1456" t="n">
        <v>25.37048164919284</v>
      </c>
      <c r="H1456" t="n">
        <v>8.190098327451111</v>
      </c>
      <c r="I1456" t="n">
        <v>949</v>
      </c>
      <c r="J1456" t="n">
        <v>890</v>
      </c>
      <c r="K1456" t="n">
        <v>8.256329301511959</v>
      </c>
    </row>
    <row r="1457">
      <c r="A1457" t="n">
        <v>52</v>
      </c>
      <c r="B1457" t="inlineStr">
        <is>
          <t>Iln</t>
        </is>
      </c>
      <c r="C1457" t="inlineStr">
        <is>
          <t>Town</t>
        </is>
      </c>
      <c r="D1457" t="inlineStr">
        <is>
          <t>Loss</t>
        </is>
      </c>
      <c r="E1457" t="n">
        <v>-57</v>
      </c>
      <c r="F1457" t="n">
        <v>22.95703578552006</v>
      </c>
      <c r="G1457" t="n">
        <v>22.02189821723129</v>
      </c>
      <c r="H1457" t="n">
        <v>8.022072655286358</v>
      </c>
      <c r="I1457" t="n">
        <v>736</v>
      </c>
      <c r="J1457" t="n">
        <v>679</v>
      </c>
      <c r="K1457" t="n">
        <v>8.08418674908507</v>
      </c>
    </row>
    <row r="1458">
      <c r="A1458" t="n">
        <v>52</v>
      </c>
      <c r="B1458" t="inlineStr">
        <is>
          <t>Smit</t>
        </is>
      </c>
      <c r="C1458" t="inlineStr">
        <is>
          <t>Town</t>
        </is>
      </c>
      <c r="D1458" t="inlineStr">
        <is>
          <t>Loss</t>
        </is>
      </c>
      <c r="E1458" t="n">
        <v>-58</v>
      </c>
      <c r="F1458" t="n">
        <v>24.79042118412479</v>
      </c>
      <c r="G1458" t="n">
        <v>23.84345079877628</v>
      </c>
      <c r="H1458" t="n">
        <v>8.071865028382078</v>
      </c>
      <c r="I1458" t="n">
        <v>856</v>
      </c>
      <c r="J1458" t="n">
        <v>798</v>
      </c>
      <c r="K1458" t="n">
        <v>8.13518060557586</v>
      </c>
    </row>
    <row r="1459">
      <c r="A1459" t="n">
        <v>52</v>
      </c>
      <c r="B1459" t="inlineStr">
        <is>
          <t>Carson</t>
        </is>
      </c>
      <c r="C1459" t="inlineStr">
        <is>
          <t>Town</t>
        </is>
      </c>
      <c r="D1459" t="inlineStr">
        <is>
          <t>Loss</t>
        </is>
      </c>
      <c r="E1459" t="n">
        <v>-56</v>
      </c>
      <c r="F1459" t="n">
        <v>27.76672036209388</v>
      </c>
      <c r="G1459" t="n">
        <v>26.85149914217846</v>
      </c>
      <c r="H1459" t="n">
        <v>7.937513572164448</v>
      </c>
      <c r="I1459" t="n">
        <v>1072</v>
      </c>
      <c r="J1459" t="n">
        <v>1016</v>
      </c>
      <c r="K1459" t="n">
        <v>7.997622528204706</v>
      </c>
    </row>
    <row r="1460">
      <c r="A1460" t="n">
        <v>52</v>
      </c>
      <c r="B1460" t="inlineStr">
        <is>
          <t>Lou</t>
        </is>
      </c>
      <c r="C1460" t="inlineStr">
        <is>
          <t>Town</t>
        </is>
      </c>
      <c r="D1460" t="inlineStr">
        <is>
          <t>Loss</t>
        </is>
      </c>
      <c r="E1460" t="n">
        <v>-56</v>
      </c>
      <c r="F1460" t="n">
        <v>27.20700809168773</v>
      </c>
      <c r="G1460" t="n">
        <v>26.28878345548135</v>
      </c>
      <c r="H1460" t="n">
        <v>7.950326491297777</v>
      </c>
      <c r="I1460" t="n">
        <v>1033</v>
      </c>
      <c r="J1460" t="n">
        <v>977</v>
      </c>
      <c r="K1460" t="n">
        <v>8.010736442326646</v>
      </c>
    </row>
    <row r="1461">
      <c r="A1461" t="n">
        <v>52</v>
      </c>
      <c r="B1461" t="inlineStr">
        <is>
          <t>Siggy</t>
        </is>
      </c>
      <c r="C1461" t="inlineStr">
        <is>
          <t>Town</t>
        </is>
      </c>
      <c r="D1461" t="inlineStr">
        <is>
          <t>Loss</t>
        </is>
      </c>
      <c r="E1461" t="n">
        <v>-59</v>
      </c>
      <c r="F1461" t="n">
        <v>26.34586222117265</v>
      </c>
      <c r="G1461" t="n">
        <v>25.37048164919284</v>
      </c>
      <c r="H1461" t="n">
        <v>8.190098327451111</v>
      </c>
      <c r="I1461" t="n">
        <v>949</v>
      </c>
      <c r="J1461" t="n">
        <v>890</v>
      </c>
      <c r="K1461" t="n">
        <v>8.256329301511959</v>
      </c>
    </row>
    <row r="1462">
      <c r="A1462" t="n">
        <v>52</v>
      </c>
      <c r="B1462" t="inlineStr">
        <is>
          <t>Whyin</t>
        </is>
      </c>
      <c r="C1462" t="inlineStr">
        <is>
          <t>Town</t>
        </is>
      </c>
      <c r="D1462" t="inlineStr">
        <is>
          <t>Loss</t>
        </is>
      </c>
      <c r="E1462" t="n">
        <v>-59</v>
      </c>
      <c r="F1462" t="n">
        <v>26.34586222117265</v>
      </c>
      <c r="G1462" t="n">
        <v>25.37048164919284</v>
      </c>
      <c r="H1462" t="n">
        <v>8.190098327451111</v>
      </c>
      <c r="I1462" t="n">
        <v>949</v>
      </c>
      <c r="J1462" t="n">
        <v>890</v>
      </c>
      <c r="K1462" t="n">
        <v>8.256329301511959</v>
      </c>
    </row>
    <row r="1463">
      <c r="A1463" t="n">
        <v>52</v>
      </c>
      <c r="B1463" t="inlineStr">
        <is>
          <t>Lovekilling</t>
        </is>
      </c>
      <c r="C1463" t="inlineStr">
        <is>
          <t>Town</t>
        </is>
      </c>
      <c r="D1463" t="inlineStr">
        <is>
          <t>Loss</t>
        </is>
      </c>
      <c r="E1463" t="n">
        <v>-61</v>
      </c>
      <c r="F1463" t="n">
        <v>25</v>
      </c>
      <c r="G1463" t="n">
        <v>24.00634316491066</v>
      </c>
      <c r="H1463" t="n">
        <v>8.265204204394333</v>
      </c>
      <c r="I1463" t="n">
        <v>850</v>
      </c>
      <c r="J1463" t="n">
        <v>789</v>
      </c>
      <c r="K1463" t="n">
        <v>8.333333333333334</v>
      </c>
    </row>
    <row r="1464">
      <c r="A1464" t="n">
        <v>52</v>
      </c>
      <c r="B1464" t="inlineStr">
        <is>
          <t>Matt</t>
        </is>
      </c>
      <c r="C1464" t="inlineStr">
        <is>
          <t>Town</t>
        </is>
      </c>
      <c r="D1464" t="inlineStr">
        <is>
          <t>Loss</t>
        </is>
      </c>
      <c r="E1464" t="n">
        <v>-61</v>
      </c>
      <c r="F1464" t="n">
        <v>25</v>
      </c>
      <c r="G1464" t="n">
        <v>24.00634316491066</v>
      </c>
      <c r="H1464" t="n">
        <v>8.265204204394333</v>
      </c>
      <c r="I1464" t="n">
        <v>850</v>
      </c>
      <c r="J1464" t="n">
        <v>789</v>
      </c>
      <c r="K1464" t="n">
        <v>8.333333333333334</v>
      </c>
    </row>
    <row r="1465">
      <c r="A1465" t="n">
        <v>52</v>
      </c>
      <c r="B1465" t="inlineStr">
        <is>
          <t>Laur</t>
        </is>
      </c>
      <c r="C1465" t="inlineStr">
        <is>
          <t>Town</t>
        </is>
      </c>
      <c r="D1465" t="inlineStr">
        <is>
          <t>Loss</t>
        </is>
      </c>
      <c r="E1465" t="n">
        <v>-60</v>
      </c>
      <c r="F1465" t="n">
        <v>26.44877038600607</v>
      </c>
      <c r="G1465" t="n">
        <v>25.47406947694476</v>
      </c>
      <c r="H1465" t="n">
        <v>8.187291071989909</v>
      </c>
      <c r="I1465" t="n">
        <v>957</v>
      </c>
      <c r="J1465" t="n">
        <v>897</v>
      </c>
      <c r="K1465" t="n">
        <v>8.253451797892902</v>
      </c>
    </row>
    <row r="1466">
      <c r="A1466" t="n">
        <v>51</v>
      </c>
      <c r="B1466" t="inlineStr">
        <is>
          <t>Machop</t>
        </is>
      </c>
      <c r="C1466" t="inlineStr">
        <is>
          <t>Mafia</t>
        </is>
      </c>
      <c r="D1466" t="inlineStr">
        <is>
          <t>Win</t>
        </is>
      </c>
      <c r="E1466" t="n">
        <v>45</v>
      </c>
      <c r="F1466" t="n">
        <v>27.76540516803343</v>
      </c>
      <c r="G1466" t="n">
        <v>28.35815564224697</v>
      </c>
      <c r="H1466" t="n">
        <v>8.013361545493266</v>
      </c>
      <c r="I1466" t="n">
        <v>1066</v>
      </c>
      <c r="J1466" t="n">
        <v>1111</v>
      </c>
      <c r="K1466" t="n">
        <v>8.062985440183391</v>
      </c>
    </row>
    <row r="1467">
      <c r="A1467" t="n">
        <v>51</v>
      </c>
      <c r="B1467" t="inlineStr">
        <is>
          <t>Starv</t>
        </is>
      </c>
      <c r="C1467" t="inlineStr">
        <is>
          <t>Mafia</t>
        </is>
      </c>
      <c r="D1467" t="inlineStr">
        <is>
          <t>Win</t>
        </is>
      </c>
      <c r="E1467" t="n">
        <v>47</v>
      </c>
      <c r="F1467" t="n">
        <v>25.63601354585627</v>
      </c>
      <c r="G1467" t="n">
        <v>26.2478911095355</v>
      </c>
      <c r="H1467" t="n">
        <v>8.139971524068704</v>
      </c>
      <c r="I1467" t="n">
        <v>908</v>
      </c>
      <c r="J1467" t="n">
        <v>955</v>
      </c>
      <c r="K1467" t="n">
        <v>8.192061971800644</v>
      </c>
    </row>
    <row r="1468">
      <c r="A1468" t="n">
        <v>51</v>
      </c>
      <c r="B1468" t="inlineStr">
        <is>
          <t>Rocker</t>
        </is>
      </c>
      <c r="C1468" t="inlineStr">
        <is>
          <t>Mafia</t>
        </is>
      </c>
      <c r="D1468" t="inlineStr">
        <is>
          <t>Win</t>
        </is>
      </c>
      <c r="E1468" t="n">
        <v>47</v>
      </c>
      <c r="F1468" t="n">
        <v>27.76798547124114</v>
      </c>
      <c r="G1468" t="n">
        <v>28.37786452008802</v>
      </c>
      <c r="H1468" t="n">
        <v>8.126839666299123</v>
      </c>
      <c r="I1468" t="n">
        <v>1054</v>
      </c>
      <c r="J1468" t="n">
        <v>1101</v>
      </c>
      <c r="K1468" t="n">
        <v>8.178670574321114</v>
      </c>
    </row>
    <row r="1469">
      <c r="A1469" t="n">
        <v>51</v>
      </c>
      <c r="B1469" t="inlineStr">
        <is>
          <t>Chester</t>
        </is>
      </c>
      <c r="C1469" t="inlineStr">
        <is>
          <t>Town</t>
        </is>
      </c>
      <c r="D1469" t="inlineStr">
        <is>
          <t>Loss</t>
        </is>
      </c>
      <c r="E1469" t="n">
        <v>-36</v>
      </c>
      <c r="F1469" t="n">
        <v>27.0360865619482</v>
      </c>
      <c r="G1469" t="n">
        <v>26.43548336595844</v>
      </c>
      <c r="H1469" t="n">
        <v>8.065595007145765</v>
      </c>
      <c r="I1469" t="n">
        <v>1011</v>
      </c>
      <c r="J1469" t="n">
        <v>975</v>
      </c>
      <c r="K1469" t="n">
        <v>8.116226841264558</v>
      </c>
    </row>
    <row r="1470">
      <c r="A1470" t="n">
        <v>51</v>
      </c>
      <c r="B1470" t="inlineStr">
        <is>
          <t>Aipha</t>
        </is>
      </c>
      <c r="C1470" t="inlineStr">
        <is>
          <t>Town</t>
        </is>
      </c>
      <c r="D1470" t="inlineStr">
        <is>
          <t>Loss</t>
        </is>
      </c>
      <c r="E1470" t="n">
        <v>-37</v>
      </c>
      <c r="F1470" t="n">
        <v>26.44877038600607</v>
      </c>
      <c r="G1470" t="n">
        <v>25.82768923345282</v>
      </c>
      <c r="H1470" t="n">
        <v>8.200160674042262</v>
      </c>
      <c r="I1470" t="n">
        <v>957</v>
      </c>
      <c r="J1470" t="n">
        <v>920</v>
      </c>
      <c r="K1470" t="n">
        <v>8.253451797892902</v>
      </c>
    </row>
    <row r="1471">
      <c r="A1471" t="n">
        <v>51</v>
      </c>
      <c r="B1471" t="inlineStr">
        <is>
          <t>Lou</t>
        </is>
      </c>
      <c r="C1471" t="inlineStr">
        <is>
          <t>Town</t>
        </is>
      </c>
      <c r="D1471" t="inlineStr">
        <is>
          <t>Loss</t>
        </is>
      </c>
      <c r="E1471" t="n">
        <v>-35</v>
      </c>
      <c r="F1471" t="n">
        <v>27.79936532694573</v>
      </c>
      <c r="G1471" t="n">
        <v>27.20700809168773</v>
      </c>
      <c r="H1471" t="n">
        <v>8.010736442326646</v>
      </c>
      <c r="I1471" t="n">
        <v>1068</v>
      </c>
      <c r="J1471" t="n">
        <v>1033</v>
      </c>
      <c r="K1471" t="n">
        <v>8.060310036261679</v>
      </c>
    </row>
    <row r="1472">
      <c r="A1472" t="n">
        <v>51</v>
      </c>
      <c r="B1472" t="inlineStr">
        <is>
          <t>Brownkow</t>
        </is>
      </c>
      <c r="C1472" t="inlineStr">
        <is>
          <t>Town</t>
        </is>
      </c>
      <c r="D1472" t="inlineStr">
        <is>
          <t>Loss</t>
        </is>
      </c>
      <c r="E1472" t="n">
        <v>-36</v>
      </c>
      <c r="F1472" t="n">
        <v>27.30939167750047</v>
      </c>
      <c r="G1472" t="n">
        <v>26.69751411382124</v>
      </c>
      <c r="H1472" t="n">
        <v>8.139971524068704</v>
      </c>
      <c r="I1472" t="n">
        <v>1021</v>
      </c>
      <c r="J1472" t="n">
        <v>985</v>
      </c>
      <c r="K1472" t="n">
        <v>8.192061971800644</v>
      </c>
    </row>
    <row r="1473">
      <c r="A1473" t="n">
        <v>51</v>
      </c>
      <c r="B1473" t="inlineStr">
        <is>
          <t>Badpants</t>
        </is>
      </c>
      <c r="C1473" t="inlineStr">
        <is>
          <t>Town</t>
        </is>
      </c>
      <c r="D1473" t="inlineStr">
        <is>
          <t>Loss</t>
        </is>
      </c>
      <c r="E1473" t="n">
        <v>-36</v>
      </c>
      <c r="F1473" t="n">
        <v>23.45848587320236</v>
      </c>
      <c r="G1473" t="n">
        <v>22.86564332285717</v>
      </c>
      <c r="H1473" t="n">
        <v>8.013976077608136</v>
      </c>
      <c r="I1473" t="n">
        <v>773</v>
      </c>
      <c r="J1473" t="n">
        <v>737</v>
      </c>
      <c r="K1473" t="n">
        <v>8.063611752518691</v>
      </c>
    </row>
    <row r="1474">
      <c r="A1474" t="n">
        <v>51</v>
      </c>
      <c r="B1474" t="inlineStr">
        <is>
          <t>Xcync</t>
        </is>
      </c>
      <c r="C1474" t="inlineStr">
        <is>
          <t>Town</t>
        </is>
      </c>
      <c r="D1474" t="inlineStr">
        <is>
          <t>Loss</t>
        </is>
      </c>
      <c r="E1474" t="n">
        <v>-35</v>
      </c>
      <c r="F1474" t="n">
        <v>23.48302820802152</v>
      </c>
      <c r="G1474" t="n">
        <v>22.88444334373875</v>
      </c>
      <c r="H1474" t="n">
        <v>8.052203828600593</v>
      </c>
      <c r="I1474" t="n">
        <v>770</v>
      </c>
      <c r="J1474" t="n">
        <v>735</v>
      </c>
      <c r="K1474" t="n">
        <v>8.102575969481309</v>
      </c>
    </row>
    <row r="1475">
      <c r="A1475" t="n">
        <v>51</v>
      </c>
      <c r="B1475" t="inlineStr">
        <is>
          <t>Carson</t>
        </is>
      </c>
      <c r="C1475" t="inlineStr">
        <is>
          <t>Town</t>
        </is>
      </c>
      <c r="D1475" t="inlineStr">
        <is>
          <t>Loss</t>
        </is>
      </c>
      <c r="E1475" t="n">
        <v>-35</v>
      </c>
      <c r="F1475" t="n">
        <v>28.35711516936634</v>
      </c>
      <c r="G1475" t="n">
        <v>27.76672036209388</v>
      </c>
      <c r="H1475" t="n">
        <v>7.997622528204706</v>
      </c>
      <c r="I1475" t="n">
        <v>1107</v>
      </c>
      <c r="J1475" t="n">
        <v>1072</v>
      </c>
      <c r="K1475" t="n">
        <v>8.046945348329173</v>
      </c>
    </row>
    <row r="1476">
      <c r="A1476" t="n">
        <v>51</v>
      </c>
      <c r="B1476" t="inlineStr">
        <is>
          <t>Chipper</t>
        </is>
      </c>
      <c r="C1476" t="inlineStr">
        <is>
          <t>Town</t>
        </is>
      </c>
      <c r="D1476" t="inlineStr">
        <is>
          <t>Loss</t>
        </is>
      </c>
      <c r="E1476" t="n">
        <v>-37</v>
      </c>
      <c r="F1476" t="n">
        <v>23.38367446104886</v>
      </c>
      <c r="G1476" t="n">
        <v>22.76888026979154</v>
      </c>
      <c r="H1476" t="n">
        <v>8.15909617505705</v>
      </c>
      <c r="I1476" t="n">
        <v>753</v>
      </c>
      <c r="J1476" t="n">
        <v>716</v>
      </c>
      <c r="K1476" t="n">
        <v>8.211566152020559</v>
      </c>
    </row>
    <row r="1477">
      <c r="A1477" t="n">
        <v>51</v>
      </c>
      <c r="B1477" t="inlineStr">
        <is>
          <t>Iln</t>
        </is>
      </c>
      <c r="C1477" t="inlineStr">
        <is>
          <t>Town</t>
        </is>
      </c>
      <c r="D1477" t="inlineStr">
        <is>
          <t>Loss</t>
        </is>
      </c>
      <c r="E1477" t="n">
        <v>-36</v>
      </c>
      <c r="F1477" t="n">
        <v>23.56044699905064</v>
      </c>
      <c r="G1477" t="n">
        <v>22.95703578552006</v>
      </c>
      <c r="H1477" t="n">
        <v>8.08418674908507</v>
      </c>
      <c r="I1477" t="n">
        <v>772</v>
      </c>
      <c r="J1477" t="n">
        <v>736</v>
      </c>
      <c r="K1477" t="n">
        <v>8.135180605575858</v>
      </c>
    </row>
    <row r="1478">
      <c r="A1478" t="n">
        <v>51</v>
      </c>
      <c r="B1478" t="inlineStr">
        <is>
          <t>Plen</t>
        </is>
      </c>
      <c r="C1478" t="inlineStr">
        <is>
          <t>Town</t>
        </is>
      </c>
      <c r="D1478" t="inlineStr">
        <is>
          <t>Loss</t>
        </is>
      </c>
      <c r="E1478" t="n">
        <v>-36</v>
      </c>
      <c r="F1478" t="n">
        <v>27.91595621820679</v>
      </c>
      <c r="G1478" t="n">
        <v>27.30659133957761</v>
      </c>
      <c r="H1478" t="n">
        <v>8.123457536269109</v>
      </c>
      <c r="I1478" t="n">
        <v>1064</v>
      </c>
      <c r="J1478" t="n">
        <v>1028</v>
      </c>
      <c r="K1478" t="n">
        <v>8.175221739282913</v>
      </c>
    </row>
    <row r="1479">
      <c r="A1479" t="n">
        <v>50</v>
      </c>
      <c r="B1479" t="inlineStr">
        <is>
          <t>Asiansam</t>
        </is>
      </c>
      <c r="C1479" t="inlineStr">
        <is>
          <t>Mafia</t>
        </is>
      </c>
      <c r="D1479" t="inlineStr">
        <is>
          <t>Loss</t>
        </is>
      </c>
      <c r="E1479" t="n">
        <v>-88</v>
      </c>
      <c r="F1479" t="n">
        <v>26.34586222117265</v>
      </c>
      <c r="G1479" t="n">
        <v>24.92373897110417</v>
      </c>
      <c r="H1479" t="n">
        <v>8.178670574321114</v>
      </c>
      <c r="I1479" t="n">
        <v>949</v>
      </c>
      <c r="J1479" t="n">
        <v>861</v>
      </c>
      <c r="K1479" t="n">
        <v>8.256329301511959</v>
      </c>
    </row>
    <row r="1480">
      <c r="A1480" t="n">
        <v>50</v>
      </c>
      <c r="B1480" t="inlineStr">
        <is>
          <t>Xcync</t>
        </is>
      </c>
      <c r="C1480" t="inlineStr">
        <is>
          <t>Mafia</t>
        </is>
      </c>
      <c r="D1480" t="inlineStr">
        <is>
          <t>Loss</t>
        </is>
      </c>
      <c r="E1480" t="n">
        <v>-88</v>
      </c>
      <c r="F1480" t="n">
        <v>24.87830509105362</v>
      </c>
      <c r="G1480" t="n">
        <v>23.48302820802152</v>
      </c>
      <c r="H1480" t="n">
        <v>8.102575969481309</v>
      </c>
      <c r="I1480" t="n">
        <v>858</v>
      </c>
      <c r="J1480" t="n">
        <v>770</v>
      </c>
      <c r="K1480" t="n">
        <v>8.17801635072731</v>
      </c>
    </row>
    <row r="1481">
      <c r="A1481" t="n">
        <v>50</v>
      </c>
      <c r="B1481" t="inlineStr">
        <is>
          <t>Iln</t>
        </is>
      </c>
      <c r="C1481" t="inlineStr">
        <is>
          <t>Mafia</t>
        </is>
      </c>
      <c r="D1481" t="inlineStr">
        <is>
          <t>Loss</t>
        </is>
      </c>
      <c r="E1481" t="n">
        <v>-88</v>
      </c>
      <c r="F1481" t="n">
        <v>24.96719372212655</v>
      </c>
      <c r="G1481" t="n">
        <v>23.56044699905064</v>
      </c>
      <c r="H1481" t="n">
        <v>8.135180605575858</v>
      </c>
      <c r="I1481" t="n">
        <v>860</v>
      </c>
      <c r="J1481" t="n">
        <v>772</v>
      </c>
      <c r="K1481" t="n">
        <v>8.211566152020559</v>
      </c>
    </row>
    <row r="1482">
      <c r="A1482" t="n">
        <v>50</v>
      </c>
      <c r="B1482" t="inlineStr">
        <is>
          <t>Rocker</t>
        </is>
      </c>
      <c r="C1482" t="inlineStr">
        <is>
          <t>Town</t>
        </is>
      </c>
      <c r="D1482" t="inlineStr">
        <is>
          <t>Win</t>
        </is>
      </c>
      <c r="E1482" t="n">
        <v>105</v>
      </c>
      <c r="F1482" t="n">
        <v>26.34586222117265</v>
      </c>
      <c r="G1482" t="n">
        <v>27.76798547124114</v>
      </c>
      <c r="H1482" t="n">
        <v>8.178670574321114</v>
      </c>
      <c r="I1482" t="n">
        <v>949</v>
      </c>
      <c r="J1482" t="n">
        <v>1054</v>
      </c>
      <c r="K1482" t="n">
        <v>8.256329301511959</v>
      </c>
    </row>
    <row r="1483">
      <c r="A1483" t="n">
        <v>50</v>
      </c>
      <c r="B1483" t="inlineStr">
        <is>
          <t>Badpants</t>
        </is>
      </c>
      <c r="C1483" t="inlineStr">
        <is>
          <t>Town</t>
        </is>
      </c>
      <c r="D1483" t="inlineStr">
        <is>
          <t>Win</t>
        </is>
      </c>
      <c r="E1483" t="n">
        <v>102</v>
      </c>
      <c r="F1483" t="n">
        <v>22.0768509038904</v>
      </c>
      <c r="G1483" t="n">
        <v>23.45848587320236</v>
      </c>
      <c r="H1483" t="n">
        <v>8.063611752518691</v>
      </c>
      <c r="I1483" t="n">
        <v>671</v>
      </c>
      <c r="J1483" t="n">
        <v>773</v>
      </c>
      <c r="K1483" t="n">
        <v>8.137933054317697</v>
      </c>
    </row>
    <row r="1484">
      <c r="A1484" t="n">
        <v>50</v>
      </c>
      <c r="B1484" t="inlineStr">
        <is>
          <t>Plen</t>
        </is>
      </c>
      <c r="C1484" t="inlineStr">
        <is>
          <t>Town</t>
        </is>
      </c>
      <c r="D1484" t="inlineStr">
        <is>
          <t>Win</t>
        </is>
      </c>
      <c r="E1484" t="n">
        <v>104</v>
      </c>
      <c r="F1484" t="n">
        <v>26.49505558662804</v>
      </c>
      <c r="G1484" t="n">
        <v>27.91595621820679</v>
      </c>
      <c r="H1484" t="n">
        <v>8.175221739282913</v>
      </c>
      <c r="I1484" t="n">
        <v>960</v>
      </c>
      <c r="J1484" t="n">
        <v>1064</v>
      </c>
      <c r="K1484" t="n">
        <v>8.25277897884585</v>
      </c>
    </row>
    <row r="1485">
      <c r="A1485" t="n">
        <v>50</v>
      </c>
      <c r="B1485" t="inlineStr">
        <is>
          <t>Chester</t>
        </is>
      </c>
      <c r="C1485" t="inlineStr">
        <is>
          <t>Town</t>
        </is>
      </c>
      <c r="D1485" t="inlineStr">
        <is>
          <t>Win</t>
        </is>
      </c>
      <c r="E1485" t="n">
        <v>103</v>
      </c>
      <c r="F1485" t="n">
        <v>25.63601354585627</v>
      </c>
      <c r="G1485" t="n">
        <v>27.0360865619482</v>
      </c>
      <c r="H1485" t="n">
        <v>8.116226841264558</v>
      </c>
      <c r="I1485" t="n">
        <v>908</v>
      </c>
      <c r="J1485" t="n">
        <v>1011</v>
      </c>
      <c r="K1485" t="n">
        <v>8.192061971800644</v>
      </c>
    </row>
    <row r="1486">
      <c r="A1486" t="n">
        <v>50</v>
      </c>
      <c r="B1486" t="inlineStr">
        <is>
          <t>Laur</t>
        </is>
      </c>
      <c r="C1486" t="inlineStr">
        <is>
          <t>Town</t>
        </is>
      </c>
      <c r="D1486" t="inlineStr">
        <is>
          <t>Win</t>
        </is>
      </c>
      <c r="E1486" t="n">
        <v>107</v>
      </c>
      <c r="F1486" t="n">
        <v>25</v>
      </c>
      <c r="G1486" t="n">
        <v>26.44877038600607</v>
      </c>
      <c r="H1486" t="n">
        <v>8.253451797892902</v>
      </c>
      <c r="I1486" t="n">
        <v>850</v>
      </c>
      <c r="J1486" t="n">
        <v>957</v>
      </c>
      <c r="K1486" t="n">
        <v>8.333333333333334</v>
      </c>
    </row>
    <row r="1487">
      <c r="A1487" t="n">
        <v>50</v>
      </c>
      <c r="B1487" t="inlineStr">
        <is>
          <t>Smit</t>
        </is>
      </c>
      <c r="C1487" t="inlineStr">
        <is>
          <t>Town</t>
        </is>
      </c>
      <c r="D1487" t="inlineStr">
        <is>
          <t>Win</t>
        </is>
      </c>
      <c r="E1487" t="n">
        <v>103</v>
      </c>
      <c r="F1487" t="n">
        <v>23.38367446104887</v>
      </c>
      <c r="G1487" t="n">
        <v>24.79042118412479</v>
      </c>
      <c r="H1487" t="n">
        <v>8.13518060557586</v>
      </c>
      <c r="I1487" t="n">
        <v>753</v>
      </c>
      <c r="J1487" t="n">
        <v>856</v>
      </c>
      <c r="K1487" t="n">
        <v>8.211566152020559</v>
      </c>
    </row>
    <row r="1488">
      <c r="A1488" t="n">
        <v>50</v>
      </c>
      <c r="B1488" t="inlineStr">
        <is>
          <t>Creatchee</t>
        </is>
      </c>
      <c r="C1488" t="inlineStr">
        <is>
          <t>Town</t>
        </is>
      </c>
      <c r="D1488" t="inlineStr">
        <is>
          <t>Win</t>
        </is>
      </c>
      <c r="E1488" t="n">
        <v>103</v>
      </c>
      <c r="F1488" t="n">
        <v>25.53460179849287</v>
      </c>
      <c r="G1488" t="n">
        <v>26.93650578540498</v>
      </c>
      <c r="H1488" t="n">
        <v>8.121431668527958</v>
      </c>
      <c r="I1488" t="n">
        <v>900</v>
      </c>
      <c r="J1488" t="n">
        <v>1003</v>
      </c>
      <c r="K1488" t="n">
        <v>8.197417677935615</v>
      </c>
    </row>
    <row r="1489">
      <c r="A1489" t="n">
        <v>50</v>
      </c>
      <c r="B1489" t="inlineStr">
        <is>
          <t>Lou</t>
        </is>
      </c>
      <c r="C1489" t="inlineStr">
        <is>
          <t>Town</t>
        </is>
      </c>
      <c r="D1489" t="inlineStr">
        <is>
          <t>Win</t>
        </is>
      </c>
      <c r="E1489" t="n">
        <v>101</v>
      </c>
      <c r="F1489" t="n">
        <v>26.41888307719632</v>
      </c>
      <c r="G1489" t="n">
        <v>27.79936532694573</v>
      </c>
      <c r="H1489" t="n">
        <v>8.060310036261679</v>
      </c>
      <c r="I1489" t="n">
        <v>967</v>
      </c>
      <c r="J1489" t="n">
        <v>1068</v>
      </c>
      <c r="K1489" t="n">
        <v>8.13453703100061</v>
      </c>
    </row>
    <row r="1490">
      <c r="A1490" t="n">
        <v>50</v>
      </c>
      <c r="B1490" t="inlineStr">
        <is>
          <t>Carson</t>
        </is>
      </c>
      <c r="C1490" t="inlineStr">
        <is>
          <t>Town</t>
        </is>
      </c>
      <c r="D1490" t="inlineStr">
        <is>
          <t>Win</t>
        </is>
      </c>
      <c r="E1490" t="n">
        <v>101</v>
      </c>
      <c r="F1490" t="n">
        <v>26.98129370205053</v>
      </c>
      <c r="G1490" t="n">
        <v>28.35711516936634</v>
      </c>
      <c r="H1490" t="n">
        <v>8.046945348329173</v>
      </c>
      <c r="I1490" t="n">
        <v>1006</v>
      </c>
      <c r="J1490" t="n">
        <v>1107</v>
      </c>
      <c r="K1490" t="n">
        <v>8.120791435403207</v>
      </c>
    </row>
    <row r="1491">
      <c r="A1491" t="n">
        <v>50</v>
      </c>
      <c r="B1491" t="inlineStr">
        <is>
          <t>Aipha</t>
        </is>
      </c>
      <c r="C1491" t="inlineStr">
        <is>
          <t>Town</t>
        </is>
      </c>
      <c r="D1491" t="inlineStr">
        <is>
          <t>Win</t>
        </is>
      </c>
      <c r="E1491" t="n">
        <v>107</v>
      </c>
      <c r="F1491" t="n">
        <v>25</v>
      </c>
      <c r="G1491" t="n">
        <v>26.44877038600607</v>
      </c>
      <c r="H1491" t="n">
        <v>8.253451797892902</v>
      </c>
      <c r="I1491" t="n">
        <v>850</v>
      </c>
      <c r="J1491" t="n">
        <v>957</v>
      </c>
      <c r="K1491" t="n">
        <v>8.333333333333334</v>
      </c>
    </row>
    <row r="1492">
      <c r="A1492" t="n">
        <v>49</v>
      </c>
      <c r="B1492" t="inlineStr">
        <is>
          <t>Noah</t>
        </is>
      </c>
      <c r="C1492" t="inlineStr">
        <is>
          <t>Mafia</t>
        </is>
      </c>
      <c r="D1492" t="inlineStr">
        <is>
          <t>Loss</t>
        </is>
      </c>
      <c r="E1492" t="n">
        <v>-91</v>
      </c>
      <c r="F1492" t="n">
        <v>26.34586222117265</v>
      </c>
      <c r="G1492" t="n">
        <v>24.87830509105362</v>
      </c>
      <c r="H1492" t="n">
        <v>8.17801635072731</v>
      </c>
      <c r="I1492" t="n">
        <v>949</v>
      </c>
      <c r="J1492" t="n">
        <v>858</v>
      </c>
      <c r="K1492" t="n">
        <v>8.256329301511959</v>
      </c>
    </row>
    <row r="1493">
      <c r="A1493" t="n">
        <v>49</v>
      </c>
      <c r="B1493" t="inlineStr">
        <is>
          <t>Kwix</t>
        </is>
      </c>
      <c r="C1493" t="inlineStr">
        <is>
          <t>Mafia</t>
        </is>
      </c>
      <c r="D1493" t="inlineStr">
        <is>
          <t>Loss</t>
        </is>
      </c>
      <c r="E1493" t="n">
        <v>-91</v>
      </c>
      <c r="F1493" t="n">
        <v>23.38367446104886</v>
      </c>
      <c r="G1493" t="n">
        <v>21.93198510597909</v>
      </c>
      <c r="H1493" t="n">
        <v>8.13453703100061</v>
      </c>
      <c r="I1493" t="n">
        <v>753</v>
      </c>
      <c r="J1493" t="n">
        <v>662</v>
      </c>
      <c r="K1493" t="n">
        <v>8.211566152020559</v>
      </c>
    </row>
    <row r="1494">
      <c r="A1494" t="n">
        <v>49</v>
      </c>
      <c r="B1494" t="inlineStr">
        <is>
          <t>Xcync</t>
        </is>
      </c>
      <c r="C1494" t="inlineStr">
        <is>
          <t>Mafia</t>
        </is>
      </c>
      <c r="D1494" t="inlineStr">
        <is>
          <t>Loss</t>
        </is>
      </c>
      <c r="E1494" t="n">
        <v>-91</v>
      </c>
      <c r="F1494" t="n">
        <v>26.34586222117265</v>
      </c>
      <c r="G1494" t="n">
        <v>24.87830509105362</v>
      </c>
      <c r="H1494" t="n">
        <v>8.17801635072731</v>
      </c>
      <c r="I1494" t="n">
        <v>949</v>
      </c>
      <c r="J1494" t="n">
        <v>858</v>
      </c>
      <c r="K1494" t="n">
        <v>8.256329301511959</v>
      </c>
    </row>
    <row r="1495">
      <c r="A1495" t="n">
        <v>49</v>
      </c>
      <c r="B1495" t="inlineStr">
        <is>
          <t>Svaan</t>
        </is>
      </c>
      <c r="C1495" t="inlineStr">
        <is>
          <t>Town</t>
        </is>
      </c>
      <c r="D1495" t="inlineStr">
        <is>
          <t>Win</t>
        </is>
      </c>
      <c r="E1495" t="n">
        <v>108</v>
      </c>
      <c r="F1495" t="n">
        <v>23.65413777882735</v>
      </c>
      <c r="G1495" t="n">
        <v>25.1216949089464</v>
      </c>
      <c r="H1495" t="n">
        <v>8.17801635072731</v>
      </c>
      <c r="I1495" t="n">
        <v>766</v>
      </c>
      <c r="J1495" t="n">
        <v>874</v>
      </c>
      <c r="K1495" t="n">
        <v>8.256329301511959</v>
      </c>
    </row>
    <row r="1496">
      <c r="A1496" t="n">
        <v>49</v>
      </c>
      <c r="B1496" t="inlineStr">
        <is>
          <t>Lou</t>
        </is>
      </c>
      <c r="C1496" t="inlineStr">
        <is>
          <t>Town</t>
        </is>
      </c>
      <c r="D1496" t="inlineStr">
        <is>
          <t>Win</t>
        </is>
      </c>
      <c r="E1496" t="n">
        <v>107</v>
      </c>
      <c r="F1496" t="n">
        <v>24.96719372212655</v>
      </c>
      <c r="G1496" t="n">
        <v>26.41888307719632</v>
      </c>
      <c r="H1496" t="n">
        <v>8.13453703100061</v>
      </c>
      <c r="I1496" t="n">
        <v>860</v>
      </c>
      <c r="J1496" t="n">
        <v>967</v>
      </c>
      <c r="K1496" t="n">
        <v>8.211566152020559</v>
      </c>
    </row>
    <row r="1497">
      <c r="A1497" t="n">
        <v>49</v>
      </c>
      <c r="B1497" t="inlineStr">
        <is>
          <t>Carson</t>
        </is>
      </c>
      <c r="C1497" t="inlineStr">
        <is>
          <t>Town</t>
        </is>
      </c>
      <c r="D1497" t="inlineStr">
        <is>
          <t>Win</t>
        </is>
      </c>
      <c r="E1497" t="n">
        <v>106</v>
      </c>
      <c r="F1497" t="n">
        <v>25.53460179849287</v>
      </c>
      <c r="G1497" t="n">
        <v>26.98129370205053</v>
      </c>
      <c r="H1497" t="n">
        <v>8.120791435403207</v>
      </c>
      <c r="I1497" t="n">
        <v>900</v>
      </c>
      <c r="J1497" t="n">
        <v>1006</v>
      </c>
      <c r="K1497" t="n">
        <v>8.197417677935615</v>
      </c>
    </row>
    <row r="1498">
      <c r="A1498" t="n">
        <v>49</v>
      </c>
      <c r="B1498" t="inlineStr">
        <is>
          <t>Starv</t>
        </is>
      </c>
      <c r="C1498" t="inlineStr">
        <is>
          <t>Town</t>
        </is>
      </c>
      <c r="D1498" t="inlineStr">
        <is>
          <t>Win</t>
        </is>
      </c>
      <c r="E1498" t="n">
        <v>109</v>
      </c>
      <c r="F1498" t="n">
        <v>24.16331093417789</v>
      </c>
      <c r="G1498" t="n">
        <v>25.63601354585627</v>
      </c>
      <c r="H1498" t="n">
        <v>8.192061971800644</v>
      </c>
      <c r="I1498" t="n">
        <v>799</v>
      </c>
      <c r="J1498" t="n">
        <v>908</v>
      </c>
      <c r="K1498" t="n">
        <v>8.270792738028632</v>
      </c>
    </row>
    <row r="1499">
      <c r="A1499" t="n">
        <v>49</v>
      </c>
      <c r="B1499" t="inlineStr">
        <is>
          <t>Brownkow</t>
        </is>
      </c>
      <c r="C1499" t="inlineStr">
        <is>
          <t>Town</t>
        </is>
      </c>
      <c r="D1499" t="inlineStr">
        <is>
          <t>Win</t>
        </is>
      </c>
      <c r="E1499" t="n">
        <v>108</v>
      </c>
      <c r="F1499" t="n">
        <v>25.8366890658221</v>
      </c>
      <c r="G1499" t="n">
        <v>27.30939167750047</v>
      </c>
      <c r="H1499" t="n">
        <v>8.192061971800644</v>
      </c>
      <c r="I1499" t="n">
        <v>913</v>
      </c>
      <c r="J1499" t="n">
        <v>1021</v>
      </c>
      <c r="K1499" t="n">
        <v>8.270792738028632</v>
      </c>
    </row>
    <row r="1500">
      <c r="A1500" t="n">
        <v>49</v>
      </c>
      <c r="B1500" t="inlineStr">
        <is>
          <t>Happymeal</t>
        </is>
      </c>
      <c r="C1500" t="inlineStr">
        <is>
          <t>Town</t>
        </is>
      </c>
      <c r="D1500" t="inlineStr">
        <is>
          <t>Win</t>
        </is>
      </c>
      <c r="E1500" t="n">
        <v>106</v>
      </c>
      <c r="F1500" t="n">
        <v>25.03280627787345</v>
      </c>
      <c r="G1500" t="n">
        <v>26.48449563294323</v>
      </c>
      <c r="H1500" t="n">
        <v>8.13453703100061</v>
      </c>
      <c r="I1500" t="n">
        <v>865</v>
      </c>
      <c r="J1500" t="n">
        <v>971</v>
      </c>
      <c r="K1500" t="n">
        <v>8.211566152020559</v>
      </c>
    </row>
    <row r="1501">
      <c r="A1501" t="n">
        <v>49</v>
      </c>
      <c r="B1501" t="inlineStr">
        <is>
          <t>Plen</t>
        </is>
      </c>
      <c r="C1501" t="inlineStr">
        <is>
          <t>Town</t>
        </is>
      </c>
      <c r="D1501" t="inlineStr">
        <is>
          <t>Win</t>
        </is>
      </c>
      <c r="E1501" t="n">
        <v>110</v>
      </c>
      <c r="F1501" t="n">
        <v>25</v>
      </c>
      <c r="G1501" t="n">
        <v>26.49505558662804</v>
      </c>
      <c r="H1501" t="n">
        <v>8.25277897884585</v>
      </c>
      <c r="I1501" t="n">
        <v>850</v>
      </c>
      <c r="J1501" t="n">
        <v>960</v>
      </c>
      <c r="K1501" t="n">
        <v>8.333333333333334</v>
      </c>
    </row>
    <row r="1502">
      <c r="A1502" t="n">
        <v>49</v>
      </c>
      <c r="B1502" t="inlineStr">
        <is>
          <t>Chester</t>
        </is>
      </c>
      <c r="C1502" t="inlineStr">
        <is>
          <t>Town</t>
        </is>
      </c>
      <c r="D1502" t="inlineStr">
        <is>
          <t>Win</t>
        </is>
      </c>
      <c r="E1502" t="n">
        <v>109</v>
      </c>
      <c r="F1502" t="n">
        <v>24.16331093417789</v>
      </c>
      <c r="G1502" t="n">
        <v>25.63601354585627</v>
      </c>
      <c r="H1502" t="n">
        <v>8.192061971800644</v>
      </c>
      <c r="I1502" t="n">
        <v>799</v>
      </c>
      <c r="J1502" t="n">
        <v>908</v>
      </c>
      <c r="K1502" t="n">
        <v>8.270792738028632</v>
      </c>
    </row>
    <row r="1503">
      <c r="A1503" t="n">
        <v>49</v>
      </c>
      <c r="B1503" t="inlineStr">
        <is>
          <t>Machop</t>
        </is>
      </c>
      <c r="C1503" t="inlineStr">
        <is>
          <t>Town</t>
        </is>
      </c>
      <c r="D1503" t="inlineStr">
        <is>
          <t>Win</t>
        </is>
      </c>
      <c r="E1503" t="n">
        <v>105</v>
      </c>
      <c r="F1503" t="n">
        <v>26.33962983503192</v>
      </c>
      <c r="G1503" t="n">
        <v>27.76540516803343</v>
      </c>
      <c r="H1503" t="n">
        <v>8.062985440183391</v>
      </c>
      <c r="I1503" t="n">
        <v>961</v>
      </c>
      <c r="J1503" t="n">
        <v>1066</v>
      </c>
      <c r="K1503" t="n">
        <v>8.137933054317697</v>
      </c>
    </row>
    <row r="1504">
      <c r="A1504" t="n">
        <v>49</v>
      </c>
      <c r="B1504" t="inlineStr">
        <is>
          <t>Mintt</t>
        </is>
      </c>
      <c r="C1504" t="inlineStr">
        <is>
          <t>Town</t>
        </is>
      </c>
      <c r="D1504" t="inlineStr">
        <is>
          <t>Win</t>
        </is>
      </c>
      <c r="E1504" t="n">
        <v>110</v>
      </c>
      <c r="F1504" t="n">
        <v>25</v>
      </c>
      <c r="G1504" t="n">
        <v>26.49505558662805</v>
      </c>
      <c r="H1504" t="n">
        <v>8.25277897884585</v>
      </c>
      <c r="I1504" t="n">
        <v>850</v>
      </c>
      <c r="J1504" t="n">
        <v>960</v>
      </c>
      <c r="K1504" t="n">
        <v>8.333333333333334</v>
      </c>
    </row>
    <row r="1505">
      <c r="A1505" t="n">
        <v>48</v>
      </c>
      <c r="B1505" t="inlineStr">
        <is>
          <t>Rollo</t>
        </is>
      </c>
      <c r="C1505" t="inlineStr">
        <is>
          <t>Mafia</t>
        </is>
      </c>
      <c r="D1505" t="inlineStr">
        <is>
          <t>Loss</t>
        </is>
      </c>
      <c r="E1505" t="n">
        <v>-84</v>
      </c>
      <c r="F1505" t="n">
        <v>25</v>
      </c>
      <c r="G1505" t="n">
        <v>23.65413777882735</v>
      </c>
      <c r="H1505" t="n">
        <v>8.256329301511959</v>
      </c>
      <c r="I1505" t="n">
        <v>850</v>
      </c>
      <c r="J1505" t="n">
        <v>766</v>
      </c>
      <c r="K1505" t="n">
        <v>8.333333333333334</v>
      </c>
    </row>
    <row r="1506">
      <c r="A1506" t="n">
        <v>48</v>
      </c>
      <c r="B1506" t="inlineStr">
        <is>
          <t>Svaan</t>
        </is>
      </c>
      <c r="C1506" t="inlineStr">
        <is>
          <t>Mafia</t>
        </is>
      </c>
      <c r="D1506" t="inlineStr">
        <is>
          <t>Loss</t>
        </is>
      </c>
      <c r="E1506" t="n">
        <v>-84</v>
      </c>
      <c r="F1506" t="n">
        <v>25</v>
      </c>
      <c r="G1506" t="n">
        <v>23.65413777882735</v>
      </c>
      <c r="H1506" t="n">
        <v>8.256329301511959</v>
      </c>
      <c r="I1506" t="n">
        <v>850</v>
      </c>
      <c r="J1506" t="n">
        <v>766</v>
      </c>
      <c r="K1506" t="n">
        <v>8.333333333333334</v>
      </c>
    </row>
    <row r="1507">
      <c r="A1507" t="n">
        <v>48</v>
      </c>
      <c r="B1507" t="inlineStr">
        <is>
          <t>Badpants</t>
        </is>
      </c>
      <c r="C1507" t="inlineStr">
        <is>
          <t>Mafia</t>
        </is>
      </c>
      <c r="D1507" t="inlineStr">
        <is>
          <t>Loss</t>
        </is>
      </c>
      <c r="E1507" t="n">
        <v>-82</v>
      </c>
      <c r="F1507" t="n">
        <v>23.38367446104887</v>
      </c>
      <c r="G1507" t="n">
        <v>22.0768509038904</v>
      </c>
      <c r="H1507" t="n">
        <v>8.137933054317697</v>
      </c>
      <c r="I1507" t="n">
        <v>753</v>
      </c>
      <c r="J1507" t="n">
        <v>671</v>
      </c>
      <c r="K1507" t="n">
        <v>8.211566152020559</v>
      </c>
    </row>
    <row r="1508">
      <c r="A1508" t="n">
        <v>48</v>
      </c>
      <c r="B1508" t="inlineStr">
        <is>
          <t>Creatchee</t>
        </is>
      </c>
      <c r="C1508" t="inlineStr">
        <is>
          <t>Town</t>
        </is>
      </c>
      <c r="D1508" t="inlineStr">
        <is>
          <t>Win</t>
        </is>
      </c>
      <c r="E1508" t="n">
        <v>98</v>
      </c>
      <c r="F1508" t="n">
        <v>24.20824036946116</v>
      </c>
      <c r="G1508" t="n">
        <v>25.53460179849287</v>
      </c>
      <c r="H1508" t="n">
        <v>8.197417677935615</v>
      </c>
      <c r="I1508" t="n">
        <v>802</v>
      </c>
      <c r="J1508" t="n">
        <v>900</v>
      </c>
      <c r="K1508" t="n">
        <v>8.272731611951896</v>
      </c>
    </row>
    <row r="1509">
      <c r="A1509" t="n">
        <v>48</v>
      </c>
      <c r="B1509" t="inlineStr">
        <is>
          <t>Noah</t>
        </is>
      </c>
      <c r="C1509" t="inlineStr">
        <is>
          <t>Town</t>
        </is>
      </c>
      <c r="D1509" t="inlineStr">
        <is>
          <t>Win</t>
        </is>
      </c>
      <c r="E1509" t="n">
        <v>99</v>
      </c>
      <c r="F1509" t="n">
        <v>25</v>
      </c>
      <c r="G1509" t="n">
        <v>26.34586222117265</v>
      </c>
      <c r="H1509" t="n">
        <v>8.256329301511959</v>
      </c>
      <c r="I1509" t="n">
        <v>850</v>
      </c>
      <c r="J1509" t="n">
        <v>949</v>
      </c>
      <c r="K1509" t="n">
        <v>8.333333333333334</v>
      </c>
    </row>
    <row r="1510">
      <c r="A1510" t="n">
        <v>48</v>
      </c>
      <c r="B1510" t="inlineStr">
        <is>
          <t>Siggy</t>
        </is>
      </c>
      <c r="C1510" t="inlineStr">
        <is>
          <t>Town</t>
        </is>
      </c>
      <c r="D1510" t="inlineStr">
        <is>
          <t>Win</t>
        </is>
      </c>
      <c r="E1510" t="n">
        <v>99</v>
      </c>
      <c r="F1510" t="n">
        <v>25</v>
      </c>
      <c r="G1510" t="n">
        <v>26.34586222117265</v>
      </c>
      <c r="H1510" t="n">
        <v>8.256329301511959</v>
      </c>
      <c r="I1510" t="n">
        <v>850</v>
      </c>
      <c r="J1510" t="n">
        <v>949</v>
      </c>
      <c r="K1510" t="n">
        <v>8.333333333333334</v>
      </c>
    </row>
    <row r="1511">
      <c r="A1511" t="n">
        <v>48</v>
      </c>
      <c r="B1511" t="inlineStr">
        <is>
          <t>Rocker</t>
        </is>
      </c>
      <c r="C1511" t="inlineStr">
        <is>
          <t>Town</t>
        </is>
      </c>
      <c r="D1511" t="inlineStr">
        <is>
          <t>Win</t>
        </is>
      </c>
      <c r="E1511" t="n">
        <v>99</v>
      </c>
      <c r="F1511" t="n">
        <v>25</v>
      </c>
      <c r="G1511" t="n">
        <v>26.34586222117265</v>
      </c>
      <c r="H1511" t="n">
        <v>8.256329301511959</v>
      </c>
      <c r="I1511" t="n">
        <v>850</v>
      </c>
      <c r="J1511" t="n">
        <v>949</v>
      </c>
      <c r="K1511" t="n">
        <v>8.333333333333334</v>
      </c>
    </row>
    <row r="1512">
      <c r="A1512" t="n">
        <v>48</v>
      </c>
      <c r="B1512" t="inlineStr">
        <is>
          <t>Xcync</t>
        </is>
      </c>
      <c r="C1512" t="inlineStr">
        <is>
          <t>Town</t>
        </is>
      </c>
      <c r="D1512" t="inlineStr">
        <is>
          <t>Win</t>
        </is>
      </c>
      <c r="E1512" t="n">
        <v>99</v>
      </c>
      <c r="F1512" t="n">
        <v>25</v>
      </c>
      <c r="G1512" t="n">
        <v>26.34586222117265</v>
      </c>
      <c r="H1512" t="n">
        <v>8.256329301511959</v>
      </c>
      <c r="I1512" t="n">
        <v>850</v>
      </c>
      <c r="J1512" t="n">
        <v>949</v>
      </c>
      <c r="K1512" t="n">
        <v>8.333333333333334</v>
      </c>
    </row>
    <row r="1513">
      <c r="A1513" t="n">
        <v>48</v>
      </c>
      <c r="B1513" t="inlineStr">
        <is>
          <t>Asiansam</t>
        </is>
      </c>
      <c r="C1513" t="inlineStr">
        <is>
          <t>Town</t>
        </is>
      </c>
      <c r="D1513" t="inlineStr">
        <is>
          <t>Win</t>
        </is>
      </c>
      <c r="E1513" t="n">
        <v>99</v>
      </c>
      <c r="F1513" t="n">
        <v>25</v>
      </c>
      <c r="G1513" t="n">
        <v>26.34586222117265</v>
      </c>
      <c r="H1513" t="n">
        <v>8.256329301511959</v>
      </c>
      <c r="I1513" t="n">
        <v>850</v>
      </c>
      <c r="J1513" t="n">
        <v>949</v>
      </c>
      <c r="K1513" t="n">
        <v>8.333333333333334</v>
      </c>
    </row>
    <row r="1514">
      <c r="A1514" t="n">
        <v>48</v>
      </c>
      <c r="B1514" t="inlineStr">
        <is>
          <t>Machop</t>
        </is>
      </c>
      <c r="C1514" t="inlineStr">
        <is>
          <t>Town</t>
        </is>
      </c>
      <c r="D1514" t="inlineStr">
        <is>
          <t>Win</t>
        </is>
      </c>
      <c r="E1514" t="n">
        <v>96</v>
      </c>
      <c r="F1514" t="n">
        <v>25.03280627787345</v>
      </c>
      <c r="G1514" t="n">
        <v>26.33962983503192</v>
      </c>
      <c r="H1514" t="n">
        <v>8.137933054317697</v>
      </c>
      <c r="I1514" t="n">
        <v>865</v>
      </c>
      <c r="J1514" t="n">
        <v>961</v>
      </c>
      <c r="K1514" t="n">
        <v>8.211566152020559</v>
      </c>
    </row>
    <row r="1515">
      <c r="A1515" t="n">
        <v>48</v>
      </c>
      <c r="B1515" t="inlineStr">
        <is>
          <t>Whyin</t>
        </is>
      </c>
      <c r="C1515" t="inlineStr">
        <is>
          <t>Town</t>
        </is>
      </c>
      <c r="D1515" t="inlineStr">
        <is>
          <t>Win</t>
        </is>
      </c>
      <c r="E1515" t="n">
        <v>99</v>
      </c>
      <c r="F1515" t="n">
        <v>25</v>
      </c>
      <c r="G1515" t="n">
        <v>26.34586222117265</v>
      </c>
      <c r="H1515" t="n">
        <v>8.256329301511959</v>
      </c>
      <c r="I1515" t="n">
        <v>850</v>
      </c>
      <c r="J1515" t="n">
        <v>949</v>
      </c>
      <c r="K1515" t="n">
        <v>8.333333333333334</v>
      </c>
    </row>
    <row r="1516">
      <c r="A1516" t="n">
        <v>48</v>
      </c>
      <c r="B1516" t="inlineStr">
        <is>
          <t>Josh</t>
        </is>
      </c>
      <c r="C1516" t="inlineStr">
        <is>
          <t>Town</t>
        </is>
      </c>
      <c r="D1516" t="inlineStr">
        <is>
          <t>Win</t>
        </is>
      </c>
      <c r="E1516" t="n">
        <v>99</v>
      </c>
      <c r="F1516" t="n">
        <v>25</v>
      </c>
      <c r="G1516" t="n">
        <v>26.34586222117265</v>
      </c>
      <c r="H1516" t="n">
        <v>8.256329301511959</v>
      </c>
      <c r="I1516" t="n">
        <v>850</v>
      </c>
      <c r="J1516" t="n">
        <v>949</v>
      </c>
      <c r="K1516" t="n">
        <v>8.333333333333334</v>
      </c>
    </row>
    <row r="1517">
      <c r="A1517" t="n">
        <v>48</v>
      </c>
      <c r="B1517" t="inlineStr">
        <is>
          <t>Carson</t>
        </is>
      </c>
      <c r="C1517" t="inlineStr">
        <is>
          <t>Town</t>
        </is>
      </c>
      <c r="D1517" t="inlineStr">
        <is>
          <t>Win</t>
        </is>
      </c>
      <c r="E1517" t="n">
        <v>98</v>
      </c>
      <c r="F1517" t="n">
        <v>24.20824036946116</v>
      </c>
      <c r="G1517" t="n">
        <v>25.53460179849287</v>
      </c>
      <c r="H1517" t="n">
        <v>8.197417677935615</v>
      </c>
      <c r="I1517" t="n">
        <v>802</v>
      </c>
      <c r="J1517" t="n">
        <v>900</v>
      </c>
      <c r="K1517" t="n">
        <v>8.272731611951896</v>
      </c>
    </row>
    <row r="1518">
      <c r="A1518" t="n">
        <v>47</v>
      </c>
      <c r="B1518" t="inlineStr">
        <is>
          <t>Brownkow</t>
        </is>
      </c>
      <c r="C1518" t="inlineStr">
        <is>
          <t>Mafia</t>
        </is>
      </c>
      <c r="D1518" t="inlineStr">
        <is>
          <t>Win</t>
        </is>
      </c>
      <c r="E1518" t="n">
        <v>63</v>
      </c>
      <c r="F1518" t="n">
        <v>25</v>
      </c>
      <c r="G1518" t="n">
        <v>25.8366890658221</v>
      </c>
      <c r="H1518" t="n">
        <v>8.270792738028632</v>
      </c>
      <c r="I1518" t="n">
        <v>850</v>
      </c>
      <c r="J1518" t="n">
        <v>913</v>
      </c>
      <c r="K1518" t="n">
        <v>8.333333333333334</v>
      </c>
    </row>
    <row r="1519">
      <c r="A1519" t="n">
        <v>47</v>
      </c>
      <c r="B1519" t="inlineStr">
        <is>
          <t>Happymeal</t>
        </is>
      </c>
      <c r="C1519" t="inlineStr">
        <is>
          <t>Mafia</t>
        </is>
      </c>
      <c r="D1519" t="inlineStr">
        <is>
          <t>Win</t>
        </is>
      </c>
      <c r="E1519" t="n">
        <v>63</v>
      </c>
      <c r="F1519" t="n">
        <v>24.20824036946116</v>
      </c>
      <c r="G1519" t="n">
        <v>25.03280627787345</v>
      </c>
      <c r="H1519" t="n">
        <v>8.211566152020559</v>
      </c>
      <c r="I1519" t="n">
        <v>802</v>
      </c>
      <c r="J1519" t="n">
        <v>865</v>
      </c>
      <c r="K1519" t="n">
        <v>8.272731611951896</v>
      </c>
    </row>
    <row r="1520">
      <c r="A1520" t="n">
        <v>47</v>
      </c>
      <c r="B1520" t="inlineStr">
        <is>
          <t>Machop</t>
        </is>
      </c>
      <c r="C1520" t="inlineStr">
        <is>
          <t>Mafia</t>
        </is>
      </c>
      <c r="D1520" t="inlineStr">
        <is>
          <t>Win</t>
        </is>
      </c>
      <c r="E1520" t="n">
        <v>63</v>
      </c>
      <c r="F1520" t="n">
        <v>24.20824036946116</v>
      </c>
      <c r="G1520" t="n">
        <v>25.03280627787345</v>
      </c>
      <c r="H1520" t="n">
        <v>8.211566152020559</v>
      </c>
      <c r="I1520" t="n">
        <v>802</v>
      </c>
      <c r="J1520" t="n">
        <v>865</v>
      </c>
      <c r="K1520" t="n">
        <v>8.272731611951896</v>
      </c>
    </row>
    <row r="1521">
      <c r="A1521" t="n">
        <v>47</v>
      </c>
      <c r="B1521" t="inlineStr">
        <is>
          <t>Lou</t>
        </is>
      </c>
      <c r="C1521" t="inlineStr">
        <is>
          <t>Town</t>
        </is>
      </c>
      <c r="D1521" t="inlineStr">
        <is>
          <t>Loss</t>
        </is>
      </c>
      <c r="E1521" t="n">
        <v>-50</v>
      </c>
      <c r="F1521" t="n">
        <v>25.79175963053884</v>
      </c>
      <c r="G1521" t="n">
        <v>24.96719372212655</v>
      </c>
      <c r="H1521" t="n">
        <v>8.211566152020559</v>
      </c>
      <c r="I1521" t="n">
        <v>910</v>
      </c>
      <c r="J1521" t="n">
        <v>860</v>
      </c>
      <c r="K1521" t="n">
        <v>8.272731611951896</v>
      </c>
    </row>
    <row r="1522">
      <c r="A1522" t="n">
        <v>47</v>
      </c>
      <c r="B1522" t="inlineStr">
        <is>
          <t>Iln</t>
        </is>
      </c>
      <c r="C1522" t="inlineStr">
        <is>
          <t>Town</t>
        </is>
      </c>
      <c r="D1522" t="inlineStr">
        <is>
          <t>Loss</t>
        </is>
      </c>
      <c r="E1522" t="n">
        <v>-50</v>
      </c>
      <c r="F1522" t="n">
        <v>25.79175963053884</v>
      </c>
      <c r="G1522" t="n">
        <v>24.96719372212655</v>
      </c>
      <c r="H1522" t="n">
        <v>8.211566152020559</v>
      </c>
      <c r="I1522" t="n">
        <v>910</v>
      </c>
      <c r="J1522" t="n">
        <v>860</v>
      </c>
      <c r="K1522" t="n">
        <v>8.272731611951896</v>
      </c>
    </row>
    <row r="1523">
      <c r="A1523" t="n">
        <v>47</v>
      </c>
      <c r="B1523" t="inlineStr">
        <is>
          <t>Smit</t>
        </is>
      </c>
      <c r="C1523" t="inlineStr">
        <is>
          <t>Town</t>
        </is>
      </c>
      <c r="D1523" t="inlineStr">
        <is>
          <t>Loss</t>
        </is>
      </c>
      <c r="E1523" t="n">
        <v>-49</v>
      </c>
      <c r="F1523" t="n">
        <v>24.20824036946116</v>
      </c>
      <c r="G1523" t="n">
        <v>23.38367446104887</v>
      </c>
      <c r="H1523" t="n">
        <v>8.211566152020559</v>
      </c>
      <c r="I1523" t="n">
        <v>802</v>
      </c>
      <c r="J1523" t="n">
        <v>753</v>
      </c>
      <c r="K1523" t="n">
        <v>8.272731611951896</v>
      </c>
    </row>
    <row r="1524">
      <c r="A1524" t="n">
        <v>47</v>
      </c>
      <c r="B1524" t="inlineStr">
        <is>
          <t>Badpants</t>
        </is>
      </c>
      <c r="C1524" t="inlineStr">
        <is>
          <t>Town</t>
        </is>
      </c>
      <c r="D1524" t="inlineStr">
        <is>
          <t>Loss</t>
        </is>
      </c>
      <c r="E1524" t="n">
        <v>-49</v>
      </c>
      <c r="F1524" t="n">
        <v>24.20824036946116</v>
      </c>
      <c r="G1524" t="n">
        <v>23.38367446104887</v>
      </c>
      <c r="H1524" t="n">
        <v>8.211566152020559</v>
      </c>
      <c r="I1524" t="n">
        <v>802</v>
      </c>
      <c r="J1524" t="n">
        <v>753</v>
      </c>
      <c r="K1524" t="n">
        <v>8.272731611951896</v>
      </c>
    </row>
    <row r="1525">
      <c r="A1525" t="n">
        <v>47</v>
      </c>
      <c r="B1525" t="inlineStr">
        <is>
          <t>Kwix</t>
        </is>
      </c>
      <c r="C1525" t="inlineStr">
        <is>
          <t>Town</t>
        </is>
      </c>
      <c r="D1525" t="inlineStr">
        <is>
          <t>Loss</t>
        </is>
      </c>
      <c r="E1525" t="n">
        <v>-49</v>
      </c>
      <c r="F1525" t="n">
        <v>24.20824036946116</v>
      </c>
      <c r="G1525" t="n">
        <v>23.38367446104886</v>
      </c>
      <c r="H1525" t="n">
        <v>8.211566152020559</v>
      </c>
      <c r="I1525" t="n">
        <v>802</v>
      </c>
      <c r="J1525" t="n">
        <v>753</v>
      </c>
      <c r="K1525" t="n">
        <v>8.272731611951896</v>
      </c>
    </row>
    <row r="1526">
      <c r="A1526" t="n">
        <v>47</v>
      </c>
      <c r="B1526" t="inlineStr">
        <is>
          <t>Chipper</t>
        </is>
      </c>
      <c r="C1526" t="inlineStr">
        <is>
          <t>Town</t>
        </is>
      </c>
      <c r="D1526" t="inlineStr">
        <is>
          <t>Loss</t>
        </is>
      </c>
      <c r="E1526" t="n">
        <v>-49</v>
      </c>
      <c r="F1526" t="n">
        <v>24.20824036946116</v>
      </c>
      <c r="G1526" t="n">
        <v>23.38367446104886</v>
      </c>
      <c r="H1526" t="n">
        <v>8.211566152020559</v>
      </c>
      <c r="I1526" t="n">
        <v>802</v>
      </c>
      <c r="J1526" t="n">
        <v>753</v>
      </c>
      <c r="K1526" t="n">
        <v>8.272731611951896</v>
      </c>
    </row>
    <row r="1527">
      <c r="A1527" t="n">
        <v>47</v>
      </c>
      <c r="B1527" t="inlineStr">
        <is>
          <t>Chester</t>
        </is>
      </c>
      <c r="C1527" t="inlineStr">
        <is>
          <t>Town</t>
        </is>
      </c>
      <c r="D1527" t="inlineStr">
        <is>
          <t>Loss</t>
        </is>
      </c>
      <c r="E1527" t="n">
        <v>-51</v>
      </c>
      <c r="F1527" t="n">
        <v>25</v>
      </c>
      <c r="G1527" t="n">
        <v>24.16331093417789</v>
      </c>
      <c r="H1527" t="n">
        <v>8.270792738028632</v>
      </c>
      <c r="I1527" t="n">
        <v>850</v>
      </c>
      <c r="J1527" t="n">
        <v>799</v>
      </c>
      <c r="K1527" t="n">
        <v>8.333333333333334</v>
      </c>
    </row>
    <row r="1528">
      <c r="A1528" t="n">
        <v>47</v>
      </c>
      <c r="B1528" t="inlineStr">
        <is>
          <t>Starv</t>
        </is>
      </c>
      <c r="C1528" t="inlineStr">
        <is>
          <t>Town</t>
        </is>
      </c>
      <c r="D1528" t="inlineStr">
        <is>
          <t>Loss</t>
        </is>
      </c>
      <c r="E1528" t="n">
        <v>-51</v>
      </c>
      <c r="F1528" t="n">
        <v>25</v>
      </c>
      <c r="G1528" t="n">
        <v>24.16331093417789</v>
      </c>
      <c r="H1528" t="n">
        <v>8.270792738028632</v>
      </c>
      <c r="I1528" t="n">
        <v>850</v>
      </c>
      <c r="J1528" t="n">
        <v>799</v>
      </c>
      <c r="K1528" t="n">
        <v>8.333333333333334</v>
      </c>
    </row>
    <row r="1529">
      <c r="A1529" t="n">
        <v>47</v>
      </c>
      <c r="B1529" t="inlineStr">
        <is>
          <t>Boobles</t>
        </is>
      </c>
      <c r="C1529" t="inlineStr">
        <is>
          <t>Town</t>
        </is>
      </c>
      <c r="D1529" t="inlineStr">
        <is>
          <t>Loss</t>
        </is>
      </c>
      <c r="E1529" t="n">
        <v>-49</v>
      </c>
      <c r="F1529" t="n">
        <v>24.20824036946116</v>
      </c>
      <c r="G1529" t="n">
        <v>23.38367446104886</v>
      </c>
      <c r="H1529" t="n">
        <v>8.211566152020559</v>
      </c>
      <c r="I1529" t="n">
        <v>802</v>
      </c>
      <c r="J1529" t="n">
        <v>753</v>
      </c>
      <c r="K1529" t="n">
        <v>8.272731611951896</v>
      </c>
    </row>
    <row r="1530">
      <c r="A1530" t="n">
        <v>47</v>
      </c>
      <c r="B1530" t="inlineStr">
        <is>
          <t>Kowa</t>
        </is>
      </c>
      <c r="C1530" t="inlineStr">
        <is>
          <t>Town</t>
        </is>
      </c>
      <c r="D1530" t="inlineStr">
        <is>
          <t>Loss</t>
        </is>
      </c>
      <c r="E1530" t="n">
        <v>-51</v>
      </c>
      <c r="F1530" t="n">
        <v>25</v>
      </c>
      <c r="G1530" t="n">
        <v>24.16331093417789</v>
      </c>
      <c r="H1530" t="n">
        <v>8.270792738028632</v>
      </c>
      <c r="I1530" t="n">
        <v>850</v>
      </c>
      <c r="J1530" t="n">
        <v>799</v>
      </c>
      <c r="K1530" t="n">
        <v>8.333333333333334</v>
      </c>
    </row>
    <row r="1531">
      <c r="A1531" t="n">
        <v>46</v>
      </c>
      <c r="B1531" t="inlineStr">
        <is>
          <t>Lou</t>
        </is>
      </c>
      <c r="C1531" t="inlineStr">
        <is>
          <t>Mafia</t>
        </is>
      </c>
      <c r="D1531" t="inlineStr">
        <is>
          <t>Win</t>
        </is>
      </c>
      <c r="E1531" t="n">
        <v>60</v>
      </c>
      <c r="F1531" t="n">
        <v>25</v>
      </c>
      <c r="G1531" t="n">
        <v>25.79175963053884</v>
      </c>
      <c r="H1531" t="n">
        <v>8.272731611951896</v>
      </c>
      <c r="I1531" t="n">
        <v>850</v>
      </c>
      <c r="J1531" t="n">
        <v>910</v>
      </c>
      <c r="K1531" t="n">
        <v>8.333333333333334</v>
      </c>
    </row>
    <row r="1532">
      <c r="A1532" t="n">
        <v>46</v>
      </c>
      <c r="B1532" t="inlineStr">
        <is>
          <t>Iln</t>
        </is>
      </c>
      <c r="C1532" t="inlineStr">
        <is>
          <t>Mafia</t>
        </is>
      </c>
      <c r="D1532" t="inlineStr">
        <is>
          <t>Win</t>
        </is>
      </c>
      <c r="E1532" t="n">
        <v>60</v>
      </c>
      <c r="F1532" t="n">
        <v>25</v>
      </c>
      <c r="G1532" t="n">
        <v>25.79175963053884</v>
      </c>
      <c r="H1532" t="n">
        <v>8.272731611951896</v>
      </c>
      <c r="I1532" t="n">
        <v>850</v>
      </c>
      <c r="J1532" t="n">
        <v>910</v>
      </c>
      <c r="K1532" t="n">
        <v>8.333333333333334</v>
      </c>
    </row>
    <row r="1533">
      <c r="A1533" t="n">
        <v>46</v>
      </c>
      <c r="B1533" t="inlineStr">
        <is>
          <t>Lombax</t>
        </is>
      </c>
      <c r="C1533" t="inlineStr">
        <is>
          <t>Mafia</t>
        </is>
      </c>
      <c r="D1533" t="inlineStr">
        <is>
          <t>Win</t>
        </is>
      </c>
      <c r="E1533" t="n">
        <v>60</v>
      </c>
      <c r="F1533" t="n">
        <v>25</v>
      </c>
      <c r="G1533" t="n">
        <v>25.79175963053884</v>
      </c>
      <c r="H1533" t="n">
        <v>8.272731611951896</v>
      </c>
      <c r="I1533" t="n">
        <v>850</v>
      </c>
      <c r="J1533" t="n">
        <v>910</v>
      </c>
      <c r="K1533" t="n">
        <v>8.333333333333334</v>
      </c>
    </row>
    <row r="1534">
      <c r="A1534" t="n">
        <v>46</v>
      </c>
      <c r="B1534" t="inlineStr">
        <is>
          <t>Jake</t>
        </is>
      </c>
      <c r="C1534" t="inlineStr">
        <is>
          <t>Town</t>
        </is>
      </c>
      <c r="D1534" t="inlineStr">
        <is>
          <t>Loss</t>
        </is>
      </c>
      <c r="E1534" t="n">
        <v>-48</v>
      </c>
      <c r="F1534" t="n">
        <v>25</v>
      </c>
      <c r="G1534" t="n">
        <v>24.20824036946116</v>
      </c>
      <c r="H1534" t="n">
        <v>8.272731611951896</v>
      </c>
      <c r="I1534" t="n">
        <v>850</v>
      </c>
      <c r="J1534" t="n">
        <v>802</v>
      </c>
      <c r="K1534" t="n">
        <v>8.333333333333334</v>
      </c>
    </row>
    <row r="1535">
      <c r="A1535" t="n">
        <v>46</v>
      </c>
      <c r="B1535" t="inlineStr">
        <is>
          <t>Carson</t>
        </is>
      </c>
      <c r="C1535" t="inlineStr">
        <is>
          <t>Town</t>
        </is>
      </c>
      <c r="D1535" t="inlineStr">
        <is>
          <t>Loss</t>
        </is>
      </c>
      <c r="E1535" t="n">
        <v>-48</v>
      </c>
      <c r="F1535" t="n">
        <v>25</v>
      </c>
      <c r="G1535" t="n">
        <v>24.20824036946116</v>
      </c>
      <c r="H1535" t="n">
        <v>8.272731611951896</v>
      </c>
      <c r="I1535" t="n">
        <v>850</v>
      </c>
      <c r="J1535" t="n">
        <v>802</v>
      </c>
      <c r="K1535" t="n">
        <v>8.333333333333334</v>
      </c>
    </row>
    <row r="1536">
      <c r="A1536" t="n">
        <v>46</v>
      </c>
      <c r="B1536" t="inlineStr">
        <is>
          <t>Creatchee</t>
        </is>
      </c>
      <c r="C1536" t="inlineStr">
        <is>
          <t>Town</t>
        </is>
      </c>
      <c r="D1536" t="inlineStr">
        <is>
          <t>Loss</t>
        </is>
      </c>
      <c r="E1536" t="n">
        <v>-48</v>
      </c>
      <c r="F1536" t="n">
        <v>25</v>
      </c>
      <c r="G1536" t="n">
        <v>24.20824036946116</v>
      </c>
      <c r="H1536" t="n">
        <v>8.272731611951896</v>
      </c>
      <c r="I1536" t="n">
        <v>850</v>
      </c>
      <c r="J1536" t="n">
        <v>802</v>
      </c>
      <c r="K1536" t="n">
        <v>8.333333333333334</v>
      </c>
    </row>
    <row r="1537">
      <c r="A1537" t="n">
        <v>46</v>
      </c>
      <c r="B1537" t="inlineStr">
        <is>
          <t>Smit</t>
        </is>
      </c>
      <c r="C1537" t="inlineStr">
        <is>
          <t>Town</t>
        </is>
      </c>
      <c r="D1537" t="inlineStr">
        <is>
          <t>Loss</t>
        </is>
      </c>
      <c r="E1537" t="n">
        <v>-48</v>
      </c>
      <c r="F1537" t="n">
        <v>25</v>
      </c>
      <c r="G1537" t="n">
        <v>24.20824036946116</v>
      </c>
      <c r="H1537" t="n">
        <v>8.272731611951896</v>
      </c>
      <c r="I1537" t="n">
        <v>850</v>
      </c>
      <c r="J1537" t="n">
        <v>802</v>
      </c>
      <c r="K1537" t="n">
        <v>8.333333333333334</v>
      </c>
    </row>
    <row r="1538">
      <c r="A1538" t="n">
        <v>46</v>
      </c>
      <c r="B1538" t="inlineStr">
        <is>
          <t>Boobles</t>
        </is>
      </c>
      <c r="C1538" t="inlineStr">
        <is>
          <t>Town</t>
        </is>
      </c>
      <c r="D1538" t="inlineStr">
        <is>
          <t>Loss</t>
        </is>
      </c>
      <c r="E1538" t="n">
        <v>-48</v>
      </c>
      <c r="F1538" t="n">
        <v>25</v>
      </c>
      <c r="G1538" t="n">
        <v>24.20824036946116</v>
      </c>
      <c r="H1538" t="n">
        <v>8.272731611951896</v>
      </c>
      <c r="I1538" t="n">
        <v>850</v>
      </c>
      <c r="J1538" t="n">
        <v>802</v>
      </c>
      <c r="K1538" t="n">
        <v>8.333333333333334</v>
      </c>
    </row>
    <row r="1539">
      <c r="A1539" t="n">
        <v>46</v>
      </c>
      <c r="B1539" t="inlineStr">
        <is>
          <t>Badpants</t>
        </is>
      </c>
      <c r="C1539" t="inlineStr">
        <is>
          <t>Town</t>
        </is>
      </c>
      <c r="D1539" t="inlineStr">
        <is>
          <t>Loss</t>
        </is>
      </c>
      <c r="E1539" t="n">
        <v>-48</v>
      </c>
      <c r="F1539" t="n">
        <v>25</v>
      </c>
      <c r="G1539" t="n">
        <v>24.20824036946116</v>
      </c>
      <c r="H1539" t="n">
        <v>8.272731611951896</v>
      </c>
      <c r="I1539" t="n">
        <v>850</v>
      </c>
      <c r="J1539" t="n">
        <v>802</v>
      </c>
      <c r="K1539" t="n">
        <v>8.333333333333334</v>
      </c>
    </row>
    <row r="1540">
      <c r="A1540" t="n">
        <v>46</v>
      </c>
      <c r="B1540" t="inlineStr">
        <is>
          <t>Kwix</t>
        </is>
      </c>
      <c r="C1540" t="inlineStr">
        <is>
          <t>Town</t>
        </is>
      </c>
      <c r="D1540" t="inlineStr">
        <is>
          <t>Loss</t>
        </is>
      </c>
      <c r="E1540" t="n">
        <v>-48</v>
      </c>
      <c r="F1540" t="n">
        <v>25</v>
      </c>
      <c r="G1540" t="n">
        <v>24.20824036946116</v>
      </c>
      <c r="H1540" t="n">
        <v>8.272731611951896</v>
      </c>
      <c r="I1540" t="n">
        <v>850</v>
      </c>
      <c r="J1540" t="n">
        <v>802</v>
      </c>
      <c r="K1540" t="n">
        <v>8.333333333333334</v>
      </c>
    </row>
    <row r="1541">
      <c r="A1541" t="n">
        <v>46</v>
      </c>
      <c r="B1541" t="inlineStr">
        <is>
          <t>Chipper</t>
        </is>
      </c>
      <c r="C1541" t="inlineStr">
        <is>
          <t>Town</t>
        </is>
      </c>
      <c r="D1541" t="inlineStr">
        <is>
          <t>Loss</t>
        </is>
      </c>
      <c r="E1541" t="n">
        <v>-48</v>
      </c>
      <c r="F1541" t="n">
        <v>25</v>
      </c>
      <c r="G1541" t="n">
        <v>24.20824036946116</v>
      </c>
      <c r="H1541" t="n">
        <v>8.272731611951896</v>
      </c>
      <c r="I1541" t="n">
        <v>850</v>
      </c>
      <c r="J1541" t="n">
        <v>802</v>
      </c>
      <c r="K1541" t="n">
        <v>8.333333333333334</v>
      </c>
    </row>
    <row r="1542">
      <c r="A1542" t="n">
        <v>46</v>
      </c>
      <c r="B1542" t="inlineStr">
        <is>
          <t>Machop</t>
        </is>
      </c>
      <c r="C1542" t="inlineStr">
        <is>
          <t>Town</t>
        </is>
      </c>
      <c r="D1542" t="inlineStr">
        <is>
          <t>Loss</t>
        </is>
      </c>
      <c r="E1542" t="n">
        <v>-48</v>
      </c>
      <c r="F1542" t="n">
        <v>25</v>
      </c>
      <c r="G1542" t="n">
        <v>24.20824036946116</v>
      </c>
      <c r="H1542" t="n">
        <v>8.272731611951896</v>
      </c>
      <c r="I1542" t="n">
        <v>850</v>
      </c>
      <c r="J1542" t="n">
        <v>802</v>
      </c>
      <c r="K1542" t="n">
        <v>8.333333333333334</v>
      </c>
    </row>
    <row r="1543">
      <c r="A1543" t="n">
        <v>46</v>
      </c>
      <c r="B1543" t="inlineStr">
        <is>
          <t>Happymeal</t>
        </is>
      </c>
      <c r="C1543" t="inlineStr">
        <is>
          <t>Town</t>
        </is>
      </c>
      <c r="D1543" t="inlineStr">
        <is>
          <t>Loss</t>
        </is>
      </c>
      <c r="E1543" t="n">
        <v>-48</v>
      </c>
      <c r="F1543" t="n">
        <v>25</v>
      </c>
      <c r="G1543" t="n">
        <v>24.20824036946116</v>
      </c>
      <c r="H1543" t="n">
        <v>8.272731611951896</v>
      </c>
      <c r="I1543" t="n">
        <v>850</v>
      </c>
      <c r="J1543" t="n">
        <v>802</v>
      </c>
      <c r="K1543" t="n">
        <v>8.333333333333334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0"/>
  <sheetViews>
    <sheetView workbookViewId="0">
      <selection activeCell="A1" sqref="A1"/>
    </sheetView>
  </sheetViews>
  <sheetFormatPr baseColWidth="8" defaultRowHeight="15"/>
  <sheetData>
    <row r="1">
      <c r="A1" t="inlineStr">
        <is>
          <t>Name</t>
        </is>
      </c>
      <c r="B1" t="inlineStr">
        <is>
          <t>Town Games</t>
        </is>
      </c>
      <c r="C1" t="inlineStr">
        <is>
          <t>Town Wins</t>
        </is>
      </c>
      <c r="D1" t="inlineStr">
        <is>
          <t>Town %</t>
        </is>
      </c>
      <c r="E1" t="inlineStr">
        <is>
          <t>Town Win %</t>
        </is>
      </c>
      <c r="F1" t="inlineStr">
        <is>
          <t>Mafia Games</t>
        </is>
      </c>
      <c r="G1" t="inlineStr">
        <is>
          <t>Mafia Wins</t>
        </is>
      </c>
      <c r="H1" t="inlineStr">
        <is>
          <t>Mafia %</t>
        </is>
      </c>
      <c r="I1" t="inlineStr">
        <is>
          <t>Mafia Win %</t>
        </is>
      </c>
      <c r="J1" t="inlineStr">
        <is>
          <t>Total Games</t>
        </is>
      </c>
      <c r="K1" t="inlineStr">
        <is>
          <t>Total Win %</t>
        </is>
      </c>
      <c r="L1" t="inlineStr">
        <is>
          <t>Mu</t>
        </is>
      </c>
      <c r="M1" t="inlineStr">
        <is>
          <t>Sigma</t>
        </is>
      </c>
      <c r="N1" t="inlineStr">
        <is>
          <t>Rating</t>
        </is>
      </c>
    </row>
    <row r="2">
      <c r="A2" t="inlineStr">
        <is>
          <t>Rocker</t>
        </is>
      </c>
      <c r="B2" t="n">
        <v>56</v>
      </c>
      <c r="C2" t="n">
        <v>32</v>
      </c>
      <c r="D2" t="n">
        <v>77.8</v>
      </c>
      <c r="E2" t="n">
        <v>57.1</v>
      </c>
      <c r="F2" t="n">
        <v>16</v>
      </c>
      <c r="G2" t="n">
        <v>10</v>
      </c>
      <c r="H2" t="n">
        <v>22.2</v>
      </c>
      <c r="I2" t="n">
        <v>62.5</v>
      </c>
      <c r="J2" t="n">
        <v>72</v>
      </c>
      <c r="K2" t="n">
        <v>58.3</v>
      </c>
      <c r="L2" t="n">
        <v>38.02971778640769</v>
      </c>
      <c r="M2" t="n">
        <v>5.502951796036641</v>
      </c>
      <c r="N2" t="n">
        <v>2025</v>
      </c>
    </row>
    <row r="3">
      <c r="A3" t="inlineStr">
        <is>
          <t>Cyclone</t>
        </is>
      </c>
      <c r="B3" t="n">
        <v>17</v>
      </c>
      <c r="C3" t="n">
        <v>12</v>
      </c>
      <c r="D3" t="n">
        <v>81</v>
      </c>
      <c r="E3" t="n">
        <v>70.59999999999999</v>
      </c>
      <c r="F3" t="n">
        <v>4</v>
      </c>
      <c r="G3" t="n">
        <v>4</v>
      </c>
      <c r="H3" t="n">
        <v>19</v>
      </c>
      <c r="I3" t="n">
        <v>100</v>
      </c>
      <c r="J3" t="n">
        <v>21</v>
      </c>
      <c r="K3" t="n">
        <v>76.2</v>
      </c>
      <c r="L3" t="n">
        <v>38.90730048859662</v>
      </c>
      <c r="M3" t="n">
        <v>7.034696203296838</v>
      </c>
      <c r="N3" t="n">
        <v>1928</v>
      </c>
    </row>
    <row r="4">
      <c r="A4" t="inlineStr">
        <is>
          <t>Rollo</t>
        </is>
      </c>
      <c r="B4" t="n">
        <v>24</v>
      </c>
      <c r="C4" t="n">
        <v>18</v>
      </c>
      <c r="D4" t="n">
        <v>70.59999999999999</v>
      </c>
      <c r="E4" t="n">
        <v>75</v>
      </c>
      <c r="F4" t="n">
        <v>10</v>
      </c>
      <c r="G4" t="n">
        <v>5</v>
      </c>
      <c r="H4" t="n">
        <v>29.4</v>
      </c>
      <c r="I4" t="n">
        <v>50</v>
      </c>
      <c r="J4" t="n">
        <v>34</v>
      </c>
      <c r="K4" t="n">
        <v>67.59999999999999</v>
      </c>
      <c r="L4" t="n">
        <v>36.80190313342788</v>
      </c>
      <c r="M4" t="n">
        <v>6.501550506001466</v>
      </c>
      <c r="N4" t="n">
        <v>1839</v>
      </c>
    </row>
    <row r="5">
      <c r="A5" t="inlineStr">
        <is>
          <t>Laur</t>
        </is>
      </c>
      <c r="B5" t="n">
        <v>42</v>
      </c>
      <c r="C5" t="n">
        <v>23</v>
      </c>
      <c r="D5" t="n">
        <v>80.8</v>
      </c>
      <c r="E5" t="n">
        <v>54.8</v>
      </c>
      <c r="F5" t="n">
        <v>10</v>
      </c>
      <c r="G5" t="n">
        <v>7</v>
      </c>
      <c r="H5" t="n">
        <v>19.2</v>
      </c>
      <c r="I5" t="n">
        <v>70</v>
      </c>
      <c r="J5" t="n">
        <v>52</v>
      </c>
      <c r="K5" t="n">
        <v>57.7</v>
      </c>
      <c r="L5" t="n">
        <v>35.85343850962497</v>
      </c>
      <c r="M5" t="n">
        <v>5.978333524678702</v>
      </c>
      <c r="N5" t="n">
        <v>1828</v>
      </c>
    </row>
    <row r="6">
      <c r="A6" t="inlineStr">
        <is>
          <t>Creatchee</t>
        </is>
      </c>
      <c r="B6" t="n">
        <v>21</v>
      </c>
      <c r="C6" t="n">
        <v>15</v>
      </c>
      <c r="D6" t="n">
        <v>87.5</v>
      </c>
      <c r="E6" t="n">
        <v>71.40000000000001</v>
      </c>
      <c r="F6" t="n">
        <v>3</v>
      </c>
      <c r="G6" t="n">
        <v>2</v>
      </c>
      <c r="H6" t="n">
        <v>12.5</v>
      </c>
      <c r="I6" t="n">
        <v>66.7</v>
      </c>
      <c r="J6" t="n">
        <v>24</v>
      </c>
      <c r="K6" t="n">
        <v>70.8</v>
      </c>
      <c r="L6" t="n">
        <v>36.64023684566017</v>
      </c>
      <c r="M6" t="n">
        <v>6.96704899612941</v>
      </c>
      <c r="N6" t="n">
        <v>1781</v>
      </c>
    </row>
    <row r="7">
      <c r="A7" t="inlineStr">
        <is>
          <t>Noah</t>
        </is>
      </c>
      <c r="B7" t="n">
        <v>39</v>
      </c>
      <c r="C7" t="n">
        <v>20</v>
      </c>
      <c r="D7" t="n">
        <v>68.40000000000001</v>
      </c>
      <c r="E7" t="n">
        <v>51.3</v>
      </c>
      <c r="F7" t="n">
        <v>18</v>
      </c>
      <c r="G7" t="n">
        <v>12</v>
      </c>
      <c r="H7" t="n">
        <v>31.6</v>
      </c>
      <c r="I7" t="n">
        <v>66.7</v>
      </c>
      <c r="J7" t="n">
        <v>57</v>
      </c>
      <c r="K7" t="n">
        <v>56.1</v>
      </c>
      <c r="L7" t="n">
        <v>34.77581543049605</v>
      </c>
      <c r="M7" t="n">
        <v>5.880249219591188</v>
      </c>
      <c r="N7" t="n">
        <v>1765</v>
      </c>
    </row>
    <row r="8">
      <c r="A8" t="inlineStr">
        <is>
          <t>Streety</t>
        </is>
      </c>
      <c r="B8" t="n">
        <v>22</v>
      </c>
      <c r="C8" t="n">
        <v>14</v>
      </c>
      <c r="D8" t="n">
        <v>81.5</v>
      </c>
      <c r="E8" t="n">
        <v>63.6</v>
      </c>
      <c r="F8" t="n">
        <v>5</v>
      </c>
      <c r="G8" t="n">
        <v>3</v>
      </c>
      <c r="H8" t="n">
        <v>18.5</v>
      </c>
      <c r="I8" t="n">
        <v>60</v>
      </c>
      <c r="J8" t="n">
        <v>27</v>
      </c>
      <c r="K8" t="n">
        <v>63</v>
      </c>
      <c r="L8" t="n">
        <v>35.26445208089979</v>
      </c>
      <c r="M8" t="n">
        <v>6.782453305988455</v>
      </c>
      <c r="N8" t="n">
        <v>1706</v>
      </c>
    </row>
    <row r="9">
      <c r="A9" t="inlineStr">
        <is>
          <t>Brownkow</t>
        </is>
      </c>
      <c r="B9" t="n">
        <v>54</v>
      </c>
      <c r="C9" t="n">
        <v>30</v>
      </c>
      <c r="D9" t="n">
        <v>75</v>
      </c>
      <c r="E9" t="n">
        <v>55.6</v>
      </c>
      <c r="F9" t="n">
        <v>18</v>
      </c>
      <c r="G9" t="n">
        <v>10</v>
      </c>
      <c r="H9" t="n">
        <v>25</v>
      </c>
      <c r="I9" t="n">
        <v>55.6</v>
      </c>
      <c r="J9" t="n">
        <v>72</v>
      </c>
      <c r="K9" t="n">
        <v>55.6</v>
      </c>
      <c r="L9" t="n">
        <v>32.25399007146618</v>
      </c>
      <c r="M9" t="n">
        <v>5.497225486151607</v>
      </c>
      <c r="N9" t="n">
        <v>1633</v>
      </c>
    </row>
    <row r="10">
      <c r="A10" t="inlineStr">
        <is>
          <t>Iln</t>
        </is>
      </c>
      <c r="B10" t="n">
        <v>55</v>
      </c>
      <c r="C10" t="n">
        <v>25</v>
      </c>
      <c r="D10" t="n">
        <v>83.3</v>
      </c>
      <c r="E10" t="n">
        <v>45.5</v>
      </c>
      <c r="F10" t="n">
        <v>11</v>
      </c>
      <c r="G10" t="n">
        <v>7</v>
      </c>
      <c r="H10" t="n">
        <v>16.7</v>
      </c>
      <c r="I10" t="n">
        <v>63.6</v>
      </c>
      <c r="J10" t="n">
        <v>66</v>
      </c>
      <c r="K10" t="n">
        <v>48.5</v>
      </c>
      <c r="L10" t="n">
        <v>32.40070137940929</v>
      </c>
      <c r="M10" t="n">
        <v>5.654947095465651</v>
      </c>
      <c r="N10" t="n">
        <v>1626</v>
      </c>
    </row>
    <row r="11">
      <c r="A11" t="inlineStr">
        <is>
          <t>Mintt</t>
        </is>
      </c>
      <c r="B11" t="n">
        <v>31</v>
      </c>
      <c r="C11" t="n">
        <v>17</v>
      </c>
      <c r="D11" t="n">
        <v>81.59999999999999</v>
      </c>
      <c r="E11" t="n">
        <v>54.8</v>
      </c>
      <c r="F11" t="n">
        <v>7</v>
      </c>
      <c r="G11" t="n">
        <v>4</v>
      </c>
      <c r="H11" t="n">
        <v>18.4</v>
      </c>
      <c r="I11" t="n">
        <v>57.1</v>
      </c>
      <c r="J11" t="n">
        <v>38</v>
      </c>
      <c r="K11" t="n">
        <v>55.3</v>
      </c>
      <c r="L11" t="n">
        <v>33.09087985580564</v>
      </c>
      <c r="M11" t="n">
        <v>6.455864598411243</v>
      </c>
      <c r="N11" t="n">
        <v>1592</v>
      </c>
    </row>
    <row r="12">
      <c r="A12" t="inlineStr">
        <is>
          <t>Lou</t>
        </is>
      </c>
      <c r="B12" t="n">
        <v>48</v>
      </c>
      <c r="C12" t="n">
        <v>24</v>
      </c>
      <c r="D12" t="n">
        <v>82.8</v>
      </c>
      <c r="E12" t="n">
        <v>50</v>
      </c>
      <c r="F12" t="n">
        <v>10</v>
      </c>
      <c r="G12" t="n">
        <v>4</v>
      </c>
      <c r="H12" t="n">
        <v>17.2</v>
      </c>
      <c r="I12" t="n">
        <v>40</v>
      </c>
      <c r="J12" t="n">
        <v>58</v>
      </c>
      <c r="K12" t="n">
        <v>48.3</v>
      </c>
      <c r="L12" t="n">
        <v>31.77370756324608</v>
      </c>
      <c r="M12" t="n">
        <v>5.870449865141606</v>
      </c>
      <c r="N12" t="n">
        <v>1562</v>
      </c>
    </row>
    <row r="13">
      <c r="A13" t="inlineStr">
        <is>
          <t>Heckmuffins</t>
        </is>
      </c>
      <c r="B13" t="n">
        <v>9</v>
      </c>
      <c r="C13" t="n">
        <v>7</v>
      </c>
      <c r="D13" t="n">
        <v>90</v>
      </c>
      <c r="E13" t="n">
        <v>77.8</v>
      </c>
      <c r="F13" t="n">
        <v>1</v>
      </c>
      <c r="G13" t="n">
        <v>1</v>
      </c>
      <c r="H13" t="n">
        <v>10</v>
      </c>
      <c r="I13" t="n">
        <v>100</v>
      </c>
      <c r="J13" t="n">
        <v>10</v>
      </c>
      <c r="K13" t="n">
        <v>80</v>
      </c>
      <c r="L13" t="n">
        <v>34.14676558596927</v>
      </c>
      <c r="M13" t="n">
        <v>7.611719840853934</v>
      </c>
      <c r="N13" t="n">
        <v>1546</v>
      </c>
    </row>
    <row r="14">
      <c r="A14" t="inlineStr">
        <is>
          <t>Chester</t>
        </is>
      </c>
      <c r="B14" t="n">
        <v>23</v>
      </c>
      <c r="C14" t="n">
        <v>12</v>
      </c>
      <c r="D14" t="n">
        <v>82.09999999999999</v>
      </c>
      <c r="E14" t="n">
        <v>52.2</v>
      </c>
      <c r="F14" t="n">
        <v>5</v>
      </c>
      <c r="G14" t="n">
        <v>4</v>
      </c>
      <c r="H14" t="n">
        <v>17.9</v>
      </c>
      <c r="I14" t="n">
        <v>80</v>
      </c>
      <c r="J14" t="n">
        <v>28</v>
      </c>
      <c r="K14" t="n">
        <v>57.1</v>
      </c>
      <c r="L14" t="n">
        <v>32.94360930929814</v>
      </c>
      <c r="M14" t="n">
        <v>6.819528381933289</v>
      </c>
      <c r="N14" t="n">
        <v>1545</v>
      </c>
    </row>
    <row r="15">
      <c r="A15" t="inlineStr">
        <is>
          <t>Josh</t>
        </is>
      </c>
      <c r="B15" t="n">
        <v>13</v>
      </c>
      <c r="C15" t="n">
        <v>9</v>
      </c>
      <c r="D15" t="n">
        <v>72.2</v>
      </c>
      <c r="E15" t="n">
        <v>69.2</v>
      </c>
      <c r="F15" t="n">
        <v>5</v>
      </c>
      <c r="G15" t="n">
        <v>3</v>
      </c>
      <c r="H15" t="n">
        <v>27.8</v>
      </c>
      <c r="I15" t="n">
        <v>60</v>
      </c>
      <c r="J15" t="n">
        <v>18</v>
      </c>
      <c r="K15" t="n">
        <v>66.7</v>
      </c>
      <c r="L15" t="n">
        <v>33.04734131253047</v>
      </c>
      <c r="M15" t="n">
        <v>7.235007841308326</v>
      </c>
      <c r="N15" t="n">
        <v>1509</v>
      </c>
    </row>
    <row r="16">
      <c r="A16" t="inlineStr">
        <is>
          <t>Keegan</t>
        </is>
      </c>
      <c r="B16" t="n">
        <v>16</v>
      </c>
      <c r="C16" t="n">
        <v>9</v>
      </c>
      <c r="D16" t="n">
        <v>84.2</v>
      </c>
      <c r="E16" t="n">
        <v>56.2</v>
      </c>
      <c r="F16" t="n">
        <v>3</v>
      </c>
      <c r="G16" t="n">
        <v>2</v>
      </c>
      <c r="H16" t="n">
        <v>15.8</v>
      </c>
      <c r="I16" t="n">
        <v>66.7</v>
      </c>
      <c r="J16" t="n">
        <v>19</v>
      </c>
      <c r="K16" t="n">
        <v>57.9</v>
      </c>
      <c r="L16" t="n">
        <v>31.78482217721198</v>
      </c>
      <c r="M16" t="n">
        <v>7.215859158440495</v>
      </c>
      <c r="N16" t="n">
        <v>1425</v>
      </c>
    </row>
    <row r="17">
      <c r="A17" t="inlineStr">
        <is>
          <t>Strik3r</t>
        </is>
      </c>
      <c r="B17" t="n">
        <v>36</v>
      </c>
      <c r="C17" t="n">
        <v>13</v>
      </c>
      <c r="D17" t="n">
        <v>75</v>
      </c>
      <c r="E17" t="n">
        <v>36.1</v>
      </c>
      <c r="F17" t="n">
        <v>12</v>
      </c>
      <c r="G17" t="n">
        <v>8</v>
      </c>
      <c r="H17" t="n">
        <v>25</v>
      </c>
      <c r="I17" t="n">
        <v>66.7</v>
      </c>
      <c r="J17" t="n">
        <v>48</v>
      </c>
      <c r="K17" t="n">
        <v>43.8</v>
      </c>
      <c r="L17" t="n">
        <v>29.48533092269716</v>
      </c>
      <c r="M17" t="n">
        <v>6.105515380788654</v>
      </c>
      <c r="N17" t="n">
        <v>1382</v>
      </c>
    </row>
    <row r="18">
      <c r="A18" t="inlineStr">
        <is>
          <t>Carson</t>
        </is>
      </c>
      <c r="B18" t="n">
        <v>45</v>
      </c>
      <c r="C18" t="n">
        <v>22</v>
      </c>
      <c r="D18" t="n">
        <v>83.3</v>
      </c>
      <c r="E18" t="n">
        <v>48.9</v>
      </c>
      <c r="F18" t="n">
        <v>9</v>
      </c>
      <c r="G18" t="n">
        <v>3</v>
      </c>
      <c r="H18" t="n">
        <v>16.7</v>
      </c>
      <c r="I18" t="n">
        <v>33.3</v>
      </c>
      <c r="J18" t="n">
        <v>54</v>
      </c>
      <c r="K18" t="n">
        <v>46.3</v>
      </c>
      <c r="L18" t="n">
        <v>28.86123093692895</v>
      </c>
      <c r="M18" t="n">
        <v>5.93838959099365</v>
      </c>
      <c r="N18" t="n">
        <v>1357</v>
      </c>
    </row>
    <row r="19">
      <c r="A19" t="inlineStr">
        <is>
          <t>Cj</t>
        </is>
      </c>
      <c r="B19" t="n">
        <v>15</v>
      </c>
      <c r="C19" t="n">
        <v>8</v>
      </c>
      <c r="D19" t="n">
        <v>83.3</v>
      </c>
      <c r="E19" t="n">
        <v>53.3</v>
      </c>
      <c r="F19" t="n">
        <v>3</v>
      </c>
      <c r="G19" t="n">
        <v>1</v>
      </c>
      <c r="H19" t="n">
        <v>16.7</v>
      </c>
      <c r="I19" t="n">
        <v>33.3</v>
      </c>
      <c r="J19" t="n">
        <v>18</v>
      </c>
      <c r="K19" t="n">
        <v>50</v>
      </c>
      <c r="L19" t="n">
        <v>30.55661559966767</v>
      </c>
      <c r="M19" t="n">
        <v>7.196861445351797</v>
      </c>
      <c r="N19" t="n">
        <v>1344</v>
      </c>
    </row>
    <row r="20">
      <c r="A20" t="inlineStr">
        <is>
          <t>Svaan</t>
        </is>
      </c>
      <c r="B20" t="n">
        <v>14</v>
      </c>
      <c r="C20" t="n">
        <v>8</v>
      </c>
      <c r="D20" t="n">
        <v>73.7</v>
      </c>
      <c r="E20" t="n">
        <v>57.1</v>
      </c>
      <c r="F20" t="n">
        <v>5</v>
      </c>
      <c r="G20" t="n">
        <v>3</v>
      </c>
      <c r="H20" t="n">
        <v>26.3</v>
      </c>
      <c r="I20" t="n">
        <v>60</v>
      </c>
      <c r="J20" t="n">
        <v>19</v>
      </c>
      <c r="K20" t="n">
        <v>57.9</v>
      </c>
      <c r="L20" t="n">
        <v>30.30278419327458</v>
      </c>
      <c r="M20" t="n">
        <v>7.117952444371507</v>
      </c>
      <c r="N20" t="n">
        <v>1335</v>
      </c>
    </row>
    <row r="21">
      <c r="A21" t="inlineStr">
        <is>
          <t>Siggy</t>
        </is>
      </c>
      <c r="B21" t="n">
        <v>10</v>
      </c>
      <c r="C21" t="n">
        <v>7</v>
      </c>
      <c r="D21" t="n">
        <v>71.40000000000001</v>
      </c>
      <c r="E21" t="n">
        <v>70</v>
      </c>
      <c r="F21" t="n">
        <v>4</v>
      </c>
      <c r="G21" t="n">
        <v>2</v>
      </c>
      <c r="H21" t="n">
        <v>28.6</v>
      </c>
      <c r="I21" t="n">
        <v>50</v>
      </c>
      <c r="J21" t="n">
        <v>14</v>
      </c>
      <c r="K21" t="n">
        <v>64.3</v>
      </c>
      <c r="L21" t="n">
        <v>30.65579133474004</v>
      </c>
      <c r="M21" t="n">
        <v>7.416925433717399</v>
      </c>
      <c r="N21" t="n">
        <v>1328</v>
      </c>
    </row>
    <row r="22">
      <c r="A22" t="inlineStr">
        <is>
          <t>Whyin</t>
        </is>
      </c>
      <c r="B22" t="n">
        <v>27</v>
      </c>
      <c r="C22" t="n">
        <v>15</v>
      </c>
      <c r="D22" t="n">
        <v>75</v>
      </c>
      <c r="E22" t="n">
        <v>55.6</v>
      </c>
      <c r="F22" t="n">
        <v>9</v>
      </c>
      <c r="G22" t="n">
        <v>3</v>
      </c>
      <c r="H22" t="n">
        <v>25</v>
      </c>
      <c r="I22" t="n">
        <v>33.3</v>
      </c>
      <c r="J22" t="n">
        <v>36</v>
      </c>
      <c r="K22" t="n">
        <v>50</v>
      </c>
      <c r="L22" t="n">
        <v>29.23526214679896</v>
      </c>
      <c r="M22" t="n">
        <v>6.49993196662642</v>
      </c>
      <c r="N22" t="n">
        <v>1325</v>
      </c>
    </row>
    <row r="23">
      <c r="A23" t="inlineStr">
        <is>
          <t>Chipper</t>
        </is>
      </c>
      <c r="B23" t="n">
        <v>34</v>
      </c>
      <c r="C23" t="n">
        <v>14</v>
      </c>
      <c r="D23" t="n">
        <v>77.3</v>
      </c>
      <c r="E23" t="n">
        <v>41.2</v>
      </c>
      <c r="F23" t="n">
        <v>10</v>
      </c>
      <c r="G23" t="n">
        <v>5</v>
      </c>
      <c r="H23" t="n">
        <v>22.7</v>
      </c>
      <c r="I23" t="n">
        <v>50</v>
      </c>
      <c r="J23" t="n">
        <v>44</v>
      </c>
      <c r="K23" t="n">
        <v>43.2</v>
      </c>
      <c r="L23" t="n">
        <v>28.78446852760897</v>
      </c>
      <c r="M23" t="n">
        <v>6.246118470394113</v>
      </c>
      <c r="N23" t="n">
        <v>1320</v>
      </c>
    </row>
    <row r="24">
      <c r="A24" t="inlineStr">
        <is>
          <t>Xcync</t>
        </is>
      </c>
      <c r="B24" t="n">
        <v>10</v>
      </c>
      <c r="C24" t="n">
        <v>7</v>
      </c>
      <c r="D24" t="n">
        <v>71.40000000000001</v>
      </c>
      <c r="E24" t="n">
        <v>70</v>
      </c>
      <c r="F24" t="n">
        <v>4</v>
      </c>
      <c r="G24" t="n">
        <v>2</v>
      </c>
      <c r="H24" t="n">
        <v>28.6</v>
      </c>
      <c r="I24" t="n">
        <v>50</v>
      </c>
      <c r="J24" t="n">
        <v>14</v>
      </c>
      <c r="K24" t="n">
        <v>64.3</v>
      </c>
      <c r="L24" t="n">
        <v>30.47803360012787</v>
      </c>
      <c r="M24" t="n">
        <v>7.415848521652086</v>
      </c>
      <c r="N24" t="n">
        <v>1316</v>
      </c>
    </row>
    <row r="25">
      <c r="A25" t="inlineStr">
        <is>
          <t>Chelsea</t>
        </is>
      </c>
      <c r="B25" t="n">
        <v>18</v>
      </c>
      <c r="C25" t="n">
        <v>11</v>
      </c>
      <c r="D25" t="n">
        <v>81.8</v>
      </c>
      <c r="E25" t="n">
        <v>61.1</v>
      </c>
      <c r="F25" t="n">
        <v>4</v>
      </c>
      <c r="G25" t="n">
        <v>0</v>
      </c>
      <c r="H25" t="n">
        <v>18.2</v>
      </c>
      <c r="I25" t="n">
        <v>0</v>
      </c>
      <c r="J25" t="n">
        <v>22</v>
      </c>
      <c r="K25" t="n">
        <v>50</v>
      </c>
      <c r="L25" t="n">
        <v>29.80843748484076</v>
      </c>
      <c r="M25" t="n">
        <v>6.99955534784579</v>
      </c>
      <c r="N25" t="n">
        <v>1313</v>
      </c>
    </row>
    <row r="26">
      <c r="A26" t="inlineStr">
        <is>
          <t>Rick</t>
        </is>
      </c>
      <c r="B26" t="n">
        <v>11</v>
      </c>
      <c r="C26" t="n">
        <v>5</v>
      </c>
      <c r="D26" t="n">
        <v>68.8</v>
      </c>
      <c r="E26" t="n">
        <v>45.5</v>
      </c>
      <c r="F26" t="n">
        <v>5</v>
      </c>
      <c r="G26" t="n">
        <v>5</v>
      </c>
      <c r="H26" t="n">
        <v>31.2</v>
      </c>
      <c r="I26" t="n">
        <v>100</v>
      </c>
      <c r="J26" t="n">
        <v>16</v>
      </c>
      <c r="K26" t="n">
        <v>62.5</v>
      </c>
      <c r="L26" t="n">
        <v>30.02481797721467</v>
      </c>
      <c r="M26" t="n">
        <v>7.408719883024457</v>
      </c>
      <c r="N26" t="n">
        <v>1286</v>
      </c>
    </row>
    <row r="27">
      <c r="A27" t="inlineStr">
        <is>
          <t>Kden</t>
        </is>
      </c>
      <c r="B27" t="n">
        <v>38</v>
      </c>
      <c r="C27" t="n">
        <v>15</v>
      </c>
      <c r="D27" t="n">
        <v>80.90000000000001</v>
      </c>
      <c r="E27" t="n">
        <v>39.5</v>
      </c>
      <c r="F27" t="n">
        <v>9</v>
      </c>
      <c r="G27" t="n">
        <v>4</v>
      </c>
      <c r="H27" t="n">
        <v>19.1</v>
      </c>
      <c r="I27" t="n">
        <v>44.4</v>
      </c>
      <c r="J27" t="n">
        <v>47</v>
      </c>
      <c r="K27" t="n">
        <v>40.4</v>
      </c>
      <c r="L27" t="n">
        <v>27.84497628891235</v>
      </c>
      <c r="M27" t="n">
        <v>6.184720111627543</v>
      </c>
      <c r="N27" t="n">
        <v>1263</v>
      </c>
    </row>
    <row r="28">
      <c r="A28" t="inlineStr">
        <is>
          <t>Gilbert</t>
        </is>
      </c>
      <c r="B28" t="n">
        <v>30</v>
      </c>
      <c r="C28" t="n">
        <v>15</v>
      </c>
      <c r="D28" t="n">
        <v>78.90000000000001</v>
      </c>
      <c r="E28" t="n">
        <v>50</v>
      </c>
      <c r="F28" t="n">
        <v>8</v>
      </c>
      <c r="G28" t="n">
        <v>3</v>
      </c>
      <c r="H28" t="n">
        <v>21.1</v>
      </c>
      <c r="I28" t="n">
        <v>37.5</v>
      </c>
      <c r="J28" t="n">
        <v>38</v>
      </c>
      <c r="K28" t="n">
        <v>47.4</v>
      </c>
      <c r="L28" t="n">
        <v>28.02634416847157</v>
      </c>
      <c r="M28" t="n">
        <v>6.406001406222659</v>
      </c>
      <c r="N28" t="n">
        <v>1252</v>
      </c>
    </row>
    <row r="29">
      <c r="A29" t="inlineStr">
        <is>
          <t>Lofty</t>
        </is>
      </c>
      <c r="B29" t="n">
        <v>10</v>
      </c>
      <c r="C29" t="n">
        <v>3</v>
      </c>
      <c r="D29" t="n">
        <v>71.40000000000001</v>
      </c>
      <c r="E29" t="n">
        <v>30</v>
      </c>
      <c r="F29" t="n">
        <v>4</v>
      </c>
      <c r="G29" t="n">
        <v>4</v>
      </c>
      <c r="H29" t="n">
        <v>28.6</v>
      </c>
      <c r="I29" t="n">
        <v>100</v>
      </c>
      <c r="J29" t="n">
        <v>14</v>
      </c>
      <c r="K29" t="n">
        <v>50</v>
      </c>
      <c r="L29" t="n">
        <v>28.92105088353992</v>
      </c>
      <c r="M29" t="n">
        <v>7.4435578110316</v>
      </c>
      <c r="N29" t="n">
        <v>1207</v>
      </c>
    </row>
    <row r="30">
      <c r="A30" t="inlineStr">
        <is>
          <t>Motr</t>
        </is>
      </c>
      <c r="B30" t="n">
        <v>17</v>
      </c>
      <c r="C30" t="n">
        <v>10</v>
      </c>
      <c r="D30" t="n">
        <v>60.7</v>
      </c>
      <c r="E30" t="n">
        <v>58.8</v>
      </c>
      <c r="F30" t="n">
        <v>11</v>
      </c>
      <c r="G30" t="n">
        <v>4</v>
      </c>
      <c r="H30" t="n">
        <v>39.3</v>
      </c>
      <c r="I30" t="n">
        <v>36.4</v>
      </c>
      <c r="J30" t="n">
        <v>28</v>
      </c>
      <c r="K30" t="n">
        <v>50</v>
      </c>
      <c r="L30" t="n">
        <v>27.786106780526</v>
      </c>
      <c r="M30" t="n">
        <v>6.720027353739249</v>
      </c>
      <c r="N30" t="n">
        <v>1204</v>
      </c>
    </row>
    <row r="31">
      <c r="A31" t="inlineStr">
        <is>
          <t>Cody</t>
        </is>
      </c>
      <c r="B31" t="n">
        <v>3</v>
      </c>
      <c r="C31" t="n">
        <v>3</v>
      </c>
      <c r="D31" t="n">
        <v>100</v>
      </c>
      <c r="E31" t="n">
        <v>100</v>
      </c>
      <c r="F31" t="n">
        <v>0</v>
      </c>
      <c r="G31" t="n">
        <v>0</v>
      </c>
      <c r="H31" t="n">
        <v>0</v>
      </c>
      <c r="I31" t="n">
        <v>0</v>
      </c>
      <c r="J31" t="n">
        <v>3</v>
      </c>
      <c r="K31" t="n">
        <v>100</v>
      </c>
      <c r="L31" t="n">
        <v>29.51026221434581</v>
      </c>
      <c r="M31" t="n">
        <v>8.091988626341161</v>
      </c>
      <c r="N31" t="n">
        <v>1181</v>
      </c>
    </row>
    <row r="32">
      <c r="A32" t="inlineStr">
        <is>
          <t>Badpants</t>
        </is>
      </c>
      <c r="B32" t="n">
        <v>42</v>
      </c>
      <c r="C32" t="n">
        <v>17</v>
      </c>
      <c r="D32" t="n">
        <v>73.7</v>
      </c>
      <c r="E32" t="n">
        <v>40.5</v>
      </c>
      <c r="F32" t="n">
        <v>15</v>
      </c>
      <c r="G32" t="n">
        <v>7</v>
      </c>
      <c r="H32" t="n">
        <v>26.3</v>
      </c>
      <c r="I32" t="n">
        <v>46.7</v>
      </c>
      <c r="J32" t="n">
        <v>57</v>
      </c>
      <c r="K32" t="n">
        <v>42.1</v>
      </c>
      <c r="L32" t="n">
        <v>25.86378953991655</v>
      </c>
      <c r="M32" t="n">
        <v>5.877949529693093</v>
      </c>
      <c r="N32" t="n">
        <v>1159</v>
      </c>
    </row>
    <row r="33">
      <c r="A33" t="inlineStr">
        <is>
          <t>Crispy</t>
        </is>
      </c>
      <c r="B33" t="n">
        <v>3</v>
      </c>
      <c r="C33" t="n">
        <v>2</v>
      </c>
      <c r="D33" t="n">
        <v>75</v>
      </c>
      <c r="E33" t="n">
        <v>66.7</v>
      </c>
      <c r="F33" t="n">
        <v>1</v>
      </c>
      <c r="G33" t="n">
        <v>1</v>
      </c>
      <c r="H33" t="n">
        <v>25</v>
      </c>
      <c r="I33" t="n">
        <v>100</v>
      </c>
      <c r="J33" t="n">
        <v>4</v>
      </c>
      <c r="K33" t="n">
        <v>75</v>
      </c>
      <c r="L33" t="n">
        <v>29.01409812551281</v>
      </c>
      <c r="M33" t="n">
        <v>8.018741836259231</v>
      </c>
      <c r="N33" t="n">
        <v>1155</v>
      </c>
    </row>
    <row r="34">
      <c r="A34" t="inlineStr">
        <is>
          <t>Starv</t>
        </is>
      </c>
      <c r="B34" t="n">
        <v>4</v>
      </c>
      <c r="C34" t="n">
        <v>3</v>
      </c>
      <c r="D34" t="n">
        <v>80</v>
      </c>
      <c r="E34" t="n">
        <v>75</v>
      </c>
      <c r="F34" t="n">
        <v>1</v>
      </c>
      <c r="G34" t="n">
        <v>1</v>
      </c>
      <c r="H34" t="n">
        <v>20</v>
      </c>
      <c r="I34" t="n">
        <v>100</v>
      </c>
      <c r="J34" t="n">
        <v>5</v>
      </c>
      <c r="K34" t="n">
        <v>80</v>
      </c>
      <c r="L34" t="n">
        <v>28.86407313670582</v>
      </c>
      <c r="M34" t="n">
        <v>7.999524047130461</v>
      </c>
      <c r="N34" t="n">
        <v>1147</v>
      </c>
    </row>
    <row r="35">
      <c r="A35" t="inlineStr">
        <is>
          <t>Pinkee</t>
        </is>
      </c>
      <c r="B35" t="n">
        <v>4</v>
      </c>
      <c r="C35" t="n">
        <v>3</v>
      </c>
      <c r="D35" t="n">
        <v>100</v>
      </c>
      <c r="E35" t="n">
        <v>75</v>
      </c>
      <c r="F35" t="n">
        <v>0</v>
      </c>
      <c r="G35" t="n">
        <v>0</v>
      </c>
      <c r="H35" t="n">
        <v>0</v>
      </c>
      <c r="I35" t="n">
        <v>0</v>
      </c>
      <c r="J35" t="n">
        <v>4</v>
      </c>
      <c r="K35" t="n">
        <v>75</v>
      </c>
      <c r="L35" t="n">
        <v>28.85584883036951</v>
      </c>
      <c r="M35" t="n">
        <v>8.013566546628031</v>
      </c>
      <c r="N35" t="n">
        <v>1145</v>
      </c>
    </row>
    <row r="36">
      <c r="A36" t="inlineStr">
        <is>
          <t>Boobles</t>
        </is>
      </c>
      <c r="B36" t="n">
        <v>6</v>
      </c>
      <c r="C36" t="n">
        <v>4</v>
      </c>
      <c r="D36" t="n">
        <v>75</v>
      </c>
      <c r="E36" t="n">
        <v>66.7</v>
      </c>
      <c r="F36" t="n">
        <v>2</v>
      </c>
      <c r="G36" t="n">
        <v>1</v>
      </c>
      <c r="H36" t="n">
        <v>25</v>
      </c>
      <c r="I36" t="n">
        <v>50</v>
      </c>
      <c r="J36" t="n">
        <v>8</v>
      </c>
      <c r="K36" t="n">
        <v>62.5</v>
      </c>
      <c r="L36" t="n">
        <v>28.19483314602323</v>
      </c>
      <c r="M36" t="n">
        <v>7.800185217844302</v>
      </c>
      <c r="N36" t="n">
        <v>1122</v>
      </c>
    </row>
    <row r="37">
      <c r="A37" t="inlineStr">
        <is>
          <t>Jake</t>
        </is>
      </c>
      <c r="B37" t="n">
        <v>3</v>
      </c>
      <c r="C37" t="n">
        <v>2</v>
      </c>
      <c r="D37" t="n">
        <v>100</v>
      </c>
      <c r="E37" t="n">
        <v>66.7</v>
      </c>
      <c r="F37" t="n">
        <v>0</v>
      </c>
      <c r="G37" t="n">
        <v>0</v>
      </c>
      <c r="H37" t="n">
        <v>0</v>
      </c>
      <c r="I37" t="n">
        <v>0</v>
      </c>
      <c r="J37" t="n">
        <v>3</v>
      </c>
      <c r="K37" t="n">
        <v>66.7</v>
      </c>
      <c r="L37" t="n">
        <v>28.34176100425068</v>
      </c>
      <c r="M37" t="n">
        <v>8.087725479030304</v>
      </c>
      <c r="N37" t="n">
        <v>1102</v>
      </c>
    </row>
    <row r="38">
      <c r="A38" t="inlineStr">
        <is>
          <t>Snazz</t>
        </is>
      </c>
      <c r="B38" t="n">
        <v>7</v>
      </c>
      <c r="C38" t="n">
        <v>2</v>
      </c>
      <c r="D38" t="n">
        <v>70</v>
      </c>
      <c r="E38" t="n">
        <v>28.6</v>
      </c>
      <c r="F38" t="n">
        <v>3</v>
      </c>
      <c r="G38" t="n">
        <v>3</v>
      </c>
      <c r="H38" t="n">
        <v>30</v>
      </c>
      <c r="I38" t="n">
        <v>100</v>
      </c>
      <c r="J38" t="n">
        <v>10</v>
      </c>
      <c r="K38" t="n">
        <v>50</v>
      </c>
      <c r="L38" t="n">
        <v>27.61759925991449</v>
      </c>
      <c r="M38" t="n">
        <v>7.668490476028635</v>
      </c>
      <c r="N38" t="n">
        <v>1096</v>
      </c>
    </row>
    <row r="39">
      <c r="A39" t="inlineStr">
        <is>
          <t>Smit</t>
        </is>
      </c>
      <c r="B39" t="n">
        <v>43</v>
      </c>
      <c r="C39" t="n">
        <v>16</v>
      </c>
      <c r="D39" t="n">
        <v>79.59999999999999</v>
      </c>
      <c r="E39" t="n">
        <v>37.2</v>
      </c>
      <c r="F39" t="n">
        <v>11</v>
      </c>
      <c r="G39" t="n">
        <v>5</v>
      </c>
      <c r="H39" t="n">
        <v>20.4</v>
      </c>
      <c r="I39" t="n">
        <v>45.5</v>
      </c>
      <c r="J39" t="n">
        <v>54</v>
      </c>
      <c r="K39" t="n">
        <v>38.9</v>
      </c>
      <c r="L39" t="n">
        <v>24.99044401930458</v>
      </c>
      <c r="M39" t="n">
        <v>6.001997556091323</v>
      </c>
      <c r="N39" t="n">
        <v>1087</v>
      </c>
    </row>
    <row r="40">
      <c r="A40" t="inlineStr">
        <is>
          <t>Qe</t>
        </is>
      </c>
      <c r="B40" t="n">
        <v>2</v>
      </c>
      <c r="C40" t="n">
        <v>2</v>
      </c>
      <c r="D40" t="n">
        <v>100</v>
      </c>
      <c r="E40" t="n">
        <v>100</v>
      </c>
      <c r="F40" t="n">
        <v>0</v>
      </c>
      <c r="G40" t="n">
        <v>0</v>
      </c>
      <c r="H40" t="n">
        <v>0</v>
      </c>
      <c r="I40" t="n">
        <v>0</v>
      </c>
      <c r="J40" t="n">
        <v>2</v>
      </c>
      <c r="K40" t="n">
        <v>100</v>
      </c>
      <c r="L40" t="n">
        <v>28.14821361013455</v>
      </c>
      <c r="M40" t="n">
        <v>8.162890430026851</v>
      </c>
      <c r="N40" t="n">
        <v>1081</v>
      </c>
    </row>
    <row r="41">
      <c r="A41" t="inlineStr">
        <is>
          <t>Plen</t>
        </is>
      </c>
      <c r="B41" t="n">
        <v>50</v>
      </c>
      <c r="C41" t="n">
        <v>19</v>
      </c>
      <c r="D41" t="n">
        <v>83.3</v>
      </c>
      <c r="E41" t="n">
        <v>38</v>
      </c>
      <c r="F41" t="n">
        <v>10</v>
      </c>
      <c r="G41" t="n">
        <v>3</v>
      </c>
      <c r="H41" t="n">
        <v>16.7</v>
      </c>
      <c r="I41" t="n">
        <v>30</v>
      </c>
      <c r="J41" t="n">
        <v>60</v>
      </c>
      <c r="K41" t="n">
        <v>36.7</v>
      </c>
      <c r="L41" t="n">
        <v>24.42188313416712</v>
      </c>
      <c r="M41" t="n">
        <v>5.811637839795714</v>
      </c>
      <c r="N41" t="n">
        <v>1068</v>
      </c>
    </row>
    <row r="42">
      <c r="A42" t="inlineStr">
        <is>
          <t>Kny</t>
        </is>
      </c>
      <c r="B42" t="n">
        <v>5</v>
      </c>
      <c r="C42" t="n">
        <v>3</v>
      </c>
      <c r="D42" t="n">
        <v>71.40000000000001</v>
      </c>
      <c r="E42" t="n">
        <v>60</v>
      </c>
      <c r="F42" t="n">
        <v>2</v>
      </c>
      <c r="G42" t="n">
        <v>1</v>
      </c>
      <c r="H42" t="n">
        <v>28.6</v>
      </c>
      <c r="I42" t="n">
        <v>50</v>
      </c>
      <c r="J42" t="n">
        <v>7</v>
      </c>
      <c r="K42" t="n">
        <v>57.1</v>
      </c>
      <c r="L42" t="n">
        <v>27.37316176135201</v>
      </c>
      <c r="M42" t="n">
        <v>7.857955592924021</v>
      </c>
      <c r="N42" t="n">
        <v>1060</v>
      </c>
    </row>
    <row r="43">
      <c r="A43" t="inlineStr">
        <is>
          <t>Machop</t>
        </is>
      </c>
      <c r="B43" t="n">
        <v>27</v>
      </c>
      <c r="C43" t="n">
        <v>12</v>
      </c>
      <c r="D43" t="n">
        <v>75</v>
      </c>
      <c r="E43" t="n">
        <v>44.4</v>
      </c>
      <c r="F43" t="n">
        <v>9</v>
      </c>
      <c r="G43" t="n">
        <v>4</v>
      </c>
      <c r="H43" t="n">
        <v>25</v>
      </c>
      <c r="I43" t="n">
        <v>44.4</v>
      </c>
      <c r="J43" t="n">
        <v>36</v>
      </c>
      <c r="K43" t="n">
        <v>44.4</v>
      </c>
      <c r="L43" t="n">
        <v>25.32660125307354</v>
      </c>
      <c r="M43" t="n">
        <v>6.5183773222227</v>
      </c>
      <c r="N43" t="n">
        <v>1057</v>
      </c>
    </row>
    <row r="44">
      <c r="A44" t="inlineStr">
        <is>
          <t>5up</t>
        </is>
      </c>
      <c r="B44" t="n">
        <v>1</v>
      </c>
      <c r="C44" t="n">
        <v>1</v>
      </c>
      <c r="D44" t="n">
        <v>50</v>
      </c>
      <c r="E44" t="n">
        <v>100</v>
      </c>
      <c r="F44" t="n">
        <v>1</v>
      </c>
      <c r="G44" t="n">
        <v>1</v>
      </c>
      <c r="H44" t="n">
        <v>50</v>
      </c>
      <c r="I44" t="n">
        <v>100</v>
      </c>
      <c r="J44" t="n">
        <v>2</v>
      </c>
      <c r="K44" t="n">
        <v>100</v>
      </c>
      <c r="L44" t="n">
        <v>27.7524114724755</v>
      </c>
      <c r="M44" t="n">
        <v>8.185129361909656</v>
      </c>
      <c r="N44" t="n">
        <v>1052</v>
      </c>
    </row>
    <row r="45">
      <c r="A45" t="inlineStr">
        <is>
          <t>Levi</t>
        </is>
      </c>
      <c r="B45" t="n">
        <v>3</v>
      </c>
      <c r="C45" t="n">
        <v>2</v>
      </c>
      <c r="D45" t="n">
        <v>42.9</v>
      </c>
      <c r="E45" t="n">
        <v>66.7</v>
      </c>
      <c r="F45" t="n">
        <v>4</v>
      </c>
      <c r="G45" t="n">
        <v>2</v>
      </c>
      <c r="H45" t="n">
        <v>57.1</v>
      </c>
      <c r="I45" t="n">
        <v>50</v>
      </c>
      <c r="J45" t="n">
        <v>7</v>
      </c>
      <c r="K45" t="n">
        <v>57.1</v>
      </c>
      <c r="L45" t="n">
        <v>26.78818944715379</v>
      </c>
      <c r="M45" t="n">
        <v>7.898540766682347</v>
      </c>
      <c r="N45" t="n">
        <v>1016</v>
      </c>
    </row>
    <row r="46">
      <c r="A46" t="inlineStr">
        <is>
          <t>Nick</t>
        </is>
      </c>
      <c r="B46" t="n">
        <v>6</v>
      </c>
      <c r="C46" t="n">
        <v>3</v>
      </c>
      <c r="D46" t="n">
        <v>100</v>
      </c>
      <c r="E46" t="n">
        <v>50</v>
      </c>
      <c r="F46" t="n">
        <v>0</v>
      </c>
      <c r="G46" t="n">
        <v>0</v>
      </c>
      <c r="H46" t="n">
        <v>0</v>
      </c>
      <c r="I46" t="n">
        <v>0</v>
      </c>
      <c r="J46" t="n">
        <v>6</v>
      </c>
      <c r="K46" t="n">
        <v>50</v>
      </c>
      <c r="L46" t="n">
        <v>26.74527722680848</v>
      </c>
      <c r="M46" t="n">
        <v>7.909671623544502</v>
      </c>
      <c r="N46" t="n">
        <v>1012</v>
      </c>
    </row>
    <row r="47">
      <c r="A47" t="inlineStr">
        <is>
          <t>Sam</t>
        </is>
      </c>
      <c r="B47" t="n">
        <v>5</v>
      </c>
      <c r="C47" t="n">
        <v>3</v>
      </c>
      <c r="D47" t="n">
        <v>62.5</v>
      </c>
      <c r="E47" t="n">
        <v>60</v>
      </c>
      <c r="F47" t="n">
        <v>3</v>
      </c>
      <c r="G47" t="n">
        <v>1</v>
      </c>
      <c r="H47" t="n">
        <v>37.5</v>
      </c>
      <c r="I47" t="n">
        <v>33.3</v>
      </c>
      <c r="J47" t="n">
        <v>8</v>
      </c>
      <c r="K47" t="n">
        <v>50</v>
      </c>
      <c r="L47" t="n">
        <v>25.94801079084729</v>
      </c>
      <c r="M47" t="n">
        <v>7.72941712573662</v>
      </c>
      <c r="N47" t="n">
        <v>976</v>
      </c>
    </row>
    <row r="48">
      <c r="A48" t="inlineStr">
        <is>
          <t>Coffee</t>
        </is>
      </c>
      <c r="B48" t="n">
        <v>1</v>
      </c>
      <c r="C48" t="n">
        <v>1</v>
      </c>
      <c r="D48" t="n">
        <v>100</v>
      </c>
      <c r="E48" t="n">
        <v>100</v>
      </c>
      <c r="F48" t="n">
        <v>0</v>
      </c>
      <c r="G48" t="n">
        <v>0</v>
      </c>
      <c r="H48" t="n">
        <v>0</v>
      </c>
      <c r="I48" t="n">
        <v>0</v>
      </c>
      <c r="J48" t="n">
        <v>1</v>
      </c>
      <c r="K48" t="n">
        <v>100</v>
      </c>
      <c r="L48" t="n">
        <v>26.65739202022665</v>
      </c>
      <c r="M48" t="n">
        <v>8.248725738679656</v>
      </c>
      <c r="N48" t="n">
        <v>971</v>
      </c>
    </row>
    <row r="49">
      <c r="A49" t="inlineStr">
        <is>
          <t>Jerm</t>
        </is>
      </c>
      <c r="B49" t="n">
        <v>1</v>
      </c>
      <c r="C49" t="n">
        <v>1</v>
      </c>
      <c r="D49" t="n">
        <v>100</v>
      </c>
      <c r="E49" t="n">
        <v>100</v>
      </c>
      <c r="F49" t="n">
        <v>0</v>
      </c>
      <c r="G49" t="n">
        <v>0</v>
      </c>
      <c r="H49" t="n">
        <v>0</v>
      </c>
      <c r="I49" t="n">
        <v>0</v>
      </c>
      <c r="J49" t="n">
        <v>1</v>
      </c>
      <c r="K49" t="n">
        <v>100</v>
      </c>
      <c r="L49" t="n">
        <v>26.60851224818161</v>
      </c>
      <c r="M49" t="n">
        <v>8.253232563552666</v>
      </c>
      <c r="N49" t="n">
        <v>968</v>
      </c>
    </row>
    <row r="50">
      <c r="A50" t="inlineStr">
        <is>
          <t>Gunny</t>
        </is>
      </c>
      <c r="B50" t="n">
        <v>1</v>
      </c>
      <c r="C50" t="n">
        <v>1</v>
      </c>
      <c r="D50" t="n">
        <v>100</v>
      </c>
      <c r="E50" t="n">
        <v>100</v>
      </c>
      <c r="F50" t="n">
        <v>0</v>
      </c>
      <c r="G50" t="n">
        <v>0</v>
      </c>
      <c r="H50" t="n">
        <v>0</v>
      </c>
      <c r="I50" t="n">
        <v>0</v>
      </c>
      <c r="J50" t="n">
        <v>1</v>
      </c>
      <c r="K50" t="n">
        <v>100</v>
      </c>
      <c r="L50" t="n">
        <v>26.50601045333377</v>
      </c>
      <c r="M50" t="n">
        <v>8.246908626783018</v>
      </c>
      <c r="N50" t="n">
        <v>961</v>
      </c>
    </row>
    <row r="51">
      <c r="A51" t="inlineStr">
        <is>
          <t>Insomnia</t>
        </is>
      </c>
      <c r="B51" t="n">
        <v>1</v>
      </c>
      <c r="C51" t="n">
        <v>1</v>
      </c>
      <c r="D51" t="n">
        <v>100</v>
      </c>
      <c r="E51" t="n">
        <v>100</v>
      </c>
      <c r="F51" t="n">
        <v>0</v>
      </c>
      <c r="G51" t="n">
        <v>0</v>
      </c>
      <c r="H51" t="n">
        <v>0</v>
      </c>
      <c r="I51" t="n">
        <v>0</v>
      </c>
      <c r="J51" t="n">
        <v>1</v>
      </c>
      <c r="K51" t="n">
        <v>100</v>
      </c>
      <c r="L51" t="n">
        <v>26.33811273989137</v>
      </c>
      <c r="M51" t="n">
        <v>8.254791225653094</v>
      </c>
      <c r="N51" t="n">
        <v>949</v>
      </c>
    </row>
    <row r="52">
      <c r="A52" t="inlineStr">
        <is>
          <t>Torharo</t>
        </is>
      </c>
      <c r="B52" t="n">
        <v>4</v>
      </c>
      <c r="C52" t="n">
        <v>2</v>
      </c>
      <c r="D52" t="n">
        <v>80</v>
      </c>
      <c r="E52" t="n">
        <v>50</v>
      </c>
      <c r="F52" t="n">
        <v>1</v>
      </c>
      <c r="G52" t="n">
        <v>0</v>
      </c>
      <c r="H52" t="n">
        <v>20</v>
      </c>
      <c r="I52" t="n">
        <v>0</v>
      </c>
      <c r="J52" t="n">
        <v>5</v>
      </c>
      <c r="K52" t="n">
        <v>40</v>
      </c>
      <c r="L52" t="n">
        <v>25.92134493265212</v>
      </c>
      <c r="M52" t="n">
        <v>8.021147576202242</v>
      </c>
      <c r="N52" t="n">
        <v>944</v>
      </c>
    </row>
    <row r="53">
      <c r="A53" t="inlineStr">
        <is>
          <t>Vert</t>
        </is>
      </c>
      <c r="B53" t="n">
        <v>3</v>
      </c>
      <c r="C53" t="n">
        <v>1</v>
      </c>
      <c r="D53" t="n">
        <v>75</v>
      </c>
      <c r="E53" t="n">
        <v>33.3</v>
      </c>
      <c r="F53" t="n">
        <v>1</v>
      </c>
      <c r="G53" t="n">
        <v>1</v>
      </c>
      <c r="H53" t="n">
        <v>25</v>
      </c>
      <c r="I53" t="n">
        <v>100</v>
      </c>
      <c r="J53" t="n">
        <v>4</v>
      </c>
      <c r="K53" t="n">
        <v>50</v>
      </c>
      <c r="L53" t="n">
        <v>25.9078544678371</v>
      </c>
      <c r="M53" t="n">
        <v>8.093297362062463</v>
      </c>
      <c r="N53" t="n">
        <v>936</v>
      </c>
    </row>
    <row r="54">
      <c r="A54" t="inlineStr">
        <is>
          <t>TCP</t>
        </is>
      </c>
      <c r="B54" t="n">
        <v>7</v>
      </c>
      <c r="C54" t="n">
        <v>3</v>
      </c>
      <c r="D54" t="n">
        <v>77.8</v>
      </c>
      <c r="E54" t="n">
        <v>42.9</v>
      </c>
      <c r="F54" t="n">
        <v>2</v>
      </c>
      <c r="G54" t="n">
        <v>1</v>
      </c>
      <c r="H54" t="n">
        <v>22.2</v>
      </c>
      <c r="I54" t="n">
        <v>50</v>
      </c>
      <c r="J54" t="n">
        <v>9</v>
      </c>
      <c r="K54" t="n">
        <v>44.4</v>
      </c>
      <c r="L54" t="n">
        <v>25.26602968442981</v>
      </c>
      <c r="M54" t="n">
        <v>7.694504376474733</v>
      </c>
      <c r="N54" t="n">
        <v>933</v>
      </c>
    </row>
    <row r="55">
      <c r="A55" t="inlineStr">
        <is>
          <t>Dani</t>
        </is>
      </c>
      <c r="B55" t="n">
        <v>9</v>
      </c>
      <c r="C55" t="n">
        <v>2</v>
      </c>
      <c r="D55" t="n">
        <v>100</v>
      </c>
      <c r="E55" t="n">
        <v>22.2</v>
      </c>
      <c r="F55" t="n">
        <v>0</v>
      </c>
      <c r="G55" t="n">
        <v>0</v>
      </c>
      <c r="H55" t="n">
        <v>0</v>
      </c>
      <c r="I55" t="n">
        <v>0</v>
      </c>
      <c r="J55" t="n">
        <v>9</v>
      </c>
      <c r="K55" t="n">
        <v>22.2</v>
      </c>
      <c r="L55" t="n">
        <v>25.07717251491538</v>
      </c>
      <c r="M55" t="n">
        <v>7.790847682137445</v>
      </c>
      <c r="N55" t="n">
        <v>911</v>
      </c>
    </row>
    <row r="56">
      <c r="A56" t="inlineStr">
        <is>
          <t>Dlgn</t>
        </is>
      </c>
      <c r="B56" t="n">
        <v>0</v>
      </c>
      <c r="C56" t="n">
        <v>0</v>
      </c>
      <c r="D56" t="n">
        <v>0</v>
      </c>
      <c r="E56" t="n">
        <v>0</v>
      </c>
      <c r="F56" t="n">
        <v>1</v>
      </c>
      <c r="G56" t="n">
        <v>1</v>
      </c>
      <c r="H56" t="n">
        <v>100</v>
      </c>
      <c r="I56" t="n">
        <v>100</v>
      </c>
      <c r="J56" t="n">
        <v>1</v>
      </c>
      <c r="K56" t="n">
        <v>100</v>
      </c>
      <c r="L56" t="n">
        <v>25.55507574111157</v>
      </c>
      <c r="M56" t="n">
        <v>8.282149790123244</v>
      </c>
      <c r="N56" t="n">
        <v>893</v>
      </c>
    </row>
    <row r="57">
      <c r="A57" t="inlineStr">
        <is>
          <t>Vandy</t>
        </is>
      </c>
      <c r="B57" t="n">
        <v>2</v>
      </c>
      <c r="C57" t="n">
        <v>1</v>
      </c>
      <c r="D57" t="n">
        <v>100</v>
      </c>
      <c r="E57" t="n">
        <v>50</v>
      </c>
      <c r="F57" t="n">
        <v>0</v>
      </c>
      <c r="G57" t="n">
        <v>0</v>
      </c>
      <c r="H57" t="n">
        <v>0</v>
      </c>
      <c r="I57" t="n">
        <v>0</v>
      </c>
      <c r="J57" t="n">
        <v>2</v>
      </c>
      <c r="K57" t="n">
        <v>50</v>
      </c>
      <c r="L57" t="n">
        <v>25.33311130947296</v>
      </c>
      <c r="M57" t="n">
        <v>8.189712303454042</v>
      </c>
      <c r="N57" t="n">
        <v>887</v>
      </c>
    </row>
    <row r="58">
      <c r="A58" t="inlineStr">
        <is>
          <t>Laura</t>
        </is>
      </c>
      <c r="B58" t="n">
        <v>2</v>
      </c>
      <c r="C58" t="n">
        <v>1</v>
      </c>
      <c r="D58" t="n">
        <v>100</v>
      </c>
      <c r="E58" t="n">
        <v>50</v>
      </c>
      <c r="F58" t="n">
        <v>0</v>
      </c>
      <c r="G58" t="n">
        <v>0</v>
      </c>
      <c r="H58" t="n">
        <v>0</v>
      </c>
      <c r="I58" t="n">
        <v>0</v>
      </c>
      <c r="J58" t="n">
        <v>2</v>
      </c>
      <c r="K58" t="n">
        <v>50</v>
      </c>
      <c r="L58" t="n">
        <v>25.30896236785641</v>
      </c>
      <c r="M58" t="n">
        <v>8.190284767840945</v>
      </c>
      <c r="N58" t="n">
        <v>886</v>
      </c>
    </row>
    <row r="59">
      <c r="A59" t="inlineStr">
        <is>
          <t>Ken</t>
        </is>
      </c>
      <c r="B59" t="n">
        <v>21</v>
      </c>
      <c r="C59" t="n">
        <v>9</v>
      </c>
      <c r="D59" t="n">
        <v>84</v>
      </c>
      <c r="E59" t="n">
        <v>42.9</v>
      </c>
      <c r="F59" t="n">
        <v>4</v>
      </c>
      <c r="G59" t="n">
        <v>0</v>
      </c>
      <c r="H59" t="n">
        <v>16</v>
      </c>
      <c r="I59" t="n">
        <v>0</v>
      </c>
      <c r="J59" t="n">
        <v>25</v>
      </c>
      <c r="K59" t="n">
        <v>36</v>
      </c>
      <c r="L59" t="n">
        <v>23.48117362202932</v>
      </c>
      <c r="M59" t="n">
        <v>6.989833669806308</v>
      </c>
      <c r="N59" t="n">
        <v>884</v>
      </c>
    </row>
    <row r="60">
      <c r="A60" t="inlineStr">
        <is>
          <t>23flash</t>
        </is>
      </c>
      <c r="B60" t="n">
        <v>5</v>
      </c>
      <c r="C60" t="n">
        <v>2</v>
      </c>
      <c r="D60" t="n">
        <v>71.40000000000001</v>
      </c>
      <c r="E60" t="n">
        <v>40</v>
      </c>
      <c r="F60" t="n">
        <v>2</v>
      </c>
      <c r="G60" t="n">
        <v>1</v>
      </c>
      <c r="H60" t="n">
        <v>28.6</v>
      </c>
      <c r="I60" t="n">
        <v>50</v>
      </c>
      <c r="J60" t="n">
        <v>7</v>
      </c>
      <c r="K60" t="n">
        <v>42.9</v>
      </c>
      <c r="L60" t="n">
        <v>24.74700622999604</v>
      </c>
      <c r="M60" t="n">
        <v>7.865029040756593</v>
      </c>
      <c r="N60" t="n">
        <v>881</v>
      </c>
    </row>
    <row r="61">
      <c r="A61" t="inlineStr">
        <is>
          <t>Wyz</t>
        </is>
      </c>
      <c r="B61" t="n">
        <v>2</v>
      </c>
      <c r="C61" t="n">
        <v>1</v>
      </c>
      <c r="D61" t="n">
        <v>100</v>
      </c>
      <c r="E61" t="n">
        <v>50</v>
      </c>
      <c r="F61" t="n">
        <v>0</v>
      </c>
      <c r="G61" t="n">
        <v>0</v>
      </c>
      <c r="H61" t="n">
        <v>0</v>
      </c>
      <c r="I61" t="n">
        <v>0</v>
      </c>
      <c r="J61" t="n">
        <v>2</v>
      </c>
      <c r="K61" t="n">
        <v>50</v>
      </c>
      <c r="L61" t="n">
        <v>25.20361015848539</v>
      </c>
      <c r="M61" t="n">
        <v>8.184640354954565</v>
      </c>
      <c r="N61" t="n">
        <v>879</v>
      </c>
    </row>
    <row r="62">
      <c r="A62" t="inlineStr">
        <is>
          <t>Heftyduck</t>
        </is>
      </c>
      <c r="B62" t="n">
        <v>1</v>
      </c>
      <c r="C62" t="n">
        <v>0</v>
      </c>
      <c r="D62" t="n">
        <v>50</v>
      </c>
      <c r="E62" t="n">
        <v>0</v>
      </c>
      <c r="F62" t="n">
        <v>1</v>
      </c>
      <c r="G62" t="n">
        <v>1</v>
      </c>
      <c r="H62" t="n">
        <v>50</v>
      </c>
      <c r="I62" t="n">
        <v>100</v>
      </c>
      <c r="J62" t="n">
        <v>2</v>
      </c>
      <c r="K62" t="n">
        <v>50</v>
      </c>
      <c r="L62" t="n">
        <v>25.15248791460971</v>
      </c>
      <c r="M62" t="n">
        <v>8.193068624064622</v>
      </c>
      <c r="N62" t="n">
        <v>875</v>
      </c>
    </row>
    <row r="63">
      <c r="A63" t="inlineStr">
        <is>
          <t>Jonas</t>
        </is>
      </c>
      <c r="B63" t="n">
        <v>1</v>
      </c>
      <c r="C63" t="n">
        <v>0</v>
      </c>
      <c r="D63" t="n">
        <v>50</v>
      </c>
      <c r="E63" t="n">
        <v>0</v>
      </c>
      <c r="F63" t="n">
        <v>1</v>
      </c>
      <c r="G63" t="n">
        <v>1</v>
      </c>
      <c r="H63" t="n">
        <v>50</v>
      </c>
      <c r="I63" t="n">
        <v>100</v>
      </c>
      <c r="J63" t="n">
        <v>2</v>
      </c>
      <c r="K63" t="n">
        <v>50</v>
      </c>
      <c r="L63" t="n">
        <v>25.13080351736997</v>
      </c>
      <c r="M63" t="n">
        <v>8.214232996607654</v>
      </c>
      <c r="N63" t="n">
        <v>871</v>
      </c>
    </row>
    <row r="64">
      <c r="A64" t="inlineStr">
        <is>
          <t>Asiansam</t>
        </is>
      </c>
      <c r="B64" t="n">
        <v>2</v>
      </c>
      <c r="C64" t="n">
        <v>1</v>
      </c>
      <c r="D64" t="n">
        <v>50</v>
      </c>
      <c r="E64" t="n">
        <v>50</v>
      </c>
      <c r="F64" t="n">
        <v>2</v>
      </c>
      <c r="G64" t="n">
        <v>1</v>
      </c>
      <c r="H64" t="n">
        <v>50</v>
      </c>
      <c r="I64" t="n">
        <v>50</v>
      </c>
      <c r="J64" t="n">
        <v>4</v>
      </c>
      <c r="K64" t="n">
        <v>50</v>
      </c>
      <c r="L64" t="n">
        <v>24.88506205512831</v>
      </c>
      <c r="M64" t="n">
        <v>8.053809414564119</v>
      </c>
      <c r="N64" t="n">
        <v>871</v>
      </c>
    </row>
    <row r="65">
      <c r="A65" t="inlineStr">
        <is>
          <t>Doublea</t>
        </is>
      </c>
      <c r="B65" t="n">
        <v>17</v>
      </c>
      <c r="C65" t="n">
        <v>6</v>
      </c>
      <c r="D65" t="n">
        <v>70.8</v>
      </c>
      <c r="E65" t="n">
        <v>35.3</v>
      </c>
      <c r="F65" t="n">
        <v>7</v>
      </c>
      <c r="G65" t="n">
        <v>4</v>
      </c>
      <c r="H65" t="n">
        <v>29.2</v>
      </c>
      <c r="I65" t="n">
        <v>57.1</v>
      </c>
      <c r="J65" t="n">
        <v>24</v>
      </c>
      <c r="K65" t="n">
        <v>41.7</v>
      </c>
      <c r="L65" t="n">
        <v>23.02012257331563</v>
      </c>
      <c r="M65" t="n">
        <v>6.986958843368228</v>
      </c>
      <c r="N65" t="n">
        <v>853</v>
      </c>
    </row>
    <row r="66">
      <c r="A66" t="inlineStr">
        <is>
          <t>Steep</t>
        </is>
      </c>
      <c r="B66" t="n">
        <v>2</v>
      </c>
      <c r="C66" t="n">
        <v>1</v>
      </c>
      <c r="D66" t="n">
        <v>66.7</v>
      </c>
      <c r="E66" t="n">
        <v>50</v>
      </c>
      <c r="F66" t="n">
        <v>1</v>
      </c>
      <c r="G66" t="n">
        <v>0</v>
      </c>
      <c r="H66" t="n">
        <v>33.3</v>
      </c>
      <c r="I66" t="n">
        <v>0</v>
      </c>
      <c r="J66" t="n">
        <v>3</v>
      </c>
      <c r="K66" t="n">
        <v>33.3</v>
      </c>
      <c r="L66" t="n">
        <v>24.6996535506014</v>
      </c>
      <c r="M66" t="n">
        <v>8.1066769997179</v>
      </c>
      <c r="N66" t="n">
        <v>853</v>
      </c>
    </row>
    <row r="67">
      <c r="A67" t="inlineStr">
        <is>
          <t>Kwix</t>
        </is>
      </c>
      <c r="B67" t="n">
        <v>34</v>
      </c>
      <c r="C67" t="n">
        <v>13</v>
      </c>
      <c r="D67" t="n">
        <v>75.59999999999999</v>
      </c>
      <c r="E67" t="n">
        <v>38.2</v>
      </c>
      <c r="F67" t="n">
        <v>11</v>
      </c>
      <c r="G67" t="n">
        <v>5</v>
      </c>
      <c r="H67" t="n">
        <v>24.4</v>
      </c>
      <c r="I67" t="n">
        <v>45.5</v>
      </c>
      <c r="J67" t="n">
        <v>45</v>
      </c>
      <c r="K67" t="n">
        <v>40</v>
      </c>
      <c r="L67" t="n">
        <v>21.72739590857718</v>
      </c>
      <c r="M67" t="n">
        <v>6.161120070923627</v>
      </c>
      <c r="N67" t="n">
        <v>849</v>
      </c>
    </row>
    <row r="68">
      <c r="A68" t="inlineStr">
        <is>
          <t>Lombax</t>
        </is>
      </c>
      <c r="B68" t="n">
        <v>5</v>
      </c>
      <c r="C68" t="n">
        <v>1</v>
      </c>
      <c r="D68" t="n">
        <v>62.5</v>
      </c>
      <c r="E68" t="n">
        <v>20</v>
      </c>
      <c r="F68" t="n">
        <v>3</v>
      </c>
      <c r="G68" t="n">
        <v>2</v>
      </c>
      <c r="H68" t="n">
        <v>37.5</v>
      </c>
      <c r="I68" t="n">
        <v>66.7</v>
      </c>
      <c r="J68" t="n">
        <v>8</v>
      </c>
      <c r="K68" t="n">
        <v>37.5</v>
      </c>
      <c r="L68" t="n">
        <v>24.00618232304074</v>
      </c>
      <c r="M68" t="n">
        <v>7.907710149606683</v>
      </c>
      <c r="N68" t="n">
        <v>826</v>
      </c>
    </row>
    <row r="69">
      <c r="A69" t="inlineStr">
        <is>
          <t>Kango</t>
        </is>
      </c>
      <c r="B69" t="n">
        <v>1</v>
      </c>
      <c r="C69" t="n">
        <v>0</v>
      </c>
      <c r="D69" t="n">
        <v>100</v>
      </c>
      <c r="E69" t="n">
        <v>0</v>
      </c>
      <c r="F69" t="n">
        <v>0</v>
      </c>
      <c r="G69" t="n">
        <v>0</v>
      </c>
      <c r="H69" t="n">
        <v>0</v>
      </c>
      <c r="I69" t="n">
        <v>0</v>
      </c>
      <c r="J69" t="n">
        <v>1</v>
      </c>
      <c r="K69" t="n">
        <v>0</v>
      </c>
      <c r="L69" t="n">
        <v>24.52247300736177</v>
      </c>
      <c r="M69" t="n">
        <v>8.285039264286052</v>
      </c>
      <c r="N69" t="n">
        <v>822</v>
      </c>
    </row>
    <row r="70">
      <c r="A70" t="inlineStr">
        <is>
          <t>Decode</t>
        </is>
      </c>
      <c r="B70" t="n">
        <v>16</v>
      </c>
      <c r="C70" t="n">
        <v>6</v>
      </c>
      <c r="D70" t="n">
        <v>80</v>
      </c>
      <c r="E70" t="n">
        <v>37.5</v>
      </c>
      <c r="F70" t="n">
        <v>4</v>
      </c>
      <c r="G70" t="n">
        <v>1</v>
      </c>
      <c r="H70" t="n">
        <v>20</v>
      </c>
      <c r="I70" t="n">
        <v>25</v>
      </c>
      <c r="J70" t="n">
        <v>20</v>
      </c>
      <c r="K70" t="n">
        <v>35</v>
      </c>
      <c r="L70" t="n">
        <v>22.68744973453989</v>
      </c>
      <c r="M70" t="n">
        <v>7.088948669392148</v>
      </c>
      <c r="N70" t="n">
        <v>820</v>
      </c>
    </row>
    <row r="71">
      <c r="A71" t="inlineStr">
        <is>
          <t>Daniel</t>
        </is>
      </c>
      <c r="B71" t="n">
        <v>1</v>
      </c>
      <c r="C71" t="n">
        <v>0</v>
      </c>
      <c r="D71" t="n">
        <v>100</v>
      </c>
      <c r="E71" t="n">
        <v>0</v>
      </c>
      <c r="F71" t="n">
        <v>0</v>
      </c>
      <c r="G71" t="n">
        <v>0</v>
      </c>
      <c r="H71" t="n">
        <v>0</v>
      </c>
      <c r="I71" t="n">
        <v>0</v>
      </c>
      <c r="J71" t="n">
        <v>1</v>
      </c>
      <c r="K71" t="n">
        <v>0</v>
      </c>
      <c r="L71" t="n">
        <v>24.47793435734513</v>
      </c>
      <c r="M71" t="n">
        <v>8.280464719283026</v>
      </c>
      <c r="N71" t="n">
        <v>820</v>
      </c>
    </row>
    <row r="72">
      <c r="A72" t="inlineStr">
        <is>
          <t>Ryan</t>
        </is>
      </c>
      <c r="B72" t="n">
        <v>0</v>
      </c>
      <c r="C72" t="n">
        <v>0</v>
      </c>
      <c r="D72" t="n">
        <v>0</v>
      </c>
      <c r="E72" t="n">
        <v>0</v>
      </c>
      <c r="F72" t="n">
        <v>1</v>
      </c>
      <c r="G72" t="n">
        <v>0</v>
      </c>
      <c r="H72" t="n">
        <v>100</v>
      </c>
      <c r="I72" t="n">
        <v>0</v>
      </c>
      <c r="J72" t="n">
        <v>1</v>
      </c>
      <c r="K72" t="n">
        <v>0</v>
      </c>
      <c r="L72" t="n">
        <v>24.45525740098275</v>
      </c>
      <c r="M72" t="n">
        <v>8.281904659647072</v>
      </c>
      <c r="N72" t="n">
        <v>818</v>
      </c>
    </row>
    <row r="73">
      <c r="A73" t="inlineStr">
        <is>
          <t>DrMorris</t>
        </is>
      </c>
      <c r="B73" t="n">
        <v>1</v>
      </c>
      <c r="C73" t="n">
        <v>0</v>
      </c>
      <c r="D73" t="n">
        <v>100</v>
      </c>
      <c r="E73" t="n">
        <v>0</v>
      </c>
      <c r="F73" t="n">
        <v>0</v>
      </c>
      <c r="G73" t="n">
        <v>0</v>
      </c>
      <c r="H73" t="n">
        <v>0</v>
      </c>
      <c r="I73" t="n">
        <v>0</v>
      </c>
      <c r="J73" t="n">
        <v>1</v>
      </c>
      <c r="K73" t="n">
        <v>0</v>
      </c>
      <c r="L73" t="n">
        <v>24.32623207216345</v>
      </c>
      <c r="M73" t="n">
        <v>8.270253577883684</v>
      </c>
      <c r="N73" t="n">
        <v>811</v>
      </c>
    </row>
    <row r="74">
      <c r="A74" t="inlineStr">
        <is>
          <t>Sunspot</t>
        </is>
      </c>
      <c r="B74" t="n">
        <v>1</v>
      </c>
      <c r="C74" t="n">
        <v>0</v>
      </c>
      <c r="D74" t="n">
        <v>100</v>
      </c>
      <c r="E74" t="n">
        <v>0</v>
      </c>
      <c r="F74" t="n">
        <v>0</v>
      </c>
      <c r="G74" t="n">
        <v>0</v>
      </c>
      <c r="H74" t="n">
        <v>0</v>
      </c>
      <c r="I74" t="n">
        <v>0</v>
      </c>
      <c r="J74" t="n">
        <v>1</v>
      </c>
      <c r="K74" t="n">
        <v>0</v>
      </c>
      <c r="L74" t="n">
        <v>24.25397869012649</v>
      </c>
      <c r="M74" t="n">
        <v>8.272468779926852</v>
      </c>
      <c r="N74" t="n">
        <v>805</v>
      </c>
    </row>
    <row r="75">
      <c r="A75" t="inlineStr">
        <is>
          <t>Zesta</t>
        </is>
      </c>
      <c r="B75" t="n">
        <v>1</v>
      </c>
      <c r="C75" t="n">
        <v>0</v>
      </c>
      <c r="D75" t="n">
        <v>100</v>
      </c>
      <c r="E75" t="n">
        <v>0</v>
      </c>
      <c r="F75" t="n">
        <v>0</v>
      </c>
      <c r="G75" t="n">
        <v>0</v>
      </c>
      <c r="H75" t="n">
        <v>0</v>
      </c>
      <c r="I75" t="n">
        <v>0</v>
      </c>
      <c r="J75" t="n">
        <v>1</v>
      </c>
      <c r="K75" t="n">
        <v>0</v>
      </c>
      <c r="L75" t="n">
        <v>24.21939474229215</v>
      </c>
      <c r="M75" t="n">
        <v>8.269885204166961</v>
      </c>
      <c r="N75" t="n">
        <v>803</v>
      </c>
    </row>
    <row r="76">
      <c r="A76" t="inlineStr">
        <is>
          <t>Relm</t>
        </is>
      </c>
      <c r="B76" t="n">
        <v>1</v>
      </c>
      <c r="C76" t="n">
        <v>0</v>
      </c>
      <c r="D76" t="n">
        <v>100</v>
      </c>
      <c r="E76" t="n">
        <v>0</v>
      </c>
      <c r="F76" t="n">
        <v>0</v>
      </c>
      <c r="G76" t="n">
        <v>0</v>
      </c>
      <c r="H76" t="n">
        <v>0</v>
      </c>
      <c r="I76" t="n">
        <v>0</v>
      </c>
      <c r="J76" t="n">
        <v>1</v>
      </c>
      <c r="K76" t="n">
        <v>0</v>
      </c>
      <c r="L76" t="n">
        <v>24.18165026900128</v>
      </c>
      <c r="M76" t="n">
        <v>8.270492101166747</v>
      </c>
      <c r="N76" t="n">
        <v>801</v>
      </c>
    </row>
    <row r="77">
      <c r="A77" t="inlineStr">
        <is>
          <t>Pie</t>
        </is>
      </c>
      <c r="B77" t="n">
        <v>0</v>
      </c>
      <c r="C77" t="n">
        <v>0</v>
      </c>
      <c r="D77" t="n">
        <v>0</v>
      </c>
      <c r="E77" t="n">
        <v>0</v>
      </c>
      <c r="F77" t="n">
        <v>1</v>
      </c>
      <c r="G77" t="n">
        <v>0</v>
      </c>
      <c r="H77" t="n">
        <v>100</v>
      </c>
      <c r="I77" t="n">
        <v>0</v>
      </c>
      <c r="J77" t="n">
        <v>1</v>
      </c>
      <c r="K77" t="n">
        <v>0</v>
      </c>
      <c r="L77" t="n">
        <v>24.08477136022389</v>
      </c>
      <c r="M77" t="n">
        <v>8.26212792414416</v>
      </c>
      <c r="N77" t="n">
        <v>795</v>
      </c>
    </row>
    <row r="78">
      <c r="A78" t="inlineStr">
        <is>
          <t>Lovekilling</t>
        </is>
      </c>
      <c r="B78" t="n">
        <v>7</v>
      </c>
      <c r="C78" t="n">
        <v>3</v>
      </c>
      <c r="D78" t="n">
        <v>58.3</v>
      </c>
      <c r="E78" t="n">
        <v>42.9</v>
      </c>
      <c r="F78" t="n">
        <v>5</v>
      </c>
      <c r="G78" t="n">
        <v>1</v>
      </c>
      <c r="H78" t="n">
        <v>41.7</v>
      </c>
      <c r="I78" t="n">
        <v>20</v>
      </c>
      <c r="J78" t="n">
        <v>12</v>
      </c>
      <c r="K78" t="n">
        <v>33.3</v>
      </c>
      <c r="L78" t="n">
        <v>22.94979481092797</v>
      </c>
      <c r="M78" t="n">
        <v>7.568218007360674</v>
      </c>
      <c r="N78" t="n">
        <v>789</v>
      </c>
    </row>
    <row r="79">
      <c r="A79" t="inlineStr">
        <is>
          <t>Raf</t>
        </is>
      </c>
      <c r="B79" t="n">
        <v>1</v>
      </c>
      <c r="C79" t="n">
        <v>0</v>
      </c>
      <c r="D79" t="n">
        <v>100</v>
      </c>
      <c r="E79" t="n">
        <v>0</v>
      </c>
      <c r="F79" t="n">
        <v>0</v>
      </c>
      <c r="G79" t="n">
        <v>0</v>
      </c>
      <c r="H79" t="n">
        <v>0</v>
      </c>
      <c r="I79" t="n">
        <v>0</v>
      </c>
      <c r="J79" t="n">
        <v>1</v>
      </c>
      <c r="K79" t="n">
        <v>0</v>
      </c>
      <c r="L79" t="n">
        <v>23.9890037023998</v>
      </c>
      <c r="M79" t="n">
        <v>8.257315078875889</v>
      </c>
      <c r="N79" t="n">
        <v>789</v>
      </c>
    </row>
    <row r="80">
      <c r="A80" t="inlineStr">
        <is>
          <t>Vandyfan</t>
        </is>
      </c>
      <c r="B80" t="n">
        <v>1</v>
      </c>
      <c r="C80" t="n">
        <v>0</v>
      </c>
      <c r="D80" t="n">
        <v>100</v>
      </c>
      <c r="E80" t="n">
        <v>0</v>
      </c>
      <c r="F80" t="n">
        <v>0</v>
      </c>
      <c r="G80" t="n">
        <v>0</v>
      </c>
      <c r="H80" t="n">
        <v>0</v>
      </c>
      <c r="I80" t="n">
        <v>0</v>
      </c>
      <c r="J80" t="n">
        <v>1</v>
      </c>
      <c r="K80" t="n">
        <v>0</v>
      </c>
      <c r="L80" t="n">
        <v>23.85805492461536</v>
      </c>
      <c r="M80" t="n">
        <v>8.24772190406312</v>
      </c>
      <c r="N80" t="n">
        <v>781</v>
      </c>
    </row>
    <row r="81">
      <c r="A81" t="inlineStr">
        <is>
          <t>Matt</t>
        </is>
      </c>
      <c r="B81" t="n">
        <v>2</v>
      </c>
      <c r="C81" t="n">
        <v>0</v>
      </c>
      <c r="D81" t="n">
        <v>100</v>
      </c>
      <c r="E81" t="n">
        <v>0</v>
      </c>
      <c r="F81" t="n">
        <v>0</v>
      </c>
      <c r="G81" t="n">
        <v>0</v>
      </c>
      <c r="H81" t="n">
        <v>0</v>
      </c>
      <c r="I81" t="n">
        <v>0</v>
      </c>
      <c r="J81" t="n">
        <v>2</v>
      </c>
      <c r="K81" t="n">
        <v>0</v>
      </c>
      <c r="L81" t="n">
        <v>23.70327889559178</v>
      </c>
      <c r="M81" t="n">
        <v>8.229996123529469</v>
      </c>
      <c r="N81" t="n">
        <v>772</v>
      </c>
    </row>
    <row r="82">
      <c r="A82" t="inlineStr">
        <is>
          <t>Happymeal</t>
        </is>
      </c>
      <c r="B82" t="n">
        <v>10</v>
      </c>
      <c r="C82" t="n">
        <v>3</v>
      </c>
      <c r="D82" t="n">
        <v>71.40000000000001</v>
      </c>
      <c r="E82" t="n">
        <v>30</v>
      </c>
      <c r="F82" t="n">
        <v>4</v>
      </c>
      <c r="G82" t="n">
        <v>1</v>
      </c>
      <c r="H82" t="n">
        <v>28.6</v>
      </c>
      <c r="I82" t="n">
        <v>25</v>
      </c>
      <c r="J82" t="n">
        <v>14</v>
      </c>
      <c r="K82" t="n">
        <v>28.6</v>
      </c>
      <c r="L82" t="n">
        <v>22.46895198869426</v>
      </c>
      <c r="M82" t="n">
        <v>7.460748561290518</v>
      </c>
      <c r="N82" t="n">
        <v>767</v>
      </c>
    </row>
    <row r="83">
      <c r="A83" t="inlineStr">
        <is>
          <t>Paradox</t>
        </is>
      </c>
      <c r="B83" t="n">
        <v>0</v>
      </c>
      <c r="C83" t="n">
        <v>0</v>
      </c>
      <c r="D83" t="n">
        <v>0</v>
      </c>
      <c r="E83" t="n">
        <v>0</v>
      </c>
      <c r="F83" t="n">
        <v>1</v>
      </c>
      <c r="G83" t="n">
        <v>0</v>
      </c>
      <c r="H83" t="n">
        <v>100</v>
      </c>
      <c r="I83" t="n">
        <v>0</v>
      </c>
      <c r="J83" t="n">
        <v>1</v>
      </c>
      <c r="K83" t="n">
        <v>0</v>
      </c>
      <c r="L83" t="n">
        <v>23.45976999260812</v>
      </c>
      <c r="M83" t="n">
        <v>8.242224431809934</v>
      </c>
      <c r="N83" t="n">
        <v>755</v>
      </c>
    </row>
    <row r="84">
      <c r="A84" t="inlineStr">
        <is>
          <t>Justice</t>
        </is>
      </c>
      <c r="B84" t="n">
        <v>0</v>
      </c>
      <c r="C84" t="n">
        <v>0</v>
      </c>
      <c r="D84" t="n">
        <v>0</v>
      </c>
      <c r="E84" t="n">
        <v>0</v>
      </c>
      <c r="F84" t="n">
        <v>1</v>
      </c>
      <c r="G84" t="n">
        <v>0</v>
      </c>
      <c r="H84" t="n">
        <v>100</v>
      </c>
      <c r="I84" t="n">
        <v>0</v>
      </c>
      <c r="J84" t="n">
        <v>1</v>
      </c>
      <c r="K84" t="n">
        <v>0</v>
      </c>
      <c r="L84" t="n">
        <v>23.39148775181838</v>
      </c>
      <c r="M84" t="n">
        <v>8.253232563552666</v>
      </c>
      <c r="N84" t="n">
        <v>749</v>
      </c>
    </row>
    <row r="85">
      <c r="A85" t="inlineStr">
        <is>
          <t>Brady</t>
        </is>
      </c>
      <c r="B85" t="n">
        <v>1</v>
      </c>
      <c r="C85" t="n">
        <v>0</v>
      </c>
      <c r="D85" t="n">
        <v>50</v>
      </c>
      <c r="E85" t="n">
        <v>0</v>
      </c>
      <c r="F85" t="n">
        <v>1</v>
      </c>
      <c r="G85" t="n">
        <v>0</v>
      </c>
      <c r="H85" t="n">
        <v>50</v>
      </c>
      <c r="I85" t="n">
        <v>0</v>
      </c>
      <c r="J85" t="n">
        <v>2</v>
      </c>
      <c r="K85" t="n">
        <v>0</v>
      </c>
      <c r="L85" t="n">
        <v>23.15381336054987</v>
      </c>
      <c r="M85" t="n">
        <v>8.191921547804206</v>
      </c>
      <c r="N85" t="n">
        <v>739</v>
      </c>
    </row>
    <row r="86">
      <c r="A86" t="inlineStr">
        <is>
          <t>Hunterxp</t>
        </is>
      </c>
      <c r="B86" t="n">
        <v>8</v>
      </c>
      <c r="C86" t="n">
        <v>2</v>
      </c>
      <c r="D86" t="n">
        <v>72.7</v>
      </c>
      <c r="E86" t="n">
        <v>25</v>
      </c>
      <c r="F86" t="n">
        <v>3</v>
      </c>
      <c r="G86" t="n">
        <v>2</v>
      </c>
      <c r="H86" t="n">
        <v>27.3</v>
      </c>
      <c r="I86" t="n">
        <v>66.7</v>
      </c>
      <c r="J86" t="n">
        <v>11</v>
      </c>
      <c r="K86" t="n">
        <v>36.4</v>
      </c>
      <c r="L86" t="n">
        <v>22.10611276628279</v>
      </c>
      <c r="M86" t="n">
        <v>7.631065309264071</v>
      </c>
      <c r="N86" t="n">
        <v>725</v>
      </c>
    </row>
    <row r="87">
      <c r="A87" t="inlineStr">
        <is>
          <t>Kowa</t>
        </is>
      </c>
      <c r="B87" t="n">
        <v>1</v>
      </c>
      <c r="C87" t="n">
        <v>0</v>
      </c>
      <c r="D87" t="n">
        <v>50</v>
      </c>
      <c r="E87" t="n">
        <v>0</v>
      </c>
      <c r="F87" t="n">
        <v>1</v>
      </c>
      <c r="G87" t="n">
        <v>0</v>
      </c>
      <c r="H87" t="n">
        <v>50</v>
      </c>
      <c r="I87" t="n">
        <v>0</v>
      </c>
      <c r="J87" t="n">
        <v>2</v>
      </c>
      <c r="K87" t="n">
        <v>0</v>
      </c>
      <c r="L87" t="n">
        <v>22.86884721601134</v>
      </c>
      <c r="M87" t="n">
        <v>8.195026317999153</v>
      </c>
      <c r="N87" t="n">
        <v>719</v>
      </c>
    </row>
    <row r="88">
      <c r="A88" t="inlineStr">
        <is>
          <t>Antfrost</t>
        </is>
      </c>
      <c r="B88" t="n">
        <v>3</v>
      </c>
      <c r="C88" t="n">
        <v>1</v>
      </c>
      <c r="D88" t="n">
        <v>75</v>
      </c>
      <c r="E88" t="n">
        <v>33.3</v>
      </c>
      <c r="F88" t="n">
        <v>1</v>
      </c>
      <c r="G88" t="n">
        <v>0</v>
      </c>
      <c r="H88" t="n">
        <v>25</v>
      </c>
      <c r="I88" t="n">
        <v>0</v>
      </c>
      <c r="J88" t="n">
        <v>4</v>
      </c>
      <c r="K88" t="n">
        <v>25</v>
      </c>
      <c r="L88" t="n">
        <v>22.57389445057403</v>
      </c>
      <c r="M88" t="n">
        <v>8.043423760562726</v>
      </c>
      <c r="N88" t="n">
        <v>715</v>
      </c>
    </row>
    <row r="89">
      <c r="A89" t="inlineStr">
        <is>
          <t>Aipha</t>
        </is>
      </c>
      <c r="B89" t="n">
        <v>16</v>
      </c>
      <c r="C89" t="n">
        <v>4</v>
      </c>
      <c r="D89" t="n">
        <v>84.2</v>
      </c>
      <c r="E89" t="n">
        <v>25</v>
      </c>
      <c r="F89" t="n">
        <v>3</v>
      </c>
      <c r="G89" t="n">
        <v>2</v>
      </c>
      <c r="H89" t="n">
        <v>15.8</v>
      </c>
      <c r="I89" t="n">
        <v>66.7</v>
      </c>
      <c r="J89" t="n">
        <v>19</v>
      </c>
      <c r="K89" t="n">
        <v>31.6</v>
      </c>
      <c r="L89" t="n">
        <v>21.20560228034291</v>
      </c>
      <c r="M89" t="n">
        <v>7.259817092538651</v>
      </c>
      <c r="N89" t="n">
        <v>701</v>
      </c>
    </row>
    <row r="90">
      <c r="A90" t="inlineStr">
        <is>
          <t>Maz</t>
        </is>
      </c>
      <c r="B90" t="n">
        <v>4</v>
      </c>
      <c r="C90" t="n">
        <v>2</v>
      </c>
      <c r="D90" t="n">
        <v>57.1</v>
      </c>
      <c r="E90" t="n">
        <v>50</v>
      </c>
      <c r="F90" t="n">
        <v>3</v>
      </c>
      <c r="G90" t="n">
        <v>0</v>
      </c>
      <c r="H90" t="n">
        <v>42.9</v>
      </c>
      <c r="I90" t="n">
        <v>0</v>
      </c>
      <c r="J90" t="n">
        <v>7</v>
      </c>
      <c r="K90" t="n">
        <v>28.6</v>
      </c>
      <c r="L90" t="n">
        <v>21.58009669604559</v>
      </c>
      <c r="M90" t="n">
        <v>7.835171335698701</v>
      </c>
      <c r="N90" t="n">
        <v>668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2026-05-21T20:07:02Z</dcterms:created>
  <dcterms:modified xmlns:dcterms="http://purl.org/dc/terms/" xmlns:xsi="http://www.w3.org/2001/XMLSchema-instance" xsi:type="dcterms:W3CDTF">2026-05-21T20:19:38Z</dcterms:modified>
</cp:coreProperties>
</file>