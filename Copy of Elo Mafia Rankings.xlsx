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Stats Summary" sheetId="2" r:id="rId6"/>
    <sheet state="visible" name="MatchRatings" sheetId="3" r:id="rId7"/>
    <sheet state="visible" name="MatchHistory" sheetId="4" r:id="rId8"/>
    <sheet state="visible" name="Season 1 - Stats Summary" sheetId="5" r:id="rId9"/>
    <sheet state="visible" name="Season 1 - MafiaRatings" sheetId="6" r:id="rId10"/>
    <sheet state="visible" name="Season 1 - MatchHistory" sheetId="7" r:id="rId11"/>
    <sheet state="visible" name="Sheet7" sheetId="8" r:id="rId12"/>
  </sheets>
  <definedNames>
    <definedName hidden="1" localSheetId="1" name="Z_2421FC68_A8E1_4E36_8793_BD8E9B3ABDC7_.wvu.FilterData">'Stats Summary'!$A$1:$L$70</definedName>
    <definedName hidden="1" localSheetId="4" name="Z_2421FC68_A8E1_4E36_8793_BD8E9B3ABDC7_.wvu.FilterData">'Season 1 - Stats Summary'!$A$1:$K$98</definedName>
    <definedName hidden="1" localSheetId="1" name="Z_2D682F4A_86B4_46EA_A1E8_C78D83701084_.wvu.FilterData">'Stats Summary'!$A$1:$L$70</definedName>
    <definedName hidden="1" localSheetId="4" name="Z_2D682F4A_86B4_46EA_A1E8_C78D83701084_.wvu.FilterData">'Season 1 - Stats Summary'!$A$1:$K$98</definedName>
  </definedNames>
  <calcPr/>
  <customWorkbookViews>
    <customWorkbookView activeSheetId="0" maximized="1" windowHeight="0" windowWidth="0" guid="{2421FC68-A8E1-4E36-8793-BD8E9B3ABDC7}" name="Town Win %"/>
    <customWorkbookView activeSheetId="0" maximized="1" windowHeight="0" windowWidth="0" guid="{2D682F4A-86B4-46EA-A1E8-C78D83701084}" name="Mafia Win %"/>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Read the FAQ for an explanation of Mu and Sigma
https://pastebin.com/5GUvtZeQ</t>
      </text>
    </comment>
    <comment authorId="0" ref="K1">
      <text>
        <t xml:space="preserve">Read the FAQ for an explanation of Mu and Sigma
https://pastebin.com/5GUvtZeQ</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Read the FAQ for an explanation of Mu and Sigma
https://pastebin.com/5GUvtZeQ</t>
      </text>
    </comment>
    <comment authorId="0" ref="J1">
      <text>
        <t xml:space="preserve">Read the FAQ for an explanation of Mu and Sigma
https://pastebin.com/5GUvtZeQ</t>
      </text>
    </comment>
  </commentList>
</comments>
</file>

<file path=xl/sharedStrings.xml><?xml version="1.0" encoding="utf-8"?>
<sst xmlns="http://schemas.openxmlformats.org/spreadsheetml/2006/main" count="9151" uniqueCount="185">
  <si>
    <t>Welcome to the ELO Mafia Rankings Leaderboard!</t>
  </si>
  <si>
    <r>
      <rPr>
        <rFont val="Arial"/>
        <color theme="1"/>
        <sz val="16.0"/>
      </rPr>
      <t>How to use this sheet:</t>
    </r>
    <r>
      <rPr>
        <rFont val="Arial"/>
        <color theme="1"/>
      </rPr>
      <t xml:space="preserve">
Start with the Stats Summary tab. This will give you your win rates, your 'sigma' and 'mu' (see FAQ) and, most
importantly, your Elo. The FAQ explains how the ratings are calculated, among other things, so if you want to figure
out how to reverse engineer everything head over there to take a look.
The MatchHistory tab shows how your stats are calculated on a game-by-game basis. The MafiaRatings tab is where
we calculate your 'sigma' and 'mu', but probably isn't terribly useful unless you're really interested in getting down into
the fine details.</t>
    </r>
  </si>
  <si>
    <t>FAQ</t>
  </si>
  <si>
    <t>If you find an error, like two rankings for the same player, etc., tell Brown Kow in Discord</t>
  </si>
  <si>
    <t>Name</t>
  </si>
  <si>
    <t>Town Games</t>
  </si>
  <si>
    <t>Town Wins</t>
  </si>
  <si>
    <t>Town Win %</t>
  </si>
  <si>
    <t>Mafia Games</t>
  </si>
  <si>
    <t>Mafia Wins</t>
  </si>
  <si>
    <t>Mafia Win %</t>
  </si>
  <si>
    <t>Total Games</t>
  </si>
  <si>
    <t>Total Win %</t>
  </si>
  <si>
    <t>Mu</t>
  </si>
  <si>
    <t>Sigma</t>
  </si>
  <si>
    <t>Rating</t>
  </si>
  <si>
    <t>Rocker</t>
  </si>
  <si>
    <t>Laur</t>
  </si>
  <si>
    <t>Noah</t>
  </si>
  <si>
    <t>Creatchee</t>
  </si>
  <si>
    <t>Rollo</t>
  </si>
  <si>
    <t>Cyclone</t>
  </si>
  <si>
    <t>Iln</t>
  </si>
  <si>
    <t>Brownkow</t>
  </si>
  <si>
    <t>Chipper</t>
  </si>
  <si>
    <t>Heckmuffins</t>
  </si>
  <si>
    <t>Lou</t>
  </si>
  <si>
    <t>Mintt</t>
  </si>
  <si>
    <t>Chester</t>
  </si>
  <si>
    <t>Carson</t>
  </si>
  <si>
    <t>Matt</t>
  </si>
  <si>
    <t>Streety</t>
  </si>
  <si>
    <t>Whyin</t>
  </si>
  <si>
    <t>Chelsea</t>
  </si>
  <si>
    <t>Gilbert</t>
  </si>
  <si>
    <t>Rick</t>
  </si>
  <si>
    <t>Cj</t>
  </si>
  <si>
    <t>Siggy</t>
  </si>
  <si>
    <t>Badpants</t>
  </si>
  <si>
    <t>Keegan</t>
  </si>
  <si>
    <t>Xcync</t>
  </si>
  <si>
    <t>Kden</t>
  </si>
  <si>
    <t>Strik3r</t>
  </si>
  <si>
    <t>Josh</t>
  </si>
  <si>
    <t>Motr</t>
  </si>
  <si>
    <t>Vincent</t>
  </si>
  <si>
    <t>Svaan</t>
  </si>
  <si>
    <t>Plen</t>
  </si>
  <si>
    <t>Crispy</t>
  </si>
  <si>
    <t>Cody</t>
  </si>
  <si>
    <t>Ken</t>
  </si>
  <si>
    <t>Pinkee</t>
  </si>
  <si>
    <t>Starv</t>
  </si>
  <si>
    <t>Kny</t>
  </si>
  <si>
    <t>striker</t>
  </si>
  <si>
    <t>Boobles</t>
  </si>
  <si>
    <t>Lofty</t>
  </si>
  <si>
    <t>Sylvia</t>
  </si>
  <si>
    <t>Snazz</t>
  </si>
  <si>
    <t>Jake</t>
  </si>
  <si>
    <t>Qe</t>
  </si>
  <si>
    <t>5up</t>
  </si>
  <si>
    <t>Jonas</t>
  </si>
  <si>
    <t>Ryadom</t>
  </si>
  <si>
    <t>Machop</t>
  </si>
  <si>
    <t>Hunter</t>
  </si>
  <si>
    <t>Nick</t>
  </si>
  <si>
    <t>Kwix</t>
  </si>
  <si>
    <t>BK</t>
  </si>
  <si>
    <t>Paradox</t>
  </si>
  <si>
    <t>Siggywiggy</t>
  </si>
  <si>
    <t>Dani</t>
  </si>
  <si>
    <t>Wiggly</t>
  </si>
  <si>
    <t>Sam</t>
  </si>
  <si>
    <t>Jerm</t>
  </si>
  <si>
    <t>Gunny</t>
  </si>
  <si>
    <t>Insomnia</t>
  </si>
  <si>
    <t>Torharo</t>
  </si>
  <si>
    <t>Levi</t>
  </si>
  <si>
    <t>Jared</t>
  </si>
  <si>
    <t>Doublea</t>
  </si>
  <si>
    <t>Dlgn</t>
  </si>
  <si>
    <t>Vandy</t>
  </si>
  <si>
    <t>Aipha</t>
  </si>
  <si>
    <t>Ryan</t>
  </si>
  <si>
    <t>Laura</t>
  </si>
  <si>
    <t>Steep</t>
  </si>
  <si>
    <t>23flash</t>
  </si>
  <si>
    <t>Wyz</t>
  </si>
  <si>
    <t>Coffee</t>
  </si>
  <si>
    <t>Asiansam</t>
  </si>
  <si>
    <t>Heck</t>
  </si>
  <si>
    <t>Vert</t>
  </si>
  <si>
    <t>HeftyDuck</t>
  </si>
  <si>
    <t>Meiwolf</t>
  </si>
  <si>
    <t>Wood</t>
  </si>
  <si>
    <t>Hank</t>
  </si>
  <si>
    <t>Smit</t>
  </si>
  <si>
    <t>MATTHEW</t>
  </si>
  <si>
    <t>Lombax</t>
  </si>
  <si>
    <t>ptb</t>
  </si>
  <si>
    <t>Sunspot</t>
  </si>
  <si>
    <t>Zesta</t>
  </si>
  <si>
    <t>Relm</t>
  </si>
  <si>
    <t>Jan</t>
  </si>
  <si>
    <t>Pie</t>
  </si>
  <si>
    <t>Brystin/Carson</t>
  </si>
  <si>
    <t>BRYSTIN</t>
  </si>
  <si>
    <t>Lovely</t>
  </si>
  <si>
    <t>Daniel</t>
  </si>
  <si>
    <t>Raf</t>
  </si>
  <si>
    <t>Happymeal</t>
  </si>
  <si>
    <t>Wiggles</t>
  </si>
  <si>
    <t>Justice</t>
  </si>
  <si>
    <t>HGSmallz</t>
  </si>
  <si>
    <t>Matt (Decode)</t>
  </si>
  <si>
    <t>Kowa</t>
  </si>
  <si>
    <t>Antfrost</t>
  </si>
  <si>
    <t>Brady</t>
  </si>
  <si>
    <t>TCP</t>
  </si>
  <si>
    <t>Double A</t>
  </si>
  <si>
    <t>Tage</t>
  </si>
  <si>
    <t>Hunterxp</t>
  </si>
  <si>
    <t>Maz</t>
  </si>
  <si>
    <t>Lovekilling</t>
  </si>
  <si>
    <t>mu</t>
  </si>
  <si>
    <t>sigma</t>
  </si>
  <si>
    <t>Player</t>
  </si>
  <si>
    <t>Kango</t>
  </si>
  <si>
    <t>XSYNC</t>
  </si>
  <si>
    <t>Grapefruit</t>
  </si>
  <si>
    <t>Bedpan’s</t>
  </si>
  <si>
    <t>GameID</t>
  </si>
  <si>
    <t>Alignment</t>
  </si>
  <si>
    <t>Result</t>
  </si>
  <si>
    <t>RateChange</t>
  </si>
  <si>
    <t>old_mu</t>
  </si>
  <si>
    <t>new_mu</t>
  </si>
  <si>
    <t>new_sigma</t>
  </si>
  <si>
    <t>old_rating</t>
  </si>
  <si>
    <t>new_rating</t>
  </si>
  <si>
    <t>old_sigma</t>
  </si>
  <si>
    <t>Mafia</t>
  </si>
  <si>
    <t>Win</t>
  </si>
  <si>
    <t>Town</t>
  </si>
  <si>
    <t>Loss</t>
  </si>
  <si>
    <t>Ghost</t>
  </si>
  <si>
    <t/>
  </si>
  <si>
    <t>Night Zero</t>
  </si>
  <si>
    <t>Hydro</t>
  </si>
  <si>
    <t>Kdak</t>
  </si>
  <si>
    <t>Schmittball</t>
  </si>
  <si>
    <t>Striker</t>
  </si>
  <si>
    <t>SamStockton</t>
  </si>
  <si>
    <t>Zangetsu</t>
  </si>
  <si>
    <t>CJ</t>
  </si>
  <si>
    <t>Kaelten</t>
  </si>
  <si>
    <t>Tulsa</t>
  </si>
  <si>
    <t>Shane</t>
  </si>
  <si>
    <t>Morty</t>
  </si>
  <si>
    <t>AsianSam</t>
  </si>
  <si>
    <t>Aro</t>
  </si>
  <si>
    <t>Putinwalk</t>
  </si>
  <si>
    <t>Jojo</t>
  </si>
  <si>
    <t>Duke</t>
  </si>
  <si>
    <t>Younguns</t>
  </si>
  <si>
    <t>Yuzu</t>
  </si>
  <si>
    <t>Drim</t>
  </si>
  <si>
    <t>Emo</t>
  </si>
  <si>
    <t>Tambo</t>
  </si>
  <si>
    <t>Sam A</t>
  </si>
  <si>
    <t>Robin</t>
  </si>
  <si>
    <t>Demon</t>
  </si>
  <si>
    <t>QE</t>
  </si>
  <si>
    <t>Ramza</t>
  </si>
  <si>
    <t>DoubleA</t>
  </si>
  <si>
    <t>Danny</t>
  </si>
  <si>
    <t>Augi</t>
  </si>
  <si>
    <t>Guy</t>
  </si>
  <si>
    <t>Trump</t>
  </si>
  <si>
    <t>Elmo</t>
  </si>
  <si>
    <t>Ghostie</t>
  </si>
  <si>
    <t>Ragsy</t>
  </si>
  <si>
    <t>Chey</t>
  </si>
  <si>
    <t>Pope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</si>
</sst>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color theme="1"/>
      <name val="Arial"/>
      <scheme val="minor"/>
    </font>
    <font>
      <color theme="1"/>
      <name val="Arial"/>
      <scheme val="minor"/>
    </font>
    <font>
      <b/>
      <u/>
      <sz val="32.0"/>
      <color rgb="FF0000FF"/>
    </font>
    <font>
      <color rgb="FFFFFFFF"/>
      <name val="Roboto"/>
    </font>
    <font>
      <color rgb="FF000000"/>
      <name val="Roboto"/>
    </font>
    <font>
      <b/>
      <sz val="11.0"/>
      <color rgb="FF000000"/>
      <name val="Roboto"/>
    </font>
    <font>
      <color rgb="FF000000"/>
      <name val="Arial"/>
      <scheme val="minor"/>
    </font>
    <font>
      <color theme="1"/>
      <name val="Arial"/>
    </font>
    <font>
      <b/>
      <sz val="11.0"/>
      <color theme="1"/>
      <name val="Arial"/>
      <scheme val="minor"/>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17">
    <border/>
    <border>
      <left style="thin">
        <color rgb="FF000000"/>
      </left>
      <right style="thin">
        <color rgb="FF356854"/>
      </right>
      <top style="thin">
        <color rgb="FF000000"/>
      </top>
      <bottom style="thin">
        <color rgb="FF284E3F"/>
      </bottom>
    </border>
    <border>
      <right style="thin">
        <color rgb="FF356854"/>
      </right>
      <top style="thin">
        <color rgb="FF000000"/>
      </top>
      <bottom style="thin">
        <color rgb="FF284E3F"/>
      </bottom>
    </border>
    <border>
      <top style="thin">
        <color rgb="FF000000"/>
      </top>
      <bottom style="thin">
        <color rgb="FF284E3F"/>
      </bottom>
    </border>
    <border>
      <left style="thin">
        <color rgb="FF000000"/>
      </left>
      <right style="thin">
        <color rgb="FF000000"/>
      </right>
      <top style="thin">
        <color rgb="FF000000"/>
      </top>
      <bottom style="thin">
        <color rgb="FF284E3F"/>
      </bottom>
    </border>
    <border>
      <left style="thin">
        <color rgb="FF000000"/>
      </left>
      <right style="thin">
        <color rgb="FFF6F8F9"/>
      </right>
      <bottom style="thin">
        <color rgb="FFF6F8F9"/>
      </bottom>
    </border>
    <border>
      <right style="thin">
        <color rgb="FFFFFFFF"/>
      </right>
      <bottom style="thin">
        <color rgb="FFF6F8F9"/>
      </bottom>
    </border>
    <border>
      <bottom style="thin">
        <color rgb="FFF6F8F9"/>
      </bottom>
    </border>
    <border>
      <left style="thin">
        <color rgb="FF000000"/>
      </left>
      <right style="thin">
        <color rgb="FF000000"/>
      </right>
      <bottom style="thin">
        <color rgb="FFF6F8F9"/>
      </bottom>
    </border>
    <border>
      <left style="thin">
        <color rgb="FF000000"/>
      </left>
      <right style="thin">
        <color rgb="FFFFFFFF"/>
      </right>
      <bottom style="thin">
        <color rgb="FFF6F8F9"/>
      </bottom>
    </border>
    <border>
      <left style="thin">
        <color rgb="FF000000"/>
      </left>
    </border>
    <border>
      <right style="thin">
        <color rgb="FFFFFFFF"/>
      </righ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2" fontId="4" numFmtId="0" xfId="0" applyAlignment="1" applyBorder="1" applyFill="1" applyFont="1">
      <alignment readingOrder="0" shrinkToFit="0" vertical="center" wrapText="0"/>
    </xf>
    <xf borderId="2" fillId="2" fontId="4" numFmtId="0" xfId="0" applyAlignment="1" applyBorder="1" applyFont="1">
      <alignment readingOrder="0" shrinkToFit="0" vertical="center" wrapText="0"/>
    </xf>
    <xf borderId="2" fillId="2" fontId="4" numFmtId="49" xfId="0" applyAlignment="1" applyBorder="1" applyFont="1" applyNumberFormat="1">
      <alignment readingOrder="0" shrinkToFit="0" vertical="center" wrapText="0"/>
    </xf>
    <xf borderId="2" fillId="2" fontId="4" numFmtId="0" xfId="0" applyAlignment="1" applyBorder="1" applyFont="1">
      <alignment readingOrder="0" shrinkToFit="0" vertical="center" wrapText="0"/>
    </xf>
    <xf borderId="3" fillId="2" fontId="4" numFmtId="0" xfId="0" applyAlignment="1" applyBorder="1" applyFont="1">
      <alignment readingOrder="0" shrinkToFit="0" vertical="center" wrapText="0"/>
    </xf>
    <xf borderId="4" fillId="2" fontId="4" numFmtId="0" xfId="0" applyAlignment="1" applyBorder="1" applyFont="1">
      <alignment readingOrder="0" shrinkToFit="0" vertical="center" wrapText="0"/>
    </xf>
    <xf borderId="5" fillId="3" fontId="5" numFmtId="0" xfId="0" applyAlignment="1" applyBorder="1" applyFill="1" applyFont="1">
      <alignment shrinkToFit="0" vertical="center" wrapText="0"/>
    </xf>
    <xf borderId="6" fillId="4" fontId="5" numFmtId="0" xfId="0" applyAlignment="1" applyBorder="1" applyFill="1" applyFont="1">
      <alignment horizontal="right" readingOrder="0" shrinkToFit="0" vertical="center" wrapText="0"/>
    </xf>
    <xf borderId="6" fillId="4" fontId="5" numFmtId="9" xfId="0" applyAlignment="1" applyBorder="1" applyFont="1" applyNumberFormat="1">
      <alignment horizontal="right" readingOrder="0" shrinkToFit="0" vertical="center" wrapText="0"/>
    </xf>
    <xf borderId="6" fillId="4" fontId="5" numFmtId="0" xfId="0" applyAlignment="1" applyBorder="1" applyFont="1">
      <alignment horizontal="right" readingOrder="0" shrinkToFit="0" vertical="center" wrapText="0"/>
    </xf>
    <xf borderId="6" fillId="4" fontId="5" numFmtId="164" xfId="0" applyAlignment="1" applyBorder="1" applyFont="1" applyNumberFormat="1">
      <alignment horizontal="right" readingOrder="0" shrinkToFit="0" vertical="center" wrapText="0"/>
    </xf>
    <xf borderId="7" fillId="4" fontId="5" numFmtId="164" xfId="0" applyAlignment="1" applyBorder="1" applyFont="1" applyNumberFormat="1">
      <alignment horizontal="right" readingOrder="0" shrinkToFit="0" vertical="center" wrapText="0"/>
    </xf>
    <xf borderId="8" fillId="4" fontId="6" numFmtId="0" xfId="0" applyAlignment="1" applyBorder="1" applyFont="1">
      <alignment horizontal="right" readingOrder="0" shrinkToFit="0" vertical="center" wrapText="0"/>
    </xf>
    <xf borderId="9" fillId="3" fontId="5" numFmtId="0" xfId="0" applyAlignment="1" applyBorder="1" applyFont="1">
      <alignment shrinkToFit="0" vertical="center" wrapText="0"/>
    </xf>
    <xf borderId="6" fillId="3" fontId="5" numFmtId="0" xfId="0" applyAlignment="1" applyBorder="1" applyFont="1">
      <alignment horizontal="right" readingOrder="0" shrinkToFit="0" vertical="center" wrapText="0"/>
    </xf>
    <xf borderId="6" fillId="3" fontId="5" numFmtId="9" xfId="0" applyAlignment="1" applyBorder="1" applyFont="1" applyNumberFormat="1">
      <alignment horizontal="right" readingOrder="0" shrinkToFit="0" vertical="center" wrapText="0"/>
    </xf>
    <xf borderId="6" fillId="3" fontId="5" numFmtId="0" xfId="0" applyAlignment="1" applyBorder="1" applyFont="1">
      <alignment horizontal="right" readingOrder="0" shrinkToFit="0" vertical="center" wrapText="0"/>
    </xf>
    <xf borderId="6" fillId="3" fontId="5" numFmtId="164" xfId="0" applyAlignment="1" applyBorder="1" applyFont="1" applyNumberFormat="1">
      <alignment horizontal="right" readingOrder="0" shrinkToFit="0" vertical="center" wrapText="0"/>
    </xf>
    <xf borderId="7" fillId="3" fontId="5" numFmtId="164" xfId="0" applyAlignment="1" applyBorder="1" applyFont="1" applyNumberFormat="1">
      <alignment horizontal="right" readingOrder="0" shrinkToFit="0" vertical="center" wrapText="0"/>
    </xf>
    <xf borderId="5" fillId="4" fontId="5" numFmtId="0" xfId="0" applyAlignment="1" applyBorder="1" applyFont="1">
      <alignment shrinkToFit="0" vertical="center" wrapText="0"/>
    </xf>
    <xf borderId="9" fillId="4" fontId="5" numFmtId="0" xfId="0" applyAlignment="1" applyBorder="1" applyFont="1">
      <alignment shrinkToFit="0" vertical="center" wrapText="0"/>
    </xf>
    <xf borderId="6" fillId="4" fontId="5" numFmtId="0" xfId="0" applyAlignment="1" applyBorder="1" applyFont="1">
      <alignment horizontal="right" shrinkToFit="0" vertical="center" wrapText="0"/>
    </xf>
    <xf borderId="6" fillId="4" fontId="5" numFmtId="9" xfId="0" applyAlignment="1" applyBorder="1" applyFont="1" applyNumberFormat="1">
      <alignment horizontal="right" shrinkToFit="0" vertical="center" wrapText="0"/>
    </xf>
    <xf borderId="6" fillId="4" fontId="5" numFmtId="0" xfId="0" applyAlignment="1" applyBorder="1" applyFont="1">
      <alignment horizontal="right" shrinkToFit="0" vertical="center" wrapText="0"/>
    </xf>
    <xf borderId="6" fillId="4" fontId="5" numFmtId="164" xfId="0" applyAlignment="1" applyBorder="1" applyFont="1" applyNumberFormat="1">
      <alignment horizontal="right" shrinkToFit="0" vertical="center" wrapText="0"/>
    </xf>
    <xf borderId="7" fillId="4" fontId="5" numFmtId="164" xfId="0" applyAlignment="1" applyBorder="1" applyFont="1" applyNumberFormat="1">
      <alignment horizontal="right" shrinkToFit="0" vertical="center" wrapText="0"/>
    </xf>
    <xf borderId="8" fillId="4" fontId="6" numFmtId="0" xfId="0" applyAlignment="1" applyBorder="1" applyFont="1">
      <alignment horizontal="right" shrinkToFit="0" vertical="center" wrapText="0"/>
    </xf>
    <xf borderId="5" fillId="0" fontId="2" numFmtId="0" xfId="0" applyAlignment="1" applyBorder="1" applyFont="1">
      <alignment readingOrder="0" vertical="center"/>
    </xf>
    <xf borderId="6" fillId="0" fontId="2" numFmtId="0" xfId="0" applyAlignment="1" applyBorder="1" applyFont="1">
      <alignment vertical="center"/>
    </xf>
    <xf borderId="6" fillId="0" fontId="2" numFmtId="9" xfId="0" applyAlignment="1" applyBorder="1" applyFont="1" applyNumberFormat="1">
      <alignment vertical="center"/>
    </xf>
    <xf borderId="6" fillId="0" fontId="2" numFmtId="164" xfId="0" applyAlignment="1" applyBorder="1" applyFont="1" applyNumberFormat="1">
      <alignment vertical="center"/>
    </xf>
    <xf borderId="7" fillId="0" fontId="2" numFmtId="164" xfId="0" applyAlignment="1" applyBorder="1" applyFont="1" applyNumberFormat="1">
      <alignment vertical="center"/>
    </xf>
    <xf borderId="8" fillId="0" fontId="1" numFmtId="0" xfId="0" applyAlignment="1" applyBorder="1" applyFont="1">
      <alignment vertical="center"/>
    </xf>
    <xf borderId="9" fillId="0" fontId="2" numFmtId="0" xfId="0" applyAlignment="1" applyBorder="1" applyFont="1">
      <alignment readingOrder="0" vertical="center"/>
    </xf>
    <xf borderId="6" fillId="0" fontId="2" numFmtId="0" xfId="0" applyAlignment="1" applyBorder="1" applyFont="1">
      <alignment readingOrder="0" vertical="center"/>
    </xf>
    <xf borderId="6" fillId="0" fontId="2" numFmtId="0" xfId="0" applyAlignment="1" applyBorder="1" applyFont="1">
      <alignment readingOrder="0" vertical="center"/>
    </xf>
    <xf borderId="6" fillId="0" fontId="2" numFmtId="9" xfId="0" applyAlignment="1" applyBorder="1" applyFont="1" applyNumberFormat="1">
      <alignment readingOrder="0" vertical="center"/>
    </xf>
    <xf borderId="6" fillId="0" fontId="2" numFmtId="164" xfId="0" applyAlignment="1" applyBorder="1" applyFont="1" applyNumberFormat="1">
      <alignment readingOrder="0" vertical="center"/>
    </xf>
    <xf borderId="7" fillId="0" fontId="2" numFmtId="164" xfId="0" applyAlignment="1" applyBorder="1" applyFont="1" applyNumberFormat="1">
      <alignment readingOrder="0" vertical="center"/>
    </xf>
    <xf borderId="5" fillId="0" fontId="7" numFmtId="0" xfId="0" applyAlignment="1" applyBorder="1" applyFont="1">
      <alignment readingOrder="0" vertical="center"/>
    </xf>
    <xf borderId="10" fillId="3" fontId="5" numFmtId="0" xfId="0" applyAlignment="1" applyBorder="1" applyFont="1">
      <alignment shrinkToFit="0" vertical="center" wrapText="0"/>
    </xf>
    <xf borderId="10" fillId="4" fontId="5" numFmtId="0" xfId="0" applyAlignment="1" applyBorder="1" applyFont="1">
      <alignment shrinkToFit="0" vertical="center" wrapText="0"/>
    </xf>
    <xf borderId="10" fillId="0" fontId="2" numFmtId="0" xfId="0" applyAlignment="1" applyBorder="1" applyFont="1">
      <alignment readingOrder="0" vertical="center"/>
    </xf>
    <xf borderId="10" fillId="0" fontId="7" numFmtId="0" xfId="0" applyAlignment="1" applyBorder="1" applyFont="1">
      <alignment readingOrder="0" vertical="center"/>
    </xf>
    <xf borderId="11" fillId="0" fontId="2" numFmtId="0" xfId="0" applyAlignment="1" applyBorder="1" applyFont="1">
      <alignment readingOrder="0" vertical="center"/>
    </xf>
    <xf borderId="11" fillId="0" fontId="2" numFmtId="0" xfId="0" applyAlignment="1" applyBorder="1" applyFont="1">
      <alignment vertical="center"/>
    </xf>
    <xf borderId="11" fillId="0" fontId="2" numFmtId="9" xfId="0" applyAlignment="1" applyBorder="1" applyFont="1" applyNumberFormat="1">
      <alignment vertical="center"/>
    </xf>
    <xf borderId="11" fillId="0" fontId="2" numFmtId="164" xfId="0" applyAlignment="1" applyBorder="1" applyFont="1" applyNumberFormat="1">
      <alignment vertical="center"/>
    </xf>
    <xf borderId="0" fillId="0" fontId="2" numFmtId="164" xfId="0" applyAlignment="1" applyFont="1" applyNumberFormat="1">
      <alignment vertical="center"/>
    </xf>
    <xf borderId="0" fillId="0" fontId="2" numFmtId="0" xfId="0" applyAlignment="1" applyFont="1">
      <alignment vertical="center"/>
    </xf>
    <xf borderId="0" fillId="0" fontId="2" numFmtId="9" xfId="0" applyAlignment="1" applyFont="1" applyNumberFormat="1">
      <alignment vertical="center"/>
    </xf>
    <xf borderId="12" fillId="0" fontId="2" numFmtId="164" xfId="0" applyAlignment="1" applyBorder="1" applyFont="1" applyNumberFormat="1">
      <alignment vertical="center"/>
    </xf>
    <xf borderId="0" fillId="4" fontId="5" numFmtId="0" xfId="0" applyAlignment="1" applyFont="1">
      <alignment horizontal="right" readingOrder="0" shrinkToFit="0" vertical="center" wrapText="0"/>
    </xf>
    <xf borderId="0" fillId="4" fontId="5" numFmtId="9" xfId="0" applyAlignment="1" applyFont="1" applyNumberFormat="1">
      <alignment horizontal="right" readingOrder="0" shrinkToFit="0" vertical="center" wrapText="0"/>
    </xf>
    <xf borderId="0" fillId="4" fontId="5" numFmtId="0" xfId="0" applyAlignment="1" applyFont="1">
      <alignment horizontal="right" readingOrder="0" shrinkToFit="0" vertical="center" wrapText="0"/>
    </xf>
    <xf borderId="0" fillId="4" fontId="5" numFmtId="164" xfId="0" applyAlignment="1" applyFont="1" applyNumberFormat="1">
      <alignment horizontal="right" readingOrder="0" shrinkToFit="0" vertical="center" wrapText="0"/>
    </xf>
    <xf borderId="13" fillId="0" fontId="2" numFmtId="0" xfId="0" applyAlignment="1" applyBorder="1" applyFont="1">
      <alignment readingOrder="0" vertical="center"/>
    </xf>
    <xf borderId="14" fillId="0" fontId="2" numFmtId="0" xfId="0" applyAlignment="1" applyBorder="1" applyFont="1">
      <alignment readingOrder="0" vertical="center"/>
    </xf>
    <xf borderId="14" fillId="0" fontId="2" numFmtId="0" xfId="0" applyAlignment="1" applyBorder="1" applyFont="1">
      <alignment vertical="center"/>
    </xf>
    <xf borderId="14" fillId="0" fontId="2" numFmtId="9" xfId="0" applyAlignment="1" applyBorder="1" applyFont="1" applyNumberFormat="1">
      <alignment vertical="center"/>
    </xf>
    <xf borderId="14" fillId="0" fontId="2" numFmtId="164" xfId="0" applyAlignment="1" applyBorder="1" applyFont="1" applyNumberFormat="1">
      <alignment vertical="center"/>
    </xf>
    <xf borderId="15" fillId="0" fontId="1" numFmtId="0" xfId="0" applyAlignment="1" applyBorder="1" applyFont="1">
      <alignment vertical="center"/>
    </xf>
    <xf borderId="0" fillId="4" fontId="5" numFmtId="0" xfId="0" applyAlignment="1" applyFont="1">
      <alignment horizontal="right" shrinkToFit="0" vertical="center" wrapText="0"/>
    </xf>
    <xf borderId="0" fillId="4" fontId="5" numFmtId="9" xfId="0" applyAlignment="1" applyFont="1" applyNumberFormat="1">
      <alignment horizontal="right" shrinkToFit="0" vertical="center" wrapText="0"/>
    </xf>
    <xf borderId="0" fillId="4" fontId="5" numFmtId="0" xfId="0" applyAlignment="1" applyFont="1">
      <alignment horizontal="right" shrinkToFit="0" vertical="center" wrapText="0"/>
    </xf>
    <xf borderId="0" fillId="4" fontId="5" numFmtId="164" xfId="0" applyAlignment="1" applyFont="1" applyNumberFormat="1">
      <alignment horizontal="right" shrinkToFit="0" vertical="center" wrapText="0"/>
    </xf>
    <xf borderId="16" fillId="4" fontId="6" numFmtId="0" xfId="0" applyAlignment="1" applyBorder="1" applyFont="1">
      <alignment horizontal="right" shrinkToFit="0" vertical="center" wrapText="0"/>
    </xf>
    <xf borderId="16" fillId="0" fontId="1" numFmtId="0" xfId="0" applyAlignment="1" applyBorder="1" applyFont="1">
      <alignment vertical="center"/>
    </xf>
    <xf borderId="0" fillId="0" fontId="2" numFmtId="0" xfId="0" applyAlignment="1" applyFont="1">
      <alignment readingOrder="0" vertical="center"/>
    </xf>
    <xf borderId="13" fillId="0" fontId="7" numFmtId="0" xfId="0" applyAlignment="1" applyBorder="1" applyFont="1">
      <alignment readingOrder="0" vertical="center"/>
    </xf>
    <xf borderId="14" fillId="4" fontId="5" numFmtId="0" xfId="0" applyAlignment="1" applyBorder="1" applyFont="1">
      <alignment horizontal="right" readingOrder="0" shrinkToFit="0" vertical="center" wrapText="0"/>
    </xf>
    <xf borderId="14" fillId="4" fontId="5" numFmtId="9" xfId="0" applyAlignment="1" applyBorder="1" applyFont="1" applyNumberFormat="1">
      <alignment horizontal="right" readingOrder="0" shrinkToFit="0" vertical="center" wrapText="0"/>
    </xf>
    <xf borderId="14" fillId="4" fontId="5" numFmtId="0" xfId="0" applyAlignment="1" applyBorder="1" applyFont="1">
      <alignment horizontal="right" readingOrder="0" shrinkToFit="0" vertical="center" wrapText="0"/>
    </xf>
    <xf borderId="14" fillId="4" fontId="5" numFmtId="164" xfId="0" applyAlignment="1" applyBorder="1" applyFont="1" applyNumberFormat="1">
      <alignment horizontal="right" readingOrder="0" shrinkToFit="0" vertical="center" wrapText="0"/>
    </xf>
    <xf borderId="15" fillId="4" fontId="6" numFmtId="0" xfId="0" applyAlignment="1" applyBorder="1" applyFont="1">
      <alignment horizontal="right" readingOrder="0" shrinkToFit="0" vertical="center" wrapText="0"/>
    </xf>
    <xf borderId="13" fillId="3" fontId="5" numFmtId="0" xfId="0" applyAlignment="1" applyBorder="1" applyFont="1">
      <alignment shrinkToFit="0" vertical="center" wrapText="0"/>
    </xf>
    <xf borderId="14" fillId="4" fontId="5" numFmtId="0" xfId="0" applyAlignment="1" applyBorder="1" applyFont="1">
      <alignment horizontal="right" shrinkToFit="0" vertical="center" wrapText="0"/>
    </xf>
    <xf borderId="14" fillId="4" fontId="5" numFmtId="9" xfId="0" applyAlignment="1" applyBorder="1" applyFont="1" applyNumberFormat="1">
      <alignment horizontal="right" shrinkToFit="0" vertical="center" wrapText="0"/>
    </xf>
    <xf borderId="14" fillId="4" fontId="5" numFmtId="0" xfId="0" applyAlignment="1" applyBorder="1" applyFont="1">
      <alignment horizontal="right" shrinkToFit="0" vertical="center" wrapText="0"/>
    </xf>
    <xf borderId="14" fillId="4" fontId="5" numFmtId="164" xfId="0" applyAlignment="1" applyBorder="1" applyFont="1" applyNumberFormat="1">
      <alignment horizontal="right" shrinkToFit="0" vertical="center" wrapText="0"/>
    </xf>
    <xf borderId="15" fillId="4" fontId="6" numFmtId="0" xfId="0" applyAlignment="1" applyBorder="1" applyFont="1">
      <alignment horizontal="right" shrinkToFit="0" vertical="center" wrapText="0"/>
    </xf>
    <xf borderId="16" fillId="4" fontId="6" numFmtId="0" xfId="0" applyAlignment="1" applyBorder="1" applyFont="1">
      <alignment horizontal="right" readingOrder="0" shrinkToFit="0" vertical="center" wrapText="0"/>
    </xf>
    <xf borderId="10" fillId="3" fontId="5" numFmtId="0" xfId="0" applyAlignment="1" applyBorder="1" applyFont="1">
      <alignment readingOrder="0" shrinkToFit="0" vertical="center" wrapText="0"/>
    </xf>
    <xf borderId="13" fillId="4" fontId="5" numFmtId="0" xfId="0" applyAlignment="1" applyBorder="1" applyFont="1">
      <alignment shrinkToFit="0" vertical="center" wrapText="0"/>
    </xf>
    <xf borderId="0" fillId="0" fontId="2" numFmtId="0" xfId="0" applyFont="1"/>
    <xf borderId="0" fillId="0" fontId="2" numFmtId="164" xfId="0" applyFont="1" applyNumberFormat="1"/>
    <xf borderId="0" fillId="0" fontId="1" numFmtId="0" xfId="0" applyFont="1"/>
    <xf borderId="0" fillId="0" fontId="8" numFmtId="0" xfId="0" applyAlignment="1" applyFont="1">
      <alignment vertical="bottom"/>
    </xf>
    <xf borderId="0" fillId="0" fontId="8" numFmtId="0" xfId="0" applyAlignment="1" applyFont="1">
      <alignment horizontal="right" vertical="bottom"/>
    </xf>
    <xf borderId="0" fillId="0" fontId="8" numFmtId="0" xfId="0" applyAlignment="1" applyFont="1">
      <alignment horizontal="right" readingOrder="0" vertical="bottom"/>
    </xf>
    <xf borderId="0" fillId="0" fontId="8" numFmtId="0" xfId="0" applyAlignment="1" applyFont="1">
      <alignment horizontal="right" readingOrder="0" vertical="bottom"/>
    </xf>
    <xf borderId="0" fillId="0" fontId="8" numFmtId="0" xfId="0" applyAlignment="1" applyFont="1">
      <alignment horizontal="right" vertical="bottom"/>
    </xf>
    <xf borderId="0" fillId="0" fontId="8" numFmtId="0" xfId="0" applyAlignment="1" applyFont="1">
      <alignment readingOrder="0" vertical="bottom"/>
    </xf>
    <xf borderId="0" fillId="0" fontId="2" numFmtId="0" xfId="0" applyAlignment="1" applyFont="1">
      <alignment readingOrder="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9" xfId="0" applyAlignment="1" applyFont="1" applyNumberFormat="1">
      <alignment shrinkToFit="0" vertical="center" wrapText="0"/>
    </xf>
    <xf borderId="0" fillId="0" fontId="2" numFmtId="164" xfId="0" applyAlignment="1" applyFont="1" applyNumberFormat="1">
      <alignment readingOrder="0" shrinkToFit="0" vertical="center" wrapText="0"/>
    </xf>
    <xf borderId="10" fillId="0" fontId="9" numFmtId="0" xfId="0" applyAlignment="1" applyBorder="1" applyFont="1">
      <alignment readingOrder="0" shrinkToFit="0" vertical="center" wrapText="0"/>
    </xf>
    <xf borderId="0" fillId="0" fontId="2" numFmtId="0" xfId="0" applyAlignment="1" applyFont="1">
      <alignment readingOrder="0" shrinkToFit="0" vertical="center" wrapText="0"/>
    </xf>
    <xf borderId="0" fillId="0" fontId="2" numFmtId="9" xfId="0" applyAlignment="1" applyFont="1" applyNumberFormat="1">
      <alignment shrinkToFit="0" vertical="center" wrapText="0"/>
    </xf>
    <xf borderId="0" fillId="0" fontId="8" numFmtId="0" xfId="0" applyAlignment="1" applyFont="1">
      <alignment vertical="bottom"/>
    </xf>
  </cellXfs>
  <cellStyles count="1">
    <cellStyle xfId="0" name="Normal" builtinId="0"/>
  </cellStyles>
  <dxfs count="7">
    <dxf>
      <font/>
      <fill>
        <patternFill patternType="none"/>
      </fill>
      <border/>
    </dxf>
    <dxf>
      <font/>
      <fill>
        <patternFill patternType="solid">
          <fgColor rgb="FF356853"/>
          <bgColor rgb="FF356853"/>
        </patternFill>
      </fill>
      <border/>
    </dxf>
    <dxf>
      <font/>
      <fill>
        <patternFill patternType="solid">
          <fgColor rgb="FFFFFFFF"/>
          <bgColor rgb="FFFFFFFF"/>
        </patternFill>
      </fill>
      <border/>
    </dxf>
    <dxf>
      <font/>
      <fill>
        <patternFill patternType="solid">
          <fgColor rgb="FFF6F8F8"/>
          <bgColor rgb="FFF6F8F8"/>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3" pivot="0" name="Stats Summary-style">
      <tableStyleElement dxfId="1" type="headerRow"/>
      <tableStyleElement dxfId="2" type="firstRowStripe"/>
      <tableStyleElement dxfId="3" type="secondRowStripe"/>
    </tableStyle>
    <tableStyle count="4" pivot="0" name="Season 1 - Stats Summary-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10" displayName="Table_1" name="Table_1" id="1">
  <tableColumns count="12">
    <tableColumn name="Name" id="1"/>
    <tableColumn name="Town Games" id="2"/>
    <tableColumn name="Town Wins" id="3"/>
    <tableColumn name="Town Win %" id="4"/>
    <tableColumn name="Mafia Games" id="5"/>
    <tableColumn name="Mafia Wins" id="6"/>
    <tableColumn name="Mafia Win %" id="7"/>
    <tableColumn name="Total Games" id="8"/>
    <tableColumn name="Total Win %" id="9"/>
    <tableColumn name="Mu" id="10"/>
    <tableColumn name="Sigma" id="11"/>
    <tableColumn name="Rating" id="12"/>
  </tableColumns>
  <tableStyleInfo name="Stats Summary-style" showColumnStripes="0" showFirstColumn="1" showLastColumn="1" showRowStripes="1"/>
</table>
</file>

<file path=xl/tables/table2.xml><?xml version="1.0" encoding="utf-8"?>
<table xmlns="http://schemas.openxmlformats.org/spreadsheetml/2006/main" ref="A1:K98" displayName="Win_Rates" name="Win_Rates" id="2">
  <tableColumns count="11">
    <tableColumn name="Name" id="1"/>
    <tableColumn name="Town Games" id="2"/>
    <tableColumn name="Town Wins" id="3"/>
    <tableColumn name="Town Win %" id="4"/>
    <tableColumn name="Mafia Games" id="5"/>
    <tableColumn name="Mafia Wins" id="6"/>
    <tableColumn name="Mafia Win %" id="7"/>
    <tableColumn name="Total Win %" id="8"/>
    <tableColumn name="Mu" id="9"/>
    <tableColumn name="Sigma" id="10"/>
    <tableColumn name="Rating" id="11"/>
  </tableColumns>
  <tableStyleInfo name="Season 1 - Stats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stebin.com/5GUvtZeQ"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2" t="s">
        <v>1</v>
      </c>
    </row>
    <row r="12">
      <c r="A12" s="3" t="s">
        <v>2</v>
      </c>
    </row>
    <row r="19">
      <c r="A19" s="2" t="s">
        <v>3</v>
      </c>
    </row>
  </sheetData>
  <mergeCells count="2">
    <mergeCell ref="A3:G10"/>
    <mergeCell ref="A12:A14"/>
  </mergeCells>
  <hyperlinks>
    <hyperlink r:id="rId1" ref="A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88"/>
    <col customWidth="1" min="2" max="2" width="15.25"/>
    <col customWidth="1" min="3" max="3" width="13.63"/>
    <col customWidth="1" min="4" max="4" width="14.38"/>
    <col customWidth="1" min="5" max="5" width="15.38"/>
    <col customWidth="1" min="6" max="6" width="13.75"/>
    <col customWidth="1" min="7" max="7" width="14.5"/>
    <col customWidth="1" min="8" max="9" width="14.13"/>
  </cols>
  <sheetData>
    <row r="1">
      <c r="A1" s="4" t="s">
        <v>4</v>
      </c>
      <c r="B1" s="5" t="s">
        <v>5</v>
      </c>
      <c r="C1" s="5" t="s">
        <v>6</v>
      </c>
      <c r="D1" s="5" t="s">
        <v>7</v>
      </c>
      <c r="E1" s="6" t="s">
        <v>8</v>
      </c>
      <c r="F1" s="5" t="s">
        <v>9</v>
      </c>
      <c r="G1" s="5" t="s">
        <v>10</v>
      </c>
      <c r="H1" s="7" t="s">
        <v>11</v>
      </c>
      <c r="I1" s="7" t="s">
        <v>12</v>
      </c>
      <c r="J1" s="7" t="s">
        <v>13</v>
      </c>
      <c r="K1" s="8" t="s">
        <v>14</v>
      </c>
      <c r="L1" s="9" t="s">
        <v>15</v>
      </c>
    </row>
    <row r="2">
      <c r="A2" s="10" t="s">
        <v>16</v>
      </c>
      <c r="B2" s="11">
        <f>COUNTIFS(MatchHistory!$B:$B, $A2, MatchHistory!$C:$C, "Town")</f>
        <v>68</v>
      </c>
      <c r="C2" s="11">
        <f>COUNTIFS(MatchHistory!B:B, A2, MatchHistory!C:C, "Town", MatchHistory!D:D, "Win")</f>
        <v>31</v>
      </c>
      <c r="D2" s="12">
        <f>IFERROR(__xludf.DUMMYFUNCTION("IF(EQ($B2, 0), TO_PERCENT(0), TO_PERCENT($C2/$B2))"),0.45588235294117646)</f>
        <v>0.4558823529</v>
      </c>
      <c r="E2" s="11">
        <f>COUNTIFS(MatchHistory!$B:$B, $A2, MatchHistory!$C:$C, "Mafia")</f>
        <v>22</v>
      </c>
      <c r="F2" s="11">
        <f>COUNTIFS(MatchHistory!$B:$B, $A2, MatchHistory!$C:$C, "Mafia", MatchHistory!$D:$D, "Win")</f>
        <v>16</v>
      </c>
      <c r="G2" s="12">
        <f>IFERROR(__xludf.DUMMYFUNCTION("TO_PERCENT(IFERROR($F2/$E2, 0))"),0.7272727272727273)</f>
        <v>0.7272727273</v>
      </c>
      <c r="H2" s="13">
        <f t="shared" ref="H2:H110" si="1">SUM(E2, B2)</f>
        <v>90</v>
      </c>
      <c r="I2" s="12">
        <f>IFERROR(__xludf.DUMMYFUNCTION("TO_PERCENT(IFERROR(($F2+$C2)/($E2+$B2), 0))"),0.5222222222222223)</f>
        <v>0.5222222222</v>
      </c>
      <c r="J2" s="14">
        <f t="array" ref="J2">INDEX(MatchHistory!$G:$G,MATCH(1,(MatchHistory!$B:$B=$A2)*(MatchHistory!$G:$G&lt;&gt;""),0))</f>
        <v>36.73648753</v>
      </c>
      <c r="K2" s="15">
        <f t="array" ref="K2">INDEX(MatchHistory!$H:$H,MATCH(1,(MatchHistory!$B:$B=$A2)*(MatchHistory!$H:$H&lt;&gt;""),0))</f>
        <v>5.319458459</v>
      </c>
      <c r="L2" s="16">
        <f t="array" ref="L2">INDEX(MatchHistory!$J:$J,MATCH(1,(MatchHistory!$B:$B=$A2)*(MatchHistory!$J:$J&lt;&gt;""),0))</f>
        <v>1955</v>
      </c>
    </row>
    <row r="3">
      <c r="A3" s="17" t="s">
        <v>17</v>
      </c>
      <c r="B3" s="18">
        <f>COUNTIFS(MatchHistory!$B:$B, $A3, MatchHistory!$C:$C, "Town")</f>
        <v>48</v>
      </c>
      <c r="C3" s="18">
        <f>COUNTIFS(MatchHistory!B:B, A3, MatchHistory!C:C, "Town", MatchHistory!D:D, "Win")</f>
        <v>23</v>
      </c>
      <c r="D3" s="19">
        <f>IFERROR(__xludf.DUMMYFUNCTION("IF(EQ($B3, 0), TO_PERCENT(0), TO_PERCENT($C3/$B3))"),0.4791666666666667)</f>
        <v>0.4791666667</v>
      </c>
      <c r="E3" s="18">
        <f>COUNTIFS(MatchHistory!$B:$B, $A3, MatchHistory!$C:$C, "Mafia")</f>
        <v>11</v>
      </c>
      <c r="F3" s="18">
        <f>COUNTIFS(MatchHistory!$B:$B, $A3, MatchHistory!$C:$C, "Mafia", MatchHistory!$D:$D, "Win")</f>
        <v>8</v>
      </c>
      <c r="G3" s="19">
        <f>IFERROR(__xludf.DUMMYFUNCTION("TO_PERCENT(IFERROR($F3/$E3, 0))"),0.7272727272727273)</f>
        <v>0.7272727273</v>
      </c>
      <c r="H3" s="20">
        <f t="shared" si="1"/>
        <v>59</v>
      </c>
      <c r="I3" s="19">
        <f>IFERROR(__xludf.DUMMYFUNCTION("TO_PERCENT(IFERROR(($F3+$C3)/($E3+$B3), 0))"),0.5254237288135594)</f>
        <v>0.5254237288</v>
      </c>
      <c r="J3" s="21">
        <f t="array" ref="J3">INDEX(MatchHistory!$G:$G,MATCH(1,(MatchHistory!$B:$B=$A3)*(MatchHistory!$G:$G&lt;&gt;""),0))</f>
        <v>35.47676447</v>
      </c>
      <c r="K3" s="22">
        <f t="array" ref="K3">INDEX(MatchHistory!$H:$H,MATCH(1,(MatchHistory!$B:$B=$A3)*(MatchHistory!$H:$H&lt;&gt;""),0))</f>
        <v>5.819379061</v>
      </c>
      <c r="L3" s="16">
        <f t="array" ref="L3">INDEX(MatchHistory!$J:$J,MATCH(1,(MatchHistory!$B:$B=$A3)*(MatchHistory!$J:$J&lt;&gt;""),0))</f>
        <v>1819</v>
      </c>
    </row>
    <row r="4">
      <c r="A4" s="23" t="s">
        <v>18</v>
      </c>
      <c r="B4" s="11">
        <f>COUNTIFS(MatchHistory!$B:$B, $A4, MatchHistory!$C:$C, "Town")</f>
        <v>41</v>
      </c>
      <c r="C4" s="11">
        <f>COUNTIFS(MatchHistory!B:B, A4, MatchHistory!C:C, "Town", MatchHistory!D:D, "Win")</f>
        <v>19</v>
      </c>
      <c r="D4" s="12">
        <f>IFERROR(__xludf.DUMMYFUNCTION("IF(EQ($B4, 0), TO_PERCENT(0), TO_PERCENT($C4/$B4))"),0.4634146341463415)</f>
        <v>0.4634146341</v>
      </c>
      <c r="E4" s="11">
        <f>COUNTIFS(MatchHistory!$B:$B, $A4, MatchHistory!$C:$C, "Mafia")</f>
        <v>16</v>
      </c>
      <c r="F4" s="11">
        <f>COUNTIFS(MatchHistory!$B:$B, $A4, MatchHistory!$C:$C, "Mafia", MatchHistory!$D:$D, "Win")</f>
        <v>10</v>
      </c>
      <c r="G4" s="12">
        <f>IFERROR(__xludf.DUMMYFUNCTION("TO_PERCENT(IFERROR($F4/$E4, 0))"),0.625)</f>
        <v>0.625</v>
      </c>
      <c r="H4" s="13">
        <f t="shared" si="1"/>
        <v>57</v>
      </c>
      <c r="I4" s="12">
        <f>IFERROR(__xludf.DUMMYFUNCTION("TO_PERCENT(IFERROR(($F4+$C4)/($E4+$B4), 0))"),0.5087719298245614)</f>
        <v>0.5087719298</v>
      </c>
      <c r="J4" s="14">
        <f t="array" ref="J4">INDEX(MatchHistory!$G:$G,MATCH(1,(MatchHistory!$B:$B=$A4)*(MatchHistory!$G:$G&lt;&gt;""),0))</f>
        <v>34.73979021</v>
      </c>
      <c r="K4" s="15">
        <f t="array" ref="K4">INDEX(MatchHistory!$H:$H,MATCH(1,(MatchHistory!$B:$B=$A4)*(MatchHistory!$H:$H&lt;&gt;""),0))</f>
        <v>5.982032279</v>
      </c>
      <c r="L4" s="16">
        <f t="array" ref="L4">INDEX(MatchHistory!$J:$J,MATCH(1,(MatchHistory!$B:$B=$A4)*(MatchHistory!$J:$J&lt;&gt;""),0))</f>
        <v>1752</v>
      </c>
    </row>
    <row r="5">
      <c r="A5" s="24" t="s">
        <v>19</v>
      </c>
      <c r="B5" s="25">
        <f>COUNTIFS(MatchHistory!$B:$B, $A5, MatchHistory!$C:$C, "Town")</f>
        <v>21</v>
      </c>
      <c r="C5" s="25">
        <f>COUNTIFS(MatchHistory!B:B, A5, MatchHistory!C:C, "Town", MatchHistory!D:D, "Win")</f>
        <v>15</v>
      </c>
      <c r="D5" s="26">
        <f>IFERROR(__xludf.DUMMYFUNCTION("IF(EQ($B5, 0), TO_PERCENT(0), TO_PERCENT($C5/$B5))"),0.7142857142857143)</f>
        <v>0.7142857143</v>
      </c>
      <c r="E5" s="25">
        <f>COUNTIFS(MatchHistory!$B:$B, $A5, MatchHistory!$C:$C, "Mafia")</f>
        <v>3</v>
      </c>
      <c r="F5" s="25">
        <f>COUNTIFS(MatchHistory!$B:$B, $A5, MatchHistory!$C:$C, "Mafia", MatchHistory!$D:$D, "Win")</f>
        <v>2</v>
      </c>
      <c r="G5" s="26">
        <f>IFERROR(__xludf.DUMMYFUNCTION("TO_PERCENT(IFERROR($F5/$E5, 0))"),0.6666666666666666)</f>
        <v>0.6666666667</v>
      </c>
      <c r="H5" s="27">
        <f t="shared" si="1"/>
        <v>24</v>
      </c>
      <c r="I5" s="26">
        <f>IFERROR(__xludf.DUMMYFUNCTION("TO_PERCENT(IFERROR(($F5+$C5)/($E5+$B5), 0))"),0.7083333333333334)</f>
        <v>0.7083333333</v>
      </c>
      <c r="J5" s="28">
        <f t="array" ref="J5">INDEX(MatchHistory!$G:$G,MATCH(1,(MatchHistory!$B:$B=$A5)*(MatchHistory!$G:$G&lt;&gt;""),0))</f>
        <v>36.31327907</v>
      </c>
      <c r="K5" s="29">
        <f t="array" ref="K5">INDEX(MatchHistory!$H:$H,MATCH(1,(MatchHistory!$B:$B=$A5)*(MatchHistory!$H:$H&lt;&gt;""),0))</f>
        <v>7.162372675</v>
      </c>
      <c r="L5" s="30">
        <f t="array" ref="L5">INDEX(MatchHistory!$J:$J,MATCH(1,(MatchHistory!$B:$B=$A5)*(MatchHistory!$J:$J&lt;&gt;""),0))</f>
        <v>1739</v>
      </c>
    </row>
    <row r="6">
      <c r="A6" s="10" t="s">
        <v>20</v>
      </c>
      <c r="B6" s="25">
        <f>COUNTIFS(MatchHistory!$B:$B, $A6, MatchHistory!$C:$C, "Town")</f>
        <v>23</v>
      </c>
      <c r="C6" s="25">
        <f>COUNTIFS(MatchHistory!B:B, A6, MatchHistory!C:C, "Town", MatchHistory!D:D, "Win")</f>
        <v>16</v>
      </c>
      <c r="D6" s="26">
        <f>IFERROR(__xludf.DUMMYFUNCTION("IF(EQ($B6, 0), TO_PERCENT(0), TO_PERCENT($C6/$B6))"),0.6956521739130435)</f>
        <v>0.6956521739</v>
      </c>
      <c r="E6" s="25">
        <f>COUNTIFS(MatchHistory!$B:$B, $A6, MatchHistory!$C:$C, "Mafia")</f>
        <v>9</v>
      </c>
      <c r="F6" s="25">
        <f>COUNTIFS(MatchHistory!$B:$B, $A6, MatchHistory!$C:$C, "Mafia", MatchHistory!$D:$D, "Win")</f>
        <v>4</v>
      </c>
      <c r="G6" s="26">
        <f>IFERROR(__xludf.DUMMYFUNCTION("TO_PERCENT(IFERROR($F6/$E6, 0))"),0.4444444444444444)</f>
        <v>0.4444444444</v>
      </c>
      <c r="H6" s="27">
        <f t="shared" si="1"/>
        <v>32</v>
      </c>
      <c r="I6" s="26">
        <f>IFERROR(__xludf.DUMMYFUNCTION("TO_PERCENT(IFERROR(($F6+$C6)/($E6+$B6), 0))"),0.625)</f>
        <v>0.625</v>
      </c>
      <c r="J6" s="28">
        <f t="array" ref="J6">INDEX(MatchHistory!$G:$G,MATCH(1,(MatchHistory!$B:$B=$A6)*(MatchHistory!$G:$G&lt;&gt;""),0))</f>
        <v>35.16079083</v>
      </c>
      <c r="K6" s="29">
        <f t="array" ref="K6">INDEX(MatchHistory!$H:$H,MATCH(1,(MatchHistory!$B:$B=$A6)*(MatchHistory!$H:$H&lt;&gt;""),0))</f>
        <v>6.772129601</v>
      </c>
      <c r="L6" s="30">
        <f t="array" ref="L6">INDEX(MatchHistory!$J:$J,MATCH(1,(MatchHistory!$B:$B=$A6)*(MatchHistory!$J:$J&lt;&gt;""),0))</f>
        <v>1700</v>
      </c>
    </row>
    <row r="7">
      <c r="A7" s="24" t="s">
        <v>21</v>
      </c>
      <c r="B7" s="11">
        <f>COUNTIFS(MatchHistory!$B:$B, $A7, MatchHistory!$C:$C, "Town")</f>
        <v>26</v>
      </c>
      <c r="C7" s="11">
        <f>COUNTIFS(MatchHistory!B:B, A7, MatchHistory!C:C, "Town", MatchHistory!D:D, "Win")</f>
        <v>11</v>
      </c>
      <c r="D7" s="12">
        <f>IFERROR(__xludf.DUMMYFUNCTION("IF(EQ($B7, 0), TO_PERCENT(0), TO_PERCENT($C7/$B7))"),0.4230769230769231)</f>
        <v>0.4230769231</v>
      </c>
      <c r="E7" s="11">
        <f>COUNTIFS(MatchHistory!$B:$B, $A7, MatchHistory!$C:$C, "Mafia")</f>
        <v>8</v>
      </c>
      <c r="F7" s="11">
        <f>COUNTIFS(MatchHistory!$B:$B, $A7, MatchHistory!$C:$C, "Mafia", MatchHistory!$D:$D, "Win")</f>
        <v>7</v>
      </c>
      <c r="G7" s="12">
        <f>IFERROR(__xludf.DUMMYFUNCTION("TO_PERCENT(IFERROR($F7/$E7, 0))"),0.875)</f>
        <v>0.875</v>
      </c>
      <c r="H7" s="13">
        <f t="shared" si="1"/>
        <v>34</v>
      </c>
      <c r="I7" s="12">
        <f>IFERROR(__xludf.DUMMYFUNCTION("TO_PERCENT(IFERROR(($F7+$C7)/($E7+$B7), 0))"),0.5294117647058824)</f>
        <v>0.5294117647</v>
      </c>
      <c r="J7" s="14">
        <f t="array" ref="J7">INDEX(MatchHistory!$G:$G,MATCH(1,(MatchHistory!$B:$B=$A7)*(MatchHistory!$G:$G&lt;&gt;""),0))</f>
        <v>33.99674663</v>
      </c>
      <c r="K7" s="15">
        <f t="array" ref="K7">INDEX(MatchHistory!$H:$H,MATCH(1,(MatchHistory!$B:$B=$A7)*(MatchHistory!$H:$H&lt;&gt;""),0))</f>
        <v>6.675205091</v>
      </c>
      <c r="L7" s="16">
        <f t="array" ref="L7">INDEX(MatchHistory!$J:$J,MATCH(1,(MatchHistory!$B:$B=$A7)*(MatchHistory!$J:$J&lt;&gt;""),0))</f>
        <v>1631</v>
      </c>
    </row>
    <row r="8">
      <c r="A8" s="23" t="s">
        <v>22</v>
      </c>
      <c r="B8" s="11">
        <f>COUNTIFS(MatchHistory!$B:$B, $A8, MatchHistory!$C:$C, "Town")</f>
        <v>69</v>
      </c>
      <c r="C8" s="11">
        <f>COUNTIFS(MatchHistory!B:B, A8, MatchHistory!C:C, "Town", MatchHistory!D:D, "Win")</f>
        <v>28</v>
      </c>
      <c r="D8" s="12">
        <f>IFERROR(__xludf.DUMMYFUNCTION("IF(EQ($B8, 0), TO_PERCENT(0), TO_PERCENT($C8/$B8))"),0.4057971014492754)</f>
        <v>0.4057971014</v>
      </c>
      <c r="E8" s="11">
        <f>COUNTIFS(MatchHistory!$B:$B, $A8, MatchHistory!$C:$C, "Mafia")</f>
        <v>18</v>
      </c>
      <c r="F8" s="11">
        <f>COUNTIFS(MatchHistory!$B:$B, $A8, MatchHistory!$C:$C, "Mafia", MatchHistory!$D:$D, "Win")</f>
        <v>12</v>
      </c>
      <c r="G8" s="12">
        <f>IFERROR(__xludf.DUMMYFUNCTION("TO_PERCENT(IFERROR($F8/$E8, 0))"),0.6666666666666666)</f>
        <v>0.6666666667</v>
      </c>
      <c r="H8" s="13">
        <f t="shared" si="1"/>
        <v>87</v>
      </c>
      <c r="I8" s="12">
        <f>IFERROR(__xludf.DUMMYFUNCTION("TO_PERCENT(IFERROR(($F8+$C8)/($E8+$B8), 0))"),0.45977011494252873)</f>
        <v>0.4597701149</v>
      </c>
      <c r="J8" s="14">
        <f t="array" ref="J8">INDEX(MatchHistory!$G:$G,MATCH(1,(MatchHistory!$B:$B=$A8)*(MatchHistory!$G:$G&lt;&gt;""),0))</f>
        <v>31.81679728</v>
      </c>
      <c r="K8" s="15">
        <f t="array" ref="K8">INDEX(MatchHistory!$H:$H,MATCH(1,(MatchHistory!$B:$B=$A8)*(MatchHistory!$H:$H&lt;&gt;""),0))</f>
        <v>5.23890604</v>
      </c>
      <c r="L8" s="16">
        <f t="array" ref="L8">INDEX(MatchHistory!$J:$J,MATCH(1,(MatchHistory!$B:$B=$A8)*(MatchHistory!$J:$J&lt;&gt;""),0))</f>
        <v>1629</v>
      </c>
    </row>
    <row r="9">
      <c r="A9" s="24" t="s">
        <v>23</v>
      </c>
      <c r="B9" s="11">
        <f>COUNTIFS(MatchHistory!$B:$B, $A9, MatchHistory!$C:$C, "Town")</f>
        <v>62</v>
      </c>
      <c r="C9" s="11">
        <f>COUNTIFS(MatchHistory!B:B, A9, MatchHistory!C:C, "Town", MatchHistory!D:D, "Win")</f>
        <v>30</v>
      </c>
      <c r="D9" s="12">
        <f>IFERROR(__xludf.DUMMYFUNCTION("IF(EQ($B9, 0), TO_PERCENT(0), TO_PERCENT($C9/$B9))"),0.4838709677419355)</f>
        <v>0.4838709677</v>
      </c>
      <c r="E9" s="11">
        <f>COUNTIFS(MatchHistory!$B:$B, $A9, MatchHistory!$C:$C, "Mafia")</f>
        <v>22</v>
      </c>
      <c r="F9" s="11">
        <f>COUNTIFS(MatchHistory!$B:$B, $A9, MatchHistory!$C:$C, "Mafia", MatchHistory!$D:$D, "Win")</f>
        <v>12</v>
      </c>
      <c r="G9" s="12">
        <f>IFERROR(__xludf.DUMMYFUNCTION("TO_PERCENT(IFERROR($F9/$E9, 0))"),0.5454545454545454)</f>
        <v>0.5454545455</v>
      </c>
      <c r="H9" s="13">
        <f t="shared" si="1"/>
        <v>84</v>
      </c>
      <c r="I9" s="12">
        <f>IFERROR(__xludf.DUMMYFUNCTION("TO_PERCENT(IFERROR(($F9+$C9)/($E9+$B9), 0))"),0.5)</f>
        <v>0.5</v>
      </c>
      <c r="J9" s="14">
        <f t="array" ref="J9">INDEX(MatchHistory!$G:$G,MATCH(1,(MatchHistory!$B:$B=$A9)*(MatchHistory!$G:$G&lt;&gt;""),0))</f>
        <v>31.36346943</v>
      </c>
      <c r="K9" s="15">
        <f t="array" ref="K9">INDEX(MatchHistory!$H:$H,MATCH(1,(MatchHistory!$B:$B=$A9)*(MatchHistory!$H:$H&lt;&gt;""),0))</f>
        <v>5.360451495</v>
      </c>
      <c r="L9" s="16">
        <f t="array" ref="L9">INDEX(MatchHistory!$J:$J,MATCH(1,(MatchHistory!$B:$B=$A9)*(MatchHistory!$J:$J&lt;&gt;""),0))</f>
        <v>1586</v>
      </c>
    </row>
    <row r="10">
      <c r="A10" s="10" t="s">
        <v>24</v>
      </c>
      <c r="B10" s="11">
        <f>COUNTIFS(MatchHistory!$B:$B, $A10, MatchHistory!$C:$C, "Town")</f>
        <v>46</v>
      </c>
      <c r="C10" s="11">
        <f>COUNTIFS(MatchHistory!B:B, A10, MatchHistory!C:C, "Town", MatchHistory!D:D, "Win")</f>
        <v>18</v>
      </c>
      <c r="D10" s="12">
        <f>IFERROR(__xludf.DUMMYFUNCTION("IF(EQ($B10, 0), TO_PERCENT(0), TO_PERCENT($C10/$B10))"),0.391304347826087)</f>
        <v>0.3913043478</v>
      </c>
      <c r="E10" s="11">
        <f>COUNTIFS(MatchHistory!$B:$B, $A10, MatchHistory!$C:$C, "Mafia")</f>
        <v>18</v>
      </c>
      <c r="F10" s="11">
        <f>COUNTIFS(MatchHistory!$B:$B, $A10, MatchHistory!$C:$C, "Mafia", MatchHistory!$D:$D, "Win")</f>
        <v>12</v>
      </c>
      <c r="G10" s="12">
        <f>IFERROR(__xludf.DUMMYFUNCTION("TO_PERCENT(IFERROR($F10/$E10, 0))"),0.6666666666666666)</f>
        <v>0.6666666667</v>
      </c>
      <c r="H10" s="13">
        <f t="shared" si="1"/>
        <v>64</v>
      </c>
      <c r="I10" s="12">
        <f>IFERROR(__xludf.DUMMYFUNCTION("TO_PERCENT(IFERROR(($F10+$C10)/($E10+$B10), 0))"),0.46875)</f>
        <v>0.46875</v>
      </c>
      <c r="J10" s="14">
        <f t="array" ref="J10">INDEX(MatchHistory!$G:$G,MATCH(1,(MatchHistory!$B:$B=$A10)*(MatchHistory!$G:$G&lt;&gt;""),0))</f>
        <v>31.98069769</v>
      </c>
      <c r="K10" s="15">
        <f t="array" ref="K10">INDEX(MatchHistory!$H:$H,MATCH(1,(MatchHistory!$B:$B=$A10)*(MatchHistory!$H:$H&lt;&gt;""),0))</f>
        <v>5.814937736</v>
      </c>
      <c r="L10" s="16">
        <f t="array" ref="L10">INDEX(MatchHistory!$J:$J,MATCH(1,(MatchHistory!$B:$B=$A10)*(MatchHistory!$J:$J&lt;&gt;""),0))</f>
        <v>1582</v>
      </c>
    </row>
    <row r="11">
      <c r="A11" s="24" t="s">
        <v>25</v>
      </c>
      <c r="B11" s="11">
        <f>COUNTIFS(MatchHistory!$B:$B, $A11, MatchHistory!$C:$C, "Town")</f>
        <v>7</v>
      </c>
      <c r="C11" s="11">
        <f>COUNTIFS(MatchHistory!B:B, A11, MatchHistory!C:C, "Town", MatchHistory!D:D, "Win")</f>
        <v>5</v>
      </c>
      <c r="D11" s="12">
        <f>IFERROR(__xludf.DUMMYFUNCTION("IF(EQ($B11, 0), TO_PERCENT(0), TO_PERCENT($C11/$B11))"),0.7142857142857143)</f>
        <v>0.7142857143</v>
      </c>
      <c r="E11" s="11">
        <f>COUNTIFS(MatchHistory!$B:$B, $A11, MatchHistory!$C:$C, "Mafia")</f>
        <v>0</v>
      </c>
      <c r="F11" s="11">
        <f>COUNTIFS(MatchHistory!$B:$B, $A11, MatchHistory!$C:$C, "Mafia", MatchHistory!$D:$D, "Win")</f>
        <v>0</v>
      </c>
      <c r="G11" s="12">
        <f>IFERROR(__xludf.DUMMYFUNCTION("TO_PERCENT(IFERROR($F11/$E11, 0))"),0.0)</f>
        <v>0</v>
      </c>
      <c r="H11" s="13">
        <f t="shared" si="1"/>
        <v>7</v>
      </c>
      <c r="I11" s="12">
        <f>IFERROR(__xludf.DUMMYFUNCTION("TO_PERCENT(IFERROR(($F11+$C11)/($E11+$B11), 0))"),0.7142857142857143)</f>
        <v>0.7142857143</v>
      </c>
      <c r="J11" s="14">
        <f t="array" ref="J11">INDEX(MatchHistory!$G:$G,MATCH(1,(MatchHistory!$B:$B=$A11)*(MatchHistory!$G:$G&lt;&gt;""),0))</f>
        <v>34.52847995</v>
      </c>
      <c r="K11" s="15">
        <f t="array" ref="K11">INDEX(MatchHistory!$H:$H,MATCH(1,(MatchHistory!$B:$B=$A11)*(MatchHistory!$H:$H&lt;&gt;""),0))</f>
        <v>7.756678534</v>
      </c>
      <c r="L11" s="16">
        <f t="array" ref="L11">INDEX(MatchHistory!$J:$J,MATCH(1,(MatchHistory!$B:$B=$A11)*(MatchHistory!$J:$J&lt;&gt;""),0))</f>
        <v>1557</v>
      </c>
    </row>
    <row r="12">
      <c r="A12" s="10" t="s">
        <v>26</v>
      </c>
      <c r="B12" s="11">
        <f>COUNTIFS(MatchHistory!$B:$B, $A12, MatchHistory!$C:$C, "Town")</f>
        <v>52</v>
      </c>
      <c r="C12" s="11">
        <f>COUNTIFS(MatchHistory!B:B, A12, MatchHistory!C:C, "Town", MatchHistory!D:D, "Win")</f>
        <v>23</v>
      </c>
      <c r="D12" s="12">
        <f>IFERROR(__xludf.DUMMYFUNCTION("IF(EQ($B12, 0), TO_PERCENT(0), TO_PERCENT($C12/$B12))"),0.4423076923076923)</f>
        <v>0.4423076923</v>
      </c>
      <c r="E12" s="11">
        <f>COUNTIFS(MatchHistory!$B:$B, $A12, MatchHistory!$C:$C, "Mafia")</f>
        <v>10</v>
      </c>
      <c r="F12" s="11">
        <f>COUNTIFS(MatchHistory!$B:$B, $A12, MatchHistory!$C:$C, "Mafia", MatchHistory!$D:$D, "Win")</f>
        <v>5</v>
      </c>
      <c r="G12" s="12">
        <f>IFERROR(__xludf.DUMMYFUNCTION("TO_PERCENT(IFERROR($F12/$E12, 0))"),0.5)</f>
        <v>0.5</v>
      </c>
      <c r="H12" s="13">
        <f t="shared" si="1"/>
        <v>62</v>
      </c>
      <c r="I12" s="12">
        <f>IFERROR(__xludf.DUMMYFUNCTION("TO_PERCENT(IFERROR(($F12+$C12)/($E12+$B12), 0))"),0.45161290322580644)</f>
        <v>0.4516129032</v>
      </c>
      <c r="J12" s="14">
        <f t="array" ref="J12">INDEX(MatchHistory!$G:$G,MATCH(1,(MatchHistory!$B:$B=$A12)*(MatchHistory!$G:$G&lt;&gt;""),0))</f>
        <v>31.26789762</v>
      </c>
      <c r="K12" s="15">
        <f t="array" ref="K12">INDEX(MatchHistory!$H:$H,MATCH(1,(MatchHistory!$B:$B=$A12)*(MatchHistory!$H:$H&lt;&gt;""),0))</f>
        <v>5.856943112</v>
      </c>
      <c r="L12" s="16">
        <f t="array" ref="L12">INDEX(MatchHistory!$J:$J,MATCH(1,(MatchHistory!$B:$B=$A12)*(MatchHistory!$J:$J&lt;&gt;""),0))</f>
        <v>1529</v>
      </c>
    </row>
    <row r="13">
      <c r="A13" s="24" t="s">
        <v>27</v>
      </c>
      <c r="B13" s="11">
        <f>COUNTIFS(MatchHistory!$B:$B, $A13, MatchHistory!$C:$C, "Town")</f>
        <v>38</v>
      </c>
      <c r="C13" s="11">
        <f>COUNTIFS(MatchHistory!B:B, A13, MatchHistory!C:C, "Town", MatchHistory!D:D, "Win")</f>
        <v>20</v>
      </c>
      <c r="D13" s="12">
        <f>IFERROR(__xludf.DUMMYFUNCTION("IF(EQ($B13, 0), TO_PERCENT(0), TO_PERCENT($C13/$B13))"),0.5263157894736842)</f>
        <v>0.5263157895</v>
      </c>
      <c r="E13" s="11">
        <f>COUNTIFS(MatchHistory!$B:$B, $A13, MatchHistory!$C:$C, "Mafia")</f>
        <v>10</v>
      </c>
      <c r="F13" s="11">
        <f>COUNTIFS(MatchHistory!$B:$B, $A13, MatchHistory!$C:$C, "Mafia", MatchHistory!$D:$D, "Win")</f>
        <v>5</v>
      </c>
      <c r="G13" s="12">
        <f>IFERROR(__xludf.DUMMYFUNCTION("TO_PERCENT(IFERROR($F13/$E13, 0))"),0.5)</f>
        <v>0.5</v>
      </c>
      <c r="H13" s="13">
        <f t="shared" si="1"/>
        <v>48</v>
      </c>
      <c r="I13" s="12">
        <f>IFERROR(__xludf.DUMMYFUNCTION("TO_PERCENT(IFERROR(($F13+$C13)/($E13+$B13), 0))"),0.5208333333333334)</f>
        <v>0.5208333333</v>
      </c>
      <c r="J13" s="14">
        <f t="array" ref="J13">INDEX(MatchHistory!$G:$G,MATCH(1,(MatchHistory!$B:$B=$A13)*(MatchHistory!$G:$G&lt;&gt;""),0))</f>
        <v>31.34669036</v>
      </c>
      <c r="K13" s="15">
        <f t="array" ref="K13">INDEX(MatchHistory!$H:$H,MATCH(1,(MatchHistory!$B:$B=$A13)*(MatchHistory!$H:$H&lt;&gt;""),0))</f>
        <v>6.097941712</v>
      </c>
      <c r="L13" s="16">
        <f t="array" ref="L13">INDEX(MatchHistory!$J:$J,MATCH(1,(MatchHistory!$B:$B=$A13)*(MatchHistory!$J:$J&lt;&gt;""),0))</f>
        <v>1510</v>
      </c>
    </row>
    <row r="14">
      <c r="A14" s="24" t="s">
        <v>28</v>
      </c>
      <c r="B14" s="11">
        <f>COUNTIFS(MatchHistory!$B:$B, $A14, MatchHistory!$C:$C, "Town")</f>
        <v>41</v>
      </c>
      <c r="C14" s="11">
        <f>COUNTIFS(MatchHistory!B:B, A14, MatchHistory!C:C, "Town", MatchHistory!D:D, "Win")</f>
        <v>16</v>
      </c>
      <c r="D14" s="12">
        <f>IFERROR(__xludf.DUMMYFUNCTION("IF(EQ($B14, 0), TO_PERCENT(0), TO_PERCENT($C14/$B14))"),0.3902439024390244)</f>
        <v>0.3902439024</v>
      </c>
      <c r="E14" s="11">
        <f>COUNTIFS(MatchHistory!$B:$B, $A14, MatchHistory!$C:$C, "Mafia")</f>
        <v>9</v>
      </c>
      <c r="F14" s="11">
        <f>COUNTIFS(MatchHistory!$B:$B, $A14, MatchHistory!$C:$C, "Mafia", MatchHistory!$D:$D, "Win")</f>
        <v>6</v>
      </c>
      <c r="G14" s="12">
        <f>IFERROR(__xludf.DUMMYFUNCTION("TO_PERCENT(IFERROR($F14/$E14, 0))"),0.6666666666666666)</f>
        <v>0.6666666667</v>
      </c>
      <c r="H14" s="13">
        <f t="shared" si="1"/>
        <v>50</v>
      </c>
      <c r="I14" s="12">
        <f>IFERROR(__xludf.DUMMYFUNCTION("TO_PERCENT(IFERROR(($F14+$C14)/($E14+$B14), 0))"),0.44)</f>
        <v>0.44</v>
      </c>
      <c r="J14" s="14">
        <f t="array" ref="J14">INDEX(MatchHistory!$G:$G,MATCH(1,(MatchHistory!$B:$B=$A14)*(MatchHistory!$G:$G&lt;&gt;""),0))</f>
        <v>31.26992842</v>
      </c>
      <c r="K14" s="15">
        <f t="array" ref="K14">INDEX(MatchHistory!$H:$H,MATCH(1,(MatchHistory!$B:$B=$A14)*(MatchHistory!$H:$H&lt;&gt;""),0))</f>
        <v>6.196809451</v>
      </c>
      <c r="L14" s="16">
        <f t="array" ref="L14">INDEX(MatchHistory!$J:$J,MATCH(1,(MatchHistory!$B:$B=$A14)*(MatchHistory!$J:$J&lt;&gt;""),0))</f>
        <v>1494</v>
      </c>
    </row>
    <row r="15">
      <c r="A15" s="23" t="s">
        <v>29</v>
      </c>
      <c r="B15" s="11">
        <f>COUNTIFS(MatchHistory!$B:$B, $A15, MatchHistory!$C:$C, "Town")</f>
        <v>52</v>
      </c>
      <c r="C15" s="11">
        <f>COUNTIFS(MatchHistory!B:B, A15, MatchHistory!C:C, "Town", MatchHistory!D:D, "Win")</f>
        <v>24</v>
      </c>
      <c r="D15" s="12">
        <f>IFERROR(__xludf.DUMMYFUNCTION("IF(EQ($B15, 0), TO_PERCENT(0), TO_PERCENT($C15/$B15))"),0.46153846153846156)</f>
        <v>0.4615384615</v>
      </c>
      <c r="E15" s="11">
        <f>COUNTIFS(MatchHistory!$B:$B, $A15, MatchHistory!$C:$C, "Mafia")</f>
        <v>9</v>
      </c>
      <c r="F15" s="11">
        <f>COUNTIFS(MatchHistory!$B:$B, $A15, MatchHistory!$C:$C, "Mafia", MatchHistory!$D:$D, "Win")</f>
        <v>3</v>
      </c>
      <c r="G15" s="12">
        <f>IFERROR(__xludf.DUMMYFUNCTION("TO_PERCENT(IFERROR($F15/$E15, 0))"),0.3333333333333333)</f>
        <v>0.3333333333</v>
      </c>
      <c r="H15" s="13">
        <f t="shared" si="1"/>
        <v>61</v>
      </c>
      <c r="I15" s="12">
        <f>IFERROR(__xludf.DUMMYFUNCTION("TO_PERCENT(IFERROR(($F15+$C15)/($E15+$B15), 0))"),0.4426229508196721)</f>
        <v>0.4426229508</v>
      </c>
      <c r="J15" s="14">
        <f t="array" ref="J15">INDEX(MatchHistory!$G:$G,MATCH(1,(MatchHistory!$B:$B=$A15)*(MatchHistory!$G:$G&lt;&gt;""),0))</f>
        <v>30.32572425</v>
      </c>
      <c r="K15" s="15">
        <f t="array" ref="K15">INDEX(MatchHistory!$H:$H,MATCH(1,(MatchHistory!$B:$B=$A15)*(MatchHistory!$H:$H&lt;&gt;""),0))</f>
        <v>5.792246353</v>
      </c>
      <c r="L15" s="16">
        <f t="array" ref="L15">INDEX(MatchHistory!$J:$J,MATCH(1,(MatchHistory!$B:$B=$A15)*(MatchHistory!$J:$J&lt;&gt;""),0))</f>
        <v>1471</v>
      </c>
    </row>
    <row r="16">
      <c r="A16" s="24" t="s">
        <v>30</v>
      </c>
      <c r="B16" s="25">
        <f>COUNTIFS(MatchHistory!$B:$B, $A16, MatchHistory!$C:$C, "Town")</f>
        <v>11</v>
      </c>
      <c r="C16" s="25">
        <f>COUNTIFS(MatchHistory!B:B, A16, MatchHistory!C:C, "Town", MatchHistory!D:D, "Win")</f>
        <v>5</v>
      </c>
      <c r="D16" s="26">
        <f>IFERROR(__xludf.DUMMYFUNCTION("IF(EQ($B16, 0), TO_PERCENT(0), TO_PERCENT($C16/$B16))"),0.45454545454545453)</f>
        <v>0.4545454545</v>
      </c>
      <c r="E16" s="25">
        <f>COUNTIFS(MatchHistory!$B:$B, $A16, MatchHistory!$C:$C, "Mafia")</f>
        <v>0</v>
      </c>
      <c r="F16" s="25">
        <f>COUNTIFS(MatchHistory!$B:$B, $A16, MatchHistory!$C:$C, "Mafia", MatchHistory!$D:$D, "Win")</f>
        <v>0</v>
      </c>
      <c r="G16" s="26">
        <f>IFERROR(__xludf.DUMMYFUNCTION("TO_PERCENT(IFERROR($F16/$E16, 0))"),0.0)</f>
        <v>0</v>
      </c>
      <c r="H16" s="27">
        <f t="shared" si="1"/>
        <v>11</v>
      </c>
      <c r="I16" s="26">
        <f>IFERROR(__xludf.DUMMYFUNCTION("TO_PERCENT(IFERROR(($F16+$C16)/($E16+$B16), 0))"),0.45454545454545453)</f>
        <v>0.4545454545</v>
      </c>
      <c r="J16" s="28">
        <f t="array" ref="J16">INDEX(MatchHistory!$G:$G,MATCH(1,(MatchHistory!$B:$B=$A16)*(MatchHistory!$G:$G&lt;&gt;""),0))</f>
        <v>32.96084776</v>
      </c>
      <c r="K16" s="29">
        <f t="array" ref="K16">INDEX(MatchHistory!$H:$H,MATCH(1,(MatchHistory!$B:$B=$A16)*(MatchHistory!$H:$H&lt;&gt;""),0))</f>
        <v>7.643398229</v>
      </c>
      <c r="L16" s="30">
        <f t="array" ref="L16">INDEX(MatchHistory!$J:$J,MATCH(1,(MatchHistory!$B:$B=$A16)*(MatchHistory!$J:$J&lt;&gt;""),0))</f>
        <v>1462</v>
      </c>
    </row>
    <row r="17">
      <c r="A17" s="23" t="s">
        <v>31</v>
      </c>
      <c r="B17" s="25">
        <f>COUNTIFS(MatchHistory!$B:$B, $A17, MatchHistory!$C:$C, "Town")</f>
        <v>28</v>
      </c>
      <c r="C17" s="25">
        <f>COUNTIFS(MatchHistory!B:B, A17, MatchHistory!C:C, "Town", MatchHistory!D:D, "Win")</f>
        <v>13</v>
      </c>
      <c r="D17" s="26">
        <f>IFERROR(__xludf.DUMMYFUNCTION("IF(EQ($B17, 0), TO_PERCENT(0), TO_PERCENT($C17/$B17))"),0.4642857142857143)</f>
        <v>0.4642857143</v>
      </c>
      <c r="E17" s="25">
        <f>COUNTIFS(MatchHistory!$B:$B, $A17, MatchHistory!$C:$C, "Mafia")</f>
        <v>8</v>
      </c>
      <c r="F17" s="25">
        <f>COUNTIFS(MatchHistory!$B:$B, $A17, MatchHistory!$C:$C, "Mafia", MatchHistory!$D:$D, "Win")</f>
        <v>5</v>
      </c>
      <c r="G17" s="26">
        <f>IFERROR(__xludf.DUMMYFUNCTION("TO_PERCENT(IFERROR($F17/$E17, 0))"),0.625)</f>
        <v>0.625</v>
      </c>
      <c r="H17" s="27">
        <f t="shared" si="1"/>
        <v>36</v>
      </c>
      <c r="I17" s="26">
        <f>IFERROR(__xludf.DUMMYFUNCTION("TO_PERCENT(IFERROR(($F17+$C17)/($E17+$B17), 0))"),0.5)</f>
        <v>0.5</v>
      </c>
      <c r="J17" s="28">
        <f t="array" ref="J17">INDEX(MatchHistory!$G:$G,MATCH(1,(MatchHistory!$B:$B=$A17)*(MatchHistory!$G:$G&lt;&gt;""),0))</f>
        <v>31.02740048</v>
      </c>
      <c r="K17" s="29">
        <f t="array" ref="K17">INDEX(MatchHistory!$H:$H,MATCH(1,(MatchHistory!$B:$B=$A17)*(MatchHistory!$H:$H&lt;&gt;""),0))</f>
        <v>6.526923308</v>
      </c>
      <c r="L17" s="30">
        <f t="array" ref="L17">INDEX(MatchHistory!$J:$J,MATCH(1,(MatchHistory!$B:$B=$A17)*(MatchHistory!$J:$J&lt;&gt;""),0))</f>
        <v>1444</v>
      </c>
    </row>
    <row r="18">
      <c r="A18" s="17" t="s">
        <v>32</v>
      </c>
      <c r="B18" s="11">
        <f>COUNTIFS(MatchHistory!$B:$B, $A18, MatchHistory!$C:$C, "Town")</f>
        <v>34</v>
      </c>
      <c r="C18" s="11">
        <f>COUNTIFS(MatchHistory!B:B, A18, MatchHistory!C:C, "Town", MatchHistory!D:D, "Win")</f>
        <v>15</v>
      </c>
      <c r="D18" s="12">
        <f>IFERROR(__xludf.DUMMYFUNCTION("IF(EQ($B18, 0), TO_PERCENT(0), TO_PERCENT($C18/$B18))"),0.4411764705882353)</f>
        <v>0.4411764706</v>
      </c>
      <c r="E18" s="11">
        <f>COUNTIFS(MatchHistory!$B:$B, $A18, MatchHistory!$C:$C, "Mafia")</f>
        <v>10</v>
      </c>
      <c r="F18" s="11">
        <f>COUNTIFS(MatchHistory!$B:$B, $A18, MatchHistory!$C:$C, "Mafia", MatchHistory!$D:$D, "Win")</f>
        <v>5</v>
      </c>
      <c r="G18" s="12">
        <f>IFERROR(__xludf.DUMMYFUNCTION("TO_PERCENT(IFERROR($F18/$E18, 0))"),0.5)</f>
        <v>0.5</v>
      </c>
      <c r="H18" s="13">
        <f t="shared" si="1"/>
        <v>44</v>
      </c>
      <c r="I18" s="12">
        <f>IFERROR(__xludf.DUMMYFUNCTION("TO_PERCENT(IFERROR(($F18+$C18)/($E18+$B18), 0))"),0.45454545454545453)</f>
        <v>0.4545454545</v>
      </c>
      <c r="J18" s="14">
        <f t="array" ref="J18">INDEX(MatchHistory!$G:$G,MATCH(1,(MatchHistory!$B:$B=$A18)*(MatchHistory!$G:$G&lt;&gt;""),0))</f>
        <v>30.43101757</v>
      </c>
      <c r="K18" s="15">
        <f t="array" ref="K18">INDEX(MatchHistory!$H:$H,MATCH(1,(MatchHistory!$B:$B=$A18)*(MatchHistory!$H:$H&lt;&gt;""),0))</f>
        <v>6.340837276</v>
      </c>
      <c r="L18" s="16">
        <f t="array" ref="L18">INDEX(MatchHistory!$J:$J,MATCH(1,(MatchHistory!$B:$B=$A18)*(MatchHistory!$J:$J&lt;&gt;""),0))</f>
        <v>1423</v>
      </c>
    </row>
    <row r="19">
      <c r="A19" s="23" t="s">
        <v>33</v>
      </c>
      <c r="B19" s="11">
        <f>COUNTIFS(MatchHistory!$B:$B, $A19, MatchHistory!$C:$C, "Town")</f>
        <v>38</v>
      </c>
      <c r="C19" s="11">
        <f>COUNTIFS(MatchHistory!B:B, A19, MatchHistory!C:C, "Town", MatchHistory!D:D, "Win")</f>
        <v>15</v>
      </c>
      <c r="D19" s="12">
        <f>IFERROR(__xludf.DUMMYFUNCTION("IF(EQ($B19, 0), TO_PERCENT(0), TO_PERCENT($C19/$B19))"),0.39473684210526316)</f>
        <v>0.3947368421</v>
      </c>
      <c r="E19" s="11">
        <f>COUNTIFS(MatchHistory!$B:$B, $A19, MatchHistory!$C:$C, "Mafia")</f>
        <v>6</v>
      </c>
      <c r="F19" s="11">
        <f>COUNTIFS(MatchHistory!$B:$B, $A19, MatchHistory!$C:$C, "Mafia", MatchHistory!$D:$D, "Win")</f>
        <v>2</v>
      </c>
      <c r="G19" s="12">
        <f>IFERROR(__xludf.DUMMYFUNCTION("TO_PERCENT(IFERROR($F19/$E19, 0))"),0.3333333333333333)</f>
        <v>0.3333333333</v>
      </c>
      <c r="H19" s="13">
        <f t="shared" si="1"/>
        <v>44</v>
      </c>
      <c r="I19" s="12">
        <f>IFERROR(__xludf.DUMMYFUNCTION("TO_PERCENT(IFERROR(($F19+$C19)/($E19+$B19), 0))"),0.38636363636363635)</f>
        <v>0.3863636364</v>
      </c>
      <c r="J19" s="14">
        <f t="array" ref="J19">INDEX(MatchHistory!$G:$G,MATCH(1,(MatchHistory!$B:$B=$A19)*(MatchHistory!$G:$G&lt;&gt;""),0))</f>
        <v>30.38530379</v>
      </c>
      <c r="K19" s="15">
        <f t="array" ref="K19">INDEX(MatchHistory!$H:$H,MATCH(1,(MatchHistory!$B:$B=$A19)*(MatchHistory!$H:$H&lt;&gt;""),0))</f>
        <v>6.323269824</v>
      </c>
      <c r="L19" s="16">
        <f t="array" ref="L19">INDEX(MatchHistory!$J:$J,MATCH(1,(MatchHistory!$B:$B=$A19)*(MatchHistory!$J:$J&lt;&gt;""),0))</f>
        <v>1421</v>
      </c>
    </row>
    <row r="20">
      <c r="A20" s="17" t="s">
        <v>34</v>
      </c>
      <c r="B20" s="11">
        <f>COUNTIFS(MatchHistory!$B:$B, $A20, MatchHistory!$C:$C, "Town")</f>
        <v>30</v>
      </c>
      <c r="C20" s="11">
        <f>COUNTIFS(MatchHistory!B:B, A20, MatchHistory!C:C, "Town", MatchHistory!D:D, "Win")</f>
        <v>15</v>
      </c>
      <c r="D20" s="12">
        <f>IFERROR(__xludf.DUMMYFUNCTION("IF(EQ($B20, 0), TO_PERCENT(0), TO_PERCENT($C20/$B20))"),0.5)</f>
        <v>0.5</v>
      </c>
      <c r="E20" s="11">
        <f>COUNTIFS(MatchHistory!$B:$B, $A20, MatchHistory!$C:$C, "Mafia")</f>
        <v>8</v>
      </c>
      <c r="F20" s="11">
        <f>COUNTIFS(MatchHistory!$B:$B, $A20, MatchHistory!$C:$C, "Mafia", MatchHistory!$D:$D, "Win")</f>
        <v>3</v>
      </c>
      <c r="G20" s="12">
        <f>IFERROR(__xludf.DUMMYFUNCTION("TO_PERCENT(IFERROR($F20/$E20, 0))"),0.375)</f>
        <v>0.375</v>
      </c>
      <c r="H20" s="13">
        <f t="shared" si="1"/>
        <v>38</v>
      </c>
      <c r="I20" s="12">
        <f>IFERROR(__xludf.DUMMYFUNCTION("TO_PERCENT(IFERROR(($F20+$C20)/($E20+$B20), 0))"),0.47368421052631576)</f>
        <v>0.4736842105</v>
      </c>
      <c r="J20" s="14">
        <f t="array" ref="J20">INDEX(MatchHistory!$G:$G,MATCH(1,(MatchHistory!$B:$B=$A20)*(MatchHistory!$G:$G&lt;&gt;""),0))</f>
        <v>30.32656019</v>
      </c>
      <c r="K20" s="15">
        <f t="array" ref="K20">INDEX(MatchHistory!$H:$H,MATCH(1,(MatchHistory!$B:$B=$A20)*(MatchHistory!$H:$H&lt;&gt;""),0))</f>
        <v>6.471523983</v>
      </c>
      <c r="L20" s="16">
        <f t="array" ref="L20">INDEX(MatchHistory!$J:$J,MATCH(1,(MatchHistory!$B:$B=$A20)*(MatchHistory!$J:$J&lt;&gt;""),0))</f>
        <v>1402</v>
      </c>
    </row>
    <row r="21">
      <c r="A21" s="10" t="s">
        <v>35</v>
      </c>
      <c r="B21" s="11">
        <f>COUNTIFS(MatchHistory!$B:$B, $A21, MatchHistory!$C:$C, "Town")</f>
        <v>20</v>
      </c>
      <c r="C21" s="11">
        <f>COUNTIFS(MatchHistory!B:B, A21, MatchHistory!C:C, "Town", MatchHistory!D:D, "Win")</f>
        <v>7</v>
      </c>
      <c r="D21" s="12">
        <f>IFERROR(__xludf.DUMMYFUNCTION("IF(EQ($B21, 0), TO_PERCENT(0), TO_PERCENT($C21/$B21))"),0.35)</f>
        <v>0.35</v>
      </c>
      <c r="E21" s="11">
        <f>COUNTIFS(MatchHistory!$B:$B, $A21, MatchHistory!$C:$C, "Mafia")</f>
        <v>6</v>
      </c>
      <c r="F21" s="11">
        <f>COUNTIFS(MatchHistory!$B:$B, $A21, MatchHistory!$C:$C, "Mafia", MatchHistory!$D:$D, "Win")</f>
        <v>6</v>
      </c>
      <c r="G21" s="12">
        <f>IFERROR(__xludf.DUMMYFUNCTION("TO_PERCENT(IFERROR($F21/$E21, 0))"),1.0)</f>
        <v>1</v>
      </c>
      <c r="H21" s="13">
        <f t="shared" si="1"/>
        <v>26</v>
      </c>
      <c r="I21" s="12">
        <f>IFERROR(__xludf.DUMMYFUNCTION("TO_PERCENT(IFERROR(($F21+$C21)/($E21+$B21), 0))"),0.5)</f>
        <v>0.5</v>
      </c>
      <c r="J21" s="14">
        <f t="array" ref="J21">INDEX(MatchHistory!$G:$G,MATCH(1,(MatchHistory!$B:$B=$A21)*(MatchHistory!$G:$G&lt;&gt;""),0))</f>
        <v>30.35406281</v>
      </c>
      <c r="K21" s="15">
        <f t="array" ref="K21">INDEX(MatchHistory!$H:$H,MATCH(1,(MatchHistory!$B:$B=$A21)*(MatchHistory!$H:$H&lt;&gt;""),0))</f>
        <v>6.924432948</v>
      </c>
      <c r="L21" s="16">
        <f t="array" ref="L21">INDEX(MatchHistory!$J:$J,MATCH(1,(MatchHistory!$B:$B=$A21)*(MatchHistory!$J:$J&lt;&gt;""),0))</f>
        <v>1358</v>
      </c>
    </row>
    <row r="22">
      <c r="A22" s="24" t="s">
        <v>36</v>
      </c>
      <c r="B22" s="11">
        <f>COUNTIFS(MatchHistory!$B:$B, $A22, MatchHistory!$C:$C, "Town")</f>
        <v>14</v>
      </c>
      <c r="C22" s="11">
        <f>COUNTIFS(MatchHistory!B:B, A22, MatchHistory!C:C, "Town", MatchHistory!D:D, "Win")</f>
        <v>7</v>
      </c>
      <c r="D22" s="12">
        <f>IFERROR(__xludf.DUMMYFUNCTION("IF(EQ($B22, 0), TO_PERCENT(0), TO_PERCENT($C22/$B22))"),0.5)</f>
        <v>0.5</v>
      </c>
      <c r="E22" s="11">
        <f>COUNTIFS(MatchHistory!$B:$B, $A22, MatchHistory!$C:$C, "Mafia")</f>
        <v>3</v>
      </c>
      <c r="F22" s="11">
        <f>COUNTIFS(MatchHistory!$B:$B, $A22, MatchHistory!$C:$C, "Mafia", MatchHistory!$D:$D, "Win")</f>
        <v>1</v>
      </c>
      <c r="G22" s="12">
        <f>IFERROR(__xludf.DUMMYFUNCTION("TO_PERCENT(IFERROR($F22/$E22, 0))"),0.3333333333333333)</f>
        <v>0.3333333333</v>
      </c>
      <c r="H22" s="13">
        <f t="shared" si="1"/>
        <v>17</v>
      </c>
      <c r="I22" s="12">
        <f>IFERROR(__xludf.DUMMYFUNCTION("TO_PERCENT(IFERROR(($F22+$C22)/($E22+$B22), 0))"),0.47058823529411764)</f>
        <v>0.4705882353</v>
      </c>
      <c r="J22" s="14">
        <f t="array" ref="J22">INDEX(MatchHistory!$G:$G,MATCH(1,(MatchHistory!$B:$B=$A22)*(MatchHistory!$G:$G&lt;&gt;""),0))</f>
        <v>30.34947041</v>
      </c>
      <c r="K22" s="15">
        <f t="array" ref="K22">INDEX(MatchHistory!$H:$H,MATCH(1,(MatchHistory!$B:$B=$A22)*(MatchHistory!$H:$H&lt;&gt;""),0))</f>
        <v>7.286266425</v>
      </c>
      <c r="L22" s="16">
        <f t="array" ref="L22">INDEX(MatchHistory!$J:$J,MATCH(1,(MatchHistory!$B:$B=$A22)*(MatchHistory!$J:$J&lt;&gt;""),0))</f>
        <v>1321</v>
      </c>
    </row>
    <row r="23">
      <c r="A23" s="10" t="s">
        <v>37</v>
      </c>
      <c r="B23" s="11">
        <f>COUNTIFS(MatchHistory!$B:$B, $A23, MatchHistory!$C:$C, "Town")</f>
        <v>8</v>
      </c>
      <c r="C23" s="11">
        <f>COUNTIFS(MatchHistory!B:B, A23, MatchHistory!C:C, "Town", MatchHistory!D:D, "Win")</f>
        <v>6</v>
      </c>
      <c r="D23" s="12">
        <f>IFERROR(__xludf.DUMMYFUNCTION("IF(EQ($B23, 0), TO_PERCENT(0), TO_PERCENT($C23/$B23))"),0.75)</f>
        <v>0.75</v>
      </c>
      <c r="E23" s="11">
        <f>COUNTIFS(MatchHistory!$B:$B, $A23, MatchHistory!$C:$C, "Mafia")</f>
        <v>2</v>
      </c>
      <c r="F23" s="11">
        <f>COUNTIFS(MatchHistory!$B:$B, $A23, MatchHistory!$C:$C, "Mafia", MatchHistory!$D:$D, "Win")</f>
        <v>1</v>
      </c>
      <c r="G23" s="12">
        <f>IFERROR(__xludf.DUMMYFUNCTION("TO_PERCENT(IFERROR($F23/$E23, 0))"),0.5)</f>
        <v>0.5</v>
      </c>
      <c r="H23" s="13">
        <f t="shared" si="1"/>
        <v>10</v>
      </c>
      <c r="I23" s="12">
        <f>IFERROR(__xludf.DUMMYFUNCTION("TO_PERCENT(IFERROR(($F23+$C23)/($E23+$B23), 0))"),0.7)</f>
        <v>0.7</v>
      </c>
      <c r="J23" s="14">
        <f t="array" ref="J23">INDEX(MatchHistory!$G:$G,MATCH(1,(MatchHistory!$B:$B=$A23)*(MatchHistory!$G:$G&lt;&gt;""),0))</f>
        <v>30.68593205</v>
      </c>
      <c r="K23" s="15">
        <f t="array" ref="K23">INDEX(MatchHistory!$H:$H,MATCH(1,(MatchHistory!$B:$B=$A23)*(MatchHistory!$H:$H&lt;&gt;""),0))</f>
        <v>7.595433608</v>
      </c>
      <c r="L23" s="16">
        <f t="array" ref="L23">INDEX(MatchHistory!$J:$J,MATCH(1,(MatchHistory!$B:$B=$A23)*(MatchHistory!$J:$J&lt;&gt;""),0))</f>
        <v>1312</v>
      </c>
    </row>
    <row r="24">
      <c r="A24" s="17" t="s">
        <v>38</v>
      </c>
      <c r="B24" s="11">
        <f>COUNTIFS(MatchHistory!$B:$B, $A24, MatchHistory!$C:$C, "Town")</f>
        <v>61</v>
      </c>
      <c r="C24" s="11">
        <f>COUNTIFS(MatchHistory!B:B, A24, MatchHistory!C:C, "Town", MatchHistory!D:D, "Win")</f>
        <v>22</v>
      </c>
      <c r="D24" s="12">
        <f>IFERROR(__xludf.DUMMYFUNCTION("IF(EQ($B24, 0), TO_PERCENT(0), TO_PERCENT($C24/$B24))"),0.36065573770491804)</f>
        <v>0.3606557377</v>
      </c>
      <c r="E24" s="11">
        <f>COUNTIFS(MatchHistory!$B:$B, $A24, MatchHistory!$C:$C, "Mafia")</f>
        <v>18</v>
      </c>
      <c r="F24" s="11">
        <f>COUNTIFS(MatchHistory!$B:$B, $A24, MatchHistory!$C:$C, "Mafia", MatchHistory!$D:$D, "Win")</f>
        <v>9</v>
      </c>
      <c r="G24" s="12">
        <f>IFERROR(__xludf.DUMMYFUNCTION("TO_PERCENT(IFERROR($F24/$E24, 0))"),0.5)</f>
        <v>0.5</v>
      </c>
      <c r="H24" s="13">
        <f t="shared" si="1"/>
        <v>79</v>
      </c>
      <c r="I24" s="12">
        <f>IFERROR(__xludf.DUMMYFUNCTION("TO_PERCENT(IFERROR(($F24+$C24)/($E24+$B24), 0))"),0.3924050632911392)</f>
        <v>0.3924050633</v>
      </c>
      <c r="J24" s="14">
        <f t="array" ref="J24">INDEX(MatchHistory!$G:$G,MATCH(1,(MatchHistory!$B:$B=$A24)*(MatchHistory!$G:$G&lt;&gt;""),0))</f>
        <v>27.41233773</v>
      </c>
      <c r="K24" s="15">
        <f t="array" ref="K24">INDEX(MatchHistory!$H:$H,MATCH(1,(MatchHistory!$B:$B=$A24)*(MatchHistory!$H:$H&lt;&gt;""),0))</f>
        <v>5.421210681</v>
      </c>
      <c r="L24" s="16">
        <f t="array" ref="L24">INDEX(MatchHistory!$J:$J,MATCH(1,(MatchHistory!$B:$B=$A24)*(MatchHistory!$J:$J&lt;&gt;""),0))</f>
        <v>1311</v>
      </c>
    </row>
    <row r="25">
      <c r="A25" s="10" t="s">
        <v>39</v>
      </c>
      <c r="B25" s="25">
        <f>COUNTIFS(MatchHistory!$B:$B, $A25, MatchHistory!$C:$C, "Town")</f>
        <v>16</v>
      </c>
      <c r="C25" s="25">
        <f>COUNTIFS(MatchHistory!B:B, A25, MatchHistory!C:C, "Town", MatchHistory!D:D, "Win")</f>
        <v>7</v>
      </c>
      <c r="D25" s="26">
        <f>IFERROR(__xludf.DUMMYFUNCTION("IF(EQ($B25, 0), TO_PERCENT(0), TO_PERCENT($C25/$B25))"),0.4375)</f>
        <v>0.4375</v>
      </c>
      <c r="E25" s="25">
        <f>COUNTIFS(MatchHistory!$B:$B, $A25, MatchHistory!$C:$C, "Mafia")</f>
        <v>4</v>
      </c>
      <c r="F25" s="25">
        <f>COUNTIFS(MatchHistory!$B:$B, $A25, MatchHistory!$C:$C, "Mafia", MatchHistory!$D:$D, "Win")</f>
        <v>3</v>
      </c>
      <c r="G25" s="26">
        <f>IFERROR(__xludf.DUMMYFUNCTION("TO_PERCENT(IFERROR($F25/$E25, 0))"),0.75)</f>
        <v>0.75</v>
      </c>
      <c r="H25" s="27">
        <f t="shared" si="1"/>
        <v>20</v>
      </c>
      <c r="I25" s="26">
        <f>IFERROR(__xludf.DUMMYFUNCTION("TO_PERCENT(IFERROR(($F25+$C25)/($E25+$B25), 0))"),0.5)</f>
        <v>0.5</v>
      </c>
      <c r="J25" s="28">
        <f t="array" ref="J25">INDEX(MatchHistory!$G:$G,MATCH(1,(MatchHistory!$B:$B=$A25)*(MatchHistory!$G:$G&lt;&gt;""),0))</f>
        <v>30.10500947</v>
      </c>
      <c r="K25" s="29">
        <f t="array" ref="K25">INDEX(MatchHistory!$H:$H,MATCH(1,(MatchHistory!$B:$B=$A25)*(MatchHistory!$H:$H&lt;&gt;""),0))</f>
        <v>7.24566471</v>
      </c>
      <c r="L25" s="30">
        <f t="array" ref="L25">INDEX(MatchHistory!$J:$J,MATCH(1,(MatchHistory!$B:$B=$A25)*(MatchHistory!$J:$J&lt;&gt;""),0))</f>
        <v>1308</v>
      </c>
    </row>
    <row r="26">
      <c r="A26" s="17" t="s">
        <v>40</v>
      </c>
      <c r="B26" s="11">
        <f>COUNTIFS(MatchHistory!$B:$B, $A26, MatchHistory!$C:$C, "Town")</f>
        <v>14</v>
      </c>
      <c r="C26" s="11">
        <f>COUNTIFS(MatchHistory!B:B, A26, MatchHistory!C:C, "Town", MatchHistory!D:D, "Win")</f>
        <v>7</v>
      </c>
      <c r="D26" s="12">
        <f>IFERROR(__xludf.DUMMYFUNCTION("IF(EQ($B26, 0), TO_PERCENT(0), TO_PERCENT($C26/$B26))"),0.5)</f>
        <v>0.5</v>
      </c>
      <c r="E26" s="11">
        <f>COUNTIFS(MatchHistory!$B:$B, $A26, MatchHistory!$C:$C, "Mafia")</f>
        <v>5</v>
      </c>
      <c r="F26" s="11">
        <f>COUNTIFS(MatchHistory!$B:$B, $A26, MatchHistory!$C:$C, "Mafia", MatchHistory!$D:$D, "Win")</f>
        <v>3</v>
      </c>
      <c r="G26" s="12">
        <f>IFERROR(__xludf.DUMMYFUNCTION("TO_PERCENT(IFERROR($F26/$E26, 0))"),0.6)</f>
        <v>0.6</v>
      </c>
      <c r="H26" s="13">
        <f t="shared" si="1"/>
        <v>19</v>
      </c>
      <c r="I26" s="12">
        <f>IFERROR(__xludf.DUMMYFUNCTION("TO_PERCENT(IFERROR(($F26+$C26)/($E26+$B26), 0))"),0.5263157894736842)</f>
        <v>0.5263157895</v>
      </c>
      <c r="J26" s="14">
        <f t="array" ref="J26">INDEX(MatchHistory!$G:$G,MATCH(1,(MatchHistory!$B:$B=$A26)*(MatchHistory!$G:$G&lt;&gt;""),0))</f>
        <v>30.18062357</v>
      </c>
      <c r="K26" s="15">
        <f t="array" ref="K26">INDEX(MatchHistory!$H:$H,MATCH(1,(MatchHistory!$B:$B=$A26)*(MatchHistory!$H:$H&lt;&gt;""),0))</f>
        <v>7.304858926</v>
      </c>
      <c r="L26" s="16">
        <f t="array" ref="L26">INDEX(MatchHistory!$J:$J,MATCH(1,(MatchHistory!$B:$B=$A26)*(MatchHistory!$J:$J&lt;&gt;""),0))</f>
        <v>1307</v>
      </c>
    </row>
    <row r="27">
      <c r="A27" s="10" t="s">
        <v>41</v>
      </c>
      <c r="B27" s="11">
        <f>COUNTIFS(MatchHistory!$B:$B, $A27, MatchHistory!$C:$C, "Town")</f>
        <v>44</v>
      </c>
      <c r="C27" s="11">
        <f>COUNTIFS(MatchHistory!B:B, A27, MatchHistory!C:C, "Town", MatchHistory!D:D, "Win")</f>
        <v>14</v>
      </c>
      <c r="D27" s="12">
        <f>IFERROR(__xludf.DUMMYFUNCTION("IF(EQ($B27, 0), TO_PERCENT(0), TO_PERCENT($C27/$B27))"),0.3181818181818182)</f>
        <v>0.3181818182</v>
      </c>
      <c r="E27" s="11">
        <f>COUNTIFS(MatchHistory!$B:$B, $A27, MatchHistory!$C:$C, "Mafia")</f>
        <v>9</v>
      </c>
      <c r="F27" s="11">
        <f>COUNTIFS(MatchHistory!$B:$B, $A27, MatchHistory!$C:$C, "Mafia", MatchHistory!$D:$D, "Win")</f>
        <v>5</v>
      </c>
      <c r="G27" s="12">
        <f>IFERROR(__xludf.DUMMYFUNCTION("TO_PERCENT(IFERROR($F27/$E27, 0))"),0.5555555555555556)</f>
        <v>0.5555555556</v>
      </c>
      <c r="H27" s="13">
        <f t="shared" si="1"/>
        <v>53</v>
      </c>
      <c r="I27" s="12">
        <f>IFERROR(__xludf.DUMMYFUNCTION("TO_PERCENT(IFERROR(($F27+$C27)/($E27+$B27), 0))"),0.3584905660377358)</f>
        <v>0.358490566</v>
      </c>
      <c r="J27" s="14">
        <f t="array" ref="J27">INDEX(MatchHistory!$G:$G,MATCH(1,(MatchHistory!$B:$B=$A27)*(MatchHistory!$G:$G&lt;&gt;""),0))</f>
        <v>28.31335529</v>
      </c>
      <c r="K27" s="15">
        <f t="array" ref="K27">INDEX(MatchHistory!$H:$H,MATCH(1,(MatchHistory!$B:$B=$A27)*(MatchHistory!$H:$H&lt;&gt;""),0))</f>
        <v>6.067210905</v>
      </c>
      <c r="L27" s="16">
        <f t="array" ref="L27">INDEX(MatchHistory!$J:$J,MATCH(1,(MatchHistory!$B:$B=$A27)*(MatchHistory!$J:$J&lt;&gt;""),0))</f>
        <v>1306</v>
      </c>
    </row>
    <row r="28">
      <c r="A28" s="24" t="s">
        <v>42</v>
      </c>
      <c r="B28" s="11">
        <f>COUNTIFS(MatchHistory!$B:$B, $A28, MatchHistory!$C:$C, "Town")</f>
        <v>22</v>
      </c>
      <c r="C28" s="11">
        <f>COUNTIFS(MatchHistory!B:B, A28, MatchHistory!C:C, "Town", MatchHistory!D:D, "Win")</f>
        <v>8</v>
      </c>
      <c r="D28" s="12">
        <f>IFERROR(__xludf.DUMMYFUNCTION("IF(EQ($B28, 0), TO_PERCENT(0), TO_PERCENT($C28/$B28))"),0.36363636363636365)</f>
        <v>0.3636363636</v>
      </c>
      <c r="E28" s="11">
        <f>COUNTIFS(MatchHistory!$B:$B, $A28, MatchHistory!$C:$C, "Mafia")</f>
        <v>11</v>
      </c>
      <c r="F28" s="11">
        <f>COUNTIFS(MatchHistory!$B:$B, $A28, MatchHistory!$C:$C, "Mafia", MatchHistory!$D:$D, "Win")</f>
        <v>7</v>
      </c>
      <c r="G28" s="12">
        <f>IFERROR(__xludf.DUMMYFUNCTION("TO_PERCENT(IFERROR($F28/$E28, 0))"),0.6363636363636364)</f>
        <v>0.6363636364</v>
      </c>
      <c r="H28" s="13">
        <f t="shared" si="1"/>
        <v>33</v>
      </c>
      <c r="I28" s="12">
        <f>IFERROR(__xludf.DUMMYFUNCTION("TO_PERCENT(IFERROR(($F28+$C28)/($E28+$B28), 0))"),0.45454545454545453)</f>
        <v>0.4545454545</v>
      </c>
      <c r="J28" s="14">
        <f t="array" ref="J28">INDEX(MatchHistory!$G:$G,MATCH(1,(MatchHistory!$B:$B=$A28)*(MatchHistory!$G:$G&lt;&gt;""),0))</f>
        <v>28.63160153</v>
      </c>
      <c r="K28" s="15">
        <f t="array" ref="K28">INDEX(MatchHistory!$H:$H,MATCH(1,(MatchHistory!$B:$B=$A28)*(MatchHistory!$H:$H&lt;&gt;""),0))</f>
        <v>6.582192838</v>
      </c>
      <c r="L28" s="16">
        <f t="array" ref="L28">INDEX(MatchHistory!$J:$J,MATCH(1,(MatchHistory!$B:$B=$A28)*(MatchHistory!$J:$J&lt;&gt;""),0))</f>
        <v>1276</v>
      </c>
    </row>
    <row r="29">
      <c r="A29" s="23" t="s">
        <v>43</v>
      </c>
      <c r="B29" s="25">
        <f>COUNTIFS(MatchHistory!$B:$B, $A29, MatchHistory!$C:$C, "Town")</f>
        <v>12</v>
      </c>
      <c r="C29" s="25">
        <f>COUNTIFS(MatchHistory!B:B, A29, MatchHistory!C:C, "Town", MatchHistory!D:D, "Win")</f>
        <v>8</v>
      </c>
      <c r="D29" s="26">
        <f>IFERROR(__xludf.DUMMYFUNCTION("IF(EQ($B29, 0), TO_PERCENT(0), TO_PERCENT($C29/$B29))"),0.6666666666666666)</f>
        <v>0.6666666667</v>
      </c>
      <c r="E29" s="25">
        <f>COUNTIFS(MatchHistory!$B:$B, $A29, MatchHistory!$C:$C, "Mafia")</f>
        <v>6</v>
      </c>
      <c r="F29" s="25">
        <f>COUNTIFS(MatchHistory!$B:$B, $A29, MatchHistory!$C:$C, "Mafia", MatchHistory!$D:$D, "Win")</f>
        <v>3</v>
      </c>
      <c r="G29" s="26">
        <f>IFERROR(__xludf.DUMMYFUNCTION("TO_PERCENT(IFERROR($F29/$E29, 0))"),0.5)</f>
        <v>0.5</v>
      </c>
      <c r="H29" s="27">
        <f t="shared" si="1"/>
        <v>18</v>
      </c>
      <c r="I29" s="26">
        <f>IFERROR(__xludf.DUMMYFUNCTION("TO_PERCENT(IFERROR(($F29+$C29)/($E29+$B29), 0))"),0.6111111111111112)</f>
        <v>0.6111111111</v>
      </c>
      <c r="J29" s="28">
        <f t="array" ref="J29">INDEX(MatchHistory!$G:$G,MATCH(1,(MatchHistory!$B:$B=$A29)*(MatchHistory!$G:$G&lt;&gt;""),0))</f>
        <v>28.97961392</v>
      </c>
      <c r="K29" s="29">
        <f t="array" ref="K29">INDEX(MatchHistory!$H:$H,MATCH(1,(MatchHistory!$B:$B=$A29)*(MatchHistory!$H:$H&lt;&gt;""),0))</f>
        <v>7.278327153</v>
      </c>
      <c r="L29" s="30">
        <f t="array" ref="L29">INDEX(MatchHistory!$J:$J,MATCH(1,(MatchHistory!$B:$B=$A29)*(MatchHistory!$J:$J&lt;&gt;""),0))</f>
        <v>1228</v>
      </c>
    </row>
    <row r="30">
      <c r="A30" s="24" t="s">
        <v>44</v>
      </c>
      <c r="B30" s="11">
        <f>COUNTIFS(MatchHistory!$B:$B, $A30, MatchHistory!$C:$C, "Town")</f>
        <v>20</v>
      </c>
      <c r="C30" s="11">
        <f>COUNTIFS(MatchHistory!B:B, A30, MatchHistory!C:C, "Town", MatchHistory!D:D, "Win")</f>
        <v>10</v>
      </c>
      <c r="D30" s="12">
        <f>IFERROR(__xludf.DUMMYFUNCTION("IF(EQ($B30, 0), TO_PERCENT(0), TO_PERCENT($C30/$B30))"),0.5)</f>
        <v>0.5</v>
      </c>
      <c r="E30" s="11">
        <f>COUNTIFS(MatchHistory!$B:$B, $A30, MatchHistory!$C:$C, "Mafia")</f>
        <v>11</v>
      </c>
      <c r="F30" s="11">
        <f>COUNTIFS(MatchHistory!$B:$B, $A30, MatchHistory!$C:$C, "Mafia", MatchHistory!$D:$D, "Win")</f>
        <v>5</v>
      </c>
      <c r="G30" s="12">
        <f>IFERROR(__xludf.DUMMYFUNCTION("TO_PERCENT(IFERROR($F30/$E30, 0))"),0.45454545454545453)</f>
        <v>0.4545454545</v>
      </c>
      <c r="H30" s="13">
        <f t="shared" si="1"/>
        <v>31</v>
      </c>
      <c r="I30" s="12">
        <f>IFERROR(__xludf.DUMMYFUNCTION("TO_PERCENT(IFERROR(($F30+$C30)/($E30+$B30), 0))"),0.4838709677419355)</f>
        <v>0.4838709677</v>
      </c>
      <c r="J30" s="14">
        <f t="array" ref="J30">INDEX(MatchHistory!$G:$G,MATCH(1,(MatchHistory!$B:$B=$A30)*(MatchHistory!$G:$G&lt;&gt;""),0))</f>
        <v>27.91031295</v>
      </c>
      <c r="K30" s="15">
        <f t="array" ref="K30">INDEX(MatchHistory!$H:$H,MATCH(1,(MatchHistory!$B:$B=$A30)*(MatchHistory!$H:$H&lt;&gt;""),0))</f>
        <v>6.619634934</v>
      </c>
      <c r="L30" s="16">
        <f t="array" ref="L30">INDEX(MatchHistory!$J:$J,MATCH(1,(MatchHistory!$B:$B=$A30)*(MatchHistory!$J:$J&lt;&gt;""),0))</f>
        <v>1223</v>
      </c>
    </row>
    <row r="31">
      <c r="A31" s="31" t="s">
        <v>45</v>
      </c>
      <c r="B31" s="32">
        <f>COUNTIFS(MatchHistory!$B:$B, $A31, MatchHistory!$C:$C, "Town")</f>
        <v>4</v>
      </c>
      <c r="C31" s="32">
        <f>COUNTIFS(MatchHistory!B:B, A31, MatchHistory!C:C, "Town", MatchHistory!D:D, "Win")</f>
        <v>3</v>
      </c>
      <c r="D31" s="33">
        <f>IFERROR(__xludf.DUMMYFUNCTION("IF(EQ($B31, 0), TO_PERCENT(0), TO_PERCENT($C31/$B31))"),0.75)</f>
        <v>0.75</v>
      </c>
      <c r="E31" s="32">
        <f>COUNTIFS(MatchHistory!$B:$B, $A31, MatchHistory!$C:$C, "Mafia")</f>
        <v>0</v>
      </c>
      <c r="F31" s="32">
        <f>COUNTIFS(MatchHistory!$B:$B, $A31, MatchHistory!$C:$C, "Mafia", MatchHistory!$D:$D, "Win")</f>
        <v>0</v>
      </c>
      <c r="G31" s="33">
        <f>IFERROR(__xludf.DUMMYFUNCTION("TO_PERCENT(IFERROR($F31/$E31, 0))"),0.0)</f>
        <v>0</v>
      </c>
      <c r="H31" s="32">
        <f t="shared" si="1"/>
        <v>4</v>
      </c>
      <c r="I31" s="33">
        <f>IFERROR(__xludf.DUMMYFUNCTION("TO_PERCENT(IFERROR(($F31+$C31)/($E31+$B31), 0))"),0.75)</f>
        <v>0.75</v>
      </c>
      <c r="J31" s="34">
        <f t="array" ref="J31">INDEX(MatchHistory!$G:$G,MATCH(1,(MatchHistory!$B:$B=$A31)*(MatchHistory!$G:$G&lt;&gt;""),0))</f>
        <v>29.96372937</v>
      </c>
      <c r="K31" s="35">
        <f t="array" ref="K31">INDEX(MatchHistory!$H:$H,MATCH(1,(MatchHistory!$B:$B=$A31)*(MatchHistory!$H:$H&lt;&gt;""),0))</f>
        <v>8.029257173</v>
      </c>
      <c r="L31" s="36">
        <f t="array" ref="L31">INDEX(MatchHistory!$J:$J,MATCH(1,(MatchHistory!$B:$B=$A31)*(MatchHistory!$J:$J&lt;&gt;""),0))</f>
        <v>1219</v>
      </c>
    </row>
    <row r="32">
      <c r="A32" s="24" t="s">
        <v>46</v>
      </c>
      <c r="B32" s="11">
        <f>COUNTIFS(MatchHistory!$B:$B, $A32, MatchHistory!$C:$C, "Town")</f>
        <v>24</v>
      </c>
      <c r="C32" s="11">
        <f>COUNTIFS(MatchHistory!B:B, A32, MatchHistory!C:C, "Town", MatchHistory!D:D, "Win")</f>
        <v>9</v>
      </c>
      <c r="D32" s="12">
        <f>IFERROR(__xludf.DUMMYFUNCTION("IF(EQ($B32, 0), TO_PERCENT(0), TO_PERCENT($C32/$B32))"),0.375)</f>
        <v>0.375</v>
      </c>
      <c r="E32" s="11">
        <f>COUNTIFS(MatchHistory!$B:$B, $A32, MatchHistory!$C:$C, "Mafia")</f>
        <v>8</v>
      </c>
      <c r="F32" s="11">
        <f>COUNTIFS(MatchHistory!$B:$B, $A32, MatchHistory!$C:$C, "Mafia", MatchHistory!$D:$D, "Win")</f>
        <v>4</v>
      </c>
      <c r="G32" s="12">
        <f>IFERROR(__xludf.DUMMYFUNCTION("TO_PERCENT(IFERROR($F32/$E32, 0))"),0.5)</f>
        <v>0.5</v>
      </c>
      <c r="H32" s="13">
        <f t="shared" si="1"/>
        <v>32</v>
      </c>
      <c r="I32" s="12">
        <f>IFERROR(__xludf.DUMMYFUNCTION("TO_PERCENT(IFERROR(($F32+$C32)/($E32+$B32), 0))"),0.40625)</f>
        <v>0.40625</v>
      </c>
      <c r="J32" s="14">
        <f t="array" ref="J32">INDEX(MatchHistory!$G:$G,MATCH(1,(MatchHistory!$B:$B=$A32)*(MatchHistory!$G:$G&lt;&gt;""),0))</f>
        <v>27.92020608</v>
      </c>
      <c r="K32" s="15">
        <f t="array" ref="K32">INDEX(MatchHistory!$H:$H,MATCH(1,(MatchHistory!$B:$B=$A32)*(MatchHistory!$H:$H&lt;&gt;""),0))</f>
        <v>6.701703463</v>
      </c>
      <c r="L32" s="16">
        <f t="array" ref="L32">INDEX(MatchHistory!$J:$J,MATCH(1,(MatchHistory!$B:$B=$A32)*(MatchHistory!$J:$J&lt;&gt;""),0))</f>
        <v>1215</v>
      </c>
    </row>
    <row r="33">
      <c r="A33" s="10" t="s">
        <v>47</v>
      </c>
      <c r="B33" s="11">
        <f>COUNTIFS(MatchHistory!$B:$B, $A33, MatchHistory!$C:$C, "Town")</f>
        <v>62</v>
      </c>
      <c r="C33" s="11">
        <f>COUNTIFS(MatchHistory!B:B, A33, MatchHistory!C:C, "Town", MatchHistory!D:D, "Win")</f>
        <v>23</v>
      </c>
      <c r="D33" s="12">
        <f>IFERROR(__xludf.DUMMYFUNCTION("IF(EQ($B33, 0), TO_PERCENT(0), TO_PERCENT($C33/$B33))"),0.3709677419354839)</f>
        <v>0.3709677419</v>
      </c>
      <c r="E33" s="11">
        <f>COUNTIFS(MatchHistory!$B:$B, $A33, MatchHistory!$C:$C, "Mafia")</f>
        <v>11</v>
      </c>
      <c r="F33" s="11">
        <f>COUNTIFS(MatchHistory!$B:$B, $A33, MatchHistory!$C:$C, "Mafia", MatchHistory!$D:$D, "Win")</f>
        <v>4</v>
      </c>
      <c r="G33" s="12">
        <f>IFERROR(__xludf.DUMMYFUNCTION("TO_PERCENT(IFERROR($F33/$E33, 0))"),0.36363636363636365)</f>
        <v>0.3636363636</v>
      </c>
      <c r="H33" s="13">
        <f t="shared" si="1"/>
        <v>73</v>
      </c>
      <c r="I33" s="12">
        <f>IFERROR(__xludf.DUMMYFUNCTION("TO_PERCENT(IFERROR(($F33+$C33)/($E33+$B33), 0))"),0.3698630136986301)</f>
        <v>0.3698630137</v>
      </c>
      <c r="J33" s="14">
        <f t="array" ref="J33">INDEX(MatchHistory!$G:$G,MATCH(1,(MatchHistory!$B:$B=$A33)*(MatchHistory!$G:$G&lt;&gt;""),0))</f>
        <v>25.76584202</v>
      </c>
      <c r="K33" s="15">
        <f t="array" ref="K33">INDEX(MatchHistory!$H:$H,MATCH(1,(MatchHistory!$B:$B=$A33)*(MatchHistory!$H:$H&lt;&gt;""),0))</f>
        <v>5.579500379</v>
      </c>
      <c r="L33" s="16">
        <f t="array" ref="L33">INDEX(MatchHistory!$J:$J,MATCH(1,(MatchHistory!$B:$B=$A33)*(MatchHistory!$J:$J&lt;&gt;""),0))</f>
        <v>1183</v>
      </c>
    </row>
    <row r="34">
      <c r="A34" s="10" t="s">
        <v>48</v>
      </c>
      <c r="B34" s="25">
        <f>COUNTIFS(MatchHistory!$B:$B, $A34, MatchHistory!$C:$C, "Town")</f>
        <v>3</v>
      </c>
      <c r="C34" s="25">
        <f>COUNTIFS(MatchHistory!B:B, A34, MatchHistory!C:C, "Town", MatchHistory!D:D, "Win")</f>
        <v>2</v>
      </c>
      <c r="D34" s="26">
        <f>IFERROR(__xludf.DUMMYFUNCTION("IF(EQ($B34, 0), TO_PERCENT(0), TO_PERCENT($C34/$B34))"),0.6666666666666666)</f>
        <v>0.6666666667</v>
      </c>
      <c r="E34" s="25">
        <f>COUNTIFS(MatchHistory!$B:$B, $A34, MatchHistory!$C:$C, "Mafia")</f>
        <v>1</v>
      </c>
      <c r="F34" s="25">
        <f>COUNTIFS(MatchHistory!$B:$B, $A34, MatchHistory!$C:$C, "Mafia", MatchHistory!$D:$D, "Win")</f>
        <v>1</v>
      </c>
      <c r="G34" s="26">
        <f>IFERROR(__xludf.DUMMYFUNCTION("TO_PERCENT(IFERROR($F34/$E34, 0))"),1.0)</f>
        <v>1</v>
      </c>
      <c r="H34" s="27">
        <f t="shared" si="1"/>
        <v>4</v>
      </c>
      <c r="I34" s="26">
        <f>IFERROR(__xludf.DUMMYFUNCTION("TO_PERCENT(IFERROR(($F34+$C34)/($E34+$B34), 0))"),0.75)</f>
        <v>0.75</v>
      </c>
      <c r="J34" s="28">
        <f t="array" ref="J34">INDEX(MatchHistory!$G:$G,MATCH(1,(MatchHistory!$B:$B=$A34)*(MatchHistory!$G:$G&lt;&gt;""),0))</f>
        <v>29.1359735</v>
      </c>
      <c r="K34" s="29">
        <f t="array" ref="K34">INDEX(MatchHistory!$H:$H,MATCH(1,(MatchHistory!$B:$B=$A34)*(MatchHistory!$H:$H&lt;&gt;""),0))</f>
        <v>8.004812674</v>
      </c>
      <c r="L34" s="30">
        <f t="array" ref="L34">INDEX(MatchHistory!$J:$J,MATCH(1,(MatchHistory!$B:$B=$A34)*(MatchHistory!$J:$J&lt;&gt;""),0))</f>
        <v>1165</v>
      </c>
    </row>
    <row r="35">
      <c r="A35" s="17" t="s">
        <v>49</v>
      </c>
      <c r="B35" s="25">
        <f>COUNTIFS(MatchHistory!$B:$B, $A35, MatchHistory!$C:$C, "Town")</f>
        <v>3</v>
      </c>
      <c r="C35" s="25">
        <f>COUNTIFS(MatchHistory!B:B, A35, MatchHistory!C:C, "Town", MatchHistory!D:D, "Win")</f>
        <v>3</v>
      </c>
      <c r="D35" s="26">
        <f>IFERROR(__xludf.DUMMYFUNCTION("IF(EQ($B35, 0), TO_PERCENT(0), TO_PERCENT($C35/$B35))"),1.0)</f>
        <v>1</v>
      </c>
      <c r="E35" s="25">
        <f>COUNTIFS(MatchHistory!$B:$B, $A35, MatchHistory!$C:$C, "Mafia")</f>
        <v>0</v>
      </c>
      <c r="F35" s="25">
        <f>COUNTIFS(MatchHistory!$B:$B, $A35, MatchHistory!$C:$C, "Mafia", MatchHistory!$D:$D, "Win")</f>
        <v>0</v>
      </c>
      <c r="G35" s="26">
        <f>IFERROR(__xludf.DUMMYFUNCTION("TO_PERCENT(IFERROR($F35/$E35, 0))"),0.0)</f>
        <v>0</v>
      </c>
      <c r="H35" s="27">
        <f t="shared" si="1"/>
        <v>3</v>
      </c>
      <c r="I35" s="26">
        <f>IFERROR(__xludf.DUMMYFUNCTION("TO_PERCENT(IFERROR(($F35+$C35)/($E35+$B35), 0))"),1.0)</f>
        <v>1</v>
      </c>
      <c r="J35" s="28">
        <f t="array" ref="J35">INDEX(MatchHistory!$G:$G,MATCH(1,(MatchHistory!$B:$B=$A35)*(MatchHistory!$G:$G&lt;&gt;""),0))</f>
        <v>29.24910843</v>
      </c>
      <c r="K35" s="29">
        <f t="array" ref="K35">INDEX(MatchHistory!$H:$H,MATCH(1,(MatchHistory!$B:$B=$A35)*(MatchHistory!$H:$H&lt;&gt;""),0))</f>
        <v>8.128299493</v>
      </c>
      <c r="L35" s="30">
        <f t="array" ref="L35">INDEX(MatchHistory!$J:$J,MATCH(1,(MatchHistory!$B:$B=$A35)*(MatchHistory!$J:$J&lt;&gt;""),0))</f>
        <v>1160</v>
      </c>
    </row>
    <row r="36">
      <c r="A36" s="10" t="s">
        <v>50</v>
      </c>
      <c r="B36" s="11">
        <f>COUNTIFS(MatchHistory!$B:$B, $A36, MatchHistory!$C:$C, "Town")</f>
        <v>31</v>
      </c>
      <c r="C36" s="11">
        <f>COUNTIFS(MatchHistory!B:B, A36, MatchHistory!C:C, "Town", MatchHistory!D:D, "Win")</f>
        <v>11</v>
      </c>
      <c r="D36" s="12">
        <f>IFERROR(__xludf.DUMMYFUNCTION("IF(EQ($B36, 0), TO_PERCENT(0), TO_PERCENT($C36/$B36))"),0.3548387096774194)</f>
        <v>0.3548387097</v>
      </c>
      <c r="E36" s="11">
        <f>COUNTIFS(MatchHistory!$B:$B, $A36, MatchHistory!$C:$C, "Mafia")</f>
        <v>7</v>
      </c>
      <c r="F36" s="11">
        <f>COUNTIFS(MatchHistory!$B:$B, $A36, MatchHistory!$C:$C, "Mafia", MatchHistory!$D:$D, "Win")</f>
        <v>2</v>
      </c>
      <c r="G36" s="12">
        <f>IFERROR(__xludf.DUMMYFUNCTION("TO_PERCENT(IFERROR($F36/$E36, 0))"),0.2857142857142857)</f>
        <v>0.2857142857</v>
      </c>
      <c r="H36" s="13">
        <f t="shared" si="1"/>
        <v>38</v>
      </c>
      <c r="I36" s="12">
        <f>IFERROR(__xludf.DUMMYFUNCTION("TO_PERCENT(IFERROR(($F36+$C36)/($E36+$B36), 0))"),0.34210526315789475)</f>
        <v>0.3421052632</v>
      </c>
      <c r="J36" s="14">
        <f t="array" ref="J36">INDEX(MatchHistory!$G:$G,MATCH(1,(MatchHistory!$B:$B=$A36)*(MatchHistory!$G:$G&lt;&gt;""),0))</f>
        <v>26.68096065</v>
      </c>
      <c r="K36" s="15">
        <f t="array" ref="K36">INDEX(MatchHistory!$H:$H,MATCH(1,(MatchHistory!$B:$B=$A36)*(MatchHistory!$H:$H&lt;&gt;""),0))</f>
        <v>6.484569157</v>
      </c>
      <c r="L36" s="16">
        <f t="array" ref="L36">INDEX(MatchHistory!$J:$J,MATCH(1,(MatchHistory!$B:$B=$A36)*(MatchHistory!$J:$J&lt;&gt;""),0))</f>
        <v>1153</v>
      </c>
    </row>
    <row r="37">
      <c r="A37" s="24" t="s">
        <v>51</v>
      </c>
      <c r="B37" s="25">
        <f>COUNTIFS(MatchHistory!$B:$B, $A37, MatchHistory!$C:$C, "Town")</f>
        <v>4</v>
      </c>
      <c r="C37" s="25">
        <f>COUNTIFS(MatchHistory!B:B, A37, MatchHistory!C:C, "Town", MatchHistory!D:D, "Win")</f>
        <v>3</v>
      </c>
      <c r="D37" s="26">
        <f>IFERROR(__xludf.DUMMYFUNCTION("IF(EQ($B37, 0), TO_PERCENT(0), TO_PERCENT($C37/$B37))"),0.75)</f>
        <v>0.75</v>
      </c>
      <c r="E37" s="25">
        <f>COUNTIFS(MatchHistory!$B:$B, $A37, MatchHistory!$C:$C, "Mafia")</f>
        <v>0</v>
      </c>
      <c r="F37" s="25">
        <f>COUNTIFS(MatchHistory!$B:$B, $A37, MatchHistory!$C:$C, "Mafia", MatchHistory!$D:$D, "Win")</f>
        <v>0</v>
      </c>
      <c r="G37" s="26">
        <f>IFERROR(__xludf.DUMMYFUNCTION("TO_PERCENT(IFERROR($F37/$E37, 0))"),0.0)</f>
        <v>0</v>
      </c>
      <c r="H37" s="27">
        <f t="shared" si="1"/>
        <v>4</v>
      </c>
      <c r="I37" s="26">
        <f>IFERROR(__xludf.DUMMYFUNCTION("TO_PERCENT(IFERROR(($F37+$C37)/($E37+$B37), 0))"),0.75)</f>
        <v>0.75</v>
      </c>
      <c r="J37" s="28">
        <f t="array" ref="J37">INDEX(MatchHistory!$G:$G,MATCH(1,(MatchHistory!$B:$B=$A37)*(MatchHistory!$G:$G&lt;&gt;""),0))</f>
        <v>28.70642941</v>
      </c>
      <c r="K37" s="29">
        <f t="array" ref="K37">INDEX(MatchHistory!$H:$H,MATCH(1,(MatchHistory!$B:$B=$A37)*(MatchHistory!$H:$H&lt;&gt;""),0))</f>
        <v>8.047469826</v>
      </c>
      <c r="L37" s="30">
        <f t="array" ref="L37">INDEX(MatchHistory!$J:$J,MATCH(1,(MatchHistory!$B:$B=$A37)*(MatchHistory!$J:$J&lt;&gt;""),0))</f>
        <v>1131</v>
      </c>
    </row>
    <row r="38">
      <c r="A38" s="10" t="s">
        <v>52</v>
      </c>
      <c r="B38" s="25">
        <f>COUNTIFS(MatchHistory!$B:$B, $A38, MatchHistory!$C:$C, "Town")</f>
        <v>4</v>
      </c>
      <c r="C38" s="25">
        <f>COUNTIFS(MatchHistory!B:B, A38, MatchHistory!C:C, "Town", MatchHistory!D:D, "Win")</f>
        <v>3</v>
      </c>
      <c r="D38" s="26">
        <f>IFERROR(__xludf.DUMMYFUNCTION("IF(EQ($B38, 0), TO_PERCENT(0), TO_PERCENT($C38/$B38))"),0.75)</f>
        <v>0.75</v>
      </c>
      <c r="E38" s="25">
        <f>COUNTIFS(MatchHistory!$B:$B, $A38, MatchHistory!$C:$C, "Mafia")</f>
        <v>1</v>
      </c>
      <c r="F38" s="25">
        <f>COUNTIFS(MatchHistory!$B:$B, $A38, MatchHistory!$C:$C, "Mafia", MatchHistory!$D:$D, "Win")</f>
        <v>1</v>
      </c>
      <c r="G38" s="26">
        <f>IFERROR(__xludf.DUMMYFUNCTION("TO_PERCENT(IFERROR($F38/$E38, 0))"),1.0)</f>
        <v>1</v>
      </c>
      <c r="H38" s="27">
        <f t="shared" si="1"/>
        <v>5</v>
      </c>
      <c r="I38" s="26">
        <f>IFERROR(__xludf.DUMMYFUNCTION("TO_PERCENT(IFERROR(($F38+$C38)/($E38+$B38), 0))"),0.8)</f>
        <v>0.8</v>
      </c>
      <c r="J38" s="28">
        <f t="array" ref="J38">INDEX(MatchHistory!$G:$G,MATCH(1,(MatchHistory!$B:$B=$A38)*(MatchHistory!$G:$G&lt;&gt;""),0))</f>
        <v>28.68687128</v>
      </c>
      <c r="K38" s="29">
        <f t="array" ref="K38">INDEX(MatchHistory!$H:$H,MATCH(1,(MatchHistory!$B:$B=$A38)*(MatchHistory!$H:$H&lt;&gt;""),0))</f>
        <v>8.049735471</v>
      </c>
      <c r="L38" s="30">
        <f t="array" ref="L38">INDEX(MatchHistory!$J:$J,MATCH(1,(MatchHistory!$B:$B=$A38)*(MatchHistory!$J:$J&lt;&gt;""),0))</f>
        <v>1130</v>
      </c>
    </row>
    <row r="39">
      <c r="A39" s="23" t="s">
        <v>53</v>
      </c>
      <c r="B39" s="25">
        <f>COUNTIFS(MatchHistory!$B:$B, $A39, MatchHistory!$C:$C, "Town")</f>
        <v>5</v>
      </c>
      <c r="C39" s="25">
        <f>COUNTIFS(MatchHistory!B:B, A39, MatchHistory!C:C, "Town", MatchHistory!D:D, "Win")</f>
        <v>3</v>
      </c>
      <c r="D39" s="26">
        <f>IFERROR(__xludf.DUMMYFUNCTION("IF(EQ($B39, 0), TO_PERCENT(0), TO_PERCENT($C39/$B39))"),0.6)</f>
        <v>0.6</v>
      </c>
      <c r="E39" s="25">
        <f>COUNTIFS(MatchHistory!$B:$B, $A39, MatchHistory!$C:$C, "Mafia")</f>
        <v>1</v>
      </c>
      <c r="F39" s="25">
        <f>COUNTIFS(MatchHistory!$B:$B, $A39, MatchHistory!$C:$C, "Mafia", MatchHistory!$D:$D, "Win")</f>
        <v>1</v>
      </c>
      <c r="G39" s="26">
        <f>IFERROR(__xludf.DUMMYFUNCTION("TO_PERCENT(IFERROR($F39/$E39, 0))"),1.0)</f>
        <v>1</v>
      </c>
      <c r="H39" s="27">
        <f t="shared" si="1"/>
        <v>6</v>
      </c>
      <c r="I39" s="26">
        <f>IFERROR(__xludf.DUMMYFUNCTION("TO_PERCENT(IFERROR(($F39+$C39)/($E39+$B39), 0))"),0.6666666666666666)</f>
        <v>0.6666666667</v>
      </c>
      <c r="J39" s="28">
        <f t="array" ref="J39">INDEX(MatchHistory!$G:$G,MATCH(1,(MatchHistory!$B:$B=$A39)*(MatchHistory!$G:$G&lt;&gt;""),0))</f>
        <v>28.39763135</v>
      </c>
      <c r="K39" s="29">
        <f t="array" ref="K39">INDEX(MatchHistory!$H:$H,MATCH(1,(MatchHistory!$B:$B=$A39)*(MatchHistory!$H:$H&lt;&gt;""),0))</f>
        <v>7.996745465</v>
      </c>
      <c r="L39" s="30">
        <f t="array" ref="L39">INDEX(MatchHistory!$J:$J,MATCH(1,(MatchHistory!$B:$B=$A39)*(MatchHistory!$J:$J&lt;&gt;""),0))</f>
        <v>1115</v>
      </c>
    </row>
    <row r="40">
      <c r="A40" s="37" t="s">
        <v>54</v>
      </c>
      <c r="B40" s="38">
        <f>COUNTIFS(MatchHistory!$B:$B, $A40, MatchHistory!$C:$C, "Town")</f>
        <v>5</v>
      </c>
      <c r="C40" s="32">
        <f>COUNTIFS(MatchHistory!B:B, A40, MatchHistory!C:C, "Town", MatchHistory!D:D, "Win")</f>
        <v>2</v>
      </c>
      <c r="D40" s="33">
        <f>IFERROR(__xludf.DUMMYFUNCTION("IF(EQ($B40, 0), TO_PERCENT(0), TO_PERCENT($C40/$B40))"),0.4)</f>
        <v>0.4</v>
      </c>
      <c r="E40" s="32">
        <f>COUNTIFS(MatchHistory!$B:$B, $A40, MatchHistory!$C:$C, "Mafia")</f>
        <v>1</v>
      </c>
      <c r="F40" s="32">
        <f>COUNTIFS(MatchHistory!$B:$B, $A40, MatchHistory!$C:$C, "Mafia", MatchHistory!$D:$D, "Win")</f>
        <v>1</v>
      </c>
      <c r="G40" s="33">
        <f>IFERROR(__xludf.DUMMYFUNCTION("TO_PERCENT(IFERROR($F40/$E40, 0))"),1.0)</f>
        <v>1</v>
      </c>
      <c r="H40" s="32">
        <f t="shared" si="1"/>
        <v>6</v>
      </c>
      <c r="I40" s="33">
        <f>IFERROR(__xludf.DUMMYFUNCTION("TO_PERCENT(IFERROR(($F40+$C40)/($E40+$B40), 0))"),0.5)</f>
        <v>0.5</v>
      </c>
      <c r="J40" s="34">
        <f t="array" ref="J40">INDEX(MatchHistory!$G:$G,MATCH(1,(MatchHistory!$B:$B=$A40)*(MatchHistory!$G:$G&lt;&gt;""),0))</f>
        <v>28.09860938</v>
      </c>
      <c r="K40" s="35">
        <f t="array" ref="K40">INDEX(MatchHistory!$H:$H,MATCH(1,(MatchHistory!$B:$B=$A40)*(MatchHistory!$H:$H&lt;&gt;""),0))</f>
        <v>7.896851503</v>
      </c>
      <c r="L40" s="36">
        <f t="array" ref="L40">INDEX(MatchHistory!$J:$J,MATCH(1,(MatchHistory!$B:$B=$A40)*(MatchHistory!$J:$J&lt;&gt;""),0))</f>
        <v>1105</v>
      </c>
    </row>
    <row r="41">
      <c r="A41" s="10" t="s">
        <v>55</v>
      </c>
      <c r="B41" s="25">
        <f>COUNTIFS(MatchHistory!$B:$B, $A41, MatchHistory!$C:$C, "Town")</f>
        <v>6</v>
      </c>
      <c r="C41" s="25">
        <f>COUNTIFS(MatchHistory!B:B, A41, MatchHistory!C:C, "Town", MatchHistory!D:D, "Win")</f>
        <v>4</v>
      </c>
      <c r="D41" s="26">
        <f>IFERROR(__xludf.DUMMYFUNCTION("IF(EQ($B41, 0), TO_PERCENT(0), TO_PERCENT($C41/$B41))"),0.6666666666666666)</f>
        <v>0.6666666667</v>
      </c>
      <c r="E41" s="25">
        <f>COUNTIFS(MatchHistory!$B:$B, $A41, MatchHistory!$C:$C, "Mafia")</f>
        <v>2</v>
      </c>
      <c r="F41" s="25">
        <f>COUNTIFS(MatchHistory!$B:$B, $A41, MatchHistory!$C:$C, "Mafia", MatchHistory!$D:$D, "Win")</f>
        <v>1</v>
      </c>
      <c r="G41" s="26">
        <f>IFERROR(__xludf.DUMMYFUNCTION("TO_PERCENT(IFERROR($F41/$E41, 0))"),0.5)</f>
        <v>0.5</v>
      </c>
      <c r="H41" s="27">
        <f t="shared" si="1"/>
        <v>8</v>
      </c>
      <c r="I41" s="26">
        <f>IFERROR(__xludf.DUMMYFUNCTION("TO_PERCENT(IFERROR(($F41+$C41)/($E41+$B41), 0))"),0.625)</f>
        <v>0.625</v>
      </c>
      <c r="J41" s="28">
        <f t="array" ref="J41">INDEX(MatchHistory!$G:$G,MATCH(1,(MatchHistory!$B:$B=$A41)*(MatchHistory!$G:$G&lt;&gt;""),0))</f>
        <v>28.04598115</v>
      </c>
      <c r="K41" s="29">
        <f t="array" ref="K41">INDEX(MatchHistory!$H:$H,MATCH(1,(MatchHistory!$B:$B=$A41)*(MatchHistory!$H:$H&lt;&gt;""),0))</f>
        <v>7.879421668</v>
      </c>
      <c r="L41" s="30">
        <f t="array" ref="L41">INDEX(MatchHistory!$J:$J,MATCH(1,(MatchHistory!$B:$B=$A41)*(MatchHistory!$J:$J&lt;&gt;""),0))</f>
        <v>1103</v>
      </c>
    </row>
    <row r="42">
      <c r="A42" s="24" t="s">
        <v>56</v>
      </c>
      <c r="B42" s="25">
        <f>COUNTIFS(MatchHistory!$B:$B, $A42, MatchHistory!$C:$C, "Town")</f>
        <v>13</v>
      </c>
      <c r="C42" s="25">
        <f>COUNTIFS(MatchHistory!B:B, A42, MatchHistory!C:C, "Town", MatchHistory!D:D, "Win")</f>
        <v>3</v>
      </c>
      <c r="D42" s="26">
        <f>IFERROR(__xludf.DUMMYFUNCTION("IF(EQ($B42, 0), TO_PERCENT(0), TO_PERCENT($C42/$B42))"),0.23076923076923078)</f>
        <v>0.2307692308</v>
      </c>
      <c r="E42" s="25">
        <f>COUNTIFS(MatchHistory!$B:$B, $A42, MatchHistory!$C:$C, "Mafia")</f>
        <v>3</v>
      </c>
      <c r="F42" s="25">
        <f>COUNTIFS(MatchHistory!$B:$B, $A42, MatchHistory!$C:$C, "Mafia", MatchHistory!$D:$D, "Win")</f>
        <v>3</v>
      </c>
      <c r="G42" s="26">
        <f>IFERROR(__xludf.DUMMYFUNCTION("TO_PERCENT(IFERROR($F42/$E42, 0))"),1.0)</f>
        <v>1</v>
      </c>
      <c r="H42" s="27">
        <f t="shared" si="1"/>
        <v>16</v>
      </c>
      <c r="I42" s="26">
        <f>IFERROR(__xludf.DUMMYFUNCTION("TO_PERCENT(IFERROR(($F42+$C42)/($E42+$B42), 0))"),0.375)</f>
        <v>0.375</v>
      </c>
      <c r="J42" s="28">
        <f t="array" ref="J42">INDEX(MatchHistory!$G:$G,MATCH(1,(MatchHistory!$B:$B=$A42)*(MatchHistory!$G:$G&lt;&gt;""),0))</f>
        <v>27.21858989</v>
      </c>
      <c r="K42" s="29">
        <f t="array" ref="K42">INDEX(MatchHistory!$H:$H,MATCH(1,(MatchHistory!$B:$B=$A42)*(MatchHistory!$H:$H&lt;&gt;""),0))</f>
        <v>7.368480996</v>
      </c>
      <c r="L42" s="30">
        <f t="array" ref="L42">INDEX(MatchHistory!$J:$J,MATCH(1,(MatchHistory!$B:$B=$A42)*(MatchHistory!$J:$J&lt;&gt;""),0))</f>
        <v>1099</v>
      </c>
    </row>
    <row r="43">
      <c r="A43" s="31" t="s">
        <v>57</v>
      </c>
      <c r="B43" s="32">
        <f>COUNTIFS(MatchHistory!$B:$B, $A43, MatchHistory!$C:$C, "Town")</f>
        <v>4</v>
      </c>
      <c r="C43" s="32">
        <f>COUNTIFS(MatchHistory!B:B, A43, MatchHistory!C:C, "Town", MatchHistory!D:D, "Win")</f>
        <v>2</v>
      </c>
      <c r="D43" s="33">
        <f>IFERROR(__xludf.DUMMYFUNCTION("IF(EQ($B43, 0), TO_PERCENT(0), TO_PERCENT($C43/$B43))"),0.5)</f>
        <v>0.5</v>
      </c>
      <c r="E43" s="32">
        <f>COUNTIFS(MatchHistory!$B:$B, $A43, MatchHistory!$C:$C, "Mafia")</f>
        <v>1</v>
      </c>
      <c r="F43" s="32">
        <f>COUNTIFS(MatchHistory!$B:$B, $A43, MatchHistory!$C:$C, "Mafia", MatchHistory!$D:$D, "Win")</f>
        <v>1</v>
      </c>
      <c r="G43" s="33">
        <f>IFERROR(__xludf.DUMMYFUNCTION("TO_PERCENT(IFERROR($F43/$E43, 0))"),1.0)</f>
        <v>1</v>
      </c>
      <c r="H43" s="32">
        <f t="shared" si="1"/>
        <v>5</v>
      </c>
      <c r="I43" s="33">
        <f>IFERROR(__xludf.DUMMYFUNCTION("TO_PERCENT(IFERROR(($F43+$C43)/($E43+$B43), 0))"),0.6)</f>
        <v>0.6</v>
      </c>
      <c r="J43" s="34">
        <f t="array" ref="J43">INDEX(MatchHistory!$G:$G,MATCH(1,(MatchHistory!$B:$B=$A43)*(MatchHistory!$G:$G&lt;&gt;""),0))</f>
        <v>27.88410942</v>
      </c>
      <c r="K43" s="35">
        <f t="array" ref="K43">INDEX(MatchHistory!$H:$H,MATCH(1,(MatchHistory!$B:$B=$A43)*(MatchHistory!$H:$H&lt;&gt;""),0))</f>
        <v>7.972560872</v>
      </c>
      <c r="L43" s="36">
        <f t="array" ref="L43">INDEX(MatchHistory!$J:$J,MATCH(1,(MatchHistory!$B:$B=$A43)*(MatchHistory!$J:$J&lt;&gt;""),0))</f>
        <v>1083</v>
      </c>
    </row>
    <row r="44">
      <c r="A44" s="10" t="s">
        <v>58</v>
      </c>
      <c r="B44" s="11">
        <f>COUNTIFS(MatchHistory!$B:$B, $A44, MatchHistory!$C:$C, "Town")</f>
        <v>7</v>
      </c>
      <c r="C44" s="11">
        <f>COUNTIFS(MatchHistory!B:B, A44, MatchHistory!C:C, "Town", MatchHistory!D:D, "Win")</f>
        <v>2</v>
      </c>
      <c r="D44" s="12">
        <f>IFERROR(__xludf.DUMMYFUNCTION("IF(EQ($B44, 0), TO_PERCENT(0), TO_PERCENT($C44/$B44))"),0.2857142857142857)</f>
        <v>0.2857142857</v>
      </c>
      <c r="E44" s="11">
        <f>COUNTIFS(MatchHistory!$B:$B, $A44, MatchHistory!$C:$C, "Mafia")</f>
        <v>3</v>
      </c>
      <c r="F44" s="11">
        <f>COUNTIFS(MatchHistory!$B:$B, $A44, MatchHistory!$C:$C, "Mafia", MatchHistory!$D:$D, "Win")</f>
        <v>3</v>
      </c>
      <c r="G44" s="12">
        <f>IFERROR(__xludf.DUMMYFUNCTION("TO_PERCENT(IFERROR($F44/$E44, 0))"),1.0)</f>
        <v>1</v>
      </c>
      <c r="H44" s="13">
        <f t="shared" si="1"/>
        <v>10</v>
      </c>
      <c r="I44" s="12">
        <f>IFERROR(__xludf.DUMMYFUNCTION("TO_PERCENT(IFERROR(($F44+$C44)/($E44+$B44), 0))"),0.5)</f>
        <v>0.5</v>
      </c>
      <c r="J44" s="14">
        <f t="array" ref="J44">INDEX(MatchHistory!$G:$G,MATCH(1,(MatchHistory!$B:$B=$A44)*(MatchHistory!$G:$G&lt;&gt;""),0))</f>
        <v>27.38112984</v>
      </c>
      <c r="K44" s="15">
        <f t="array" ref="K44">INDEX(MatchHistory!$H:$H,MATCH(1,(MatchHistory!$B:$B=$A44)*(MatchHistory!$H:$H&lt;&gt;""),0))</f>
        <v>7.662039358</v>
      </c>
      <c r="L44" s="16">
        <f t="array" ref="L44">INDEX(MatchHistory!$J:$J,MATCH(1,(MatchHistory!$B:$B=$A44)*(MatchHistory!$J:$J&lt;&gt;""),0))</f>
        <v>1080</v>
      </c>
    </row>
    <row r="45">
      <c r="A45" s="10" t="s">
        <v>59</v>
      </c>
      <c r="B45" s="25">
        <f>COUNTIFS(MatchHistory!$B:$B, $A45, MatchHistory!$C:$C, "Town")</f>
        <v>3</v>
      </c>
      <c r="C45" s="25">
        <f>COUNTIFS(MatchHistory!B:B, A45, MatchHistory!C:C, "Town", MatchHistory!D:D, "Win")</f>
        <v>2</v>
      </c>
      <c r="D45" s="26">
        <f>IFERROR(__xludf.DUMMYFUNCTION("IF(EQ($B45, 0), TO_PERCENT(0), TO_PERCENT($C45/$B45))"),0.6666666666666666)</f>
        <v>0.6666666667</v>
      </c>
      <c r="E45" s="25">
        <f>COUNTIFS(MatchHistory!$B:$B, $A45, MatchHistory!$C:$C, "Mafia")</f>
        <v>0</v>
      </c>
      <c r="F45" s="25">
        <f>COUNTIFS(MatchHistory!$B:$B, $A45, MatchHistory!$C:$C, "Mafia", MatchHistory!$D:$D, "Win")</f>
        <v>0</v>
      </c>
      <c r="G45" s="26">
        <f>IFERROR(__xludf.DUMMYFUNCTION("TO_PERCENT(IFERROR($F45/$E45, 0))"),0.0)</f>
        <v>0</v>
      </c>
      <c r="H45" s="27">
        <f t="shared" si="1"/>
        <v>3</v>
      </c>
      <c r="I45" s="26">
        <f>IFERROR(__xludf.DUMMYFUNCTION("TO_PERCENT(IFERROR(($F45+$C45)/($E45+$B45), 0))"),0.6666666666666666)</f>
        <v>0.6666666667</v>
      </c>
      <c r="J45" s="28">
        <f t="array" ref="J45">INDEX(MatchHistory!$G:$G,MATCH(1,(MatchHistory!$B:$B=$A45)*(MatchHistory!$G:$G&lt;&gt;""),0))</f>
        <v>28.00353382</v>
      </c>
      <c r="K45" s="29">
        <f t="array" ref="K45">INDEX(MatchHistory!$H:$H,MATCH(1,(MatchHistory!$B:$B=$A45)*(MatchHistory!$H:$H&lt;&gt;""),0))</f>
        <v>8.126368457</v>
      </c>
      <c r="L45" s="30">
        <f t="array" ref="L45">INDEX(MatchHistory!$J:$J,MATCH(1,(MatchHistory!$B:$B=$A45)*(MatchHistory!$J:$J&lt;&gt;""),0))</f>
        <v>1075</v>
      </c>
    </row>
    <row r="46">
      <c r="A46" s="17" t="s">
        <v>60</v>
      </c>
      <c r="B46" s="25">
        <f>COUNTIFS(MatchHistory!$B:$B, $A46, MatchHistory!$C:$C, "Town")</f>
        <v>2</v>
      </c>
      <c r="C46" s="25">
        <f>COUNTIFS(MatchHistory!B:B, A46, MatchHistory!C:C, "Town", MatchHistory!D:D, "Win")</f>
        <v>2</v>
      </c>
      <c r="D46" s="26">
        <f>IFERROR(__xludf.DUMMYFUNCTION("IF(EQ($B46, 0), TO_PERCENT(0), TO_PERCENT($C46/$B46))"),1.0)</f>
        <v>1</v>
      </c>
      <c r="E46" s="25">
        <f>COUNTIFS(MatchHistory!$B:$B, $A46, MatchHistory!$C:$C, "Mafia")</f>
        <v>0</v>
      </c>
      <c r="F46" s="25">
        <f>COUNTIFS(MatchHistory!$B:$B, $A46, MatchHistory!$C:$C, "Mafia", MatchHistory!$D:$D, "Win")</f>
        <v>0</v>
      </c>
      <c r="G46" s="26">
        <f>IFERROR(__xludf.DUMMYFUNCTION("TO_PERCENT(IFERROR($F46/$E46, 0))"),0.0)</f>
        <v>0</v>
      </c>
      <c r="H46" s="27">
        <f t="shared" si="1"/>
        <v>2</v>
      </c>
      <c r="I46" s="26">
        <f>IFERROR(__xludf.DUMMYFUNCTION("TO_PERCENT(IFERROR(($F46+$C46)/($E46+$B46), 0))"),1.0)</f>
        <v>1</v>
      </c>
      <c r="J46" s="28">
        <f t="array" ref="J46">INDEX(MatchHistory!$G:$G,MATCH(1,(MatchHistory!$B:$B=$A46)*(MatchHistory!$G:$G&lt;&gt;""),0))</f>
        <v>27.86461842</v>
      </c>
      <c r="K46" s="29">
        <f t="array" ref="K46">INDEX(MatchHistory!$H:$H,MATCH(1,(MatchHistory!$B:$B=$A46)*(MatchHistory!$H:$H&lt;&gt;""),0))</f>
        <v>8.177630965</v>
      </c>
      <c r="L46" s="30">
        <f t="array" ref="L46">INDEX(MatchHistory!$J:$J,MATCH(1,(MatchHistory!$B:$B=$A46)*(MatchHistory!$J:$J&lt;&gt;""),0))</f>
        <v>1061</v>
      </c>
    </row>
    <row r="47">
      <c r="A47" s="10" t="s">
        <v>61</v>
      </c>
      <c r="B47" s="25">
        <f>COUNTIFS(MatchHistory!$B:$B, $A47, MatchHistory!$C:$C, "Town")</f>
        <v>1</v>
      </c>
      <c r="C47" s="25">
        <f>COUNTIFS(MatchHistory!B:B, A47, MatchHistory!C:C, "Town", MatchHistory!D:D, "Win")</f>
        <v>1</v>
      </c>
      <c r="D47" s="26">
        <f>IFERROR(__xludf.DUMMYFUNCTION("IF(EQ($B47, 0), TO_PERCENT(0), TO_PERCENT($C47/$B47))"),1.0)</f>
        <v>1</v>
      </c>
      <c r="E47" s="25">
        <f>COUNTIFS(MatchHistory!$B:$B, $A47, MatchHistory!$C:$C, "Mafia")</f>
        <v>1</v>
      </c>
      <c r="F47" s="25">
        <f>COUNTIFS(MatchHistory!$B:$B, $A47, MatchHistory!$C:$C, "Mafia", MatchHistory!$D:$D, "Win")</f>
        <v>1</v>
      </c>
      <c r="G47" s="26">
        <f>IFERROR(__xludf.DUMMYFUNCTION("TO_PERCENT(IFERROR($F47/$E47, 0))"),1.0)</f>
        <v>1</v>
      </c>
      <c r="H47" s="27">
        <f t="shared" si="1"/>
        <v>2</v>
      </c>
      <c r="I47" s="26">
        <f>IFERROR(__xludf.DUMMYFUNCTION("TO_PERCENT(IFERROR(($F47+$C47)/($E47+$B47), 0))"),1.0)</f>
        <v>1</v>
      </c>
      <c r="J47" s="28">
        <f t="array" ref="J47">INDEX(MatchHistory!$G:$G,MATCH(1,(MatchHistory!$B:$B=$A47)*(MatchHistory!$G:$G&lt;&gt;""),0))</f>
        <v>27.57639195</v>
      </c>
      <c r="K47" s="29">
        <f t="array" ref="K47">INDEX(MatchHistory!$H:$H,MATCH(1,(MatchHistory!$B:$B=$A47)*(MatchHistory!$H:$H&lt;&gt;""),0))</f>
        <v>8.20844442</v>
      </c>
      <c r="L47" s="30">
        <f t="array" ref="L47">INDEX(MatchHistory!$J:$J,MATCH(1,(MatchHistory!$B:$B=$A47)*(MatchHistory!$J:$J&lt;&gt;""),0))</f>
        <v>1038</v>
      </c>
    </row>
    <row r="48">
      <c r="A48" s="37" t="s">
        <v>62</v>
      </c>
      <c r="B48" s="38">
        <f>COUNTIFS(MatchHistory!$B:$B, $A48, MatchHistory!$C:$C, "Town")</f>
        <v>4</v>
      </c>
      <c r="C48" s="32">
        <f>COUNTIFS(MatchHistory!B:B, A48, MatchHistory!C:C, "Town", MatchHistory!D:D, "Win")</f>
        <v>1</v>
      </c>
      <c r="D48" s="33">
        <f>IFERROR(__xludf.DUMMYFUNCTION("IF(EQ($B48, 0), TO_PERCENT(0), TO_PERCENT($C48/$B48))"),0.25)</f>
        <v>0.25</v>
      </c>
      <c r="E48" s="32">
        <f>COUNTIFS(MatchHistory!$B:$B, $A48, MatchHistory!$C:$C, "Mafia")</f>
        <v>1</v>
      </c>
      <c r="F48" s="32">
        <f>COUNTIFS(MatchHistory!$B:$B, $A48, MatchHistory!$C:$C, "Mafia", MatchHistory!$D:$D, "Win")</f>
        <v>1</v>
      </c>
      <c r="G48" s="33">
        <f>IFERROR(__xludf.DUMMYFUNCTION("TO_PERCENT(IFERROR($F48/$E48, 0))"),1.0)</f>
        <v>1</v>
      </c>
      <c r="H48" s="32">
        <f t="shared" si="1"/>
        <v>5</v>
      </c>
      <c r="I48" s="33">
        <f>IFERROR(__xludf.DUMMYFUNCTION("TO_PERCENT(IFERROR(($F48+$C48)/($E48+$B48), 0))"),0.4)</f>
        <v>0.4</v>
      </c>
      <c r="J48" s="34">
        <f t="array" ref="J48">INDEX(MatchHistory!$G:$G,MATCH(1,(MatchHistory!$B:$B=$A48)*(MatchHistory!$G:$G&lt;&gt;""),0))</f>
        <v>27.13877822</v>
      </c>
      <c r="K48" s="35">
        <f t="array" ref="K48">INDEX(MatchHistory!$H:$H,MATCH(1,(MatchHistory!$B:$B=$A48)*(MatchHistory!$H:$H&lt;&gt;""),0))</f>
        <v>7.983952653</v>
      </c>
      <c r="L48" s="36">
        <f t="array" ref="L48">INDEX(MatchHistory!$J:$J,MATCH(1,(MatchHistory!$B:$B=$A48)*(MatchHistory!$J:$J&lt;&gt;""),0))</f>
        <v>1031</v>
      </c>
    </row>
    <row r="49">
      <c r="A49" s="31" t="s">
        <v>63</v>
      </c>
      <c r="B49" s="38">
        <f>COUNTIFS(MatchHistory!$B:$B, $A49, MatchHistory!$C:$C, "Town")</f>
        <v>3</v>
      </c>
      <c r="C49" s="39">
        <f>COUNTIFS(MatchHistory!B:B, A49, MatchHistory!C:C, "Town", MatchHistory!D:D, "Win")</f>
        <v>1</v>
      </c>
      <c r="D49" s="40">
        <f>IFERROR(__xludf.DUMMYFUNCTION("IF(EQ($B49, 0), TO_PERCENT(0), TO_PERCENT($C49/$B49))"),0.3333333333333333)</f>
        <v>0.3333333333</v>
      </c>
      <c r="E49" s="39">
        <f>COUNTIFS(MatchHistory!$B:$B, $A49, MatchHistory!$C:$C, "Mafia")</f>
        <v>1</v>
      </c>
      <c r="F49" s="39">
        <f>COUNTIFS(MatchHistory!$B:$B, $A49, MatchHistory!$C:$C, "Mafia", MatchHistory!$D:$D, "Win")</f>
        <v>1</v>
      </c>
      <c r="G49" s="40">
        <f>IFERROR(__xludf.DUMMYFUNCTION("TO_PERCENT(IFERROR($F49/$E49, 0))"),1.0)</f>
        <v>1</v>
      </c>
      <c r="H49" s="39">
        <f t="shared" si="1"/>
        <v>4</v>
      </c>
      <c r="I49" s="40">
        <f>IFERROR(__xludf.DUMMYFUNCTION("TO_PERCENT(IFERROR(($F49+$C49)/($E49+$B49), 0))"),0.5)</f>
        <v>0.5</v>
      </c>
      <c r="J49" s="41">
        <f t="array" ref="J49">INDEX(MatchHistory!$G:$G,MATCH(1,(MatchHistory!$B:$B=$A49)*(MatchHistory!$G:$G&lt;&gt;""),0))</f>
        <v>27.17531836</v>
      </c>
      <c r="K49" s="42">
        <f t="array" ref="K49">INDEX(MatchHistory!$H:$H,MATCH(1,(MatchHistory!$B:$B=$A49)*(MatchHistory!$H:$H&lt;&gt;""),0))</f>
        <v>8.105221026</v>
      </c>
      <c r="L49" s="16">
        <f t="array" ref="L49">INDEX(MatchHistory!$J:$J,MATCH(1,(MatchHistory!$B:$B=$A49)*(MatchHistory!$J:$J&lt;&gt;""),0))</f>
        <v>1021</v>
      </c>
    </row>
    <row r="50">
      <c r="A50" s="24" t="s">
        <v>64</v>
      </c>
      <c r="B50" s="25">
        <f>COUNTIFS(MatchHistory!$B:$B, $A50, MatchHistory!$C:$C, "Town")</f>
        <v>29</v>
      </c>
      <c r="C50" s="25">
        <f>COUNTIFS(MatchHistory!B:B, A50, MatchHistory!C:C, "Town", MatchHistory!D:D, "Win")</f>
        <v>12</v>
      </c>
      <c r="D50" s="26">
        <f>IFERROR(__xludf.DUMMYFUNCTION("IF(EQ($B50, 0), TO_PERCENT(0), TO_PERCENT($C50/$B50))"),0.41379310344827586)</f>
        <v>0.4137931034</v>
      </c>
      <c r="E50" s="25">
        <f>COUNTIFS(MatchHistory!$B:$B, $A50, MatchHistory!$C:$C, "Mafia")</f>
        <v>9</v>
      </c>
      <c r="F50" s="25">
        <f>COUNTIFS(MatchHistory!$B:$B, $A50, MatchHistory!$C:$C, "Mafia", MatchHistory!$D:$D, "Win")</f>
        <v>4</v>
      </c>
      <c r="G50" s="26">
        <f>IFERROR(__xludf.DUMMYFUNCTION("TO_PERCENT(IFERROR($F50/$E50, 0))"),0.4444444444444444)</f>
        <v>0.4444444444</v>
      </c>
      <c r="H50" s="27">
        <f t="shared" si="1"/>
        <v>38</v>
      </c>
      <c r="I50" s="26">
        <f>IFERROR(__xludf.DUMMYFUNCTION("TO_PERCENT(IFERROR(($F50+$C50)/($E50+$B50), 0))"),0.42105263157894735)</f>
        <v>0.4210526316</v>
      </c>
      <c r="J50" s="28">
        <f t="array" ref="J50">INDEX(MatchHistory!$G:$G,MATCH(1,(MatchHistory!$B:$B=$A50)*(MatchHistory!$G:$G&lt;&gt;""),0))</f>
        <v>24.67603198</v>
      </c>
      <c r="K50" s="29">
        <f t="array" ref="K50">INDEX(MatchHistory!$H:$H,MATCH(1,(MatchHistory!$B:$B=$A50)*(MatchHistory!$H:$H&lt;&gt;""),0))</f>
        <v>6.672384481</v>
      </c>
      <c r="L50" s="30">
        <f t="array" ref="L50">INDEX(MatchHistory!$J:$J,MATCH(1,(MatchHistory!$B:$B=$A50)*(MatchHistory!$J:$J&lt;&gt;""),0))</f>
        <v>997</v>
      </c>
    </row>
    <row r="51">
      <c r="A51" s="43" t="s">
        <v>65</v>
      </c>
      <c r="B51" s="11">
        <f>COUNTIFS(MatchHistory!$B:$B, $A51, MatchHistory!$C:$C, "Town")</f>
        <v>7</v>
      </c>
      <c r="C51" s="11">
        <f>COUNTIFS(MatchHistory!B:B, A51, MatchHistory!C:C, "Town", MatchHistory!D:D, "Win")</f>
        <v>3</v>
      </c>
      <c r="D51" s="12">
        <f>IFERROR(__xludf.DUMMYFUNCTION("IF(EQ($B51, 0), TO_PERCENT(0), TO_PERCENT($C51/$B51))"),0.42857142857142855)</f>
        <v>0.4285714286</v>
      </c>
      <c r="E51" s="11">
        <f>COUNTIFS(MatchHistory!$B:$B, $A51, MatchHistory!$C:$C, "Mafia")</f>
        <v>3</v>
      </c>
      <c r="F51" s="11">
        <f>COUNTIFS(MatchHistory!$B:$B, $A51, MatchHistory!$C:$C, "Mafia", MatchHistory!$D:$D, "Win")</f>
        <v>2</v>
      </c>
      <c r="G51" s="12">
        <f>IFERROR(__xludf.DUMMYFUNCTION("TO_PERCENT(IFERROR($F51/$E51, 0))"),0.6666666666666666)</f>
        <v>0.6666666667</v>
      </c>
      <c r="H51" s="13">
        <f t="shared" si="1"/>
        <v>10</v>
      </c>
      <c r="I51" s="12">
        <f>IFERROR(__xludf.DUMMYFUNCTION("TO_PERCENT(IFERROR(($F51+$C51)/($E51+$B51), 0))"),0.5)</f>
        <v>0.5</v>
      </c>
      <c r="J51" s="14">
        <f t="array" ref="J51">INDEX(MatchHistory!$G:$G,MATCH(1,(MatchHistory!$B:$B=$A51)*(MatchHistory!$G:$G&lt;&gt;""),0))</f>
        <v>26.03854321</v>
      </c>
      <c r="K51" s="15">
        <f t="array" ref="K51">INDEX(MatchHistory!$H:$H,MATCH(1,(MatchHistory!$B:$B=$A51)*(MatchHistory!$H:$H&lt;&gt;""),0))</f>
        <v>7.597382913</v>
      </c>
      <c r="L51" s="16">
        <f t="array" ref="L51">INDEX(MatchHistory!$J:$J,MATCH(1,(MatchHistory!$B:$B=$A51)*(MatchHistory!$J:$J&lt;&gt;""),0))</f>
        <v>996</v>
      </c>
    </row>
    <row r="52">
      <c r="A52" s="24" t="s">
        <v>66</v>
      </c>
      <c r="B52" s="25">
        <f>COUNTIFS(MatchHistory!$B:$B, $A52, MatchHistory!$C:$C, "Town")</f>
        <v>6</v>
      </c>
      <c r="C52" s="25">
        <f>COUNTIFS(MatchHistory!B:B, A52, MatchHistory!C:C, "Town", MatchHistory!D:D, "Win")</f>
        <v>3</v>
      </c>
      <c r="D52" s="26">
        <f>IFERROR(__xludf.DUMMYFUNCTION("IF(EQ($B52, 0), TO_PERCENT(0), TO_PERCENT($C52/$B52))"),0.5)</f>
        <v>0.5</v>
      </c>
      <c r="E52" s="25">
        <f>COUNTIFS(MatchHistory!$B:$B, $A52, MatchHistory!$C:$C, "Mafia")</f>
        <v>0</v>
      </c>
      <c r="F52" s="25">
        <f>COUNTIFS(MatchHistory!$B:$B, $A52, MatchHistory!$C:$C, "Mafia", MatchHistory!$D:$D, "Win")</f>
        <v>0</v>
      </c>
      <c r="G52" s="26">
        <f>IFERROR(__xludf.DUMMYFUNCTION("TO_PERCENT(IFERROR($F52/$E52, 0))"),0.0)</f>
        <v>0</v>
      </c>
      <c r="H52" s="27">
        <f t="shared" si="1"/>
        <v>6</v>
      </c>
      <c r="I52" s="26">
        <f>IFERROR(__xludf.DUMMYFUNCTION("TO_PERCENT(IFERROR(($F52+$C52)/($E52+$B52), 0))"),0.5)</f>
        <v>0.5</v>
      </c>
      <c r="J52" s="28">
        <f t="array" ref="J52">INDEX(MatchHistory!$G:$G,MATCH(1,(MatchHistory!$B:$B=$A52)*(MatchHistory!$G:$G&lt;&gt;""),0))</f>
        <v>26.59576786</v>
      </c>
      <c r="K52" s="29">
        <f t="array" ref="K52">INDEX(MatchHistory!$H:$H,MATCH(1,(MatchHistory!$B:$B=$A52)*(MatchHistory!$H:$H&lt;&gt;""),0))</f>
        <v>7.975389891</v>
      </c>
      <c r="L52" s="30">
        <f t="array" ref="L52">INDEX(MatchHistory!$J:$J,MATCH(1,(MatchHistory!$B:$B=$A52)*(MatchHistory!$J:$J&lt;&gt;""),0))</f>
        <v>995</v>
      </c>
    </row>
    <row r="53">
      <c r="A53" s="23" t="s">
        <v>67</v>
      </c>
      <c r="B53" s="11">
        <f>COUNTIFS(MatchHistory!$B:$B, $A53, MatchHistory!$C:$C, "Town")</f>
        <v>31</v>
      </c>
      <c r="C53" s="11">
        <f>COUNTIFS(MatchHistory!B:B, A53, MatchHistory!C:C, "Town", MatchHistory!D:D, "Win")</f>
        <v>13</v>
      </c>
      <c r="D53" s="12">
        <f>IFERROR(__xludf.DUMMYFUNCTION("IF(EQ($B53, 0), TO_PERCENT(0), TO_PERCENT($C53/$B53))"),0.41935483870967744)</f>
        <v>0.4193548387</v>
      </c>
      <c r="E53" s="11">
        <f>COUNTIFS(MatchHistory!$B:$B, $A53, MatchHistory!$C:$C, "Mafia")</f>
        <v>9</v>
      </c>
      <c r="F53" s="11">
        <f>COUNTIFS(MatchHistory!$B:$B, $A53, MatchHistory!$C:$C, "Mafia", MatchHistory!$D:$D, "Win")</f>
        <v>4</v>
      </c>
      <c r="G53" s="12">
        <f>IFERROR(__xludf.DUMMYFUNCTION("TO_PERCENT(IFERROR($F53/$E53, 0))"),0.4444444444444444)</f>
        <v>0.4444444444</v>
      </c>
      <c r="H53" s="13">
        <f t="shared" si="1"/>
        <v>40</v>
      </c>
      <c r="I53" s="12">
        <f>IFERROR(__xludf.DUMMYFUNCTION("TO_PERCENT(IFERROR(($F53+$C53)/($E53+$B53), 0))"),0.425)</f>
        <v>0.425</v>
      </c>
      <c r="J53" s="14">
        <f t="array" ref="J53">INDEX(MatchHistory!$G:$G,MATCH(1,(MatchHistory!$B:$B=$A53)*(MatchHistory!$G:$G&lt;&gt;""),0))</f>
        <v>24.10686907</v>
      </c>
      <c r="K53" s="15">
        <f t="array" ref="K53">INDEX(MatchHistory!$H:$H,MATCH(1,(MatchHistory!$B:$B=$A53)*(MatchHistory!$H:$H&lt;&gt;""),0))</f>
        <v>6.332907804</v>
      </c>
      <c r="L53" s="16">
        <f t="array" ref="L53">INDEX(MatchHistory!$J:$J,MATCH(1,(MatchHistory!$B:$B=$A53)*(MatchHistory!$J:$J&lt;&gt;""),0))</f>
        <v>993</v>
      </c>
    </row>
    <row r="54">
      <c r="A54" s="37" t="s">
        <v>68</v>
      </c>
      <c r="B54" s="32">
        <f>COUNTIFS(MatchHistory!$B:$B, $A54, MatchHistory!$C:$C, "Town")</f>
        <v>3</v>
      </c>
      <c r="C54" s="32">
        <f>COUNTIFS(MatchHistory!B:B, A54, MatchHistory!C:C, "Town", MatchHistory!D:D, "Win")</f>
        <v>1</v>
      </c>
      <c r="D54" s="33">
        <f>IFERROR(__xludf.DUMMYFUNCTION("IF(EQ($B54, 0), TO_PERCENT(0), TO_PERCENT($C54/$B54))"),0.3333333333333333)</f>
        <v>0.3333333333</v>
      </c>
      <c r="E54" s="32">
        <f>COUNTIFS(MatchHistory!$B:$B, $A54, MatchHistory!$C:$C, "Mafia")</f>
        <v>1</v>
      </c>
      <c r="F54" s="32">
        <f>COUNTIFS(MatchHistory!$B:$B, $A54, MatchHistory!$C:$C, "Mafia", MatchHistory!$D:$D, "Win")</f>
        <v>1</v>
      </c>
      <c r="G54" s="33">
        <f>IFERROR(__xludf.DUMMYFUNCTION("TO_PERCENT(IFERROR($F54/$E54, 0))"),1.0)</f>
        <v>1</v>
      </c>
      <c r="H54" s="32">
        <f t="shared" si="1"/>
        <v>4</v>
      </c>
      <c r="I54" s="33">
        <f>IFERROR(__xludf.DUMMYFUNCTION("TO_PERCENT(IFERROR(($F54+$C54)/($E54+$B54), 0))"),0.5)</f>
        <v>0.5</v>
      </c>
      <c r="J54" s="34">
        <f t="array" ref="J54">INDEX(MatchHistory!$G:$G,MATCH(1,(MatchHistory!$B:$B=$A54)*(MatchHistory!$G:$G&lt;&gt;""),0))</f>
        <v>26.70440451</v>
      </c>
      <c r="K54" s="35">
        <f t="array" ref="K54">INDEX(MatchHistory!$H:$H,MATCH(1,(MatchHistory!$B:$B=$A54)*(MatchHistory!$H:$H&lt;&gt;""),0))</f>
        <v>8.065870939</v>
      </c>
      <c r="L54" s="36">
        <f t="array" ref="L54">INDEX(MatchHistory!$J:$J,MATCH(1,(MatchHistory!$B:$B=$A54)*(MatchHistory!$J:$J&lt;&gt;""),0))</f>
        <v>993</v>
      </c>
    </row>
    <row r="55">
      <c r="A55" s="31" t="s">
        <v>69</v>
      </c>
      <c r="B55" s="32">
        <f>COUNTIFS(MatchHistory!$B:$B, $A55, MatchHistory!$C:$C, "Town")</f>
        <v>6</v>
      </c>
      <c r="C55" s="32">
        <f>COUNTIFS(MatchHistory!B:B, A55, MatchHistory!C:C, "Town", MatchHistory!D:D, "Win")</f>
        <v>3</v>
      </c>
      <c r="D55" s="33">
        <f>IFERROR(__xludf.DUMMYFUNCTION("IF(EQ($B55, 0), TO_PERCENT(0), TO_PERCENT($C55/$B55))"),0.5)</f>
        <v>0.5</v>
      </c>
      <c r="E55" s="32">
        <f>COUNTIFS(MatchHistory!$B:$B, $A55, MatchHistory!$C:$C, "Mafia")</f>
        <v>1</v>
      </c>
      <c r="F55" s="32">
        <f>COUNTIFS(MatchHistory!$B:$B, $A55, MatchHistory!$C:$C, "Mafia", MatchHistory!$D:$D, "Win")</f>
        <v>0</v>
      </c>
      <c r="G55" s="33">
        <f>IFERROR(__xludf.DUMMYFUNCTION("TO_PERCENT(IFERROR($F55/$E55, 0))"),0.0)</f>
        <v>0</v>
      </c>
      <c r="H55" s="32">
        <f t="shared" si="1"/>
        <v>7</v>
      </c>
      <c r="I55" s="33">
        <f>IFERROR(__xludf.DUMMYFUNCTION("TO_PERCENT(IFERROR(($F55+$C55)/($E55+$B55), 0))"),0.42857142857142855)</f>
        <v>0.4285714286</v>
      </c>
      <c r="J55" s="34">
        <f t="array" ref="J55">INDEX(MatchHistory!$G:$G,MATCH(1,(MatchHistory!$B:$B=$A55)*(MatchHistory!$G:$G&lt;&gt;""),0))</f>
        <v>26.25242931</v>
      </c>
      <c r="K55" s="35">
        <f t="array" ref="K55">INDEX(MatchHistory!$H:$H,MATCH(1,(MatchHistory!$B:$B=$A55)*(MatchHistory!$H:$H&lt;&gt;""),0))</f>
        <v>7.806412409</v>
      </c>
      <c r="L55" s="36">
        <f t="array" ref="L55">INDEX(MatchHistory!$J:$J,MATCH(1,(MatchHistory!$B:$B=$A55)*(MatchHistory!$J:$J&lt;&gt;""),0))</f>
        <v>989</v>
      </c>
    </row>
    <row r="56">
      <c r="A56" s="37" t="s">
        <v>70</v>
      </c>
      <c r="B56" s="38">
        <f>COUNTIFS(MatchHistory!$B:$B, $A56, MatchHistory!$C:$C, "Town")</f>
        <v>0</v>
      </c>
      <c r="C56" s="32">
        <f>COUNTIFS(MatchHistory!B:B, A56, MatchHistory!C:C, "Town", MatchHistory!D:D, "Win")</f>
        <v>0</v>
      </c>
      <c r="D56" s="33">
        <f>IFERROR(__xludf.DUMMYFUNCTION("IF(EQ($B56, 0), TO_PERCENT(0), TO_PERCENT($C56/$B56))"),0.0)</f>
        <v>0</v>
      </c>
      <c r="E56" s="32">
        <f>COUNTIFS(MatchHistory!$B:$B, $A56, MatchHistory!$C:$C, "Mafia")</f>
        <v>1</v>
      </c>
      <c r="F56" s="32">
        <f>COUNTIFS(MatchHistory!$B:$B, $A56, MatchHistory!$C:$C, "Mafia", MatchHistory!$D:$D, "Win")</f>
        <v>1</v>
      </c>
      <c r="G56" s="33">
        <f>IFERROR(__xludf.DUMMYFUNCTION("TO_PERCENT(IFERROR($F56/$E56, 0))"),1.0)</f>
        <v>1</v>
      </c>
      <c r="H56" s="32">
        <f t="shared" si="1"/>
        <v>1</v>
      </c>
      <c r="I56" s="33">
        <f>IFERROR(__xludf.DUMMYFUNCTION("TO_PERCENT(IFERROR(($F56+$C56)/($E56+$B56), 0))"),1.0)</f>
        <v>1</v>
      </c>
      <c r="J56" s="34">
        <f t="array" ref="J56">INDEX(MatchHistory!$G:$G,MATCH(1,(MatchHistory!$B:$B=$A56)*(MatchHistory!$G:$G&lt;&gt;""),0))</f>
        <v>26.81324353</v>
      </c>
      <c r="K56" s="35">
        <f t="array" ref="K56">INDEX(MatchHistory!$H:$H,MATCH(1,(MatchHistory!$B:$B=$A56)*(MatchHistory!$H:$H&lt;&gt;""),0))</f>
        <v>8.234932459</v>
      </c>
      <c r="L56" s="36">
        <f t="array" ref="L56">INDEX(MatchHistory!$J:$J,MATCH(1,(MatchHistory!$B:$B=$A56)*(MatchHistory!$J:$J&lt;&gt;""),0))</f>
        <v>983</v>
      </c>
    </row>
    <row r="57">
      <c r="A57" s="23" t="s">
        <v>71</v>
      </c>
      <c r="B57" s="11">
        <f>COUNTIFS(MatchHistory!$B:$B, $A57, MatchHistory!$C:$C, "Town")</f>
        <v>12</v>
      </c>
      <c r="C57" s="11">
        <f>COUNTIFS(MatchHistory!B:B, A57, MatchHistory!C:C, "Town", MatchHistory!D:D, "Win")</f>
        <v>3</v>
      </c>
      <c r="D57" s="12">
        <f>IFERROR(__xludf.DUMMYFUNCTION("IF(EQ($B57, 0), TO_PERCENT(0), TO_PERCENT($C57/$B57))"),0.25)</f>
        <v>0.25</v>
      </c>
      <c r="E57" s="11">
        <f>COUNTIFS(MatchHistory!$B:$B, $A57, MatchHistory!$C:$C, "Mafia")</f>
        <v>1</v>
      </c>
      <c r="F57" s="11">
        <f>COUNTIFS(MatchHistory!$B:$B, $A57, MatchHistory!$C:$C, "Mafia", MatchHistory!$D:$D, "Win")</f>
        <v>1</v>
      </c>
      <c r="G57" s="12">
        <f>IFERROR(__xludf.DUMMYFUNCTION("TO_PERCENT(IFERROR($F57/$E57, 0))"),1.0)</f>
        <v>1</v>
      </c>
      <c r="H57" s="13">
        <f t="shared" si="1"/>
        <v>13</v>
      </c>
      <c r="I57" s="12">
        <f>IFERROR(__xludf.DUMMYFUNCTION("TO_PERCENT(IFERROR(($F57+$C57)/($E57+$B57), 0))"),0.3076923076923077)</f>
        <v>0.3076923077</v>
      </c>
      <c r="J57" s="14">
        <f t="array" ref="J57">INDEX(MatchHistory!$G:$G,MATCH(1,(MatchHistory!$B:$B=$A57)*(MatchHistory!$G:$G&lt;&gt;""),0))</f>
        <v>25.67692573</v>
      </c>
      <c r="K57" s="15">
        <f t="array" ref="K57">INDEX(MatchHistory!$H:$H,MATCH(1,(MatchHistory!$B:$B=$A57)*(MatchHistory!$H:$H&lt;&gt;""),0))</f>
        <v>7.532286287</v>
      </c>
      <c r="L57" s="16">
        <f t="array" ref="L57">INDEX(MatchHistory!$J:$J,MATCH(1,(MatchHistory!$B:$B=$A57)*(MatchHistory!$J:$J&lt;&gt;""),0))</f>
        <v>978</v>
      </c>
    </row>
    <row r="58">
      <c r="A58" s="37" t="s">
        <v>72</v>
      </c>
      <c r="B58" s="38">
        <f>COUNTIFS(MatchHistory!$B:$B, $A58, MatchHistory!$C:$C, "Town")</f>
        <v>1</v>
      </c>
      <c r="C58" s="32">
        <f>COUNTIFS(MatchHistory!B:B, A58, MatchHistory!C:C, "Town", MatchHistory!D:D, "Win")</f>
        <v>1</v>
      </c>
      <c r="D58" s="33">
        <f>IFERROR(__xludf.DUMMYFUNCTION("IF(EQ($B58, 0), TO_PERCENT(0), TO_PERCENT($C58/$B58))"),1.0)</f>
        <v>1</v>
      </c>
      <c r="E58" s="32">
        <f>COUNTIFS(MatchHistory!$B:$B, $A58, MatchHistory!$C:$C, "Mafia")</f>
        <v>0</v>
      </c>
      <c r="F58" s="32">
        <f>COUNTIFS(MatchHistory!$B:$B, $A58, MatchHistory!$C:$C, "Mafia", MatchHistory!$D:$D, "Win")</f>
        <v>0</v>
      </c>
      <c r="G58" s="33">
        <f>IFERROR(__xludf.DUMMYFUNCTION("TO_PERCENT(IFERROR($F58/$E58, 0))"),0.0)</f>
        <v>0</v>
      </c>
      <c r="H58" s="32">
        <f t="shared" si="1"/>
        <v>1</v>
      </c>
      <c r="I58" s="33">
        <f>IFERROR(__xludf.DUMMYFUNCTION("TO_PERCENT(IFERROR(($F58+$C58)/($E58+$B58), 0))"),1.0)</f>
        <v>1</v>
      </c>
      <c r="J58" s="34">
        <f t="array" ref="J58">INDEX(MatchHistory!$G:$G,MATCH(1,(MatchHistory!$B:$B=$A58)*(MatchHistory!$G:$G&lt;&gt;""),0))</f>
        <v>26.53043913</v>
      </c>
      <c r="K58" s="35">
        <f t="array" ref="K58">INDEX(MatchHistory!$H:$H,MATCH(1,(MatchHistory!$B:$B=$A58)*(MatchHistory!$H:$H&lt;&gt;""),0))</f>
        <v>8.239940302</v>
      </c>
      <c r="L58" s="36">
        <f t="array" ref="L58">INDEX(MatchHistory!$J:$J,MATCH(1,(MatchHistory!$B:$B=$A58)*(MatchHistory!$J:$J&lt;&gt;""),0))</f>
        <v>964</v>
      </c>
    </row>
    <row r="59">
      <c r="A59" s="10" t="s">
        <v>73</v>
      </c>
      <c r="B59" s="25">
        <f>COUNTIFS(MatchHistory!$B:$B, $A59, MatchHistory!$C:$C, "Town")</f>
        <v>5</v>
      </c>
      <c r="C59" s="25">
        <f>COUNTIFS(MatchHistory!B:B, A59, MatchHistory!C:C, "Town", MatchHistory!D:D, "Win")</f>
        <v>3</v>
      </c>
      <c r="D59" s="26">
        <f>IFERROR(__xludf.DUMMYFUNCTION("IF(EQ($B59, 0), TO_PERCENT(0), TO_PERCENT($C59/$B59))"),0.6)</f>
        <v>0.6</v>
      </c>
      <c r="E59" s="25">
        <f>COUNTIFS(MatchHistory!$B:$B, $A59, MatchHistory!$C:$C, "Mafia")</f>
        <v>3</v>
      </c>
      <c r="F59" s="25">
        <f>COUNTIFS(MatchHistory!$B:$B, $A59, MatchHistory!$C:$C, "Mafia", MatchHistory!$D:$D, "Win")</f>
        <v>1</v>
      </c>
      <c r="G59" s="26">
        <f>IFERROR(__xludf.DUMMYFUNCTION("TO_PERCENT(IFERROR($F59/$E59, 0))"),0.3333333333333333)</f>
        <v>0.3333333333</v>
      </c>
      <c r="H59" s="27">
        <f t="shared" si="1"/>
        <v>8</v>
      </c>
      <c r="I59" s="26">
        <f>IFERROR(__xludf.DUMMYFUNCTION("TO_PERCENT(IFERROR(($F59+$C59)/($E59+$B59), 0))"),0.5)</f>
        <v>0.5</v>
      </c>
      <c r="J59" s="28">
        <f t="array" ref="J59">INDEX(MatchHistory!$G:$G,MATCH(1,(MatchHistory!$B:$B=$A59)*(MatchHistory!$G:$G&lt;&gt;""),0))</f>
        <v>25.87772216</v>
      </c>
      <c r="K59" s="29">
        <f t="array" ref="K59">INDEX(MatchHistory!$H:$H,MATCH(1,(MatchHistory!$B:$B=$A59)*(MatchHistory!$H:$H&lt;&gt;""),0))</f>
        <v>7.823755664</v>
      </c>
      <c r="L59" s="30">
        <f t="array" ref="L59">INDEX(MatchHistory!$J:$J,MATCH(1,(MatchHistory!$B:$B=$A59)*(MatchHistory!$J:$J&lt;&gt;""),0))</f>
        <v>962</v>
      </c>
    </row>
    <row r="60">
      <c r="A60" s="24" t="s">
        <v>74</v>
      </c>
      <c r="B60" s="25">
        <f>COUNTIFS(MatchHistory!$B:$B, $A60, MatchHistory!$C:$C, "Town")</f>
        <v>1</v>
      </c>
      <c r="C60" s="25">
        <f>COUNTIFS(MatchHistory!B:B, A60, MatchHistory!C:C, "Town", MatchHistory!D:D, "Win")</f>
        <v>1</v>
      </c>
      <c r="D60" s="26">
        <f>IFERROR(__xludf.DUMMYFUNCTION("IF(EQ($B60, 0), TO_PERCENT(0), TO_PERCENT($C60/$B60))"),1.0)</f>
        <v>1</v>
      </c>
      <c r="E60" s="25">
        <f>COUNTIFS(MatchHistory!$B:$B, $A60, MatchHistory!$C:$C, "Mafia")</f>
        <v>0</v>
      </c>
      <c r="F60" s="25">
        <f>COUNTIFS(MatchHistory!$B:$B, $A60, MatchHistory!$C:$C, "Mafia", MatchHistory!$D:$D, "Win")</f>
        <v>0</v>
      </c>
      <c r="G60" s="26">
        <f>IFERROR(__xludf.DUMMYFUNCTION("TO_PERCENT(IFERROR($F60/$E60, 0))"),0.0)</f>
        <v>0</v>
      </c>
      <c r="H60" s="27">
        <f t="shared" si="1"/>
        <v>1</v>
      </c>
      <c r="I60" s="26">
        <f>IFERROR(__xludf.DUMMYFUNCTION("TO_PERCENT(IFERROR(($F60+$C60)/($E60+$B60), 0))"),1.0)</f>
        <v>1</v>
      </c>
      <c r="J60" s="28">
        <f t="array" ref="J60">INDEX(MatchHistory!$G:$G,MATCH(1,(MatchHistory!$B:$B=$A60)*(MatchHistory!$G:$G&lt;&gt;""),0))</f>
        <v>26.5003475</v>
      </c>
      <c r="K60" s="29">
        <f t="array" ref="K60">INDEX(MatchHistory!$H:$H,MATCH(1,(MatchHistory!$B:$B=$A60)*(MatchHistory!$H:$H&lt;&gt;""),0))</f>
        <v>8.26619297</v>
      </c>
      <c r="L60" s="30">
        <f t="array" ref="L60">INDEX(MatchHistory!$J:$J,MATCH(1,(MatchHistory!$B:$B=$A60)*(MatchHistory!$J:$J&lt;&gt;""),0))</f>
        <v>959</v>
      </c>
    </row>
    <row r="61">
      <c r="A61" s="23" t="s">
        <v>75</v>
      </c>
      <c r="B61" s="25">
        <f>COUNTIFS(MatchHistory!$B:$B, $A61, MatchHistory!$C:$C, "Town")</f>
        <v>1</v>
      </c>
      <c r="C61" s="25">
        <f>COUNTIFS(MatchHistory!B:B, A61, MatchHistory!C:C, "Town", MatchHistory!D:D, "Win")</f>
        <v>1</v>
      </c>
      <c r="D61" s="26">
        <f>IFERROR(__xludf.DUMMYFUNCTION("IF(EQ($B61, 0), TO_PERCENT(0), TO_PERCENT($C61/$B61))"),1.0)</f>
        <v>1</v>
      </c>
      <c r="E61" s="25">
        <f>COUNTIFS(MatchHistory!$B:$B, $A61, MatchHistory!$C:$C, "Mafia")</f>
        <v>0</v>
      </c>
      <c r="F61" s="25">
        <f>COUNTIFS(MatchHistory!$B:$B, $A61, MatchHistory!$C:$C, "Mafia", MatchHistory!$D:$D, "Win")</f>
        <v>0</v>
      </c>
      <c r="G61" s="26">
        <f>IFERROR(__xludf.DUMMYFUNCTION("TO_PERCENT(IFERROR($F61/$E61, 0))"),0.0)</f>
        <v>0</v>
      </c>
      <c r="H61" s="27">
        <f t="shared" si="1"/>
        <v>1</v>
      </c>
      <c r="I61" s="26">
        <f>IFERROR(__xludf.DUMMYFUNCTION("TO_PERCENT(IFERROR(($F61+$C61)/($E61+$B61), 0))"),1.0)</f>
        <v>1</v>
      </c>
      <c r="J61" s="28">
        <f t="array" ref="J61">INDEX(MatchHistory!$G:$G,MATCH(1,(MatchHistory!$B:$B=$A61)*(MatchHistory!$G:$G&lt;&gt;""),0))</f>
        <v>26.3420429</v>
      </c>
      <c r="K61" s="29">
        <f t="array" ref="K61">INDEX(MatchHistory!$H:$H,MATCH(1,(MatchHistory!$B:$B=$A61)*(MatchHistory!$H:$H&lt;&gt;""),0))</f>
        <v>8.267857809</v>
      </c>
      <c r="L61" s="30">
        <f t="array" ref="L61">INDEX(MatchHistory!$J:$J,MATCH(1,(MatchHistory!$B:$B=$A61)*(MatchHistory!$J:$J&lt;&gt;""),0))</f>
        <v>948</v>
      </c>
    </row>
    <row r="62">
      <c r="A62" s="17" t="s">
        <v>76</v>
      </c>
      <c r="B62" s="25">
        <f>COUNTIFS(MatchHistory!$B:$B, $A62, MatchHistory!$C:$C, "Town")</f>
        <v>2</v>
      </c>
      <c r="C62" s="25">
        <f>COUNTIFS(MatchHistory!B:B, A62, MatchHistory!C:C, "Town", MatchHistory!D:D, "Win")</f>
        <v>1</v>
      </c>
      <c r="D62" s="26">
        <f>IFERROR(__xludf.DUMMYFUNCTION("IF(EQ($B62, 0), TO_PERCENT(0), TO_PERCENT($C62/$B62))"),0.5)</f>
        <v>0.5</v>
      </c>
      <c r="E62" s="25">
        <f>COUNTIFS(MatchHistory!$B:$B, $A62, MatchHistory!$C:$C, "Mafia")</f>
        <v>0</v>
      </c>
      <c r="F62" s="25">
        <f>COUNTIFS(MatchHistory!$B:$B, $A62, MatchHistory!$C:$C, "Mafia", MatchHistory!$D:$D, "Win")</f>
        <v>0</v>
      </c>
      <c r="G62" s="26">
        <f>IFERROR(__xludf.DUMMYFUNCTION("TO_PERCENT(IFERROR($F62/$E62, 0))"),0.0)</f>
        <v>0</v>
      </c>
      <c r="H62" s="27">
        <f t="shared" si="1"/>
        <v>2</v>
      </c>
      <c r="I62" s="26">
        <f>IFERROR(__xludf.DUMMYFUNCTION("TO_PERCENT(IFERROR(($F62+$C62)/($E62+$B62), 0))"),0.5)</f>
        <v>0.5</v>
      </c>
      <c r="J62" s="28">
        <f t="array" ref="J62">INDEX(MatchHistory!$G:$G,MATCH(1,(MatchHistory!$B:$B=$A62)*(MatchHistory!$G:$G&lt;&gt;""),0))</f>
        <v>26.14002879</v>
      </c>
      <c r="K62" s="29">
        <f t="array" ref="K62">INDEX(MatchHistory!$H:$H,MATCH(1,(MatchHistory!$B:$B=$A62)*(MatchHistory!$H:$H&lt;&gt;""),0))</f>
        <v>8.246081844</v>
      </c>
      <c r="L62" s="30">
        <f t="array" ref="L62">INDEX(MatchHistory!$J:$J,MATCH(1,(MatchHistory!$B:$B=$A62)*(MatchHistory!$J:$J&lt;&gt;""),0))</f>
        <v>936</v>
      </c>
    </row>
    <row r="63">
      <c r="A63" s="23" t="s">
        <v>77</v>
      </c>
      <c r="B63" s="25">
        <f>COUNTIFS(MatchHistory!$B:$B, $A63, MatchHistory!$C:$C, "Town")</f>
        <v>4</v>
      </c>
      <c r="C63" s="25">
        <f>COUNTIFS(MatchHistory!B:B, A63, MatchHistory!C:C, "Town", MatchHistory!D:D, "Win")</f>
        <v>2</v>
      </c>
      <c r="D63" s="26">
        <f>IFERROR(__xludf.DUMMYFUNCTION("IF(EQ($B63, 0), TO_PERCENT(0), TO_PERCENT($C63/$B63))"),0.5)</f>
        <v>0.5</v>
      </c>
      <c r="E63" s="25">
        <f>COUNTIFS(MatchHistory!$B:$B, $A63, MatchHistory!$C:$C, "Mafia")</f>
        <v>1</v>
      </c>
      <c r="F63" s="25">
        <f>COUNTIFS(MatchHistory!$B:$B, $A63, MatchHistory!$C:$C, "Mafia", MatchHistory!$D:$D, "Win")</f>
        <v>0</v>
      </c>
      <c r="G63" s="26">
        <f>IFERROR(__xludf.DUMMYFUNCTION("TO_PERCENT(IFERROR($F63/$E63, 0))"),0.0)</f>
        <v>0</v>
      </c>
      <c r="H63" s="27">
        <f t="shared" si="1"/>
        <v>5</v>
      </c>
      <c r="I63" s="26">
        <f>IFERROR(__xludf.DUMMYFUNCTION("TO_PERCENT(IFERROR(($F63+$C63)/($E63+$B63), 0))"),0.4)</f>
        <v>0.4</v>
      </c>
      <c r="J63" s="28">
        <f t="array" ref="J63">INDEX(MatchHistory!$G:$G,MATCH(1,(MatchHistory!$B:$B=$A63)*(MatchHistory!$G:$G&lt;&gt;""),0))</f>
        <v>25.77680238</v>
      </c>
      <c r="K63" s="29">
        <f t="array" ref="K63">INDEX(MatchHistory!$H:$H,MATCH(1,(MatchHistory!$B:$B=$A63)*(MatchHistory!$H:$H&lt;&gt;""),0))</f>
        <v>8.069315932</v>
      </c>
      <c r="L63" s="30">
        <f t="array" ref="L63">INDEX(MatchHistory!$J:$J,MATCH(1,(MatchHistory!$B:$B=$A63)*(MatchHistory!$J:$J&lt;&gt;""),0))</f>
        <v>930</v>
      </c>
    </row>
    <row r="64">
      <c r="A64" s="17" t="s">
        <v>78</v>
      </c>
      <c r="B64" s="25">
        <f>COUNTIFS(MatchHistory!$B:$B, $A64, MatchHistory!$C:$C, "Town")</f>
        <v>4</v>
      </c>
      <c r="C64" s="25">
        <f>COUNTIFS(MatchHistory!B:B, A64, MatchHistory!C:C, "Town", MatchHistory!D:D, "Win")</f>
        <v>2</v>
      </c>
      <c r="D64" s="26">
        <f>IFERROR(__xludf.DUMMYFUNCTION("IF(EQ($B64, 0), TO_PERCENT(0), TO_PERCENT($C64/$B64))"),0.5)</f>
        <v>0.5</v>
      </c>
      <c r="E64" s="25">
        <f>COUNTIFS(MatchHistory!$B:$B, $A64, MatchHistory!$C:$C, "Mafia")</f>
        <v>2</v>
      </c>
      <c r="F64" s="25">
        <f>COUNTIFS(MatchHistory!$B:$B, $A64, MatchHistory!$C:$C, "Mafia", MatchHistory!$D:$D, "Win")</f>
        <v>1</v>
      </c>
      <c r="G64" s="26">
        <f>IFERROR(__xludf.DUMMYFUNCTION("TO_PERCENT(IFERROR($F64/$E64, 0))"),0.5)</f>
        <v>0.5</v>
      </c>
      <c r="H64" s="27">
        <f t="shared" si="1"/>
        <v>6</v>
      </c>
      <c r="I64" s="26">
        <f>IFERROR(__xludf.DUMMYFUNCTION("TO_PERCENT(IFERROR(($F64+$C64)/($E64+$B64), 0))"),0.5)</f>
        <v>0.5</v>
      </c>
      <c r="J64" s="28">
        <f t="array" ref="J64">INDEX(MatchHistory!$G:$G,MATCH(1,(MatchHistory!$B:$B=$A64)*(MatchHistory!$G:$G&lt;&gt;""),0))</f>
        <v>25.57062267</v>
      </c>
      <c r="K64" s="29">
        <f t="array" ref="K64">INDEX(MatchHistory!$H:$H,MATCH(1,(MatchHistory!$B:$B=$A64)*(MatchHistory!$H:$H&lt;&gt;""),0))</f>
        <v>7.953565331</v>
      </c>
      <c r="L64" s="30">
        <f t="array" ref="L64">INDEX(MatchHistory!$J:$J,MATCH(1,(MatchHistory!$B:$B=$A64)*(MatchHistory!$J:$J&lt;&gt;""),0))</f>
        <v>928</v>
      </c>
    </row>
    <row r="65">
      <c r="A65" s="31" t="s">
        <v>79</v>
      </c>
      <c r="B65" s="38">
        <f>COUNTIFS(MatchHistory!$B:$B, $A65, MatchHistory!$C:$C, "Town")</f>
        <v>0</v>
      </c>
      <c r="C65" s="32">
        <f>COUNTIFS(MatchHistory!B:B, A65, MatchHistory!C:C, "Town", MatchHistory!D:D, "Win")</f>
        <v>0</v>
      </c>
      <c r="D65" s="33">
        <f>IFERROR(__xludf.DUMMYFUNCTION("IF(EQ($B65, 0), TO_PERCENT(0), TO_PERCENT($C65/$B65))"),0.0)</f>
        <v>0</v>
      </c>
      <c r="E65" s="32">
        <f>COUNTIFS(MatchHistory!$B:$B, $A65, MatchHistory!$C:$C, "Mafia")</f>
        <v>1</v>
      </c>
      <c r="F65" s="32">
        <f>COUNTIFS(MatchHistory!$B:$B, $A65, MatchHistory!$C:$C, "Mafia", MatchHistory!$D:$D, "Win")</f>
        <v>1</v>
      </c>
      <c r="G65" s="33">
        <f>IFERROR(__xludf.DUMMYFUNCTION("TO_PERCENT(IFERROR($F65/$E65, 0))"),1.0)</f>
        <v>1</v>
      </c>
      <c r="H65" s="32">
        <f t="shared" si="1"/>
        <v>1</v>
      </c>
      <c r="I65" s="33">
        <f>IFERROR(__xludf.DUMMYFUNCTION("TO_PERCENT(IFERROR(($F65+$C65)/($E65+$B65), 0))"),1.0)</f>
        <v>1</v>
      </c>
      <c r="J65" s="34">
        <f t="array" ref="J65">INDEX(MatchHistory!$G:$G,MATCH(1,(MatchHistory!$B:$B=$A65)*(MatchHistory!$G:$G&lt;&gt;""),0))</f>
        <v>25.91776351</v>
      </c>
      <c r="K65" s="35">
        <f t="array" ref="K65">INDEX(MatchHistory!$H:$H,MATCH(1,(MatchHistory!$B:$B=$A65)*(MatchHistory!$H:$H&lt;&gt;""),0))</f>
        <v>8.263366133</v>
      </c>
      <c r="L65" s="36">
        <f t="array" ref="L65">INDEX(MatchHistory!$J:$J,MATCH(1,(MatchHistory!$B:$B=$A65)*(MatchHistory!$J:$J&lt;&gt;""),0))</f>
        <v>920</v>
      </c>
    </row>
    <row r="66">
      <c r="A66" s="24" t="s">
        <v>80</v>
      </c>
      <c r="B66" s="25">
        <f>COUNTIFS(MatchHistory!$B:$B, $A66, MatchHistory!$C:$C, "Town")</f>
        <v>15</v>
      </c>
      <c r="C66" s="25">
        <f>COUNTIFS(MatchHistory!B:B, A66, MatchHistory!C:C, "Town", MatchHistory!D:D, "Win")</f>
        <v>6</v>
      </c>
      <c r="D66" s="26">
        <f>IFERROR(__xludf.DUMMYFUNCTION("IF(EQ($B66, 0), TO_PERCENT(0), TO_PERCENT($C66/$B66))"),0.4)</f>
        <v>0.4</v>
      </c>
      <c r="E66" s="25">
        <f>COUNTIFS(MatchHistory!$B:$B, $A66, MatchHistory!$C:$C, "Mafia")</f>
        <v>4</v>
      </c>
      <c r="F66" s="25">
        <f>COUNTIFS(MatchHistory!$B:$B, $A66, MatchHistory!$C:$C, "Mafia", MatchHistory!$D:$D, "Win")</f>
        <v>2</v>
      </c>
      <c r="G66" s="26">
        <f>IFERROR(__xludf.DUMMYFUNCTION("TO_PERCENT(IFERROR($F66/$E66, 0))"),0.5)</f>
        <v>0.5</v>
      </c>
      <c r="H66" s="27">
        <f t="shared" si="1"/>
        <v>19</v>
      </c>
      <c r="I66" s="26">
        <f>IFERROR(__xludf.DUMMYFUNCTION("TO_PERCENT(IFERROR(($F66+$C66)/($E66+$B66), 0))"),0.42105263157894735)</f>
        <v>0.4210526316</v>
      </c>
      <c r="J66" s="28">
        <f t="array" ref="J66">INDEX(MatchHistory!$G:$G,MATCH(1,(MatchHistory!$B:$B=$A66)*(MatchHistory!$G:$G&lt;&gt;""),0))</f>
        <v>24.15183314</v>
      </c>
      <c r="K66" s="29">
        <f t="array" ref="K66">INDEX(MatchHistory!$H:$H,MATCH(1,(MatchHistory!$B:$B=$A66)*(MatchHistory!$H:$H&lt;&gt;""),0))</f>
        <v>7.209769447</v>
      </c>
      <c r="L66" s="30">
        <f t="array" ref="L66">INDEX(MatchHistory!$J:$J,MATCH(1,(MatchHistory!$B:$B=$A66)*(MatchHistory!$J:$J&lt;&gt;""),0))</f>
        <v>907</v>
      </c>
    </row>
    <row r="67">
      <c r="A67" s="23" t="s">
        <v>81</v>
      </c>
      <c r="B67" s="25">
        <f>COUNTIFS(MatchHistory!$B:$B, $A67, MatchHistory!$C:$C, "Town")</f>
        <v>0</v>
      </c>
      <c r="C67" s="25">
        <f>COUNTIFS(MatchHistory!B:B, A67, MatchHistory!C:C, "Town", MatchHistory!D:D, "Win")</f>
        <v>0</v>
      </c>
      <c r="D67" s="26">
        <f>IFERROR(__xludf.DUMMYFUNCTION("IF(EQ($B67, 0), TO_PERCENT(0), TO_PERCENT($C67/$B67))"),0.0)</f>
        <v>0</v>
      </c>
      <c r="E67" s="25">
        <f>COUNTIFS(MatchHistory!$B:$B, $A67, MatchHistory!$C:$C, "Mafia")</f>
        <v>1</v>
      </c>
      <c r="F67" s="25">
        <f>COUNTIFS(MatchHistory!$B:$B, $A67, MatchHistory!$C:$C, "Mafia", MatchHistory!$D:$D, "Win")</f>
        <v>1</v>
      </c>
      <c r="G67" s="26">
        <f>IFERROR(__xludf.DUMMYFUNCTION("TO_PERCENT(IFERROR($F67/$E67, 0))"),1.0)</f>
        <v>1</v>
      </c>
      <c r="H67" s="27">
        <f t="shared" si="1"/>
        <v>1</v>
      </c>
      <c r="I67" s="26">
        <f>IFERROR(__xludf.DUMMYFUNCTION("TO_PERCENT(IFERROR(($F67+$C67)/($E67+$B67), 0))"),1.0)</f>
        <v>1</v>
      </c>
      <c r="J67" s="28">
        <f t="array" ref="J67">INDEX(MatchHistory!$G:$G,MATCH(1,(MatchHistory!$B:$B=$A67)*(MatchHistory!$G:$G&lt;&gt;""),0))</f>
        <v>25.55828818</v>
      </c>
      <c r="K67" s="29">
        <f t="array" ref="K67">INDEX(MatchHistory!$H:$H,MATCH(1,(MatchHistory!$B:$B=$A67)*(MatchHistory!$H:$H&lt;&gt;""),0))</f>
        <v>8.290069177</v>
      </c>
      <c r="L67" s="30">
        <f t="array" ref="L67">INDEX(MatchHistory!$J:$J,MATCH(1,(MatchHistory!$B:$B=$A67)*(MatchHistory!$J:$J&lt;&gt;""),0))</f>
        <v>892</v>
      </c>
    </row>
    <row r="68">
      <c r="A68" s="24" t="s">
        <v>82</v>
      </c>
      <c r="B68" s="25">
        <f>COUNTIFS(MatchHistory!$B:$B, $A68, MatchHistory!$C:$C, "Town")</f>
        <v>2</v>
      </c>
      <c r="C68" s="25">
        <f>COUNTIFS(MatchHistory!B:B, A68, MatchHistory!C:C, "Town", MatchHistory!D:D, "Win")</f>
        <v>1</v>
      </c>
      <c r="D68" s="26">
        <f>IFERROR(__xludf.DUMMYFUNCTION("IF(EQ($B68, 0), TO_PERCENT(0), TO_PERCENT($C68/$B68))"),0.5)</f>
        <v>0.5</v>
      </c>
      <c r="E68" s="25">
        <f>COUNTIFS(MatchHistory!$B:$B, $A68, MatchHistory!$C:$C, "Mafia")</f>
        <v>0</v>
      </c>
      <c r="F68" s="25">
        <f>COUNTIFS(MatchHistory!$B:$B, $A68, MatchHistory!$C:$C, "Mafia", MatchHistory!$D:$D, "Win")</f>
        <v>0</v>
      </c>
      <c r="G68" s="26">
        <f>IFERROR(__xludf.DUMMYFUNCTION("TO_PERCENT(IFERROR($F68/$E68, 0))"),0.0)</f>
        <v>0</v>
      </c>
      <c r="H68" s="27">
        <f t="shared" si="1"/>
        <v>2</v>
      </c>
      <c r="I68" s="26">
        <f>IFERROR(__xludf.DUMMYFUNCTION("TO_PERCENT(IFERROR(($F68+$C68)/($E68+$B68), 0))"),0.5)</f>
        <v>0.5</v>
      </c>
      <c r="J68" s="28">
        <f t="array" ref="J68">INDEX(MatchHistory!$G:$G,MATCH(1,(MatchHistory!$B:$B=$A68)*(MatchHistory!$G:$G&lt;&gt;""),0))</f>
        <v>25.38954478</v>
      </c>
      <c r="K68" s="29">
        <f t="array" ref="K68">INDEX(MatchHistory!$H:$H,MATCH(1,(MatchHistory!$B:$B=$A68)*(MatchHistory!$H:$H&lt;&gt;""),0))</f>
        <v>8.200275453</v>
      </c>
      <c r="L68" s="30">
        <f t="array" ref="L68">INDEX(MatchHistory!$J:$J,MATCH(1,(MatchHistory!$B:$B=$A68)*(MatchHistory!$J:$J&lt;&gt;""),0))</f>
        <v>890</v>
      </c>
    </row>
    <row r="69">
      <c r="A69" s="24" t="s">
        <v>83</v>
      </c>
      <c r="B69" s="11">
        <f>COUNTIFS(MatchHistory!$B:$B, $A69, MatchHistory!$C:$C, "Town")</f>
        <v>25</v>
      </c>
      <c r="C69" s="11">
        <f>COUNTIFS(MatchHistory!B:B, A69, MatchHistory!C:C, "Town", MatchHistory!D:D, "Win")</f>
        <v>7</v>
      </c>
      <c r="D69" s="12">
        <f>IFERROR(__xludf.DUMMYFUNCTION("IF(EQ($B69, 0), TO_PERCENT(0), TO_PERCENT($C69/$B69))"),0.28)</f>
        <v>0.28</v>
      </c>
      <c r="E69" s="11">
        <f>COUNTIFS(MatchHistory!$B:$B, $A69, MatchHistory!$C:$C, "Mafia")</f>
        <v>7</v>
      </c>
      <c r="F69" s="11">
        <f>COUNTIFS(MatchHistory!$B:$B, $A69, MatchHistory!$C:$C, "Mafia", MatchHistory!$D:$D, "Win")</f>
        <v>4</v>
      </c>
      <c r="G69" s="12">
        <f>IFERROR(__xludf.DUMMYFUNCTION("TO_PERCENT(IFERROR($F69/$E69, 0))"),0.5714285714285714)</f>
        <v>0.5714285714</v>
      </c>
      <c r="H69" s="13">
        <f t="shared" si="1"/>
        <v>32</v>
      </c>
      <c r="I69" s="12">
        <f>IFERROR(__xludf.DUMMYFUNCTION("TO_PERCENT(IFERROR(($F69+$C69)/($E69+$B69), 0))"),0.34375)</f>
        <v>0.34375</v>
      </c>
      <c r="J69" s="14">
        <f t="array" ref="J69">INDEX(MatchHistory!$G:$G,MATCH(1,(MatchHistory!$B:$B=$A69)*(MatchHistory!$G:$G&lt;&gt;""),0))</f>
        <v>23.01772593</v>
      </c>
      <c r="K69" s="15">
        <f t="array" ref="K69">INDEX(MatchHistory!$H:$H,MATCH(1,(MatchHistory!$B:$B=$A69)*(MatchHistory!$H:$H&lt;&gt;""),0))</f>
        <v>6.619565335</v>
      </c>
      <c r="L69" s="16">
        <f t="array" ref="L69">INDEX(MatchHistory!$J:$J,MATCH(1,(MatchHistory!$B:$B=$A69)*(MatchHistory!$J:$J&lt;&gt;""),0))</f>
        <v>890</v>
      </c>
    </row>
    <row r="70">
      <c r="A70" s="31" t="s">
        <v>84</v>
      </c>
      <c r="B70" s="38">
        <f>COUNTIFS(MatchHistory!$B:$B, $A70, MatchHistory!$C:$C, "Town")</f>
        <v>0</v>
      </c>
      <c r="C70" s="32">
        <f>COUNTIFS(MatchHistory!B:B, A70, MatchHistory!C:C, "Town", MatchHistory!D:D, "Win")</f>
        <v>0</v>
      </c>
      <c r="D70" s="33">
        <f>IFERROR(__xludf.DUMMYFUNCTION("IF(EQ($B70, 0), TO_PERCENT(0), TO_PERCENT($C70/$B70))"),0.0)</f>
        <v>0</v>
      </c>
      <c r="E70" s="32">
        <f>COUNTIFS(MatchHistory!$B:$B, $A70, MatchHistory!$C:$C, "Mafia")</f>
        <v>1</v>
      </c>
      <c r="F70" s="32">
        <f>COUNTIFS(MatchHistory!$B:$B, $A70, MatchHistory!$C:$C, "Mafia", MatchHistory!$D:$D, "Win")</f>
        <v>1</v>
      </c>
      <c r="G70" s="33">
        <f>IFERROR(__xludf.DUMMYFUNCTION("TO_PERCENT(IFERROR($F70/$E70, 0))"),1.0)</f>
        <v>1</v>
      </c>
      <c r="H70" s="32">
        <f t="shared" si="1"/>
        <v>1</v>
      </c>
      <c r="I70" s="33">
        <f>IFERROR(__xludf.DUMMYFUNCTION("TO_PERCENT(IFERROR(($F70+$C70)/($E70+$B70), 0))"),1.0)</f>
        <v>1</v>
      </c>
      <c r="J70" s="34">
        <f t="array" ref="J70">INDEX(MatchHistory!$G:$G,MATCH(1,(MatchHistory!$B:$B=$A70)*(MatchHistory!$G:$G&lt;&gt;""),0))</f>
        <v>25.49028964</v>
      </c>
      <c r="K70" s="35">
        <f t="array" ref="K70">INDEX(MatchHistory!$H:$H,MATCH(1,(MatchHistory!$B:$B=$A70)*(MatchHistory!$H:$H&lt;&gt;""),0))</f>
        <v>8.281112536</v>
      </c>
      <c r="L70" s="36">
        <f t="array" ref="L70">INDEX(MatchHistory!$J:$J,MATCH(1,(MatchHistory!$B:$B=$A70)*(MatchHistory!$J:$J&lt;&gt;""),0))</f>
        <v>889</v>
      </c>
    </row>
    <row r="71">
      <c r="A71" s="44" t="s">
        <v>85</v>
      </c>
      <c r="B71" s="25">
        <f>COUNTIFS(MatchHistory!$B:$B, $A71, MatchHistory!$C:$C, "Town")</f>
        <v>2</v>
      </c>
      <c r="C71" s="25">
        <f>COUNTIFS(MatchHistory!B:B, A71, MatchHistory!C:C, "Town", MatchHistory!D:D, "Win")</f>
        <v>1</v>
      </c>
      <c r="D71" s="26">
        <f>IFERROR(__xludf.DUMMYFUNCTION("IF(EQ($B71, 0), TO_PERCENT(0), TO_PERCENT($C71/$B71))"),0.5)</f>
        <v>0.5</v>
      </c>
      <c r="E71" s="25">
        <f>COUNTIFS(MatchHistory!$B:$B, $A71, MatchHistory!$C:$C, "Mafia")</f>
        <v>0</v>
      </c>
      <c r="F71" s="25">
        <f>COUNTIFS(MatchHistory!$B:$B, $A71, MatchHistory!$C:$C, "Mafia", MatchHistory!$D:$D, "Win")</f>
        <v>0</v>
      </c>
      <c r="G71" s="26">
        <f>IFERROR(__xludf.DUMMYFUNCTION("TO_PERCENT(IFERROR($F71/$E71, 0))"),0.0)</f>
        <v>0</v>
      </c>
      <c r="H71" s="27">
        <f t="shared" si="1"/>
        <v>2</v>
      </c>
      <c r="I71" s="26">
        <f>IFERROR(__xludf.DUMMYFUNCTION("TO_PERCENT(IFERROR(($F71+$C71)/($E71+$B71), 0))"),0.5)</f>
        <v>0.5</v>
      </c>
      <c r="J71" s="28">
        <f t="array" ref="J71">INDEX(MatchHistory!$G:$G,MATCH(1,(MatchHistory!$B:$B=$A71)*(MatchHistory!$G:$G&lt;&gt;""),0))</f>
        <v>25.29136527</v>
      </c>
      <c r="K71" s="29">
        <f t="array" ref="K71">INDEX(MatchHistory!$H:$H,MATCH(1,(MatchHistory!$B:$B=$A71)*(MatchHistory!$H:$H&lt;&gt;""),0))</f>
        <v>8.212238334</v>
      </c>
      <c r="L71" s="30">
        <f t="array" ref="L71">INDEX(MatchHistory!$J:$J,MATCH(1,(MatchHistory!$B:$B=$A71)*(MatchHistory!$J:$J&lt;&gt;""),0))</f>
        <v>882</v>
      </c>
    </row>
    <row r="72">
      <c r="A72" s="44" t="s">
        <v>86</v>
      </c>
      <c r="B72" s="25">
        <f>COUNTIFS(MatchHistory!$B:$B, $A72, MatchHistory!$C:$C, "Town")</f>
        <v>3</v>
      </c>
      <c r="C72" s="25">
        <f>COUNTIFS(MatchHistory!B:B, A72, MatchHistory!C:C, "Town", MatchHistory!D:D, "Win")</f>
        <v>1</v>
      </c>
      <c r="D72" s="26">
        <f>IFERROR(__xludf.DUMMYFUNCTION("IF(EQ($B72, 0), TO_PERCENT(0), TO_PERCENT($C72/$B72))"),0.3333333333333333)</f>
        <v>0.3333333333</v>
      </c>
      <c r="E72" s="25">
        <f>COUNTIFS(MatchHistory!$B:$B, $A72, MatchHistory!$C:$C, "Mafia")</f>
        <v>2</v>
      </c>
      <c r="F72" s="25">
        <f>COUNTIFS(MatchHistory!$B:$B, $A72, MatchHistory!$C:$C, "Mafia", MatchHistory!$D:$D, "Win")</f>
        <v>1</v>
      </c>
      <c r="G72" s="26">
        <f>IFERROR(__xludf.DUMMYFUNCTION("TO_PERCENT(IFERROR($F72/$E72, 0))"),0.5)</f>
        <v>0.5</v>
      </c>
      <c r="H72" s="27">
        <f t="shared" si="1"/>
        <v>5</v>
      </c>
      <c r="I72" s="26">
        <f>IFERROR(__xludf.DUMMYFUNCTION("TO_PERCENT(IFERROR(($F72+$C72)/($E72+$B72), 0))"),0.4)</f>
        <v>0.4</v>
      </c>
      <c r="J72" s="28">
        <f t="array" ref="J72">INDEX(MatchHistory!$G:$G,MATCH(1,(MatchHistory!$B:$B=$A72)*(MatchHistory!$G:$G&lt;&gt;""),0))</f>
        <v>24.92512755</v>
      </c>
      <c r="K72" s="29">
        <f t="array" ref="K72">INDEX(MatchHistory!$H:$H,MATCH(1,(MatchHistory!$B:$B=$A72)*(MatchHistory!$H:$H&lt;&gt;""),0))</f>
        <v>7.982588521</v>
      </c>
      <c r="L72" s="30">
        <f t="array" ref="L72">INDEX(MatchHistory!$J:$J,MATCH(1,(MatchHistory!$B:$B=$A72)*(MatchHistory!$J:$J&lt;&gt;""),0))</f>
        <v>881</v>
      </c>
    </row>
    <row r="73">
      <c r="A73" s="45" t="s">
        <v>87</v>
      </c>
      <c r="B73" s="25">
        <f>COUNTIFS(MatchHistory!$B:$B, $A73, MatchHistory!$C:$C, "Town")</f>
        <v>5</v>
      </c>
      <c r="C73" s="25">
        <f>COUNTIFS(MatchHistory!B:B, A73, MatchHistory!C:C, "Town", MatchHistory!D:D, "Win")</f>
        <v>2</v>
      </c>
      <c r="D73" s="26">
        <f>IFERROR(__xludf.DUMMYFUNCTION("IF(EQ($B73, 0), TO_PERCENT(0), TO_PERCENT($C73/$B73))"),0.4)</f>
        <v>0.4</v>
      </c>
      <c r="E73" s="25">
        <f>COUNTIFS(MatchHistory!$B:$B, $A73, MatchHistory!$C:$C, "Mafia")</f>
        <v>2</v>
      </c>
      <c r="F73" s="25">
        <f>COUNTIFS(MatchHistory!$B:$B, $A73, MatchHistory!$C:$C, "Mafia", MatchHistory!$D:$D, "Win")</f>
        <v>1</v>
      </c>
      <c r="G73" s="26">
        <f>IFERROR(__xludf.DUMMYFUNCTION("TO_PERCENT(IFERROR($F73/$E73, 0))"),0.5)</f>
        <v>0.5</v>
      </c>
      <c r="H73" s="27">
        <f t="shared" si="1"/>
        <v>7</v>
      </c>
      <c r="I73" s="26">
        <f>IFERROR(__xludf.DUMMYFUNCTION("TO_PERCENT(IFERROR(($F73+$C73)/($E73+$B73), 0))"),0.42857142857142855)</f>
        <v>0.4285714286</v>
      </c>
      <c r="J73" s="28">
        <f t="array" ref="J73">INDEX(MatchHistory!$G:$G,MATCH(1,(MatchHistory!$B:$B=$A73)*(MatchHistory!$G:$G&lt;&gt;""),0))</f>
        <v>24.79303907</v>
      </c>
      <c r="K73" s="29">
        <f t="array" ref="K73">INDEX(MatchHistory!$H:$H,MATCH(1,(MatchHistory!$B:$B=$A73)*(MatchHistory!$H:$H&lt;&gt;""),0))</f>
        <v>7.944555081</v>
      </c>
      <c r="L73" s="30">
        <f t="array" ref="L73">INDEX(MatchHistory!$J:$J,MATCH(1,(MatchHistory!$B:$B=$A73)*(MatchHistory!$J:$J&lt;&gt;""),0))</f>
        <v>876</v>
      </c>
    </row>
    <row r="74">
      <c r="A74" s="44" t="s">
        <v>88</v>
      </c>
      <c r="B74" s="25">
        <f>COUNTIFS(MatchHistory!$B:$B, $A74, MatchHistory!$C:$C, "Town")</f>
        <v>2</v>
      </c>
      <c r="C74" s="25">
        <f>COUNTIFS(MatchHistory!B:B, A74, MatchHistory!C:C, "Town", MatchHistory!D:D, "Win")</f>
        <v>1</v>
      </c>
      <c r="D74" s="26">
        <f>IFERROR(__xludf.DUMMYFUNCTION("IF(EQ($B74, 0), TO_PERCENT(0), TO_PERCENT($C74/$B74))"),0.5)</f>
        <v>0.5</v>
      </c>
      <c r="E74" s="25">
        <f>COUNTIFS(MatchHistory!$B:$B, $A74, MatchHistory!$C:$C, "Mafia")</f>
        <v>0</v>
      </c>
      <c r="F74" s="25">
        <f>COUNTIFS(MatchHistory!$B:$B, $A74, MatchHistory!$C:$C, "Mafia", MatchHistory!$D:$D, "Win")</f>
        <v>0</v>
      </c>
      <c r="G74" s="26">
        <f>IFERROR(__xludf.DUMMYFUNCTION("TO_PERCENT(IFERROR($F74/$E74, 0))"),0.0)</f>
        <v>0</v>
      </c>
      <c r="H74" s="27">
        <f t="shared" si="1"/>
        <v>2</v>
      </c>
      <c r="I74" s="26">
        <f>IFERROR(__xludf.DUMMYFUNCTION("TO_PERCENT(IFERROR(($F74+$C74)/($E74+$B74), 0))"),0.5)</f>
        <v>0.5</v>
      </c>
      <c r="J74" s="28">
        <f t="array" ref="J74">INDEX(MatchHistory!$G:$G,MATCH(1,(MatchHistory!$B:$B=$A74)*(MatchHistory!$G:$G&lt;&gt;""),0))</f>
        <v>25.19162581</v>
      </c>
      <c r="K74" s="29">
        <f t="array" ref="K74">INDEX(MatchHistory!$H:$H,MATCH(1,(MatchHistory!$B:$B=$A74)*(MatchHistory!$H:$H&lt;&gt;""),0))</f>
        <v>8.209193266</v>
      </c>
      <c r="L74" s="30">
        <f t="array" ref="L74">INDEX(MatchHistory!$J:$J,MATCH(1,(MatchHistory!$B:$B=$A74)*(MatchHistory!$J:$J&lt;&gt;""),0))</f>
        <v>876</v>
      </c>
    </row>
    <row r="75">
      <c r="A75" s="45" t="s">
        <v>89</v>
      </c>
      <c r="B75" s="25">
        <f>COUNTIFS(MatchHistory!$B:$B, $A75, MatchHistory!$C:$C, "Town")</f>
        <v>2</v>
      </c>
      <c r="C75" s="25">
        <f>COUNTIFS(MatchHistory!B:B, A75, MatchHistory!C:C, "Town", MatchHistory!D:D, "Win")</f>
        <v>1</v>
      </c>
      <c r="D75" s="26">
        <f>IFERROR(__xludf.DUMMYFUNCTION("IF(EQ($B75, 0), TO_PERCENT(0), TO_PERCENT($C75/$B75))"),0.5)</f>
        <v>0.5</v>
      </c>
      <c r="E75" s="25">
        <f>COUNTIFS(MatchHistory!$B:$B, $A75, MatchHistory!$C:$C, "Mafia")</f>
        <v>0</v>
      </c>
      <c r="F75" s="25">
        <f>COUNTIFS(MatchHistory!$B:$B, $A75, MatchHistory!$C:$C, "Mafia", MatchHistory!$D:$D, "Win")</f>
        <v>0</v>
      </c>
      <c r="G75" s="26">
        <f>IFERROR(__xludf.DUMMYFUNCTION("TO_PERCENT(IFERROR($F75/$E75, 0))"),0.0)</f>
        <v>0</v>
      </c>
      <c r="H75" s="27">
        <f t="shared" si="1"/>
        <v>2</v>
      </c>
      <c r="I75" s="26">
        <f>IFERROR(__xludf.DUMMYFUNCTION("TO_PERCENT(IFERROR(($F75+$C75)/($E75+$B75), 0))"),0.5)</f>
        <v>0.5</v>
      </c>
      <c r="J75" s="28">
        <f t="array" ref="J75">INDEX(MatchHistory!$G:$G,MATCH(1,(MatchHistory!$B:$B=$A75)*(MatchHistory!$G:$G&lt;&gt;""),0))</f>
        <v>25.06832902</v>
      </c>
      <c r="K75" s="29">
        <f t="array" ref="K75">INDEX(MatchHistory!$H:$H,MATCH(1,(MatchHistory!$B:$B=$A75)*(MatchHistory!$H:$H&lt;&gt;""),0))</f>
        <v>8.167753296</v>
      </c>
      <c r="L75" s="30">
        <f t="array" ref="L75">INDEX(MatchHistory!$J:$J,MATCH(1,(MatchHistory!$B:$B=$A75)*(MatchHistory!$J:$J&lt;&gt;""),0))</f>
        <v>872</v>
      </c>
    </row>
    <row r="76">
      <c r="A76" s="44" t="s">
        <v>90</v>
      </c>
      <c r="B76" s="25">
        <f>COUNTIFS(MatchHistory!$B:$B, $A76, MatchHistory!$C:$C, "Town")</f>
        <v>2</v>
      </c>
      <c r="C76" s="25">
        <f>COUNTIFS(MatchHistory!B:B, A76, MatchHistory!C:C, "Town", MatchHistory!D:D, "Win")</f>
        <v>1</v>
      </c>
      <c r="D76" s="26">
        <f>IFERROR(__xludf.DUMMYFUNCTION("IF(EQ($B76, 0), TO_PERCENT(0), TO_PERCENT($C76/$B76))"),0.5)</f>
        <v>0.5</v>
      </c>
      <c r="E76" s="25">
        <f>COUNTIFS(MatchHistory!$B:$B, $A76, MatchHistory!$C:$C, "Mafia")</f>
        <v>2</v>
      </c>
      <c r="F76" s="25">
        <f>COUNTIFS(MatchHistory!$B:$B, $A76, MatchHistory!$C:$C, "Mafia", MatchHistory!$D:$D, "Win")</f>
        <v>1</v>
      </c>
      <c r="G76" s="26">
        <f>IFERROR(__xludf.DUMMYFUNCTION("TO_PERCENT(IFERROR($F76/$E76, 0))"),0.5)</f>
        <v>0.5</v>
      </c>
      <c r="H76" s="27">
        <f t="shared" si="1"/>
        <v>4</v>
      </c>
      <c r="I76" s="26">
        <f>IFERROR(__xludf.DUMMYFUNCTION("TO_PERCENT(IFERROR(($F76+$C76)/($E76+$B76), 0))"),0.5)</f>
        <v>0.5</v>
      </c>
      <c r="J76" s="28">
        <f t="array" ref="J76">INDEX(MatchHistory!$G:$G,MATCH(1,(MatchHistory!$B:$B=$A76)*(MatchHistory!$G:$G&lt;&gt;""),0))</f>
        <v>24.8895158</v>
      </c>
      <c r="K76" s="29">
        <f t="array" ref="K76">INDEX(MatchHistory!$H:$H,MATCH(1,(MatchHistory!$B:$B=$A76)*(MatchHistory!$H:$H&lt;&gt;""),0))</f>
        <v>8.095908236</v>
      </c>
      <c r="L76" s="30">
        <f t="array" ref="L76">INDEX(MatchHistory!$J:$J,MATCH(1,(MatchHistory!$B:$B=$A76)*(MatchHistory!$J:$J&lt;&gt;""),0))</f>
        <v>867</v>
      </c>
    </row>
    <row r="77">
      <c r="A77" s="46" t="s">
        <v>91</v>
      </c>
      <c r="B77" s="38">
        <f>COUNTIFS(MatchHistory!$B:$B, $A77, MatchHistory!$C:$C, "Town")</f>
        <v>3</v>
      </c>
      <c r="C77" s="32">
        <f>COUNTIFS(MatchHistory!B:B, A77, MatchHistory!C:C, "Town", MatchHistory!D:D, "Win")</f>
        <v>1</v>
      </c>
      <c r="D77" s="33">
        <f>IFERROR(__xludf.DUMMYFUNCTION("IF(EQ($B77, 0), TO_PERCENT(0), TO_PERCENT($C77/$B77))"),0.3333333333333333)</f>
        <v>0.3333333333</v>
      </c>
      <c r="E77" s="32">
        <f>COUNTIFS(MatchHistory!$B:$B, $A77, MatchHistory!$C:$C, "Mafia")</f>
        <v>0</v>
      </c>
      <c r="F77" s="32">
        <f>COUNTIFS(MatchHistory!$B:$B, $A77, MatchHistory!$C:$C, "Mafia", MatchHistory!$D:$D, "Win")</f>
        <v>0</v>
      </c>
      <c r="G77" s="33">
        <f>IFERROR(__xludf.DUMMYFUNCTION("TO_PERCENT(IFERROR($F77/$E77, 0))"),0.0)</f>
        <v>0</v>
      </c>
      <c r="H77" s="32">
        <f t="shared" si="1"/>
        <v>3</v>
      </c>
      <c r="I77" s="33">
        <f>IFERROR(__xludf.DUMMYFUNCTION("TO_PERCENT(IFERROR(($F77+$C77)/($E77+$B77), 0))"),0.3333333333333333)</f>
        <v>0.3333333333</v>
      </c>
      <c r="J77" s="34">
        <f t="array" ref="J77">INDEX(MatchHistory!$G:$G,MATCH(1,(MatchHistory!$B:$B=$A77)*(MatchHistory!$G:$G&lt;&gt;""),0))</f>
        <v>24.65486293</v>
      </c>
      <c r="K77" s="35">
        <f t="array" ref="K77">INDEX(MatchHistory!$H:$H,MATCH(1,(MatchHistory!$B:$B=$A77)*(MatchHistory!$H:$H&lt;&gt;""),0))</f>
        <v>8.09769006</v>
      </c>
      <c r="L77" s="36">
        <f t="array" ref="L77">INDEX(MatchHistory!$J:$J,MATCH(1,(MatchHistory!$B:$B=$A77)*(MatchHistory!$J:$J&lt;&gt;""),0))</f>
        <v>851</v>
      </c>
    </row>
    <row r="78">
      <c r="A78" s="44" t="s">
        <v>92</v>
      </c>
      <c r="B78" s="11">
        <f>COUNTIFS(MatchHistory!$B:$B, $A78, MatchHistory!$C:$C, "Town")</f>
        <v>7</v>
      </c>
      <c r="C78" s="11">
        <f>COUNTIFS(MatchHistory!B:B, A78, MatchHistory!C:C, "Town", MatchHistory!D:D, "Win")</f>
        <v>1</v>
      </c>
      <c r="D78" s="12">
        <f>IFERROR(__xludf.DUMMYFUNCTION("IF(EQ($B78, 0), TO_PERCENT(0), TO_PERCENT($C78/$B78))"),0.14285714285714285)</f>
        <v>0.1428571429</v>
      </c>
      <c r="E78" s="11">
        <f>COUNTIFS(MatchHistory!$B:$B, $A78, MatchHistory!$C:$C, "Mafia")</f>
        <v>2</v>
      </c>
      <c r="F78" s="11">
        <f>COUNTIFS(MatchHistory!$B:$B, $A78, MatchHistory!$C:$C, "Mafia", MatchHistory!$D:$D, "Win")</f>
        <v>2</v>
      </c>
      <c r="G78" s="12">
        <f>IFERROR(__xludf.DUMMYFUNCTION("TO_PERCENT(IFERROR($F78/$E78, 0))"),1.0)</f>
        <v>1</v>
      </c>
      <c r="H78" s="13">
        <f t="shared" si="1"/>
        <v>9</v>
      </c>
      <c r="I78" s="12">
        <f>IFERROR(__xludf.DUMMYFUNCTION("TO_PERCENT(IFERROR(($F78+$C78)/($E78+$B78), 0))"),0.3333333333333333)</f>
        <v>0.3333333333</v>
      </c>
      <c r="J78" s="14">
        <f t="array" ref="J78">INDEX(MatchHistory!$G:$G,MATCH(1,(MatchHistory!$B:$B=$A78)*(MatchHistory!$G:$G&lt;&gt;""),0))</f>
        <v>24.19267253</v>
      </c>
      <c r="K78" s="15">
        <f t="array" ref="K78">INDEX(MatchHistory!$H:$H,MATCH(1,(MatchHistory!$B:$B=$A78)*(MatchHistory!$H:$H&lt;&gt;""),0))</f>
        <v>7.800815246</v>
      </c>
      <c r="L78" s="16">
        <f t="array" ref="L78">INDEX(MatchHistory!$J:$J,MATCH(1,(MatchHistory!$B:$B=$A78)*(MatchHistory!$J:$J&lt;&gt;""),0))</f>
        <v>849</v>
      </c>
    </row>
    <row r="79">
      <c r="A79" s="47" t="s">
        <v>93</v>
      </c>
      <c r="B79" s="11">
        <f>COUNTIFS(MatchHistory!$B:$B, $A79, MatchHistory!$C:$C, "Town")</f>
        <v>5</v>
      </c>
      <c r="C79" s="11">
        <f>COUNTIFS(MatchHistory!B:B, A79, MatchHistory!C:C, "Town", MatchHistory!D:D, "Win")</f>
        <v>1</v>
      </c>
      <c r="D79" s="12">
        <f>IFERROR(__xludf.DUMMYFUNCTION("IF(EQ($B79, 0), TO_PERCENT(0), TO_PERCENT($C79/$B79))"),0.2)</f>
        <v>0.2</v>
      </c>
      <c r="E79" s="11">
        <f>COUNTIFS(MatchHistory!$B:$B, $A79, MatchHistory!$C:$C, "Mafia")</f>
        <v>2</v>
      </c>
      <c r="F79" s="11">
        <f>COUNTIFS(MatchHistory!$B:$B, $A79, MatchHistory!$C:$C, "Mafia", MatchHistory!$D:$D, "Win")</f>
        <v>2</v>
      </c>
      <c r="G79" s="12">
        <f>IFERROR(__xludf.DUMMYFUNCTION("TO_PERCENT(IFERROR($F79/$E79, 0))"),1.0)</f>
        <v>1</v>
      </c>
      <c r="H79" s="13">
        <f t="shared" si="1"/>
        <v>7</v>
      </c>
      <c r="I79" s="12">
        <f>IFERROR(__xludf.DUMMYFUNCTION("TO_PERCENT(IFERROR(($F79+$C79)/($E79+$B79), 0))"),0.42857142857142855)</f>
        <v>0.4285714286</v>
      </c>
      <c r="J79" s="14">
        <f t="array" ref="J79">INDEX(MatchHistory!$G:$G,MATCH(1,(MatchHistory!$B:$B=$A79)*(MatchHistory!$G:$G&lt;&gt;""),0))</f>
        <v>24.2011621</v>
      </c>
      <c r="K79" s="15">
        <f t="array" ref="K79">INDEX(MatchHistory!$H:$H,MATCH(1,(MatchHistory!$B:$B=$A79)*(MatchHistory!$H:$H&lt;&gt;""),0))</f>
        <v>7.846091098</v>
      </c>
      <c r="L79" s="16">
        <f t="array" ref="L79">INDEX(MatchHistory!$J:$J,MATCH(1,(MatchHistory!$B:$B=$A79)*(MatchHistory!$J:$J&lt;&gt;""),0))</f>
        <v>845</v>
      </c>
    </row>
    <row r="80">
      <c r="A80" s="46" t="s">
        <v>94</v>
      </c>
      <c r="B80" s="38">
        <f>COUNTIFS(MatchHistory!$B:$B, $A80, MatchHistory!$C:$C, "Town")</f>
        <v>1</v>
      </c>
      <c r="C80" s="32">
        <f>COUNTIFS(MatchHistory!B:B, A80, MatchHistory!C:C, "Town", MatchHistory!D:D, "Win")</f>
        <v>0</v>
      </c>
      <c r="D80" s="33">
        <f>IFERROR(__xludf.DUMMYFUNCTION("IF(EQ($B80, 0), TO_PERCENT(0), TO_PERCENT($C80/$B80))"),0.0)</f>
        <v>0</v>
      </c>
      <c r="E80" s="32">
        <f>COUNTIFS(MatchHistory!$B:$B, $A80, MatchHistory!$C:$C, "Mafia")</f>
        <v>0</v>
      </c>
      <c r="F80" s="32">
        <f>COUNTIFS(MatchHistory!$B:$B, $A80, MatchHistory!$C:$C, "Mafia", MatchHistory!$D:$D, "Win")</f>
        <v>0</v>
      </c>
      <c r="G80" s="33">
        <f>IFERROR(__xludf.DUMMYFUNCTION("TO_PERCENT(IFERROR($F80/$E80, 0))"),0.0)</f>
        <v>0</v>
      </c>
      <c r="H80" s="32">
        <f t="shared" si="1"/>
        <v>1</v>
      </c>
      <c r="I80" s="33">
        <f>IFERROR(__xludf.DUMMYFUNCTION("TO_PERCENT(IFERROR(($F80+$C80)/($E80+$B80), 0))"),0.0)</f>
        <v>0</v>
      </c>
      <c r="J80" s="34">
        <f t="array" ref="J80">INDEX(MatchHistory!$G:$G,MATCH(1,(MatchHistory!$B:$B=$A80)*(MatchHistory!$G:$G&lt;&gt;""),0))</f>
        <v>24.86821045</v>
      </c>
      <c r="K80" s="35">
        <f t="array" ref="K80">INDEX(MatchHistory!$H:$H,MATCH(1,(MatchHistory!$B:$B=$A80)*(MatchHistory!$H:$H&lt;&gt;""),0))</f>
        <v>8.312209548</v>
      </c>
      <c r="L80" s="36">
        <f t="array" ref="L80">INDEX(MatchHistory!$J:$J,MATCH(1,(MatchHistory!$B:$B=$A80)*(MatchHistory!$J:$J&lt;&gt;""),0))</f>
        <v>843</v>
      </c>
    </row>
    <row r="81">
      <c r="A81" s="46" t="s">
        <v>95</v>
      </c>
      <c r="B81" s="48">
        <f>COUNTIFS(MatchHistory!$B:$B, $A81, MatchHistory!$C:$C, "Town")</f>
        <v>1</v>
      </c>
      <c r="C81" s="49">
        <f>COUNTIFS(MatchHistory!B:B, A81, MatchHistory!C:C, "Town", MatchHistory!D:D, "Win")</f>
        <v>0</v>
      </c>
      <c r="D81" s="50">
        <f>IFERROR(__xludf.DUMMYFUNCTION("IF(EQ($B81, 0), TO_PERCENT(0), TO_PERCENT($C81/$B81))"),0.0)</f>
        <v>0</v>
      </c>
      <c r="E81" s="49">
        <f>COUNTIFS(MatchHistory!$B:$B, $A81, MatchHistory!$C:$C, "Mafia")</f>
        <v>0</v>
      </c>
      <c r="F81" s="49">
        <f>COUNTIFS(MatchHistory!$B:$B, $A81, MatchHistory!$C:$C, "Mafia", MatchHistory!$D:$D, "Win")</f>
        <v>0</v>
      </c>
      <c r="G81" s="50">
        <f>IFERROR(__xludf.DUMMYFUNCTION("TO_PERCENT(IFERROR($F81/$E81, 0))"),0.0)</f>
        <v>0</v>
      </c>
      <c r="H81" s="49">
        <f t="shared" si="1"/>
        <v>1</v>
      </c>
      <c r="I81" s="50">
        <f>IFERROR(__xludf.DUMMYFUNCTION("TO_PERCENT(IFERROR(($F81+$C81)/($E81+$B81), 0))"),0.0)</f>
        <v>0</v>
      </c>
      <c r="J81" s="51">
        <f t="array" ref="J81">INDEX(MatchHistory!$G:$G,MATCH(1,(MatchHistory!$B:$B=$A81)*(MatchHistory!$G:$G&lt;&gt;""),0))</f>
        <v>24.86821045</v>
      </c>
      <c r="K81" s="52">
        <f t="array" ref="K81">INDEX(MatchHistory!$H:$H,MATCH(1,(MatchHistory!$B:$B=$A81)*(MatchHistory!$H:$H&lt;&gt;""),0))</f>
        <v>8.312209548</v>
      </c>
      <c r="L81" s="36">
        <f t="array" ref="L81">INDEX(MatchHistory!$J:$J,MATCH(1,(MatchHistory!$B:$B=$A81)*(MatchHistory!$J:$J&lt;&gt;""),0))</f>
        <v>843</v>
      </c>
    </row>
    <row r="82">
      <c r="A82" s="46" t="s">
        <v>96</v>
      </c>
      <c r="B82" s="53">
        <f>COUNTIFS(MatchHistory!$B:$B, $A82, MatchHistory!$C:$C, "Town")</f>
        <v>1</v>
      </c>
      <c r="C82" s="53">
        <f>COUNTIFS(MatchHistory!B:B, A82, MatchHistory!C:C, "Town", MatchHistory!D:D, "Win")</f>
        <v>0</v>
      </c>
      <c r="D82" s="54">
        <f>IFERROR(__xludf.DUMMYFUNCTION("IF(EQ($B82, 0), TO_PERCENT(0), TO_PERCENT($C82/$B82))"),0.0)</f>
        <v>0</v>
      </c>
      <c r="E82" s="53">
        <f>COUNTIFS(MatchHistory!$B:$B, $A82, MatchHistory!$C:$C, "Mafia")</f>
        <v>0</v>
      </c>
      <c r="F82" s="53">
        <f>COUNTIFS(MatchHistory!$B:$B, $A82, MatchHistory!$C:$C, "Mafia", MatchHistory!$D:$D, "Win")</f>
        <v>0</v>
      </c>
      <c r="G82" s="54">
        <f>IFERROR(__xludf.DUMMYFUNCTION("TO_PERCENT(IFERROR($F82/$E82, 0))"),0.0)</f>
        <v>0</v>
      </c>
      <c r="H82" s="53">
        <f t="shared" si="1"/>
        <v>1</v>
      </c>
      <c r="I82" s="54">
        <f>IFERROR(__xludf.DUMMYFUNCTION("TO_PERCENT(IFERROR(($F82+$C82)/($E82+$B82), 0))"),0.0)</f>
        <v>0</v>
      </c>
      <c r="J82" s="52">
        <f t="array" ref="J82">INDEX(MatchHistory!$G:$G,MATCH(1,(MatchHistory!$B:$B=$A82)*(MatchHistory!$G:$G&lt;&gt;""),0))</f>
        <v>24.80277867</v>
      </c>
      <c r="K82" s="55">
        <f t="array" ref="K82">INDEX(MatchHistory!$H:$H,MATCH(1,(MatchHistory!$B:$B=$A82)*(MatchHistory!$H:$H&lt;&gt;""),0))</f>
        <v>8.30614458</v>
      </c>
      <c r="L82" s="36">
        <f t="array" ref="L82">INDEX(MatchHistory!$J:$J,MATCH(1,(MatchHistory!$B:$B=$A82)*(MatchHistory!$J:$J&lt;&gt;""),0))</f>
        <v>839</v>
      </c>
    </row>
    <row r="83">
      <c r="A83" s="45" t="s">
        <v>97</v>
      </c>
      <c r="B83" s="56">
        <f>COUNTIFS(MatchHistory!$B:$B, $A83, MatchHistory!$C:$C, "Town")</f>
        <v>47</v>
      </c>
      <c r="C83" s="56">
        <f>COUNTIFS(MatchHistory!B:B, A83, MatchHistory!C:C, "Town", MatchHistory!D:D, "Win")</f>
        <v>14</v>
      </c>
      <c r="D83" s="57">
        <f>IFERROR(__xludf.DUMMYFUNCTION("IF(EQ($B83, 0), TO_PERCENT(0), TO_PERCENT($C83/$B83))"),0.2978723404255319)</f>
        <v>0.2978723404</v>
      </c>
      <c r="E83" s="56">
        <f>COUNTIFS(MatchHistory!$B:$B, $A83, MatchHistory!$C:$C, "Mafia")</f>
        <v>12</v>
      </c>
      <c r="F83" s="56">
        <f>COUNTIFS(MatchHistory!$B:$B, $A83, MatchHistory!$C:$C, "Mafia", MatchHistory!$D:$D, "Win")</f>
        <v>5</v>
      </c>
      <c r="G83" s="57">
        <f>IFERROR(__xludf.DUMMYFUNCTION("TO_PERCENT(IFERROR($F83/$E83, 0))"),0.4166666666666667)</f>
        <v>0.4166666667</v>
      </c>
      <c r="H83" s="58">
        <f t="shared" si="1"/>
        <v>59</v>
      </c>
      <c r="I83" s="57">
        <f>IFERROR(__xludf.DUMMYFUNCTION("TO_PERCENT(IFERROR(($F83+$C83)/($E83+$B83), 0))"),0.3220338983050847)</f>
        <v>0.3220338983</v>
      </c>
      <c r="J83" s="59">
        <f t="array" ref="J83">INDEX(MatchHistory!$G:$G,MATCH(1,(MatchHistory!$B:$B=$A83)*(MatchHistory!$G:$G&lt;&gt;""),0))</f>
        <v>21.22932003</v>
      </c>
      <c r="K83" s="59">
        <f t="array" ref="K83">INDEX(MatchHistory!$H:$H,MATCH(1,(MatchHistory!$B:$B=$A83)*(MatchHistory!$H:$H&lt;&gt;""),0))</f>
        <v>5.961170199</v>
      </c>
      <c r="L83" s="16">
        <f t="array" ref="L83">INDEX(MatchHistory!$J:$J,MATCH(1,(MatchHistory!$B:$B=$A83)*(MatchHistory!$J:$J&lt;&gt;""),0))</f>
        <v>836</v>
      </c>
    </row>
    <row r="84">
      <c r="A84" s="60" t="s">
        <v>98</v>
      </c>
      <c r="B84" s="61">
        <f>COUNTIFS(MatchHistory!$B:$B, $A84, MatchHistory!$C:$C, "Town")</f>
        <v>1</v>
      </c>
      <c r="C84" s="62">
        <f>COUNTIFS(MatchHistory!B:B, A84, MatchHistory!C:C, "Town", MatchHistory!D:D, "Win")</f>
        <v>0</v>
      </c>
      <c r="D84" s="63">
        <f>IFERROR(__xludf.DUMMYFUNCTION("IF(EQ($B84, 0), TO_PERCENT(0), TO_PERCENT($C84/$B84))"),0.0)</f>
        <v>0</v>
      </c>
      <c r="E84" s="62">
        <f>COUNTIFS(MatchHistory!$B:$B, $A84, MatchHistory!$C:$C, "Mafia")</f>
        <v>0</v>
      </c>
      <c r="F84" s="62">
        <f>COUNTIFS(MatchHistory!$B:$B, $A84, MatchHistory!$C:$C, "Mafia", MatchHistory!$D:$D, "Win")</f>
        <v>0</v>
      </c>
      <c r="G84" s="63">
        <f>IFERROR(__xludf.DUMMYFUNCTION("TO_PERCENT(IFERROR($F84/$E84, 0))"),0.0)</f>
        <v>0</v>
      </c>
      <c r="H84" s="62">
        <f t="shared" si="1"/>
        <v>1</v>
      </c>
      <c r="I84" s="63">
        <f>IFERROR(__xludf.DUMMYFUNCTION("TO_PERCENT(IFERROR(($F84+$C84)/($E84+$B84), 0))"),0.0)</f>
        <v>0</v>
      </c>
      <c r="J84" s="64">
        <f t="array" ref="J84">INDEX(MatchHistory!$G:$G,MATCH(1,(MatchHistory!$B:$B=$A84)*(MatchHistory!$G:$G&lt;&gt;""),0))</f>
        <v>24.48990264</v>
      </c>
      <c r="K84" s="64">
        <f t="array" ref="K84">INDEX(MatchHistory!$H:$H,MATCH(1,(MatchHistory!$B:$B=$A84)*(MatchHistory!$H:$H&lt;&gt;""),0))</f>
        <v>8.280093182</v>
      </c>
      <c r="L84" s="65">
        <f t="array" ref="L84">INDEX(MatchHistory!$J:$J,MATCH(1,(MatchHistory!$B:$B=$A84)*(MatchHistory!$J:$J&lt;&gt;""),0))</f>
        <v>821</v>
      </c>
    </row>
    <row r="85">
      <c r="A85" s="45" t="s">
        <v>99</v>
      </c>
      <c r="B85" s="66">
        <f>COUNTIFS(MatchHistory!$B:$B, $A85, MatchHistory!$C:$C, "Town")</f>
        <v>5</v>
      </c>
      <c r="C85" s="66">
        <f>COUNTIFS(MatchHistory!B:B, A85, MatchHistory!C:C, "Town", MatchHistory!D:D, "Win")</f>
        <v>1</v>
      </c>
      <c r="D85" s="67">
        <f>IFERROR(__xludf.DUMMYFUNCTION("IF(EQ($B85, 0), TO_PERCENT(0), TO_PERCENT($C85/$B85))"),0.2)</f>
        <v>0.2</v>
      </c>
      <c r="E85" s="66">
        <f>COUNTIFS(MatchHistory!$B:$B, $A85, MatchHistory!$C:$C, "Mafia")</f>
        <v>3</v>
      </c>
      <c r="F85" s="66">
        <f>COUNTIFS(MatchHistory!$B:$B, $A85, MatchHistory!$C:$C, "Mafia", MatchHistory!$D:$D, "Win")</f>
        <v>2</v>
      </c>
      <c r="G85" s="67">
        <f>IFERROR(__xludf.DUMMYFUNCTION("TO_PERCENT(IFERROR($F85/$E85, 0))"),0.6666666666666666)</f>
        <v>0.6666666667</v>
      </c>
      <c r="H85" s="68">
        <f t="shared" si="1"/>
        <v>8</v>
      </c>
      <c r="I85" s="67">
        <f>IFERROR(__xludf.DUMMYFUNCTION("TO_PERCENT(IFERROR(($F85+$C85)/($E85+$B85), 0))"),0.375)</f>
        <v>0.375</v>
      </c>
      <c r="J85" s="69">
        <f t="array" ref="J85">INDEX(MatchHistory!$G:$G,MATCH(1,(MatchHistory!$B:$B=$A85)*(MatchHistory!$G:$G&lt;&gt;""),0))</f>
        <v>24.01498401</v>
      </c>
      <c r="K85" s="69">
        <f t="array" ref="K85">INDEX(MatchHistory!$H:$H,MATCH(1,(MatchHistory!$B:$B=$A85)*(MatchHistory!$H:$H&lt;&gt;""),0))</f>
        <v>7.973771786</v>
      </c>
      <c r="L85" s="70">
        <f t="array" ref="L85">INDEX(MatchHistory!$J:$J,MATCH(1,(MatchHistory!$B:$B=$A85)*(MatchHistory!$J:$J&lt;&gt;""),0))</f>
        <v>820</v>
      </c>
    </row>
    <row r="86">
      <c r="A86" s="46" t="s">
        <v>100</v>
      </c>
      <c r="B86" s="53">
        <f>COUNTIFS(MatchHistory!$B:$B, $A86, MatchHistory!$C:$C, "Town")</f>
        <v>1</v>
      </c>
      <c r="C86" s="53">
        <f>COUNTIFS(MatchHistory!B:B, A86, MatchHistory!C:C, "Town", MatchHistory!D:D, "Win")</f>
        <v>0</v>
      </c>
      <c r="D86" s="54">
        <f>IFERROR(__xludf.DUMMYFUNCTION("IF(EQ($B86, 0), TO_PERCENT(0), TO_PERCENT($C86/$B86))"),0.0)</f>
        <v>0</v>
      </c>
      <c r="E86" s="53">
        <f>COUNTIFS(MatchHistory!$B:$B, $A86, MatchHistory!$C:$C, "Mafia")</f>
        <v>0</v>
      </c>
      <c r="F86" s="53">
        <f>COUNTIFS(MatchHistory!$B:$B, $A86, MatchHistory!$C:$C, "Mafia", MatchHistory!$D:$D, "Win")</f>
        <v>0</v>
      </c>
      <c r="G86" s="54">
        <f>IFERROR(__xludf.DUMMYFUNCTION("TO_PERCENT(IFERROR($F86/$E86, 0))"),0.0)</f>
        <v>0</v>
      </c>
      <c r="H86" s="53">
        <f t="shared" si="1"/>
        <v>1</v>
      </c>
      <c r="I86" s="54">
        <f>IFERROR(__xludf.DUMMYFUNCTION("TO_PERCENT(IFERROR(($F86+$C86)/($E86+$B86), 0))"),0.0)</f>
        <v>0</v>
      </c>
      <c r="J86" s="52">
        <f t="array" ref="J86">INDEX(MatchHistory!$G:$G,MATCH(1,(MatchHistory!$B:$B=$A86)*(MatchHistory!$G:$G&lt;&gt;""),0))</f>
        <v>24.24361238</v>
      </c>
      <c r="K86" s="52">
        <f t="array" ref="K86">INDEX(MatchHistory!$H:$H,MATCH(1,(MatchHistory!$B:$B=$A86)*(MatchHistory!$H:$H&lt;&gt;""),0))</f>
        <v>8.264239488</v>
      </c>
      <c r="L86" s="71">
        <f t="array" ref="L86">INDEX(MatchHistory!$J:$J,MATCH(1,(MatchHistory!$B:$B=$A86)*(MatchHistory!$J:$J&lt;&gt;""),0))</f>
        <v>806</v>
      </c>
    </row>
    <row r="87">
      <c r="A87" s="44" t="s">
        <v>101</v>
      </c>
      <c r="B87" s="66">
        <f>COUNTIFS(MatchHistory!$B:$B, $A87, MatchHistory!$C:$C, "Town")</f>
        <v>1</v>
      </c>
      <c r="C87" s="66">
        <f>COUNTIFS(MatchHistory!B:B, A87, MatchHistory!C:C, "Town", MatchHistory!D:D, "Win")</f>
        <v>0</v>
      </c>
      <c r="D87" s="67">
        <f>IFERROR(__xludf.DUMMYFUNCTION("IF(EQ($B87, 0), TO_PERCENT(0), TO_PERCENT($C87/$B87))"),0.0)</f>
        <v>0</v>
      </c>
      <c r="E87" s="66">
        <f>COUNTIFS(MatchHistory!$B:$B, $A87, MatchHistory!$C:$C, "Mafia")</f>
        <v>0</v>
      </c>
      <c r="F87" s="66">
        <f>COUNTIFS(MatchHistory!$B:$B, $A87, MatchHistory!$C:$C, "Mafia", MatchHistory!$D:$D, "Win")</f>
        <v>0</v>
      </c>
      <c r="G87" s="67">
        <f>IFERROR(__xludf.DUMMYFUNCTION("TO_PERCENT(IFERROR($F87/$E87, 0))"),0.0)</f>
        <v>0</v>
      </c>
      <c r="H87" s="68">
        <f t="shared" si="1"/>
        <v>1</v>
      </c>
      <c r="I87" s="67">
        <f>IFERROR(__xludf.DUMMYFUNCTION("TO_PERCENT(IFERROR(($F87+$C87)/($E87+$B87), 0))"),0.0)</f>
        <v>0</v>
      </c>
      <c r="J87" s="69">
        <f t="array" ref="J87">INDEX(MatchHistory!$G:$G,MATCH(1,(MatchHistory!$B:$B=$A87)*(MatchHistory!$G:$G&lt;&gt;""),0))</f>
        <v>24.26781825</v>
      </c>
      <c r="K87" s="69">
        <f t="array" ref="K87">INDEX(MatchHistory!$H:$H,MATCH(1,(MatchHistory!$B:$B=$A87)*(MatchHistory!$H:$H&lt;&gt;""),0))</f>
        <v>8.281986776</v>
      </c>
      <c r="L87" s="70">
        <f t="array" ref="L87">INDEX(MatchHistory!$J:$J,MATCH(1,(MatchHistory!$B:$B=$A87)*(MatchHistory!$J:$J&lt;&gt;""),0))</f>
        <v>805</v>
      </c>
    </row>
    <row r="88">
      <c r="A88" s="45" t="s">
        <v>102</v>
      </c>
      <c r="B88" s="66">
        <f>COUNTIFS(MatchHistory!$B:$B, $A88, MatchHistory!$C:$C, "Town")</f>
        <v>1</v>
      </c>
      <c r="C88" s="66">
        <f>COUNTIFS(MatchHistory!B:B, A88, MatchHistory!C:C, "Town", MatchHistory!D:D, "Win")</f>
        <v>0</v>
      </c>
      <c r="D88" s="67">
        <f>IFERROR(__xludf.DUMMYFUNCTION("IF(EQ($B88, 0), TO_PERCENT(0), TO_PERCENT($C88/$B88))"),0.0)</f>
        <v>0</v>
      </c>
      <c r="E88" s="66">
        <f>COUNTIFS(MatchHistory!$B:$B, $A88, MatchHistory!$C:$C, "Mafia")</f>
        <v>0</v>
      </c>
      <c r="F88" s="66">
        <f>COUNTIFS(MatchHistory!$B:$B, $A88, MatchHistory!$C:$C, "Mafia", MatchHistory!$D:$D, "Win")</f>
        <v>0</v>
      </c>
      <c r="G88" s="67">
        <f>IFERROR(__xludf.DUMMYFUNCTION("TO_PERCENT(IFERROR($F88/$E88, 0))"),0.0)</f>
        <v>0</v>
      </c>
      <c r="H88" s="68">
        <f t="shared" si="1"/>
        <v>1</v>
      </c>
      <c r="I88" s="67">
        <f>IFERROR(__xludf.DUMMYFUNCTION("TO_PERCENT(IFERROR(($F88+$C88)/($E88+$B88), 0))"),0.0)</f>
        <v>0</v>
      </c>
      <c r="J88" s="69">
        <f t="array" ref="J88">INDEX(MatchHistory!$G:$G,MATCH(1,(MatchHistory!$B:$B=$A88)*(MatchHistory!$G:$G&lt;&gt;""),0))</f>
        <v>24.24376682</v>
      </c>
      <c r="K88" s="69">
        <f t="array" ref="K88">INDEX(MatchHistory!$H:$H,MATCH(1,(MatchHistory!$B:$B=$A88)*(MatchHistory!$H:$H&lt;&gt;""),0))</f>
        <v>8.280234911</v>
      </c>
      <c r="L88" s="70">
        <f t="array" ref="L88">INDEX(MatchHistory!$J:$J,MATCH(1,(MatchHistory!$B:$B=$A88)*(MatchHistory!$J:$J&lt;&gt;""),0))</f>
        <v>804</v>
      </c>
    </row>
    <row r="89">
      <c r="A89" s="45" t="s">
        <v>103</v>
      </c>
      <c r="B89" s="66">
        <f>COUNTIFS(MatchHistory!$B:$B, $A89, MatchHistory!$C:$C, "Town")</f>
        <v>1</v>
      </c>
      <c r="C89" s="66">
        <f>COUNTIFS(MatchHistory!B:B, A89, MatchHistory!C:C, "Town", MatchHistory!D:D, "Win")</f>
        <v>0</v>
      </c>
      <c r="D89" s="67">
        <f>IFERROR(__xludf.DUMMYFUNCTION("IF(EQ($B89, 0), TO_PERCENT(0), TO_PERCENT($C89/$B89))"),0.0)</f>
        <v>0</v>
      </c>
      <c r="E89" s="66">
        <f>COUNTIFS(MatchHistory!$B:$B, $A89, MatchHistory!$C:$C, "Mafia")</f>
        <v>0</v>
      </c>
      <c r="F89" s="66">
        <f>COUNTIFS(MatchHistory!$B:$B, $A89, MatchHistory!$C:$C, "Mafia", MatchHistory!$D:$D, "Win")</f>
        <v>0</v>
      </c>
      <c r="G89" s="67">
        <f>IFERROR(__xludf.DUMMYFUNCTION("TO_PERCENT(IFERROR($F89/$E89, 0))"),0.0)</f>
        <v>0</v>
      </c>
      <c r="H89" s="68">
        <f t="shared" si="1"/>
        <v>1</v>
      </c>
      <c r="I89" s="67">
        <f>IFERROR(__xludf.DUMMYFUNCTION("TO_PERCENT(IFERROR(($F89+$C89)/($E89+$B89), 0))"),0.0)</f>
        <v>0</v>
      </c>
      <c r="J89" s="69">
        <f t="array" ref="J89">INDEX(MatchHistory!$G:$G,MATCH(1,(MatchHistory!$B:$B=$A89)*(MatchHistory!$G:$G&lt;&gt;""),0))</f>
        <v>24.18729381</v>
      </c>
      <c r="K89" s="69">
        <f t="array" ref="K89">INDEX(MatchHistory!$H:$H,MATCH(1,(MatchHistory!$B:$B=$A89)*(MatchHistory!$H:$H&lt;&gt;""),0))</f>
        <v>8.280618758</v>
      </c>
      <c r="L89" s="70">
        <f t="array" ref="L89">INDEX(MatchHistory!$J:$J,MATCH(1,(MatchHistory!$B:$B=$A89)*(MatchHistory!$J:$J&lt;&gt;""),0))</f>
        <v>800</v>
      </c>
    </row>
    <row r="90">
      <c r="A90" s="46" t="s">
        <v>104</v>
      </c>
      <c r="B90" s="72">
        <f>COUNTIFS(MatchHistory!$B:$B, $A90, MatchHistory!$C:$C, "Town")</f>
        <v>2</v>
      </c>
      <c r="C90" s="53">
        <f>COUNTIFS(MatchHistory!B:B, A90, MatchHistory!C:C, "Town", MatchHistory!D:D, "Win")</f>
        <v>0</v>
      </c>
      <c r="D90" s="54">
        <f>IFERROR(__xludf.DUMMYFUNCTION("IF(EQ($B90, 0), TO_PERCENT(0), TO_PERCENT($C90/$B90))"),0.0)</f>
        <v>0</v>
      </c>
      <c r="E90" s="53">
        <f>COUNTIFS(MatchHistory!$B:$B, $A90, MatchHistory!$C:$C, "Mafia")</f>
        <v>0</v>
      </c>
      <c r="F90" s="53">
        <f>COUNTIFS(MatchHistory!$B:$B, $A90, MatchHistory!$C:$C, "Mafia", MatchHistory!$D:$D, "Win")</f>
        <v>0</v>
      </c>
      <c r="G90" s="54">
        <f>IFERROR(__xludf.DUMMYFUNCTION("TO_PERCENT(IFERROR($F90/$E90, 0))"),0.0)</f>
        <v>0</v>
      </c>
      <c r="H90" s="53">
        <f t="shared" si="1"/>
        <v>2</v>
      </c>
      <c r="I90" s="54">
        <f>IFERROR(__xludf.DUMMYFUNCTION("TO_PERCENT(IFERROR(($F90+$C90)/($E90+$B90), 0))"),0.0)</f>
        <v>0</v>
      </c>
      <c r="J90" s="52">
        <f t="array" ref="J90">INDEX(MatchHistory!$G:$G,MATCH(1,(MatchHistory!$B:$B=$A90)*(MatchHistory!$G:$G&lt;&gt;""),0))</f>
        <v>24.12805707</v>
      </c>
      <c r="K90" s="52">
        <f t="array" ref="K90">INDEX(MatchHistory!$H:$H,MATCH(1,(MatchHistory!$B:$B=$A90)*(MatchHistory!$H:$H&lt;&gt;""),0))</f>
        <v>8.247812712</v>
      </c>
      <c r="L90" s="71">
        <f t="array" ref="L90">INDEX(MatchHistory!$J:$J,MATCH(1,(MatchHistory!$B:$B=$A90)*(MatchHistory!$J:$J&lt;&gt;""),0))</f>
        <v>799</v>
      </c>
    </row>
    <row r="91">
      <c r="A91" s="44" t="s">
        <v>105</v>
      </c>
      <c r="B91" s="66">
        <f>COUNTIFS(MatchHistory!$B:$B, $A91, MatchHistory!$C:$C, "Town")</f>
        <v>0</v>
      </c>
      <c r="C91" s="66">
        <f>COUNTIFS(MatchHistory!B:B, A91, MatchHistory!C:C, "Town", MatchHistory!D:D, "Win")</f>
        <v>0</v>
      </c>
      <c r="D91" s="67">
        <f>IFERROR(__xludf.DUMMYFUNCTION("IF(EQ($B91, 0), TO_PERCENT(0), TO_PERCENT($C91/$B91))"),0.0)</f>
        <v>0</v>
      </c>
      <c r="E91" s="66">
        <f>COUNTIFS(MatchHistory!$B:$B, $A91, MatchHistory!$C:$C, "Mafia")</f>
        <v>1</v>
      </c>
      <c r="F91" s="66">
        <f>COUNTIFS(MatchHistory!$B:$B, $A91, MatchHistory!$C:$C, "Mafia", MatchHistory!$D:$D, "Win")</f>
        <v>0</v>
      </c>
      <c r="G91" s="67">
        <f>IFERROR(__xludf.DUMMYFUNCTION("TO_PERCENT(IFERROR($F91/$E91, 0))"),0.0)</f>
        <v>0</v>
      </c>
      <c r="H91" s="68">
        <f t="shared" si="1"/>
        <v>1</v>
      </c>
      <c r="I91" s="67">
        <f>IFERROR(__xludf.DUMMYFUNCTION("TO_PERCENT(IFERROR(($F91+$C91)/($E91+$B91), 0))"),0.0)</f>
        <v>0</v>
      </c>
      <c r="J91" s="69">
        <f t="array" ref="J91">INDEX(MatchHistory!$G:$G,MATCH(1,(MatchHistory!$B:$B=$A91)*(MatchHistory!$G:$G&lt;&gt;""),0))</f>
        <v>24.14207084</v>
      </c>
      <c r="K91" s="69">
        <f t="array" ref="K91">INDEX(MatchHistory!$H:$H,MATCH(1,(MatchHistory!$B:$B=$A91)*(MatchHistory!$H:$H&lt;&gt;""),0))</f>
        <v>8.27473778</v>
      </c>
      <c r="L91" s="70">
        <f t="array" ref="L91">INDEX(MatchHistory!$J:$J,MATCH(1,(MatchHistory!$B:$B=$A91)*(MatchHistory!$J:$J&lt;&gt;""),0))</f>
        <v>798</v>
      </c>
    </row>
    <row r="92">
      <c r="A92" s="73" t="s">
        <v>106</v>
      </c>
      <c r="B92" s="74">
        <f>COUNTIFS(MatchHistory!$B:$B, $A92, MatchHistory!$C:$C, "Town")</f>
        <v>1</v>
      </c>
      <c r="C92" s="74">
        <f>COUNTIFS(MatchHistory!B:B, A92, MatchHistory!C:C, "Town", MatchHistory!D:D, "Win")</f>
        <v>0</v>
      </c>
      <c r="D92" s="75">
        <f>IFERROR(__xludf.DUMMYFUNCTION("IF(EQ($B92, 0), TO_PERCENT(0), TO_PERCENT($C92/$B92))"),0.0)</f>
        <v>0</v>
      </c>
      <c r="E92" s="74">
        <f>COUNTIFS(MatchHistory!$B:$B, $A92, MatchHistory!$C:$C, "Mafia")</f>
        <v>0</v>
      </c>
      <c r="F92" s="74">
        <f>COUNTIFS(MatchHistory!$B:$B, $A92, MatchHistory!$C:$C, "Mafia", MatchHistory!$D:$D, "Win")</f>
        <v>0</v>
      </c>
      <c r="G92" s="75">
        <f>IFERROR(__xludf.DUMMYFUNCTION("TO_PERCENT(IFERROR($F92/$E92, 0))"),0.0)</f>
        <v>0</v>
      </c>
      <c r="H92" s="76">
        <f t="shared" si="1"/>
        <v>1</v>
      </c>
      <c r="I92" s="75">
        <f>IFERROR(__xludf.DUMMYFUNCTION("TO_PERCENT(IFERROR(($F92+$C92)/($E92+$B92), 0))"),0.0)</f>
        <v>0</v>
      </c>
      <c r="J92" s="77">
        <f t="array" ref="J92">INDEX(MatchHistory!$G:$G,MATCH(1,(MatchHistory!$B:$B=$A92)*(MatchHistory!$G:$G&lt;&gt;""),0))</f>
        <v>24.11911312</v>
      </c>
      <c r="K92" s="77">
        <f t="array" ref="K92">INDEX(MatchHistory!$H:$H,MATCH(1,(MatchHistory!$B:$B=$A92)*(MatchHistory!$H:$H&lt;&gt;""),0))</f>
        <v>8.262902831</v>
      </c>
      <c r="L92" s="78">
        <f t="array" ref="L92">INDEX(MatchHistory!$J:$J,MATCH(1,(MatchHistory!$B:$B=$A92)*(MatchHistory!$J:$J&lt;&gt;""),0))</f>
        <v>797</v>
      </c>
    </row>
    <row r="93">
      <c r="A93" s="46" t="s">
        <v>107</v>
      </c>
      <c r="B93" s="72">
        <f>COUNTIFS(MatchHistory!$B:$B, $A93, MatchHistory!$C:$C, "Town")</f>
        <v>2</v>
      </c>
      <c r="C93" s="53">
        <f>COUNTIFS(MatchHistory!B:B, A93, MatchHistory!C:C, "Town", MatchHistory!D:D, "Win")</f>
        <v>0</v>
      </c>
      <c r="D93" s="54">
        <f>IFERROR(__xludf.DUMMYFUNCTION("IF(EQ($B93, 0), TO_PERCENT(0), TO_PERCENT($C93/$B93))"),0.0)</f>
        <v>0</v>
      </c>
      <c r="E93" s="53">
        <f>COUNTIFS(MatchHistory!$B:$B, $A93, MatchHistory!$C:$C, "Mafia")</f>
        <v>0</v>
      </c>
      <c r="F93" s="53">
        <f>COUNTIFS(MatchHistory!$B:$B, $A93, MatchHistory!$C:$C, "Mafia", MatchHistory!$D:$D, "Win")</f>
        <v>0</v>
      </c>
      <c r="G93" s="54">
        <f>IFERROR(__xludf.DUMMYFUNCTION("TO_PERCENT(IFERROR($F93/$E93, 0))"),0.0)</f>
        <v>0</v>
      </c>
      <c r="H93" s="53">
        <f t="shared" si="1"/>
        <v>2</v>
      </c>
      <c r="I93" s="54">
        <f>IFERROR(__xludf.DUMMYFUNCTION("TO_PERCENT(IFERROR(($F93+$C93)/($E93+$B93), 0))"),0.0)</f>
        <v>0</v>
      </c>
      <c r="J93" s="52">
        <f t="array" ref="J93">INDEX(MatchHistory!$G:$G,MATCH(1,(MatchHistory!$B:$B=$A93)*(MatchHistory!$G:$G&lt;&gt;""),0))</f>
        <v>24.00585683</v>
      </c>
      <c r="K93" s="52">
        <f t="array" ref="K93">INDEX(MatchHistory!$H:$H,MATCH(1,(MatchHistory!$B:$B=$A93)*(MatchHistory!$H:$H&lt;&gt;""),0))</f>
        <v>8.228884135</v>
      </c>
      <c r="L93" s="71">
        <f t="array" ref="L93">INDEX(MatchHistory!$J:$J,MATCH(1,(MatchHistory!$B:$B=$A93)*(MatchHistory!$J:$J&lt;&gt;""),0))</f>
        <v>793</v>
      </c>
    </row>
    <row r="94">
      <c r="A94" s="46" t="s">
        <v>108</v>
      </c>
      <c r="B94" s="72">
        <f>COUNTIFS(MatchHistory!$B:$B, $A94, MatchHistory!$C:$C, "Town")</f>
        <v>1</v>
      </c>
      <c r="C94" s="53">
        <f>COUNTIFS(MatchHistory!B:B, A94, MatchHistory!C:C, "Town", MatchHistory!D:D, "Win")</f>
        <v>0</v>
      </c>
      <c r="D94" s="54">
        <f>IFERROR(__xludf.DUMMYFUNCTION("IF(EQ($B94, 0), TO_PERCENT(0), TO_PERCENT($C94/$B94))"),0.0)</f>
        <v>0</v>
      </c>
      <c r="E94" s="53">
        <f>COUNTIFS(MatchHistory!$B:$B, $A94, MatchHistory!$C:$C, "Mafia")</f>
        <v>0</v>
      </c>
      <c r="F94" s="53">
        <f>COUNTIFS(MatchHistory!$B:$B, $A94, MatchHistory!$C:$C, "Mafia", MatchHistory!$D:$D, "Win")</f>
        <v>0</v>
      </c>
      <c r="G94" s="54">
        <f>IFERROR(__xludf.DUMMYFUNCTION("TO_PERCENT(IFERROR($F94/$E94, 0))"),0.0)</f>
        <v>0</v>
      </c>
      <c r="H94" s="53">
        <f t="shared" si="1"/>
        <v>1</v>
      </c>
      <c r="I94" s="54">
        <f>IFERROR(__xludf.DUMMYFUNCTION("TO_PERCENT(IFERROR(($F94+$C94)/($E94+$B94), 0))"),0.0)</f>
        <v>0</v>
      </c>
      <c r="J94" s="52">
        <f t="array" ref="J94">INDEX(MatchHistory!$G:$G,MATCH(1,(MatchHistory!$B:$B=$A94)*(MatchHistory!$G:$G&lt;&gt;""),0))</f>
        <v>24.02498256</v>
      </c>
      <c r="K94" s="52">
        <f t="array" ref="K94">INDEX(MatchHistory!$H:$H,MATCH(1,(MatchHistory!$B:$B=$A94)*(MatchHistory!$H:$H&lt;&gt;""),0))</f>
        <v>8.254932881</v>
      </c>
      <c r="L94" s="71">
        <f t="array" ref="L94">INDEX(MatchHistory!$J:$J,MATCH(1,(MatchHistory!$B:$B=$A94)*(MatchHistory!$J:$J&lt;&gt;""),0))</f>
        <v>792</v>
      </c>
    </row>
    <row r="95">
      <c r="A95" s="79" t="s">
        <v>109</v>
      </c>
      <c r="B95" s="80">
        <f>COUNTIFS(MatchHistory!$B:$B, $A95, MatchHistory!$C:$C, "Town")</f>
        <v>2</v>
      </c>
      <c r="C95" s="80">
        <f>COUNTIFS(MatchHistory!B:B, A95, MatchHistory!C:C, "Town", MatchHistory!D:D, "Win")</f>
        <v>0</v>
      </c>
      <c r="D95" s="81">
        <f>IFERROR(__xludf.DUMMYFUNCTION("IF(EQ($B95, 0), TO_PERCENT(0), TO_PERCENT($C95/$B95))"),0.0)</f>
        <v>0</v>
      </c>
      <c r="E95" s="80">
        <f>COUNTIFS(MatchHistory!$B:$B, $A95, MatchHistory!$C:$C, "Mafia")</f>
        <v>0</v>
      </c>
      <c r="F95" s="80">
        <f>COUNTIFS(MatchHistory!$B:$B, $A95, MatchHistory!$C:$C, "Mafia", MatchHistory!$D:$D, "Win")</f>
        <v>0</v>
      </c>
      <c r="G95" s="81">
        <f>IFERROR(__xludf.DUMMYFUNCTION("TO_PERCENT(IFERROR($F95/$E95, 0))"),0.0)</f>
        <v>0</v>
      </c>
      <c r="H95" s="82">
        <f t="shared" si="1"/>
        <v>2</v>
      </c>
      <c r="I95" s="81">
        <f>IFERROR(__xludf.DUMMYFUNCTION("TO_PERCENT(IFERROR(($F95+$C95)/($E95+$B95), 0))"),0.0)</f>
        <v>0</v>
      </c>
      <c r="J95" s="83">
        <f t="array" ref="J95">INDEX(MatchHistory!$G:$G,MATCH(1,(MatchHistory!$B:$B=$A95)*(MatchHistory!$G:$G&lt;&gt;""),0))</f>
        <v>23.98264367</v>
      </c>
      <c r="K95" s="83">
        <f t="array" ref="K95">INDEX(MatchHistory!$H:$H,MATCH(1,(MatchHistory!$B:$B=$A95)*(MatchHistory!$H:$H&lt;&gt;""),0))</f>
        <v>8.237431648</v>
      </c>
      <c r="L95" s="84">
        <f t="array" ref="L95">INDEX(MatchHistory!$J:$J,MATCH(1,(MatchHistory!$B:$B=$A95)*(MatchHistory!$J:$J&lt;&gt;""),0))</f>
        <v>791</v>
      </c>
    </row>
    <row r="96">
      <c r="A96" s="79" t="s">
        <v>110</v>
      </c>
      <c r="B96" s="80">
        <f>COUNTIFS(MatchHistory!$B:$B, $A96, MatchHistory!$C:$C, "Town")</f>
        <v>1</v>
      </c>
      <c r="C96" s="80">
        <f>COUNTIFS(MatchHistory!B:B, A96, MatchHistory!C:C, "Town", MatchHistory!D:D, "Win")</f>
        <v>0</v>
      </c>
      <c r="D96" s="81">
        <f>IFERROR(__xludf.DUMMYFUNCTION("IF(EQ($B96, 0), TO_PERCENT(0), TO_PERCENT($C96/$B96))"),0.0)</f>
        <v>0</v>
      </c>
      <c r="E96" s="80">
        <f>COUNTIFS(MatchHistory!$B:$B, $A96, MatchHistory!$C:$C, "Mafia")</f>
        <v>0</v>
      </c>
      <c r="F96" s="80">
        <f>COUNTIFS(MatchHistory!$B:$B, $A96, MatchHistory!$C:$C, "Mafia", MatchHistory!$D:$D, "Win")</f>
        <v>0</v>
      </c>
      <c r="G96" s="81">
        <f>IFERROR(__xludf.DUMMYFUNCTION("TO_PERCENT(IFERROR($F96/$E96, 0))"),0.0)</f>
        <v>0</v>
      </c>
      <c r="H96" s="82">
        <f t="shared" si="1"/>
        <v>1</v>
      </c>
      <c r="I96" s="81">
        <f>IFERROR(__xludf.DUMMYFUNCTION("TO_PERCENT(IFERROR(($F96+$C96)/($E96+$B96), 0))"),0.0)</f>
        <v>0</v>
      </c>
      <c r="J96" s="83">
        <f t="array" ref="J96">INDEX(MatchHistory!$G:$G,MATCH(1,(MatchHistory!$B:$B=$A96)*(MatchHistory!$G:$G&lt;&gt;""),0))</f>
        <v>24.03953993</v>
      </c>
      <c r="K96" s="83">
        <f t="array" ref="K96">INDEX(MatchHistory!$H:$H,MATCH(1,(MatchHistory!$B:$B=$A96)*(MatchHistory!$H:$H&lt;&gt;""),0))</f>
        <v>8.270294116</v>
      </c>
      <c r="L96" s="84">
        <f t="array" ref="L96">INDEX(MatchHistory!$J:$J,MATCH(1,(MatchHistory!$B:$B=$A96)*(MatchHistory!$J:$J&lt;&gt;""),0))</f>
        <v>791</v>
      </c>
    </row>
    <row r="97">
      <c r="A97" s="44" t="s">
        <v>111</v>
      </c>
      <c r="B97" s="56">
        <f>COUNTIFS(MatchHistory!$B:$B, $A97, MatchHistory!$C:$C, "Town")</f>
        <v>14</v>
      </c>
      <c r="C97" s="56">
        <f>COUNTIFS(MatchHistory!B:B, A97, MatchHistory!C:C, "Town", MatchHistory!D:D, "Win")</f>
        <v>3</v>
      </c>
      <c r="D97" s="57">
        <f>IFERROR(__xludf.DUMMYFUNCTION("IF(EQ($B97, 0), TO_PERCENT(0), TO_PERCENT($C97/$B97))"),0.21428571428571427)</f>
        <v>0.2142857143</v>
      </c>
      <c r="E97" s="56">
        <f>COUNTIFS(MatchHistory!$B:$B, $A97, MatchHistory!$C:$C, "Mafia")</f>
        <v>6</v>
      </c>
      <c r="F97" s="56">
        <f>COUNTIFS(MatchHistory!$B:$B, $A97, MatchHistory!$C:$C, "Mafia", MatchHistory!$D:$D, "Win")</f>
        <v>3</v>
      </c>
      <c r="G97" s="57">
        <f>IFERROR(__xludf.DUMMYFUNCTION("TO_PERCENT(IFERROR($F97/$E97, 0))"),0.5)</f>
        <v>0.5</v>
      </c>
      <c r="H97" s="58">
        <f t="shared" si="1"/>
        <v>20</v>
      </c>
      <c r="I97" s="57">
        <f>IFERROR(__xludf.DUMMYFUNCTION("TO_PERCENT(IFERROR(($F97+$C97)/($E97+$B97), 0))"),0.3)</f>
        <v>0.3</v>
      </c>
      <c r="J97" s="59">
        <f t="array" ref="J97">INDEX(MatchHistory!$G:$G,MATCH(1,(MatchHistory!$B:$B=$A97)*(MatchHistory!$G:$G&lt;&gt;""),0))</f>
        <v>22.19275881</v>
      </c>
      <c r="K97" s="59">
        <f t="array" ref="K97">INDEX(MatchHistory!$H:$H,MATCH(1,(MatchHistory!$B:$B=$A97)*(MatchHistory!$H:$H&lt;&gt;""),0))</f>
        <v>7.210247374</v>
      </c>
      <c r="L97" s="85">
        <f t="array" ref="L97">INDEX(MatchHistory!$J:$J,MATCH(1,(MatchHistory!$B:$B=$A97)*(MatchHistory!$J:$J&lt;&gt;""),0))</f>
        <v>774</v>
      </c>
    </row>
    <row r="98">
      <c r="A98" s="60" t="s">
        <v>112</v>
      </c>
      <c r="B98" s="61">
        <f>COUNTIFS(MatchHistory!$B:$B, $A98, MatchHistory!$C:$C, "Town")</f>
        <v>1</v>
      </c>
      <c r="C98" s="62">
        <f>COUNTIFS(MatchHistory!B:B, A98, MatchHistory!C:C, "Town", MatchHistory!D:D, "Win")</f>
        <v>0</v>
      </c>
      <c r="D98" s="63">
        <f>IFERROR(__xludf.DUMMYFUNCTION("IF(EQ($B98, 0), TO_PERCENT(0), TO_PERCENT($C98/$B98))"),0.0)</f>
        <v>0</v>
      </c>
      <c r="E98" s="62">
        <f>COUNTIFS(MatchHistory!$B:$B, $A98, MatchHistory!$C:$C, "Mafia")</f>
        <v>0</v>
      </c>
      <c r="F98" s="62">
        <f>COUNTIFS(MatchHistory!$B:$B, $A98, MatchHistory!$C:$C, "Mafia", MatchHistory!$D:$D, "Win")</f>
        <v>0</v>
      </c>
      <c r="G98" s="63">
        <f>IFERROR(__xludf.DUMMYFUNCTION("TO_PERCENT(IFERROR($F98/$E98, 0))"),0.0)</f>
        <v>0</v>
      </c>
      <c r="H98" s="62">
        <f t="shared" si="1"/>
        <v>1</v>
      </c>
      <c r="I98" s="63">
        <f>IFERROR(__xludf.DUMMYFUNCTION("TO_PERCENT(IFERROR(($F98+$C98)/($E98+$B98), 0))"),0.0)</f>
        <v>0</v>
      </c>
      <c r="J98" s="64">
        <f t="array" ref="J98">INDEX(MatchHistory!$G:$G,MATCH(1,(MatchHistory!$B:$B=$A98)*(MatchHistory!$G:$G&lt;&gt;""),0))</f>
        <v>23.48814954</v>
      </c>
      <c r="K98" s="64">
        <f t="array" ref="K98">INDEX(MatchHistory!$H:$H,MATCH(1,(MatchHistory!$B:$B=$A98)*(MatchHistory!$H:$H&lt;&gt;""),0))</f>
        <v>8.237206443</v>
      </c>
      <c r="L98" s="65">
        <f t="array" ref="L98">INDEX(MatchHistory!$J:$J,MATCH(1,(MatchHistory!$B:$B=$A98)*(MatchHistory!$J:$J&lt;&gt;""),0))</f>
        <v>757</v>
      </c>
    </row>
    <row r="99">
      <c r="A99" s="44" t="s">
        <v>113</v>
      </c>
      <c r="B99" s="66">
        <f>COUNTIFS(MatchHistory!$B:$B, $A99, MatchHistory!$C:$C, "Town")</f>
        <v>0</v>
      </c>
      <c r="C99" s="66">
        <f>COUNTIFS(MatchHistory!B:B, A99, MatchHistory!C:C, "Town", MatchHistory!D:D, "Win")</f>
        <v>0</v>
      </c>
      <c r="D99" s="67">
        <f>IFERROR(__xludf.DUMMYFUNCTION("IF(EQ($B99, 0), TO_PERCENT(0), TO_PERCENT($C99/$B99))"),0.0)</f>
        <v>0</v>
      </c>
      <c r="E99" s="66">
        <f>COUNTIFS(MatchHistory!$B:$B, $A99, MatchHistory!$C:$C, "Mafia")</f>
        <v>1</v>
      </c>
      <c r="F99" s="66">
        <f>COUNTIFS(MatchHistory!$B:$B, $A99, MatchHistory!$C:$C, "Mafia", MatchHistory!$D:$D, "Win")</f>
        <v>0</v>
      </c>
      <c r="G99" s="67">
        <f>IFERROR(__xludf.DUMMYFUNCTION("TO_PERCENT(IFERROR($F99/$E99, 0))"),0.0)</f>
        <v>0</v>
      </c>
      <c r="H99" s="68">
        <f t="shared" si="1"/>
        <v>1</v>
      </c>
      <c r="I99" s="67">
        <f>IFERROR(__xludf.DUMMYFUNCTION("TO_PERCENT(IFERROR(($F99+$C99)/($E99+$B99), 0))"),0.0)</f>
        <v>0</v>
      </c>
      <c r="J99" s="69">
        <f t="array" ref="J99">INDEX(MatchHistory!$G:$G,MATCH(1,(MatchHistory!$B:$B=$A99)*(MatchHistory!$G:$G&lt;&gt;""),0))</f>
        <v>23.4996525</v>
      </c>
      <c r="K99" s="69">
        <f t="array" ref="K99">INDEX(MatchHistory!$H:$H,MATCH(1,(MatchHistory!$B:$B=$A99)*(MatchHistory!$H:$H&lt;&gt;""),0))</f>
        <v>8.26619297</v>
      </c>
      <c r="L99" s="70">
        <f t="array" ref="L99">INDEX(MatchHistory!$J:$J,MATCH(1,(MatchHistory!$B:$B=$A99)*(MatchHistory!$J:$J&lt;&gt;""),0))</f>
        <v>755</v>
      </c>
    </row>
    <row r="100">
      <c r="A100" s="46" t="s">
        <v>114</v>
      </c>
      <c r="B100" s="72">
        <f>COUNTIFS(MatchHistory!$B:$B, $A100, MatchHistory!$C:$C, "Town")</f>
        <v>2</v>
      </c>
      <c r="C100" s="53">
        <f>COUNTIFS(MatchHistory!B:B, A100, MatchHistory!C:C, "Town", MatchHistory!D:D, "Win")</f>
        <v>0</v>
      </c>
      <c r="D100" s="54">
        <f>IFERROR(__xludf.DUMMYFUNCTION("IF(EQ($B100, 0), TO_PERCENT(0), TO_PERCENT($C100/$B100))"),0.0)</f>
        <v>0</v>
      </c>
      <c r="E100" s="53">
        <f>COUNTIFS(MatchHistory!$B:$B, $A100, MatchHistory!$C:$C, "Mafia")</f>
        <v>0</v>
      </c>
      <c r="F100" s="53">
        <f>COUNTIFS(MatchHistory!$B:$B, $A100, MatchHistory!$C:$C, "Mafia", MatchHistory!$D:$D, "Win")</f>
        <v>0</v>
      </c>
      <c r="G100" s="54">
        <f>IFERROR(__xludf.DUMMYFUNCTION("TO_PERCENT(IFERROR($F100/$E100, 0))"),0.0)</f>
        <v>0</v>
      </c>
      <c r="H100" s="53">
        <f t="shared" si="1"/>
        <v>2</v>
      </c>
      <c r="I100" s="54">
        <f>IFERROR(__xludf.DUMMYFUNCTION("TO_PERCENT(IFERROR(($F100+$C100)/($E100+$B100), 0))"),0.0)</f>
        <v>0</v>
      </c>
      <c r="J100" s="52">
        <f t="array" ref="J100">INDEX(MatchHistory!$G:$G,MATCH(1,(MatchHistory!$B:$B=$A100)*(MatchHistory!$G:$G&lt;&gt;""),0))</f>
        <v>23.12352058</v>
      </c>
      <c r="K100" s="52">
        <f t="array" ref="K100">INDEX(MatchHistory!$H:$H,MATCH(1,(MatchHistory!$B:$B=$A100)*(MatchHistory!$H:$H&lt;&gt;""),0))</f>
        <v>8.186949856</v>
      </c>
      <c r="L100" s="71">
        <f t="array" ref="L100">INDEX(MatchHistory!$J:$J,MATCH(1,(MatchHistory!$B:$B=$A100)*(MatchHistory!$J:$J&lt;&gt;""),0))</f>
        <v>737</v>
      </c>
    </row>
    <row r="101">
      <c r="A101" s="86" t="s">
        <v>115</v>
      </c>
      <c r="B101" s="56">
        <f>COUNTIFS(MatchHistory!$B:$B, $A101, MatchHistory!$C:$C, "Town")</f>
        <v>18</v>
      </c>
      <c r="C101" s="56">
        <f>COUNTIFS(MatchHistory!B:B, A101, MatchHistory!C:C, "Town", MatchHistory!D:D, "Win")</f>
        <v>4</v>
      </c>
      <c r="D101" s="57">
        <f>IFERROR(__xludf.DUMMYFUNCTION("IF(EQ($B101, 0), TO_PERCENT(0), TO_PERCENT($C101/$B101))"),0.2222222222222222)</f>
        <v>0.2222222222</v>
      </c>
      <c r="E101" s="56">
        <f>COUNTIFS(MatchHistory!$B:$B, $A101, MatchHistory!$C:$C, "Mafia")</f>
        <v>7</v>
      </c>
      <c r="F101" s="56">
        <f>COUNTIFS(MatchHistory!$B:$B, $A101, MatchHistory!$C:$C, "Mafia", MatchHistory!$D:$D, "Win")</f>
        <v>4</v>
      </c>
      <c r="G101" s="57">
        <f>IFERROR(__xludf.DUMMYFUNCTION("TO_PERCENT(IFERROR($F101/$E101, 0))"),0.5714285714285714)</f>
        <v>0.5714285714</v>
      </c>
      <c r="H101" s="58">
        <f t="shared" si="1"/>
        <v>25</v>
      </c>
      <c r="I101" s="57">
        <f>IFERROR(__xludf.DUMMYFUNCTION("TO_PERCENT(IFERROR(($F101+$C101)/($E101+$B101), 0))"),0.32)</f>
        <v>0.32</v>
      </c>
      <c r="J101" s="59">
        <f t="array" ref="J101">INDEX(MatchHistory!$G:$G,MATCH(1,(MatchHistory!$B:$B=$A101)*(MatchHistory!$G:$G&lt;&gt;""),0))</f>
        <v>21.29973616</v>
      </c>
      <c r="K101" s="59">
        <f t="array" ref="K101">INDEX(MatchHistory!$H:$H,MATCH(1,(MatchHistory!$B:$B=$A101)*(MatchHistory!$H:$H&lt;&gt;""),0))</f>
        <v>7.012905148</v>
      </c>
      <c r="L101" s="85">
        <f t="array" ref="L101">INDEX(MatchHistory!$J:$J,MATCH(1,(MatchHistory!$B:$B=$A101)*(MatchHistory!$J:$J&lt;&gt;""),0))</f>
        <v>733</v>
      </c>
    </row>
    <row r="102">
      <c r="A102" s="87" t="s">
        <v>116</v>
      </c>
      <c r="B102" s="80">
        <f>COUNTIFS(MatchHistory!$B:$B, $A102, MatchHistory!$C:$C, "Town")</f>
        <v>1</v>
      </c>
      <c r="C102" s="80">
        <f>COUNTIFS(MatchHistory!B:B, A102, MatchHistory!C:C, "Town", MatchHistory!D:D, "Win")</f>
        <v>0</v>
      </c>
      <c r="D102" s="81">
        <f>IFERROR(__xludf.DUMMYFUNCTION("IF(EQ($B102, 0), TO_PERCENT(0), TO_PERCENT($C102/$B102))"),0.0)</f>
        <v>0</v>
      </c>
      <c r="E102" s="80">
        <f>COUNTIFS(MatchHistory!$B:$B, $A102, MatchHistory!$C:$C, "Mafia")</f>
        <v>1</v>
      </c>
      <c r="F102" s="80">
        <f>COUNTIFS(MatchHistory!$B:$B, $A102, MatchHistory!$C:$C, "Mafia", MatchHistory!$D:$D, "Win")</f>
        <v>0</v>
      </c>
      <c r="G102" s="81">
        <f>IFERROR(__xludf.DUMMYFUNCTION("TO_PERCENT(IFERROR($F102/$E102, 0))"),0.0)</f>
        <v>0</v>
      </c>
      <c r="H102" s="82">
        <f t="shared" si="1"/>
        <v>2</v>
      </c>
      <c r="I102" s="81">
        <f>IFERROR(__xludf.DUMMYFUNCTION("TO_PERCENT(IFERROR(($F102+$C102)/($E102+$B102), 0))"),0.0)</f>
        <v>0</v>
      </c>
      <c r="J102" s="83">
        <f t="array" ref="J102">INDEX(MatchHistory!$G:$G,MATCH(1,(MatchHistory!$B:$B=$A102)*(MatchHistory!$G:$G&lt;&gt;""),0))</f>
        <v>22.95367392</v>
      </c>
      <c r="K102" s="83">
        <f t="array" ref="K102">INDEX(MatchHistory!$H:$H,MATCH(1,(MatchHistory!$B:$B=$A102)*(MatchHistory!$H:$H&lt;&gt;""),0))</f>
        <v>8.215926211</v>
      </c>
      <c r="L102" s="84">
        <f t="array" ref="L102">INDEX(MatchHistory!$J:$J,MATCH(1,(MatchHistory!$B:$B=$A102)*(MatchHistory!$J:$J&lt;&gt;""),0))</f>
        <v>723</v>
      </c>
    </row>
    <row r="103">
      <c r="A103" s="79" t="s">
        <v>117</v>
      </c>
      <c r="B103" s="80">
        <f>COUNTIFS(MatchHistory!$B:$B, $A103, MatchHistory!$C:$C, "Town")</f>
        <v>3</v>
      </c>
      <c r="C103" s="80">
        <f>COUNTIFS(MatchHistory!B:B, A103, MatchHistory!C:C, "Town", MatchHistory!D:D, "Win")</f>
        <v>1</v>
      </c>
      <c r="D103" s="81">
        <f>IFERROR(__xludf.DUMMYFUNCTION("IF(EQ($B103, 0), TO_PERCENT(0), TO_PERCENT($C103/$B103))"),0.3333333333333333)</f>
        <v>0.3333333333</v>
      </c>
      <c r="E103" s="80">
        <f>COUNTIFS(MatchHistory!$B:$B, $A103, MatchHistory!$C:$C, "Mafia")</f>
        <v>1</v>
      </c>
      <c r="F103" s="80">
        <f>COUNTIFS(MatchHistory!$B:$B, $A103, MatchHistory!$C:$C, "Mafia", MatchHistory!$D:$D, "Win")</f>
        <v>0</v>
      </c>
      <c r="G103" s="81">
        <f>IFERROR(__xludf.DUMMYFUNCTION("TO_PERCENT(IFERROR($F103/$E103, 0))"),0.0)</f>
        <v>0</v>
      </c>
      <c r="H103" s="82">
        <f t="shared" si="1"/>
        <v>4</v>
      </c>
      <c r="I103" s="81">
        <f>IFERROR(__xludf.DUMMYFUNCTION("TO_PERCENT(IFERROR(($F103+$C103)/($E103+$B103), 0))"),0.25)</f>
        <v>0.25</v>
      </c>
      <c r="J103" s="83">
        <f t="array" ref="J103">INDEX(MatchHistory!$G:$G,MATCH(1,(MatchHistory!$B:$B=$A103)*(MatchHistory!$G:$G&lt;&gt;""),0))</f>
        <v>22.71994506</v>
      </c>
      <c r="K103" s="83">
        <f t="array" ref="K103">INDEX(MatchHistory!$H:$H,MATCH(1,(MatchHistory!$B:$B=$A103)*(MatchHistory!$H:$H&lt;&gt;""),0))</f>
        <v>8.088794694</v>
      </c>
      <c r="L103" s="84">
        <f t="array" ref="L103">INDEX(MatchHistory!$J:$J,MATCH(1,(MatchHistory!$B:$B=$A103)*(MatchHistory!$J:$J&lt;&gt;""),0))</f>
        <v>720</v>
      </c>
    </row>
    <row r="104">
      <c r="A104" s="44" t="s">
        <v>118</v>
      </c>
      <c r="B104" s="56">
        <f>COUNTIFS(MatchHistory!$B:$B, $A104, MatchHistory!$C:$C, "Town")</f>
        <v>2</v>
      </c>
      <c r="C104" s="56">
        <f>COUNTIFS(MatchHistory!B:B, A104, MatchHistory!C:C, "Town", MatchHistory!D:D, "Win")</f>
        <v>0</v>
      </c>
      <c r="D104" s="57">
        <f>IFERROR(__xludf.DUMMYFUNCTION("IF(EQ($B104, 0), TO_PERCENT(0), TO_PERCENT($C104/$B104))"),0.0)</f>
        <v>0</v>
      </c>
      <c r="E104" s="56">
        <f>COUNTIFS(MatchHistory!$B:$B, $A104, MatchHistory!$C:$C, "Mafia")</f>
        <v>1</v>
      </c>
      <c r="F104" s="56">
        <f>COUNTIFS(MatchHistory!$B:$B, $A104, MatchHistory!$C:$C, "Mafia", MatchHistory!$D:$D, "Win")</f>
        <v>0</v>
      </c>
      <c r="G104" s="57">
        <f>IFERROR(__xludf.DUMMYFUNCTION("TO_PERCENT(IFERROR($F104/$E104, 0))"),0.0)</f>
        <v>0</v>
      </c>
      <c r="H104" s="58">
        <f t="shared" si="1"/>
        <v>3</v>
      </c>
      <c r="I104" s="57">
        <f>IFERROR(__xludf.DUMMYFUNCTION("TO_PERCENT(IFERROR(($F104+$C104)/($E104+$B104), 0))"),0.0)</f>
        <v>0</v>
      </c>
      <c r="J104" s="59">
        <f t="array" ref="J104">INDEX(MatchHistory!$G:$G,MATCH(1,(MatchHistory!$B:$B=$A104)*(MatchHistory!$G:$G&lt;&gt;""),0))</f>
        <v>22.39227548</v>
      </c>
      <c r="K104" s="59">
        <f t="array" ref="K104">INDEX(MatchHistory!$H:$H,MATCH(1,(MatchHistory!$B:$B=$A104)*(MatchHistory!$H:$H&lt;&gt;""),0))</f>
        <v>8.128069801</v>
      </c>
      <c r="L104" s="85">
        <f t="array" ref="L104">INDEX(MatchHistory!$J:$J,MATCH(1,(MatchHistory!$B:$B=$A104)*(MatchHistory!$J:$J&lt;&gt;""),0))</f>
        <v>694</v>
      </c>
    </row>
    <row r="105">
      <c r="A105" s="73" t="s">
        <v>119</v>
      </c>
      <c r="B105" s="74">
        <f>COUNTIFS(MatchHistory!$B:$B, $A105, MatchHistory!$C:$C, "Town")</f>
        <v>13</v>
      </c>
      <c r="C105" s="74">
        <f>COUNTIFS(MatchHistory!B:B, A105, MatchHistory!C:C, "Town", MatchHistory!D:D, "Win")</f>
        <v>4</v>
      </c>
      <c r="D105" s="75">
        <f>IFERROR(__xludf.DUMMYFUNCTION("IF(EQ($B105, 0), TO_PERCENT(0), TO_PERCENT($C105/$B105))"),0.3076923076923077)</f>
        <v>0.3076923077</v>
      </c>
      <c r="E105" s="74">
        <f>COUNTIFS(MatchHistory!$B:$B, $A105, MatchHistory!$C:$C, "Mafia")</f>
        <v>3</v>
      </c>
      <c r="F105" s="74">
        <f>COUNTIFS(MatchHistory!$B:$B, $A105, MatchHistory!$C:$C, "Mafia", MatchHistory!$D:$D, "Win")</f>
        <v>1</v>
      </c>
      <c r="G105" s="75">
        <f>IFERROR(__xludf.DUMMYFUNCTION("TO_PERCENT(IFERROR($F105/$E105, 0))"),0.3333333333333333)</f>
        <v>0.3333333333</v>
      </c>
      <c r="H105" s="76">
        <f t="shared" si="1"/>
        <v>16</v>
      </c>
      <c r="I105" s="75">
        <f>IFERROR(__xludf.DUMMYFUNCTION("TO_PERCENT(IFERROR(($F105+$C105)/($E105+$B105), 0))"),0.3125)</f>
        <v>0.3125</v>
      </c>
      <c r="J105" s="77">
        <f t="array" ref="J105">INDEX(MatchHistory!$G:$G,MATCH(1,(MatchHistory!$B:$B=$A105)*(MatchHistory!$G:$G&lt;&gt;""),0))</f>
        <v>21.14739878</v>
      </c>
      <c r="K105" s="77">
        <f t="array" ref="K105">INDEX(MatchHistory!$H:$H,MATCH(1,(MatchHistory!$B:$B=$A105)*(MatchHistory!$H:$H&lt;&gt;""),0))</f>
        <v>7.30281727</v>
      </c>
      <c r="L105" s="78">
        <f t="array" ref="L105">INDEX(MatchHistory!$J:$J,MATCH(1,(MatchHistory!$B:$B=$A105)*(MatchHistory!$J:$J&lt;&gt;""),0))</f>
        <v>693</v>
      </c>
    </row>
    <row r="106">
      <c r="A106" s="46" t="s">
        <v>120</v>
      </c>
      <c r="B106" s="72">
        <f>COUNTIFS(MatchHistory!$B:$B, $A106, MatchHistory!$C:$C, "Town")</f>
        <v>2</v>
      </c>
      <c r="C106" s="53">
        <f>COUNTIFS(MatchHistory!B:B, A106, MatchHistory!C:C, "Town", MatchHistory!D:D, "Win")</f>
        <v>0</v>
      </c>
      <c r="D106" s="54">
        <f>IFERROR(__xludf.DUMMYFUNCTION("IF(EQ($B106, 0), TO_PERCENT(0), TO_PERCENT($C106/$B106))"),0.0)</f>
        <v>0</v>
      </c>
      <c r="E106" s="53">
        <f>COUNTIFS(MatchHistory!$B:$B, $A106, MatchHistory!$C:$C, "Mafia")</f>
        <v>1</v>
      </c>
      <c r="F106" s="53">
        <f>COUNTIFS(MatchHistory!$B:$B, $A106, MatchHistory!$C:$C, "Mafia", MatchHistory!$D:$D, "Win")</f>
        <v>0</v>
      </c>
      <c r="G106" s="54">
        <f>IFERROR(__xludf.DUMMYFUNCTION("TO_PERCENT(IFERROR($F106/$E106, 0))"),0.0)</f>
        <v>0</v>
      </c>
      <c r="H106" s="53">
        <f t="shared" si="1"/>
        <v>3</v>
      </c>
      <c r="I106" s="54">
        <f>IFERROR(__xludf.DUMMYFUNCTION("TO_PERCENT(IFERROR(($F106+$C106)/($E106+$B106), 0))"),0.0)</f>
        <v>0</v>
      </c>
      <c r="J106" s="52">
        <f t="array" ref="J106">INDEX(MatchHistory!$G:$G,MATCH(1,(MatchHistory!$B:$B=$A106)*(MatchHistory!$G:$G&lt;&gt;""),0))</f>
        <v>22.17843826</v>
      </c>
      <c r="K106" s="52">
        <f t="array" ref="K106">INDEX(MatchHistory!$H:$H,MATCH(1,(MatchHistory!$B:$B=$A106)*(MatchHistory!$H:$H&lt;&gt;""),0))</f>
        <v>8.143193425</v>
      </c>
      <c r="L106" s="71">
        <f t="array" ref="L106">INDEX(MatchHistory!$J:$J,MATCH(1,(MatchHistory!$B:$B=$A106)*(MatchHistory!$J:$J&lt;&gt;""),0))</f>
        <v>678</v>
      </c>
    </row>
    <row r="107">
      <c r="A107" s="60" t="s">
        <v>121</v>
      </c>
      <c r="B107" s="61">
        <f>COUNTIFS(MatchHistory!$B:$B, $A107, MatchHistory!$C:$C, "Town")</f>
        <v>4</v>
      </c>
      <c r="C107" s="62">
        <f>COUNTIFS(MatchHistory!B:B, A107, MatchHistory!C:C, "Town", MatchHistory!D:D, "Win")</f>
        <v>0</v>
      </c>
      <c r="D107" s="63">
        <f>IFERROR(__xludf.DUMMYFUNCTION("IF(EQ($B107, 0), TO_PERCENT(0), TO_PERCENT($C107/$B107))"),0.0)</f>
        <v>0</v>
      </c>
      <c r="E107" s="62">
        <f>COUNTIFS(MatchHistory!$B:$B, $A107, MatchHistory!$C:$C, "Mafia")</f>
        <v>0</v>
      </c>
      <c r="F107" s="62">
        <f>COUNTIFS(MatchHistory!$B:$B, $A107, MatchHistory!$C:$C, "Mafia", MatchHistory!$D:$D, "Win")</f>
        <v>0</v>
      </c>
      <c r="G107" s="63">
        <f>IFERROR(__xludf.DUMMYFUNCTION("TO_PERCENT(IFERROR($F107/$E107, 0))"),0.0)</f>
        <v>0</v>
      </c>
      <c r="H107" s="62">
        <f t="shared" si="1"/>
        <v>4</v>
      </c>
      <c r="I107" s="63">
        <f>IFERROR(__xludf.DUMMYFUNCTION("TO_PERCENT(IFERROR(($F107+$C107)/($E107+$B107), 0))"),0.0)</f>
        <v>0</v>
      </c>
      <c r="J107" s="64">
        <f t="array" ref="J107">INDEX(MatchHistory!$G:$G,MATCH(1,(MatchHistory!$B:$B=$A107)*(MatchHistory!$G:$G&lt;&gt;""),0))</f>
        <v>22.09359123</v>
      </c>
      <c r="K107" s="64">
        <f t="array" ref="K107">INDEX(MatchHistory!$H:$H,MATCH(1,(MatchHistory!$B:$B=$A107)*(MatchHistory!$H:$H&lt;&gt;""),0))</f>
        <v>8.08669028</v>
      </c>
      <c r="L107" s="65">
        <f t="array" ref="L107">INDEX(MatchHistory!$J:$J,MATCH(1,(MatchHistory!$B:$B=$A107)*(MatchHistory!$J:$J&lt;&gt;""),0))</f>
        <v>678</v>
      </c>
    </row>
    <row r="108">
      <c r="A108" s="87" t="s">
        <v>122</v>
      </c>
      <c r="B108" s="80">
        <f>COUNTIFS(MatchHistory!$B:$B, $A108, MatchHistory!$C:$C, "Town")</f>
        <v>10</v>
      </c>
      <c r="C108" s="80">
        <f>COUNTIFS(MatchHistory!B:B, A108, MatchHistory!C:C, "Town", MatchHistory!D:D, "Win")</f>
        <v>1</v>
      </c>
      <c r="D108" s="81">
        <f>IFERROR(__xludf.DUMMYFUNCTION("IF(EQ($B108, 0), TO_PERCENT(0), TO_PERCENT($C108/$B108))"),0.1)</f>
        <v>0.1</v>
      </c>
      <c r="E108" s="80">
        <f>COUNTIFS(MatchHistory!$B:$B, $A108, MatchHistory!$C:$C, "Mafia")</f>
        <v>1</v>
      </c>
      <c r="F108" s="80">
        <f>COUNTIFS(MatchHistory!$B:$B, $A108, MatchHistory!$C:$C, "Mafia", MatchHistory!$D:$D, "Win")</f>
        <v>1</v>
      </c>
      <c r="G108" s="81">
        <f>IFERROR(__xludf.DUMMYFUNCTION("TO_PERCENT(IFERROR($F108/$E108, 0))"),1.0)</f>
        <v>1</v>
      </c>
      <c r="H108" s="82">
        <f t="shared" si="1"/>
        <v>11</v>
      </c>
      <c r="I108" s="81">
        <f>IFERROR(__xludf.DUMMYFUNCTION("TO_PERCENT(IFERROR(($F108+$C108)/($E108+$B108), 0))"),0.18181818181818182)</f>
        <v>0.1818181818</v>
      </c>
      <c r="J108" s="83">
        <f t="array" ref="J108">INDEX(MatchHistory!$G:$G,MATCH(1,(MatchHistory!$B:$B=$A108)*(MatchHistory!$G:$G&lt;&gt;""),0))</f>
        <v>21.54096007</v>
      </c>
      <c r="K108" s="83">
        <f t="array" ref="K108">INDEX(MatchHistory!$H:$H,MATCH(1,(MatchHistory!$B:$B=$A108)*(MatchHistory!$H:$H&lt;&gt;""),0))</f>
        <v>7.827191825</v>
      </c>
      <c r="L108" s="84">
        <f t="array" ref="L108">INDEX(MatchHistory!$J:$J,MATCH(1,(MatchHistory!$B:$B=$A108)*(MatchHistory!$J:$J&lt;&gt;""),0))</f>
        <v>666</v>
      </c>
    </row>
    <row r="109">
      <c r="A109" s="79" t="s">
        <v>123</v>
      </c>
      <c r="B109" s="80">
        <f>COUNTIFS(MatchHistory!$B:$B, $A109, MatchHistory!$C:$C, "Town")</f>
        <v>4</v>
      </c>
      <c r="C109" s="80">
        <f>COUNTIFS(MatchHistory!B:B, A109, MatchHistory!C:C, "Town", MatchHistory!D:D, "Win")</f>
        <v>2</v>
      </c>
      <c r="D109" s="81">
        <f>IFERROR(__xludf.DUMMYFUNCTION("IF(EQ($B109, 0), TO_PERCENT(0), TO_PERCENT($C109/$B109))"),0.5)</f>
        <v>0.5</v>
      </c>
      <c r="E109" s="80">
        <f>COUNTIFS(MatchHistory!$B:$B, $A109, MatchHistory!$C:$C, "Mafia")</f>
        <v>3</v>
      </c>
      <c r="F109" s="80">
        <f>COUNTIFS(MatchHistory!$B:$B, $A109, MatchHistory!$C:$C, "Mafia", MatchHistory!$D:$D, "Win")</f>
        <v>0</v>
      </c>
      <c r="G109" s="81">
        <f>IFERROR(__xludf.DUMMYFUNCTION("TO_PERCENT(IFERROR($F109/$E109, 0))"),0.0)</f>
        <v>0</v>
      </c>
      <c r="H109" s="82">
        <f t="shared" si="1"/>
        <v>7</v>
      </c>
      <c r="I109" s="81">
        <f>IFERROR(__xludf.DUMMYFUNCTION("TO_PERCENT(IFERROR(($F109+$C109)/($E109+$B109), 0))"),0.2857142857142857)</f>
        <v>0.2857142857</v>
      </c>
      <c r="J109" s="83">
        <f t="array" ref="J109">INDEX(MatchHistory!$G:$G,MATCH(1,(MatchHistory!$B:$B=$A109)*(MatchHistory!$G:$G&lt;&gt;""),0))</f>
        <v>21.30997663</v>
      </c>
      <c r="K109" s="83">
        <f t="array" ref="K109">INDEX(MatchHistory!$H:$H,MATCH(1,(MatchHistory!$B:$B=$A109)*(MatchHistory!$H:$H&lt;&gt;""),0))</f>
        <v>7.883983865</v>
      </c>
      <c r="L109" s="84">
        <f t="array" ref="L109">INDEX(MatchHistory!$J:$J,MATCH(1,(MatchHistory!$B:$B=$A109)*(MatchHistory!$J:$J&lt;&gt;""),0))</f>
        <v>645</v>
      </c>
    </row>
    <row r="110">
      <c r="A110" s="87" t="s">
        <v>124</v>
      </c>
      <c r="B110" s="74">
        <f>COUNTIFS(MatchHistory!$B:$B, $A110, MatchHistory!$C:$C, "Town")</f>
        <v>14</v>
      </c>
      <c r="C110" s="74">
        <f>COUNTIFS(MatchHistory!B:B, A110, MatchHistory!C:C, "Town", MatchHistory!D:D, "Win")</f>
        <v>3</v>
      </c>
      <c r="D110" s="75">
        <f>IFERROR(__xludf.DUMMYFUNCTION("IF(EQ($B110, 0), TO_PERCENT(0), TO_PERCENT($C110/$B110))"),0.21428571428571427)</f>
        <v>0.2142857143</v>
      </c>
      <c r="E110" s="74">
        <f>COUNTIFS(MatchHistory!$B:$B, $A110, MatchHistory!$C:$C, "Mafia")</f>
        <v>6</v>
      </c>
      <c r="F110" s="74">
        <f>COUNTIFS(MatchHistory!$B:$B, $A110, MatchHistory!$C:$C, "Mafia", MatchHistory!$D:$D, "Win")</f>
        <v>1</v>
      </c>
      <c r="G110" s="75">
        <f>IFERROR(__xludf.DUMMYFUNCTION("TO_PERCENT(IFERROR($F110/$E110, 0))"),0.16666666666666666)</f>
        <v>0.1666666667</v>
      </c>
      <c r="H110" s="76">
        <f t="shared" si="1"/>
        <v>20</v>
      </c>
      <c r="I110" s="75">
        <f>IFERROR(__xludf.DUMMYFUNCTION("TO_PERCENT(IFERROR(($F110+$C110)/($E110+$B110), 0))"),0.2)</f>
        <v>0.2</v>
      </c>
      <c r="J110" s="77">
        <f t="array" ref="J110">INDEX(MatchHistory!$G:$G,MATCH(1,(MatchHistory!$B:$B=$A110)*(MatchHistory!$G:$G&lt;&gt;""),0))</f>
        <v>18.13370248</v>
      </c>
      <c r="K110" s="77">
        <f t="array" ref="K110">INDEX(MatchHistory!$H:$H,MATCH(1,(MatchHistory!$B:$B=$A110)*(MatchHistory!$H:$H&lt;&gt;""),0))</f>
        <v>7.274366951</v>
      </c>
      <c r="L110" s="78">
        <f t="array" ref="L110">INDEX(MatchHistory!$J:$J,MATCH(1,(MatchHistory!$B:$B=$A110)*(MatchHistory!$J:$J&lt;&gt;""),0))</f>
        <v>491</v>
      </c>
    </row>
    <row r="111">
      <c r="A111" s="88" t="str">
        <f>'Season 1 - MafiaRatings'!A:A</f>
        <v/>
      </c>
      <c r="B111" s="2"/>
      <c r="J111" s="89"/>
      <c r="K111" s="89"/>
      <c r="L111" s="90"/>
    </row>
    <row r="112">
      <c r="A112" s="88" t="str">
        <f>'Season 1 - MafiaRatings'!A:A</f>
        <v/>
      </c>
      <c r="B112" s="2"/>
      <c r="J112" s="89"/>
      <c r="K112" s="89"/>
      <c r="L112" s="90"/>
    </row>
    <row r="113">
      <c r="A113" s="88" t="str">
        <f>'Season 1 - MafiaRatings'!A:A</f>
        <v/>
      </c>
      <c r="B113" s="2"/>
      <c r="J113" s="89"/>
      <c r="K113" s="89"/>
      <c r="L113" s="90"/>
    </row>
    <row r="114">
      <c r="A114" s="88" t="str">
        <f>'Season 1 - MafiaRatings'!A:A</f>
        <v/>
      </c>
      <c r="B114" s="2"/>
      <c r="J114" s="89"/>
      <c r="K114" s="89"/>
      <c r="L114" s="90"/>
    </row>
    <row r="115">
      <c r="A115" s="88" t="str">
        <f>'Season 1 - MafiaRatings'!A:A</f>
        <v/>
      </c>
      <c r="B115" s="2"/>
      <c r="J115" s="89"/>
      <c r="K115" s="89"/>
      <c r="L115" s="90"/>
    </row>
    <row r="116">
      <c r="A116" s="88" t="str">
        <f>'Season 1 - MafiaRatings'!A:A</f>
        <v/>
      </c>
      <c r="B116" s="2"/>
      <c r="J116" s="89"/>
      <c r="K116" s="89"/>
      <c r="L116" s="90"/>
    </row>
    <row r="117">
      <c r="A117" s="88" t="str">
        <f>'Season 1 - MafiaRatings'!A:A</f>
        <v/>
      </c>
      <c r="B117" s="2"/>
      <c r="J117" s="89"/>
      <c r="K117" s="89"/>
      <c r="L117" s="90"/>
    </row>
    <row r="118">
      <c r="A118" s="88" t="str">
        <f>'Season 1 - MafiaRatings'!A:A</f>
        <v/>
      </c>
      <c r="B118" s="2"/>
      <c r="J118" s="89"/>
      <c r="K118" s="89"/>
      <c r="L118" s="90"/>
    </row>
    <row r="119">
      <c r="A119" s="88" t="str">
        <f>'Season 1 - MafiaRatings'!A:A</f>
        <v/>
      </c>
      <c r="B119" s="2"/>
      <c r="J119" s="89"/>
      <c r="K119" s="89"/>
      <c r="L119" s="90"/>
    </row>
    <row r="120">
      <c r="A120" s="88" t="str">
        <f>'Season 1 - MafiaRatings'!A:A</f>
        <v/>
      </c>
      <c r="B120" s="2"/>
      <c r="J120" s="89"/>
      <c r="K120" s="89"/>
      <c r="L120" s="90"/>
    </row>
    <row r="121">
      <c r="A121" s="88" t="str">
        <f>'Season 1 - MafiaRatings'!A:A</f>
        <v/>
      </c>
      <c r="B121" s="2"/>
      <c r="J121" s="89"/>
      <c r="K121" s="89"/>
      <c r="L121" s="90"/>
    </row>
    <row r="122">
      <c r="A122" s="88" t="str">
        <f>'Season 1 - MafiaRatings'!A:A</f>
        <v/>
      </c>
      <c r="B122" s="2"/>
      <c r="J122" s="89"/>
      <c r="K122" s="89"/>
      <c r="L122" s="90"/>
    </row>
    <row r="123">
      <c r="A123" s="88" t="str">
        <f>'Season 1 - MafiaRatings'!A:A</f>
        <v/>
      </c>
      <c r="B123" s="2"/>
      <c r="J123" s="89"/>
      <c r="K123" s="89"/>
      <c r="L123" s="90"/>
    </row>
    <row r="124">
      <c r="A124" s="88" t="str">
        <f>'Season 1 - MafiaRatings'!A:A</f>
        <v/>
      </c>
      <c r="B124" s="2"/>
      <c r="J124" s="89"/>
      <c r="K124" s="89"/>
      <c r="L124" s="90"/>
    </row>
    <row r="125">
      <c r="A125" s="88" t="str">
        <f>'Season 1 - MafiaRatings'!A:A</f>
        <v/>
      </c>
      <c r="B125" s="2"/>
      <c r="J125" s="89"/>
      <c r="K125" s="89"/>
      <c r="L125" s="90"/>
    </row>
    <row r="126">
      <c r="A126" s="88" t="str">
        <f>'Season 1 - MafiaRatings'!A:A</f>
        <v/>
      </c>
      <c r="B126" s="2"/>
      <c r="J126" s="89"/>
      <c r="K126" s="89"/>
      <c r="L126" s="90"/>
    </row>
    <row r="127">
      <c r="A127" s="88" t="str">
        <f>'Season 1 - MafiaRatings'!A:A</f>
        <v/>
      </c>
      <c r="B127" s="2"/>
      <c r="J127" s="89"/>
      <c r="K127" s="89"/>
      <c r="L127" s="90"/>
    </row>
    <row r="128">
      <c r="A128" s="88" t="str">
        <f>'Season 1 - MafiaRatings'!A:A</f>
        <v/>
      </c>
      <c r="B128" s="2"/>
      <c r="J128" s="89"/>
      <c r="K128" s="89"/>
      <c r="L128" s="90"/>
    </row>
    <row r="129">
      <c r="A129" s="88" t="str">
        <f>'Season 1 - MafiaRatings'!A:A</f>
        <v/>
      </c>
      <c r="B129" s="2"/>
      <c r="J129" s="89"/>
      <c r="K129" s="89"/>
      <c r="L129" s="90"/>
    </row>
    <row r="130">
      <c r="A130" s="88" t="str">
        <f>'Season 1 - MafiaRatings'!A:A</f>
        <v/>
      </c>
      <c r="B130" s="2"/>
      <c r="J130" s="89"/>
      <c r="K130" s="89"/>
      <c r="L130" s="90"/>
    </row>
    <row r="131">
      <c r="A131" s="88" t="str">
        <f>'Season 1 - MafiaRatings'!A:A</f>
        <v/>
      </c>
      <c r="B131" s="2"/>
      <c r="J131" s="89"/>
      <c r="K131" s="89"/>
      <c r="L131" s="90"/>
    </row>
    <row r="132">
      <c r="A132" s="88" t="str">
        <f>'Season 1 - MafiaRatings'!A:A</f>
        <v/>
      </c>
      <c r="B132" s="2"/>
      <c r="J132" s="89"/>
      <c r="K132" s="89"/>
      <c r="L132" s="90"/>
    </row>
    <row r="133">
      <c r="A133" s="88" t="str">
        <f>'Season 1 - MafiaRatings'!A:A</f>
        <v/>
      </c>
      <c r="B133" s="2"/>
      <c r="J133" s="89"/>
      <c r="K133" s="89"/>
      <c r="L133" s="90"/>
    </row>
    <row r="134">
      <c r="A134" s="88" t="str">
        <f>'Season 1 - MafiaRatings'!A:A</f>
        <v/>
      </c>
      <c r="B134" s="2"/>
      <c r="J134" s="89"/>
      <c r="K134" s="89"/>
      <c r="L134" s="90"/>
    </row>
    <row r="135">
      <c r="A135" s="88" t="str">
        <f>'Season 1 - MafiaRatings'!A:A</f>
        <v/>
      </c>
      <c r="B135" s="2"/>
      <c r="J135" s="89"/>
      <c r="K135" s="89"/>
      <c r="L135" s="90"/>
    </row>
    <row r="136">
      <c r="A136" s="88" t="str">
        <f>'Season 1 - MafiaRatings'!A:A</f>
        <v/>
      </c>
      <c r="B136" s="2"/>
      <c r="J136" s="89"/>
      <c r="K136" s="89"/>
      <c r="L136" s="90"/>
    </row>
    <row r="137">
      <c r="A137" s="88" t="str">
        <f>'Season 1 - MafiaRatings'!A:A</f>
        <v/>
      </c>
      <c r="B137" s="2"/>
      <c r="J137" s="89"/>
      <c r="K137" s="89"/>
      <c r="L137" s="90"/>
    </row>
    <row r="138">
      <c r="A138" s="88" t="str">
        <f>'Season 1 - MafiaRatings'!A:A</f>
        <v/>
      </c>
      <c r="B138" s="2"/>
      <c r="J138" s="89"/>
      <c r="K138" s="89"/>
      <c r="L138" s="90"/>
    </row>
    <row r="139">
      <c r="A139" s="88" t="str">
        <f>'Season 1 - MafiaRatings'!A:A</f>
        <v/>
      </c>
      <c r="B139" s="2"/>
      <c r="J139" s="89"/>
      <c r="K139" s="89"/>
      <c r="L139" s="90"/>
    </row>
    <row r="140">
      <c r="A140" s="88" t="str">
        <f>'Season 1 - MafiaRatings'!A:A</f>
        <v/>
      </c>
      <c r="B140" s="2"/>
      <c r="J140" s="89"/>
      <c r="K140" s="89"/>
      <c r="L140" s="90"/>
    </row>
    <row r="141">
      <c r="A141" s="88" t="str">
        <f>'Season 1 - MafiaRatings'!A:A</f>
        <v/>
      </c>
      <c r="B141" s="2"/>
      <c r="J141" s="89"/>
      <c r="K141" s="89"/>
      <c r="L141" s="90"/>
    </row>
    <row r="142">
      <c r="A142" s="88" t="str">
        <f>'Season 1 - MafiaRatings'!A:A</f>
        <v/>
      </c>
      <c r="B142" s="2"/>
      <c r="J142" s="89"/>
      <c r="K142" s="89"/>
      <c r="L142" s="90"/>
    </row>
    <row r="143">
      <c r="A143" s="88" t="str">
        <f>'Season 1 - MafiaRatings'!A:A</f>
        <v/>
      </c>
      <c r="B143" s="2"/>
      <c r="J143" s="89"/>
      <c r="K143" s="89"/>
      <c r="L143" s="90"/>
    </row>
    <row r="144">
      <c r="A144" s="88" t="str">
        <f>'Season 1 - MafiaRatings'!A:A</f>
        <v/>
      </c>
      <c r="B144" s="2"/>
      <c r="J144" s="89"/>
      <c r="K144" s="89"/>
      <c r="L144" s="90"/>
    </row>
    <row r="145">
      <c r="A145" s="88" t="str">
        <f>'Season 1 - MafiaRatings'!A:A</f>
        <v/>
      </c>
      <c r="B145" s="2"/>
      <c r="J145" s="89"/>
      <c r="K145" s="89"/>
      <c r="L145" s="90"/>
    </row>
    <row r="146">
      <c r="A146" s="88" t="str">
        <f>'Season 1 - MafiaRatings'!A:A</f>
        <v/>
      </c>
      <c r="B146" s="2"/>
      <c r="J146" s="89"/>
      <c r="K146" s="89"/>
      <c r="L146" s="90"/>
    </row>
    <row r="147">
      <c r="A147" s="88" t="str">
        <f>'Season 1 - MafiaRatings'!A:A</f>
        <v/>
      </c>
      <c r="B147" s="2"/>
      <c r="J147" s="89"/>
      <c r="K147" s="89"/>
      <c r="L147" s="90"/>
    </row>
    <row r="148">
      <c r="A148" s="88" t="str">
        <f>'Season 1 - MafiaRatings'!A:A</f>
        <v/>
      </c>
      <c r="B148" s="2"/>
      <c r="J148" s="89"/>
      <c r="K148" s="89"/>
      <c r="L148" s="90"/>
    </row>
    <row r="149">
      <c r="A149" s="88" t="str">
        <f>'Season 1 - MafiaRatings'!A:A</f>
        <v/>
      </c>
      <c r="B149" s="2"/>
      <c r="J149" s="89"/>
      <c r="K149" s="89"/>
      <c r="L149" s="90"/>
    </row>
    <row r="150">
      <c r="A150" s="88" t="str">
        <f>'Season 1 - MafiaRatings'!A:A</f>
        <v/>
      </c>
      <c r="B150" s="2"/>
      <c r="J150" s="89"/>
      <c r="K150" s="89"/>
      <c r="L150" s="90"/>
    </row>
    <row r="151">
      <c r="A151" s="88" t="str">
        <f>'Season 1 - MafiaRatings'!A:A</f>
        <v/>
      </c>
      <c r="B151" s="2"/>
      <c r="J151" s="89"/>
      <c r="K151" s="89"/>
      <c r="L151" s="90"/>
    </row>
    <row r="152">
      <c r="A152" s="88" t="str">
        <f>'Season 1 - MafiaRatings'!A:A</f>
        <v/>
      </c>
      <c r="B152" s="2"/>
      <c r="J152" s="89"/>
      <c r="K152" s="89"/>
      <c r="L152" s="90"/>
    </row>
    <row r="153">
      <c r="A153" s="88" t="str">
        <f>'Season 1 - MafiaRatings'!A:A</f>
        <v/>
      </c>
      <c r="B153" s="2"/>
      <c r="J153" s="89"/>
      <c r="K153" s="89"/>
      <c r="L153" s="90"/>
    </row>
    <row r="154">
      <c r="A154" s="88" t="str">
        <f>'Season 1 - MafiaRatings'!A:A</f>
        <v/>
      </c>
      <c r="B154" s="2"/>
      <c r="J154" s="89"/>
      <c r="K154" s="89"/>
      <c r="L154" s="90"/>
    </row>
    <row r="155">
      <c r="A155" s="88" t="str">
        <f>'Season 1 - MafiaRatings'!A:A</f>
        <v/>
      </c>
      <c r="B155" s="2"/>
      <c r="J155" s="89"/>
      <c r="K155" s="89"/>
      <c r="L155" s="90"/>
    </row>
    <row r="156">
      <c r="A156" s="88" t="str">
        <f>'Season 1 - MafiaRatings'!A:A</f>
        <v/>
      </c>
      <c r="B156" s="2"/>
      <c r="J156" s="89"/>
      <c r="K156" s="89"/>
      <c r="L156" s="90"/>
    </row>
    <row r="157">
      <c r="A157" s="88" t="str">
        <f>'Season 1 - MafiaRatings'!A:A</f>
        <v/>
      </c>
      <c r="B157" s="2"/>
      <c r="J157" s="89"/>
      <c r="K157" s="89"/>
      <c r="L157" s="90"/>
    </row>
    <row r="158">
      <c r="A158" s="88" t="str">
        <f>'Season 1 - MafiaRatings'!A:A</f>
        <v/>
      </c>
      <c r="B158" s="2"/>
      <c r="J158" s="89"/>
      <c r="K158" s="89"/>
      <c r="L158" s="90"/>
    </row>
    <row r="159">
      <c r="A159" s="88" t="str">
        <f>'Season 1 - MafiaRatings'!A:A</f>
        <v/>
      </c>
      <c r="B159" s="2"/>
      <c r="J159" s="89"/>
      <c r="K159" s="89"/>
      <c r="L159" s="90"/>
    </row>
    <row r="160">
      <c r="A160" s="88" t="str">
        <f>'Season 1 - MafiaRatings'!A:A</f>
        <v/>
      </c>
      <c r="B160" s="2"/>
      <c r="J160" s="89"/>
      <c r="K160" s="89"/>
      <c r="L160" s="90"/>
    </row>
    <row r="161">
      <c r="A161" s="88" t="str">
        <f>'Season 1 - MafiaRatings'!A:A</f>
        <v/>
      </c>
      <c r="B161" s="2"/>
      <c r="J161" s="89"/>
      <c r="K161" s="89"/>
      <c r="L161" s="90"/>
    </row>
    <row r="162">
      <c r="A162" s="88" t="str">
        <f>'Season 1 - MafiaRatings'!A:A</f>
        <v/>
      </c>
      <c r="B162" s="2"/>
      <c r="J162" s="89"/>
      <c r="K162" s="89"/>
      <c r="L162" s="90"/>
    </row>
    <row r="163">
      <c r="A163" s="88" t="str">
        <f>'Season 1 - MafiaRatings'!A:A</f>
        <v/>
      </c>
      <c r="B163" s="2"/>
      <c r="J163" s="89"/>
      <c r="K163" s="89"/>
      <c r="L163" s="90"/>
    </row>
    <row r="164">
      <c r="A164" s="88" t="str">
        <f>'Season 1 - MafiaRatings'!A:A</f>
        <v/>
      </c>
      <c r="B164" s="2"/>
      <c r="J164" s="89"/>
      <c r="K164" s="89"/>
      <c r="L164" s="90"/>
    </row>
    <row r="165">
      <c r="A165" s="88" t="str">
        <f>'Season 1 - MafiaRatings'!A:A</f>
        <v/>
      </c>
      <c r="B165" s="2"/>
      <c r="J165" s="89"/>
      <c r="K165" s="89"/>
      <c r="L165" s="90"/>
    </row>
    <row r="166">
      <c r="A166" s="88" t="str">
        <f>'Season 1 - MafiaRatings'!A:A</f>
        <v/>
      </c>
      <c r="B166" s="2"/>
      <c r="J166" s="89"/>
      <c r="K166" s="89"/>
      <c r="L166" s="90"/>
    </row>
    <row r="167">
      <c r="A167" s="88" t="str">
        <f>'Season 1 - MafiaRatings'!A:A</f>
        <v/>
      </c>
      <c r="B167" s="2"/>
      <c r="J167" s="89"/>
      <c r="K167" s="89"/>
      <c r="L167" s="90"/>
    </row>
    <row r="168">
      <c r="A168" s="88" t="str">
        <f>'Season 1 - MafiaRatings'!A:A</f>
        <v/>
      </c>
      <c r="B168" s="2"/>
      <c r="J168" s="89"/>
      <c r="K168" s="89"/>
      <c r="L168" s="90"/>
    </row>
    <row r="169">
      <c r="A169" s="88" t="str">
        <f>'Season 1 - MafiaRatings'!A:A</f>
        <v/>
      </c>
      <c r="B169" s="2"/>
      <c r="J169" s="89"/>
      <c r="K169" s="89"/>
      <c r="L169" s="90"/>
    </row>
    <row r="170">
      <c r="A170" s="88" t="str">
        <f>'Season 1 - MafiaRatings'!A:A</f>
        <v/>
      </c>
      <c r="B170" s="2"/>
      <c r="J170" s="89"/>
      <c r="K170" s="89"/>
      <c r="L170" s="90"/>
    </row>
    <row r="171">
      <c r="A171" s="88" t="str">
        <f>'Season 1 - MafiaRatings'!A:A</f>
        <v/>
      </c>
      <c r="B171" s="2"/>
      <c r="J171" s="89"/>
      <c r="K171" s="89"/>
      <c r="L171" s="90"/>
    </row>
    <row r="172">
      <c r="A172" s="88" t="str">
        <f>'Season 1 - MafiaRatings'!A:A</f>
        <v/>
      </c>
      <c r="B172" s="2"/>
      <c r="J172" s="89"/>
      <c r="K172" s="89"/>
      <c r="L172" s="90"/>
    </row>
    <row r="173">
      <c r="A173" s="88" t="str">
        <f>'Season 1 - MafiaRatings'!A:A</f>
        <v/>
      </c>
      <c r="B173" s="2"/>
      <c r="J173" s="89"/>
      <c r="K173" s="89"/>
      <c r="L173" s="90"/>
    </row>
    <row r="174">
      <c r="A174" s="88" t="str">
        <f>'Season 1 - MafiaRatings'!A:A</f>
        <v/>
      </c>
      <c r="B174" s="2"/>
      <c r="J174" s="89"/>
      <c r="K174" s="89"/>
      <c r="L174" s="90"/>
    </row>
    <row r="175">
      <c r="A175" s="88" t="str">
        <f>'Season 1 - MafiaRatings'!A:A</f>
        <v/>
      </c>
      <c r="B175" s="2"/>
      <c r="J175" s="89"/>
      <c r="K175" s="89"/>
      <c r="L175" s="90"/>
    </row>
    <row r="176">
      <c r="A176" s="88" t="str">
        <f>'Season 1 - MafiaRatings'!A:A</f>
        <v/>
      </c>
      <c r="B176" s="2"/>
      <c r="J176" s="89"/>
      <c r="K176" s="89"/>
      <c r="L176" s="90"/>
    </row>
    <row r="177">
      <c r="A177" s="88" t="str">
        <f>'Season 1 - MafiaRatings'!A:A</f>
        <v/>
      </c>
      <c r="B177" s="2"/>
      <c r="J177" s="89"/>
      <c r="K177" s="89"/>
      <c r="L177" s="90"/>
    </row>
    <row r="178">
      <c r="A178" s="88" t="str">
        <f>'Season 1 - MafiaRatings'!A:A</f>
        <v/>
      </c>
      <c r="B178" s="2"/>
      <c r="J178" s="89"/>
      <c r="K178" s="89"/>
      <c r="L178" s="90"/>
    </row>
    <row r="179">
      <c r="A179" s="88" t="str">
        <f>'Season 1 - MafiaRatings'!A:A</f>
        <v/>
      </c>
      <c r="B179" s="2"/>
      <c r="J179" s="89"/>
      <c r="K179" s="89"/>
      <c r="L179" s="90"/>
    </row>
    <row r="180">
      <c r="A180" s="88" t="str">
        <f>'Season 1 - MafiaRatings'!A:A</f>
        <v/>
      </c>
      <c r="B180" s="2"/>
      <c r="J180" s="89"/>
      <c r="K180" s="89"/>
      <c r="L180" s="90"/>
    </row>
    <row r="181">
      <c r="A181" s="88" t="str">
        <f>'Season 1 - MafiaRatings'!A:A</f>
        <v/>
      </c>
      <c r="B181" s="2"/>
      <c r="J181" s="89"/>
      <c r="K181" s="89"/>
      <c r="L181" s="90"/>
    </row>
    <row r="182">
      <c r="A182" s="88" t="str">
        <f>'Season 1 - MafiaRatings'!A:A</f>
        <v/>
      </c>
      <c r="B182" s="2"/>
      <c r="J182" s="89"/>
      <c r="K182" s="89"/>
      <c r="L182" s="90"/>
    </row>
    <row r="183">
      <c r="A183" s="88" t="str">
        <f>'Season 1 - MafiaRatings'!A:A</f>
        <v/>
      </c>
      <c r="B183" s="2"/>
      <c r="J183" s="89"/>
      <c r="K183" s="89"/>
      <c r="L183" s="90"/>
    </row>
    <row r="184">
      <c r="A184" s="88" t="str">
        <f>'Season 1 - MafiaRatings'!A:A</f>
        <v/>
      </c>
      <c r="B184" s="2"/>
      <c r="J184" s="89"/>
      <c r="K184" s="89"/>
      <c r="L184" s="90"/>
    </row>
    <row r="185">
      <c r="A185" s="88" t="str">
        <f>'Season 1 - MafiaRatings'!A:A</f>
        <v/>
      </c>
      <c r="B185" s="2"/>
      <c r="J185" s="89"/>
      <c r="K185" s="89"/>
      <c r="L185" s="90"/>
    </row>
    <row r="186">
      <c r="A186" s="88" t="str">
        <f>'Season 1 - MafiaRatings'!A:A</f>
        <v/>
      </c>
      <c r="B186" s="2"/>
      <c r="J186" s="89"/>
      <c r="K186" s="89"/>
      <c r="L186" s="90"/>
    </row>
    <row r="187">
      <c r="A187" s="88" t="str">
        <f>'Season 1 - MafiaRatings'!A:A</f>
        <v/>
      </c>
      <c r="B187" s="2"/>
      <c r="J187" s="89"/>
      <c r="K187" s="89"/>
      <c r="L187" s="90"/>
    </row>
    <row r="188">
      <c r="A188" s="88" t="str">
        <f>'Season 1 - MafiaRatings'!A:A</f>
        <v/>
      </c>
      <c r="B188" s="2"/>
      <c r="J188" s="89"/>
      <c r="K188" s="89"/>
      <c r="L188" s="90"/>
    </row>
    <row r="189">
      <c r="A189" s="88" t="str">
        <f>'Season 1 - MafiaRatings'!A:A</f>
        <v/>
      </c>
      <c r="B189" s="2"/>
      <c r="J189" s="89"/>
      <c r="K189" s="89"/>
      <c r="L189" s="90"/>
    </row>
    <row r="190">
      <c r="A190" s="88" t="str">
        <f>'Season 1 - MafiaRatings'!A:A</f>
        <v/>
      </c>
      <c r="B190" s="2"/>
      <c r="J190" s="89"/>
      <c r="K190" s="89"/>
      <c r="L190" s="90"/>
    </row>
    <row r="191">
      <c r="A191" s="88" t="str">
        <f>'Season 1 - MafiaRatings'!A:A</f>
        <v/>
      </c>
      <c r="B191" s="2"/>
      <c r="J191" s="89"/>
      <c r="K191" s="89"/>
      <c r="L191" s="90"/>
    </row>
    <row r="192">
      <c r="A192" s="88" t="str">
        <f>'Season 1 - MafiaRatings'!A:A</f>
        <v/>
      </c>
      <c r="B192" s="2"/>
      <c r="J192" s="89"/>
      <c r="K192" s="89"/>
      <c r="L192" s="90"/>
    </row>
    <row r="193">
      <c r="A193" s="88" t="str">
        <f>'Season 1 - MafiaRatings'!A:A</f>
        <v/>
      </c>
      <c r="B193" s="2"/>
      <c r="J193" s="89"/>
      <c r="K193" s="89"/>
      <c r="L193" s="90"/>
    </row>
    <row r="194">
      <c r="A194" s="88" t="str">
        <f>'Season 1 - MafiaRatings'!A:A</f>
        <v/>
      </c>
      <c r="B194" s="2"/>
      <c r="J194" s="89"/>
      <c r="K194" s="89"/>
      <c r="L194" s="90"/>
    </row>
    <row r="195">
      <c r="A195" s="88" t="str">
        <f>'Season 1 - MafiaRatings'!A:A</f>
        <v/>
      </c>
      <c r="B195" s="2"/>
      <c r="J195" s="89"/>
      <c r="K195" s="89"/>
      <c r="L195" s="90"/>
    </row>
    <row r="196">
      <c r="A196" s="88" t="str">
        <f>'Season 1 - MafiaRatings'!A:A</f>
        <v/>
      </c>
      <c r="B196" s="2"/>
      <c r="J196" s="89"/>
      <c r="K196" s="89"/>
      <c r="L196" s="90"/>
    </row>
    <row r="197">
      <c r="A197" s="88" t="str">
        <f>'Season 1 - MafiaRatings'!A:A</f>
        <v/>
      </c>
      <c r="B197" s="2"/>
      <c r="J197" s="89"/>
      <c r="K197" s="89"/>
      <c r="L197" s="90"/>
    </row>
    <row r="198">
      <c r="A198" s="88" t="str">
        <f>'Season 1 - MafiaRatings'!A:A</f>
        <v/>
      </c>
      <c r="B198" s="2"/>
      <c r="J198" s="89"/>
      <c r="K198" s="89"/>
      <c r="L198" s="90"/>
    </row>
    <row r="199">
      <c r="A199" s="88" t="str">
        <f>'Season 1 - MafiaRatings'!A:A</f>
        <v/>
      </c>
      <c r="B199" s="2"/>
      <c r="J199" s="89"/>
      <c r="K199" s="89"/>
      <c r="L199" s="90"/>
    </row>
    <row r="200">
      <c r="A200" s="88" t="str">
        <f>'Season 1 - MafiaRatings'!A:A</f>
        <v/>
      </c>
      <c r="B200" s="2"/>
      <c r="J200" s="89"/>
      <c r="K200" s="89"/>
      <c r="L200" s="90"/>
    </row>
    <row r="201">
      <c r="A201" s="88" t="str">
        <f>'Season 1 - MafiaRatings'!A:A</f>
        <v/>
      </c>
      <c r="B201" s="2"/>
      <c r="J201" s="89"/>
      <c r="K201" s="89"/>
      <c r="L201" s="90"/>
    </row>
    <row r="202">
      <c r="A202" s="88" t="str">
        <f>'Season 1 - MafiaRatings'!A:A</f>
        <v/>
      </c>
      <c r="B202" s="2"/>
      <c r="J202" s="89"/>
      <c r="K202" s="89"/>
      <c r="L202" s="90"/>
    </row>
    <row r="203">
      <c r="A203" s="88" t="str">
        <f>'Season 1 - MafiaRatings'!A:A</f>
        <v/>
      </c>
      <c r="B203" s="2"/>
      <c r="J203" s="89"/>
      <c r="K203" s="89"/>
      <c r="L203" s="90"/>
    </row>
    <row r="204">
      <c r="A204" s="88" t="str">
        <f>'Season 1 - MafiaRatings'!A:A</f>
        <v/>
      </c>
      <c r="B204" s="2"/>
      <c r="J204" s="89"/>
      <c r="K204" s="89"/>
      <c r="L204" s="90"/>
    </row>
    <row r="205">
      <c r="A205" s="88" t="str">
        <f>'Season 1 - MafiaRatings'!A:A</f>
        <v/>
      </c>
      <c r="B205" s="2"/>
      <c r="J205" s="89"/>
      <c r="K205" s="89"/>
      <c r="L205" s="90"/>
    </row>
    <row r="206">
      <c r="A206" s="88" t="str">
        <f>'Season 1 - MafiaRatings'!A:A</f>
        <v/>
      </c>
      <c r="B206" s="2"/>
      <c r="J206" s="89"/>
      <c r="K206" s="89"/>
      <c r="L206" s="90"/>
    </row>
    <row r="207">
      <c r="A207" s="88" t="str">
        <f>'Season 1 - MafiaRatings'!A:A</f>
        <v/>
      </c>
      <c r="B207" s="2"/>
      <c r="J207" s="89"/>
      <c r="K207" s="89"/>
      <c r="L207" s="90"/>
    </row>
    <row r="208">
      <c r="A208" s="88" t="str">
        <f>'Season 1 - MafiaRatings'!A:A</f>
        <v/>
      </c>
      <c r="B208" s="2"/>
      <c r="J208" s="89"/>
      <c r="K208" s="89"/>
      <c r="L208" s="90"/>
    </row>
    <row r="209">
      <c r="A209" s="88" t="str">
        <f>'Season 1 - MafiaRatings'!A:A</f>
        <v/>
      </c>
      <c r="B209" s="2"/>
      <c r="J209" s="89"/>
      <c r="K209" s="89"/>
      <c r="L209" s="90"/>
    </row>
    <row r="210">
      <c r="A210" s="88" t="str">
        <f>'Season 1 - MafiaRatings'!A:A</f>
        <v/>
      </c>
      <c r="B210" s="2"/>
      <c r="J210" s="89"/>
      <c r="K210" s="89"/>
      <c r="L210" s="90"/>
    </row>
    <row r="211">
      <c r="A211" s="88" t="str">
        <f>'Season 1 - MafiaRatings'!A:A</f>
        <v/>
      </c>
      <c r="B211" s="2"/>
      <c r="J211" s="89"/>
      <c r="K211" s="89"/>
      <c r="L211" s="90"/>
    </row>
    <row r="212">
      <c r="A212" s="88" t="str">
        <f>'Season 1 - MafiaRatings'!A:A</f>
        <v/>
      </c>
      <c r="B212" s="2"/>
      <c r="J212" s="89"/>
      <c r="K212" s="89"/>
      <c r="L212" s="90"/>
    </row>
    <row r="213">
      <c r="A213" s="88" t="str">
        <f>'Season 1 - MafiaRatings'!A:A</f>
        <v/>
      </c>
      <c r="B213" s="2"/>
      <c r="J213" s="89"/>
      <c r="K213" s="89"/>
      <c r="L213" s="90"/>
    </row>
    <row r="214">
      <c r="A214" s="88" t="str">
        <f>'Season 1 - MafiaRatings'!A:A</f>
        <v/>
      </c>
      <c r="B214" s="2"/>
      <c r="J214" s="89"/>
      <c r="K214" s="89"/>
      <c r="L214" s="90"/>
    </row>
    <row r="215">
      <c r="A215" s="88" t="str">
        <f>'Season 1 - MafiaRatings'!A:A</f>
        <v/>
      </c>
      <c r="B215" s="2"/>
      <c r="J215" s="89"/>
      <c r="K215" s="89"/>
      <c r="L215" s="90"/>
    </row>
    <row r="216">
      <c r="A216" s="88" t="str">
        <f>'Season 1 - MafiaRatings'!A:A</f>
        <v/>
      </c>
      <c r="B216" s="2"/>
      <c r="J216" s="89"/>
      <c r="K216" s="89"/>
      <c r="L216" s="90"/>
    </row>
    <row r="217">
      <c r="A217" s="88" t="str">
        <f>'Season 1 - MafiaRatings'!A:A</f>
        <v/>
      </c>
      <c r="B217" s="2"/>
      <c r="J217" s="89"/>
      <c r="K217" s="89"/>
      <c r="L217" s="90"/>
    </row>
    <row r="218">
      <c r="A218" s="88" t="str">
        <f>'Season 1 - MafiaRatings'!A:A</f>
        <v/>
      </c>
      <c r="B218" s="2"/>
      <c r="J218" s="89"/>
      <c r="K218" s="89"/>
      <c r="L218" s="90"/>
    </row>
    <row r="219">
      <c r="A219" s="88" t="str">
        <f>'Season 1 - MafiaRatings'!A:A</f>
        <v/>
      </c>
      <c r="B219" s="2"/>
      <c r="J219" s="89"/>
      <c r="K219" s="89"/>
      <c r="L219" s="90"/>
    </row>
    <row r="220">
      <c r="A220" s="88" t="str">
        <f>'Season 1 - MafiaRatings'!A:A</f>
        <v/>
      </c>
      <c r="B220" s="2"/>
      <c r="J220" s="89"/>
      <c r="K220" s="89"/>
      <c r="L220" s="90"/>
    </row>
    <row r="221">
      <c r="A221" s="88" t="str">
        <f>'Season 1 - MafiaRatings'!A:A</f>
        <v/>
      </c>
      <c r="B221" s="2"/>
      <c r="J221" s="89"/>
      <c r="K221" s="89"/>
      <c r="L221" s="90"/>
    </row>
    <row r="222">
      <c r="A222" s="88" t="str">
        <f>'Season 1 - MafiaRatings'!A:A</f>
        <v/>
      </c>
      <c r="B222" s="2"/>
      <c r="J222" s="89"/>
      <c r="K222" s="89"/>
      <c r="L222" s="90"/>
    </row>
    <row r="223">
      <c r="A223" s="88" t="str">
        <f>'Season 1 - MafiaRatings'!A:A</f>
        <v/>
      </c>
      <c r="B223" s="2"/>
      <c r="J223" s="89"/>
      <c r="K223" s="89"/>
      <c r="L223" s="90"/>
    </row>
    <row r="224">
      <c r="A224" s="88" t="str">
        <f>'Season 1 - MafiaRatings'!A:A</f>
        <v/>
      </c>
      <c r="B224" s="2"/>
      <c r="J224" s="89"/>
      <c r="K224" s="89"/>
      <c r="L224" s="90"/>
    </row>
    <row r="225">
      <c r="A225" s="88" t="str">
        <f>'Season 1 - MafiaRatings'!A:A</f>
        <v/>
      </c>
      <c r="B225" s="2"/>
      <c r="J225" s="89"/>
      <c r="K225" s="89"/>
      <c r="L225" s="90"/>
    </row>
    <row r="226">
      <c r="A226" s="88" t="str">
        <f>'Season 1 - MafiaRatings'!A:A</f>
        <v/>
      </c>
      <c r="B226" s="2"/>
      <c r="J226" s="89"/>
      <c r="K226" s="89"/>
      <c r="L226" s="90"/>
    </row>
    <row r="227">
      <c r="A227" s="88" t="str">
        <f>'Season 1 - MafiaRatings'!A:A</f>
        <v/>
      </c>
      <c r="B227" s="2"/>
      <c r="J227" s="89"/>
      <c r="K227" s="89"/>
      <c r="L227" s="90"/>
    </row>
    <row r="228">
      <c r="A228" s="88" t="str">
        <f>'Season 1 - MafiaRatings'!A:A</f>
        <v/>
      </c>
      <c r="B228" s="2"/>
      <c r="J228" s="89"/>
      <c r="K228" s="89"/>
      <c r="L228" s="90"/>
    </row>
    <row r="229">
      <c r="A229" s="88" t="str">
        <f>'Season 1 - MafiaRatings'!A:A</f>
        <v/>
      </c>
      <c r="B229" s="2"/>
      <c r="J229" s="89"/>
      <c r="K229" s="89"/>
      <c r="L229" s="90"/>
    </row>
    <row r="230">
      <c r="A230" s="88" t="str">
        <f>'Season 1 - MafiaRatings'!A:A</f>
        <v/>
      </c>
      <c r="B230" s="2"/>
      <c r="J230" s="89"/>
      <c r="K230" s="89"/>
      <c r="L230" s="90"/>
    </row>
    <row r="231">
      <c r="A231" s="88" t="str">
        <f>'Season 1 - MafiaRatings'!A:A</f>
        <v/>
      </c>
      <c r="B231" s="2"/>
      <c r="J231" s="89"/>
      <c r="K231" s="89"/>
      <c r="L231" s="90"/>
    </row>
    <row r="232">
      <c r="A232" s="88" t="str">
        <f>'Season 1 - MafiaRatings'!A:A</f>
        <v/>
      </c>
      <c r="B232" s="2"/>
      <c r="J232" s="89"/>
      <c r="K232" s="89"/>
      <c r="L232" s="90"/>
    </row>
    <row r="233">
      <c r="A233" s="88" t="str">
        <f>'Season 1 - MafiaRatings'!A:A</f>
        <v/>
      </c>
      <c r="B233" s="2"/>
      <c r="J233" s="89"/>
      <c r="K233" s="89"/>
      <c r="L233" s="90"/>
    </row>
    <row r="234">
      <c r="A234" s="88" t="str">
        <f>'Season 1 - MafiaRatings'!A:A</f>
        <v/>
      </c>
      <c r="B234" s="2"/>
      <c r="J234" s="89"/>
      <c r="K234" s="89"/>
      <c r="L234" s="90"/>
    </row>
    <row r="235">
      <c r="A235" s="88" t="str">
        <f>'Season 1 - MafiaRatings'!A:A</f>
        <v/>
      </c>
      <c r="B235" s="2"/>
      <c r="J235" s="89"/>
      <c r="K235" s="89"/>
      <c r="L235" s="90"/>
    </row>
    <row r="236">
      <c r="A236" s="88" t="str">
        <f>'Season 1 - MafiaRatings'!A:A</f>
        <v/>
      </c>
      <c r="B236" s="2"/>
      <c r="J236" s="89"/>
      <c r="K236" s="89"/>
      <c r="L236" s="90"/>
    </row>
    <row r="237">
      <c r="A237" s="88" t="str">
        <f>'Season 1 - MafiaRatings'!A:A</f>
        <v/>
      </c>
      <c r="B237" s="2"/>
      <c r="J237" s="89"/>
      <c r="K237" s="89"/>
      <c r="L237" s="90"/>
    </row>
    <row r="238">
      <c r="A238" s="88" t="str">
        <f>'Season 1 - MafiaRatings'!A:A</f>
        <v/>
      </c>
      <c r="B238" s="2"/>
      <c r="J238" s="89"/>
      <c r="K238" s="89"/>
      <c r="L238" s="90"/>
    </row>
    <row r="239">
      <c r="A239" s="88" t="str">
        <f>'Season 1 - MafiaRatings'!A:A</f>
        <v/>
      </c>
      <c r="B239" s="2"/>
      <c r="J239" s="89"/>
      <c r="K239" s="89"/>
      <c r="L239" s="90"/>
    </row>
    <row r="240">
      <c r="A240" s="88" t="str">
        <f>'Season 1 - MafiaRatings'!A:A</f>
        <v/>
      </c>
      <c r="B240" s="2"/>
      <c r="J240" s="89"/>
      <c r="K240" s="89"/>
      <c r="L240" s="90"/>
    </row>
    <row r="241">
      <c r="A241" s="88" t="str">
        <f>'Season 1 - MafiaRatings'!A:A</f>
        <v/>
      </c>
      <c r="B241" s="2"/>
      <c r="J241" s="89"/>
      <c r="K241" s="89"/>
      <c r="L241" s="90"/>
    </row>
    <row r="242">
      <c r="A242" s="88" t="str">
        <f>'Season 1 - MafiaRatings'!A:A</f>
        <v/>
      </c>
      <c r="B242" s="2"/>
      <c r="J242" s="89"/>
      <c r="K242" s="89"/>
      <c r="L242" s="90"/>
    </row>
    <row r="243">
      <c r="A243" s="88" t="str">
        <f>'Season 1 - MafiaRatings'!A:A</f>
        <v/>
      </c>
      <c r="B243" s="2"/>
      <c r="J243" s="89"/>
      <c r="K243" s="89"/>
      <c r="L243" s="90"/>
    </row>
    <row r="244">
      <c r="A244" s="88" t="str">
        <f>'Season 1 - MafiaRatings'!A:A</f>
        <v/>
      </c>
      <c r="B244" s="2"/>
      <c r="J244" s="89"/>
      <c r="K244" s="89"/>
      <c r="L244" s="90"/>
    </row>
    <row r="245">
      <c r="A245" s="88" t="str">
        <f>'Season 1 - MafiaRatings'!A:A</f>
        <v/>
      </c>
      <c r="B245" s="2"/>
      <c r="J245" s="89"/>
      <c r="K245" s="89"/>
      <c r="L245" s="90"/>
    </row>
    <row r="246">
      <c r="A246" s="88" t="str">
        <f>'Season 1 - MafiaRatings'!A:A</f>
        <v/>
      </c>
      <c r="B246" s="2"/>
      <c r="J246" s="89"/>
      <c r="K246" s="89"/>
      <c r="L246" s="90"/>
    </row>
    <row r="247">
      <c r="A247" s="88" t="str">
        <f>'Season 1 - MafiaRatings'!A:A</f>
        <v/>
      </c>
      <c r="B247" s="2"/>
      <c r="J247" s="89"/>
      <c r="K247" s="89"/>
      <c r="L247" s="90"/>
    </row>
    <row r="248">
      <c r="A248" s="88" t="str">
        <f>'Season 1 - MafiaRatings'!A:A</f>
        <v/>
      </c>
      <c r="B248" s="2"/>
      <c r="J248" s="89"/>
      <c r="K248" s="89"/>
      <c r="L248" s="90"/>
    </row>
    <row r="249">
      <c r="A249" s="88" t="str">
        <f>'Season 1 - MafiaRatings'!A:A</f>
        <v/>
      </c>
      <c r="B249" s="2"/>
      <c r="J249" s="89"/>
      <c r="K249" s="89"/>
      <c r="L249" s="90"/>
    </row>
    <row r="250">
      <c r="A250" s="88" t="str">
        <f>'Season 1 - MafiaRatings'!A:A</f>
        <v/>
      </c>
      <c r="B250" s="2"/>
      <c r="J250" s="89"/>
      <c r="K250" s="89"/>
      <c r="L250" s="90"/>
    </row>
    <row r="251">
      <c r="A251" s="88" t="str">
        <f>'Season 1 - MafiaRatings'!A:A</f>
        <v/>
      </c>
      <c r="B251" s="2"/>
      <c r="J251" s="89"/>
      <c r="K251" s="89"/>
      <c r="L251" s="90"/>
    </row>
    <row r="252">
      <c r="A252" s="88" t="str">
        <f>'Season 1 - MafiaRatings'!A:A</f>
        <v/>
      </c>
      <c r="B252" s="2"/>
      <c r="J252" s="89"/>
      <c r="K252" s="89"/>
      <c r="L252" s="90"/>
    </row>
    <row r="253">
      <c r="A253" s="88" t="str">
        <f>'Season 1 - MafiaRatings'!A:A</f>
        <v/>
      </c>
      <c r="B253" s="2"/>
      <c r="J253" s="89"/>
      <c r="K253" s="89"/>
      <c r="L253" s="90"/>
    </row>
    <row r="254">
      <c r="A254" s="88" t="str">
        <f>'Season 1 - MafiaRatings'!A:A</f>
        <v/>
      </c>
      <c r="B254" s="2"/>
      <c r="J254" s="89"/>
      <c r="K254" s="89"/>
      <c r="L254" s="90"/>
    </row>
    <row r="255">
      <c r="A255" s="88" t="str">
        <f>'Season 1 - MafiaRatings'!A:A</f>
        <v/>
      </c>
      <c r="B255" s="2"/>
      <c r="J255" s="89"/>
      <c r="K255" s="89"/>
      <c r="L255" s="90"/>
    </row>
    <row r="256">
      <c r="A256" s="88" t="str">
        <f>'Season 1 - MafiaRatings'!A:A</f>
        <v/>
      </c>
      <c r="B256" s="2"/>
      <c r="J256" s="89"/>
      <c r="K256" s="89"/>
      <c r="L256" s="90"/>
    </row>
    <row r="257">
      <c r="A257" s="88" t="str">
        <f>'Season 1 - MafiaRatings'!A:A</f>
        <v/>
      </c>
      <c r="B257" s="2"/>
      <c r="J257" s="89"/>
      <c r="K257" s="89"/>
      <c r="L257" s="90"/>
    </row>
    <row r="258">
      <c r="A258" s="88" t="str">
        <f>'Season 1 - MafiaRatings'!A:A</f>
        <v/>
      </c>
      <c r="B258" s="2"/>
      <c r="J258" s="89"/>
      <c r="K258" s="89"/>
      <c r="L258" s="90"/>
    </row>
    <row r="259">
      <c r="A259" s="88" t="str">
        <f>'Season 1 - MafiaRatings'!A:A</f>
        <v/>
      </c>
      <c r="B259" s="2"/>
      <c r="J259" s="89"/>
      <c r="K259" s="89"/>
      <c r="L259" s="90"/>
    </row>
    <row r="260">
      <c r="A260" s="88" t="str">
        <f>'Season 1 - MafiaRatings'!A:A</f>
        <v/>
      </c>
      <c r="B260" s="2"/>
      <c r="J260" s="89"/>
      <c r="K260" s="89"/>
      <c r="L260" s="90"/>
    </row>
    <row r="261">
      <c r="A261" s="88" t="str">
        <f>'Season 1 - MafiaRatings'!A:A</f>
        <v/>
      </c>
      <c r="B261" s="2"/>
      <c r="J261" s="89"/>
      <c r="K261" s="89"/>
      <c r="L261" s="90"/>
    </row>
    <row r="262">
      <c r="A262" s="88" t="str">
        <f>'Season 1 - MafiaRatings'!A:A</f>
        <v/>
      </c>
      <c r="B262" s="2"/>
      <c r="J262" s="89"/>
      <c r="K262" s="89"/>
      <c r="L262" s="90"/>
    </row>
    <row r="263">
      <c r="A263" s="88" t="str">
        <f>'Season 1 - MafiaRatings'!A:A</f>
        <v/>
      </c>
      <c r="B263" s="2"/>
      <c r="J263" s="89"/>
      <c r="K263" s="89"/>
      <c r="L263" s="90"/>
    </row>
    <row r="264">
      <c r="A264" s="88" t="str">
        <f>'Season 1 - MafiaRatings'!A:A</f>
        <v/>
      </c>
      <c r="B264" s="2"/>
      <c r="J264" s="89"/>
      <c r="K264" s="89"/>
      <c r="L264" s="90"/>
    </row>
    <row r="265">
      <c r="A265" s="88" t="str">
        <f>'Season 1 - MafiaRatings'!A:A</f>
        <v/>
      </c>
      <c r="B265" s="2"/>
      <c r="J265" s="89"/>
      <c r="K265" s="89"/>
      <c r="L265" s="90"/>
    </row>
    <row r="266">
      <c r="A266" s="88" t="str">
        <f>'Season 1 - MafiaRatings'!A:A</f>
        <v/>
      </c>
      <c r="B266" s="2"/>
      <c r="J266" s="89"/>
      <c r="K266" s="89"/>
      <c r="L266" s="90"/>
    </row>
    <row r="267">
      <c r="A267" s="88" t="str">
        <f>'Season 1 - MafiaRatings'!A:A</f>
        <v/>
      </c>
      <c r="B267" s="2"/>
      <c r="J267" s="89"/>
      <c r="K267" s="89"/>
      <c r="L267" s="90"/>
    </row>
    <row r="268">
      <c r="A268" s="88" t="str">
        <f>'Season 1 - MafiaRatings'!A:A</f>
        <v/>
      </c>
      <c r="B268" s="2"/>
      <c r="J268" s="89"/>
      <c r="K268" s="89"/>
      <c r="L268" s="90"/>
    </row>
    <row r="269">
      <c r="A269" s="88" t="str">
        <f>'Season 1 - MafiaRatings'!A:A</f>
        <v/>
      </c>
      <c r="B269" s="2"/>
      <c r="J269" s="89"/>
      <c r="K269" s="89"/>
      <c r="L269" s="90"/>
    </row>
    <row r="270">
      <c r="A270" s="88" t="str">
        <f>'Season 1 - MafiaRatings'!A:A</f>
        <v/>
      </c>
      <c r="B270" s="2"/>
      <c r="J270" s="89"/>
      <c r="K270" s="89"/>
      <c r="L270" s="90"/>
    </row>
    <row r="271">
      <c r="A271" s="88" t="str">
        <f>'Season 1 - MafiaRatings'!A:A</f>
        <v/>
      </c>
      <c r="B271" s="2"/>
      <c r="J271" s="89"/>
      <c r="K271" s="89"/>
      <c r="L271" s="90"/>
    </row>
    <row r="272">
      <c r="A272" s="88" t="str">
        <f>'Season 1 - MafiaRatings'!A:A</f>
        <v/>
      </c>
      <c r="B272" s="2"/>
      <c r="J272" s="89"/>
      <c r="K272" s="89"/>
      <c r="L272" s="90"/>
    </row>
    <row r="273">
      <c r="A273" s="88" t="str">
        <f>'Season 1 - MafiaRatings'!A:A</f>
        <v/>
      </c>
      <c r="B273" s="2"/>
      <c r="J273" s="89"/>
      <c r="K273" s="89"/>
      <c r="L273" s="90"/>
    </row>
    <row r="274">
      <c r="A274" s="88" t="str">
        <f>'Season 1 - MafiaRatings'!A:A</f>
        <v/>
      </c>
      <c r="B274" s="2"/>
      <c r="J274" s="89"/>
      <c r="K274" s="89"/>
      <c r="L274" s="90"/>
    </row>
    <row r="275">
      <c r="A275" s="88" t="str">
        <f>'Season 1 - MafiaRatings'!A:A</f>
        <v/>
      </c>
      <c r="B275" s="2"/>
      <c r="J275" s="89"/>
      <c r="K275" s="89"/>
      <c r="L275" s="90"/>
    </row>
    <row r="276">
      <c r="A276" s="88" t="str">
        <f>'Season 1 - MafiaRatings'!A:A</f>
        <v/>
      </c>
      <c r="B276" s="2"/>
      <c r="J276" s="89"/>
      <c r="K276" s="89"/>
      <c r="L276" s="90"/>
    </row>
    <row r="277">
      <c r="A277" s="88" t="str">
        <f>'Season 1 - MafiaRatings'!A:A</f>
        <v/>
      </c>
      <c r="B277" s="2"/>
      <c r="J277" s="89"/>
      <c r="K277" s="89"/>
      <c r="L277" s="90"/>
    </row>
    <row r="278">
      <c r="A278" s="88" t="str">
        <f>'Season 1 - MafiaRatings'!A:A</f>
        <v/>
      </c>
      <c r="B278" s="2"/>
      <c r="J278" s="89"/>
      <c r="K278" s="89"/>
      <c r="L278" s="90"/>
    </row>
    <row r="279">
      <c r="A279" s="88" t="str">
        <f>'Season 1 - MafiaRatings'!A:A</f>
        <v/>
      </c>
      <c r="B279" s="2"/>
      <c r="J279" s="89"/>
      <c r="K279" s="89"/>
      <c r="L279" s="90"/>
    </row>
    <row r="280">
      <c r="A280" s="88" t="str">
        <f>'Season 1 - MafiaRatings'!A:A</f>
        <v/>
      </c>
      <c r="B280" s="2"/>
      <c r="J280" s="89"/>
      <c r="K280" s="89"/>
      <c r="L280" s="90"/>
    </row>
    <row r="281">
      <c r="A281" s="88" t="str">
        <f>'Season 1 - MafiaRatings'!A:A</f>
        <v/>
      </c>
      <c r="B281" s="2"/>
      <c r="J281" s="89"/>
      <c r="K281" s="89"/>
      <c r="L281" s="90"/>
    </row>
    <row r="282">
      <c r="A282" s="88" t="str">
        <f>'Season 1 - MafiaRatings'!A:A</f>
        <v/>
      </c>
      <c r="B282" s="2"/>
      <c r="J282" s="89"/>
      <c r="K282" s="89"/>
      <c r="L282" s="90"/>
    </row>
    <row r="283">
      <c r="A283" s="88" t="str">
        <f>'Season 1 - MafiaRatings'!A:A</f>
        <v/>
      </c>
      <c r="B283" s="2"/>
      <c r="J283" s="89"/>
      <c r="K283" s="89"/>
      <c r="L283" s="90"/>
    </row>
    <row r="284">
      <c r="A284" s="88" t="str">
        <f>'Season 1 - MafiaRatings'!A:A</f>
        <v/>
      </c>
      <c r="B284" s="2"/>
      <c r="J284" s="89"/>
      <c r="K284" s="89"/>
      <c r="L284" s="90"/>
    </row>
    <row r="285">
      <c r="A285" s="88" t="str">
        <f>'Season 1 - MafiaRatings'!A:A</f>
        <v/>
      </c>
      <c r="B285" s="2"/>
      <c r="J285" s="89"/>
      <c r="K285" s="89"/>
      <c r="L285" s="90"/>
    </row>
    <row r="286">
      <c r="A286" s="88" t="str">
        <f>'Season 1 - MafiaRatings'!A:A</f>
        <v/>
      </c>
      <c r="B286" s="2"/>
      <c r="J286" s="89"/>
      <c r="K286" s="89"/>
      <c r="L286" s="90"/>
    </row>
    <row r="287">
      <c r="A287" s="88" t="str">
        <f>'Season 1 - MafiaRatings'!A:A</f>
        <v/>
      </c>
      <c r="B287" s="2"/>
      <c r="J287" s="89"/>
      <c r="K287" s="89"/>
      <c r="L287" s="90"/>
    </row>
    <row r="288">
      <c r="A288" s="88" t="str">
        <f>'Season 1 - MafiaRatings'!A:A</f>
        <v/>
      </c>
      <c r="B288" s="2"/>
      <c r="J288" s="89"/>
      <c r="K288" s="89"/>
      <c r="L288" s="90"/>
    </row>
    <row r="289">
      <c r="A289" s="88" t="str">
        <f>'Season 1 - MafiaRatings'!A:A</f>
        <v/>
      </c>
      <c r="B289" s="2"/>
      <c r="J289" s="89"/>
      <c r="K289" s="89"/>
      <c r="L289" s="90"/>
    </row>
    <row r="290">
      <c r="A290" s="88" t="str">
        <f>'Season 1 - MafiaRatings'!A:A</f>
        <v/>
      </c>
      <c r="B290" s="2"/>
      <c r="J290" s="89"/>
      <c r="K290" s="89"/>
      <c r="L290" s="90"/>
    </row>
    <row r="291">
      <c r="A291" s="88" t="str">
        <f>'Season 1 - MafiaRatings'!A:A</f>
        <v/>
      </c>
      <c r="B291" s="2"/>
      <c r="J291" s="89"/>
      <c r="K291" s="89"/>
      <c r="L291" s="90"/>
    </row>
    <row r="292">
      <c r="A292" s="88" t="str">
        <f>'Season 1 - MafiaRatings'!A:A</f>
        <v/>
      </c>
      <c r="B292" s="2"/>
      <c r="J292" s="89"/>
      <c r="K292" s="89"/>
      <c r="L292" s="90"/>
    </row>
    <row r="293">
      <c r="A293" s="88" t="str">
        <f>'Season 1 - MafiaRatings'!A:A</f>
        <v/>
      </c>
      <c r="B293" s="2"/>
      <c r="J293" s="89"/>
      <c r="K293" s="89"/>
      <c r="L293" s="90"/>
    </row>
    <row r="294">
      <c r="A294" s="88" t="str">
        <f>'Season 1 - MafiaRatings'!A:A</f>
        <v/>
      </c>
      <c r="B294" s="2"/>
      <c r="J294" s="89"/>
      <c r="K294" s="89"/>
      <c r="L294" s="90"/>
    </row>
    <row r="295">
      <c r="A295" s="88" t="str">
        <f>'Season 1 - MafiaRatings'!A:A</f>
        <v/>
      </c>
      <c r="B295" s="2"/>
      <c r="J295" s="89"/>
      <c r="K295" s="89"/>
      <c r="L295" s="90"/>
    </row>
    <row r="296">
      <c r="A296" s="88" t="str">
        <f>'Season 1 - MafiaRatings'!A:A</f>
        <v/>
      </c>
      <c r="B296" s="2"/>
      <c r="J296" s="89"/>
      <c r="K296" s="89"/>
      <c r="L296" s="90"/>
    </row>
    <row r="297">
      <c r="A297" s="88" t="str">
        <f>'Season 1 - MafiaRatings'!A:A</f>
        <v/>
      </c>
      <c r="B297" s="2"/>
      <c r="J297" s="89"/>
      <c r="K297" s="89"/>
      <c r="L297" s="90"/>
    </row>
    <row r="298">
      <c r="A298" s="88" t="str">
        <f>'Season 1 - MafiaRatings'!A:A</f>
        <v/>
      </c>
      <c r="B298" s="2"/>
      <c r="J298" s="89"/>
      <c r="K298" s="89"/>
      <c r="L298" s="90"/>
    </row>
    <row r="299">
      <c r="A299" s="88" t="str">
        <f>'Season 1 - MafiaRatings'!A:A</f>
        <v/>
      </c>
      <c r="B299" s="2"/>
      <c r="J299" s="89"/>
      <c r="K299" s="89"/>
      <c r="L299" s="90"/>
    </row>
    <row r="300">
      <c r="A300" s="88" t="str">
        <f>'Season 1 - MafiaRatings'!A:A</f>
        <v/>
      </c>
      <c r="B300" s="2"/>
      <c r="J300" s="89"/>
      <c r="K300" s="89"/>
      <c r="L300" s="90"/>
    </row>
    <row r="301">
      <c r="A301" s="88" t="str">
        <f>'Season 1 - MafiaRatings'!A:A</f>
        <v/>
      </c>
      <c r="B301" s="2"/>
      <c r="J301" s="89"/>
      <c r="K301" s="89"/>
      <c r="L301" s="90"/>
    </row>
    <row r="302">
      <c r="A302" s="88" t="str">
        <f>'Season 1 - MafiaRatings'!A:A</f>
        <v/>
      </c>
      <c r="B302" s="2"/>
      <c r="J302" s="89"/>
      <c r="K302" s="89"/>
      <c r="L302" s="90"/>
    </row>
    <row r="303">
      <c r="A303" s="88" t="str">
        <f>'Season 1 - MafiaRatings'!A:A</f>
        <v/>
      </c>
      <c r="B303" s="2"/>
      <c r="J303" s="89"/>
      <c r="K303" s="89"/>
      <c r="L303" s="90"/>
    </row>
    <row r="304">
      <c r="A304" s="88" t="str">
        <f>'Season 1 - MafiaRatings'!A:A</f>
        <v/>
      </c>
      <c r="B304" s="2"/>
      <c r="J304" s="89"/>
      <c r="K304" s="89"/>
      <c r="L304" s="90"/>
    </row>
    <row r="305">
      <c r="A305" s="88" t="str">
        <f>'Season 1 - MafiaRatings'!A:A</f>
        <v/>
      </c>
      <c r="B305" s="2"/>
      <c r="J305" s="89"/>
      <c r="K305" s="89"/>
      <c r="L305" s="90"/>
    </row>
    <row r="306">
      <c r="A306" s="88" t="str">
        <f>'Season 1 - MafiaRatings'!A:A</f>
        <v/>
      </c>
      <c r="B306" s="2"/>
      <c r="J306" s="89"/>
      <c r="K306" s="89"/>
      <c r="L306" s="90"/>
    </row>
    <row r="307">
      <c r="A307" s="88" t="str">
        <f>'Season 1 - MafiaRatings'!A:A</f>
        <v/>
      </c>
      <c r="B307" s="2"/>
      <c r="J307" s="89"/>
      <c r="K307" s="89"/>
      <c r="L307" s="90"/>
    </row>
    <row r="308">
      <c r="A308" s="88" t="str">
        <f>'Season 1 - MafiaRatings'!A:A</f>
        <v/>
      </c>
      <c r="B308" s="2"/>
      <c r="J308" s="89"/>
      <c r="K308" s="89"/>
      <c r="L308" s="90"/>
    </row>
    <row r="309">
      <c r="A309" s="88" t="str">
        <f>'Season 1 - MafiaRatings'!A:A</f>
        <v/>
      </c>
      <c r="B309" s="2"/>
      <c r="J309" s="89"/>
      <c r="K309" s="89"/>
      <c r="L309" s="90"/>
    </row>
    <row r="310">
      <c r="A310" s="88" t="str">
        <f>'Season 1 - MafiaRatings'!A:A</f>
        <v/>
      </c>
      <c r="B310" s="2"/>
      <c r="J310" s="89"/>
      <c r="K310" s="89"/>
      <c r="L310" s="90"/>
    </row>
    <row r="311">
      <c r="A311" s="88" t="str">
        <f>'Season 1 - MafiaRatings'!A:A</f>
        <v/>
      </c>
      <c r="B311" s="2"/>
      <c r="J311" s="89"/>
      <c r="K311" s="89"/>
      <c r="L311" s="90"/>
    </row>
    <row r="312">
      <c r="A312" s="88" t="str">
        <f>'Season 1 - MafiaRatings'!A:A</f>
        <v/>
      </c>
      <c r="B312" s="2"/>
      <c r="J312" s="89"/>
      <c r="K312" s="89"/>
      <c r="L312" s="90"/>
    </row>
    <row r="313">
      <c r="A313" s="88" t="str">
        <f>'Season 1 - MafiaRatings'!A:A</f>
        <v/>
      </c>
      <c r="B313" s="2"/>
      <c r="J313" s="89"/>
      <c r="K313" s="89"/>
      <c r="L313" s="90"/>
    </row>
    <row r="314">
      <c r="A314" s="88" t="str">
        <f>'Season 1 - MafiaRatings'!A:A</f>
        <v/>
      </c>
      <c r="B314" s="2"/>
      <c r="J314" s="89"/>
      <c r="K314" s="89"/>
      <c r="L314" s="90"/>
    </row>
    <row r="315">
      <c r="A315" s="88" t="str">
        <f>'Season 1 - MafiaRatings'!A:A</f>
        <v/>
      </c>
      <c r="B315" s="2"/>
      <c r="J315" s="89"/>
      <c r="K315" s="89"/>
      <c r="L315" s="90"/>
    </row>
    <row r="316">
      <c r="A316" s="88" t="str">
        <f>'Season 1 - MafiaRatings'!A:A</f>
        <v/>
      </c>
      <c r="B316" s="2"/>
      <c r="J316" s="89"/>
      <c r="K316" s="89"/>
      <c r="L316" s="90"/>
    </row>
    <row r="317">
      <c r="A317" s="88" t="str">
        <f>'Season 1 - MafiaRatings'!A:A</f>
        <v/>
      </c>
      <c r="B317" s="2"/>
      <c r="J317" s="89"/>
      <c r="K317" s="89"/>
      <c r="L317" s="90"/>
    </row>
    <row r="318">
      <c r="A318" s="88" t="str">
        <f>'Season 1 - MafiaRatings'!A:A</f>
        <v/>
      </c>
      <c r="B318" s="2"/>
      <c r="J318" s="89"/>
      <c r="K318" s="89"/>
      <c r="L318" s="90"/>
    </row>
    <row r="319">
      <c r="A319" s="88" t="str">
        <f>'Season 1 - MafiaRatings'!A:A</f>
        <v/>
      </c>
      <c r="B319" s="2"/>
      <c r="J319" s="89"/>
      <c r="K319" s="89"/>
      <c r="L319" s="90"/>
    </row>
    <row r="320">
      <c r="A320" s="88" t="str">
        <f>'Season 1 - MafiaRatings'!A:A</f>
        <v/>
      </c>
      <c r="B320" s="2"/>
      <c r="J320" s="89"/>
      <c r="K320" s="89"/>
      <c r="L320" s="90"/>
    </row>
    <row r="321">
      <c r="A321" s="88" t="str">
        <f>'Season 1 - MafiaRatings'!A:A</f>
        <v/>
      </c>
      <c r="B321" s="2"/>
      <c r="J321" s="89"/>
      <c r="K321" s="89"/>
      <c r="L321" s="90"/>
    </row>
    <row r="322">
      <c r="A322" s="88" t="str">
        <f>'Season 1 - MafiaRatings'!A:A</f>
        <v/>
      </c>
      <c r="B322" s="2"/>
      <c r="J322" s="89"/>
      <c r="K322" s="89"/>
      <c r="L322" s="90"/>
    </row>
    <row r="323">
      <c r="A323" s="88" t="str">
        <f>'Season 1 - MafiaRatings'!A:A</f>
        <v/>
      </c>
      <c r="B323" s="2"/>
      <c r="J323" s="89"/>
      <c r="K323" s="89"/>
      <c r="L323" s="90"/>
    </row>
    <row r="324">
      <c r="A324" s="88" t="str">
        <f>'Season 1 - MafiaRatings'!A:A</f>
        <v/>
      </c>
      <c r="B324" s="2"/>
      <c r="J324" s="89"/>
      <c r="K324" s="89"/>
      <c r="L324" s="90"/>
    </row>
    <row r="325">
      <c r="A325" s="88" t="str">
        <f>'Season 1 - MafiaRatings'!A:A</f>
        <v/>
      </c>
      <c r="B325" s="2"/>
      <c r="J325" s="89"/>
      <c r="K325" s="89"/>
      <c r="L325" s="90"/>
    </row>
    <row r="326">
      <c r="A326" s="88" t="str">
        <f>'Season 1 - MafiaRatings'!A:A</f>
        <v/>
      </c>
      <c r="B326" s="2"/>
      <c r="J326" s="89"/>
      <c r="K326" s="89"/>
      <c r="L326" s="90"/>
    </row>
    <row r="327">
      <c r="A327" s="88" t="str">
        <f>'Season 1 - MafiaRatings'!A:A</f>
        <v/>
      </c>
      <c r="B327" s="2"/>
      <c r="J327" s="89"/>
      <c r="K327" s="89"/>
      <c r="L327" s="90"/>
    </row>
    <row r="328">
      <c r="A328" s="88" t="str">
        <f>'Season 1 - MafiaRatings'!A:A</f>
        <v/>
      </c>
      <c r="B328" s="2"/>
      <c r="J328" s="89"/>
      <c r="K328" s="89"/>
      <c r="L328" s="90"/>
    </row>
    <row r="329">
      <c r="A329" s="88" t="str">
        <f>'Season 1 - MafiaRatings'!A:A</f>
        <v/>
      </c>
      <c r="B329" s="2"/>
      <c r="J329" s="89"/>
      <c r="K329" s="89"/>
      <c r="L329" s="90"/>
    </row>
    <row r="330">
      <c r="A330" s="88" t="str">
        <f>'Season 1 - MafiaRatings'!A:A</f>
        <v/>
      </c>
      <c r="B330" s="2"/>
      <c r="J330" s="89"/>
      <c r="K330" s="89"/>
      <c r="L330" s="90"/>
    </row>
    <row r="331">
      <c r="A331" s="88" t="str">
        <f>'Season 1 - MafiaRatings'!A:A</f>
        <v/>
      </c>
      <c r="B331" s="2"/>
      <c r="J331" s="89"/>
      <c r="K331" s="89"/>
      <c r="L331" s="90"/>
    </row>
    <row r="332">
      <c r="A332" s="88" t="str">
        <f>'Season 1 - MafiaRatings'!A:A</f>
        <v/>
      </c>
      <c r="B332" s="2"/>
      <c r="J332" s="89"/>
      <c r="K332" s="89"/>
      <c r="L332" s="90"/>
    </row>
    <row r="333">
      <c r="A333" s="88" t="str">
        <f>'Season 1 - MafiaRatings'!A:A</f>
        <v/>
      </c>
      <c r="B333" s="2"/>
      <c r="J333" s="89"/>
      <c r="K333" s="89"/>
      <c r="L333" s="90"/>
    </row>
    <row r="334">
      <c r="A334" s="88" t="str">
        <f>'Season 1 - MafiaRatings'!A:A</f>
        <v/>
      </c>
      <c r="B334" s="2"/>
      <c r="J334" s="89"/>
      <c r="K334" s="89"/>
      <c r="L334" s="90"/>
    </row>
    <row r="335">
      <c r="A335" s="88" t="str">
        <f>'Season 1 - MafiaRatings'!A:A</f>
        <v/>
      </c>
      <c r="B335" s="2"/>
      <c r="J335" s="89"/>
      <c r="K335" s="89"/>
      <c r="L335" s="90"/>
    </row>
    <row r="336">
      <c r="A336" s="88" t="str">
        <f>'Season 1 - MafiaRatings'!A:A</f>
        <v/>
      </c>
      <c r="B336" s="2"/>
      <c r="J336" s="89"/>
      <c r="K336" s="89"/>
      <c r="L336" s="90"/>
    </row>
    <row r="337">
      <c r="A337" s="88" t="str">
        <f>'Season 1 - MafiaRatings'!A:A</f>
        <v/>
      </c>
      <c r="B337" s="2"/>
      <c r="J337" s="89"/>
      <c r="K337" s="89"/>
      <c r="L337" s="90"/>
    </row>
    <row r="338">
      <c r="A338" s="88" t="str">
        <f>'Season 1 - MafiaRatings'!A:A</f>
        <v/>
      </c>
      <c r="B338" s="2"/>
      <c r="J338" s="89"/>
      <c r="K338" s="89"/>
      <c r="L338" s="90"/>
    </row>
    <row r="339">
      <c r="A339" s="88" t="str">
        <f>'Season 1 - MafiaRatings'!A:A</f>
        <v/>
      </c>
      <c r="B339" s="2"/>
      <c r="J339" s="89"/>
      <c r="K339" s="89"/>
      <c r="L339" s="90"/>
    </row>
    <row r="340">
      <c r="A340" s="88" t="str">
        <f>'Season 1 - MafiaRatings'!A:A</f>
        <v/>
      </c>
      <c r="B340" s="2"/>
      <c r="J340" s="89"/>
      <c r="K340" s="89"/>
      <c r="L340" s="90"/>
    </row>
    <row r="341">
      <c r="A341" s="88" t="str">
        <f>'Season 1 - MafiaRatings'!A:A</f>
        <v/>
      </c>
      <c r="B341" s="2"/>
      <c r="J341" s="89"/>
      <c r="K341" s="89"/>
      <c r="L341" s="90"/>
    </row>
    <row r="342">
      <c r="A342" s="88" t="str">
        <f>'Season 1 - MafiaRatings'!A:A</f>
        <v/>
      </c>
      <c r="B342" s="2"/>
      <c r="J342" s="89"/>
      <c r="K342" s="89"/>
      <c r="L342" s="90"/>
    </row>
    <row r="343">
      <c r="A343" s="88" t="str">
        <f>'Season 1 - MafiaRatings'!A:A</f>
        <v/>
      </c>
      <c r="B343" s="2"/>
      <c r="J343" s="89"/>
      <c r="K343" s="89"/>
      <c r="L343" s="90"/>
    </row>
    <row r="344">
      <c r="A344" s="88" t="str">
        <f>'Season 1 - MafiaRatings'!A:A</f>
        <v/>
      </c>
      <c r="B344" s="2"/>
      <c r="J344" s="89"/>
      <c r="K344" s="89"/>
      <c r="L344" s="90"/>
    </row>
    <row r="345">
      <c r="A345" s="88" t="str">
        <f>'Season 1 - MafiaRatings'!A:A</f>
        <v/>
      </c>
      <c r="B345" s="2"/>
      <c r="J345" s="89"/>
      <c r="K345" s="89"/>
      <c r="L345" s="90"/>
    </row>
    <row r="346">
      <c r="A346" s="88" t="str">
        <f>'Season 1 - MafiaRatings'!A:A</f>
        <v/>
      </c>
      <c r="B346" s="2"/>
      <c r="J346" s="89"/>
      <c r="K346" s="89"/>
      <c r="L346" s="90"/>
    </row>
    <row r="347">
      <c r="A347" s="88" t="str">
        <f>'Season 1 - MafiaRatings'!A:A</f>
        <v/>
      </c>
      <c r="B347" s="2"/>
      <c r="J347" s="89"/>
      <c r="K347" s="89"/>
      <c r="L347" s="90"/>
    </row>
    <row r="348">
      <c r="A348" s="88" t="str">
        <f>'Season 1 - MafiaRatings'!A:A</f>
        <v/>
      </c>
      <c r="B348" s="2"/>
      <c r="J348" s="89"/>
      <c r="K348" s="89"/>
      <c r="L348" s="90"/>
    </row>
    <row r="349">
      <c r="A349" s="88" t="str">
        <f>'Season 1 - MafiaRatings'!A:A</f>
        <v/>
      </c>
      <c r="B349" s="2"/>
      <c r="J349" s="89"/>
      <c r="K349" s="89"/>
      <c r="L349" s="90"/>
    </row>
    <row r="350">
      <c r="A350" s="88" t="str">
        <f>'Season 1 - MafiaRatings'!A:A</f>
        <v/>
      </c>
      <c r="B350" s="2"/>
      <c r="J350" s="89"/>
      <c r="K350" s="89"/>
      <c r="L350" s="90"/>
    </row>
    <row r="351">
      <c r="A351" s="88" t="str">
        <f>'Season 1 - MafiaRatings'!A:A</f>
        <v/>
      </c>
      <c r="B351" s="2"/>
      <c r="J351" s="89"/>
      <c r="K351" s="89"/>
      <c r="L351" s="90"/>
    </row>
    <row r="352">
      <c r="A352" s="88" t="str">
        <f>'Season 1 - MafiaRatings'!A:A</f>
        <v/>
      </c>
      <c r="B352" s="2"/>
      <c r="J352" s="89"/>
      <c r="K352" s="89"/>
      <c r="L352" s="90"/>
    </row>
    <row r="353">
      <c r="A353" s="88" t="str">
        <f>'Season 1 - MafiaRatings'!A:A</f>
        <v/>
      </c>
      <c r="B353" s="2"/>
      <c r="J353" s="89"/>
      <c r="K353" s="89"/>
      <c r="L353" s="90"/>
    </row>
    <row r="354">
      <c r="A354" s="88" t="str">
        <f>'Season 1 - MafiaRatings'!A:A</f>
        <v/>
      </c>
      <c r="B354" s="2"/>
      <c r="J354" s="89"/>
      <c r="K354" s="89"/>
      <c r="L354" s="90"/>
    </row>
    <row r="355">
      <c r="A355" s="88" t="str">
        <f>'Season 1 - MafiaRatings'!A:A</f>
        <v/>
      </c>
      <c r="B355" s="2"/>
      <c r="J355" s="89"/>
      <c r="K355" s="89"/>
      <c r="L355" s="90"/>
    </row>
    <row r="356">
      <c r="A356" s="88" t="str">
        <f>'Season 1 - MafiaRatings'!A:A</f>
        <v/>
      </c>
      <c r="B356" s="2"/>
      <c r="J356" s="89"/>
      <c r="K356" s="89"/>
      <c r="L356" s="90"/>
    </row>
    <row r="357">
      <c r="A357" s="88" t="str">
        <f>'Season 1 - MafiaRatings'!A:A</f>
        <v/>
      </c>
      <c r="B357" s="2"/>
      <c r="J357" s="89"/>
      <c r="K357" s="89"/>
      <c r="L357" s="90"/>
    </row>
    <row r="358">
      <c r="A358" s="88" t="str">
        <f>'Season 1 - MafiaRatings'!A:A</f>
        <v/>
      </c>
      <c r="B358" s="2"/>
      <c r="J358" s="89"/>
      <c r="K358" s="89"/>
      <c r="L358" s="90"/>
    </row>
    <row r="359">
      <c r="A359" s="88" t="str">
        <f>'Season 1 - MafiaRatings'!A:A</f>
        <v/>
      </c>
      <c r="B359" s="2"/>
      <c r="J359" s="89"/>
      <c r="K359" s="89"/>
      <c r="L359" s="90"/>
    </row>
    <row r="360">
      <c r="A360" s="88" t="str">
        <f>'Season 1 - MafiaRatings'!A:A</f>
        <v/>
      </c>
      <c r="B360" s="2"/>
      <c r="J360" s="89"/>
      <c r="K360" s="89"/>
      <c r="L360" s="90"/>
    </row>
    <row r="361">
      <c r="A361" s="88" t="str">
        <f>'Season 1 - MafiaRatings'!A:A</f>
        <v/>
      </c>
      <c r="B361" s="2"/>
      <c r="J361" s="89"/>
      <c r="K361" s="89"/>
      <c r="L361" s="90"/>
    </row>
    <row r="362">
      <c r="A362" s="88" t="str">
        <f>'Season 1 - MafiaRatings'!A:A</f>
        <v/>
      </c>
      <c r="B362" s="2"/>
      <c r="J362" s="89"/>
      <c r="K362" s="89"/>
      <c r="L362" s="90"/>
    </row>
    <row r="363">
      <c r="A363" s="88" t="str">
        <f>'Season 1 - MafiaRatings'!A:A</f>
        <v/>
      </c>
      <c r="B363" s="2"/>
      <c r="J363" s="89"/>
      <c r="K363" s="89"/>
      <c r="L363" s="90"/>
    </row>
    <row r="364">
      <c r="A364" s="88" t="str">
        <f>'Season 1 - MafiaRatings'!A:A</f>
        <v/>
      </c>
      <c r="B364" s="2"/>
      <c r="J364" s="89"/>
      <c r="K364" s="89"/>
      <c r="L364" s="90"/>
    </row>
    <row r="365">
      <c r="A365" s="88" t="str">
        <f>'Season 1 - MafiaRatings'!A:A</f>
        <v/>
      </c>
      <c r="B365" s="2"/>
      <c r="J365" s="89"/>
      <c r="K365" s="89"/>
      <c r="L365" s="90"/>
    </row>
    <row r="366">
      <c r="A366" s="88" t="str">
        <f>'Season 1 - MafiaRatings'!A:A</f>
        <v/>
      </c>
      <c r="B366" s="2"/>
      <c r="J366" s="89"/>
      <c r="K366" s="89"/>
      <c r="L366" s="90"/>
    </row>
    <row r="367">
      <c r="A367" s="88" t="str">
        <f>'Season 1 - MafiaRatings'!A:A</f>
        <v/>
      </c>
      <c r="B367" s="2"/>
      <c r="J367" s="89"/>
      <c r="K367" s="89"/>
      <c r="L367" s="90"/>
    </row>
    <row r="368">
      <c r="A368" s="88" t="str">
        <f>'Season 1 - MafiaRatings'!A:A</f>
        <v/>
      </c>
      <c r="B368" s="2"/>
      <c r="J368" s="89"/>
      <c r="K368" s="89"/>
      <c r="L368" s="90"/>
    </row>
    <row r="369">
      <c r="A369" s="88" t="str">
        <f>'Season 1 - MafiaRatings'!A:A</f>
        <v/>
      </c>
      <c r="B369" s="2"/>
      <c r="J369" s="89"/>
      <c r="K369" s="89"/>
      <c r="L369" s="90"/>
    </row>
    <row r="370">
      <c r="A370" s="88" t="str">
        <f>'Season 1 - MafiaRatings'!A:A</f>
        <v/>
      </c>
      <c r="B370" s="2"/>
      <c r="J370" s="89"/>
      <c r="K370" s="89"/>
      <c r="L370" s="90"/>
    </row>
    <row r="371">
      <c r="A371" s="88" t="str">
        <f>'Season 1 - MafiaRatings'!A:A</f>
        <v/>
      </c>
      <c r="B371" s="2"/>
      <c r="J371" s="89"/>
      <c r="K371" s="89"/>
      <c r="L371" s="90"/>
    </row>
    <row r="372">
      <c r="A372" s="88" t="str">
        <f>'Season 1 - MafiaRatings'!A:A</f>
        <v/>
      </c>
      <c r="B372" s="2"/>
      <c r="J372" s="89"/>
      <c r="K372" s="89"/>
      <c r="L372" s="90"/>
    </row>
    <row r="373">
      <c r="A373" s="88" t="str">
        <f>'Season 1 - MafiaRatings'!A:A</f>
        <v/>
      </c>
      <c r="B373" s="2"/>
      <c r="J373" s="89"/>
      <c r="K373" s="89"/>
      <c r="L373" s="90"/>
    </row>
    <row r="374">
      <c r="A374" s="88" t="str">
        <f>'Season 1 - MafiaRatings'!A:A</f>
        <v/>
      </c>
      <c r="B374" s="2"/>
      <c r="J374" s="89"/>
      <c r="K374" s="89"/>
      <c r="L374" s="90"/>
    </row>
    <row r="375">
      <c r="A375" s="88" t="str">
        <f>'Season 1 - MafiaRatings'!A:A</f>
        <v/>
      </c>
      <c r="B375" s="2"/>
      <c r="J375" s="89"/>
      <c r="K375" s="89"/>
      <c r="L375" s="90"/>
    </row>
    <row r="376">
      <c r="A376" s="88" t="str">
        <f>'Season 1 - MafiaRatings'!A:A</f>
        <v/>
      </c>
      <c r="B376" s="2"/>
      <c r="J376" s="89"/>
      <c r="K376" s="89"/>
      <c r="L376" s="90"/>
    </row>
    <row r="377">
      <c r="A377" s="88" t="str">
        <f>'Season 1 - MafiaRatings'!A:A</f>
        <v/>
      </c>
      <c r="B377" s="2"/>
      <c r="J377" s="89"/>
      <c r="K377" s="89"/>
      <c r="L377" s="90"/>
    </row>
    <row r="378">
      <c r="A378" s="88" t="str">
        <f>'Season 1 - MafiaRatings'!A:A</f>
        <v/>
      </c>
      <c r="B378" s="2"/>
      <c r="J378" s="89"/>
      <c r="K378" s="89"/>
      <c r="L378" s="90"/>
    </row>
    <row r="379">
      <c r="A379" s="88" t="str">
        <f>'Season 1 - MafiaRatings'!A:A</f>
        <v/>
      </c>
      <c r="B379" s="2"/>
      <c r="J379" s="89"/>
      <c r="K379" s="89"/>
      <c r="L379" s="90"/>
    </row>
    <row r="380">
      <c r="A380" s="88" t="str">
        <f>'Season 1 - MafiaRatings'!A:A</f>
        <v/>
      </c>
      <c r="B380" s="2"/>
      <c r="J380" s="89"/>
      <c r="K380" s="89"/>
      <c r="L380" s="90"/>
    </row>
    <row r="381">
      <c r="A381" s="88" t="str">
        <f>'Season 1 - MafiaRatings'!A:A</f>
        <v/>
      </c>
      <c r="B381" s="2"/>
      <c r="J381" s="89"/>
      <c r="K381" s="89"/>
      <c r="L381" s="90"/>
    </row>
    <row r="382">
      <c r="A382" s="88" t="str">
        <f>'Season 1 - MafiaRatings'!A:A</f>
        <v/>
      </c>
      <c r="B382" s="2"/>
      <c r="J382" s="89"/>
      <c r="K382" s="89"/>
      <c r="L382" s="90"/>
    </row>
    <row r="383">
      <c r="A383" s="88" t="str">
        <f>'Season 1 - MafiaRatings'!A:A</f>
        <v/>
      </c>
      <c r="B383" s="2"/>
      <c r="J383" s="89"/>
      <c r="K383" s="89"/>
      <c r="L383" s="90"/>
    </row>
    <row r="384">
      <c r="A384" s="88" t="str">
        <f>'Season 1 - MafiaRatings'!A:A</f>
        <v/>
      </c>
      <c r="B384" s="2"/>
      <c r="J384" s="89"/>
      <c r="K384" s="89"/>
      <c r="L384" s="90"/>
    </row>
    <row r="385">
      <c r="A385" s="88" t="str">
        <f>'Season 1 - MafiaRatings'!A:A</f>
        <v/>
      </c>
      <c r="B385" s="2"/>
      <c r="J385" s="89"/>
      <c r="K385" s="89"/>
      <c r="L385" s="90"/>
    </row>
    <row r="386">
      <c r="A386" s="88" t="str">
        <f>'Season 1 - MafiaRatings'!A:A</f>
        <v/>
      </c>
      <c r="B386" s="2"/>
      <c r="J386" s="89"/>
      <c r="K386" s="89"/>
      <c r="L386" s="90"/>
    </row>
    <row r="387">
      <c r="A387" s="88" t="str">
        <f>'Season 1 - MafiaRatings'!A:A</f>
        <v/>
      </c>
      <c r="B387" s="2"/>
      <c r="J387" s="89"/>
      <c r="K387" s="89"/>
      <c r="L387" s="90"/>
    </row>
    <row r="388">
      <c r="A388" s="88" t="str">
        <f>'Season 1 - MafiaRatings'!A:A</f>
        <v/>
      </c>
      <c r="B388" s="2"/>
      <c r="J388" s="89"/>
      <c r="K388" s="89"/>
      <c r="L388" s="90"/>
    </row>
    <row r="389">
      <c r="A389" s="88" t="str">
        <f>'Season 1 - MafiaRatings'!A:A</f>
        <v/>
      </c>
      <c r="B389" s="2"/>
      <c r="J389" s="89"/>
      <c r="K389" s="89"/>
      <c r="L389" s="90"/>
    </row>
    <row r="390">
      <c r="A390" s="88" t="str">
        <f>'Season 1 - MafiaRatings'!A:A</f>
        <v/>
      </c>
      <c r="B390" s="2"/>
      <c r="J390" s="89"/>
      <c r="K390" s="89"/>
      <c r="L390" s="90"/>
    </row>
    <row r="391">
      <c r="A391" s="88" t="str">
        <f>'Season 1 - MafiaRatings'!A:A</f>
        <v/>
      </c>
      <c r="B391" s="2"/>
      <c r="J391" s="89"/>
      <c r="K391" s="89"/>
      <c r="L391" s="90"/>
    </row>
    <row r="392">
      <c r="A392" s="88" t="str">
        <f>'Season 1 - MafiaRatings'!A:A</f>
        <v/>
      </c>
      <c r="B392" s="2"/>
      <c r="J392" s="89"/>
      <c r="K392" s="89"/>
      <c r="L392" s="90"/>
    </row>
    <row r="393">
      <c r="A393" s="88" t="str">
        <f>'Season 1 - MafiaRatings'!A:A</f>
        <v/>
      </c>
      <c r="B393" s="2"/>
      <c r="J393" s="89"/>
      <c r="K393" s="89"/>
      <c r="L393" s="90"/>
    </row>
    <row r="394">
      <c r="A394" s="88" t="str">
        <f>'Season 1 - MafiaRatings'!A:A</f>
        <v/>
      </c>
      <c r="B394" s="2"/>
      <c r="J394" s="89"/>
      <c r="K394" s="89"/>
      <c r="L394" s="90"/>
    </row>
    <row r="395">
      <c r="A395" s="88" t="str">
        <f>'Season 1 - MafiaRatings'!A:A</f>
        <v/>
      </c>
      <c r="B395" s="2"/>
      <c r="J395" s="89"/>
      <c r="K395" s="89"/>
      <c r="L395" s="90"/>
    </row>
    <row r="396">
      <c r="A396" s="88" t="str">
        <f>'Season 1 - MafiaRatings'!A:A</f>
        <v/>
      </c>
      <c r="B396" s="2"/>
      <c r="J396" s="89"/>
      <c r="K396" s="89"/>
      <c r="L396" s="90"/>
    </row>
    <row r="397">
      <c r="A397" s="88" t="str">
        <f>'Season 1 - MafiaRatings'!A:A</f>
        <v/>
      </c>
      <c r="B397" s="2"/>
      <c r="J397" s="89"/>
      <c r="K397" s="89"/>
      <c r="L397" s="90"/>
    </row>
    <row r="398">
      <c r="A398" s="88" t="str">
        <f>'Season 1 - MafiaRatings'!A:A</f>
        <v/>
      </c>
      <c r="B398" s="2"/>
      <c r="J398" s="89"/>
      <c r="K398" s="89"/>
      <c r="L398" s="90"/>
    </row>
    <row r="399">
      <c r="A399" s="88" t="str">
        <f>'Season 1 - MafiaRatings'!A:A</f>
        <v/>
      </c>
      <c r="B399" s="2"/>
      <c r="J399" s="89"/>
      <c r="K399" s="89"/>
      <c r="L399" s="90"/>
    </row>
    <row r="400">
      <c r="A400" s="88" t="str">
        <f>'Season 1 - MafiaRatings'!A:A</f>
        <v/>
      </c>
      <c r="B400" s="2"/>
      <c r="J400" s="89"/>
      <c r="K400" s="89"/>
      <c r="L400" s="90"/>
    </row>
    <row r="401">
      <c r="A401" s="88" t="str">
        <f>'Season 1 - MafiaRatings'!A:A</f>
        <v/>
      </c>
      <c r="B401" s="2"/>
      <c r="J401" s="89"/>
      <c r="K401" s="89"/>
      <c r="L401" s="90"/>
    </row>
    <row r="402">
      <c r="A402" s="88" t="str">
        <f>'Season 1 - MafiaRatings'!A:A</f>
        <v/>
      </c>
      <c r="B402" s="2"/>
      <c r="J402" s="89"/>
      <c r="K402" s="89"/>
      <c r="L402" s="90"/>
    </row>
    <row r="403">
      <c r="A403" s="88" t="str">
        <f>'Season 1 - MafiaRatings'!A:A</f>
        <v/>
      </c>
      <c r="B403" s="2"/>
      <c r="J403" s="89"/>
      <c r="K403" s="89"/>
      <c r="L403" s="90"/>
    </row>
    <row r="404">
      <c r="A404" s="88" t="str">
        <f>'Season 1 - MafiaRatings'!A:A</f>
        <v/>
      </c>
      <c r="B404" s="2"/>
      <c r="J404" s="89"/>
      <c r="K404" s="89"/>
      <c r="L404" s="90"/>
    </row>
    <row r="405">
      <c r="A405" s="88" t="str">
        <f>'Season 1 - MafiaRatings'!A:A</f>
        <v/>
      </c>
      <c r="B405" s="2"/>
      <c r="J405" s="89"/>
      <c r="K405" s="89"/>
      <c r="L405" s="90"/>
    </row>
    <row r="406">
      <c r="A406" s="88" t="str">
        <f>'Season 1 - MafiaRatings'!A:A</f>
        <v/>
      </c>
      <c r="B406" s="2"/>
      <c r="J406" s="89"/>
      <c r="K406" s="89"/>
      <c r="L406" s="90"/>
    </row>
    <row r="407">
      <c r="A407" s="88" t="str">
        <f>'Season 1 - MafiaRatings'!A:A</f>
        <v/>
      </c>
      <c r="B407" s="2"/>
      <c r="J407" s="89"/>
      <c r="K407" s="89"/>
      <c r="L407" s="90"/>
    </row>
    <row r="408">
      <c r="A408" s="88" t="str">
        <f>'Season 1 - MafiaRatings'!A:A</f>
        <v/>
      </c>
      <c r="B408" s="2"/>
      <c r="J408" s="89"/>
      <c r="K408" s="89"/>
      <c r="L408" s="90"/>
    </row>
    <row r="409">
      <c r="A409" s="88" t="str">
        <f>'Season 1 - MafiaRatings'!A:A</f>
        <v/>
      </c>
      <c r="B409" s="2"/>
      <c r="J409" s="89"/>
      <c r="K409" s="89"/>
      <c r="L409" s="90"/>
    </row>
    <row r="410">
      <c r="A410" s="88" t="str">
        <f>'Season 1 - MafiaRatings'!A:A</f>
        <v/>
      </c>
      <c r="B410" s="2"/>
      <c r="J410" s="89"/>
      <c r="K410" s="89"/>
      <c r="L410" s="90"/>
    </row>
    <row r="411">
      <c r="A411" s="88" t="str">
        <f>'Season 1 - MafiaRatings'!A:A</f>
        <v/>
      </c>
      <c r="B411" s="2"/>
      <c r="J411" s="89"/>
      <c r="K411" s="89"/>
      <c r="L411" s="90"/>
    </row>
    <row r="412">
      <c r="A412" s="88" t="str">
        <f>'Season 1 - MafiaRatings'!A:A</f>
        <v/>
      </c>
      <c r="B412" s="2"/>
      <c r="J412" s="89"/>
      <c r="K412" s="89"/>
      <c r="L412" s="90"/>
    </row>
    <row r="413">
      <c r="A413" s="88" t="str">
        <f>'Season 1 - MafiaRatings'!A:A</f>
        <v/>
      </c>
      <c r="B413" s="2"/>
      <c r="J413" s="89"/>
      <c r="K413" s="89"/>
      <c r="L413" s="90"/>
    </row>
    <row r="414">
      <c r="A414" s="88" t="str">
        <f>'Season 1 - MafiaRatings'!A:A</f>
        <v/>
      </c>
      <c r="B414" s="2"/>
      <c r="J414" s="89"/>
      <c r="K414" s="89"/>
      <c r="L414" s="90"/>
    </row>
    <row r="415">
      <c r="A415" s="88" t="str">
        <f>'Season 1 - MafiaRatings'!A:A</f>
        <v/>
      </c>
      <c r="B415" s="2"/>
      <c r="J415" s="89"/>
      <c r="K415" s="89"/>
      <c r="L415" s="90"/>
    </row>
    <row r="416">
      <c r="A416" s="88" t="str">
        <f>'Season 1 - MafiaRatings'!A:A</f>
        <v/>
      </c>
      <c r="B416" s="2"/>
      <c r="J416" s="89"/>
      <c r="K416" s="89"/>
      <c r="L416" s="90"/>
    </row>
    <row r="417">
      <c r="A417" s="88" t="str">
        <f>'Season 1 - MafiaRatings'!A:A</f>
        <v/>
      </c>
      <c r="B417" s="2"/>
      <c r="J417" s="89"/>
      <c r="K417" s="89"/>
      <c r="L417" s="90"/>
    </row>
    <row r="418">
      <c r="A418" s="88" t="str">
        <f>'Season 1 - MafiaRatings'!A:A</f>
        <v/>
      </c>
      <c r="B418" s="2"/>
      <c r="J418" s="89"/>
      <c r="K418" s="89"/>
      <c r="L418" s="90"/>
    </row>
    <row r="419">
      <c r="A419" s="88" t="str">
        <f>'Season 1 - MafiaRatings'!A:A</f>
        <v/>
      </c>
      <c r="B419" s="2"/>
      <c r="J419" s="89"/>
      <c r="K419" s="89"/>
      <c r="L419" s="90"/>
    </row>
    <row r="420">
      <c r="A420" s="88" t="str">
        <f>'Season 1 - MafiaRatings'!A:A</f>
        <v/>
      </c>
      <c r="B420" s="2"/>
      <c r="J420" s="89"/>
      <c r="K420" s="89"/>
      <c r="L420" s="90"/>
    </row>
    <row r="421">
      <c r="A421" s="88" t="str">
        <f>'Season 1 - MafiaRatings'!A:A</f>
        <v/>
      </c>
      <c r="B421" s="2"/>
      <c r="J421" s="89"/>
      <c r="K421" s="89"/>
      <c r="L421" s="90"/>
    </row>
    <row r="422">
      <c r="A422" s="88" t="str">
        <f>'Season 1 - MafiaRatings'!A:A</f>
        <v/>
      </c>
      <c r="B422" s="2"/>
      <c r="J422" s="89"/>
      <c r="K422" s="89"/>
      <c r="L422" s="90"/>
    </row>
    <row r="423">
      <c r="A423" s="88" t="str">
        <f>'Season 1 - MafiaRatings'!A:A</f>
        <v/>
      </c>
      <c r="B423" s="2"/>
      <c r="J423" s="89"/>
      <c r="K423" s="89"/>
      <c r="L423" s="90"/>
    </row>
    <row r="424">
      <c r="A424" s="88" t="str">
        <f>'Season 1 - MafiaRatings'!A:A</f>
        <v/>
      </c>
      <c r="B424" s="2"/>
      <c r="J424" s="89"/>
      <c r="K424" s="89"/>
      <c r="L424" s="90"/>
    </row>
    <row r="425">
      <c r="A425" s="88" t="str">
        <f>'Season 1 - MafiaRatings'!A:A</f>
        <v/>
      </c>
      <c r="B425" s="2"/>
      <c r="J425" s="89"/>
      <c r="K425" s="89"/>
      <c r="L425" s="90"/>
    </row>
    <row r="426">
      <c r="A426" s="88" t="str">
        <f>'Season 1 - MafiaRatings'!A:A</f>
        <v/>
      </c>
      <c r="B426" s="2"/>
      <c r="J426" s="89"/>
      <c r="K426" s="89"/>
      <c r="L426" s="90"/>
    </row>
    <row r="427">
      <c r="A427" s="88" t="str">
        <f>'Season 1 - MafiaRatings'!A:A</f>
        <v/>
      </c>
      <c r="B427" s="2"/>
      <c r="J427" s="89"/>
      <c r="K427" s="89"/>
      <c r="L427" s="90"/>
    </row>
    <row r="428">
      <c r="A428" s="88" t="str">
        <f>'Season 1 - MafiaRatings'!A:A</f>
        <v/>
      </c>
      <c r="B428" s="2"/>
      <c r="J428" s="89"/>
      <c r="K428" s="89"/>
      <c r="L428" s="90"/>
    </row>
    <row r="429">
      <c r="A429" s="88" t="str">
        <f>'Season 1 - MafiaRatings'!A:A</f>
        <v/>
      </c>
      <c r="B429" s="2"/>
      <c r="J429" s="89"/>
      <c r="K429" s="89"/>
      <c r="L429" s="90"/>
    </row>
    <row r="430">
      <c r="A430" s="88" t="str">
        <f>'Season 1 - MafiaRatings'!A:A</f>
        <v/>
      </c>
      <c r="B430" s="2"/>
      <c r="J430" s="89"/>
      <c r="K430" s="89"/>
      <c r="L430" s="90"/>
    </row>
    <row r="431">
      <c r="A431" s="88" t="str">
        <f>'Season 1 - MafiaRatings'!A:A</f>
        <v/>
      </c>
      <c r="B431" s="2"/>
      <c r="J431" s="89"/>
      <c r="K431" s="89"/>
      <c r="L431" s="90"/>
    </row>
    <row r="432">
      <c r="A432" s="88" t="str">
        <f>'Season 1 - MafiaRatings'!A:A</f>
        <v/>
      </c>
      <c r="B432" s="2"/>
      <c r="J432" s="89"/>
      <c r="K432" s="89"/>
      <c r="L432" s="90"/>
    </row>
    <row r="433">
      <c r="A433" s="88" t="str">
        <f>'Season 1 - MafiaRatings'!A:A</f>
        <v/>
      </c>
      <c r="B433" s="2"/>
      <c r="J433" s="89"/>
      <c r="K433" s="89"/>
      <c r="L433" s="90"/>
    </row>
    <row r="434">
      <c r="A434" s="88" t="str">
        <f>'Season 1 - MafiaRatings'!A:A</f>
        <v/>
      </c>
      <c r="B434" s="2"/>
      <c r="J434" s="89"/>
      <c r="K434" s="89"/>
      <c r="L434" s="90"/>
    </row>
    <row r="435">
      <c r="A435" s="88" t="str">
        <f>'Season 1 - MafiaRatings'!A:A</f>
        <v/>
      </c>
      <c r="B435" s="2"/>
      <c r="J435" s="89"/>
      <c r="K435" s="89"/>
      <c r="L435" s="90"/>
    </row>
    <row r="436">
      <c r="A436" s="88" t="str">
        <f>'Season 1 - MafiaRatings'!A:A</f>
        <v/>
      </c>
      <c r="B436" s="2"/>
      <c r="J436" s="89"/>
      <c r="K436" s="89"/>
      <c r="L436" s="90"/>
    </row>
    <row r="437">
      <c r="A437" s="88" t="str">
        <f>'Season 1 - MafiaRatings'!A:A</f>
        <v/>
      </c>
      <c r="B437" s="2"/>
      <c r="J437" s="89"/>
      <c r="K437" s="89"/>
      <c r="L437" s="90"/>
    </row>
    <row r="438">
      <c r="A438" s="88" t="str">
        <f>'Season 1 - MafiaRatings'!A:A</f>
        <v/>
      </c>
      <c r="B438" s="2"/>
      <c r="J438" s="89"/>
      <c r="K438" s="89"/>
      <c r="L438" s="90"/>
    </row>
    <row r="439">
      <c r="A439" s="88" t="str">
        <f>'Season 1 - MafiaRatings'!A:A</f>
        <v/>
      </c>
      <c r="B439" s="2"/>
      <c r="J439" s="89"/>
      <c r="K439" s="89"/>
      <c r="L439" s="90"/>
    </row>
    <row r="440">
      <c r="A440" s="88" t="str">
        <f>'Season 1 - MafiaRatings'!A:A</f>
        <v/>
      </c>
      <c r="B440" s="2"/>
      <c r="J440" s="89"/>
      <c r="K440" s="89"/>
      <c r="L440" s="90"/>
    </row>
    <row r="441">
      <c r="A441" s="88" t="str">
        <f>'Season 1 - MafiaRatings'!A:A</f>
        <v/>
      </c>
      <c r="B441" s="2"/>
      <c r="J441" s="89"/>
      <c r="K441" s="89"/>
      <c r="L441" s="90"/>
    </row>
    <row r="442">
      <c r="A442" s="88" t="str">
        <f>'Season 1 - MafiaRatings'!A:A</f>
        <v/>
      </c>
      <c r="B442" s="2"/>
      <c r="J442" s="89"/>
      <c r="K442" s="89"/>
      <c r="L442" s="90"/>
    </row>
    <row r="443">
      <c r="A443" s="88" t="str">
        <f>'Season 1 - MafiaRatings'!A:A</f>
        <v/>
      </c>
      <c r="B443" s="2"/>
      <c r="J443" s="89"/>
      <c r="K443" s="89"/>
      <c r="L443" s="90"/>
    </row>
    <row r="444">
      <c r="A444" s="88" t="str">
        <f>'Season 1 - MafiaRatings'!A:A</f>
        <v/>
      </c>
      <c r="B444" s="2"/>
      <c r="J444" s="89"/>
      <c r="K444" s="89"/>
      <c r="L444" s="90"/>
    </row>
    <row r="445">
      <c r="A445" s="88" t="str">
        <f>'Season 1 - MafiaRatings'!A:A</f>
        <v/>
      </c>
      <c r="B445" s="2"/>
      <c r="J445" s="89"/>
      <c r="K445" s="89"/>
      <c r="L445" s="90"/>
    </row>
    <row r="446">
      <c r="A446" s="88" t="str">
        <f>'Season 1 - MafiaRatings'!A:A</f>
        <v/>
      </c>
      <c r="B446" s="2"/>
      <c r="J446" s="89"/>
      <c r="K446" s="89"/>
      <c r="L446" s="90"/>
    </row>
    <row r="447">
      <c r="A447" s="88" t="str">
        <f>'Season 1 - MafiaRatings'!A:A</f>
        <v/>
      </c>
      <c r="B447" s="2"/>
      <c r="J447" s="89"/>
      <c r="K447" s="89"/>
      <c r="L447" s="90"/>
    </row>
    <row r="448">
      <c r="A448" s="88" t="str">
        <f>'Season 1 - MafiaRatings'!A:A</f>
        <v/>
      </c>
      <c r="B448" s="2"/>
      <c r="J448" s="89"/>
      <c r="K448" s="89"/>
      <c r="L448" s="90"/>
    </row>
    <row r="449">
      <c r="A449" s="88" t="str">
        <f>'Season 1 - MafiaRatings'!A:A</f>
        <v/>
      </c>
      <c r="B449" s="2"/>
      <c r="J449" s="89"/>
      <c r="K449" s="89"/>
      <c r="L449" s="90"/>
    </row>
    <row r="450">
      <c r="A450" s="88" t="str">
        <f>'Season 1 - MafiaRatings'!A:A</f>
        <v/>
      </c>
      <c r="B450" s="2"/>
      <c r="J450" s="89"/>
      <c r="K450" s="89"/>
      <c r="L450" s="90"/>
    </row>
    <row r="451">
      <c r="A451" s="88" t="str">
        <f>'Season 1 - MafiaRatings'!A:A</f>
        <v/>
      </c>
      <c r="B451" s="2"/>
      <c r="J451" s="89"/>
      <c r="K451" s="89"/>
      <c r="L451" s="90"/>
    </row>
    <row r="452">
      <c r="A452" s="88" t="str">
        <f>'Season 1 - MafiaRatings'!A:A</f>
        <v/>
      </c>
      <c r="B452" s="2"/>
      <c r="J452" s="89"/>
      <c r="K452" s="89"/>
      <c r="L452" s="90"/>
    </row>
    <row r="453">
      <c r="A453" s="88" t="str">
        <f>'Season 1 - MafiaRatings'!A:A</f>
        <v/>
      </c>
      <c r="B453" s="2"/>
      <c r="J453" s="89"/>
      <c r="K453" s="89"/>
      <c r="L453" s="90"/>
    </row>
    <row r="454">
      <c r="A454" s="88" t="str">
        <f>'Season 1 - MafiaRatings'!A:A</f>
        <v/>
      </c>
      <c r="B454" s="2"/>
      <c r="J454" s="89"/>
      <c r="K454" s="89"/>
      <c r="L454" s="90"/>
    </row>
    <row r="455">
      <c r="A455" s="88" t="str">
        <f>'Season 1 - MafiaRatings'!A:A</f>
        <v/>
      </c>
      <c r="B455" s="2"/>
      <c r="J455" s="89"/>
      <c r="K455" s="89"/>
      <c r="L455" s="90"/>
    </row>
    <row r="456">
      <c r="A456" s="88" t="str">
        <f>'Season 1 - MafiaRatings'!A:A</f>
        <v/>
      </c>
      <c r="B456" s="2"/>
      <c r="J456" s="89"/>
      <c r="K456" s="89"/>
      <c r="L456" s="90"/>
    </row>
    <row r="457">
      <c r="A457" s="88" t="str">
        <f>'Season 1 - MafiaRatings'!A:A</f>
        <v/>
      </c>
      <c r="B457" s="2"/>
      <c r="J457" s="89"/>
      <c r="K457" s="89"/>
      <c r="L457" s="90"/>
    </row>
    <row r="458">
      <c r="A458" s="88" t="str">
        <f>'Season 1 - MafiaRatings'!A:A</f>
        <v/>
      </c>
      <c r="B458" s="2"/>
      <c r="J458" s="89"/>
      <c r="K458" s="89"/>
      <c r="L458" s="90"/>
    </row>
    <row r="459">
      <c r="A459" s="88" t="str">
        <f>'Season 1 - MafiaRatings'!A:A</f>
        <v/>
      </c>
      <c r="B459" s="2"/>
      <c r="J459" s="89"/>
      <c r="K459" s="89"/>
      <c r="L459" s="90"/>
    </row>
    <row r="460">
      <c r="A460" s="88" t="str">
        <f>'Season 1 - MafiaRatings'!A:A</f>
        <v/>
      </c>
      <c r="B460" s="2"/>
      <c r="J460" s="89"/>
      <c r="K460" s="89"/>
      <c r="L460" s="90"/>
    </row>
    <row r="461">
      <c r="A461" s="88" t="str">
        <f>'Season 1 - MafiaRatings'!A:A</f>
        <v/>
      </c>
      <c r="B461" s="2"/>
      <c r="J461" s="89"/>
      <c r="K461" s="89"/>
      <c r="L461" s="90"/>
    </row>
    <row r="462">
      <c r="A462" s="88" t="str">
        <f>'Season 1 - MafiaRatings'!A:A</f>
        <v/>
      </c>
      <c r="B462" s="2"/>
      <c r="J462" s="89"/>
      <c r="K462" s="89"/>
      <c r="L462" s="90"/>
    </row>
    <row r="463">
      <c r="A463" s="88" t="str">
        <f>'Season 1 - MafiaRatings'!A:A</f>
        <v/>
      </c>
      <c r="B463" s="2"/>
      <c r="J463" s="89"/>
      <c r="K463" s="89"/>
      <c r="L463" s="90"/>
    </row>
    <row r="464">
      <c r="A464" s="88" t="str">
        <f>'Season 1 - MafiaRatings'!A:A</f>
        <v/>
      </c>
      <c r="B464" s="2"/>
      <c r="J464" s="89"/>
      <c r="K464" s="89"/>
      <c r="L464" s="90"/>
    </row>
    <row r="465">
      <c r="A465" s="88" t="str">
        <f>'Season 1 - MafiaRatings'!A:A</f>
        <v/>
      </c>
      <c r="B465" s="2"/>
      <c r="J465" s="89"/>
      <c r="K465" s="89"/>
      <c r="L465" s="90"/>
    </row>
    <row r="466">
      <c r="A466" s="88" t="str">
        <f>'Season 1 - MafiaRatings'!A:A</f>
        <v/>
      </c>
      <c r="B466" s="2"/>
      <c r="J466" s="89"/>
      <c r="K466" s="89"/>
      <c r="L466" s="90"/>
    </row>
    <row r="467">
      <c r="A467" s="88" t="str">
        <f>'Season 1 - MafiaRatings'!A:A</f>
        <v/>
      </c>
      <c r="B467" s="2"/>
      <c r="J467" s="89"/>
      <c r="K467" s="89"/>
      <c r="L467" s="90"/>
    </row>
    <row r="468">
      <c r="A468" s="88" t="str">
        <f>'Season 1 - MafiaRatings'!A:A</f>
        <v/>
      </c>
      <c r="B468" s="2"/>
      <c r="J468" s="89"/>
      <c r="K468" s="89"/>
      <c r="L468" s="90"/>
    </row>
    <row r="469">
      <c r="A469" s="88" t="str">
        <f>'Season 1 - MafiaRatings'!A:A</f>
        <v/>
      </c>
      <c r="B469" s="2"/>
      <c r="J469" s="89"/>
      <c r="K469" s="89"/>
      <c r="L469" s="90"/>
    </row>
    <row r="470">
      <c r="A470" s="88" t="str">
        <f>'Season 1 - MafiaRatings'!A:A</f>
        <v/>
      </c>
      <c r="B470" s="2"/>
      <c r="J470" s="89"/>
      <c r="K470" s="89"/>
      <c r="L470" s="90"/>
    </row>
    <row r="471">
      <c r="A471" s="88" t="str">
        <f>'Season 1 - MafiaRatings'!A:A</f>
        <v/>
      </c>
      <c r="B471" s="2"/>
      <c r="J471" s="89"/>
      <c r="K471" s="89"/>
      <c r="L471" s="90"/>
    </row>
    <row r="472">
      <c r="A472" s="88" t="str">
        <f>'Season 1 - MafiaRatings'!A:A</f>
        <v/>
      </c>
      <c r="B472" s="2"/>
      <c r="J472" s="89"/>
      <c r="K472" s="89"/>
      <c r="L472" s="90"/>
    </row>
    <row r="473">
      <c r="A473" s="88" t="str">
        <f>'Season 1 - MafiaRatings'!A:A</f>
        <v/>
      </c>
      <c r="B473" s="2"/>
      <c r="J473" s="89"/>
      <c r="K473" s="89"/>
      <c r="L473" s="90"/>
    </row>
    <row r="474">
      <c r="A474" s="88" t="str">
        <f>'Season 1 - MafiaRatings'!A:A</f>
        <v/>
      </c>
      <c r="B474" s="2"/>
      <c r="J474" s="89"/>
      <c r="K474" s="89"/>
      <c r="L474" s="90"/>
    </row>
    <row r="475">
      <c r="A475" s="88" t="str">
        <f>'Season 1 - MafiaRatings'!A:A</f>
        <v/>
      </c>
      <c r="B475" s="2"/>
      <c r="J475" s="89"/>
      <c r="K475" s="89"/>
      <c r="L475" s="90"/>
    </row>
    <row r="476">
      <c r="A476" s="88" t="str">
        <f>'Season 1 - MafiaRatings'!A:A</f>
        <v/>
      </c>
      <c r="B476" s="2"/>
      <c r="J476" s="89"/>
      <c r="K476" s="89"/>
      <c r="L476" s="90"/>
    </row>
    <row r="477">
      <c r="A477" s="88" t="str">
        <f>'Season 1 - MafiaRatings'!A:A</f>
        <v/>
      </c>
      <c r="B477" s="2"/>
      <c r="J477" s="89"/>
      <c r="K477" s="89"/>
      <c r="L477" s="90"/>
    </row>
    <row r="478">
      <c r="A478" s="88" t="str">
        <f>'Season 1 - MafiaRatings'!A:A</f>
        <v/>
      </c>
      <c r="B478" s="2"/>
      <c r="J478" s="89"/>
      <c r="K478" s="89"/>
      <c r="L478" s="90"/>
    </row>
    <row r="479">
      <c r="A479" s="88" t="str">
        <f>'Season 1 - MafiaRatings'!A:A</f>
        <v/>
      </c>
      <c r="B479" s="2"/>
      <c r="J479" s="89"/>
      <c r="K479" s="89"/>
      <c r="L479" s="90"/>
    </row>
    <row r="480">
      <c r="A480" s="88" t="str">
        <f>'Season 1 - MafiaRatings'!A:A</f>
        <v/>
      </c>
      <c r="B480" s="2"/>
      <c r="J480" s="89"/>
      <c r="K480" s="89"/>
      <c r="L480" s="90"/>
    </row>
    <row r="481">
      <c r="A481" s="88" t="str">
        <f>'Season 1 - MafiaRatings'!A:A</f>
        <v/>
      </c>
      <c r="B481" s="2"/>
      <c r="J481" s="89"/>
      <c r="K481" s="89"/>
      <c r="L481" s="90"/>
    </row>
    <row r="482">
      <c r="A482" s="88" t="str">
        <f>'Season 1 - MafiaRatings'!A:A</f>
        <v/>
      </c>
      <c r="B482" s="2"/>
      <c r="J482" s="89"/>
      <c r="K482" s="89"/>
      <c r="L482" s="90"/>
    </row>
    <row r="483">
      <c r="A483" s="88" t="str">
        <f>'Season 1 - MafiaRatings'!A:A</f>
        <v/>
      </c>
      <c r="B483" s="2"/>
      <c r="J483" s="89"/>
      <c r="K483" s="89"/>
      <c r="L483" s="90"/>
    </row>
    <row r="484">
      <c r="A484" s="88" t="str">
        <f>'Season 1 - MafiaRatings'!A:A</f>
        <v/>
      </c>
      <c r="B484" s="2"/>
      <c r="J484" s="89"/>
      <c r="K484" s="89"/>
      <c r="L484" s="90"/>
    </row>
    <row r="485">
      <c r="A485" s="88" t="str">
        <f>'Season 1 - MafiaRatings'!A:A</f>
        <v/>
      </c>
      <c r="B485" s="2"/>
      <c r="J485" s="89"/>
      <c r="K485" s="89"/>
      <c r="L485" s="90"/>
    </row>
    <row r="486">
      <c r="A486" s="88" t="str">
        <f>'Season 1 - MafiaRatings'!A:A</f>
        <v/>
      </c>
      <c r="B486" s="2"/>
      <c r="J486" s="89"/>
      <c r="K486" s="89"/>
      <c r="L486" s="90"/>
    </row>
    <row r="487">
      <c r="A487" s="88" t="str">
        <f>'Season 1 - MafiaRatings'!A:A</f>
        <v/>
      </c>
      <c r="B487" s="2"/>
      <c r="J487" s="89"/>
      <c r="K487" s="89"/>
      <c r="L487" s="90"/>
    </row>
    <row r="488">
      <c r="A488" s="88" t="str">
        <f>'Season 1 - MafiaRatings'!A:A</f>
        <v/>
      </c>
      <c r="B488" s="2"/>
      <c r="J488" s="89"/>
      <c r="K488" s="89"/>
      <c r="L488" s="90"/>
    </row>
    <row r="489">
      <c r="A489" s="88" t="str">
        <f>'Season 1 - MafiaRatings'!A:A</f>
        <v/>
      </c>
      <c r="B489" s="2"/>
      <c r="J489" s="89"/>
      <c r="K489" s="89"/>
      <c r="L489" s="90"/>
    </row>
    <row r="490">
      <c r="A490" s="88" t="str">
        <f>'Season 1 - MafiaRatings'!A:A</f>
        <v/>
      </c>
      <c r="B490" s="2"/>
      <c r="J490" s="89"/>
      <c r="K490" s="89"/>
      <c r="L490" s="90"/>
    </row>
    <row r="491">
      <c r="A491" s="88" t="str">
        <f>'Season 1 - MafiaRatings'!A:A</f>
        <v/>
      </c>
      <c r="B491" s="2"/>
      <c r="J491" s="89"/>
      <c r="K491" s="89"/>
      <c r="L491" s="90"/>
    </row>
    <row r="492">
      <c r="A492" s="88" t="str">
        <f>'Season 1 - MafiaRatings'!A:A</f>
        <v/>
      </c>
      <c r="B492" s="2"/>
      <c r="J492" s="89"/>
      <c r="K492" s="89"/>
      <c r="L492" s="90"/>
    </row>
    <row r="493">
      <c r="A493" s="88" t="str">
        <f>'Season 1 - MafiaRatings'!A:A</f>
        <v/>
      </c>
      <c r="B493" s="2"/>
      <c r="J493" s="89"/>
      <c r="K493" s="89"/>
      <c r="L493" s="90"/>
    </row>
    <row r="494">
      <c r="A494" s="88" t="str">
        <f>'Season 1 - MafiaRatings'!A:A</f>
        <v/>
      </c>
      <c r="B494" s="2"/>
      <c r="J494" s="89"/>
      <c r="K494" s="89"/>
      <c r="L494" s="90"/>
    </row>
    <row r="495">
      <c r="A495" s="88" t="str">
        <f>'Season 1 - MafiaRatings'!A:A</f>
        <v/>
      </c>
      <c r="B495" s="2"/>
      <c r="J495" s="89"/>
      <c r="K495" s="89"/>
      <c r="L495" s="90"/>
    </row>
    <row r="496">
      <c r="A496" s="88" t="str">
        <f>'Season 1 - MafiaRatings'!A:A</f>
        <v/>
      </c>
      <c r="B496" s="2"/>
      <c r="J496" s="89"/>
      <c r="K496" s="89"/>
      <c r="L496" s="90"/>
    </row>
    <row r="497">
      <c r="A497" s="88" t="str">
        <f>'Season 1 - MafiaRatings'!A:A</f>
        <v/>
      </c>
      <c r="B497" s="2"/>
      <c r="J497" s="89"/>
      <c r="K497" s="89"/>
      <c r="L497" s="90"/>
    </row>
    <row r="498">
      <c r="A498" s="88" t="str">
        <f>'Season 1 - MafiaRatings'!A:A</f>
        <v/>
      </c>
      <c r="B498" s="2"/>
      <c r="J498" s="89"/>
      <c r="K498" s="89"/>
      <c r="L498" s="90"/>
    </row>
    <row r="499">
      <c r="A499" s="88" t="str">
        <f>'Season 1 - MafiaRatings'!A:A</f>
        <v/>
      </c>
      <c r="B499" s="2"/>
      <c r="J499" s="89"/>
      <c r="K499" s="89"/>
      <c r="L499" s="90"/>
    </row>
    <row r="500">
      <c r="A500" s="88" t="str">
        <f>'Season 1 - MafiaRatings'!A:A</f>
        <v/>
      </c>
      <c r="B500" s="2"/>
      <c r="J500" s="89"/>
      <c r="K500" s="89"/>
      <c r="L500" s="90"/>
    </row>
    <row r="501">
      <c r="A501" s="88" t="str">
        <f>'Season 1 - MafiaRatings'!A:A</f>
        <v/>
      </c>
      <c r="B501" s="2"/>
      <c r="J501" s="89"/>
      <c r="K501" s="89"/>
      <c r="L501" s="90"/>
    </row>
    <row r="502">
      <c r="A502" s="88" t="str">
        <f>'Season 1 - MafiaRatings'!A:A</f>
        <v/>
      </c>
      <c r="B502" s="2"/>
      <c r="J502" s="89"/>
      <c r="K502" s="89"/>
      <c r="L502" s="90"/>
    </row>
    <row r="503">
      <c r="A503" s="88" t="str">
        <f>'Season 1 - MafiaRatings'!A:A</f>
        <v/>
      </c>
      <c r="B503" s="2"/>
      <c r="J503" s="89"/>
      <c r="K503" s="89"/>
      <c r="L503" s="90"/>
    </row>
    <row r="504">
      <c r="A504" s="88" t="str">
        <f>'Season 1 - MafiaRatings'!A:A</f>
        <v/>
      </c>
      <c r="B504" s="2"/>
      <c r="J504" s="89"/>
      <c r="K504" s="89"/>
      <c r="L504" s="90"/>
    </row>
    <row r="505">
      <c r="A505" s="88" t="str">
        <f>'Season 1 - MafiaRatings'!A:A</f>
        <v/>
      </c>
      <c r="B505" s="2"/>
      <c r="J505" s="89"/>
      <c r="K505" s="89"/>
      <c r="L505" s="90"/>
    </row>
    <row r="506">
      <c r="A506" s="88" t="str">
        <f>'Season 1 - MafiaRatings'!A:A</f>
        <v/>
      </c>
      <c r="B506" s="2"/>
      <c r="J506" s="89"/>
      <c r="K506" s="89"/>
      <c r="L506" s="90"/>
    </row>
    <row r="507">
      <c r="A507" s="88" t="str">
        <f>'Season 1 - MafiaRatings'!A:A</f>
        <v/>
      </c>
      <c r="B507" s="2"/>
      <c r="J507" s="89"/>
      <c r="K507" s="89"/>
      <c r="L507" s="90"/>
    </row>
    <row r="508">
      <c r="A508" s="88" t="str">
        <f>'Season 1 - MafiaRatings'!A:A</f>
        <v/>
      </c>
      <c r="B508" s="2"/>
      <c r="J508" s="89"/>
      <c r="K508" s="89"/>
      <c r="L508" s="90"/>
    </row>
    <row r="509">
      <c r="A509" s="88" t="str">
        <f>'Season 1 - MafiaRatings'!A:A</f>
        <v/>
      </c>
      <c r="B509" s="2"/>
      <c r="J509" s="89"/>
      <c r="K509" s="89"/>
      <c r="L509" s="90"/>
    </row>
    <row r="510">
      <c r="A510" s="88" t="str">
        <f>'Season 1 - MafiaRatings'!A:A</f>
        <v/>
      </c>
      <c r="B510" s="2"/>
      <c r="J510" s="89"/>
      <c r="K510" s="89"/>
      <c r="L510" s="90"/>
    </row>
    <row r="511">
      <c r="A511" s="88" t="str">
        <f>'Season 1 - MafiaRatings'!A:A</f>
        <v/>
      </c>
      <c r="B511" s="2"/>
      <c r="J511" s="89"/>
      <c r="K511" s="89"/>
      <c r="L511" s="90"/>
    </row>
    <row r="512">
      <c r="A512" s="88" t="str">
        <f>'Season 1 - MafiaRatings'!A:A</f>
        <v/>
      </c>
      <c r="B512" s="2"/>
      <c r="J512" s="89"/>
      <c r="K512" s="89"/>
      <c r="L512" s="90"/>
    </row>
    <row r="513">
      <c r="A513" s="88" t="str">
        <f>'Season 1 - MafiaRatings'!A:A</f>
        <v/>
      </c>
      <c r="B513" s="2"/>
      <c r="J513" s="89"/>
      <c r="K513" s="89"/>
      <c r="L513" s="90"/>
    </row>
    <row r="514">
      <c r="A514" s="88" t="str">
        <f>'Season 1 - MafiaRatings'!A:A</f>
        <v/>
      </c>
      <c r="B514" s="2"/>
      <c r="J514" s="89"/>
      <c r="K514" s="89"/>
      <c r="L514" s="90"/>
    </row>
    <row r="515">
      <c r="A515" s="88" t="str">
        <f>'Season 1 - MafiaRatings'!A:A</f>
        <v/>
      </c>
      <c r="B515" s="2"/>
      <c r="J515" s="89"/>
      <c r="K515" s="89"/>
      <c r="L515" s="90"/>
    </row>
    <row r="516">
      <c r="A516" s="88" t="str">
        <f>'Season 1 - MafiaRatings'!A:A</f>
        <v/>
      </c>
      <c r="B516" s="2"/>
      <c r="J516" s="89"/>
      <c r="K516" s="89"/>
      <c r="L516" s="90"/>
    </row>
    <row r="517">
      <c r="A517" s="88" t="str">
        <f>'Season 1 - MafiaRatings'!A:A</f>
        <v/>
      </c>
      <c r="B517" s="2"/>
      <c r="J517" s="89"/>
      <c r="K517" s="89"/>
      <c r="L517" s="90"/>
    </row>
    <row r="518">
      <c r="A518" s="88" t="str">
        <f>'Season 1 - MafiaRatings'!A:A</f>
        <v/>
      </c>
      <c r="B518" s="2"/>
      <c r="J518" s="89"/>
      <c r="K518" s="89"/>
      <c r="L518" s="90"/>
    </row>
    <row r="519">
      <c r="A519" s="88" t="str">
        <f>'Season 1 - MafiaRatings'!A:A</f>
        <v/>
      </c>
      <c r="B519" s="2"/>
      <c r="J519" s="89"/>
      <c r="K519" s="89"/>
      <c r="L519" s="90"/>
    </row>
    <row r="520">
      <c r="A520" s="88" t="str">
        <f>'Season 1 - MafiaRatings'!A:A</f>
        <v/>
      </c>
      <c r="B520" s="2"/>
      <c r="J520" s="89"/>
      <c r="K520" s="89"/>
      <c r="L520" s="90"/>
    </row>
    <row r="521">
      <c r="A521" s="88" t="str">
        <f>'Season 1 - MafiaRatings'!A:A</f>
        <v/>
      </c>
      <c r="B521" s="2"/>
      <c r="J521" s="89"/>
      <c r="K521" s="89"/>
      <c r="L521" s="90"/>
    </row>
    <row r="522">
      <c r="A522" s="88" t="str">
        <f>'Season 1 - MafiaRatings'!A:A</f>
        <v/>
      </c>
      <c r="B522" s="2"/>
      <c r="J522" s="89"/>
      <c r="K522" s="89"/>
      <c r="L522" s="90"/>
    </row>
    <row r="523">
      <c r="A523" s="88" t="str">
        <f>'Season 1 - MafiaRatings'!A:A</f>
        <v/>
      </c>
      <c r="B523" s="2"/>
      <c r="J523" s="89"/>
      <c r="K523" s="89"/>
      <c r="L523" s="90"/>
    </row>
    <row r="524">
      <c r="A524" s="88" t="str">
        <f>'Season 1 - MafiaRatings'!A:A</f>
        <v/>
      </c>
      <c r="B524" s="2"/>
      <c r="J524" s="89"/>
      <c r="K524" s="89"/>
      <c r="L524" s="90"/>
    </row>
    <row r="525">
      <c r="A525" s="88" t="str">
        <f>'Season 1 - MafiaRatings'!A:A</f>
        <v/>
      </c>
      <c r="B525" s="2"/>
      <c r="J525" s="89"/>
      <c r="K525" s="89"/>
      <c r="L525" s="90"/>
    </row>
    <row r="526">
      <c r="A526" s="88" t="str">
        <f>'Season 1 - MafiaRatings'!A:A</f>
        <v/>
      </c>
      <c r="B526" s="2"/>
      <c r="J526" s="89"/>
      <c r="K526" s="89"/>
      <c r="L526" s="90"/>
    </row>
    <row r="527">
      <c r="A527" s="88" t="str">
        <f>'Season 1 - MafiaRatings'!A:A</f>
        <v/>
      </c>
      <c r="B527" s="2"/>
      <c r="J527" s="89"/>
      <c r="K527" s="89"/>
      <c r="L527" s="90"/>
    </row>
    <row r="528">
      <c r="A528" s="88" t="str">
        <f>'Season 1 - MafiaRatings'!A:A</f>
        <v/>
      </c>
      <c r="B528" s="2"/>
      <c r="J528" s="89"/>
      <c r="K528" s="89"/>
      <c r="L528" s="90"/>
    </row>
    <row r="529">
      <c r="A529" s="88" t="str">
        <f>'Season 1 - MafiaRatings'!A:A</f>
        <v/>
      </c>
      <c r="B529" s="2"/>
      <c r="J529" s="89"/>
      <c r="K529" s="89"/>
      <c r="L529" s="90"/>
    </row>
    <row r="530">
      <c r="A530" s="88" t="str">
        <f>'Season 1 - MafiaRatings'!A:A</f>
        <v/>
      </c>
      <c r="B530" s="2"/>
      <c r="J530" s="89"/>
      <c r="K530" s="89"/>
      <c r="L530" s="90"/>
    </row>
    <row r="531">
      <c r="A531" s="88" t="str">
        <f>'Season 1 - MafiaRatings'!A:A</f>
        <v/>
      </c>
      <c r="B531" s="2"/>
      <c r="J531" s="89"/>
      <c r="K531" s="89"/>
      <c r="L531" s="90"/>
    </row>
    <row r="532">
      <c r="A532" s="88" t="str">
        <f>'Season 1 - MafiaRatings'!A:A</f>
        <v/>
      </c>
      <c r="B532" s="2"/>
      <c r="J532" s="89"/>
      <c r="K532" s="89"/>
      <c r="L532" s="90"/>
    </row>
    <row r="533">
      <c r="A533" s="88" t="str">
        <f>'Season 1 - MafiaRatings'!A:A</f>
        <v/>
      </c>
      <c r="B533" s="2"/>
      <c r="J533" s="89"/>
      <c r="K533" s="89"/>
      <c r="L533" s="90"/>
    </row>
    <row r="534">
      <c r="A534" s="88" t="str">
        <f>'Season 1 - MafiaRatings'!A:A</f>
        <v/>
      </c>
      <c r="B534" s="2"/>
      <c r="J534" s="89"/>
      <c r="K534" s="89"/>
      <c r="L534" s="90"/>
    </row>
    <row r="535">
      <c r="A535" s="88" t="str">
        <f>'Season 1 - MafiaRatings'!A:A</f>
        <v/>
      </c>
      <c r="B535" s="2"/>
      <c r="J535" s="89"/>
      <c r="K535" s="89"/>
      <c r="L535" s="90"/>
    </row>
    <row r="536">
      <c r="A536" s="88" t="str">
        <f>'Season 1 - MafiaRatings'!A:A</f>
        <v/>
      </c>
      <c r="B536" s="2"/>
      <c r="J536" s="89"/>
      <c r="K536" s="89"/>
      <c r="L536" s="90"/>
    </row>
    <row r="537">
      <c r="A537" s="88" t="str">
        <f>'Season 1 - MafiaRatings'!A:A</f>
        <v/>
      </c>
      <c r="B537" s="2"/>
      <c r="J537" s="89"/>
      <c r="K537" s="89"/>
      <c r="L537" s="90"/>
    </row>
    <row r="538">
      <c r="A538" s="88" t="str">
        <f>'Season 1 - MafiaRatings'!A:A</f>
        <v/>
      </c>
      <c r="B538" s="2"/>
      <c r="J538" s="89"/>
      <c r="K538" s="89"/>
      <c r="L538" s="90"/>
    </row>
    <row r="539">
      <c r="A539" s="88" t="str">
        <f>'Season 1 - MafiaRatings'!A:A</f>
        <v/>
      </c>
      <c r="B539" s="2"/>
      <c r="J539" s="89"/>
      <c r="K539" s="89"/>
      <c r="L539" s="90"/>
    </row>
    <row r="540">
      <c r="A540" s="88" t="str">
        <f>'Season 1 - MafiaRatings'!A:A</f>
        <v/>
      </c>
      <c r="B540" s="2"/>
      <c r="J540" s="89"/>
      <c r="K540" s="89"/>
      <c r="L540" s="90"/>
    </row>
    <row r="541">
      <c r="A541" s="88" t="str">
        <f>'Season 1 - MafiaRatings'!A:A</f>
        <v/>
      </c>
      <c r="B541" s="2"/>
      <c r="J541" s="89"/>
      <c r="K541" s="89"/>
      <c r="L541" s="90"/>
    </row>
    <row r="542">
      <c r="A542" s="88" t="str">
        <f>'Season 1 - MafiaRatings'!A:A</f>
        <v/>
      </c>
      <c r="B542" s="2"/>
      <c r="J542" s="89"/>
      <c r="K542" s="89"/>
      <c r="L542" s="90"/>
    </row>
    <row r="543">
      <c r="A543" s="88" t="str">
        <f>'Season 1 - MafiaRatings'!A:A</f>
        <v/>
      </c>
      <c r="B543" s="2"/>
      <c r="J543" s="89"/>
      <c r="K543" s="89"/>
      <c r="L543" s="90"/>
    </row>
    <row r="544">
      <c r="A544" s="88" t="str">
        <f>'Season 1 - MafiaRatings'!A:A</f>
        <v/>
      </c>
      <c r="B544" s="2"/>
      <c r="J544" s="89"/>
      <c r="K544" s="89"/>
      <c r="L544" s="90"/>
    </row>
    <row r="545">
      <c r="A545" s="88" t="str">
        <f>'Season 1 - MafiaRatings'!A:A</f>
        <v/>
      </c>
      <c r="B545" s="2"/>
      <c r="J545" s="89"/>
      <c r="K545" s="89"/>
      <c r="L545" s="90"/>
    </row>
    <row r="546">
      <c r="A546" s="88" t="str">
        <f>'Season 1 - MafiaRatings'!A:A</f>
        <v/>
      </c>
      <c r="B546" s="2"/>
      <c r="J546" s="89"/>
      <c r="K546" s="89"/>
      <c r="L546" s="90"/>
    </row>
    <row r="547">
      <c r="A547" s="88" t="str">
        <f>'Season 1 - MafiaRatings'!A:A</f>
        <v/>
      </c>
      <c r="B547" s="2"/>
      <c r="J547" s="89"/>
      <c r="K547" s="89"/>
      <c r="L547" s="90"/>
    </row>
    <row r="548">
      <c r="A548" s="88" t="str">
        <f>'Season 1 - MafiaRatings'!A:A</f>
        <v/>
      </c>
      <c r="B548" s="2"/>
      <c r="J548" s="89"/>
      <c r="K548" s="89"/>
      <c r="L548" s="90"/>
    </row>
    <row r="549">
      <c r="A549" s="88" t="str">
        <f>'Season 1 - MafiaRatings'!A:A</f>
        <v/>
      </c>
      <c r="B549" s="2"/>
      <c r="J549" s="89"/>
      <c r="K549" s="89"/>
      <c r="L549" s="90"/>
    </row>
    <row r="550">
      <c r="A550" s="88" t="str">
        <f>'Season 1 - MafiaRatings'!A:A</f>
        <v/>
      </c>
      <c r="B550" s="2"/>
      <c r="J550" s="89"/>
      <c r="K550" s="89"/>
      <c r="L550" s="90"/>
    </row>
    <row r="551">
      <c r="A551" s="88" t="str">
        <f>'Season 1 - MafiaRatings'!A:A</f>
        <v/>
      </c>
      <c r="B551" s="2"/>
      <c r="J551" s="89"/>
      <c r="K551" s="89"/>
      <c r="L551" s="90"/>
    </row>
    <row r="552">
      <c r="A552" s="88" t="str">
        <f>'Season 1 - MafiaRatings'!A:A</f>
        <v/>
      </c>
      <c r="B552" s="2"/>
      <c r="J552" s="89"/>
      <c r="K552" s="89"/>
      <c r="L552" s="90"/>
    </row>
    <row r="553">
      <c r="A553" s="88" t="str">
        <f>'Season 1 - MafiaRatings'!A:A</f>
        <v/>
      </c>
      <c r="B553" s="2"/>
      <c r="J553" s="89"/>
      <c r="K553" s="89"/>
      <c r="L553" s="90"/>
    </row>
    <row r="554">
      <c r="A554" s="88" t="str">
        <f>'Season 1 - MafiaRatings'!A:A</f>
        <v/>
      </c>
      <c r="B554" s="2"/>
      <c r="J554" s="89"/>
      <c r="K554" s="89"/>
      <c r="L554" s="90"/>
    </row>
    <row r="555">
      <c r="A555" s="88" t="str">
        <f>'Season 1 - MafiaRatings'!A:A</f>
        <v/>
      </c>
      <c r="B555" s="2"/>
      <c r="J555" s="89"/>
      <c r="K555" s="89"/>
      <c r="L555" s="90"/>
    </row>
    <row r="556">
      <c r="A556" s="88" t="str">
        <f>'Season 1 - MafiaRatings'!A:A</f>
        <v/>
      </c>
      <c r="B556" s="2"/>
      <c r="J556" s="89"/>
      <c r="K556" s="89"/>
      <c r="L556" s="90"/>
    </row>
    <row r="557">
      <c r="A557" s="88" t="str">
        <f>'Season 1 - MafiaRatings'!A:A</f>
        <v/>
      </c>
      <c r="B557" s="2"/>
      <c r="J557" s="89"/>
      <c r="K557" s="89"/>
      <c r="L557" s="90"/>
    </row>
    <row r="558">
      <c r="A558" s="88" t="str">
        <f>'Season 1 - MafiaRatings'!A:A</f>
        <v/>
      </c>
      <c r="B558" s="2"/>
      <c r="J558" s="89"/>
      <c r="K558" s="89"/>
      <c r="L558" s="90"/>
    </row>
    <row r="559">
      <c r="A559" s="88" t="str">
        <f>'Season 1 - MafiaRatings'!A:A</f>
        <v/>
      </c>
      <c r="B559" s="2"/>
      <c r="J559" s="89"/>
      <c r="K559" s="89"/>
      <c r="L559" s="90"/>
    </row>
    <row r="560">
      <c r="A560" s="88" t="str">
        <f>'Season 1 - MafiaRatings'!A:A</f>
        <v/>
      </c>
      <c r="B560" s="2"/>
      <c r="J560" s="89"/>
      <c r="K560" s="89"/>
      <c r="L560" s="90"/>
    </row>
    <row r="561">
      <c r="A561" s="88" t="str">
        <f>'Season 1 - MafiaRatings'!A:A</f>
        <v/>
      </c>
      <c r="B561" s="2"/>
      <c r="J561" s="89"/>
      <c r="K561" s="89"/>
      <c r="L561" s="90"/>
    </row>
    <row r="562">
      <c r="A562" s="88" t="str">
        <f>'Season 1 - MafiaRatings'!A:A</f>
        <v/>
      </c>
      <c r="B562" s="2"/>
      <c r="J562" s="89"/>
      <c r="K562" s="89"/>
      <c r="L562" s="90"/>
    </row>
    <row r="563">
      <c r="A563" s="88" t="str">
        <f>'Season 1 - MafiaRatings'!A:A</f>
        <v/>
      </c>
      <c r="B563" s="2"/>
      <c r="J563" s="89"/>
      <c r="K563" s="89"/>
      <c r="L563" s="90"/>
    </row>
    <row r="564">
      <c r="A564" s="88" t="str">
        <f>'Season 1 - MafiaRatings'!A:A</f>
        <v/>
      </c>
      <c r="B564" s="2"/>
      <c r="J564" s="89"/>
      <c r="K564" s="89"/>
      <c r="L564" s="90"/>
    </row>
    <row r="565">
      <c r="A565" s="88" t="str">
        <f>'Season 1 - MafiaRatings'!A:A</f>
        <v/>
      </c>
      <c r="B565" s="2"/>
      <c r="J565" s="89"/>
      <c r="K565" s="89"/>
      <c r="L565" s="90"/>
    </row>
    <row r="566">
      <c r="A566" s="88" t="str">
        <f>'Season 1 - MafiaRatings'!A:A</f>
        <v/>
      </c>
      <c r="B566" s="2"/>
      <c r="J566" s="89"/>
      <c r="K566" s="89"/>
      <c r="L566" s="90"/>
    </row>
    <row r="567">
      <c r="A567" s="88" t="str">
        <f>'Season 1 - MafiaRatings'!A:A</f>
        <v/>
      </c>
      <c r="B567" s="2"/>
      <c r="J567" s="89"/>
      <c r="K567" s="89"/>
      <c r="L567" s="90"/>
    </row>
    <row r="568">
      <c r="A568" s="88" t="str">
        <f>'Season 1 - MafiaRatings'!A:A</f>
        <v/>
      </c>
      <c r="B568" s="2"/>
      <c r="J568" s="89"/>
      <c r="K568" s="89"/>
      <c r="L568" s="90"/>
    </row>
    <row r="569">
      <c r="A569" s="88" t="str">
        <f>'Season 1 - MafiaRatings'!A:A</f>
        <v/>
      </c>
      <c r="B569" s="2"/>
      <c r="J569" s="89"/>
      <c r="K569" s="89"/>
      <c r="L569" s="90"/>
    </row>
    <row r="570">
      <c r="A570" s="88" t="str">
        <f>'Season 1 - MafiaRatings'!A:A</f>
        <v/>
      </c>
      <c r="B570" s="2"/>
      <c r="J570" s="89"/>
      <c r="K570" s="89"/>
      <c r="L570" s="90"/>
    </row>
    <row r="571">
      <c r="A571" s="88" t="str">
        <f>'Season 1 - MafiaRatings'!A:A</f>
        <v/>
      </c>
      <c r="B571" s="2"/>
      <c r="J571" s="89"/>
      <c r="K571" s="89"/>
      <c r="L571" s="90"/>
    </row>
    <row r="572">
      <c r="A572" s="88" t="str">
        <f>'Season 1 - MafiaRatings'!A:A</f>
        <v/>
      </c>
      <c r="B572" s="2"/>
      <c r="J572" s="89"/>
      <c r="K572" s="89"/>
      <c r="L572" s="90"/>
    </row>
    <row r="573">
      <c r="A573" s="88" t="str">
        <f>'Season 1 - MafiaRatings'!A:A</f>
        <v/>
      </c>
      <c r="B573" s="2"/>
      <c r="J573" s="89"/>
      <c r="K573" s="89"/>
      <c r="L573" s="90"/>
    </row>
    <row r="574">
      <c r="A574" s="88" t="str">
        <f>'Season 1 - MafiaRatings'!A:A</f>
        <v/>
      </c>
      <c r="B574" s="2"/>
      <c r="J574" s="89"/>
      <c r="K574" s="89"/>
      <c r="L574" s="90"/>
    </row>
    <row r="575">
      <c r="A575" s="88" t="str">
        <f>'Season 1 - MafiaRatings'!A:A</f>
        <v/>
      </c>
      <c r="B575" s="2"/>
      <c r="J575" s="89"/>
      <c r="K575" s="89"/>
      <c r="L575" s="90"/>
    </row>
    <row r="576">
      <c r="A576" s="88" t="str">
        <f>'Season 1 - MafiaRatings'!A:A</f>
        <v/>
      </c>
      <c r="B576" s="2"/>
      <c r="J576" s="89"/>
      <c r="K576" s="89"/>
      <c r="L576" s="90"/>
    </row>
    <row r="577">
      <c r="A577" s="88" t="str">
        <f>'Season 1 - MafiaRatings'!A:A</f>
        <v/>
      </c>
      <c r="B577" s="2"/>
      <c r="J577" s="89"/>
      <c r="K577" s="89"/>
      <c r="L577" s="90"/>
    </row>
    <row r="578">
      <c r="A578" s="88" t="str">
        <f>'Season 1 - MafiaRatings'!A:A</f>
        <v/>
      </c>
      <c r="B578" s="2"/>
      <c r="J578" s="89"/>
      <c r="K578" s="89"/>
      <c r="L578" s="90"/>
    </row>
    <row r="579">
      <c r="A579" s="88" t="str">
        <f>'Season 1 - MafiaRatings'!A:A</f>
        <v/>
      </c>
      <c r="B579" s="2"/>
      <c r="J579" s="89"/>
      <c r="K579" s="89"/>
      <c r="L579" s="90"/>
    </row>
    <row r="580">
      <c r="A580" s="88" t="str">
        <f>'Season 1 - MafiaRatings'!A:A</f>
        <v/>
      </c>
      <c r="B580" s="2"/>
      <c r="J580" s="89"/>
      <c r="K580" s="89"/>
      <c r="L580" s="90"/>
    </row>
    <row r="581">
      <c r="A581" s="88" t="str">
        <f>'Season 1 - MafiaRatings'!A:A</f>
        <v/>
      </c>
      <c r="B581" s="2"/>
      <c r="J581" s="89"/>
      <c r="K581" s="89"/>
      <c r="L581" s="90"/>
    </row>
    <row r="582">
      <c r="A582" s="88" t="str">
        <f>'Season 1 - MafiaRatings'!A:A</f>
        <v/>
      </c>
      <c r="B582" s="2"/>
      <c r="J582" s="89"/>
      <c r="K582" s="89"/>
      <c r="L582" s="90"/>
    </row>
    <row r="583">
      <c r="A583" s="88" t="str">
        <f>'Season 1 - MafiaRatings'!A:A</f>
        <v/>
      </c>
      <c r="B583" s="2"/>
      <c r="J583" s="89"/>
      <c r="K583" s="89"/>
      <c r="L583" s="90"/>
    </row>
    <row r="584">
      <c r="A584" s="88" t="str">
        <f>'Season 1 - MafiaRatings'!A:A</f>
        <v/>
      </c>
      <c r="B584" s="2"/>
      <c r="J584" s="89"/>
      <c r="K584" s="89"/>
      <c r="L584" s="90"/>
    </row>
    <row r="585">
      <c r="A585" s="88" t="str">
        <f>'Season 1 - MafiaRatings'!A:A</f>
        <v/>
      </c>
      <c r="B585" s="2"/>
      <c r="J585" s="89"/>
      <c r="K585" s="89"/>
      <c r="L585" s="90"/>
    </row>
    <row r="586">
      <c r="A586" s="88" t="str">
        <f>'Season 1 - MafiaRatings'!A:A</f>
        <v/>
      </c>
      <c r="B586" s="2"/>
      <c r="J586" s="89"/>
      <c r="K586" s="89"/>
      <c r="L586" s="90"/>
    </row>
    <row r="587">
      <c r="A587" s="88" t="str">
        <f>'Season 1 - MafiaRatings'!A:A</f>
        <v/>
      </c>
      <c r="B587" s="2"/>
      <c r="J587" s="89"/>
      <c r="K587" s="89"/>
      <c r="L587" s="90"/>
    </row>
    <row r="588">
      <c r="A588" s="88" t="str">
        <f>'Season 1 - MafiaRatings'!A:A</f>
        <v/>
      </c>
      <c r="B588" s="2"/>
      <c r="J588" s="89"/>
      <c r="K588" s="89"/>
      <c r="L588" s="90"/>
    </row>
    <row r="589">
      <c r="A589" s="88" t="str">
        <f>'Season 1 - MafiaRatings'!A:A</f>
        <v/>
      </c>
      <c r="B589" s="2"/>
      <c r="J589" s="89"/>
      <c r="K589" s="89"/>
      <c r="L589" s="90"/>
    </row>
    <row r="590">
      <c r="A590" s="88" t="str">
        <f>'Season 1 - MafiaRatings'!A:A</f>
        <v/>
      </c>
      <c r="B590" s="2"/>
      <c r="J590" s="89"/>
      <c r="K590" s="89"/>
      <c r="L590" s="90"/>
    </row>
    <row r="591">
      <c r="A591" s="88" t="str">
        <f>'Season 1 - MafiaRatings'!A:A</f>
        <v/>
      </c>
      <c r="B591" s="2"/>
      <c r="J591" s="89"/>
      <c r="K591" s="89"/>
      <c r="L591" s="90"/>
    </row>
    <row r="592">
      <c r="A592" s="88" t="str">
        <f>'Season 1 - MafiaRatings'!A:A</f>
        <v/>
      </c>
      <c r="B592" s="2"/>
      <c r="J592" s="89"/>
      <c r="K592" s="89"/>
      <c r="L592" s="90"/>
    </row>
    <row r="593">
      <c r="A593" s="88" t="str">
        <f>'Season 1 - MafiaRatings'!A:A</f>
        <v/>
      </c>
      <c r="B593" s="2"/>
      <c r="J593" s="89"/>
      <c r="K593" s="89"/>
      <c r="L593" s="90"/>
    </row>
    <row r="594">
      <c r="A594" s="88" t="str">
        <f>'Season 1 - MafiaRatings'!A:A</f>
        <v/>
      </c>
      <c r="B594" s="2"/>
      <c r="J594" s="89"/>
      <c r="K594" s="89"/>
      <c r="L594" s="90"/>
    </row>
    <row r="595">
      <c r="A595" s="88" t="str">
        <f>'Season 1 - MafiaRatings'!A:A</f>
        <v/>
      </c>
      <c r="B595" s="2"/>
      <c r="J595" s="89"/>
      <c r="K595" s="89"/>
      <c r="L595" s="90"/>
    </row>
    <row r="596">
      <c r="A596" s="88" t="str">
        <f>'Season 1 - MafiaRatings'!A:A</f>
        <v/>
      </c>
      <c r="B596" s="2"/>
      <c r="J596" s="89"/>
      <c r="K596" s="89"/>
      <c r="L596" s="90"/>
    </row>
    <row r="597">
      <c r="A597" s="88" t="str">
        <f>'Season 1 - MafiaRatings'!A:A</f>
        <v/>
      </c>
      <c r="B597" s="2"/>
      <c r="J597" s="89"/>
      <c r="K597" s="89"/>
      <c r="L597" s="90"/>
    </row>
    <row r="598">
      <c r="A598" s="88" t="str">
        <f>'Season 1 - MafiaRatings'!A:A</f>
        <v/>
      </c>
      <c r="B598" s="2"/>
      <c r="J598" s="89"/>
      <c r="K598" s="89"/>
      <c r="L598" s="90"/>
    </row>
    <row r="599">
      <c r="A599" s="88" t="str">
        <f>'Season 1 - MafiaRatings'!A:A</f>
        <v/>
      </c>
      <c r="B599" s="2"/>
      <c r="J599" s="89"/>
      <c r="K599" s="89"/>
      <c r="L599" s="90"/>
    </row>
    <row r="600">
      <c r="A600" s="88" t="str">
        <f>'Season 1 - MafiaRatings'!A:A</f>
        <v/>
      </c>
      <c r="B600" s="2"/>
      <c r="J600" s="89"/>
      <c r="K600" s="89"/>
      <c r="L600" s="90"/>
    </row>
    <row r="601">
      <c r="A601" s="88" t="str">
        <f>'Season 1 - MafiaRatings'!A:A</f>
        <v/>
      </c>
      <c r="B601" s="2"/>
      <c r="J601" s="89"/>
      <c r="K601" s="89"/>
      <c r="L601" s="90"/>
    </row>
    <row r="602">
      <c r="A602" s="88" t="str">
        <f>'Season 1 - MafiaRatings'!A:A</f>
        <v/>
      </c>
      <c r="B602" s="2"/>
      <c r="J602" s="89"/>
      <c r="K602" s="89"/>
      <c r="L602" s="90"/>
    </row>
    <row r="603">
      <c r="A603" s="88" t="str">
        <f>'Season 1 - MafiaRatings'!A:A</f>
        <v/>
      </c>
      <c r="B603" s="2"/>
      <c r="J603" s="89"/>
      <c r="K603" s="89"/>
      <c r="L603" s="90"/>
    </row>
    <row r="604">
      <c r="A604" s="88" t="str">
        <f>'Season 1 - MafiaRatings'!A:A</f>
        <v/>
      </c>
      <c r="B604" s="2"/>
      <c r="J604" s="89"/>
      <c r="K604" s="89"/>
      <c r="L604" s="90"/>
    </row>
    <row r="605">
      <c r="A605" s="88" t="str">
        <f>'Season 1 - MafiaRatings'!A:A</f>
        <v/>
      </c>
      <c r="B605" s="2"/>
      <c r="J605" s="89"/>
      <c r="K605" s="89"/>
      <c r="L605" s="90"/>
    </row>
    <row r="606">
      <c r="A606" s="88" t="str">
        <f>'Season 1 - MafiaRatings'!A:A</f>
        <v/>
      </c>
      <c r="B606" s="2"/>
      <c r="J606" s="89"/>
      <c r="K606" s="89"/>
      <c r="L606" s="90"/>
    </row>
    <row r="607">
      <c r="A607" s="88" t="str">
        <f>'Season 1 - MafiaRatings'!A:A</f>
        <v/>
      </c>
      <c r="B607" s="2"/>
      <c r="J607" s="89"/>
      <c r="K607" s="89"/>
      <c r="L607" s="90"/>
    </row>
    <row r="608">
      <c r="A608" s="88" t="str">
        <f>'Season 1 - MafiaRatings'!A:A</f>
        <v/>
      </c>
      <c r="B608" s="2"/>
      <c r="J608" s="89"/>
      <c r="K608" s="89"/>
      <c r="L608" s="90"/>
    </row>
    <row r="609">
      <c r="A609" s="88" t="str">
        <f>'Season 1 - MafiaRatings'!A:A</f>
        <v/>
      </c>
      <c r="B609" s="2"/>
      <c r="J609" s="89"/>
      <c r="K609" s="89"/>
      <c r="L609" s="90"/>
    </row>
    <row r="610">
      <c r="A610" s="88" t="str">
        <f>'Season 1 - MafiaRatings'!A:A</f>
        <v/>
      </c>
      <c r="B610" s="2"/>
      <c r="J610" s="89"/>
      <c r="K610" s="89"/>
      <c r="L610" s="90"/>
    </row>
    <row r="611">
      <c r="A611" s="88" t="str">
        <f>'Season 1 - MafiaRatings'!A:A</f>
        <v/>
      </c>
      <c r="B611" s="2"/>
      <c r="J611" s="89"/>
      <c r="K611" s="89"/>
      <c r="L611" s="90"/>
    </row>
    <row r="612">
      <c r="A612" s="88" t="str">
        <f>'Season 1 - MafiaRatings'!A:A</f>
        <v/>
      </c>
      <c r="B612" s="2"/>
      <c r="J612" s="89"/>
      <c r="K612" s="89"/>
      <c r="L612" s="90"/>
    </row>
    <row r="613">
      <c r="A613" s="88" t="str">
        <f>'Season 1 - MafiaRatings'!A:A</f>
        <v/>
      </c>
      <c r="B613" s="2"/>
      <c r="J613" s="89"/>
      <c r="K613" s="89"/>
      <c r="L613" s="90"/>
    </row>
    <row r="614">
      <c r="A614" s="88" t="str">
        <f>'Season 1 - MafiaRatings'!A:A</f>
        <v/>
      </c>
      <c r="B614" s="2"/>
      <c r="J614" s="89"/>
      <c r="K614" s="89"/>
      <c r="L614" s="90"/>
    </row>
    <row r="615">
      <c r="A615" s="88" t="str">
        <f>'Season 1 - MafiaRatings'!A:A</f>
        <v/>
      </c>
      <c r="B615" s="2"/>
      <c r="J615" s="89"/>
      <c r="K615" s="89"/>
      <c r="L615" s="90"/>
    </row>
    <row r="616">
      <c r="A616" s="88" t="str">
        <f>'Season 1 - MafiaRatings'!A:A</f>
        <v/>
      </c>
      <c r="B616" s="2"/>
      <c r="J616" s="89"/>
      <c r="K616" s="89"/>
      <c r="L616" s="90"/>
    </row>
    <row r="617">
      <c r="A617" s="88" t="str">
        <f>'Season 1 - MafiaRatings'!A:A</f>
        <v/>
      </c>
      <c r="B617" s="2"/>
      <c r="J617" s="89"/>
      <c r="K617" s="89"/>
      <c r="L617" s="90"/>
    </row>
    <row r="618">
      <c r="A618" s="88" t="str">
        <f>'Season 1 - MafiaRatings'!A:A</f>
        <v/>
      </c>
      <c r="B618" s="2"/>
      <c r="J618" s="89"/>
      <c r="K618" s="89"/>
      <c r="L618" s="90"/>
    </row>
    <row r="619">
      <c r="A619" s="88" t="str">
        <f>'Season 1 - MafiaRatings'!A:A</f>
        <v/>
      </c>
      <c r="B619" s="2"/>
      <c r="J619" s="89"/>
      <c r="K619" s="89"/>
      <c r="L619" s="90"/>
    </row>
    <row r="620">
      <c r="A620" s="88" t="str">
        <f>'Season 1 - MafiaRatings'!A:A</f>
        <v/>
      </c>
      <c r="B620" s="2"/>
      <c r="J620" s="89"/>
      <c r="K620" s="89"/>
      <c r="L620" s="90"/>
    </row>
    <row r="621">
      <c r="A621" s="88" t="str">
        <f>'Season 1 - MafiaRatings'!A:A</f>
        <v/>
      </c>
      <c r="B621" s="2"/>
      <c r="J621" s="89"/>
      <c r="K621" s="89"/>
      <c r="L621" s="90"/>
    </row>
    <row r="622">
      <c r="A622" s="88" t="str">
        <f>'Season 1 - MafiaRatings'!A:A</f>
        <v/>
      </c>
      <c r="B622" s="2"/>
      <c r="J622" s="89"/>
      <c r="K622" s="89"/>
      <c r="L622" s="90"/>
    </row>
    <row r="623">
      <c r="A623" s="88" t="str">
        <f>'Season 1 - MafiaRatings'!A:A</f>
        <v/>
      </c>
      <c r="B623" s="2"/>
      <c r="J623" s="89"/>
      <c r="K623" s="89"/>
      <c r="L623" s="90"/>
    </row>
    <row r="624">
      <c r="A624" s="88" t="str">
        <f>'Season 1 - MafiaRatings'!A:A</f>
        <v/>
      </c>
      <c r="B624" s="2"/>
      <c r="J624" s="89"/>
      <c r="K624" s="89"/>
      <c r="L624" s="90"/>
    </row>
    <row r="625">
      <c r="A625" s="88" t="str">
        <f>'Season 1 - MafiaRatings'!A:A</f>
        <v/>
      </c>
      <c r="B625" s="2"/>
      <c r="J625" s="89"/>
      <c r="K625" s="89"/>
      <c r="L625" s="90"/>
    </row>
    <row r="626">
      <c r="A626" s="88" t="str">
        <f>'Season 1 - MafiaRatings'!A:A</f>
        <v/>
      </c>
      <c r="B626" s="2"/>
      <c r="J626" s="89"/>
      <c r="K626" s="89"/>
      <c r="L626" s="90"/>
    </row>
    <row r="627">
      <c r="A627" s="88" t="str">
        <f>'Season 1 - MafiaRatings'!A:A</f>
        <v/>
      </c>
      <c r="B627" s="2"/>
      <c r="J627" s="89"/>
      <c r="K627" s="89"/>
      <c r="L627" s="90"/>
    </row>
    <row r="628">
      <c r="A628" s="88" t="str">
        <f>'Season 1 - MafiaRatings'!A:A</f>
        <v/>
      </c>
      <c r="B628" s="2"/>
      <c r="J628" s="89"/>
      <c r="K628" s="89"/>
      <c r="L628" s="90"/>
    </row>
    <row r="629">
      <c r="A629" s="88" t="str">
        <f>'Season 1 - MafiaRatings'!A:A</f>
        <v/>
      </c>
      <c r="B629" s="2"/>
      <c r="J629" s="89"/>
      <c r="K629" s="89"/>
      <c r="L629" s="90"/>
    </row>
    <row r="630">
      <c r="A630" s="88" t="str">
        <f>'Season 1 - MafiaRatings'!A:A</f>
        <v/>
      </c>
      <c r="B630" s="2"/>
      <c r="J630" s="89"/>
      <c r="K630" s="89"/>
      <c r="L630" s="90"/>
    </row>
    <row r="631">
      <c r="A631" s="88" t="str">
        <f>'Season 1 - MafiaRatings'!A:A</f>
        <v/>
      </c>
      <c r="B631" s="2"/>
      <c r="J631" s="89"/>
      <c r="K631" s="89"/>
      <c r="L631" s="90"/>
    </row>
    <row r="632">
      <c r="A632" s="88" t="str">
        <f>'Season 1 - MafiaRatings'!A:A</f>
        <v/>
      </c>
      <c r="B632" s="2"/>
      <c r="J632" s="89"/>
      <c r="K632" s="89"/>
      <c r="L632" s="90"/>
    </row>
    <row r="633">
      <c r="A633" s="88" t="str">
        <f>'Season 1 - MafiaRatings'!A:A</f>
        <v/>
      </c>
      <c r="B633" s="2"/>
      <c r="J633" s="89"/>
      <c r="K633" s="89"/>
      <c r="L633" s="90"/>
    </row>
    <row r="634">
      <c r="A634" s="88" t="str">
        <f>'Season 1 - MafiaRatings'!A:A</f>
        <v/>
      </c>
      <c r="B634" s="2"/>
      <c r="J634" s="89"/>
      <c r="K634" s="89"/>
      <c r="L634" s="90"/>
    </row>
    <row r="635">
      <c r="A635" s="88" t="str">
        <f>'Season 1 - MafiaRatings'!A:A</f>
        <v/>
      </c>
      <c r="B635" s="2"/>
      <c r="J635" s="89"/>
      <c r="K635" s="89"/>
      <c r="L635" s="90"/>
    </row>
    <row r="636">
      <c r="A636" s="88" t="str">
        <f>'Season 1 - MafiaRatings'!A:A</f>
        <v/>
      </c>
      <c r="B636" s="2"/>
      <c r="J636" s="89"/>
      <c r="K636" s="89"/>
      <c r="L636" s="90"/>
    </row>
    <row r="637">
      <c r="A637" s="88" t="str">
        <f>'Season 1 - MafiaRatings'!A:A</f>
        <v/>
      </c>
      <c r="B637" s="2"/>
      <c r="J637" s="89"/>
      <c r="K637" s="89"/>
      <c r="L637" s="90"/>
    </row>
    <row r="638">
      <c r="A638" s="88" t="str">
        <f>'Season 1 - MafiaRatings'!A:A</f>
        <v/>
      </c>
      <c r="B638" s="2"/>
      <c r="J638" s="89"/>
      <c r="K638" s="89"/>
      <c r="L638" s="90"/>
    </row>
    <row r="639">
      <c r="A639" s="88" t="str">
        <f>'Season 1 - MafiaRatings'!A:A</f>
        <v/>
      </c>
      <c r="B639" s="2"/>
      <c r="J639" s="89"/>
      <c r="K639" s="89"/>
      <c r="L639" s="90"/>
    </row>
    <row r="640">
      <c r="A640" s="88" t="str">
        <f>'Season 1 - MafiaRatings'!A:A</f>
        <v/>
      </c>
      <c r="B640" s="2"/>
      <c r="J640" s="89"/>
      <c r="K640" s="89"/>
      <c r="L640" s="90"/>
    </row>
    <row r="641">
      <c r="A641" s="88" t="str">
        <f>'Season 1 - MafiaRatings'!A:A</f>
        <v/>
      </c>
      <c r="B641" s="2"/>
      <c r="J641" s="89"/>
      <c r="K641" s="89"/>
      <c r="L641" s="90"/>
    </row>
    <row r="642">
      <c r="A642" s="88" t="str">
        <f>'Season 1 - MafiaRatings'!A:A</f>
        <v/>
      </c>
      <c r="B642" s="2"/>
      <c r="J642" s="89"/>
      <c r="K642" s="89"/>
      <c r="L642" s="90"/>
    </row>
    <row r="643">
      <c r="A643" s="88" t="str">
        <f>'Season 1 - MafiaRatings'!A:A</f>
        <v/>
      </c>
      <c r="B643" s="2"/>
      <c r="J643" s="89"/>
      <c r="K643" s="89"/>
      <c r="L643" s="90"/>
    </row>
    <row r="644">
      <c r="A644" s="88" t="str">
        <f>'Season 1 - MafiaRatings'!A:A</f>
        <v/>
      </c>
      <c r="B644" s="2"/>
      <c r="J644" s="89"/>
      <c r="K644" s="89"/>
      <c r="L644" s="90"/>
    </row>
    <row r="645">
      <c r="A645" s="88" t="str">
        <f>'Season 1 - MafiaRatings'!A:A</f>
        <v/>
      </c>
      <c r="B645" s="2"/>
      <c r="J645" s="89"/>
      <c r="K645" s="89"/>
      <c r="L645" s="90"/>
    </row>
    <row r="646">
      <c r="A646" s="88" t="str">
        <f>'Season 1 - MafiaRatings'!A:A</f>
        <v/>
      </c>
      <c r="B646" s="2"/>
      <c r="J646" s="89"/>
      <c r="K646" s="89"/>
      <c r="L646" s="90"/>
    </row>
    <row r="647">
      <c r="A647" s="88" t="str">
        <f>'Season 1 - MafiaRatings'!A:A</f>
        <v/>
      </c>
      <c r="B647" s="2"/>
      <c r="J647" s="89"/>
      <c r="K647" s="89"/>
      <c r="L647" s="90"/>
    </row>
    <row r="648">
      <c r="A648" s="88" t="str">
        <f>'Season 1 - MafiaRatings'!A:A</f>
        <v/>
      </c>
      <c r="B648" s="2"/>
      <c r="J648" s="89"/>
      <c r="K648" s="89"/>
      <c r="L648" s="90"/>
    </row>
    <row r="649">
      <c r="A649" s="88" t="str">
        <f>'Season 1 - MafiaRatings'!A:A</f>
        <v/>
      </c>
      <c r="B649" s="2"/>
      <c r="J649" s="89"/>
      <c r="K649" s="89"/>
      <c r="L649" s="90"/>
    </row>
    <row r="650">
      <c r="A650" s="88" t="str">
        <f>'Season 1 - MafiaRatings'!A:A</f>
        <v/>
      </c>
      <c r="B650" s="2"/>
      <c r="J650" s="89"/>
      <c r="K650" s="89"/>
      <c r="L650" s="90"/>
    </row>
    <row r="651">
      <c r="A651" s="88" t="str">
        <f>'Season 1 - MafiaRatings'!A:A</f>
        <v/>
      </c>
      <c r="B651" s="2"/>
      <c r="J651" s="89"/>
      <c r="K651" s="89"/>
      <c r="L651" s="90"/>
    </row>
    <row r="652">
      <c r="A652" s="88" t="str">
        <f>'Season 1 - MafiaRatings'!A:A</f>
        <v/>
      </c>
      <c r="B652" s="2"/>
      <c r="J652" s="89"/>
      <c r="K652" s="89"/>
      <c r="L652" s="90"/>
    </row>
    <row r="653">
      <c r="A653" s="88" t="str">
        <f>'Season 1 - MafiaRatings'!A:A</f>
        <v/>
      </c>
      <c r="B653" s="2"/>
      <c r="J653" s="89"/>
      <c r="K653" s="89"/>
      <c r="L653" s="90"/>
    </row>
    <row r="654">
      <c r="A654" s="88" t="str">
        <f>'Season 1 - MafiaRatings'!A:A</f>
        <v/>
      </c>
      <c r="B654" s="2"/>
      <c r="J654" s="89"/>
      <c r="K654" s="89"/>
      <c r="L654" s="90"/>
    </row>
    <row r="655">
      <c r="A655" s="88" t="str">
        <f>'Season 1 - MafiaRatings'!A:A</f>
        <v/>
      </c>
      <c r="B655" s="2"/>
      <c r="J655" s="89"/>
      <c r="K655" s="89"/>
      <c r="L655" s="90"/>
    </row>
    <row r="656">
      <c r="A656" s="88" t="str">
        <f>'Season 1 - MafiaRatings'!A:A</f>
        <v/>
      </c>
      <c r="B656" s="2"/>
      <c r="J656" s="89"/>
      <c r="K656" s="89"/>
      <c r="L656" s="90"/>
    </row>
    <row r="657">
      <c r="A657" s="88" t="str">
        <f>'Season 1 - MafiaRatings'!A:A</f>
        <v/>
      </c>
      <c r="B657" s="2"/>
      <c r="J657" s="89"/>
      <c r="K657" s="89"/>
      <c r="L657" s="90"/>
    </row>
    <row r="658">
      <c r="A658" s="88" t="str">
        <f>'Season 1 - MafiaRatings'!A:A</f>
        <v/>
      </c>
      <c r="B658" s="2"/>
      <c r="J658" s="89"/>
      <c r="K658" s="89"/>
      <c r="L658" s="90"/>
    </row>
    <row r="659">
      <c r="A659" s="88" t="str">
        <f>'Season 1 - MafiaRatings'!A:A</f>
        <v/>
      </c>
      <c r="B659" s="2"/>
      <c r="J659" s="89"/>
      <c r="K659" s="89"/>
      <c r="L659" s="90"/>
    </row>
    <row r="660">
      <c r="A660" s="88" t="str">
        <f>'Season 1 - MafiaRatings'!A:A</f>
        <v/>
      </c>
      <c r="B660" s="2"/>
      <c r="J660" s="89"/>
      <c r="K660" s="89"/>
      <c r="L660" s="90"/>
    </row>
    <row r="661">
      <c r="A661" s="88" t="str">
        <f>'Season 1 - MafiaRatings'!A:A</f>
        <v/>
      </c>
      <c r="B661" s="2"/>
      <c r="J661" s="89"/>
      <c r="K661" s="89"/>
      <c r="L661" s="90"/>
    </row>
    <row r="662">
      <c r="A662" s="88" t="str">
        <f>'Season 1 - MafiaRatings'!A:A</f>
        <v/>
      </c>
      <c r="B662" s="2"/>
      <c r="J662" s="89"/>
      <c r="K662" s="89"/>
      <c r="L662" s="90"/>
    </row>
    <row r="663">
      <c r="A663" s="88" t="str">
        <f>'Season 1 - MafiaRatings'!A:A</f>
        <v/>
      </c>
      <c r="B663" s="2"/>
      <c r="J663" s="89"/>
      <c r="K663" s="89"/>
      <c r="L663" s="90"/>
    </row>
    <row r="664">
      <c r="A664" s="88" t="str">
        <f>'Season 1 - MafiaRatings'!A:A</f>
        <v/>
      </c>
      <c r="B664" s="2"/>
      <c r="J664" s="89"/>
      <c r="K664" s="89"/>
      <c r="L664" s="90"/>
    </row>
    <row r="665">
      <c r="A665" s="88" t="str">
        <f>'Season 1 - MafiaRatings'!A:A</f>
        <v/>
      </c>
      <c r="B665" s="2"/>
      <c r="J665" s="89"/>
      <c r="K665" s="89"/>
      <c r="L665" s="90"/>
    </row>
    <row r="666">
      <c r="A666" s="88" t="str">
        <f>'Season 1 - MafiaRatings'!A:A</f>
        <v/>
      </c>
      <c r="B666" s="2"/>
      <c r="J666" s="89"/>
      <c r="K666" s="89"/>
      <c r="L666" s="90"/>
    </row>
    <row r="667">
      <c r="A667" s="88" t="str">
        <f>'Season 1 - MafiaRatings'!A:A</f>
        <v/>
      </c>
      <c r="B667" s="2"/>
      <c r="J667" s="89"/>
      <c r="K667" s="89"/>
      <c r="L667" s="90"/>
    </row>
    <row r="668">
      <c r="A668" s="88" t="str">
        <f>'Season 1 - MafiaRatings'!A:A</f>
        <v/>
      </c>
      <c r="B668" s="2"/>
      <c r="J668" s="89"/>
      <c r="K668" s="89"/>
      <c r="L668" s="90"/>
    </row>
    <row r="669">
      <c r="A669" s="88" t="str">
        <f>'Season 1 - MafiaRatings'!A:A</f>
        <v/>
      </c>
      <c r="B669" s="2"/>
      <c r="J669" s="89"/>
      <c r="K669" s="89"/>
      <c r="L669" s="90"/>
    </row>
    <row r="670">
      <c r="A670" s="88" t="str">
        <f>'Season 1 - MafiaRatings'!A:A</f>
        <v/>
      </c>
      <c r="B670" s="2"/>
      <c r="J670" s="89"/>
      <c r="K670" s="89"/>
      <c r="L670" s="90"/>
    </row>
    <row r="671">
      <c r="A671" s="88" t="str">
        <f>'Season 1 - MafiaRatings'!A:A</f>
        <v/>
      </c>
      <c r="B671" s="2"/>
      <c r="J671" s="89"/>
      <c r="K671" s="89"/>
      <c r="L671" s="90"/>
    </row>
    <row r="672">
      <c r="A672" s="88" t="str">
        <f>'Season 1 - MafiaRatings'!A:A</f>
        <v/>
      </c>
      <c r="B672" s="2"/>
      <c r="J672" s="89"/>
      <c r="K672" s="89"/>
      <c r="L672" s="90"/>
    </row>
    <row r="673">
      <c r="A673" s="88" t="str">
        <f>'Season 1 - MafiaRatings'!A:A</f>
        <v/>
      </c>
      <c r="B673" s="2"/>
      <c r="J673" s="89"/>
      <c r="K673" s="89"/>
      <c r="L673" s="90"/>
    </row>
    <row r="674">
      <c r="A674" s="88" t="str">
        <f>'Season 1 - MafiaRatings'!A:A</f>
        <v/>
      </c>
      <c r="B674" s="2"/>
      <c r="J674" s="89"/>
      <c r="K674" s="89"/>
      <c r="L674" s="90"/>
    </row>
    <row r="675">
      <c r="A675" s="88" t="str">
        <f>'Season 1 - MafiaRatings'!A:A</f>
        <v/>
      </c>
      <c r="B675" s="2"/>
      <c r="J675" s="89"/>
      <c r="K675" s="89"/>
      <c r="L675" s="90"/>
    </row>
    <row r="676">
      <c r="A676" s="88" t="str">
        <f>'Season 1 - MafiaRatings'!A:A</f>
        <v/>
      </c>
      <c r="B676" s="2"/>
      <c r="J676" s="89"/>
      <c r="K676" s="89"/>
      <c r="L676" s="90"/>
    </row>
    <row r="677">
      <c r="A677" s="88" t="str">
        <f>'Season 1 - MafiaRatings'!A:A</f>
        <v/>
      </c>
      <c r="B677" s="2"/>
      <c r="J677" s="89"/>
      <c r="K677" s="89"/>
      <c r="L677" s="90"/>
    </row>
    <row r="678">
      <c r="A678" s="88" t="str">
        <f>'Season 1 - MafiaRatings'!A:A</f>
        <v/>
      </c>
      <c r="B678" s="2"/>
      <c r="J678" s="89"/>
      <c r="K678" s="89"/>
      <c r="L678" s="90"/>
    </row>
    <row r="679">
      <c r="A679" s="88" t="str">
        <f>'Season 1 - MafiaRatings'!A:A</f>
        <v/>
      </c>
      <c r="B679" s="2"/>
      <c r="J679" s="89"/>
      <c r="K679" s="89"/>
      <c r="L679" s="90"/>
    </row>
    <row r="680">
      <c r="A680" s="88" t="str">
        <f>'Season 1 - MafiaRatings'!A:A</f>
        <v/>
      </c>
      <c r="B680" s="2"/>
      <c r="J680" s="89"/>
      <c r="K680" s="89"/>
      <c r="L680" s="90"/>
    </row>
    <row r="681">
      <c r="A681" s="88" t="str">
        <f>'Season 1 - MafiaRatings'!A:A</f>
        <v/>
      </c>
      <c r="B681" s="2"/>
      <c r="J681" s="89"/>
      <c r="K681" s="89"/>
      <c r="L681" s="90"/>
    </row>
    <row r="682">
      <c r="A682" s="88" t="str">
        <f>'Season 1 - MafiaRatings'!A:A</f>
        <v/>
      </c>
      <c r="B682" s="2"/>
      <c r="J682" s="89"/>
      <c r="K682" s="89"/>
      <c r="L682" s="90"/>
    </row>
    <row r="683">
      <c r="A683" s="88" t="str">
        <f>'Season 1 - MafiaRatings'!A:A</f>
        <v/>
      </c>
      <c r="B683" s="2"/>
      <c r="J683" s="89"/>
      <c r="K683" s="89"/>
      <c r="L683" s="90"/>
    </row>
    <row r="684">
      <c r="A684" s="88" t="str">
        <f>'Season 1 - MafiaRatings'!A:A</f>
        <v/>
      </c>
      <c r="B684" s="2"/>
      <c r="J684" s="89"/>
      <c r="K684" s="89"/>
      <c r="L684" s="90"/>
    </row>
    <row r="685">
      <c r="A685" s="88" t="str">
        <f>'Season 1 - MafiaRatings'!A:A</f>
        <v/>
      </c>
      <c r="B685" s="2"/>
      <c r="J685" s="89"/>
      <c r="K685" s="89"/>
      <c r="L685" s="90"/>
    </row>
    <row r="686">
      <c r="A686" s="88" t="str">
        <f>'Season 1 - MafiaRatings'!A:A</f>
        <v/>
      </c>
      <c r="B686" s="2"/>
      <c r="J686" s="89"/>
      <c r="K686" s="89"/>
      <c r="L686" s="90"/>
    </row>
    <row r="687">
      <c r="A687" s="88" t="str">
        <f>'Season 1 - MafiaRatings'!A:A</f>
        <v/>
      </c>
      <c r="B687" s="2"/>
      <c r="J687" s="89"/>
      <c r="K687" s="89"/>
      <c r="L687" s="90"/>
    </row>
    <row r="688">
      <c r="A688" s="88" t="str">
        <f>'Season 1 - MafiaRatings'!A:A</f>
        <v/>
      </c>
      <c r="B688" s="2"/>
      <c r="J688" s="89"/>
      <c r="K688" s="89"/>
      <c r="L688" s="90"/>
    </row>
    <row r="689">
      <c r="A689" s="88" t="str">
        <f>'Season 1 - MafiaRatings'!A:A</f>
        <v/>
      </c>
      <c r="B689" s="2"/>
      <c r="J689" s="89"/>
      <c r="K689" s="89"/>
      <c r="L689" s="90"/>
    </row>
    <row r="690">
      <c r="A690" s="88" t="str">
        <f>'Season 1 - MafiaRatings'!A:A</f>
        <v/>
      </c>
      <c r="B690" s="2"/>
      <c r="J690" s="89"/>
      <c r="K690" s="89"/>
      <c r="L690" s="90"/>
    </row>
    <row r="691">
      <c r="A691" s="88" t="str">
        <f>'Season 1 - MafiaRatings'!A:A</f>
        <v/>
      </c>
      <c r="B691" s="2"/>
      <c r="J691" s="89"/>
      <c r="K691" s="89"/>
      <c r="L691" s="90"/>
    </row>
    <row r="692">
      <c r="A692" s="88" t="str">
        <f>'Season 1 - MafiaRatings'!A:A</f>
        <v/>
      </c>
      <c r="B692" s="2"/>
      <c r="J692" s="89"/>
      <c r="K692" s="89"/>
      <c r="L692" s="90"/>
    </row>
    <row r="693">
      <c r="A693" s="88" t="str">
        <f>'Season 1 - MafiaRatings'!A:A</f>
        <v/>
      </c>
      <c r="B693" s="2"/>
      <c r="J693" s="89"/>
      <c r="K693" s="89"/>
      <c r="L693" s="90"/>
    </row>
    <row r="694">
      <c r="A694" s="88" t="str">
        <f>'Season 1 - MafiaRatings'!A:A</f>
        <v/>
      </c>
      <c r="B694" s="2"/>
      <c r="J694" s="89"/>
      <c r="K694" s="89"/>
      <c r="L694" s="90"/>
    </row>
    <row r="695">
      <c r="A695" s="88" t="str">
        <f>'Season 1 - MafiaRatings'!A:A</f>
        <v/>
      </c>
      <c r="B695" s="2"/>
      <c r="J695" s="89"/>
      <c r="K695" s="89"/>
      <c r="L695" s="90"/>
    </row>
    <row r="696">
      <c r="A696" s="88" t="str">
        <f>'Season 1 - MafiaRatings'!A:A</f>
        <v/>
      </c>
      <c r="B696" s="2"/>
      <c r="J696" s="89"/>
      <c r="K696" s="89"/>
      <c r="L696" s="90"/>
    </row>
    <row r="697">
      <c r="A697" s="88" t="str">
        <f>'Season 1 - MafiaRatings'!A:A</f>
        <v/>
      </c>
      <c r="B697" s="2"/>
      <c r="J697" s="89"/>
      <c r="K697" s="89"/>
      <c r="L697" s="90"/>
    </row>
    <row r="698">
      <c r="A698" s="88" t="str">
        <f>'Season 1 - MafiaRatings'!A:A</f>
        <v/>
      </c>
      <c r="B698" s="2"/>
      <c r="J698" s="89"/>
      <c r="K698" s="89"/>
      <c r="L698" s="90"/>
    </row>
    <row r="699">
      <c r="A699" s="88" t="str">
        <f>'Season 1 - MafiaRatings'!A:A</f>
        <v/>
      </c>
      <c r="B699" s="2"/>
      <c r="J699" s="89"/>
      <c r="K699" s="89"/>
      <c r="L699" s="90"/>
    </row>
    <row r="700">
      <c r="A700" s="88" t="str">
        <f>'Season 1 - MafiaRatings'!A:A</f>
        <v/>
      </c>
      <c r="B700" s="2"/>
      <c r="J700" s="89"/>
      <c r="K700" s="89"/>
      <c r="L700" s="90"/>
    </row>
    <row r="701">
      <c r="A701" s="88" t="str">
        <f>'Season 1 - MafiaRatings'!A:A</f>
        <v/>
      </c>
      <c r="B701" s="2"/>
      <c r="J701" s="89"/>
      <c r="K701" s="89"/>
      <c r="L701" s="90"/>
    </row>
    <row r="702">
      <c r="A702" s="88" t="str">
        <f>'Season 1 - MafiaRatings'!A:A</f>
        <v/>
      </c>
      <c r="B702" s="2"/>
      <c r="J702" s="89"/>
      <c r="K702" s="89"/>
      <c r="L702" s="90"/>
    </row>
    <row r="703">
      <c r="A703" s="88" t="str">
        <f>'Season 1 - MafiaRatings'!A:A</f>
        <v/>
      </c>
      <c r="B703" s="2"/>
      <c r="J703" s="89"/>
      <c r="K703" s="89"/>
      <c r="L703" s="90"/>
    </row>
    <row r="704">
      <c r="A704" s="88" t="str">
        <f>'Season 1 - MafiaRatings'!A:A</f>
        <v/>
      </c>
      <c r="B704" s="2"/>
      <c r="J704" s="89"/>
      <c r="K704" s="89"/>
      <c r="L704" s="90"/>
    </row>
    <row r="705">
      <c r="A705" s="88" t="str">
        <f>'Season 1 - MafiaRatings'!A:A</f>
        <v/>
      </c>
      <c r="B705" s="2"/>
      <c r="J705" s="89"/>
      <c r="K705" s="89"/>
      <c r="L705" s="90"/>
    </row>
    <row r="706">
      <c r="A706" s="88" t="str">
        <f>'Season 1 - MafiaRatings'!A:A</f>
        <v/>
      </c>
      <c r="B706" s="2"/>
      <c r="J706" s="89"/>
      <c r="K706" s="89"/>
      <c r="L706" s="90"/>
    </row>
    <row r="707">
      <c r="A707" s="88" t="str">
        <f>'Season 1 - MafiaRatings'!A:A</f>
        <v/>
      </c>
      <c r="B707" s="2"/>
      <c r="J707" s="89"/>
      <c r="K707" s="89"/>
      <c r="L707" s="90"/>
    </row>
    <row r="708">
      <c r="A708" s="88" t="str">
        <f>'Season 1 - MafiaRatings'!A:A</f>
        <v/>
      </c>
      <c r="B708" s="2"/>
      <c r="J708" s="89"/>
      <c r="K708" s="89"/>
      <c r="L708" s="90"/>
    </row>
    <row r="709">
      <c r="A709" s="88" t="str">
        <f>'Season 1 - MafiaRatings'!A:A</f>
        <v/>
      </c>
      <c r="B709" s="2"/>
      <c r="J709" s="89"/>
      <c r="K709" s="89"/>
      <c r="L709" s="90"/>
    </row>
    <row r="710">
      <c r="A710" s="88" t="str">
        <f>'Season 1 - MafiaRatings'!A:A</f>
        <v/>
      </c>
      <c r="B710" s="2"/>
      <c r="J710" s="89"/>
      <c r="K710" s="89"/>
      <c r="L710" s="90"/>
    </row>
    <row r="711">
      <c r="A711" s="88" t="str">
        <f>'Season 1 - MafiaRatings'!A:A</f>
        <v/>
      </c>
      <c r="B711" s="2"/>
      <c r="J711" s="89"/>
      <c r="K711" s="89"/>
      <c r="L711" s="90"/>
    </row>
    <row r="712">
      <c r="A712" s="88" t="str">
        <f>'Season 1 - MafiaRatings'!A:A</f>
        <v/>
      </c>
      <c r="B712" s="2"/>
      <c r="J712" s="89"/>
      <c r="K712" s="89"/>
      <c r="L712" s="90"/>
    </row>
    <row r="713">
      <c r="A713" s="88" t="str">
        <f>'Season 1 - MafiaRatings'!A:A</f>
        <v/>
      </c>
      <c r="B713" s="2"/>
      <c r="J713" s="89"/>
      <c r="K713" s="89"/>
      <c r="L713" s="90"/>
    </row>
    <row r="714">
      <c r="A714" s="88" t="str">
        <f>'Season 1 - MafiaRatings'!A:A</f>
        <v/>
      </c>
      <c r="B714" s="2"/>
      <c r="J714" s="89"/>
      <c r="K714" s="89"/>
      <c r="L714" s="90"/>
    </row>
    <row r="715">
      <c r="A715" s="88" t="str">
        <f>'Season 1 - MafiaRatings'!A:A</f>
        <v/>
      </c>
      <c r="B715" s="2"/>
      <c r="J715" s="89"/>
      <c r="K715" s="89"/>
      <c r="L715" s="90"/>
    </row>
    <row r="716">
      <c r="A716" s="88" t="str">
        <f>'Season 1 - MafiaRatings'!A:A</f>
        <v/>
      </c>
      <c r="B716" s="2"/>
      <c r="J716" s="89"/>
      <c r="K716" s="89"/>
      <c r="L716" s="90"/>
    </row>
    <row r="717">
      <c r="A717" s="88" t="str">
        <f>'Season 1 - MafiaRatings'!A:A</f>
        <v/>
      </c>
      <c r="B717" s="2"/>
      <c r="J717" s="89"/>
      <c r="K717" s="89"/>
      <c r="L717" s="90"/>
    </row>
    <row r="718">
      <c r="A718" s="88" t="str">
        <f>'Season 1 - MafiaRatings'!A:A</f>
        <v/>
      </c>
      <c r="B718" s="2"/>
      <c r="J718" s="89"/>
      <c r="K718" s="89"/>
      <c r="L718" s="90"/>
    </row>
    <row r="719">
      <c r="A719" s="88" t="str">
        <f>'Season 1 - MafiaRatings'!A:A</f>
        <v/>
      </c>
      <c r="B719" s="2"/>
      <c r="J719" s="89"/>
      <c r="K719" s="89"/>
      <c r="L719" s="90"/>
    </row>
    <row r="720">
      <c r="A720" s="88" t="str">
        <f>'Season 1 - MafiaRatings'!A:A</f>
        <v/>
      </c>
      <c r="B720" s="2"/>
      <c r="J720" s="89"/>
      <c r="K720" s="89"/>
      <c r="L720" s="90"/>
    </row>
    <row r="721">
      <c r="A721" s="88" t="str">
        <f>'Season 1 - MafiaRatings'!A:A</f>
        <v/>
      </c>
      <c r="B721" s="2"/>
      <c r="J721" s="89"/>
      <c r="K721" s="89"/>
      <c r="L721" s="90"/>
    </row>
    <row r="722">
      <c r="A722" s="88" t="str">
        <f>'Season 1 - MafiaRatings'!A:A</f>
        <v/>
      </c>
      <c r="B722" s="2"/>
      <c r="J722" s="89"/>
      <c r="K722" s="89"/>
      <c r="L722" s="90"/>
    </row>
    <row r="723">
      <c r="A723" s="88" t="str">
        <f>'Season 1 - MafiaRatings'!A:A</f>
        <v/>
      </c>
      <c r="B723" s="2"/>
      <c r="J723" s="89"/>
      <c r="K723" s="89"/>
      <c r="L723" s="90"/>
    </row>
    <row r="724">
      <c r="A724" s="88" t="str">
        <f>'Season 1 - MafiaRatings'!A:A</f>
        <v/>
      </c>
      <c r="B724" s="2"/>
      <c r="J724" s="89"/>
      <c r="K724" s="89"/>
      <c r="L724" s="90"/>
    </row>
    <row r="725">
      <c r="A725" s="88" t="str">
        <f>'Season 1 - MafiaRatings'!A:A</f>
        <v/>
      </c>
      <c r="B725" s="2"/>
      <c r="J725" s="89"/>
      <c r="K725" s="89"/>
      <c r="L725" s="90"/>
    </row>
    <row r="726">
      <c r="A726" s="88" t="str">
        <f>'Season 1 - MafiaRatings'!A:A</f>
        <v/>
      </c>
      <c r="B726" s="2"/>
      <c r="J726" s="89"/>
      <c r="K726" s="89"/>
      <c r="L726" s="90"/>
    </row>
    <row r="727">
      <c r="A727" s="88" t="str">
        <f>'Season 1 - MafiaRatings'!A:A</f>
        <v/>
      </c>
      <c r="B727" s="2"/>
      <c r="J727" s="89"/>
      <c r="K727" s="89"/>
      <c r="L727" s="90"/>
    </row>
    <row r="728">
      <c r="A728" s="88" t="str">
        <f>'Season 1 - MafiaRatings'!A:A</f>
        <v/>
      </c>
      <c r="B728" s="2"/>
      <c r="J728" s="89"/>
      <c r="K728" s="89"/>
      <c r="L728" s="90"/>
    </row>
    <row r="729">
      <c r="A729" s="88" t="str">
        <f>'Season 1 - MafiaRatings'!A:A</f>
        <v/>
      </c>
      <c r="B729" s="2"/>
      <c r="J729" s="89"/>
      <c r="K729" s="89"/>
      <c r="L729" s="90"/>
    </row>
    <row r="730">
      <c r="A730" s="88" t="str">
        <f>'Season 1 - MafiaRatings'!A:A</f>
        <v/>
      </c>
      <c r="B730" s="2"/>
      <c r="J730" s="89"/>
      <c r="K730" s="89"/>
      <c r="L730" s="90"/>
    </row>
    <row r="731">
      <c r="A731" s="88" t="str">
        <f>'Season 1 - MafiaRatings'!A:A</f>
        <v/>
      </c>
      <c r="B731" s="2"/>
      <c r="J731" s="89"/>
      <c r="K731" s="89"/>
      <c r="L731" s="90"/>
    </row>
    <row r="732">
      <c r="A732" s="88" t="str">
        <f>'Season 1 - MafiaRatings'!A:A</f>
        <v/>
      </c>
      <c r="B732" s="2"/>
      <c r="J732" s="89"/>
      <c r="K732" s="89"/>
      <c r="L732" s="90"/>
    </row>
    <row r="733">
      <c r="A733" s="88" t="str">
        <f>'Season 1 - MafiaRatings'!A:A</f>
        <v/>
      </c>
      <c r="B733" s="2"/>
      <c r="J733" s="89"/>
      <c r="K733" s="89"/>
      <c r="L733" s="90"/>
    </row>
    <row r="734">
      <c r="A734" s="88" t="str">
        <f>'Season 1 - MafiaRatings'!A:A</f>
        <v/>
      </c>
      <c r="B734" s="2"/>
      <c r="J734" s="89"/>
      <c r="K734" s="89"/>
      <c r="L734" s="90"/>
    </row>
    <row r="735">
      <c r="A735" s="88" t="str">
        <f>'Season 1 - MafiaRatings'!A:A</f>
        <v/>
      </c>
      <c r="B735" s="2"/>
      <c r="J735" s="89"/>
      <c r="K735" s="89"/>
      <c r="L735" s="90"/>
    </row>
    <row r="736">
      <c r="A736" s="88" t="str">
        <f>'Season 1 - MafiaRatings'!A:A</f>
        <v/>
      </c>
      <c r="B736" s="2"/>
      <c r="J736" s="89"/>
      <c r="K736" s="89"/>
      <c r="L736" s="90"/>
    </row>
    <row r="737">
      <c r="A737" s="88" t="str">
        <f>'Season 1 - MafiaRatings'!A:A</f>
        <v/>
      </c>
      <c r="B737" s="2"/>
      <c r="J737" s="89"/>
      <c r="K737" s="89"/>
      <c r="L737" s="90"/>
    </row>
    <row r="738">
      <c r="A738" s="88" t="str">
        <f>'Season 1 - MafiaRatings'!A:A</f>
        <v/>
      </c>
      <c r="B738" s="2"/>
      <c r="J738" s="89"/>
      <c r="K738" s="89"/>
      <c r="L738" s="90"/>
    </row>
    <row r="739">
      <c r="A739" s="88" t="str">
        <f>'Season 1 - MafiaRatings'!A:A</f>
        <v/>
      </c>
      <c r="B739" s="2"/>
      <c r="J739" s="89"/>
      <c r="K739" s="89"/>
      <c r="L739" s="90"/>
    </row>
    <row r="740">
      <c r="A740" s="88" t="str">
        <f>'Season 1 - MafiaRatings'!A:A</f>
        <v/>
      </c>
      <c r="B740" s="2"/>
      <c r="J740" s="89"/>
      <c r="K740" s="89"/>
      <c r="L740" s="90"/>
    </row>
    <row r="741">
      <c r="A741" s="88" t="str">
        <f>'Season 1 - MafiaRatings'!A:A</f>
        <v/>
      </c>
      <c r="B741" s="2"/>
      <c r="J741" s="89"/>
      <c r="K741" s="89"/>
      <c r="L741" s="90"/>
    </row>
    <row r="742">
      <c r="A742" s="88" t="str">
        <f>'Season 1 - MafiaRatings'!A:A</f>
        <v/>
      </c>
      <c r="B742" s="2"/>
      <c r="J742" s="89"/>
      <c r="K742" s="89"/>
      <c r="L742" s="90"/>
    </row>
    <row r="743">
      <c r="A743" s="88" t="str">
        <f>'Season 1 - MafiaRatings'!A:A</f>
        <v/>
      </c>
      <c r="B743" s="2"/>
      <c r="J743" s="89"/>
      <c r="K743" s="89"/>
      <c r="L743" s="90"/>
    </row>
    <row r="744">
      <c r="A744" s="88" t="str">
        <f>'Season 1 - MafiaRatings'!A:A</f>
        <v/>
      </c>
      <c r="B744" s="2"/>
      <c r="J744" s="89"/>
      <c r="K744" s="89"/>
      <c r="L744" s="90"/>
    </row>
    <row r="745">
      <c r="A745" s="88" t="str">
        <f>'Season 1 - MafiaRatings'!A:A</f>
        <v/>
      </c>
      <c r="B745" s="2"/>
      <c r="J745" s="89"/>
      <c r="K745" s="89"/>
      <c r="L745" s="90"/>
    </row>
    <row r="746">
      <c r="A746" s="88" t="str">
        <f>'Season 1 - MafiaRatings'!A:A</f>
        <v/>
      </c>
      <c r="B746" s="2"/>
      <c r="J746" s="89"/>
      <c r="K746" s="89"/>
      <c r="L746" s="90"/>
    </row>
    <row r="747">
      <c r="A747" s="88" t="str">
        <f>'Season 1 - MafiaRatings'!A:A</f>
        <v/>
      </c>
      <c r="B747" s="2"/>
      <c r="J747" s="89"/>
      <c r="K747" s="89"/>
      <c r="L747" s="90"/>
    </row>
    <row r="748">
      <c r="A748" s="88" t="str">
        <f>'Season 1 - MafiaRatings'!A:A</f>
        <v/>
      </c>
      <c r="B748" s="2"/>
      <c r="J748" s="89"/>
      <c r="K748" s="89"/>
      <c r="L748" s="90"/>
    </row>
    <row r="749">
      <c r="A749" s="88" t="str">
        <f>'Season 1 - MafiaRatings'!A:A</f>
        <v/>
      </c>
      <c r="B749" s="2"/>
      <c r="J749" s="89"/>
      <c r="K749" s="89"/>
      <c r="L749" s="90"/>
    </row>
    <row r="750">
      <c r="A750" s="88" t="str">
        <f>'Season 1 - MafiaRatings'!A:A</f>
        <v/>
      </c>
      <c r="B750" s="2"/>
      <c r="J750" s="89"/>
      <c r="K750" s="89"/>
      <c r="L750" s="90"/>
    </row>
    <row r="751">
      <c r="A751" s="88" t="str">
        <f>'Season 1 - MafiaRatings'!A:A</f>
        <v/>
      </c>
      <c r="B751" s="2"/>
      <c r="J751" s="89"/>
      <c r="K751" s="89"/>
      <c r="L751" s="90"/>
    </row>
    <row r="752">
      <c r="A752" s="88" t="str">
        <f>'Season 1 - MafiaRatings'!A:A</f>
        <v/>
      </c>
      <c r="B752" s="2"/>
      <c r="J752" s="89"/>
      <c r="K752" s="89"/>
      <c r="L752" s="90"/>
    </row>
    <row r="753">
      <c r="A753" s="88" t="str">
        <f>'Season 1 - MafiaRatings'!A:A</f>
        <v/>
      </c>
      <c r="B753" s="2"/>
      <c r="J753" s="89"/>
      <c r="K753" s="89"/>
      <c r="L753" s="90"/>
    </row>
    <row r="754">
      <c r="A754" s="88" t="str">
        <f>'Season 1 - MafiaRatings'!A:A</f>
        <v/>
      </c>
      <c r="B754" s="2"/>
      <c r="J754" s="89"/>
      <c r="K754" s="89"/>
      <c r="L754" s="90"/>
    </row>
    <row r="755">
      <c r="A755" s="88" t="str">
        <f>'Season 1 - MafiaRatings'!A:A</f>
        <v/>
      </c>
      <c r="B755" s="2"/>
      <c r="J755" s="89"/>
      <c r="K755" s="89"/>
      <c r="L755" s="90"/>
    </row>
    <row r="756">
      <c r="A756" s="88" t="str">
        <f>'Season 1 - MafiaRatings'!A:A</f>
        <v/>
      </c>
      <c r="B756" s="2"/>
      <c r="J756" s="89"/>
      <c r="K756" s="89"/>
      <c r="L756" s="90"/>
    </row>
    <row r="757">
      <c r="A757" s="88" t="str">
        <f>'Season 1 - MafiaRatings'!A:A</f>
        <v/>
      </c>
      <c r="B757" s="2"/>
      <c r="J757" s="89"/>
      <c r="K757" s="89"/>
      <c r="L757" s="90"/>
    </row>
    <row r="758">
      <c r="A758" s="88" t="str">
        <f>'Season 1 - MafiaRatings'!A:A</f>
        <v/>
      </c>
      <c r="B758" s="2"/>
      <c r="J758" s="89"/>
      <c r="K758" s="89"/>
      <c r="L758" s="90"/>
    </row>
    <row r="759">
      <c r="A759" s="88" t="str">
        <f>'Season 1 - MafiaRatings'!A:A</f>
        <v/>
      </c>
      <c r="B759" s="2"/>
      <c r="J759" s="89"/>
      <c r="K759" s="89"/>
      <c r="L759" s="90"/>
    </row>
    <row r="760">
      <c r="A760" s="88" t="str">
        <f>'Season 1 - MafiaRatings'!A:A</f>
        <v/>
      </c>
      <c r="B760" s="2"/>
      <c r="J760" s="89"/>
      <c r="K760" s="89"/>
      <c r="L760" s="90"/>
    </row>
    <row r="761">
      <c r="A761" s="88" t="str">
        <f>'Season 1 - MafiaRatings'!A:A</f>
        <v/>
      </c>
      <c r="B761" s="2"/>
      <c r="J761" s="89"/>
      <c r="K761" s="89"/>
      <c r="L761" s="90"/>
    </row>
    <row r="762">
      <c r="A762" s="88" t="str">
        <f>'Season 1 - MafiaRatings'!A:A</f>
        <v/>
      </c>
      <c r="B762" s="2"/>
      <c r="J762" s="89"/>
      <c r="K762" s="89"/>
      <c r="L762" s="90"/>
    </row>
    <row r="763">
      <c r="A763" s="88" t="str">
        <f>'Season 1 - MafiaRatings'!A:A</f>
        <v/>
      </c>
      <c r="B763" s="2"/>
      <c r="J763" s="89"/>
      <c r="K763" s="89"/>
      <c r="L763" s="90"/>
    </row>
    <row r="764">
      <c r="A764" s="88" t="str">
        <f>'Season 1 - MafiaRatings'!A:A</f>
        <v/>
      </c>
      <c r="B764" s="2"/>
      <c r="J764" s="89"/>
      <c r="K764" s="89"/>
      <c r="L764" s="90"/>
    </row>
    <row r="765">
      <c r="A765" s="88" t="str">
        <f>'Season 1 - MafiaRatings'!A:A</f>
        <v/>
      </c>
      <c r="B765" s="2"/>
      <c r="J765" s="89"/>
      <c r="K765" s="89"/>
      <c r="L765" s="90"/>
    </row>
    <row r="766">
      <c r="A766" s="88" t="str">
        <f>'Season 1 - MafiaRatings'!A:A</f>
        <v/>
      </c>
      <c r="B766" s="2"/>
      <c r="J766" s="89"/>
      <c r="K766" s="89"/>
      <c r="L766" s="90"/>
    </row>
    <row r="767">
      <c r="A767" s="88" t="str">
        <f>'Season 1 - MafiaRatings'!A:A</f>
        <v/>
      </c>
      <c r="B767" s="2"/>
      <c r="J767" s="89"/>
      <c r="K767" s="89"/>
      <c r="L767" s="90"/>
    </row>
    <row r="768">
      <c r="A768" s="88" t="str">
        <f>'Season 1 - MafiaRatings'!A:A</f>
        <v/>
      </c>
      <c r="B768" s="2"/>
      <c r="J768" s="89"/>
      <c r="K768" s="89"/>
      <c r="L768" s="90"/>
    </row>
    <row r="769">
      <c r="A769" s="88" t="str">
        <f>'Season 1 - MafiaRatings'!A:A</f>
        <v/>
      </c>
      <c r="B769" s="2"/>
      <c r="J769" s="89"/>
      <c r="K769" s="89"/>
      <c r="L769" s="90"/>
    </row>
    <row r="770">
      <c r="A770" s="88" t="str">
        <f>'Season 1 - MafiaRatings'!A:A</f>
        <v/>
      </c>
      <c r="B770" s="2"/>
      <c r="J770" s="89"/>
      <c r="K770" s="89"/>
      <c r="L770" s="90"/>
    </row>
    <row r="771">
      <c r="A771" s="88" t="str">
        <f>'Season 1 - MafiaRatings'!A:A</f>
        <v/>
      </c>
      <c r="B771" s="2"/>
      <c r="J771" s="89"/>
      <c r="K771" s="89"/>
      <c r="L771" s="90"/>
    </row>
    <row r="772">
      <c r="A772" s="88" t="str">
        <f>'Season 1 - MafiaRatings'!A:A</f>
        <v/>
      </c>
      <c r="B772" s="2"/>
      <c r="J772" s="89"/>
      <c r="K772" s="89"/>
      <c r="L772" s="90"/>
    </row>
    <row r="773">
      <c r="A773" s="88" t="str">
        <f>'Season 1 - MafiaRatings'!A:A</f>
        <v/>
      </c>
      <c r="B773" s="2"/>
      <c r="J773" s="89"/>
      <c r="K773" s="89"/>
      <c r="L773" s="90"/>
    </row>
    <row r="774">
      <c r="A774" s="88" t="str">
        <f>'Season 1 - MafiaRatings'!A:A</f>
        <v/>
      </c>
      <c r="B774" s="2"/>
      <c r="J774" s="89"/>
      <c r="K774" s="89"/>
      <c r="L774" s="90"/>
    </row>
    <row r="775">
      <c r="A775" s="88" t="str">
        <f>'Season 1 - MafiaRatings'!A:A</f>
        <v/>
      </c>
      <c r="B775" s="2"/>
      <c r="J775" s="89"/>
      <c r="K775" s="89"/>
      <c r="L775" s="90"/>
    </row>
    <row r="776">
      <c r="A776" s="88" t="str">
        <f>'Season 1 - MafiaRatings'!A:A</f>
        <v/>
      </c>
      <c r="B776" s="2"/>
      <c r="J776" s="89"/>
      <c r="K776" s="89"/>
      <c r="L776" s="90"/>
    </row>
    <row r="777">
      <c r="A777" s="88" t="str">
        <f>'Season 1 - MafiaRatings'!A:A</f>
        <v/>
      </c>
      <c r="B777" s="2"/>
      <c r="J777" s="89"/>
      <c r="K777" s="89"/>
      <c r="L777" s="90"/>
    </row>
    <row r="778">
      <c r="A778" s="88" t="str">
        <f>'Season 1 - MafiaRatings'!A:A</f>
        <v/>
      </c>
      <c r="B778" s="2"/>
      <c r="J778" s="89"/>
      <c r="K778" s="89"/>
      <c r="L778" s="90"/>
    </row>
    <row r="779">
      <c r="A779" s="88" t="str">
        <f>'Season 1 - MafiaRatings'!A:A</f>
        <v/>
      </c>
      <c r="B779" s="2"/>
      <c r="J779" s="89"/>
      <c r="K779" s="89"/>
      <c r="L779" s="90"/>
    </row>
    <row r="780">
      <c r="A780" s="88" t="str">
        <f>'Season 1 - MafiaRatings'!A:A</f>
        <v/>
      </c>
      <c r="B780" s="2"/>
      <c r="J780" s="89"/>
      <c r="K780" s="89"/>
      <c r="L780" s="90"/>
    </row>
    <row r="781">
      <c r="A781" s="88" t="str">
        <f>'Season 1 - MafiaRatings'!A:A</f>
        <v/>
      </c>
      <c r="B781" s="2"/>
      <c r="J781" s="89"/>
      <c r="K781" s="89"/>
      <c r="L781" s="90"/>
    </row>
    <row r="782">
      <c r="A782" s="88" t="str">
        <f>'Season 1 - MafiaRatings'!A:A</f>
        <v/>
      </c>
      <c r="B782" s="2"/>
      <c r="J782" s="89"/>
      <c r="K782" s="89"/>
      <c r="L782" s="90"/>
    </row>
    <row r="783">
      <c r="A783" s="88" t="str">
        <f>'Season 1 - MafiaRatings'!A:A</f>
        <v/>
      </c>
      <c r="B783" s="2"/>
      <c r="J783" s="89"/>
      <c r="K783" s="89"/>
      <c r="L783" s="90"/>
    </row>
    <row r="784">
      <c r="A784" s="88" t="str">
        <f>'Season 1 - MafiaRatings'!A:A</f>
        <v/>
      </c>
      <c r="B784" s="2"/>
      <c r="J784" s="89"/>
      <c r="K784" s="89"/>
      <c r="L784" s="90"/>
    </row>
    <row r="785">
      <c r="A785" s="88" t="str">
        <f>'Season 1 - MafiaRatings'!A:A</f>
        <v/>
      </c>
      <c r="B785" s="2"/>
      <c r="J785" s="89"/>
      <c r="K785" s="89"/>
      <c r="L785" s="90"/>
    </row>
    <row r="786">
      <c r="A786" s="88" t="str">
        <f>'Season 1 - MafiaRatings'!A:A</f>
        <v/>
      </c>
      <c r="B786" s="2"/>
      <c r="J786" s="89"/>
      <c r="K786" s="89"/>
      <c r="L786" s="90"/>
    </row>
    <row r="787">
      <c r="A787" s="88" t="str">
        <f>'Season 1 - MafiaRatings'!A:A</f>
        <v/>
      </c>
      <c r="B787" s="2"/>
      <c r="J787" s="89"/>
      <c r="K787" s="89"/>
      <c r="L787" s="90"/>
    </row>
    <row r="788">
      <c r="A788" s="88" t="str">
        <f>'Season 1 - MafiaRatings'!A:A</f>
        <v/>
      </c>
      <c r="B788" s="2"/>
      <c r="J788" s="89"/>
      <c r="K788" s="89"/>
      <c r="L788" s="90"/>
    </row>
    <row r="789">
      <c r="A789" s="88" t="str">
        <f>'Season 1 - MafiaRatings'!A:A</f>
        <v/>
      </c>
      <c r="B789" s="2"/>
      <c r="J789" s="89"/>
      <c r="K789" s="89"/>
      <c r="L789" s="90"/>
    </row>
    <row r="790">
      <c r="A790" s="88" t="str">
        <f>'Season 1 - MafiaRatings'!A:A</f>
        <v/>
      </c>
      <c r="B790" s="2"/>
      <c r="J790" s="89"/>
      <c r="K790" s="89"/>
      <c r="L790" s="90"/>
    </row>
    <row r="791">
      <c r="A791" s="88" t="str">
        <f>'Season 1 - MafiaRatings'!A:A</f>
        <v/>
      </c>
      <c r="B791" s="2"/>
      <c r="J791" s="89"/>
      <c r="K791" s="89"/>
      <c r="L791" s="90"/>
    </row>
    <row r="792">
      <c r="A792" s="88" t="str">
        <f>'Season 1 - MafiaRatings'!A:A</f>
        <v/>
      </c>
      <c r="B792" s="2"/>
      <c r="J792" s="89"/>
      <c r="K792" s="89"/>
      <c r="L792" s="90"/>
    </row>
    <row r="793">
      <c r="A793" s="88" t="str">
        <f>'Season 1 - MafiaRatings'!A:A</f>
        <v/>
      </c>
      <c r="B793" s="2"/>
      <c r="J793" s="89"/>
      <c r="K793" s="89"/>
      <c r="L793" s="90"/>
    </row>
    <row r="794">
      <c r="A794" s="88" t="str">
        <f>'Season 1 - MafiaRatings'!A:A</f>
        <v/>
      </c>
      <c r="B794" s="2"/>
      <c r="J794" s="89"/>
      <c r="K794" s="89"/>
      <c r="L794" s="90"/>
    </row>
    <row r="795">
      <c r="A795" s="88" t="str">
        <f>'Season 1 - MafiaRatings'!A:A</f>
        <v/>
      </c>
      <c r="B795" s="2"/>
      <c r="J795" s="89"/>
      <c r="K795" s="89"/>
      <c r="L795" s="90"/>
    </row>
    <row r="796">
      <c r="A796" s="88" t="str">
        <f>'Season 1 - MafiaRatings'!A:A</f>
        <v/>
      </c>
      <c r="B796" s="2"/>
      <c r="J796" s="89"/>
      <c r="K796" s="89"/>
      <c r="L796" s="90"/>
    </row>
    <row r="797">
      <c r="A797" s="88" t="str">
        <f>'Season 1 - MafiaRatings'!A:A</f>
        <v/>
      </c>
      <c r="B797" s="2"/>
      <c r="J797" s="89"/>
      <c r="K797" s="89"/>
      <c r="L797" s="90"/>
    </row>
    <row r="798">
      <c r="A798" s="88" t="str">
        <f>'Season 1 - MafiaRatings'!A:A</f>
        <v/>
      </c>
      <c r="B798" s="2"/>
      <c r="J798" s="89"/>
      <c r="K798" s="89"/>
      <c r="L798" s="90"/>
    </row>
    <row r="799">
      <c r="A799" s="88" t="str">
        <f>'Season 1 - MafiaRatings'!A:A</f>
        <v/>
      </c>
      <c r="B799" s="2"/>
      <c r="J799" s="89"/>
      <c r="K799" s="89"/>
      <c r="L799" s="90"/>
    </row>
    <row r="800">
      <c r="A800" s="88" t="str">
        <f>'Season 1 - MafiaRatings'!A:A</f>
        <v/>
      </c>
      <c r="B800" s="2"/>
      <c r="J800" s="89"/>
      <c r="K800" s="89"/>
      <c r="L800" s="90"/>
    </row>
    <row r="801">
      <c r="A801" s="88" t="str">
        <f>'Season 1 - MafiaRatings'!A:A</f>
        <v/>
      </c>
      <c r="B801" s="2"/>
      <c r="J801" s="89"/>
      <c r="K801" s="89"/>
      <c r="L801" s="90"/>
    </row>
    <row r="802">
      <c r="A802" s="88" t="str">
        <f>'Season 1 - MafiaRatings'!A:A</f>
        <v/>
      </c>
      <c r="B802" s="2"/>
      <c r="J802" s="89"/>
      <c r="K802" s="89"/>
      <c r="L802" s="90"/>
    </row>
    <row r="803">
      <c r="A803" s="88" t="str">
        <f>'Season 1 - MafiaRatings'!A:A</f>
        <v/>
      </c>
      <c r="B803" s="2"/>
      <c r="J803" s="89"/>
      <c r="K803" s="89"/>
      <c r="L803" s="90"/>
    </row>
    <row r="804">
      <c r="A804" s="88" t="str">
        <f>'Season 1 - MafiaRatings'!A:A</f>
        <v/>
      </c>
      <c r="B804" s="2"/>
      <c r="J804" s="89"/>
      <c r="K804" s="89"/>
      <c r="L804" s="90"/>
    </row>
    <row r="805">
      <c r="A805" s="88" t="str">
        <f>'Season 1 - MafiaRatings'!A:A</f>
        <v/>
      </c>
      <c r="B805" s="2"/>
      <c r="J805" s="89"/>
      <c r="K805" s="89"/>
      <c r="L805" s="90"/>
    </row>
    <row r="806">
      <c r="A806" s="88" t="str">
        <f>'Season 1 - MafiaRatings'!A:A</f>
        <v/>
      </c>
      <c r="B806" s="2"/>
      <c r="J806" s="89"/>
      <c r="K806" s="89"/>
      <c r="L806" s="90"/>
    </row>
    <row r="807">
      <c r="A807" s="88" t="str">
        <f>'Season 1 - MafiaRatings'!A:A</f>
        <v/>
      </c>
      <c r="B807" s="2"/>
      <c r="J807" s="89"/>
      <c r="K807" s="89"/>
      <c r="L807" s="90"/>
    </row>
    <row r="808">
      <c r="A808" s="88" t="str">
        <f>'Season 1 - MafiaRatings'!A:A</f>
        <v/>
      </c>
      <c r="B808" s="2"/>
      <c r="J808" s="89"/>
      <c r="K808" s="89"/>
      <c r="L808" s="90"/>
    </row>
    <row r="809">
      <c r="A809" s="88" t="str">
        <f>'Season 1 - MafiaRatings'!A:A</f>
        <v/>
      </c>
      <c r="B809" s="2"/>
      <c r="J809" s="89"/>
      <c r="K809" s="89"/>
      <c r="L809" s="90"/>
    </row>
    <row r="810">
      <c r="A810" s="88" t="str">
        <f>'Season 1 - MafiaRatings'!A:A</f>
        <v/>
      </c>
      <c r="B810" s="2"/>
      <c r="J810" s="89"/>
      <c r="K810" s="89"/>
      <c r="L810" s="90"/>
    </row>
    <row r="811">
      <c r="A811" s="88" t="str">
        <f>'Season 1 - MafiaRatings'!A:A</f>
        <v/>
      </c>
      <c r="B811" s="2"/>
      <c r="J811" s="89"/>
      <c r="K811" s="89"/>
      <c r="L811" s="90"/>
    </row>
    <row r="812">
      <c r="A812" s="88" t="str">
        <f>'Season 1 - MafiaRatings'!A:A</f>
        <v/>
      </c>
      <c r="B812" s="2"/>
      <c r="J812" s="89"/>
      <c r="K812" s="89"/>
      <c r="L812" s="90"/>
    </row>
    <row r="813">
      <c r="A813" s="88" t="str">
        <f>'Season 1 - MafiaRatings'!A:A</f>
        <v/>
      </c>
      <c r="B813" s="2"/>
      <c r="J813" s="89"/>
      <c r="K813" s="89"/>
      <c r="L813" s="90"/>
    </row>
    <row r="814">
      <c r="A814" s="88" t="str">
        <f>'Season 1 - MafiaRatings'!A:A</f>
        <v/>
      </c>
      <c r="B814" s="2"/>
      <c r="J814" s="89"/>
      <c r="K814" s="89"/>
      <c r="L814" s="90"/>
    </row>
    <row r="815">
      <c r="A815" s="88" t="str">
        <f>'Season 1 - MafiaRatings'!A:A</f>
        <v/>
      </c>
      <c r="B815" s="2"/>
      <c r="J815" s="89"/>
      <c r="K815" s="89"/>
      <c r="L815" s="90"/>
    </row>
    <row r="816">
      <c r="A816" s="88" t="str">
        <f>'Season 1 - MafiaRatings'!A:A</f>
        <v/>
      </c>
      <c r="B816" s="2"/>
      <c r="J816" s="89"/>
      <c r="K816" s="89"/>
      <c r="L816" s="90"/>
    </row>
    <row r="817">
      <c r="A817" s="88" t="str">
        <f>'Season 1 - MafiaRatings'!A:A</f>
        <v/>
      </c>
      <c r="B817" s="2"/>
      <c r="J817" s="89"/>
      <c r="K817" s="89"/>
      <c r="L817" s="90"/>
    </row>
    <row r="818">
      <c r="A818" s="88" t="str">
        <f>'Season 1 - MafiaRatings'!A:A</f>
        <v/>
      </c>
      <c r="B818" s="2"/>
      <c r="J818" s="89"/>
      <c r="K818" s="89"/>
      <c r="L818" s="90"/>
    </row>
    <row r="819">
      <c r="A819" s="88" t="str">
        <f>'Season 1 - MafiaRatings'!A:A</f>
        <v/>
      </c>
      <c r="B819" s="2"/>
      <c r="J819" s="89"/>
      <c r="K819" s="89"/>
      <c r="L819" s="90"/>
    </row>
    <row r="820">
      <c r="A820" s="88" t="str">
        <f>'Season 1 - MafiaRatings'!A:A</f>
        <v/>
      </c>
      <c r="B820" s="2"/>
      <c r="J820" s="89"/>
      <c r="K820" s="89"/>
      <c r="L820" s="90"/>
    </row>
    <row r="821">
      <c r="A821" s="88" t="str">
        <f>'Season 1 - MafiaRatings'!A:A</f>
        <v/>
      </c>
      <c r="B821" s="2"/>
      <c r="J821" s="89"/>
      <c r="K821" s="89"/>
      <c r="L821" s="90"/>
    </row>
    <row r="822">
      <c r="A822" s="88" t="str">
        <f>'Season 1 - MafiaRatings'!A:A</f>
        <v/>
      </c>
      <c r="B822" s="2"/>
      <c r="J822" s="89"/>
      <c r="K822" s="89"/>
      <c r="L822" s="90"/>
    </row>
    <row r="823">
      <c r="A823" s="88" t="str">
        <f>'Season 1 - MafiaRatings'!A:A</f>
        <v/>
      </c>
      <c r="B823" s="2"/>
      <c r="J823" s="89"/>
      <c r="K823" s="89"/>
      <c r="L823" s="90"/>
    </row>
    <row r="824">
      <c r="A824" s="88" t="str">
        <f>'Season 1 - MafiaRatings'!A:A</f>
        <v/>
      </c>
      <c r="B824" s="2"/>
      <c r="J824" s="89"/>
      <c r="K824" s="89"/>
      <c r="L824" s="90"/>
    </row>
    <row r="825">
      <c r="A825" s="88" t="str">
        <f>'Season 1 - MafiaRatings'!A:A</f>
        <v/>
      </c>
      <c r="B825" s="2"/>
      <c r="J825" s="89"/>
      <c r="K825" s="89"/>
      <c r="L825" s="90"/>
    </row>
    <row r="826">
      <c r="A826" s="88" t="str">
        <f>'Season 1 - MafiaRatings'!A:A</f>
        <v/>
      </c>
      <c r="B826" s="2"/>
      <c r="J826" s="89"/>
      <c r="K826" s="89"/>
      <c r="L826" s="90"/>
    </row>
    <row r="827">
      <c r="A827" s="88" t="str">
        <f>'Season 1 - MafiaRatings'!A:A</f>
        <v/>
      </c>
      <c r="B827" s="2"/>
      <c r="J827" s="89"/>
      <c r="K827" s="89"/>
      <c r="L827" s="90"/>
    </row>
    <row r="828">
      <c r="A828" s="88" t="str">
        <f>'Season 1 - MafiaRatings'!A:A</f>
        <v/>
      </c>
      <c r="B828" s="2"/>
      <c r="J828" s="89"/>
      <c r="K828" s="89"/>
      <c r="L828" s="90"/>
    </row>
    <row r="829">
      <c r="A829" s="88" t="str">
        <f>'Season 1 - MafiaRatings'!A:A</f>
        <v/>
      </c>
      <c r="B829" s="2"/>
      <c r="J829" s="89"/>
      <c r="K829" s="89"/>
      <c r="L829" s="90"/>
    </row>
    <row r="830">
      <c r="A830" s="88" t="str">
        <f>'Season 1 - MafiaRatings'!A:A</f>
        <v/>
      </c>
      <c r="B830" s="2"/>
      <c r="J830" s="89"/>
      <c r="K830" s="89"/>
      <c r="L830" s="90"/>
    </row>
    <row r="831">
      <c r="A831" s="88" t="str">
        <f>'Season 1 - MafiaRatings'!A:A</f>
        <v/>
      </c>
      <c r="B831" s="2"/>
      <c r="J831" s="89"/>
      <c r="K831" s="89"/>
      <c r="L831" s="90"/>
    </row>
    <row r="832">
      <c r="A832" s="88" t="str">
        <f>'Season 1 - MafiaRatings'!A:A</f>
        <v/>
      </c>
      <c r="B832" s="2"/>
      <c r="J832" s="89"/>
      <c r="K832" s="89"/>
      <c r="L832" s="90"/>
    </row>
    <row r="833">
      <c r="A833" s="88" t="str">
        <f>'Season 1 - MafiaRatings'!A:A</f>
        <v/>
      </c>
      <c r="B833" s="2"/>
      <c r="J833" s="89"/>
      <c r="K833" s="89"/>
      <c r="L833" s="90"/>
    </row>
    <row r="834">
      <c r="A834" s="88" t="str">
        <f>'Season 1 - MafiaRatings'!A:A</f>
        <v/>
      </c>
      <c r="B834" s="2"/>
      <c r="J834" s="89"/>
      <c r="K834" s="89"/>
      <c r="L834" s="90"/>
    </row>
    <row r="835">
      <c r="A835" s="88" t="str">
        <f>'Season 1 - MafiaRatings'!A:A</f>
        <v/>
      </c>
      <c r="B835" s="2"/>
      <c r="J835" s="89"/>
      <c r="K835" s="89"/>
      <c r="L835" s="90"/>
    </row>
    <row r="836">
      <c r="A836" s="88" t="str">
        <f>'Season 1 - MafiaRatings'!A:A</f>
        <v/>
      </c>
      <c r="B836" s="2"/>
      <c r="J836" s="89"/>
      <c r="K836" s="89"/>
      <c r="L836" s="90"/>
    </row>
    <row r="837">
      <c r="A837" s="88" t="str">
        <f>'Season 1 - MafiaRatings'!A:A</f>
        <v/>
      </c>
      <c r="B837" s="2"/>
      <c r="J837" s="89"/>
      <c r="K837" s="89"/>
      <c r="L837" s="90"/>
    </row>
    <row r="838">
      <c r="A838" s="88" t="str">
        <f>'Season 1 - MafiaRatings'!A:A</f>
        <v/>
      </c>
      <c r="B838" s="2"/>
      <c r="J838" s="89"/>
      <c r="K838" s="89"/>
      <c r="L838" s="90"/>
    </row>
    <row r="839">
      <c r="A839" s="88" t="str">
        <f>'Season 1 - MafiaRatings'!A:A</f>
        <v/>
      </c>
      <c r="B839" s="2"/>
      <c r="J839" s="89"/>
      <c r="K839" s="89"/>
      <c r="L839" s="90"/>
    </row>
    <row r="840">
      <c r="A840" s="88" t="str">
        <f>'Season 1 - MafiaRatings'!A:A</f>
        <v/>
      </c>
      <c r="B840" s="2"/>
      <c r="J840" s="89"/>
      <c r="K840" s="89"/>
      <c r="L840" s="90"/>
    </row>
    <row r="841">
      <c r="A841" s="88" t="str">
        <f>'Season 1 - MafiaRatings'!A:A</f>
        <v/>
      </c>
      <c r="B841" s="2"/>
      <c r="J841" s="89"/>
      <c r="K841" s="89"/>
      <c r="L841" s="90"/>
    </row>
    <row r="842">
      <c r="A842" s="88" t="str">
        <f>'Season 1 - MafiaRatings'!A:A</f>
        <v/>
      </c>
      <c r="B842" s="2"/>
      <c r="J842" s="89"/>
      <c r="K842" s="89"/>
      <c r="L842" s="90"/>
    </row>
    <row r="843">
      <c r="A843" s="88" t="str">
        <f>'Season 1 - MafiaRatings'!A:A</f>
        <v/>
      </c>
      <c r="B843" s="2"/>
      <c r="J843" s="89"/>
      <c r="K843" s="89"/>
      <c r="L843" s="90"/>
    </row>
    <row r="844">
      <c r="A844" s="88" t="str">
        <f>'Season 1 - MafiaRatings'!A:A</f>
        <v/>
      </c>
      <c r="B844" s="2"/>
      <c r="J844" s="89"/>
      <c r="K844" s="89"/>
      <c r="L844" s="90"/>
    </row>
    <row r="845">
      <c r="A845" s="88" t="str">
        <f>'Season 1 - MafiaRatings'!A:A</f>
        <v/>
      </c>
      <c r="B845" s="2"/>
      <c r="J845" s="89"/>
      <c r="K845" s="89"/>
      <c r="L845" s="90"/>
    </row>
    <row r="846">
      <c r="A846" s="88" t="str">
        <f>'Season 1 - MafiaRatings'!A:A</f>
        <v/>
      </c>
      <c r="B846" s="2"/>
      <c r="J846" s="89"/>
      <c r="K846" s="89"/>
      <c r="L846" s="90"/>
    </row>
    <row r="847">
      <c r="A847" s="88" t="str">
        <f>'Season 1 - MafiaRatings'!A:A</f>
        <v/>
      </c>
      <c r="B847" s="2"/>
      <c r="J847" s="89"/>
      <c r="K847" s="89"/>
      <c r="L847" s="90"/>
    </row>
    <row r="848">
      <c r="A848" s="88" t="str">
        <f>'Season 1 - MafiaRatings'!A:A</f>
        <v/>
      </c>
      <c r="B848" s="2"/>
      <c r="J848" s="89"/>
      <c r="K848" s="89"/>
      <c r="L848" s="90"/>
    </row>
    <row r="849">
      <c r="A849" s="88" t="str">
        <f>'Season 1 - MafiaRatings'!A:A</f>
        <v/>
      </c>
      <c r="B849" s="2"/>
      <c r="J849" s="89"/>
      <c r="K849" s="89"/>
      <c r="L849" s="90"/>
    </row>
    <row r="850">
      <c r="A850" s="88" t="str">
        <f>'Season 1 - MafiaRatings'!A:A</f>
        <v/>
      </c>
      <c r="B850" s="2"/>
      <c r="J850" s="89"/>
      <c r="K850" s="89"/>
      <c r="L850" s="90"/>
    </row>
    <row r="851">
      <c r="A851" s="88" t="str">
        <f>'Season 1 - MafiaRatings'!A:A</f>
        <v/>
      </c>
      <c r="B851" s="2"/>
      <c r="J851" s="89"/>
      <c r="K851" s="89"/>
      <c r="L851" s="90"/>
    </row>
    <row r="852">
      <c r="A852" s="88" t="str">
        <f>'Season 1 - MafiaRatings'!A:A</f>
        <v/>
      </c>
      <c r="B852" s="2"/>
      <c r="J852" s="89"/>
      <c r="K852" s="89"/>
      <c r="L852" s="90"/>
    </row>
    <row r="853">
      <c r="A853" s="88" t="str">
        <f>'Season 1 - MafiaRatings'!A:A</f>
        <v/>
      </c>
      <c r="B853" s="2"/>
      <c r="J853" s="89"/>
      <c r="K853" s="89"/>
      <c r="L853" s="90"/>
    </row>
    <row r="854">
      <c r="A854" s="88" t="str">
        <f>'Season 1 - MafiaRatings'!A:A</f>
        <v/>
      </c>
      <c r="B854" s="2"/>
      <c r="J854" s="89"/>
      <c r="K854" s="89"/>
      <c r="L854" s="90"/>
    </row>
    <row r="855">
      <c r="A855" s="88" t="str">
        <f>'Season 1 - MafiaRatings'!A:A</f>
        <v/>
      </c>
      <c r="B855" s="2"/>
      <c r="J855" s="89"/>
      <c r="K855" s="89"/>
      <c r="L855" s="90"/>
    </row>
    <row r="856">
      <c r="A856" s="88" t="str">
        <f>'Season 1 - MafiaRatings'!A:A</f>
        <v/>
      </c>
      <c r="B856" s="2"/>
      <c r="J856" s="89"/>
      <c r="K856" s="89"/>
      <c r="L856" s="90"/>
    </row>
    <row r="857">
      <c r="A857" s="88" t="str">
        <f>'Season 1 - MafiaRatings'!A:A</f>
        <v/>
      </c>
      <c r="B857" s="2"/>
      <c r="J857" s="89"/>
      <c r="K857" s="89"/>
      <c r="L857" s="90"/>
    </row>
    <row r="858">
      <c r="A858" s="88" t="str">
        <f>'Season 1 - MafiaRatings'!A:A</f>
        <v/>
      </c>
      <c r="B858" s="2"/>
      <c r="J858" s="89"/>
      <c r="K858" s="89"/>
      <c r="L858" s="90"/>
    </row>
    <row r="859">
      <c r="A859" s="88" t="str">
        <f>'Season 1 - MafiaRatings'!A:A</f>
        <v/>
      </c>
      <c r="B859" s="2"/>
      <c r="J859" s="89"/>
      <c r="K859" s="89"/>
      <c r="L859" s="90"/>
    </row>
    <row r="860">
      <c r="A860" s="88" t="str">
        <f>'Season 1 - MafiaRatings'!A:A</f>
        <v/>
      </c>
      <c r="B860" s="2"/>
      <c r="J860" s="89"/>
      <c r="K860" s="89"/>
      <c r="L860" s="90"/>
    </row>
    <row r="861">
      <c r="A861" s="88" t="str">
        <f>'Season 1 - MafiaRatings'!A:A</f>
        <v/>
      </c>
      <c r="B861" s="2"/>
      <c r="J861" s="89"/>
      <c r="K861" s="89"/>
      <c r="L861" s="90"/>
    </row>
    <row r="862">
      <c r="A862" s="88" t="str">
        <f>'Season 1 - MafiaRatings'!A:A</f>
        <v/>
      </c>
      <c r="B862" s="2"/>
      <c r="J862" s="89"/>
      <c r="K862" s="89"/>
      <c r="L862" s="90"/>
    </row>
    <row r="863">
      <c r="A863" s="88" t="str">
        <f>'Season 1 - MafiaRatings'!A:A</f>
        <v/>
      </c>
      <c r="B863" s="2"/>
      <c r="J863" s="89"/>
      <c r="K863" s="89"/>
      <c r="L863" s="90"/>
    </row>
    <row r="864">
      <c r="A864" s="88" t="str">
        <f>'Season 1 - MafiaRatings'!A:A</f>
        <v/>
      </c>
      <c r="B864" s="2"/>
      <c r="J864" s="89"/>
      <c r="K864" s="89"/>
      <c r="L864" s="90"/>
    </row>
    <row r="865">
      <c r="A865" s="88" t="str">
        <f>'Season 1 - MafiaRatings'!A:A</f>
        <v/>
      </c>
      <c r="B865" s="2"/>
      <c r="J865" s="89"/>
      <c r="K865" s="89"/>
      <c r="L865" s="90"/>
    </row>
    <row r="866">
      <c r="A866" s="88" t="str">
        <f>'Season 1 - MafiaRatings'!A:A</f>
        <v/>
      </c>
      <c r="B866" s="2"/>
      <c r="J866" s="89"/>
      <c r="K866" s="89"/>
      <c r="L866" s="90"/>
    </row>
    <row r="867">
      <c r="A867" s="88" t="str">
        <f>'Season 1 - MafiaRatings'!A:A</f>
        <v/>
      </c>
      <c r="B867" s="2"/>
      <c r="J867" s="89"/>
      <c r="K867" s="89"/>
      <c r="L867" s="90"/>
    </row>
    <row r="868">
      <c r="A868" s="88" t="str">
        <f>'Season 1 - MafiaRatings'!A:A</f>
        <v/>
      </c>
      <c r="B868" s="2"/>
      <c r="J868" s="89"/>
      <c r="K868" s="89"/>
      <c r="L868" s="90"/>
    </row>
    <row r="869">
      <c r="A869" s="88" t="str">
        <f>'Season 1 - MafiaRatings'!A:A</f>
        <v/>
      </c>
      <c r="B869" s="2"/>
      <c r="J869" s="89"/>
      <c r="K869" s="89"/>
      <c r="L869" s="90"/>
    </row>
    <row r="870">
      <c r="A870" s="88" t="str">
        <f>'Season 1 - MafiaRatings'!A:A</f>
        <v/>
      </c>
      <c r="B870" s="2"/>
      <c r="J870" s="89"/>
      <c r="K870" s="89"/>
      <c r="L870" s="90"/>
    </row>
    <row r="871">
      <c r="A871" s="88" t="str">
        <f>'Season 1 - MafiaRatings'!A:A</f>
        <v/>
      </c>
      <c r="B871" s="2"/>
      <c r="J871" s="89"/>
      <c r="K871" s="89"/>
      <c r="L871" s="90"/>
    </row>
    <row r="872">
      <c r="A872" s="88" t="str">
        <f>'Season 1 - MafiaRatings'!A:A</f>
        <v/>
      </c>
      <c r="B872" s="2"/>
      <c r="J872" s="89"/>
      <c r="K872" s="89"/>
      <c r="L872" s="90"/>
    </row>
    <row r="873">
      <c r="A873" s="88" t="str">
        <f>'Season 1 - MafiaRatings'!A:A</f>
        <v/>
      </c>
      <c r="B873" s="2"/>
      <c r="J873" s="89"/>
      <c r="K873" s="89"/>
      <c r="L873" s="90"/>
    </row>
    <row r="874">
      <c r="A874" s="88" t="str">
        <f>'Season 1 - MafiaRatings'!A:A</f>
        <v/>
      </c>
      <c r="B874" s="2"/>
      <c r="J874" s="89"/>
      <c r="K874" s="89"/>
      <c r="L874" s="90"/>
    </row>
    <row r="875">
      <c r="A875" s="88" t="str">
        <f>'Season 1 - MafiaRatings'!A:A</f>
        <v/>
      </c>
      <c r="B875" s="2"/>
      <c r="J875" s="89"/>
      <c r="K875" s="89"/>
      <c r="L875" s="90"/>
    </row>
    <row r="876">
      <c r="A876" s="88" t="str">
        <f>'Season 1 - MafiaRatings'!A:A</f>
        <v/>
      </c>
      <c r="B876" s="2"/>
      <c r="J876" s="89"/>
      <c r="K876" s="89"/>
      <c r="L876" s="90"/>
    </row>
    <row r="877">
      <c r="A877" s="88" t="str">
        <f>'Season 1 - MafiaRatings'!A:A</f>
        <v/>
      </c>
      <c r="B877" s="2"/>
      <c r="J877" s="89"/>
      <c r="K877" s="89"/>
      <c r="L877" s="90"/>
    </row>
    <row r="878">
      <c r="A878" s="88" t="str">
        <f>'Season 1 - MafiaRatings'!A:A</f>
        <v/>
      </c>
      <c r="B878" s="2"/>
      <c r="J878" s="89"/>
      <c r="K878" s="89"/>
      <c r="L878" s="90"/>
    </row>
    <row r="879">
      <c r="A879" s="88" t="str">
        <f>'Season 1 - MafiaRatings'!A:A</f>
        <v/>
      </c>
      <c r="B879" s="2"/>
      <c r="J879" s="89"/>
      <c r="K879" s="89"/>
      <c r="L879" s="90"/>
    </row>
    <row r="880">
      <c r="A880" s="88" t="str">
        <f>'Season 1 - MafiaRatings'!A:A</f>
        <v/>
      </c>
      <c r="B880" s="2"/>
      <c r="J880" s="89"/>
      <c r="K880" s="89"/>
      <c r="L880" s="90"/>
    </row>
    <row r="881">
      <c r="A881" s="88" t="str">
        <f>'Season 1 - MafiaRatings'!A:A</f>
        <v/>
      </c>
      <c r="B881" s="2"/>
      <c r="J881" s="89"/>
      <c r="K881" s="89"/>
      <c r="L881" s="90"/>
    </row>
    <row r="882">
      <c r="A882" s="88" t="str">
        <f>'Season 1 - MafiaRatings'!A:A</f>
        <v/>
      </c>
      <c r="B882" s="2"/>
      <c r="J882" s="89"/>
      <c r="K882" s="89"/>
      <c r="L882" s="90"/>
    </row>
    <row r="883">
      <c r="A883" s="88" t="str">
        <f>'Season 1 - MafiaRatings'!A:A</f>
        <v/>
      </c>
      <c r="B883" s="2"/>
      <c r="J883" s="89"/>
      <c r="K883" s="89"/>
      <c r="L883" s="90"/>
    </row>
    <row r="884">
      <c r="A884" s="88" t="str">
        <f>'Season 1 - MafiaRatings'!A:A</f>
        <v/>
      </c>
      <c r="B884" s="2"/>
      <c r="J884" s="89"/>
      <c r="K884" s="89"/>
      <c r="L884" s="90"/>
    </row>
    <row r="885">
      <c r="A885" s="88" t="str">
        <f>'Season 1 - MafiaRatings'!A:A</f>
        <v/>
      </c>
      <c r="B885" s="2"/>
      <c r="J885" s="89"/>
      <c r="K885" s="89"/>
      <c r="L885" s="90"/>
    </row>
    <row r="886">
      <c r="A886" s="88" t="str">
        <f>'Season 1 - MafiaRatings'!A:A</f>
        <v/>
      </c>
      <c r="B886" s="2"/>
      <c r="J886" s="89"/>
      <c r="K886" s="89"/>
      <c r="L886" s="90"/>
    </row>
    <row r="887">
      <c r="A887" s="88" t="str">
        <f>'Season 1 - MafiaRatings'!A:A</f>
        <v/>
      </c>
      <c r="B887" s="2"/>
      <c r="J887" s="89"/>
      <c r="K887" s="89"/>
      <c r="L887" s="90"/>
    </row>
    <row r="888">
      <c r="A888" s="88" t="str">
        <f>'Season 1 - MafiaRatings'!A:A</f>
        <v/>
      </c>
      <c r="B888" s="2"/>
      <c r="J888" s="89"/>
      <c r="K888" s="89"/>
      <c r="L888" s="90"/>
    </row>
    <row r="889">
      <c r="A889" s="88" t="str">
        <f>'Season 1 - MafiaRatings'!A:A</f>
        <v/>
      </c>
      <c r="B889" s="2"/>
      <c r="J889" s="89"/>
      <c r="K889" s="89"/>
      <c r="L889" s="90"/>
    </row>
    <row r="890">
      <c r="A890" s="88" t="str">
        <f>'Season 1 - MafiaRatings'!A:A</f>
        <v/>
      </c>
      <c r="B890" s="2"/>
      <c r="J890" s="89"/>
      <c r="K890" s="89"/>
      <c r="L890" s="90"/>
    </row>
    <row r="891">
      <c r="A891" s="88" t="str">
        <f>'Season 1 - MafiaRatings'!A:A</f>
        <v/>
      </c>
      <c r="B891" s="2"/>
      <c r="J891" s="89"/>
      <c r="K891" s="89"/>
      <c r="L891" s="90"/>
    </row>
    <row r="892">
      <c r="A892" s="88" t="str">
        <f>'Season 1 - MafiaRatings'!A:A</f>
        <v/>
      </c>
      <c r="B892" s="2"/>
      <c r="J892" s="89"/>
      <c r="K892" s="89"/>
      <c r="L892" s="90"/>
    </row>
  </sheetData>
  <customSheetViews>
    <customSheetView guid="{2421FC68-A8E1-4E36-8793-BD8E9B3ABDC7}" filter="1" showAutoFilter="1">
      <autoFilter ref="$A$1:$L$70">
        <sortState ref="A1:L70">
          <sortCondition descending="1" ref="D1:D70"/>
        </sortState>
      </autoFilter>
    </customSheetView>
    <customSheetView guid="{2D682F4A-86B4-46EA-A1E8-C78D83701084}" filter="1" showAutoFilter="1">
      <autoFilter ref="$A$1:$L$70">
        <sortState ref="A1:L70">
          <sortCondition descending="1" ref="G1:G70"/>
        </sortState>
      </autoFilter>
    </customSheetView>
  </customSheetView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B1" s="2" t="s">
        <v>125</v>
      </c>
      <c r="C1" s="2" t="s">
        <v>126</v>
      </c>
    </row>
    <row r="2">
      <c r="A2" s="91" t="s">
        <v>127</v>
      </c>
      <c r="B2" s="91" t="s">
        <v>125</v>
      </c>
      <c r="C2" s="91" t="s">
        <v>126</v>
      </c>
    </row>
    <row r="3">
      <c r="A3" s="91" t="s">
        <v>59</v>
      </c>
      <c r="B3" s="92">
        <v>28.0035338195264</v>
      </c>
      <c r="C3" s="92">
        <v>8.12636845709006</v>
      </c>
    </row>
    <row r="4">
      <c r="A4" s="91" t="s">
        <v>29</v>
      </c>
      <c r="B4" s="93">
        <v>30.325724246302375</v>
      </c>
      <c r="C4" s="93">
        <v>5.792246352578921</v>
      </c>
    </row>
    <row r="5">
      <c r="A5" s="91" t="s">
        <v>19</v>
      </c>
      <c r="B5" s="93">
        <v>36.313279067919105</v>
      </c>
      <c r="C5" s="93">
        <v>7.16237267512103</v>
      </c>
    </row>
    <row r="6">
      <c r="A6" s="91" t="s">
        <v>97</v>
      </c>
      <c r="B6" s="93">
        <v>21.22932002678521</v>
      </c>
      <c r="C6" s="93">
        <v>5.961170199161009</v>
      </c>
    </row>
    <row r="7">
      <c r="A7" s="91" t="s">
        <v>55</v>
      </c>
      <c r="B7" s="92">
        <v>28.0459811454124</v>
      </c>
      <c r="C7" s="92">
        <v>7.87942166758777</v>
      </c>
    </row>
    <row r="8">
      <c r="A8" s="91" t="s">
        <v>38</v>
      </c>
      <c r="B8" s="93">
        <v>27.41233772967998</v>
      </c>
      <c r="C8" s="93">
        <v>5.421210680588219</v>
      </c>
    </row>
    <row r="9">
      <c r="A9" s="91" t="s">
        <v>67</v>
      </c>
      <c r="B9" s="93">
        <v>24.106869068034666</v>
      </c>
      <c r="C9" s="93">
        <v>6.332907803605315</v>
      </c>
    </row>
    <row r="10">
      <c r="A10" s="91" t="s">
        <v>24</v>
      </c>
      <c r="B10" s="93">
        <v>31.980697690713697</v>
      </c>
      <c r="C10" s="93">
        <v>5.814937736425785</v>
      </c>
    </row>
    <row r="11">
      <c r="A11" s="91" t="s">
        <v>64</v>
      </c>
      <c r="B11" s="93">
        <v>24.67603197800526</v>
      </c>
      <c r="C11" s="93">
        <v>6.6723844814959605</v>
      </c>
    </row>
    <row r="12">
      <c r="A12" s="91" t="s">
        <v>111</v>
      </c>
      <c r="B12" s="93">
        <v>22.192758810273936</v>
      </c>
      <c r="C12" s="93">
        <v>7.210247373562711</v>
      </c>
    </row>
    <row r="13">
      <c r="A13" s="91" t="s">
        <v>26</v>
      </c>
      <c r="B13" s="93">
        <v>31.26789762310588</v>
      </c>
      <c r="C13" s="93">
        <v>5.856943112154718</v>
      </c>
    </row>
    <row r="14">
      <c r="A14" s="91" t="s">
        <v>22</v>
      </c>
      <c r="B14" s="93">
        <v>31.816797280728515</v>
      </c>
      <c r="C14" s="93">
        <v>5.238906040412915</v>
      </c>
    </row>
    <row r="15">
      <c r="A15" s="91" t="s">
        <v>99</v>
      </c>
      <c r="B15" s="92">
        <v>24.0149840083332</v>
      </c>
      <c r="C15" s="92">
        <v>7.97377178625316</v>
      </c>
    </row>
    <row r="16">
      <c r="A16" s="91" t="s">
        <v>28</v>
      </c>
      <c r="B16" s="93">
        <v>31.269928419775326</v>
      </c>
      <c r="C16" s="93">
        <v>6.196809451229949</v>
      </c>
    </row>
    <row r="17">
      <c r="A17" s="91" t="s">
        <v>52</v>
      </c>
      <c r="B17" s="92">
        <v>28.6868712847855</v>
      </c>
      <c r="C17" s="92">
        <v>8.04973547070393</v>
      </c>
    </row>
    <row r="18">
      <c r="A18" s="91" t="s">
        <v>116</v>
      </c>
      <c r="B18" s="92">
        <v>22.9536739190734</v>
      </c>
      <c r="C18" s="92">
        <v>8.21592621119388</v>
      </c>
    </row>
    <row r="19">
      <c r="A19" s="91" t="s">
        <v>23</v>
      </c>
      <c r="B19" s="93">
        <v>31.363469428928823</v>
      </c>
      <c r="C19" s="93">
        <v>5.360451494919764</v>
      </c>
    </row>
    <row r="20">
      <c r="A20" s="91" t="s">
        <v>18</v>
      </c>
      <c r="B20" s="93">
        <v>34.739790208182285</v>
      </c>
      <c r="C20" s="93">
        <v>5.982032279338706</v>
      </c>
    </row>
    <row r="21">
      <c r="A21" s="91" t="s">
        <v>37</v>
      </c>
      <c r="B21" s="93">
        <v>30.68593205373798</v>
      </c>
      <c r="C21" s="93">
        <v>7.595433607911517</v>
      </c>
    </row>
    <row r="22">
      <c r="A22" s="91" t="s">
        <v>16</v>
      </c>
      <c r="B22" s="93">
        <v>36.7364875332601</v>
      </c>
      <c r="C22" s="93">
        <v>5.31945845904674</v>
      </c>
    </row>
    <row r="23">
      <c r="A23" s="91" t="s">
        <v>40</v>
      </c>
      <c r="B23" s="93">
        <v>30.180623568015445</v>
      </c>
      <c r="C23" s="93">
        <v>7.30485892627358</v>
      </c>
    </row>
    <row r="24">
      <c r="A24" s="91" t="s">
        <v>90</v>
      </c>
      <c r="B24" s="92">
        <v>24.8895158049077</v>
      </c>
      <c r="C24" s="92">
        <v>8.0959082357272</v>
      </c>
    </row>
    <row r="25">
      <c r="A25" s="91" t="s">
        <v>32</v>
      </c>
      <c r="B25" s="93">
        <v>30.4310175741356</v>
      </c>
      <c r="C25" s="93">
        <v>6.340837276265773</v>
      </c>
    </row>
    <row r="26">
      <c r="A26" s="91" t="s">
        <v>43</v>
      </c>
      <c r="B26" s="93">
        <v>28.979613921642205</v>
      </c>
      <c r="C26" s="93">
        <v>7.278327153350606</v>
      </c>
    </row>
    <row r="27">
      <c r="A27" s="91" t="s">
        <v>20</v>
      </c>
      <c r="B27" s="93">
        <v>35.1607908342522</v>
      </c>
      <c r="C27" s="93">
        <v>6.772129600502464</v>
      </c>
    </row>
    <row r="28">
      <c r="A28" s="91" t="s">
        <v>46</v>
      </c>
      <c r="B28" s="93">
        <v>27.920206076811397</v>
      </c>
      <c r="C28" s="93">
        <v>6.701703463139175</v>
      </c>
    </row>
    <row r="29">
      <c r="A29" s="91" t="s">
        <v>47</v>
      </c>
      <c r="B29" s="93">
        <v>25.765842017335505</v>
      </c>
      <c r="C29" s="93">
        <v>5.579500378566413</v>
      </c>
    </row>
    <row r="30">
      <c r="A30" s="91" t="s">
        <v>27</v>
      </c>
      <c r="B30" s="93">
        <v>31.346690362202192</v>
      </c>
      <c r="C30" s="93">
        <v>6.097941711959299</v>
      </c>
    </row>
    <row r="31">
      <c r="A31" s="91" t="s">
        <v>17</v>
      </c>
      <c r="B31" s="93">
        <v>35.47676446816177</v>
      </c>
      <c r="C31" s="93">
        <v>5.8193790607958205</v>
      </c>
    </row>
    <row r="32">
      <c r="A32" s="91" t="s">
        <v>83</v>
      </c>
      <c r="B32" s="93">
        <v>23.017725926337544</v>
      </c>
      <c r="C32" s="93">
        <v>6.61956533509106</v>
      </c>
    </row>
    <row r="33">
      <c r="A33" s="91" t="s">
        <v>124</v>
      </c>
      <c r="B33" s="93">
        <v>18.133702480272024</v>
      </c>
      <c r="C33" s="93">
        <v>7.274366951010908</v>
      </c>
    </row>
    <row r="34">
      <c r="A34" s="91" t="s">
        <v>30</v>
      </c>
      <c r="B34" s="93">
        <v>32.96084776344617</v>
      </c>
      <c r="C34" s="93">
        <v>7.643398228720036</v>
      </c>
    </row>
    <row r="35">
      <c r="A35" s="91" t="s">
        <v>31</v>
      </c>
      <c r="B35" s="93">
        <v>31.027400477320473</v>
      </c>
      <c r="C35" s="93">
        <v>6.5269233078284845</v>
      </c>
    </row>
    <row r="36">
      <c r="A36" s="91" t="s">
        <v>35</v>
      </c>
      <c r="B36" s="93">
        <v>30.354062809376263</v>
      </c>
      <c r="C36" s="93">
        <v>6.924432948105967</v>
      </c>
    </row>
    <row r="37">
      <c r="A37" s="91" t="s">
        <v>53</v>
      </c>
      <c r="B37" s="92">
        <v>28.3976313450147</v>
      </c>
      <c r="C37" s="92">
        <v>7.99674546475772</v>
      </c>
    </row>
    <row r="38">
      <c r="A38" s="91" t="s">
        <v>123</v>
      </c>
      <c r="B38" s="93">
        <v>21.309976630207444</v>
      </c>
      <c r="C38" s="93">
        <v>7.8839838651578065</v>
      </c>
    </row>
    <row r="39">
      <c r="A39" s="91" t="s">
        <v>76</v>
      </c>
      <c r="B39" s="93">
        <v>26.140028794923303</v>
      </c>
      <c r="C39" s="93">
        <v>8.246081844075775</v>
      </c>
    </row>
    <row r="40">
      <c r="A40" s="91" t="s">
        <v>82</v>
      </c>
      <c r="B40" s="93">
        <v>25.38954478307352</v>
      </c>
      <c r="C40" s="93">
        <v>8.200275452637543</v>
      </c>
    </row>
    <row r="41">
      <c r="A41" s="91" t="s">
        <v>66</v>
      </c>
      <c r="B41" s="92">
        <v>26.5957678621264</v>
      </c>
      <c r="C41" s="92">
        <v>7.97538989065839</v>
      </c>
    </row>
    <row r="42">
      <c r="A42" s="91" t="s">
        <v>117</v>
      </c>
      <c r="B42" s="92">
        <v>22.7199450624699</v>
      </c>
      <c r="C42" s="92">
        <v>8.08879469391374</v>
      </c>
    </row>
    <row r="43">
      <c r="A43" s="91" t="s">
        <v>51</v>
      </c>
      <c r="B43" s="93">
        <v>28.70642941114711</v>
      </c>
      <c r="C43" s="93">
        <v>8.047469825743597</v>
      </c>
    </row>
    <row r="44">
      <c r="A44" s="91" t="s">
        <v>77</v>
      </c>
      <c r="B44" s="92">
        <v>25.7768023827674</v>
      </c>
      <c r="C44" s="92">
        <v>8.0693159324522</v>
      </c>
    </row>
    <row r="45">
      <c r="A45" s="91" t="s">
        <v>71</v>
      </c>
      <c r="B45" s="93">
        <v>25.67692572868433</v>
      </c>
      <c r="C45" s="93">
        <v>7.5322862871705585</v>
      </c>
    </row>
    <row r="46">
      <c r="A46" s="91" t="s">
        <v>85</v>
      </c>
      <c r="B46" s="92">
        <v>25.2913652730624</v>
      </c>
      <c r="C46" s="92">
        <v>8.21223833411995</v>
      </c>
    </row>
    <row r="47">
      <c r="A47" s="91" t="s">
        <v>21</v>
      </c>
      <c r="B47" s="93">
        <v>33.99674663034498</v>
      </c>
      <c r="C47" s="93">
        <v>6.67520509098281</v>
      </c>
    </row>
    <row r="48">
      <c r="A48" s="91" t="s">
        <v>78</v>
      </c>
      <c r="B48" s="93">
        <v>25.570622671259066</v>
      </c>
      <c r="C48" s="93">
        <v>7.953565330865949</v>
      </c>
    </row>
    <row r="49">
      <c r="A49" s="91" t="s">
        <v>89</v>
      </c>
      <c r="B49" s="93">
        <v>25.06832901933283</v>
      </c>
      <c r="C49" s="93">
        <v>8.167753296329067</v>
      </c>
    </row>
    <row r="50">
      <c r="A50" s="91" t="s">
        <v>122</v>
      </c>
      <c r="B50" s="93">
        <v>21.540960068076423</v>
      </c>
      <c r="C50" s="93">
        <v>7.827191824887401</v>
      </c>
    </row>
    <row r="51">
      <c r="A51" s="91" t="s">
        <v>33</v>
      </c>
      <c r="B51" s="93">
        <v>30.38530378783807</v>
      </c>
      <c r="C51" s="93">
        <v>6.323269824086918</v>
      </c>
    </row>
    <row r="52">
      <c r="A52" s="91" t="s">
        <v>50</v>
      </c>
      <c r="B52" s="93">
        <v>26.68096064850889</v>
      </c>
      <c r="C52" s="93">
        <v>6.484569156636911</v>
      </c>
    </row>
    <row r="53">
      <c r="A53" s="91" t="s">
        <v>42</v>
      </c>
      <c r="B53" s="93">
        <v>28.63160153338311</v>
      </c>
      <c r="C53" s="93">
        <v>6.5821928384931185</v>
      </c>
    </row>
    <row r="54">
      <c r="A54" s="91" t="s">
        <v>34</v>
      </c>
      <c r="B54" s="93">
        <v>30.326560194764955</v>
      </c>
      <c r="C54" s="93">
        <v>6.471523983125114</v>
      </c>
    </row>
    <row r="55">
      <c r="A55" s="91" t="s">
        <v>87</v>
      </c>
      <c r="B55" s="92">
        <v>24.7930390718625</v>
      </c>
      <c r="C55" s="92">
        <v>7.94455508104567</v>
      </c>
    </row>
    <row r="56">
      <c r="A56" s="91" t="s">
        <v>81</v>
      </c>
      <c r="B56" s="92">
        <v>25.5582881768274</v>
      </c>
      <c r="C56" s="92">
        <v>8.29006917722233</v>
      </c>
    </row>
    <row r="57">
      <c r="A57" s="91" t="s">
        <v>49</v>
      </c>
      <c r="B57" s="92">
        <v>29.2491084306628</v>
      </c>
      <c r="C57" s="92">
        <v>8.12829949317133</v>
      </c>
    </row>
    <row r="58">
      <c r="A58" s="91" t="s">
        <v>41</v>
      </c>
      <c r="B58" s="93">
        <v>28.313355290548948</v>
      </c>
      <c r="C58" s="93">
        <v>6.067210904544976</v>
      </c>
    </row>
    <row r="59">
      <c r="A59" s="91" t="s">
        <v>80</v>
      </c>
      <c r="B59" s="93">
        <v>24.151833139570353</v>
      </c>
      <c r="C59" s="93">
        <v>7.209769447083196</v>
      </c>
    </row>
    <row r="60">
      <c r="A60" s="91" t="s">
        <v>101</v>
      </c>
      <c r="B60" s="92">
        <v>24.267818245546</v>
      </c>
      <c r="C60" s="92">
        <v>8.28198677646767</v>
      </c>
    </row>
    <row r="61">
      <c r="A61" s="91" t="s">
        <v>39</v>
      </c>
      <c r="B61" s="93">
        <v>30.1050094728922</v>
      </c>
      <c r="C61" s="93">
        <v>7.245664709850638</v>
      </c>
    </row>
    <row r="62">
      <c r="A62" s="91" t="s">
        <v>61</v>
      </c>
      <c r="B62" s="92">
        <v>27.5763919474829</v>
      </c>
      <c r="C62" s="92">
        <v>8.20844441987655</v>
      </c>
    </row>
    <row r="63">
      <c r="A63" s="91" t="s">
        <v>60</v>
      </c>
      <c r="B63" s="93">
        <v>27.864618418277626</v>
      </c>
      <c r="C63" s="93">
        <v>8.177630965381816</v>
      </c>
    </row>
    <row r="64">
      <c r="A64" s="91" t="s">
        <v>88</v>
      </c>
      <c r="B64" s="92">
        <v>25.1916258123676</v>
      </c>
      <c r="C64" s="92">
        <v>8.20919326551869</v>
      </c>
    </row>
    <row r="65">
      <c r="A65" s="91" t="s">
        <v>73</v>
      </c>
      <c r="B65" s="92">
        <v>25.877722162986</v>
      </c>
      <c r="C65" s="92">
        <v>7.8237556636899</v>
      </c>
    </row>
    <row r="66">
      <c r="A66" s="91" t="s">
        <v>48</v>
      </c>
      <c r="B66" s="93">
        <v>29.135973502563832</v>
      </c>
      <c r="C66" s="93">
        <v>8.004812674187347</v>
      </c>
    </row>
    <row r="67">
      <c r="A67" s="91" t="s">
        <v>58</v>
      </c>
      <c r="B67" s="93">
        <v>27.381129842153648</v>
      </c>
      <c r="C67" s="93">
        <v>7.662039358189395</v>
      </c>
    </row>
    <row r="68">
      <c r="A68" s="91" t="s">
        <v>102</v>
      </c>
      <c r="B68" s="92">
        <v>24.2437668208212</v>
      </c>
      <c r="C68" s="92">
        <v>8.28023491094376</v>
      </c>
    </row>
    <row r="69">
      <c r="A69" s="91" t="s">
        <v>56</v>
      </c>
      <c r="B69" s="93">
        <v>27.218589885406452</v>
      </c>
      <c r="C69" s="93">
        <v>7.36848099619244</v>
      </c>
    </row>
    <row r="70">
      <c r="A70" s="91" t="s">
        <v>86</v>
      </c>
      <c r="B70" s="93">
        <v>24.9251275516343</v>
      </c>
      <c r="C70" s="93">
        <v>7.982588520706157</v>
      </c>
    </row>
    <row r="71">
      <c r="A71" s="91" t="s">
        <v>25</v>
      </c>
      <c r="B71" s="93">
        <v>34.52847995260857</v>
      </c>
      <c r="C71" s="93">
        <v>7.756678534306012</v>
      </c>
    </row>
    <row r="72">
      <c r="A72" s="91" t="s">
        <v>75</v>
      </c>
      <c r="B72" s="92">
        <v>26.3420428993666</v>
      </c>
      <c r="C72" s="92">
        <v>8.26785780891913</v>
      </c>
    </row>
    <row r="73">
      <c r="A73" s="91" t="s">
        <v>44</v>
      </c>
      <c r="B73" s="93">
        <v>27.910312949694752</v>
      </c>
      <c r="C73" s="93">
        <v>6.619634933671616</v>
      </c>
    </row>
    <row r="74">
      <c r="A74" s="91" t="s">
        <v>74</v>
      </c>
      <c r="B74" s="92">
        <v>26.5003475027806</v>
      </c>
      <c r="C74" s="92">
        <v>8.26619296951159</v>
      </c>
    </row>
    <row r="75">
      <c r="A75" s="91" t="s">
        <v>113</v>
      </c>
      <c r="B75" s="92">
        <v>23.4996524972193</v>
      </c>
      <c r="C75" s="92">
        <v>8.26619296951159</v>
      </c>
    </row>
    <row r="76">
      <c r="A76" s="91" t="s">
        <v>36</v>
      </c>
      <c r="B76" s="93">
        <v>30.349470405698476</v>
      </c>
      <c r="C76" s="93">
        <v>7.28626642464081</v>
      </c>
    </row>
    <row r="77">
      <c r="A77" s="91" t="s">
        <v>105</v>
      </c>
      <c r="B77" s="92">
        <v>24.1420708415601</v>
      </c>
      <c r="C77" s="92">
        <v>8.27473778040787</v>
      </c>
    </row>
    <row r="78">
      <c r="A78" s="91" t="s">
        <v>103</v>
      </c>
      <c r="B78" s="92">
        <v>24.187293811353</v>
      </c>
      <c r="C78" s="92">
        <v>8.28061875821588</v>
      </c>
    </row>
    <row r="79">
      <c r="A79" s="91" t="s">
        <v>109</v>
      </c>
      <c r="B79" s="93">
        <v>23.982643665523618</v>
      </c>
      <c r="C79" s="93">
        <v>8.237431647774574</v>
      </c>
    </row>
    <row r="80">
      <c r="A80" s="91" t="s">
        <v>118</v>
      </c>
      <c r="B80" s="93">
        <v>22.392275476783347</v>
      </c>
      <c r="C80" s="93">
        <v>8.128069800522475</v>
      </c>
    </row>
    <row r="81">
      <c r="A81" s="91" t="s">
        <v>92</v>
      </c>
      <c r="B81" s="94">
        <v>24.192672532135116</v>
      </c>
      <c r="C81" s="94">
        <v>7.800815246492823</v>
      </c>
    </row>
    <row r="82">
      <c r="A82" s="91" t="s">
        <v>110</v>
      </c>
      <c r="B82" s="95">
        <v>24.0395399251175</v>
      </c>
      <c r="C82" s="95">
        <v>8.27029411647145</v>
      </c>
    </row>
    <row r="83">
      <c r="A83" s="96" t="s">
        <v>115</v>
      </c>
      <c r="B83" s="97">
        <v>21.299736164920372</v>
      </c>
      <c r="C83" s="97">
        <v>7.012905147775436</v>
      </c>
    </row>
    <row r="84">
      <c r="A84" s="2" t="s">
        <v>128</v>
      </c>
      <c r="B84" s="97">
        <v>25.253448454706742</v>
      </c>
      <c r="C84" s="97">
        <v>8.221818849820165</v>
      </c>
    </row>
    <row r="85">
      <c r="A85" s="2" t="s">
        <v>93</v>
      </c>
      <c r="B85" s="97">
        <v>24.201162104593504</v>
      </c>
      <c r="C85" s="97">
        <v>7.846091098162469</v>
      </c>
    </row>
    <row r="86">
      <c r="A86" s="2" t="s">
        <v>129</v>
      </c>
      <c r="B86" s="97">
        <v>25.0</v>
      </c>
      <c r="C86" s="97">
        <v>8.333333333</v>
      </c>
    </row>
    <row r="87">
      <c r="A87" s="2" t="s">
        <v>65</v>
      </c>
      <c r="B87" s="97">
        <v>26.03854321065706</v>
      </c>
      <c r="C87" s="97">
        <v>7.5973829133169195</v>
      </c>
    </row>
    <row r="88">
      <c r="A88" s="2" t="s">
        <v>106</v>
      </c>
      <c r="B88" s="97">
        <v>24.119113121732532</v>
      </c>
      <c r="C88" s="97">
        <v>8.262902831409017</v>
      </c>
    </row>
    <row r="89">
      <c r="A89" s="2" t="s">
        <v>119</v>
      </c>
      <c r="B89" s="97">
        <v>21.14739878068182</v>
      </c>
      <c r="C89" s="97">
        <v>7.302817270215743</v>
      </c>
    </row>
    <row r="90">
      <c r="A90" s="2" t="s">
        <v>130</v>
      </c>
      <c r="B90" s="97">
        <v>25.0</v>
      </c>
      <c r="C90" s="97">
        <v>8.333333333</v>
      </c>
    </row>
    <row r="91">
      <c r="A91" s="2" t="s">
        <v>131</v>
      </c>
      <c r="B91" s="97">
        <v>25.0</v>
      </c>
      <c r="C91" s="97">
        <v>8.333333333</v>
      </c>
    </row>
    <row r="92">
      <c r="A92" s="2" t="s">
        <v>63</v>
      </c>
      <c r="B92" s="97">
        <v>27.17531836204789</v>
      </c>
      <c r="C92" s="97">
        <v>8.105221025733584</v>
      </c>
    </row>
    <row r="93">
      <c r="A93" s="2" t="s">
        <v>57</v>
      </c>
      <c r="B93" s="97">
        <v>27.88410941887686</v>
      </c>
      <c r="C93" s="97">
        <v>7.972560871593201</v>
      </c>
    </row>
    <row r="94">
      <c r="A94" s="2" t="s">
        <v>69</v>
      </c>
      <c r="B94" s="97">
        <v>26.25242931064589</v>
      </c>
      <c r="C94" s="97">
        <v>7.806412409218876</v>
      </c>
    </row>
    <row r="95">
      <c r="A95" s="2" t="s">
        <v>45</v>
      </c>
      <c r="B95" s="97">
        <v>29.96372936990858</v>
      </c>
      <c r="C95" s="97">
        <v>8.02925717330339</v>
      </c>
    </row>
    <row r="96">
      <c r="A96" s="2" t="s">
        <v>96</v>
      </c>
      <c r="B96" s="97">
        <v>24.80277867158524</v>
      </c>
      <c r="C96" s="97">
        <v>8.306144580080327</v>
      </c>
    </row>
    <row r="97">
      <c r="A97" s="2" t="s">
        <v>100</v>
      </c>
      <c r="B97" s="97">
        <v>24.243612375050986</v>
      </c>
      <c r="C97" s="97">
        <v>8.264239487758369</v>
      </c>
    </row>
    <row r="98">
      <c r="A98" s="2" t="s">
        <v>68</v>
      </c>
      <c r="B98" s="97">
        <v>26.704404511250253</v>
      </c>
      <c r="C98" s="97">
        <v>8.065870938681497</v>
      </c>
    </row>
    <row r="99">
      <c r="A99" s="2" t="s">
        <v>107</v>
      </c>
      <c r="B99" s="97">
        <v>24.005856834268975</v>
      </c>
      <c r="C99" s="97">
        <v>8.228884135363035</v>
      </c>
    </row>
    <row r="100">
      <c r="A100" s="2" t="s">
        <v>98</v>
      </c>
      <c r="B100" s="97">
        <v>24.489902644631574</v>
      </c>
      <c r="C100" s="97">
        <v>8.28009318166139</v>
      </c>
    </row>
    <row r="101">
      <c r="A101" s="2" t="s">
        <v>84</v>
      </c>
      <c r="B101" s="97">
        <v>25.490289637143306</v>
      </c>
      <c r="C101" s="97">
        <v>8.281112536457993</v>
      </c>
    </row>
    <row r="102">
      <c r="A102" s="2" t="s">
        <v>72</v>
      </c>
      <c r="B102" s="97">
        <v>26.53043912908122</v>
      </c>
      <c r="C102" s="97">
        <v>8.239940301692279</v>
      </c>
    </row>
    <row r="103">
      <c r="A103" s="2" t="s">
        <v>91</v>
      </c>
      <c r="B103" s="97">
        <v>24.654862925269473</v>
      </c>
      <c r="C103" s="97">
        <v>8.097690060188901</v>
      </c>
    </row>
    <row r="104">
      <c r="A104" s="2" t="s">
        <v>120</v>
      </c>
      <c r="B104" s="97">
        <v>22.17843826429893</v>
      </c>
      <c r="C104" s="97">
        <v>8.143193425116555</v>
      </c>
    </row>
    <row r="105">
      <c r="A105" s="2" t="s">
        <v>104</v>
      </c>
      <c r="B105" s="97">
        <v>24.128057068077656</v>
      </c>
      <c r="C105" s="97">
        <v>8.247812712013731</v>
      </c>
    </row>
    <row r="106">
      <c r="A106" s="2" t="s">
        <v>94</v>
      </c>
      <c r="B106" s="97">
        <v>24.868210452244696</v>
      </c>
      <c r="C106" s="97">
        <v>8.312209548025834</v>
      </c>
    </row>
    <row r="107">
      <c r="A107" s="2" t="s">
        <v>95</v>
      </c>
      <c r="B107" s="97">
        <v>24.868210452244696</v>
      </c>
      <c r="C107" s="97">
        <v>8.312209548025834</v>
      </c>
    </row>
    <row r="108">
      <c r="A108" s="2" t="s">
        <v>121</v>
      </c>
      <c r="B108" s="97">
        <v>22.093591233660316</v>
      </c>
      <c r="C108" s="97">
        <v>8.08669027972203</v>
      </c>
    </row>
    <row r="109">
      <c r="A109" s="2" t="s">
        <v>62</v>
      </c>
      <c r="B109" s="97">
        <v>27.138778218615233</v>
      </c>
      <c r="C109" s="97">
        <v>7.983952652770754</v>
      </c>
    </row>
    <row r="110">
      <c r="A110" s="2" t="s">
        <v>54</v>
      </c>
      <c r="B110" s="97">
        <v>28.098609382308137</v>
      </c>
      <c r="C110" s="97">
        <v>7.896851502595629</v>
      </c>
    </row>
    <row r="111">
      <c r="A111" s="2" t="s">
        <v>79</v>
      </c>
      <c r="B111" s="97">
        <v>25.91776350558317</v>
      </c>
      <c r="C111" s="97">
        <v>8.263366132868931</v>
      </c>
    </row>
    <row r="112">
      <c r="A112" s="2" t="s">
        <v>114</v>
      </c>
      <c r="B112" s="97">
        <v>23.123520584955084</v>
      </c>
      <c r="C112" s="97">
        <v>8.18694985610281</v>
      </c>
    </row>
    <row r="113">
      <c r="A113" s="2" t="s">
        <v>108</v>
      </c>
      <c r="B113" s="97">
        <v>24.024982557373352</v>
      </c>
      <c r="C113" s="97">
        <v>8.254932880563725</v>
      </c>
    </row>
    <row r="114">
      <c r="A114" s="2" t="s">
        <v>112</v>
      </c>
      <c r="B114" s="97">
        <v>23.488149537842858</v>
      </c>
      <c r="C114" s="97">
        <v>8.237206443476474</v>
      </c>
    </row>
    <row r="115">
      <c r="A115" s="2" t="s">
        <v>70</v>
      </c>
      <c r="B115" s="97">
        <v>26.81324353408213</v>
      </c>
      <c r="C115" s="97">
        <v>8.234932458795983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1" t="s">
        <v>132</v>
      </c>
      <c r="B1" s="91" t="s">
        <v>127</v>
      </c>
      <c r="C1" s="91" t="s">
        <v>133</v>
      </c>
      <c r="D1" s="91" t="s">
        <v>134</v>
      </c>
      <c r="E1" s="91" t="s">
        <v>135</v>
      </c>
      <c r="F1" s="91" t="s">
        <v>136</v>
      </c>
      <c r="G1" s="91" t="s">
        <v>137</v>
      </c>
      <c r="H1" s="91" t="s">
        <v>138</v>
      </c>
      <c r="I1" s="91" t="s">
        <v>139</v>
      </c>
      <c r="J1" s="91" t="s">
        <v>140</v>
      </c>
      <c r="K1" s="91" t="s">
        <v>141</v>
      </c>
    </row>
    <row r="2">
      <c r="A2" s="93">
        <v>184.0</v>
      </c>
      <c r="B2" s="96" t="s">
        <v>43</v>
      </c>
      <c r="C2" s="96" t="s">
        <v>142</v>
      </c>
      <c r="D2" s="96" t="s">
        <v>143</v>
      </c>
      <c r="E2" s="93">
        <v>39.0</v>
      </c>
      <c r="F2" s="93">
        <v>28.46416914</v>
      </c>
      <c r="G2" s="93">
        <v>28.979613921642205</v>
      </c>
      <c r="H2" s="93">
        <v>7.278327153350606</v>
      </c>
      <c r="I2" s="93">
        <v>1189.0</v>
      </c>
      <c r="J2" s="93">
        <v>1228.0</v>
      </c>
      <c r="K2" s="93">
        <v>7.323798594</v>
      </c>
    </row>
    <row r="3">
      <c r="A3" s="93">
        <v>184.0</v>
      </c>
      <c r="B3" s="96" t="s">
        <v>17</v>
      </c>
      <c r="C3" s="96" t="s">
        <v>142</v>
      </c>
      <c r="D3" s="96" t="s">
        <v>143</v>
      </c>
      <c r="E3" s="93">
        <v>25.0</v>
      </c>
      <c r="F3" s="93">
        <v>35.14876925</v>
      </c>
      <c r="G3" s="93">
        <v>35.47676446816177</v>
      </c>
      <c r="H3" s="93">
        <v>5.8193790607958205</v>
      </c>
      <c r="I3" s="93">
        <v>1794.0</v>
      </c>
      <c r="J3" s="93">
        <v>1819.0</v>
      </c>
      <c r="K3" s="93">
        <v>5.841924465</v>
      </c>
    </row>
    <row r="4">
      <c r="A4" s="93">
        <v>184.0</v>
      </c>
      <c r="B4" s="96" t="s">
        <v>24</v>
      </c>
      <c r="C4" s="96" t="s">
        <v>142</v>
      </c>
      <c r="D4" s="96" t="s">
        <v>143</v>
      </c>
      <c r="E4" s="93">
        <v>25.0</v>
      </c>
      <c r="F4" s="93">
        <v>31.65320699</v>
      </c>
      <c r="G4" s="93">
        <v>31.980697690713697</v>
      </c>
      <c r="H4" s="93">
        <v>5.814937736425785</v>
      </c>
      <c r="I4" s="93">
        <v>1557.0</v>
      </c>
      <c r="J4" s="93">
        <v>1582.0</v>
      </c>
      <c r="K4" s="93">
        <v>5.837428437</v>
      </c>
    </row>
    <row r="5">
      <c r="A5" s="93">
        <v>184.0</v>
      </c>
      <c r="B5" s="96" t="s">
        <v>22</v>
      </c>
      <c r="C5" s="96" t="s">
        <v>144</v>
      </c>
      <c r="D5" s="96" t="s">
        <v>145</v>
      </c>
      <c r="E5" s="93">
        <v>-17.0</v>
      </c>
      <c r="F5" s="93">
        <v>32.08221396</v>
      </c>
      <c r="G5" s="93">
        <v>31.816797280728515</v>
      </c>
      <c r="H5" s="93">
        <v>5.238906040412915</v>
      </c>
      <c r="I5" s="93">
        <v>1646.0</v>
      </c>
      <c r="J5" s="93">
        <v>1629.0</v>
      </c>
      <c r="K5" s="93">
        <v>5.254982628</v>
      </c>
    </row>
    <row r="6">
      <c r="A6" s="93">
        <v>184.0</v>
      </c>
      <c r="B6" s="96" t="s">
        <v>42</v>
      </c>
      <c r="C6" s="96" t="s">
        <v>144</v>
      </c>
      <c r="D6" s="96" t="s">
        <v>145</v>
      </c>
      <c r="E6" s="93">
        <v>-25.0</v>
      </c>
      <c r="F6" s="93">
        <v>29.05217747</v>
      </c>
      <c r="G6" s="93">
        <v>28.63160153338311</v>
      </c>
      <c r="H6" s="93">
        <v>6.5821928384931185</v>
      </c>
      <c r="I6" s="93">
        <v>1301.0</v>
      </c>
      <c r="J6" s="93">
        <v>1276.0</v>
      </c>
      <c r="K6" s="93">
        <v>6.615434858</v>
      </c>
    </row>
    <row r="7">
      <c r="A7" s="93">
        <v>184.0</v>
      </c>
      <c r="B7" s="96" t="s">
        <v>23</v>
      </c>
      <c r="C7" s="96" t="s">
        <v>144</v>
      </c>
      <c r="D7" s="96" t="s">
        <v>145</v>
      </c>
      <c r="E7" s="93">
        <v>-17.0</v>
      </c>
      <c r="F7" s="93">
        <v>31.64143013</v>
      </c>
      <c r="G7" s="93">
        <v>31.363469428928823</v>
      </c>
      <c r="H7" s="93">
        <v>5.360451494919764</v>
      </c>
      <c r="I7" s="93">
        <v>1603.0</v>
      </c>
      <c r="J7" s="93">
        <v>1586.0</v>
      </c>
      <c r="K7" s="93">
        <v>5.377772511</v>
      </c>
    </row>
    <row r="8">
      <c r="A8" s="93">
        <v>184.0</v>
      </c>
      <c r="B8" s="96" t="s">
        <v>41</v>
      </c>
      <c r="C8" s="96" t="s">
        <v>144</v>
      </c>
      <c r="D8" s="96" t="s">
        <v>145</v>
      </c>
      <c r="E8" s="93">
        <v>-22.0</v>
      </c>
      <c r="F8" s="93">
        <v>28.67013459</v>
      </c>
      <c r="G8" s="93">
        <v>28.313355290548948</v>
      </c>
      <c r="H8" s="93">
        <v>6.067210904544976</v>
      </c>
      <c r="I8" s="93">
        <v>1328.0</v>
      </c>
      <c r="J8" s="93">
        <v>1306.0</v>
      </c>
      <c r="K8" s="93">
        <v>6.092943328</v>
      </c>
    </row>
    <row r="9">
      <c r="A9" s="93">
        <v>184.0</v>
      </c>
      <c r="B9" s="96" t="s">
        <v>18</v>
      </c>
      <c r="C9" s="96" t="s">
        <v>144</v>
      </c>
      <c r="D9" s="96" t="s">
        <v>145</v>
      </c>
      <c r="E9" s="93">
        <v>-21.0</v>
      </c>
      <c r="F9" s="93">
        <v>35.08653652</v>
      </c>
      <c r="G9" s="93">
        <v>34.739790208182285</v>
      </c>
      <c r="H9" s="93">
        <v>5.982032279338706</v>
      </c>
      <c r="I9" s="93">
        <v>1773.0</v>
      </c>
      <c r="J9" s="93">
        <v>1752.0</v>
      </c>
      <c r="K9" s="93">
        <v>6.006639216</v>
      </c>
    </row>
    <row r="10">
      <c r="A10" s="93">
        <v>184.0</v>
      </c>
      <c r="B10" s="96" t="s">
        <v>78</v>
      </c>
      <c r="C10" s="96" t="s">
        <v>144</v>
      </c>
      <c r="D10" s="96" t="s">
        <v>145</v>
      </c>
      <c r="E10" s="93">
        <v>-35.0</v>
      </c>
      <c r="F10" s="93">
        <v>26.18769129</v>
      </c>
      <c r="G10" s="93">
        <v>25.570622671259066</v>
      </c>
      <c r="H10" s="93">
        <v>7.953565330865949</v>
      </c>
      <c r="I10" s="93">
        <v>963.0</v>
      </c>
      <c r="J10" s="93">
        <v>928.0</v>
      </c>
      <c r="K10" s="93">
        <v>8.013434962</v>
      </c>
    </row>
    <row r="11">
      <c r="A11" s="93">
        <v>184.0</v>
      </c>
      <c r="B11" s="96" t="s">
        <v>33</v>
      </c>
      <c r="C11" s="96" t="s">
        <v>144</v>
      </c>
      <c r="D11" s="96" t="s">
        <v>145</v>
      </c>
      <c r="E11" s="93">
        <v>-24.0</v>
      </c>
      <c r="F11" s="93">
        <v>30.77312944</v>
      </c>
      <c r="G11" s="93">
        <v>30.38530378783807</v>
      </c>
      <c r="H11" s="93">
        <v>6.323269824086918</v>
      </c>
      <c r="I11" s="93">
        <v>1445.0</v>
      </c>
      <c r="J11" s="93">
        <v>1421.0</v>
      </c>
      <c r="K11" s="93">
        <v>6.35258175</v>
      </c>
    </row>
    <row r="12">
      <c r="A12" s="93">
        <v>184.0</v>
      </c>
      <c r="B12" s="96" t="s">
        <v>67</v>
      </c>
      <c r="C12" s="96" t="s">
        <v>144</v>
      </c>
      <c r="D12" s="96" t="s">
        <v>145</v>
      </c>
      <c r="E12" s="93">
        <v>-24.0</v>
      </c>
      <c r="F12" s="93">
        <v>24.49588931</v>
      </c>
      <c r="G12" s="93">
        <v>24.106869068034666</v>
      </c>
      <c r="H12" s="93">
        <v>6.332907803605315</v>
      </c>
      <c r="I12" s="93">
        <v>1017.0</v>
      </c>
      <c r="J12" s="93">
        <v>993.0</v>
      </c>
      <c r="K12" s="93">
        <v>6.362360335</v>
      </c>
    </row>
    <row r="13">
      <c r="A13" s="93">
        <v>184.0</v>
      </c>
      <c r="B13" s="96" t="s">
        <v>146</v>
      </c>
      <c r="C13" s="96" t="s">
        <v>144</v>
      </c>
      <c r="D13" s="96" t="s">
        <v>146</v>
      </c>
      <c r="E13" s="93">
        <v>0.0</v>
      </c>
      <c r="F13" s="93" t="s">
        <v>147</v>
      </c>
      <c r="G13" s="93" t="s">
        <v>147</v>
      </c>
      <c r="H13" s="93" t="s">
        <v>147</v>
      </c>
      <c r="I13" s="93" t="s">
        <v>147</v>
      </c>
      <c r="J13" s="93" t="s">
        <v>147</v>
      </c>
      <c r="K13" s="93" t="s">
        <v>147</v>
      </c>
    </row>
    <row r="14">
      <c r="A14" s="93">
        <v>184.0</v>
      </c>
      <c r="B14" s="96" t="s">
        <v>50</v>
      </c>
      <c r="C14" s="96" t="s">
        <v>144</v>
      </c>
      <c r="D14" s="96" t="s">
        <v>148</v>
      </c>
      <c r="E14" s="93">
        <v>0.0</v>
      </c>
      <c r="F14" s="93" t="s">
        <v>147</v>
      </c>
      <c r="G14" s="93" t="s">
        <v>147</v>
      </c>
      <c r="H14" s="93" t="s">
        <v>147</v>
      </c>
      <c r="I14" s="93" t="s">
        <v>147</v>
      </c>
      <c r="J14" s="93" t="s">
        <v>147</v>
      </c>
      <c r="K14" s="93" t="s">
        <v>147</v>
      </c>
    </row>
    <row r="15">
      <c r="A15" s="93">
        <v>184.0</v>
      </c>
      <c r="B15" s="96" t="s">
        <v>16</v>
      </c>
      <c r="C15" s="96" t="s">
        <v>144</v>
      </c>
      <c r="D15" s="96" t="s">
        <v>145</v>
      </c>
      <c r="E15" s="93">
        <v>-17.0</v>
      </c>
      <c r="F15" s="93">
        <v>37.01018455</v>
      </c>
      <c r="G15" s="93">
        <v>36.7364875332601</v>
      </c>
      <c r="H15" s="93">
        <v>5.31945845904674</v>
      </c>
      <c r="I15" s="93">
        <v>1972.0</v>
      </c>
      <c r="J15" s="93">
        <v>1955.0</v>
      </c>
      <c r="K15" s="93">
        <v>5.336353484</v>
      </c>
    </row>
    <row r="16">
      <c r="A16" s="93">
        <v>184.0</v>
      </c>
      <c r="B16" s="96" t="s">
        <v>29</v>
      </c>
      <c r="C16" s="96" t="s">
        <v>144</v>
      </c>
      <c r="D16" s="96" t="s">
        <v>145</v>
      </c>
      <c r="E16" s="93">
        <v>-20.0</v>
      </c>
      <c r="F16" s="93">
        <v>30.6506435</v>
      </c>
      <c r="G16" s="93">
        <v>30.325724246302375</v>
      </c>
      <c r="H16" s="93">
        <v>5.792246352578921</v>
      </c>
      <c r="I16" s="93">
        <v>1491.0</v>
      </c>
      <c r="J16" s="93">
        <v>1471.0</v>
      </c>
      <c r="K16" s="93">
        <v>5.814458865</v>
      </c>
    </row>
    <row r="17">
      <c r="A17" s="93">
        <v>183.0</v>
      </c>
      <c r="B17" s="96" t="s">
        <v>44</v>
      </c>
      <c r="C17" s="96" t="s">
        <v>142</v>
      </c>
      <c r="D17" s="96" t="s">
        <v>143</v>
      </c>
      <c r="E17" s="93">
        <v>64.0</v>
      </c>
      <c r="F17" s="93">
        <v>27.03272972</v>
      </c>
      <c r="G17" s="93">
        <v>27.910312949694752</v>
      </c>
      <c r="H17" s="93">
        <v>6.619634933671616</v>
      </c>
      <c r="I17" s="93">
        <v>1159.0</v>
      </c>
      <c r="J17" s="93">
        <v>1223.0</v>
      </c>
      <c r="K17" s="93">
        <v>6.661416482</v>
      </c>
    </row>
    <row r="18">
      <c r="A18" s="93">
        <v>183.0</v>
      </c>
      <c r="B18" s="96" t="s">
        <v>65</v>
      </c>
      <c r="C18" s="96" t="s">
        <v>142</v>
      </c>
      <c r="D18" s="96" t="s">
        <v>143</v>
      </c>
      <c r="E18" s="93">
        <v>86.0</v>
      </c>
      <c r="F18" s="93">
        <v>24.87773918</v>
      </c>
      <c r="G18" s="93">
        <v>26.03854321065706</v>
      </c>
      <c r="H18" s="93">
        <v>7.5973829133169195</v>
      </c>
      <c r="I18" s="93">
        <v>910.0</v>
      </c>
      <c r="J18" s="93">
        <v>996.0</v>
      </c>
      <c r="K18" s="93">
        <v>7.661500292</v>
      </c>
    </row>
    <row r="19">
      <c r="A19" s="93">
        <v>183.0</v>
      </c>
      <c r="B19" s="96" t="s">
        <v>54</v>
      </c>
      <c r="C19" s="96" t="s">
        <v>142</v>
      </c>
      <c r="D19" s="96" t="s">
        <v>143</v>
      </c>
      <c r="E19" s="93">
        <v>93.0</v>
      </c>
      <c r="F19" s="93">
        <v>26.84272881</v>
      </c>
      <c r="G19" s="93">
        <v>28.098609382308137</v>
      </c>
      <c r="H19" s="93">
        <v>7.896851502595629</v>
      </c>
      <c r="I19" s="93">
        <v>1012.0</v>
      </c>
      <c r="J19" s="93">
        <v>1105.0</v>
      </c>
      <c r="K19" s="93">
        <v>7.969137871</v>
      </c>
    </row>
    <row r="20">
      <c r="A20" s="93">
        <v>183.0</v>
      </c>
      <c r="B20" s="96" t="s">
        <v>97</v>
      </c>
      <c r="C20" s="96" t="s">
        <v>144</v>
      </c>
      <c r="D20" s="96" t="s">
        <v>148</v>
      </c>
      <c r="E20" s="93">
        <v>0.0</v>
      </c>
      <c r="F20" s="93" t="s">
        <v>147</v>
      </c>
      <c r="G20" s="93" t="s">
        <v>147</v>
      </c>
      <c r="H20" s="93" t="s">
        <v>147</v>
      </c>
      <c r="I20" s="93" t="s">
        <v>147</v>
      </c>
      <c r="J20" s="93" t="s">
        <v>147</v>
      </c>
      <c r="K20" s="93" t="s">
        <v>147</v>
      </c>
    </row>
    <row r="21">
      <c r="A21" s="93">
        <v>183.0</v>
      </c>
      <c r="B21" s="96" t="s">
        <v>23</v>
      </c>
      <c r="C21" s="96" t="s">
        <v>144</v>
      </c>
      <c r="D21" s="96" t="s">
        <v>145</v>
      </c>
      <c r="E21" s="93">
        <v>-37.0</v>
      </c>
      <c r="F21" s="93">
        <v>32.21807632</v>
      </c>
      <c r="G21" s="93">
        <v>31.641430129174527</v>
      </c>
      <c r="H21" s="93">
        <v>5.377772511088722</v>
      </c>
      <c r="I21" s="93">
        <v>1640.0</v>
      </c>
      <c r="J21" s="93">
        <v>1603.0</v>
      </c>
      <c r="K21" s="93">
        <v>5.399475859</v>
      </c>
    </row>
    <row r="22">
      <c r="A22" s="93">
        <v>183.0</v>
      </c>
      <c r="B22" s="96" t="s">
        <v>24</v>
      </c>
      <c r="C22" s="96" t="s">
        <v>144</v>
      </c>
      <c r="D22" s="96" t="s">
        <v>145</v>
      </c>
      <c r="E22" s="93">
        <v>-43.0</v>
      </c>
      <c r="F22" s="93">
        <v>32.3336749</v>
      </c>
      <c r="G22" s="93">
        <v>31.65320698520018</v>
      </c>
      <c r="H22" s="93">
        <v>5.837428437045533</v>
      </c>
      <c r="I22" s="93">
        <v>1600.0</v>
      </c>
      <c r="J22" s="93">
        <v>1557.0</v>
      </c>
      <c r="K22" s="93">
        <v>5.865595092</v>
      </c>
    </row>
    <row r="23">
      <c r="A23" s="93">
        <v>183.0</v>
      </c>
      <c r="B23" s="96" t="s">
        <v>64</v>
      </c>
      <c r="C23" s="96" t="s">
        <v>144</v>
      </c>
      <c r="D23" s="96" t="s">
        <v>145</v>
      </c>
      <c r="E23" s="93">
        <v>-57.0</v>
      </c>
      <c r="F23" s="93">
        <v>25.56784364</v>
      </c>
      <c r="G23" s="93">
        <v>24.67603197800526</v>
      </c>
      <c r="H23" s="93">
        <v>6.6723844814959605</v>
      </c>
      <c r="I23" s="93">
        <v>1054.0</v>
      </c>
      <c r="J23" s="93">
        <v>997.0</v>
      </c>
      <c r="K23" s="93">
        <v>6.715212865</v>
      </c>
    </row>
    <row r="24">
      <c r="A24" s="93">
        <v>183.0</v>
      </c>
      <c r="B24" s="96" t="s">
        <v>67</v>
      </c>
      <c r="C24" s="96" t="s">
        <v>144</v>
      </c>
      <c r="D24" s="96" t="s">
        <v>145</v>
      </c>
      <c r="E24" s="93">
        <v>-51.0</v>
      </c>
      <c r="F24" s="93">
        <v>25.30577756</v>
      </c>
      <c r="G24" s="93">
        <v>24.495889305941017</v>
      </c>
      <c r="H24" s="93">
        <v>6.362360334733536</v>
      </c>
      <c r="I24" s="93">
        <v>1068.0</v>
      </c>
      <c r="J24" s="93">
        <v>1017.0</v>
      </c>
      <c r="K24" s="93">
        <v>6.399276704</v>
      </c>
    </row>
    <row r="25">
      <c r="A25" s="93">
        <v>183.0</v>
      </c>
      <c r="B25" s="96" t="s">
        <v>34</v>
      </c>
      <c r="C25" s="96" t="s">
        <v>144</v>
      </c>
      <c r="D25" s="96" t="s">
        <v>145</v>
      </c>
      <c r="E25" s="93">
        <v>-53.0</v>
      </c>
      <c r="F25" s="93">
        <v>31.16482767</v>
      </c>
      <c r="G25" s="93">
        <v>30.326560194764955</v>
      </c>
      <c r="H25" s="93">
        <v>6.471523983125114</v>
      </c>
      <c r="I25" s="93">
        <v>1455.0</v>
      </c>
      <c r="J25" s="93">
        <v>1402.0</v>
      </c>
      <c r="K25" s="93">
        <v>6.510456513</v>
      </c>
    </row>
    <row r="26">
      <c r="A26" s="93">
        <v>183.0</v>
      </c>
      <c r="B26" s="96" t="s">
        <v>46</v>
      </c>
      <c r="C26" s="96" t="s">
        <v>144</v>
      </c>
      <c r="D26" s="96" t="s">
        <v>145</v>
      </c>
      <c r="E26" s="93">
        <v>-57.0</v>
      </c>
      <c r="F26" s="93">
        <v>28.81997757</v>
      </c>
      <c r="G26" s="93">
        <v>27.920206076811397</v>
      </c>
      <c r="H26" s="93">
        <v>6.701703463139175</v>
      </c>
      <c r="I26" s="93">
        <v>1272.0</v>
      </c>
      <c r="J26" s="93">
        <v>1215.0</v>
      </c>
      <c r="K26" s="93">
        <v>6.745121097</v>
      </c>
    </row>
    <row r="27">
      <c r="A27" s="93">
        <v>183.0</v>
      </c>
      <c r="B27" s="96" t="s">
        <v>115</v>
      </c>
      <c r="C27" s="96" t="s">
        <v>144</v>
      </c>
      <c r="D27" s="96" t="s">
        <v>145</v>
      </c>
      <c r="E27" s="93">
        <v>-62.0</v>
      </c>
      <c r="F27" s="93">
        <v>22.28626957</v>
      </c>
      <c r="G27" s="93">
        <v>21.299736164920372</v>
      </c>
      <c r="H27" s="93">
        <v>7.012905147775436</v>
      </c>
      <c r="I27" s="93">
        <v>795.0</v>
      </c>
      <c r="J27" s="93">
        <v>733.0</v>
      </c>
      <c r="K27" s="93">
        <v>7.062910964</v>
      </c>
    </row>
    <row r="28">
      <c r="A28" s="93">
        <v>183.0</v>
      </c>
      <c r="B28" s="96" t="s">
        <v>120</v>
      </c>
      <c r="C28" s="96" t="s">
        <v>144</v>
      </c>
      <c r="D28" s="96" t="s">
        <v>145</v>
      </c>
      <c r="E28" s="93">
        <v>-82.0</v>
      </c>
      <c r="F28" s="93">
        <v>23.51549862</v>
      </c>
      <c r="G28" s="93">
        <v>22.17843826429893</v>
      </c>
      <c r="H28" s="93">
        <v>8.143193425116555</v>
      </c>
      <c r="I28" s="93">
        <v>760.0</v>
      </c>
      <c r="J28" s="93">
        <v>678.0</v>
      </c>
      <c r="K28" s="93">
        <v>8.222705789</v>
      </c>
    </row>
    <row r="29">
      <c r="A29" s="93">
        <v>183.0</v>
      </c>
      <c r="B29" s="96" t="s">
        <v>22</v>
      </c>
      <c r="C29" s="96" t="s">
        <v>144</v>
      </c>
      <c r="D29" s="96" t="s">
        <v>145</v>
      </c>
      <c r="E29" s="93">
        <v>-35.0</v>
      </c>
      <c r="F29" s="93">
        <v>32.63261657</v>
      </c>
      <c r="G29" s="93">
        <v>32.08221395921527</v>
      </c>
      <c r="H29" s="93">
        <v>5.254982628092328</v>
      </c>
      <c r="I29" s="93">
        <v>1681.0</v>
      </c>
      <c r="J29" s="93">
        <v>1646.0</v>
      </c>
      <c r="K29" s="93">
        <v>5.275135034</v>
      </c>
    </row>
    <row r="30">
      <c r="A30" s="93">
        <v>183.0</v>
      </c>
      <c r="B30" s="96" t="s">
        <v>26</v>
      </c>
      <c r="C30" s="96" t="s">
        <v>144</v>
      </c>
      <c r="D30" s="96" t="s">
        <v>145</v>
      </c>
      <c r="E30" s="93">
        <v>-43.0</v>
      </c>
      <c r="F30" s="93">
        <v>31.95296898</v>
      </c>
      <c r="G30" s="93">
        <v>31.26789762310588</v>
      </c>
      <c r="H30" s="93">
        <v>5.856943112154718</v>
      </c>
      <c r="I30" s="93">
        <v>1572.0</v>
      </c>
      <c r="J30" s="93">
        <v>1529.0</v>
      </c>
      <c r="K30" s="93">
        <v>5.885408102</v>
      </c>
    </row>
    <row r="31">
      <c r="A31" s="93">
        <v>183.0</v>
      </c>
      <c r="B31" s="96" t="s">
        <v>17</v>
      </c>
      <c r="C31" s="96" t="s">
        <v>144</v>
      </c>
      <c r="D31" s="96" t="s">
        <v>145</v>
      </c>
      <c r="E31" s="93">
        <v>-44.0</v>
      </c>
      <c r="F31" s="93">
        <v>35.83029634</v>
      </c>
      <c r="G31" s="93">
        <v>35.14876924583561</v>
      </c>
      <c r="H31" s="93">
        <v>5.841924465307214</v>
      </c>
      <c r="I31" s="93">
        <v>1838.0</v>
      </c>
      <c r="J31" s="93">
        <v>1794.0</v>
      </c>
      <c r="K31" s="93">
        <v>5.870159676</v>
      </c>
    </row>
    <row r="32">
      <c r="A32" s="93">
        <v>182.0</v>
      </c>
      <c r="B32" s="96" t="s">
        <v>24</v>
      </c>
      <c r="C32" s="96" t="s">
        <v>142</v>
      </c>
      <c r="D32" s="96" t="s">
        <v>145</v>
      </c>
      <c r="E32" s="93">
        <v>-76.0</v>
      </c>
      <c r="F32" s="93">
        <v>33.50321169</v>
      </c>
      <c r="G32" s="93">
        <v>32.33367489806783</v>
      </c>
      <c r="H32" s="93">
        <v>5.865595091912409</v>
      </c>
      <c r="I32" s="93">
        <v>1676.0</v>
      </c>
      <c r="J32" s="93">
        <v>1600.0</v>
      </c>
      <c r="K32" s="93">
        <v>5.905363226</v>
      </c>
    </row>
    <row r="33">
      <c r="A33" s="93">
        <v>182.0</v>
      </c>
      <c r="B33" s="96" t="s">
        <v>21</v>
      </c>
      <c r="C33" s="96" t="s">
        <v>142</v>
      </c>
      <c r="D33" s="96" t="s">
        <v>145</v>
      </c>
      <c r="E33" s="93">
        <v>-97.0</v>
      </c>
      <c r="F33" s="93">
        <v>35.51777227</v>
      </c>
      <c r="G33" s="93">
        <v>33.99674663034498</v>
      </c>
      <c r="H33" s="93">
        <v>6.67520509098281</v>
      </c>
      <c r="I33" s="93">
        <v>1728.0</v>
      </c>
      <c r="J33" s="93">
        <v>1631.0</v>
      </c>
      <c r="K33" s="93">
        <v>6.734763153</v>
      </c>
    </row>
    <row r="34">
      <c r="A34" s="93">
        <v>182.0</v>
      </c>
      <c r="B34" s="96" t="s">
        <v>38</v>
      </c>
      <c r="C34" s="96" t="s">
        <v>142</v>
      </c>
      <c r="D34" s="96" t="s">
        <v>145</v>
      </c>
      <c r="E34" s="93">
        <v>-65.0</v>
      </c>
      <c r="F34" s="93">
        <v>28.40933242</v>
      </c>
      <c r="G34" s="93">
        <v>27.41233772967998</v>
      </c>
      <c r="H34" s="93">
        <v>5.421210680588219</v>
      </c>
      <c r="I34" s="93">
        <v>1376.0</v>
      </c>
      <c r="J34" s="93">
        <v>1311.0</v>
      </c>
      <c r="K34" s="93">
        <v>5.452244427</v>
      </c>
    </row>
    <row r="35">
      <c r="A35" s="93">
        <v>182.0</v>
      </c>
      <c r="B35" s="96" t="s">
        <v>68</v>
      </c>
      <c r="C35" s="96" t="s">
        <v>144</v>
      </c>
      <c r="D35" s="96" t="s">
        <v>143</v>
      </c>
      <c r="E35" s="93">
        <v>163.0</v>
      </c>
      <c r="F35" s="93">
        <v>24.4643856</v>
      </c>
      <c r="G35" s="93">
        <v>26.704404511250253</v>
      </c>
      <c r="H35" s="93">
        <v>8.065870938681497</v>
      </c>
      <c r="I35" s="93">
        <v>830.0</v>
      </c>
      <c r="J35" s="93">
        <v>993.0</v>
      </c>
      <c r="K35" s="93">
        <v>8.173259131</v>
      </c>
    </row>
    <row r="36">
      <c r="A36" s="93">
        <v>182.0</v>
      </c>
      <c r="B36" s="96" t="s">
        <v>50</v>
      </c>
      <c r="C36" s="96" t="s">
        <v>144</v>
      </c>
      <c r="D36" s="96" t="s">
        <v>143</v>
      </c>
      <c r="E36" s="93">
        <v>103.0</v>
      </c>
      <c r="F36" s="93">
        <v>25.24706249</v>
      </c>
      <c r="G36" s="93">
        <v>26.68096064850889</v>
      </c>
      <c r="H36" s="93">
        <v>6.484569156636911</v>
      </c>
      <c r="I36" s="93">
        <v>1050.0</v>
      </c>
      <c r="J36" s="93">
        <v>1153.0</v>
      </c>
      <c r="K36" s="93">
        <v>6.538984443</v>
      </c>
    </row>
    <row r="37">
      <c r="A37" s="93">
        <v>182.0</v>
      </c>
      <c r="B37" s="96" t="s">
        <v>146</v>
      </c>
      <c r="C37" s="96" t="s">
        <v>144</v>
      </c>
      <c r="D37" s="96" t="s">
        <v>146</v>
      </c>
      <c r="E37" s="93">
        <v>0.0</v>
      </c>
      <c r="F37" s="93" t="s">
        <v>147</v>
      </c>
      <c r="G37" s="93" t="s">
        <v>147</v>
      </c>
      <c r="H37" s="93" t="s">
        <v>147</v>
      </c>
      <c r="I37" s="93" t="s">
        <v>147</v>
      </c>
      <c r="J37" s="93" t="s">
        <v>147</v>
      </c>
      <c r="K37" s="93" t="s">
        <v>147</v>
      </c>
    </row>
    <row r="38">
      <c r="A38" s="93">
        <v>182.0</v>
      </c>
      <c r="B38" s="96" t="s">
        <v>30</v>
      </c>
      <c r="C38" s="96" t="s">
        <v>144</v>
      </c>
      <c r="D38" s="96" t="s">
        <v>143</v>
      </c>
      <c r="E38" s="93">
        <v>146.0</v>
      </c>
      <c r="F38" s="93">
        <v>30.95499092</v>
      </c>
      <c r="G38" s="93">
        <v>32.96084776344617</v>
      </c>
      <c r="H38" s="93">
        <v>7.643398228720036</v>
      </c>
      <c r="I38" s="93">
        <v>1316.0</v>
      </c>
      <c r="J38" s="93">
        <v>1462.0</v>
      </c>
      <c r="K38" s="93">
        <v>7.734203562</v>
      </c>
    </row>
    <row r="39">
      <c r="A39" s="93">
        <v>182.0</v>
      </c>
      <c r="B39" s="96" t="s">
        <v>17</v>
      </c>
      <c r="C39" s="96" t="s">
        <v>144</v>
      </c>
      <c r="D39" s="96" t="s">
        <v>143</v>
      </c>
      <c r="E39" s="93">
        <v>84.0</v>
      </c>
      <c r="F39" s="93">
        <v>34.65891288</v>
      </c>
      <c r="G39" s="93">
        <v>35.830296341142486</v>
      </c>
      <c r="H39" s="93">
        <v>5.8701596761588215</v>
      </c>
      <c r="I39" s="93">
        <v>1754.0</v>
      </c>
      <c r="J39" s="93">
        <v>1838.0</v>
      </c>
      <c r="K39" s="93">
        <v>5.910024933</v>
      </c>
    </row>
    <row r="40">
      <c r="A40" s="93">
        <v>182.0</v>
      </c>
      <c r="B40" s="96" t="s">
        <v>34</v>
      </c>
      <c r="C40" s="96" t="s">
        <v>144</v>
      </c>
      <c r="D40" s="96" t="s">
        <v>143</v>
      </c>
      <c r="E40" s="93">
        <v>104.0</v>
      </c>
      <c r="F40" s="93">
        <v>29.71925687</v>
      </c>
      <c r="G40" s="93">
        <v>31.164827670427606</v>
      </c>
      <c r="H40" s="93">
        <v>6.5104565125055665</v>
      </c>
      <c r="I40" s="93">
        <v>1351.0</v>
      </c>
      <c r="J40" s="93">
        <v>1455.0</v>
      </c>
      <c r="K40" s="93">
        <v>6.565551984</v>
      </c>
    </row>
    <row r="41">
      <c r="A41" s="93">
        <v>182.0</v>
      </c>
      <c r="B41" s="96" t="s">
        <v>46</v>
      </c>
      <c r="C41" s="96" t="s">
        <v>144</v>
      </c>
      <c r="D41" s="96" t="s">
        <v>143</v>
      </c>
      <c r="E41" s="93">
        <v>112.0</v>
      </c>
      <c r="F41" s="93">
        <v>27.26631769</v>
      </c>
      <c r="G41" s="93">
        <v>28.819977568955085</v>
      </c>
      <c r="H41" s="93">
        <v>6.745121097142226</v>
      </c>
      <c r="I41" s="93">
        <v>1160.0</v>
      </c>
      <c r="J41" s="93">
        <v>1272.0</v>
      </c>
      <c r="K41" s="93">
        <v>6.806644061</v>
      </c>
    </row>
    <row r="42">
      <c r="A42" s="93">
        <v>182.0</v>
      </c>
      <c r="B42" s="96" t="s">
        <v>39</v>
      </c>
      <c r="C42" s="96" t="s">
        <v>144</v>
      </c>
      <c r="D42" s="96" t="s">
        <v>143</v>
      </c>
      <c r="E42" s="93">
        <v>130.0</v>
      </c>
      <c r="F42" s="93">
        <v>28.30695987</v>
      </c>
      <c r="G42" s="93">
        <v>30.1050094728922</v>
      </c>
      <c r="H42" s="93">
        <v>7.245664709850638</v>
      </c>
      <c r="I42" s="93">
        <v>1178.0</v>
      </c>
      <c r="J42" s="93">
        <v>1308.0</v>
      </c>
      <c r="K42" s="93">
        <v>7.322548719</v>
      </c>
    </row>
    <row r="43">
      <c r="A43" s="93">
        <v>182.0</v>
      </c>
      <c r="B43" s="96" t="s">
        <v>31</v>
      </c>
      <c r="C43" s="96" t="s">
        <v>144</v>
      </c>
      <c r="D43" s="96" t="s">
        <v>143</v>
      </c>
      <c r="E43" s="93">
        <v>104.0</v>
      </c>
      <c r="F43" s="93">
        <v>29.57437885</v>
      </c>
      <c r="G43" s="93">
        <v>31.027400477320473</v>
      </c>
      <c r="H43" s="93">
        <v>6.5269233078284845</v>
      </c>
      <c r="I43" s="93">
        <v>1340.0</v>
      </c>
      <c r="J43" s="93">
        <v>1444.0</v>
      </c>
      <c r="K43" s="93">
        <v>6.582454386</v>
      </c>
    </row>
    <row r="44">
      <c r="A44" s="93">
        <v>182.0</v>
      </c>
      <c r="B44" s="96" t="s">
        <v>22</v>
      </c>
      <c r="C44" s="96" t="s">
        <v>144</v>
      </c>
      <c r="D44" s="96" t="s">
        <v>143</v>
      </c>
      <c r="E44" s="93">
        <v>67.0</v>
      </c>
      <c r="F44" s="93">
        <v>31.68922611</v>
      </c>
      <c r="G44" s="93">
        <v>32.63261656588858</v>
      </c>
      <c r="H44" s="93">
        <v>5.275135034434905</v>
      </c>
      <c r="I44" s="93">
        <v>1614.0</v>
      </c>
      <c r="J44" s="93">
        <v>1681.0</v>
      </c>
      <c r="K44" s="93">
        <v>5.303596594</v>
      </c>
    </row>
    <row r="45">
      <c r="A45" s="93">
        <v>182.0</v>
      </c>
      <c r="B45" s="96" t="s">
        <v>16</v>
      </c>
      <c r="C45" s="96" t="s">
        <v>144</v>
      </c>
      <c r="D45" s="96" t="s">
        <v>143</v>
      </c>
      <c r="E45" s="93">
        <v>68.0</v>
      </c>
      <c r="F45" s="93">
        <v>36.04451583</v>
      </c>
      <c r="G45" s="93">
        <v>37.01018455130212</v>
      </c>
      <c r="H45" s="93">
        <v>5.336353484369591</v>
      </c>
      <c r="I45" s="93">
        <v>1904.0</v>
      </c>
      <c r="J45" s="93">
        <v>1972.0</v>
      </c>
      <c r="K45" s="93">
        <v>5.365875689</v>
      </c>
    </row>
    <row r="46">
      <c r="A46" s="93">
        <v>182.0</v>
      </c>
      <c r="B46" s="96" t="s">
        <v>146</v>
      </c>
      <c r="C46" s="96" t="s">
        <v>144</v>
      </c>
      <c r="D46" s="96" t="s">
        <v>146</v>
      </c>
      <c r="E46" s="93">
        <v>0.0</v>
      </c>
      <c r="F46" s="93" t="s">
        <v>147</v>
      </c>
      <c r="G46" s="93" t="s">
        <v>147</v>
      </c>
      <c r="H46" s="93" t="s">
        <v>147</v>
      </c>
      <c r="I46" s="93" t="s">
        <v>147</v>
      </c>
      <c r="J46" s="93" t="s">
        <v>147</v>
      </c>
      <c r="K46" s="93" t="s">
        <v>147</v>
      </c>
    </row>
    <row r="47">
      <c r="A47" s="93">
        <v>181.0</v>
      </c>
      <c r="B47" s="96" t="s">
        <v>23</v>
      </c>
      <c r="C47" s="96" t="s">
        <v>142</v>
      </c>
      <c r="D47" s="96" t="s">
        <v>145</v>
      </c>
      <c r="E47" s="93">
        <v>-70.0</v>
      </c>
      <c r="F47" s="93">
        <v>33.29224585</v>
      </c>
      <c r="G47" s="93">
        <v>32.218076322113326</v>
      </c>
      <c r="H47" s="93">
        <v>5.399475858743287</v>
      </c>
      <c r="I47" s="93">
        <v>1710.0</v>
      </c>
      <c r="J47" s="93">
        <v>1640.0</v>
      </c>
      <c r="K47" s="93">
        <v>5.428940852</v>
      </c>
    </row>
    <row r="48">
      <c r="A48" s="93">
        <v>181.0</v>
      </c>
      <c r="B48" s="96" t="s">
        <v>22</v>
      </c>
      <c r="C48" s="96" t="s">
        <v>142</v>
      </c>
      <c r="D48" s="96" t="s">
        <v>145</v>
      </c>
      <c r="E48" s="93">
        <v>-68.0</v>
      </c>
      <c r="F48" s="93">
        <v>32.72516988</v>
      </c>
      <c r="G48" s="93">
        <v>31.689226105790006</v>
      </c>
      <c r="H48" s="93">
        <v>5.303596593912906</v>
      </c>
      <c r="I48" s="93">
        <v>1682.0</v>
      </c>
      <c r="J48" s="93">
        <v>1614.0</v>
      </c>
      <c r="K48" s="93">
        <v>5.331434399</v>
      </c>
    </row>
    <row r="49">
      <c r="A49" s="93">
        <v>181.0</v>
      </c>
      <c r="B49" s="96" t="s">
        <v>34</v>
      </c>
      <c r="C49" s="96" t="s">
        <v>142</v>
      </c>
      <c r="D49" s="96" t="s">
        <v>145</v>
      </c>
      <c r="E49" s="93">
        <v>-103.0</v>
      </c>
      <c r="F49" s="93">
        <v>31.31625545</v>
      </c>
      <c r="G49" s="93">
        <v>29.719256866953515</v>
      </c>
      <c r="H49" s="93">
        <v>6.565551983950875</v>
      </c>
      <c r="I49" s="93">
        <v>1454.0</v>
      </c>
      <c r="J49" s="93">
        <v>1351.0</v>
      </c>
      <c r="K49" s="93">
        <v>6.619955654</v>
      </c>
    </row>
    <row r="50">
      <c r="A50" s="93">
        <v>181.0</v>
      </c>
      <c r="B50" s="96" t="s">
        <v>21</v>
      </c>
      <c r="C50" s="96" t="s">
        <v>144</v>
      </c>
      <c r="D50" s="96" t="s">
        <v>143</v>
      </c>
      <c r="E50" s="93">
        <v>120.0</v>
      </c>
      <c r="F50" s="93">
        <v>33.83588696</v>
      </c>
      <c r="G50" s="93">
        <v>35.51777227115038</v>
      </c>
      <c r="H50" s="93">
        <v>6.734763153081293</v>
      </c>
      <c r="I50" s="93">
        <v>1608.0</v>
      </c>
      <c r="J50" s="93">
        <v>1728.0</v>
      </c>
      <c r="K50" s="93">
        <v>6.79365525</v>
      </c>
    </row>
    <row r="51">
      <c r="A51" s="93">
        <v>181.0</v>
      </c>
      <c r="B51" s="96" t="s">
        <v>31</v>
      </c>
      <c r="C51" s="96" t="s">
        <v>144</v>
      </c>
      <c r="D51" s="96" t="s">
        <v>148</v>
      </c>
      <c r="E51" s="93">
        <v>0.0</v>
      </c>
      <c r="F51" s="93" t="s">
        <v>147</v>
      </c>
      <c r="G51" s="93" t="s">
        <v>147</v>
      </c>
      <c r="H51" s="93" t="s">
        <v>147</v>
      </c>
      <c r="I51" s="93" t="s">
        <v>147</v>
      </c>
      <c r="J51" s="93" t="s">
        <v>147</v>
      </c>
      <c r="K51" s="93" t="s">
        <v>147</v>
      </c>
    </row>
    <row r="52">
      <c r="A52" s="93">
        <v>181.0</v>
      </c>
      <c r="B52" s="96" t="s">
        <v>64</v>
      </c>
      <c r="C52" s="96" t="s">
        <v>144</v>
      </c>
      <c r="D52" s="96" t="s">
        <v>143</v>
      </c>
      <c r="E52" s="93">
        <v>120.0</v>
      </c>
      <c r="F52" s="93">
        <v>23.89588432</v>
      </c>
      <c r="G52" s="93">
        <v>25.567843640979707</v>
      </c>
      <c r="H52" s="93">
        <v>6.715212864637479</v>
      </c>
      <c r="I52" s="93">
        <v>934.0</v>
      </c>
      <c r="J52" s="93">
        <v>1054.0</v>
      </c>
      <c r="K52" s="93">
        <v>6.773574155</v>
      </c>
    </row>
    <row r="53">
      <c r="A53" s="93">
        <v>181.0</v>
      </c>
      <c r="B53" s="96" t="s">
        <v>16</v>
      </c>
      <c r="C53" s="96" t="s">
        <v>144</v>
      </c>
      <c r="D53" s="96" t="s">
        <v>143</v>
      </c>
      <c r="E53" s="93">
        <v>75.0</v>
      </c>
      <c r="F53" s="93">
        <v>34.98382372</v>
      </c>
      <c r="G53" s="93">
        <v>36.04451582745178</v>
      </c>
      <c r="H53" s="93">
        <v>5.365875689023101</v>
      </c>
      <c r="I53" s="93">
        <v>1829.0</v>
      </c>
      <c r="J53" s="93">
        <v>1904.0</v>
      </c>
      <c r="K53" s="93">
        <v>5.394763724</v>
      </c>
    </row>
    <row r="54">
      <c r="A54" s="93">
        <v>181.0</v>
      </c>
      <c r="B54" s="96" t="s">
        <v>17</v>
      </c>
      <c r="C54" s="96" t="s">
        <v>144</v>
      </c>
      <c r="D54" s="96" t="s">
        <v>143</v>
      </c>
      <c r="E54" s="93">
        <v>92.0</v>
      </c>
      <c r="F54" s="93">
        <v>33.36907981</v>
      </c>
      <c r="G54" s="93">
        <v>34.65891288259457</v>
      </c>
      <c r="H54" s="93">
        <v>5.910024933031177</v>
      </c>
      <c r="I54" s="93">
        <v>1662.0</v>
      </c>
      <c r="J54" s="93">
        <v>1754.0</v>
      </c>
      <c r="K54" s="93">
        <v>5.949189033</v>
      </c>
    </row>
    <row r="55">
      <c r="A55" s="93">
        <v>181.0</v>
      </c>
      <c r="B55" s="96" t="s">
        <v>54</v>
      </c>
      <c r="C55" s="96" t="s">
        <v>144</v>
      </c>
      <c r="D55" s="96" t="s">
        <v>143</v>
      </c>
      <c r="E55" s="93">
        <v>171.0</v>
      </c>
      <c r="F55" s="93">
        <v>24.47050016</v>
      </c>
      <c r="G55" s="93">
        <v>26.842728812939114</v>
      </c>
      <c r="H55" s="93">
        <v>7.969137870655561</v>
      </c>
      <c r="I55" s="93">
        <v>841.0</v>
      </c>
      <c r="J55" s="93">
        <v>1012.0</v>
      </c>
      <c r="K55" s="93">
        <v>8.068583178</v>
      </c>
    </row>
    <row r="56">
      <c r="A56" s="93">
        <v>181.0</v>
      </c>
      <c r="B56" s="96" t="s">
        <v>26</v>
      </c>
      <c r="C56" s="96" t="s">
        <v>144</v>
      </c>
      <c r="D56" s="96" t="s">
        <v>143</v>
      </c>
      <c r="E56" s="93">
        <v>90.0</v>
      </c>
      <c r="F56" s="93">
        <v>30.67400492</v>
      </c>
      <c r="G56" s="93">
        <v>31.95296897544608</v>
      </c>
      <c r="H56" s="93">
        <v>5.885408101516081</v>
      </c>
      <c r="I56" s="93">
        <v>1482.0</v>
      </c>
      <c r="J56" s="93">
        <v>1572.0</v>
      </c>
      <c r="K56" s="93">
        <v>5.92406292</v>
      </c>
    </row>
    <row r="57">
      <c r="A57" s="93">
        <v>181.0</v>
      </c>
      <c r="B57" s="96" t="s">
        <v>38</v>
      </c>
      <c r="C57" s="96" t="s">
        <v>144</v>
      </c>
      <c r="D57" s="96" t="s">
        <v>143</v>
      </c>
      <c r="E57" s="93">
        <v>78.0</v>
      </c>
      <c r="F57" s="93">
        <v>27.31381909</v>
      </c>
      <c r="G57" s="93">
        <v>28.409332416408127</v>
      </c>
      <c r="H57" s="93">
        <v>5.45224442704502</v>
      </c>
      <c r="I57" s="93">
        <v>1298.0</v>
      </c>
      <c r="J57" s="93">
        <v>1376.0</v>
      </c>
      <c r="K57" s="93">
        <v>5.482630325</v>
      </c>
    </row>
    <row r="58">
      <c r="A58" s="93">
        <v>181.0</v>
      </c>
      <c r="B58" s="96" t="s">
        <v>41</v>
      </c>
      <c r="C58" s="96" t="s">
        <v>144</v>
      </c>
      <c r="D58" s="96" t="s">
        <v>143</v>
      </c>
      <c r="E58" s="93">
        <v>98.0</v>
      </c>
      <c r="F58" s="93">
        <v>27.29803516</v>
      </c>
      <c r="G58" s="93">
        <v>28.670134591337426</v>
      </c>
      <c r="H58" s="93">
        <v>6.092943328067054</v>
      </c>
      <c r="I58" s="93">
        <v>1230.0</v>
      </c>
      <c r="J58" s="93">
        <v>1328.0</v>
      </c>
      <c r="K58" s="93">
        <v>6.136030153</v>
      </c>
    </row>
    <row r="59">
      <c r="A59" s="93">
        <v>181.0</v>
      </c>
      <c r="B59" s="96" t="s">
        <v>30</v>
      </c>
      <c r="C59" s="96" t="s">
        <v>144</v>
      </c>
      <c r="D59" s="96" t="s">
        <v>143</v>
      </c>
      <c r="E59" s="93">
        <v>161.0</v>
      </c>
      <c r="F59" s="93">
        <v>28.72392463</v>
      </c>
      <c r="G59" s="93">
        <v>30.954990923704283</v>
      </c>
      <c r="H59" s="93">
        <v>7.734203562404016</v>
      </c>
      <c r="I59" s="93">
        <v>1155.0</v>
      </c>
      <c r="J59" s="93">
        <v>1316.0</v>
      </c>
      <c r="K59" s="93">
        <v>7.824797983</v>
      </c>
    </row>
    <row r="60">
      <c r="A60" s="93">
        <v>181.0</v>
      </c>
      <c r="B60" s="96" t="s">
        <v>24</v>
      </c>
      <c r="C60" s="96" t="s">
        <v>144</v>
      </c>
      <c r="D60" s="96" t="s">
        <v>143</v>
      </c>
      <c r="E60" s="93">
        <v>92.0</v>
      </c>
      <c r="F60" s="93">
        <v>32.21544057</v>
      </c>
      <c r="G60" s="93">
        <v>33.50321169307041</v>
      </c>
      <c r="H60" s="93">
        <v>5.9053632260486815</v>
      </c>
      <c r="I60" s="93">
        <v>1584.0</v>
      </c>
      <c r="J60" s="93">
        <v>1676.0</v>
      </c>
      <c r="K60" s="93">
        <v>5.944430548</v>
      </c>
    </row>
    <row r="61">
      <c r="A61" s="93">
        <v>181.0</v>
      </c>
      <c r="B61" s="96" t="s">
        <v>50</v>
      </c>
      <c r="C61" s="96" t="s">
        <v>144</v>
      </c>
      <c r="D61" s="96" t="s">
        <v>143</v>
      </c>
      <c r="E61" s="93">
        <v>113.0</v>
      </c>
      <c r="F61" s="93">
        <v>23.66318181</v>
      </c>
      <c r="G61" s="93">
        <v>25.247062494809082</v>
      </c>
      <c r="H61" s="93">
        <v>6.538984443461922</v>
      </c>
      <c r="I61" s="93">
        <v>937.0</v>
      </c>
      <c r="J61" s="93">
        <v>1050.0</v>
      </c>
      <c r="K61" s="93">
        <v>6.592704889</v>
      </c>
    </row>
    <row r="62">
      <c r="A62" s="93">
        <v>180.0</v>
      </c>
      <c r="B62" s="96" t="s">
        <v>46</v>
      </c>
      <c r="C62" s="96" t="s">
        <v>142</v>
      </c>
      <c r="D62" s="96" t="s">
        <v>145</v>
      </c>
      <c r="E62" s="93">
        <v>-57.0</v>
      </c>
      <c r="F62" s="93">
        <v>28.18675519</v>
      </c>
      <c r="G62" s="93">
        <v>27.26631768721402</v>
      </c>
      <c r="H62" s="93">
        <v>6.80664406061148</v>
      </c>
      <c r="I62" s="93">
        <v>1217.0</v>
      </c>
      <c r="J62" s="93">
        <v>1160.0</v>
      </c>
      <c r="K62" s="93">
        <v>6.856401355</v>
      </c>
    </row>
    <row r="63">
      <c r="A63" s="93">
        <v>180.0</v>
      </c>
      <c r="B63" s="96" t="s">
        <v>33</v>
      </c>
      <c r="C63" s="96" t="s">
        <v>142</v>
      </c>
      <c r="D63" s="96" t="s">
        <v>145</v>
      </c>
      <c r="E63" s="93">
        <v>-50.0</v>
      </c>
      <c r="F63" s="93">
        <v>31.57330388</v>
      </c>
      <c r="G63" s="93">
        <v>30.7731294367498</v>
      </c>
      <c r="H63" s="93">
        <v>6.352581750315363</v>
      </c>
      <c r="I63" s="93">
        <v>1495.0</v>
      </c>
      <c r="J63" s="93">
        <v>1445.0</v>
      </c>
      <c r="K63" s="93">
        <v>6.392702221</v>
      </c>
    </row>
    <row r="64">
      <c r="A64" s="93">
        <v>180.0</v>
      </c>
      <c r="B64" s="96" t="s">
        <v>120</v>
      </c>
      <c r="C64" s="96" t="s">
        <v>142</v>
      </c>
      <c r="D64" s="96" t="s">
        <v>145</v>
      </c>
      <c r="E64" s="93">
        <v>-83.0</v>
      </c>
      <c r="F64" s="93">
        <v>24.86821045</v>
      </c>
      <c r="G64" s="93">
        <v>23.515498624944282</v>
      </c>
      <c r="H64" s="93">
        <v>8.222705789403225</v>
      </c>
      <c r="I64" s="93">
        <v>843.0</v>
      </c>
      <c r="J64" s="93">
        <v>760.0</v>
      </c>
      <c r="K64" s="93">
        <v>8.312209548</v>
      </c>
    </row>
    <row r="65">
      <c r="A65" s="93">
        <v>180.0</v>
      </c>
      <c r="B65" s="96" t="s">
        <v>22</v>
      </c>
      <c r="C65" s="96" t="s">
        <v>144</v>
      </c>
      <c r="D65" s="96" t="s">
        <v>143</v>
      </c>
      <c r="E65" s="93">
        <v>41.0</v>
      </c>
      <c r="F65" s="93">
        <v>32.16373221</v>
      </c>
      <c r="G65" s="93">
        <v>32.725169879519775</v>
      </c>
      <c r="H65" s="93">
        <v>5.331434398531934</v>
      </c>
      <c r="I65" s="93">
        <v>1641.0</v>
      </c>
      <c r="J65" s="93">
        <v>1682.0</v>
      </c>
      <c r="K65" s="93">
        <v>5.354517166</v>
      </c>
    </row>
    <row r="66">
      <c r="A66" s="93">
        <v>180.0</v>
      </c>
      <c r="B66" s="96" t="s">
        <v>64</v>
      </c>
      <c r="C66" s="96" t="s">
        <v>144</v>
      </c>
      <c r="D66" s="96" t="s">
        <v>143</v>
      </c>
      <c r="E66" s="93">
        <v>67.0</v>
      </c>
      <c r="F66" s="93">
        <v>22.98450244</v>
      </c>
      <c r="G66" s="93">
        <v>23.895884318401723</v>
      </c>
      <c r="H66" s="93">
        <v>6.773574155013735</v>
      </c>
      <c r="I66" s="93">
        <v>867.0</v>
      </c>
      <c r="J66" s="93">
        <v>934.0</v>
      </c>
      <c r="K66" s="93">
        <v>6.822582797</v>
      </c>
    </row>
    <row r="67">
      <c r="A67" s="93">
        <v>180.0</v>
      </c>
      <c r="B67" s="96" t="s">
        <v>21</v>
      </c>
      <c r="C67" s="96" t="s">
        <v>144</v>
      </c>
      <c r="D67" s="96" t="s">
        <v>143</v>
      </c>
      <c r="E67" s="93">
        <v>68.0</v>
      </c>
      <c r="F67" s="93">
        <v>32.9190118</v>
      </c>
      <c r="G67" s="93">
        <v>33.835886959990816</v>
      </c>
      <c r="H67" s="93">
        <v>6.793655250321027</v>
      </c>
      <c r="I67" s="93">
        <v>1540.0</v>
      </c>
      <c r="J67" s="93">
        <v>1608.0</v>
      </c>
      <c r="K67" s="93">
        <v>6.843117598</v>
      </c>
    </row>
    <row r="68">
      <c r="A68" s="93">
        <v>180.0</v>
      </c>
      <c r="B68" s="96" t="s">
        <v>17</v>
      </c>
      <c r="C68" s="96" t="s">
        <v>144</v>
      </c>
      <c r="D68" s="96" t="s">
        <v>148</v>
      </c>
      <c r="E68" s="93">
        <v>0.0</v>
      </c>
      <c r="F68" s="93" t="s">
        <v>147</v>
      </c>
      <c r="G68" s="93" t="s">
        <v>147</v>
      </c>
      <c r="H68" s="93" t="s">
        <v>147</v>
      </c>
      <c r="I68" s="93" t="s">
        <v>147</v>
      </c>
      <c r="J68" s="93" t="s">
        <v>147</v>
      </c>
      <c r="K68" s="93" t="s">
        <v>147</v>
      </c>
    </row>
    <row r="69">
      <c r="A69" s="93">
        <v>180.0</v>
      </c>
      <c r="B69" s="96" t="s">
        <v>24</v>
      </c>
      <c r="C69" s="96" t="s">
        <v>144</v>
      </c>
      <c r="D69" s="96" t="s">
        <v>143</v>
      </c>
      <c r="E69" s="93">
        <v>51.0</v>
      </c>
      <c r="F69" s="93">
        <v>31.51592165</v>
      </c>
      <c r="G69" s="93">
        <v>32.21544057449201</v>
      </c>
      <c r="H69" s="93">
        <v>5.944430547699591</v>
      </c>
      <c r="I69" s="93">
        <v>1533.0</v>
      </c>
      <c r="J69" s="93">
        <v>1584.0</v>
      </c>
      <c r="K69" s="93">
        <v>5.977013338</v>
      </c>
    </row>
    <row r="70">
      <c r="A70" s="93">
        <v>180.0</v>
      </c>
      <c r="B70" s="96" t="s">
        <v>50</v>
      </c>
      <c r="C70" s="96" t="s">
        <v>144</v>
      </c>
      <c r="D70" s="96" t="s">
        <v>143</v>
      </c>
      <c r="E70" s="93">
        <v>64.0</v>
      </c>
      <c r="F70" s="93">
        <v>22.80050143</v>
      </c>
      <c r="G70" s="93">
        <v>23.663181806477898</v>
      </c>
      <c r="H70" s="93">
        <v>6.592704888603352</v>
      </c>
      <c r="I70" s="93">
        <v>873.0</v>
      </c>
      <c r="J70" s="93">
        <v>937.0</v>
      </c>
      <c r="K70" s="93">
        <v>6.63775084</v>
      </c>
    </row>
    <row r="71">
      <c r="A71" s="93">
        <v>180.0</v>
      </c>
      <c r="B71" s="96" t="s">
        <v>16</v>
      </c>
      <c r="C71" s="96" t="s">
        <v>144</v>
      </c>
      <c r="D71" s="96" t="s">
        <v>143</v>
      </c>
      <c r="E71" s="93">
        <v>42.0</v>
      </c>
      <c r="F71" s="93">
        <v>34.40884355</v>
      </c>
      <c r="G71" s="93">
        <v>34.98382372141128</v>
      </c>
      <c r="H71" s="93">
        <v>5.394763724423312</v>
      </c>
      <c r="I71" s="93">
        <v>1787.0</v>
      </c>
      <c r="J71" s="93">
        <v>1829.0</v>
      </c>
      <c r="K71" s="93">
        <v>5.418733083</v>
      </c>
    </row>
    <row r="72">
      <c r="A72" s="93">
        <v>180.0</v>
      </c>
      <c r="B72" s="96" t="s">
        <v>23</v>
      </c>
      <c r="C72" s="96" t="s">
        <v>144</v>
      </c>
      <c r="D72" s="96" t="s">
        <v>143</v>
      </c>
      <c r="E72" s="93">
        <v>42.0</v>
      </c>
      <c r="F72" s="93">
        <v>32.70988821</v>
      </c>
      <c r="G72" s="93">
        <v>33.29224584754013</v>
      </c>
      <c r="H72" s="93">
        <v>5.4289408518725475</v>
      </c>
      <c r="I72" s="93">
        <v>1668.0</v>
      </c>
      <c r="J72" s="93">
        <v>1710.0</v>
      </c>
      <c r="K72" s="93">
        <v>5.453397436</v>
      </c>
    </row>
    <row r="73">
      <c r="A73" s="93">
        <v>180.0</v>
      </c>
      <c r="B73" s="96" t="s">
        <v>31</v>
      </c>
      <c r="C73" s="96" t="s">
        <v>144</v>
      </c>
      <c r="D73" s="96" t="s">
        <v>143</v>
      </c>
      <c r="E73" s="93">
        <v>63.0</v>
      </c>
      <c r="F73" s="93">
        <v>28.7144168</v>
      </c>
      <c r="G73" s="93">
        <v>29.574378848002134</v>
      </c>
      <c r="H73" s="93">
        <v>6.58245438614814</v>
      </c>
      <c r="I73" s="93">
        <v>1277.0</v>
      </c>
      <c r="J73" s="93">
        <v>1340.0</v>
      </c>
      <c r="K73" s="93">
        <v>6.627282348</v>
      </c>
    </row>
    <row r="74">
      <c r="A74" s="93">
        <v>180.0</v>
      </c>
      <c r="B74" s="96" t="s">
        <v>56</v>
      </c>
      <c r="C74" s="96" t="s">
        <v>144</v>
      </c>
      <c r="D74" s="96" t="s">
        <v>148</v>
      </c>
      <c r="E74" s="93">
        <v>0.0</v>
      </c>
      <c r="F74" s="93" t="s">
        <v>147</v>
      </c>
      <c r="G74" s="93" t="s">
        <v>147</v>
      </c>
      <c r="H74" s="93" t="s">
        <v>147</v>
      </c>
      <c r="I74" s="93" t="s">
        <v>147</v>
      </c>
      <c r="J74" s="93" t="s">
        <v>147</v>
      </c>
      <c r="K74" s="93" t="s">
        <v>147</v>
      </c>
    </row>
    <row r="75">
      <c r="A75" s="93">
        <v>180.0</v>
      </c>
      <c r="B75" s="96" t="s">
        <v>34</v>
      </c>
      <c r="C75" s="96" t="s">
        <v>144</v>
      </c>
      <c r="D75" s="96" t="s">
        <v>143</v>
      </c>
      <c r="E75" s="93">
        <v>64.0</v>
      </c>
      <c r="F75" s="93">
        <v>30.4463267</v>
      </c>
      <c r="G75" s="93">
        <v>31.316255454595765</v>
      </c>
      <c r="H75" s="93">
        <v>6.61995565435251</v>
      </c>
      <c r="I75" s="93">
        <v>1390.0</v>
      </c>
      <c r="J75" s="93">
        <v>1454.0</v>
      </c>
      <c r="K75" s="93">
        <v>6.665584533</v>
      </c>
    </row>
    <row r="76">
      <c r="A76" s="93">
        <v>180.0</v>
      </c>
      <c r="B76" s="96" t="s">
        <v>54</v>
      </c>
      <c r="C76" s="96" t="s">
        <v>144</v>
      </c>
      <c r="D76" s="96" t="s">
        <v>143</v>
      </c>
      <c r="E76" s="93">
        <v>97.0</v>
      </c>
      <c r="F76" s="93">
        <v>23.16911035</v>
      </c>
      <c r="G76" s="93">
        <v>24.470500156371735</v>
      </c>
      <c r="H76" s="93">
        <v>8.068583177992442</v>
      </c>
      <c r="I76" s="93">
        <v>744.0</v>
      </c>
      <c r="J76" s="93">
        <v>841.0</v>
      </c>
      <c r="K76" s="93">
        <v>8.152978569</v>
      </c>
    </row>
    <row r="77">
      <c r="A77" s="93">
        <v>179.0</v>
      </c>
      <c r="B77" s="96" t="s">
        <v>38</v>
      </c>
      <c r="C77" s="96" t="s">
        <v>142</v>
      </c>
      <c r="D77" s="96" t="s">
        <v>143</v>
      </c>
      <c r="E77" s="93">
        <v>27.0</v>
      </c>
      <c r="F77" s="93">
        <v>26.94626816</v>
      </c>
      <c r="G77" s="93">
        <v>27.313819086677412</v>
      </c>
      <c r="H77" s="93">
        <v>5.482630325136373</v>
      </c>
      <c r="I77" s="93">
        <v>1271.0</v>
      </c>
      <c r="J77" s="93">
        <v>1298.0</v>
      </c>
      <c r="K77" s="93">
        <v>5.503733791</v>
      </c>
    </row>
    <row r="78">
      <c r="A78" s="93">
        <v>179.0</v>
      </c>
      <c r="B78" s="96" t="s">
        <v>16</v>
      </c>
      <c r="C78" s="96" t="s">
        <v>142</v>
      </c>
      <c r="D78" s="96" t="s">
        <v>143</v>
      </c>
      <c r="E78" s="93">
        <v>26.0</v>
      </c>
      <c r="F78" s="93">
        <v>34.04987739</v>
      </c>
      <c r="G78" s="93">
        <v>34.40884354734103</v>
      </c>
      <c r="H78" s="93">
        <v>5.418733083453727</v>
      </c>
      <c r="I78" s="93">
        <v>1761.0</v>
      </c>
      <c r="J78" s="93">
        <v>1787.0</v>
      </c>
      <c r="K78" s="93">
        <v>5.439058088</v>
      </c>
    </row>
    <row r="79">
      <c r="A79" s="93">
        <v>179.0</v>
      </c>
      <c r="B79" s="96" t="s">
        <v>43</v>
      </c>
      <c r="C79" s="96" t="s">
        <v>142</v>
      </c>
      <c r="D79" s="96" t="s">
        <v>143</v>
      </c>
      <c r="E79" s="93">
        <v>51.0</v>
      </c>
      <c r="F79" s="93">
        <v>27.80408024</v>
      </c>
      <c r="G79" s="93">
        <v>28.464169141015482</v>
      </c>
      <c r="H79" s="93">
        <v>7.32379859435518</v>
      </c>
      <c r="I79" s="93">
        <v>1138.0</v>
      </c>
      <c r="J79" s="93">
        <v>1189.0</v>
      </c>
      <c r="K79" s="93">
        <v>7.376182297</v>
      </c>
    </row>
    <row r="80">
      <c r="A80" s="93">
        <v>179.0</v>
      </c>
      <c r="B80" s="96" t="s">
        <v>119</v>
      </c>
      <c r="C80" s="96" t="s">
        <v>144</v>
      </c>
      <c r="D80" s="96" t="s">
        <v>145</v>
      </c>
      <c r="E80" s="93">
        <v>-39.0</v>
      </c>
      <c r="F80" s="93">
        <v>21.80365563</v>
      </c>
      <c r="G80" s="93">
        <v>21.14739878068182</v>
      </c>
      <c r="H80" s="93">
        <v>7.302817270215743</v>
      </c>
      <c r="I80" s="93">
        <v>732.0</v>
      </c>
      <c r="J80" s="93">
        <v>693.0</v>
      </c>
      <c r="K80" s="93">
        <v>7.3547365</v>
      </c>
    </row>
    <row r="81">
      <c r="A81" s="93">
        <v>179.0</v>
      </c>
      <c r="B81" s="96" t="s">
        <v>40</v>
      </c>
      <c r="C81" s="96" t="s">
        <v>144</v>
      </c>
      <c r="D81" s="96" t="s">
        <v>148</v>
      </c>
      <c r="E81" s="93">
        <v>0.0</v>
      </c>
      <c r="F81" s="93" t="s">
        <v>147</v>
      </c>
      <c r="G81" s="93" t="s">
        <v>147</v>
      </c>
      <c r="H81" s="93" t="s">
        <v>147</v>
      </c>
      <c r="I81" s="93" t="s">
        <v>147</v>
      </c>
      <c r="J81" s="93" t="s">
        <v>147</v>
      </c>
      <c r="K81" s="93" t="s">
        <v>147</v>
      </c>
    </row>
    <row r="82">
      <c r="A82" s="93">
        <v>179.0</v>
      </c>
      <c r="B82" s="96" t="s">
        <v>34</v>
      </c>
      <c r="C82" s="96" t="s">
        <v>144</v>
      </c>
      <c r="D82" s="96" t="s">
        <v>148</v>
      </c>
      <c r="E82" s="93">
        <v>0.0</v>
      </c>
      <c r="F82" s="93" t="s">
        <v>147</v>
      </c>
      <c r="G82" s="93" t="s">
        <v>147</v>
      </c>
      <c r="H82" s="93" t="s">
        <v>147</v>
      </c>
      <c r="I82" s="93" t="s">
        <v>147</v>
      </c>
      <c r="J82" s="93" t="s">
        <v>147</v>
      </c>
      <c r="K82" s="93" t="s">
        <v>147</v>
      </c>
    </row>
    <row r="83">
      <c r="A83" s="93">
        <v>179.0</v>
      </c>
      <c r="B83" s="96" t="s">
        <v>29</v>
      </c>
      <c r="C83" s="96" t="s">
        <v>144</v>
      </c>
      <c r="D83" s="96" t="s">
        <v>145</v>
      </c>
      <c r="E83" s="93">
        <v>-26.0</v>
      </c>
      <c r="F83" s="93">
        <v>31.06445082</v>
      </c>
      <c r="G83" s="93">
        <v>30.650643495588845</v>
      </c>
      <c r="H83" s="93">
        <v>5.814458864982762</v>
      </c>
      <c r="I83" s="93">
        <v>1517.0</v>
      </c>
      <c r="J83" s="93">
        <v>1491.0</v>
      </c>
      <c r="K83" s="93">
        <v>5.839904677</v>
      </c>
    </row>
    <row r="84">
      <c r="A84" s="93">
        <v>179.0</v>
      </c>
      <c r="B84" s="96" t="s">
        <v>39</v>
      </c>
      <c r="C84" s="96" t="s">
        <v>144</v>
      </c>
      <c r="D84" s="96" t="s">
        <v>145</v>
      </c>
      <c r="E84" s="93">
        <v>-40.0</v>
      </c>
      <c r="F84" s="93">
        <v>28.96682017</v>
      </c>
      <c r="G84" s="93">
        <v>28.306959873991524</v>
      </c>
      <c r="H84" s="93">
        <v>7.322548718685673</v>
      </c>
      <c r="I84" s="93">
        <v>1218.0</v>
      </c>
      <c r="J84" s="93">
        <v>1178.0</v>
      </c>
      <c r="K84" s="93">
        <v>7.374904675</v>
      </c>
    </row>
    <row r="85">
      <c r="A85" s="93">
        <v>179.0</v>
      </c>
      <c r="B85" s="96" t="s">
        <v>32</v>
      </c>
      <c r="C85" s="96" t="s">
        <v>144</v>
      </c>
      <c r="D85" s="96" t="s">
        <v>145</v>
      </c>
      <c r="E85" s="93">
        <v>-30.0</v>
      </c>
      <c r="F85" s="93">
        <v>30.9239948</v>
      </c>
      <c r="G85" s="93">
        <v>30.4310175741356</v>
      </c>
      <c r="H85" s="93">
        <v>6.340837276265773</v>
      </c>
      <c r="I85" s="93">
        <v>1453.0</v>
      </c>
      <c r="J85" s="93">
        <v>1423.0</v>
      </c>
      <c r="K85" s="93">
        <v>6.374268087</v>
      </c>
    </row>
    <row r="86">
      <c r="A86" s="93">
        <v>179.0</v>
      </c>
      <c r="B86" s="96" t="s">
        <v>54</v>
      </c>
      <c r="C86" s="96" t="s">
        <v>144</v>
      </c>
      <c r="D86" s="96" t="s">
        <v>145</v>
      </c>
      <c r="E86" s="93">
        <v>-48.0</v>
      </c>
      <c r="F86" s="93">
        <v>23.99003611</v>
      </c>
      <c r="G86" s="93">
        <v>23.169110352153048</v>
      </c>
      <c r="H86" s="93">
        <v>8.152978569072616</v>
      </c>
      <c r="I86" s="93">
        <v>792.0</v>
      </c>
      <c r="J86" s="93">
        <v>744.0</v>
      </c>
      <c r="K86" s="93">
        <v>8.226028063</v>
      </c>
    </row>
    <row r="87">
      <c r="A87" s="93">
        <v>179.0</v>
      </c>
      <c r="B87" s="96" t="s">
        <v>18</v>
      </c>
      <c r="C87" s="96" t="s">
        <v>144</v>
      </c>
      <c r="D87" s="96" t="s">
        <v>145</v>
      </c>
      <c r="E87" s="93">
        <v>-27.0</v>
      </c>
      <c r="F87" s="93">
        <v>35.52842222</v>
      </c>
      <c r="G87" s="93">
        <v>35.08653651528758</v>
      </c>
      <c r="H87" s="93">
        <v>6.0066392159263</v>
      </c>
      <c r="I87" s="93">
        <v>1800.0</v>
      </c>
      <c r="J87" s="93">
        <v>1773.0</v>
      </c>
      <c r="K87" s="93">
        <v>6.034839071</v>
      </c>
    </row>
    <row r="88">
      <c r="A88" s="93">
        <v>179.0</v>
      </c>
      <c r="B88" s="96" t="s">
        <v>22</v>
      </c>
      <c r="C88" s="96" t="s">
        <v>144</v>
      </c>
      <c r="D88" s="96" t="s">
        <v>145</v>
      </c>
      <c r="E88" s="93">
        <v>-22.0</v>
      </c>
      <c r="F88" s="93">
        <v>32.51417539</v>
      </c>
      <c r="G88" s="93">
        <v>32.163732208236155</v>
      </c>
      <c r="H88" s="93">
        <v>5.354517166059731</v>
      </c>
      <c r="I88" s="93">
        <v>1663.0</v>
      </c>
      <c r="J88" s="93">
        <v>1641.0</v>
      </c>
      <c r="K88" s="93">
        <v>5.374078008</v>
      </c>
    </row>
    <row r="89">
      <c r="A89" s="93">
        <v>179.0</v>
      </c>
      <c r="B89" s="96" t="s">
        <v>31</v>
      </c>
      <c r="C89" s="96" t="s">
        <v>144</v>
      </c>
      <c r="D89" s="96" t="s">
        <v>145</v>
      </c>
      <c r="E89" s="93">
        <v>-32.0</v>
      </c>
      <c r="F89" s="93">
        <v>29.25348561</v>
      </c>
      <c r="G89" s="93">
        <v>28.71441680443804</v>
      </c>
      <c r="H89" s="93">
        <v>6.627282348145135</v>
      </c>
      <c r="I89" s="93">
        <v>1309.0</v>
      </c>
      <c r="J89" s="93">
        <v>1277.0</v>
      </c>
      <c r="K89" s="93">
        <v>6.66566628</v>
      </c>
    </row>
    <row r="90">
      <c r="A90" s="93">
        <v>179.0</v>
      </c>
      <c r="B90" s="96" t="s">
        <v>17</v>
      </c>
      <c r="C90" s="96" t="s">
        <v>144</v>
      </c>
      <c r="D90" s="96" t="s">
        <v>145</v>
      </c>
      <c r="E90" s="93">
        <v>-27.0</v>
      </c>
      <c r="F90" s="93">
        <v>33.80247245</v>
      </c>
      <c r="G90" s="93">
        <v>33.369079812806476</v>
      </c>
      <c r="H90" s="93">
        <v>5.949189033249991</v>
      </c>
      <c r="I90" s="93">
        <v>1689.0</v>
      </c>
      <c r="J90" s="93">
        <v>1662.0</v>
      </c>
      <c r="K90" s="93">
        <v>5.976546645</v>
      </c>
    </row>
    <row r="91">
      <c r="A91" s="93">
        <v>179.0</v>
      </c>
      <c r="B91" s="96" t="s">
        <v>47</v>
      </c>
      <c r="C91" s="96" t="s">
        <v>144</v>
      </c>
      <c r="D91" s="96" t="s">
        <v>145</v>
      </c>
      <c r="E91" s="93">
        <v>-24.0</v>
      </c>
      <c r="F91" s="93">
        <v>26.14660599</v>
      </c>
      <c r="G91" s="93">
        <v>25.765842017335505</v>
      </c>
      <c r="H91" s="93">
        <v>5.579500378566413</v>
      </c>
      <c r="I91" s="93">
        <v>1207.0</v>
      </c>
      <c r="J91" s="93">
        <v>1183.0</v>
      </c>
      <c r="K91" s="93">
        <v>5.60181898</v>
      </c>
    </row>
    <row r="92">
      <c r="A92" s="93">
        <v>178.0</v>
      </c>
      <c r="B92" s="96" t="s">
        <v>70</v>
      </c>
      <c r="C92" s="96" t="s">
        <v>142</v>
      </c>
      <c r="D92" s="96" t="s">
        <v>143</v>
      </c>
      <c r="E92" s="93">
        <v>133.0</v>
      </c>
      <c r="F92" s="93">
        <v>25.0</v>
      </c>
      <c r="G92" s="93">
        <v>26.81324353408213</v>
      </c>
      <c r="H92" s="93">
        <v>8.234932458795983</v>
      </c>
      <c r="I92" s="93">
        <v>850.0</v>
      </c>
      <c r="J92" s="93">
        <v>983.0</v>
      </c>
      <c r="K92" s="93">
        <v>8.333333333333334</v>
      </c>
    </row>
    <row r="93">
      <c r="A93" s="93">
        <v>178.0</v>
      </c>
      <c r="B93" s="96" t="s">
        <v>64</v>
      </c>
      <c r="C93" s="96" t="s">
        <v>142</v>
      </c>
      <c r="D93" s="96" t="s">
        <v>143</v>
      </c>
      <c r="E93" s="93">
        <v>90.0</v>
      </c>
      <c r="F93" s="93">
        <v>21.74941705</v>
      </c>
      <c r="G93" s="93">
        <v>22.984502441993598</v>
      </c>
      <c r="H93" s="93">
        <v>6.822582797216922</v>
      </c>
      <c r="I93" s="93">
        <v>777.0</v>
      </c>
      <c r="J93" s="93">
        <v>867.0</v>
      </c>
      <c r="K93" s="93">
        <v>6.877404046</v>
      </c>
    </row>
    <row r="94">
      <c r="A94" s="93">
        <v>178.0</v>
      </c>
      <c r="B94" s="96" t="s">
        <v>39</v>
      </c>
      <c r="C94" s="96" t="s">
        <v>142</v>
      </c>
      <c r="D94" s="96" t="s">
        <v>143</v>
      </c>
      <c r="E94" s="93">
        <v>106.0</v>
      </c>
      <c r="F94" s="93">
        <v>27.51960381</v>
      </c>
      <c r="G94" s="93">
        <v>28.966820174048213</v>
      </c>
      <c r="H94" s="93">
        <v>7.374904674594393</v>
      </c>
      <c r="I94" s="93">
        <v>1112.0</v>
      </c>
      <c r="J94" s="93">
        <v>1218.0</v>
      </c>
      <c r="K94" s="93">
        <v>7.44473955</v>
      </c>
    </row>
    <row r="95">
      <c r="A95" s="93">
        <v>178.0</v>
      </c>
      <c r="B95" s="96" t="s">
        <v>41</v>
      </c>
      <c r="C95" s="96" t="s">
        <v>144</v>
      </c>
      <c r="D95" s="96" t="s">
        <v>148</v>
      </c>
      <c r="E95" s="93">
        <v>0.0</v>
      </c>
      <c r="F95" s="93" t="s">
        <v>147</v>
      </c>
      <c r="G95" s="93" t="s">
        <v>147</v>
      </c>
      <c r="H95" s="93" t="s">
        <v>147</v>
      </c>
      <c r="I95" s="93" t="s">
        <v>147</v>
      </c>
      <c r="J95" s="93" t="s">
        <v>147</v>
      </c>
      <c r="K95" s="93" t="s">
        <v>147</v>
      </c>
    </row>
    <row r="96">
      <c r="A96" s="93">
        <v>178.0</v>
      </c>
      <c r="B96" s="96" t="s">
        <v>44</v>
      </c>
      <c r="C96" s="96" t="s">
        <v>144</v>
      </c>
      <c r="D96" s="96" t="s">
        <v>145</v>
      </c>
      <c r="E96" s="93">
        <v>-75.0</v>
      </c>
      <c r="F96" s="93">
        <v>28.20924049</v>
      </c>
      <c r="G96" s="93">
        <v>27.032729721861113</v>
      </c>
      <c r="H96" s="93">
        <v>6.661416481514902</v>
      </c>
      <c r="I96" s="93">
        <v>1234.0</v>
      </c>
      <c r="J96" s="93">
        <v>1159.0</v>
      </c>
      <c r="K96" s="93">
        <v>6.712305504</v>
      </c>
    </row>
    <row r="97">
      <c r="A97" s="93">
        <v>178.0</v>
      </c>
      <c r="B97" s="96" t="s">
        <v>29</v>
      </c>
      <c r="C97" s="96" t="s">
        <v>144</v>
      </c>
      <c r="D97" s="96" t="s">
        <v>145</v>
      </c>
      <c r="E97" s="93">
        <v>-58.0</v>
      </c>
      <c r="F97" s="93">
        <v>31.96538702</v>
      </c>
      <c r="G97" s="93">
        <v>31.064450821175946</v>
      </c>
      <c r="H97" s="93">
        <v>5.8399046765626705</v>
      </c>
      <c r="I97" s="93">
        <v>1575.0</v>
      </c>
      <c r="J97" s="93">
        <v>1517.0</v>
      </c>
      <c r="K97" s="93">
        <v>5.87362259</v>
      </c>
    </row>
    <row r="98">
      <c r="A98" s="93">
        <v>178.0</v>
      </c>
      <c r="B98" s="96" t="s">
        <v>31</v>
      </c>
      <c r="C98" s="96" t="s">
        <v>144</v>
      </c>
      <c r="D98" s="96" t="s">
        <v>145</v>
      </c>
      <c r="E98" s="93">
        <v>-75.0</v>
      </c>
      <c r="F98" s="93">
        <v>30.43152179</v>
      </c>
      <c r="G98" s="93">
        <v>29.253485610680766</v>
      </c>
      <c r="H98" s="93">
        <v>6.665666280280195</v>
      </c>
      <c r="I98" s="93">
        <v>1384.0</v>
      </c>
      <c r="J98" s="93">
        <v>1309.0</v>
      </c>
      <c r="K98" s="93">
        <v>6.716656497</v>
      </c>
    </row>
    <row r="99">
      <c r="A99" s="93">
        <v>178.0</v>
      </c>
      <c r="B99" s="96" t="s">
        <v>97</v>
      </c>
      <c r="C99" s="96" t="s">
        <v>144</v>
      </c>
      <c r="D99" s="96" t="s">
        <v>145</v>
      </c>
      <c r="E99" s="93">
        <v>-60.0</v>
      </c>
      <c r="F99" s="93">
        <v>22.16853437</v>
      </c>
      <c r="G99" s="93">
        <v>21.22932002678521</v>
      </c>
      <c r="H99" s="93">
        <v>5.961170199161009</v>
      </c>
      <c r="I99" s="93">
        <v>896.0</v>
      </c>
      <c r="J99" s="93">
        <v>836.0</v>
      </c>
      <c r="K99" s="93">
        <v>5.997136618</v>
      </c>
    </row>
    <row r="100">
      <c r="A100" s="93">
        <v>178.0</v>
      </c>
      <c r="B100" s="96" t="s">
        <v>16</v>
      </c>
      <c r="C100" s="96" t="s">
        <v>144</v>
      </c>
      <c r="D100" s="96" t="s">
        <v>148</v>
      </c>
      <c r="E100" s="93">
        <v>0.0</v>
      </c>
      <c r="F100" s="93" t="s">
        <v>147</v>
      </c>
      <c r="G100" s="93" t="s">
        <v>147</v>
      </c>
      <c r="H100" s="93" t="s">
        <v>147</v>
      </c>
      <c r="I100" s="93" t="s">
        <v>147</v>
      </c>
      <c r="J100" s="93" t="s">
        <v>147</v>
      </c>
      <c r="K100" s="93" t="s">
        <v>147</v>
      </c>
    </row>
    <row r="101">
      <c r="A101" s="93">
        <v>178.0</v>
      </c>
      <c r="B101" s="96" t="s">
        <v>47</v>
      </c>
      <c r="C101" s="96" t="s">
        <v>144</v>
      </c>
      <c r="D101" s="96" t="s">
        <v>145</v>
      </c>
      <c r="E101" s="93">
        <v>-53.0</v>
      </c>
      <c r="F101" s="93">
        <v>26.97478537</v>
      </c>
      <c r="G101" s="93">
        <v>26.14660598864172</v>
      </c>
      <c r="H101" s="93">
        <v>5.6018189796640065</v>
      </c>
      <c r="I101" s="93">
        <v>1260.0</v>
      </c>
      <c r="J101" s="93">
        <v>1207.0</v>
      </c>
      <c r="K101" s="93">
        <v>5.631391181</v>
      </c>
    </row>
    <row r="102">
      <c r="A102" s="93">
        <v>178.0</v>
      </c>
      <c r="B102" s="96" t="s">
        <v>18</v>
      </c>
      <c r="C102" s="96" t="s">
        <v>144</v>
      </c>
      <c r="D102" s="96" t="s">
        <v>145</v>
      </c>
      <c r="E102" s="93">
        <v>-62.0</v>
      </c>
      <c r="F102" s="93">
        <v>36.49129423</v>
      </c>
      <c r="G102" s="93">
        <v>35.52842222147844</v>
      </c>
      <c r="H102" s="93">
        <v>6.0348390714121605</v>
      </c>
      <c r="I102" s="93">
        <v>1862.0</v>
      </c>
      <c r="J102" s="93">
        <v>1800.0</v>
      </c>
      <c r="K102" s="93">
        <v>6.072217911</v>
      </c>
    </row>
    <row r="103">
      <c r="A103" s="93">
        <v>178.0</v>
      </c>
      <c r="B103" s="96" t="s">
        <v>42</v>
      </c>
      <c r="C103" s="96" t="s">
        <v>144</v>
      </c>
      <c r="D103" s="96" t="s">
        <v>145</v>
      </c>
      <c r="E103" s="93">
        <v>-74.0</v>
      </c>
      <c r="F103" s="93">
        <v>30.2122499</v>
      </c>
      <c r="G103" s="93">
        <v>29.05217747493249</v>
      </c>
      <c r="H103" s="93">
        <v>6.615434858120692</v>
      </c>
      <c r="I103" s="93">
        <v>1375.0</v>
      </c>
      <c r="J103" s="93">
        <v>1301.0</v>
      </c>
      <c r="K103" s="93">
        <v>6.665237521</v>
      </c>
    </row>
    <row r="104">
      <c r="A104" s="93">
        <v>178.0</v>
      </c>
      <c r="B104" s="96" t="s">
        <v>43</v>
      </c>
      <c r="C104" s="96" t="s">
        <v>144</v>
      </c>
      <c r="D104" s="96" t="s">
        <v>145</v>
      </c>
      <c r="E104" s="93">
        <v>-92.0</v>
      </c>
      <c r="F104" s="93">
        <v>29.2518079</v>
      </c>
      <c r="G104" s="93">
        <v>27.804080236876985</v>
      </c>
      <c r="H104" s="93">
        <v>7.376182296825406</v>
      </c>
      <c r="I104" s="93">
        <v>1230.0</v>
      </c>
      <c r="J104" s="93">
        <v>1138.0</v>
      </c>
      <c r="K104" s="93">
        <v>7.446054778</v>
      </c>
    </row>
    <row r="105">
      <c r="A105" s="93">
        <v>178.0</v>
      </c>
      <c r="B105" s="96" t="s">
        <v>67</v>
      </c>
      <c r="C105" s="96" t="s">
        <v>144</v>
      </c>
      <c r="D105" s="96" t="s">
        <v>145</v>
      </c>
      <c r="E105" s="93">
        <v>-69.0</v>
      </c>
      <c r="F105" s="93">
        <v>26.39019321</v>
      </c>
      <c r="G105" s="93">
        <v>25.305777563970754</v>
      </c>
      <c r="H105" s="93">
        <v>6.399276703691143</v>
      </c>
      <c r="I105" s="93">
        <v>1137.0</v>
      </c>
      <c r="J105" s="93">
        <v>1068.0</v>
      </c>
      <c r="K105" s="93">
        <v>6.444178415</v>
      </c>
    </row>
    <row r="106">
      <c r="A106" s="93">
        <v>178.0</v>
      </c>
      <c r="B106" s="96" t="s">
        <v>32</v>
      </c>
      <c r="C106" s="96" t="s">
        <v>144</v>
      </c>
      <c r="D106" s="96" t="s">
        <v>145</v>
      </c>
      <c r="E106" s="93">
        <v>-68.0</v>
      </c>
      <c r="F106" s="93">
        <v>31.99982916</v>
      </c>
      <c r="G106" s="93">
        <v>30.92399479667972</v>
      </c>
      <c r="H106" s="93">
        <v>6.374268086636899</v>
      </c>
      <c r="I106" s="93">
        <v>1521.0</v>
      </c>
      <c r="J106" s="93">
        <v>1453.0</v>
      </c>
      <c r="K106" s="93">
        <v>6.41862432</v>
      </c>
    </row>
    <row r="107">
      <c r="A107" s="93">
        <v>177.0</v>
      </c>
      <c r="B107" s="96" t="s">
        <v>16</v>
      </c>
      <c r="C107" s="96" t="s">
        <v>142</v>
      </c>
      <c r="D107" s="96" t="s">
        <v>145</v>
      </c>
      <c r="E107" s="93">
        <v>-109.0</v>
      </c>
      <c r="F107" s="93">
        <v>35.70304388</v>
      </c>
      <c r="G107" s="93">
        <v>34.0498773870574</v>
      </c>
      <c r="H107" s="93">
        <v>5.439058087767382</v>
      </c>
      <c r="I107" s="93">
        <v>1870.0</v>
      </c>
      <c r="J107" s="93">
        <v>1761.0</v>
      </c>
      <c r="K107" s="93">
        <v>5.473399989</v>
      </c>
    </row>
    <row r="108">
      <c r="A108" s="93">
        <v>177.0</v>
      </c>
      <c r="B108" s="96" t="s">
        <v>27</v>
      </c>
      <c r="C108" s="96" t="s">
        <v>142</v>
      </c>
      <c r="D108" s="96" t="s">
        <v>145</v>
      </c>
      <c r="E108" s="93">
        <v>-136.0</v>
      </c>
      <c r="F108" s="93">
        <v>33.43172759</v>
      </c>
      <c r="G108" s="93">
        <v>31.346690362202192</v>
      </c>
      <c r="H108" s="93">
        <v>6.097941711959299</v>
      </c>
      <c r="I108" s="93">
        <v>1646.0</v>
      </c>
      <c r="J108" s="93">
        <v>1510.0</v>
      </c>
      <c r="K108" s="93">
        <v>6.147107521</v>
      </c>
    </row>
    <row r="109">
      <c r="A109" s="93">
        <v>177.0</v>
      </c>
      <c r="B109" s="96" t="s">
        <v>43</v>
      </c>
      <c r="C109" s="96" t="s">
        <v>142</v>
      </c>
      <c r="D109" s="96" t="s">
        <v>145</v>
      </c>
      <c r="E109" s="93">
        <v>-203.0</v>
      </c>
      <c r="F109" s="93">
        <v>32.38663615</v>
      </c>
      <c r="G109" s="93">
        <v>29.251807901231157</v>
      </c>
      <c r="H109" s="93">
        <v>7.44605477808607</v>
      </c>
      <c r="I109" s="93">
        <v>1433.0</v>
      </c>
      <c r="J109" s="93">
        <v>1230.0</v>
      </c>
      <c r="K109" s="93">
        <v>7.537720367</v>
      </c>
    </row>
    <row r="110">
      <c r="A110" s="93">
        <v>177.0</v>
      </c>
      <c r="B110" s="96" t="s">
        <v>25</v>
      </c>
      <c r="C110" s="96" t="s">
        <v>144</v>
      </c>
      <c r="D110" s="96" t="s">
        <v>143</v>
      </c>
      <c r="E110" s="93">
        <v>243.0</v>
      </c>
      <c r="F110" s="93">
        <v>31.11919976</v>
      </c>
      <c r="G110" s="93">
        <v>34.52847995260857</v>
      </c>
      <c r="H110" s="93">
        <v>7.756678534306012</v>
      </c>
      <c r="I110" s="93">
        <v>1314.0</v>
      </c>
      <c r="J110" s="93">
        <v>1557.0</v>
      </c>
      <c r="K110" s="93">
        <v>7.860814909</v>
      </c>
    </row>
    <row r="111">
      <c r="A111" s="93">
        <v>177.0</v>
      </c>
      <c r="B111" s="96" t="s">
        <v>46</v>
      </c>
      <c r="C111" s="96" t="s">
        <v>144</v>
      </c>
      <c r="D111" s="96" t="s">
        <v>143</v>
      </c>
      <c r="E111" s="93">
        <v>187.0</v>
      </c>
      <c r="F111" s="93">
        <v>25.5390287</v>
      </c>
      <c r="G111" s="93">
        <v>28.186755185744044</v>
      </c>
      <c r="H111" s="93">
        <v>6.856401355331591</v>
      </c>
      <c r="I111" s="93">
        <v>1030.0</v>
      </c>
      <c r="J111" s="93">
        <v>1217.0</v>
      </c>
      <c r="K111" s="93">
        <v>6.927278928</v>
      </c>
    </row>
    <row r="112">
      <c r="A112" s="93">
        <v>177.0</v>
      </c>
      <c r="B112" s="96" t="s">
        <v>50</v>
      </c>
      <c r="C112" s="96" t="s">
        <v>144</v>
      </c>
      <c r="D112" s="96" t="s">
        <v>143</v>
      </c>
      <c r="E112" s="93">
        <v>175.0</v>
      </c>
      <c r="F112" s="93">
        <v>20.32228512</v>
      </c>
      <c r="G112" s="93">
        <v>22.80050143132476</v>
      </c>
      <c r="H112" s="93">
        <v>6.637750839643752</v>
      </c>
      <c r="I112" s="93">
        <v>698.0</v>
      </c>
      <c r="J112" s="93">
        <v>873.0</v>
      </c>
      <c r="K112" s="93">
        <v>6.701817935</v>
      </c>
    </row>
    <row r="113">
      <c r="A113" s="93">
        <v>177.0</v>
      </c>
      <c r="B113" s="96" t="s">
        <v>30</v>
      </c>
      <c r="C113" s="96" t="s">
        <v>144</v>
      </c>
      <c r="D113" s="96" t="s">
        <v>143</v>
      </c>
      <c r="E113" s="93">
        <v>247.0</v>
      </c>
      <c r="F113" s="93">
        <v>25.25278779</v>
      </c>
      <c r="G113" s="93">
        <v>28.72392463149692</v>
      </c>
      <c r="H113" s="93">
        <v>7.824797982868418</v>
      </c>
      <c r="I113" s="93">
        <v>908.0</v>
      </c>
      <c r="J113" s="93">
        <v>1155.0</v>
      </c>
      <c r="K113" s="93">
        <v>7.931817563</v>
      </c>
    </row>
    <row r="114">
      <c r="A114" s="93">
        <v>177.0</v>
      </c>
      <c r="B114" s="96" t="s">
        <v>111</v>
      </c>
      <c r="C114" s="96" t="s">
        <v>144</v>
      </c>
      <c r="D114" s="96" t="s">
        <v>148</v>
      </c>
      <c r="E114" s="93">
        <v>0.0</v>
      </c>
      <c r="F114" s="93" t="s">
        <v>147</v>
      </c>
      <c r="G114" s="93" t="s">
        <v>147</v>
      </c>
      <c r="H114" s="93" t="s">
        <v>147</v>
      </c>
      <c r="I114" s="93" t="s">
        <v>147</v>
      </c>
      <c r="J114" s="93" t="s">
        <v>147</v>
      </c>
      <c r="K114" s="93" t="s">
        <v>147</v>
      </c>
    </row>
    <row r="115">
      <c r="A115" s="93">
        <v>177.0</v>
      </c>
      <c r="B115" s="96" t="s">
        <v>41</v>
      </c>
      <c r="C115" s="96" t="s">
        <v>144</v>
      </c>
      <c r="D115" s="96" t="s">
        <v>143</v>
      </c>
      <c r="E115" s="93">
        <v>148.0</v>
      </c>
      <c r="F115" s="93">
        <v>25.18642691</v>
      </c>
      <c r="G115" s="93">
        <v>27.298035158910764</v>
      </c>
      <c r="H115" s="93">
        <v>6.136030152670175</v>
      </c>
      <c r="I115" s="93">
        <v>1082.0</v>
      </c>
      <c r="J115" s="93">
        <v>1230.0</v>
      </c>
      <c r="K115" s="93">
        <v>6.18616217</v>
      </c>
    </row>
    <row r="116">
      <c r="A116" s="93">
        <v>177.0</v>
      </c>
      <c r="B116" s="96" t="s">
        <v>62</v>
      </c>
      <c r="C116" s="96" t="s">
        <v>144</v>
      </c>
      <c r="D116" s="96" t="s">
        <v>143</v>
      </c>
      <c r="E116" s="93">
        <v>258.0</v>
      </c>
      <c r="F116" s="93">
        <v>23.52075957</v>
      </c>
      <c r="G116" s="93">
        <v>27.138778218615233</v>
      </c>
      <c r="H116" s="93">
        <v>7.983952652770754</v>
      </c>
      <c r="I116" s="93">
        <v>773.0</v>
      </c>
      <c r="J116" s="93">
        <v>1031.0</v>
      </c>
      <c r="K116" s="93">
        <v>8.097923147</v>
      </c>
    </row>
    <row r="117">
      <c r="A117" s="93">
        <v>177.0</v>
      </c>
      <c r="B117" s="96" t="s">
        <v>22</v>
      </c>
      <c r="C117" s="96" t="s">
        <v>144</v>
      </c>
      <c r="D117" s="96" t="s">
        <v>143</v>
      </c>
      <c r="E117" s="93">
        <v>113.0</v>
      </c>
      <c r="F117" s="93">
        <v>30.90077828</v>
      </c>
      <c r="G117" s="93">
        <v>32.5141753900783</v>
      </c>
      <c r="H117" s="93">
        <v>5.374078008031706</v>
      </c>
      <c r="I117" s="93">
        <v>1550.0</v>
      </c>
      <c r="J117" s="93">
        <v>1663.0</v>
      </c>
      <c r="K117" s="93">
        <v>5.407141571</v>
      </c>
    </row>
    <row r="118">
      <c r="A118" s="93">
        <v>177.0</v>
      </c>
      <c r="B118" s="96" t="s">
        <v>38</v>
      </c>
      <c r="C118" s="96" t="s">
        <v>144</v>
      </c>
      <c r="D118" s="96" t="s">
        <v>143</v>
      </c>
      <c r="E118" s="93">
        <v>119.0</v>
      </c>
      <c r="F118" s="93">
        <v>25.25301844</v>
      </c>
      <c r="G118" s="93">
        <v>26.94626815925193</v>
      </c>
      <c r="H118" s="93">
        <v>5.503733791424409</v>
      </c>
      <c r="I118" s="93">
        <v>1152.0</v>
      </c>
      <c r="J118" s="93">
        <v>1271.0</v>
      </c>
      <c r="K118" s="93">
        <v>5.539379403</v>
      </c>
    </row>
    <row r="119">
      <c r="A119" s="93">
        <v>177.0</v>
      </c>
      <c r="B119" s="96" t="s">
        <v>83</v>
      </c>
      <c r="C119" s="96" t="s">
        <v>144</v>
      </c>
      <c r="D119" s="96" t="s">
        <v>143</v>
      </c>
      <c r="E119" s="93">
        <v>174.0</v>
      </c>
      <c r="F119" s="93">
        <v>20.55334009</v>
      </c>
      <c r="G119" s="93">
        <v>23.017725926337544</v>
      </c>
      <c r="H119" s="93">
        <v>6.61956533509106</v>
      </c>
      <c r="I119" s="93">
        <v>716.0</v>
      </c>
      <c r="J119" s="93">
        <v>890.0</v>
      </c>
      <c r="K119" s="93">
        <v>6.683086781</v>
      </c>
    </row>
    <row r="120">
      <c r="A120" s="93">
        <v>177.0</v>
      </c>
      <c r="B120" s="96" t="s">
        <v>29</v>
      </c>
      <c r="C120" s="96" t="s">
        <v>144</v>
      </c>
      <c r="D120" s="96" t="s">
        <v>143</v>
      </c>
      <c r="E120" s="93">
        <v>136.0</v>
      </c>
      <c r="F120" s="93">
        <v>30.03326105</v>
      </c>
      <c r="G120" s="93">
        <v>31.965387017259577</v>
      </c>
      <c r="H120" s="93">
        <v>5.87362258985508</v>
      </c>
      <c r="I120" s="93">
        <v>1439.0</v>
      </c>
      <c r="J120" s="93">
        <v>1575.0</v>
      </c>
      <c r="K120" s="93">
        <v>5.917347489</v>
      </c>
    </row>
    <row r="121">
      <c r="A121" s="93">
        <v>177.0</v>
      </c>
      <c r="B121" s="96" t="s">
        <v>24</v>
      </c>
      <c r="C121" s="96" t="s">
        <v>144</v>
      </c>
      <c r="D121" s="96" t="s">
        <v>148</v>
      </c>
      <c r="E121" s="93">
        <v>0.0</v>
      </c>
      <c r="F121" s="93" t="s">
        <v>147</v>
      </c>
      <c r="G121" s="93" t="s">
        <v>147</v>
      </c>
      <c r="H121" s="93" t="s">
        <v>147</v>
      </c>
      <c r="I121" s="93" t="s">
        <v>147</v>
      </c>
      <c r="J121" s="93" t="s">
        <v>147</v>
      </c>
      <c r="K121" s="93" t="s">
        <v>147</v>
      </c>
    </row>
    <row r="122">
      <c r="A122" s="93">
        <v>176.0</v>
      </c>
      <c r="B122" s="96" t="s">
        <v>24</v>
      </c>
      <c r="C122" s="96" t="s">
        <v>142</v>
      </c>
      <c r="D122" s="96" t="s">
        <v>143</v>
      </c>
      <c r="E122" s="93">
        <v>57.0</v>
      </c>
      <c r="F122" s="93">
        <v>30.72882726</v>
      </c>
      <c r="G122" s="93">
        <v>31.5159216504299</v>
      </c>
      <c r="H122" s="93">
        <v>5.9770133381201695</v>
      </c>
      <c r="I122" s="93">
        <v>1476.0</v>
      </c>
      <c r="J122" s="93">
        <v>1533.0</v>
      </c>
      <c r="K122" s="93">
        <v>6.012414998</v>
      </c>
    </row>
    <row r="123">
      <c r="A123" s="93">
        <v>176.0</v>
      </c>
      <c r="B123" s="96" t="s">
        <v>111</v>
      </c>
      <c r="C123" s="96" t="s">
        <v>142</v>
      </c>
      <c r="D123" s="96" t="s">
        <v>143</v>
      </c>
      <c r="E123" s="93">
        <v>85.0</v>
      </c>
      <c r="F123" s="93">
        <v>21.04086232</v>
      </c>
      <c r="G123" s="93">
        <v>22.192758810273936</v>
      </c>
      <c r="H123" s="93">
        <v>7.210247373562711</v>
      </c>
      <c r="I123" s="93">
        <v>689.0</v>
      </c>
      <c r="J123" s="93">
        <v>774.0</v>
      </c>
      <c r="K123" s="93">
        <v>7.273798927</v>
      </c>
    </row>
    <row r="124">
      <c r="A124" s="93">
        <v>176.0</v>
      </c>
      <c r="B124" s="96" t="s">
        <v>38</v>
      </c>
      <c r="C124" s="96" t="s">
        <v>142</v>
      </c>
      <c r="D124" s="96" t="s">
        <v>143</v>
      </c>
      <c r="E124" s="93">
        <v>49.0</v>
      </c>
      <c r="F124" s="93">
        <v>24.57813573</v>
      </c>
      <c r="G124" s="93">
        <v>25.253018435352665</v>
      </c>
      <c r="H124" s="93">
        <v>5.539379402821212</v>
      </c>
      <c r="I124" s="93">
        <v>1103.0</v>
      </c>
      <c r="J124" s="93">
        <v>1152.0</v>
      </c>
      <c r="K124" s="93">
        <v>5.567236905</v>
      </c>
    </row>
    <row r="125">
      <c r="A125" s="93">
        <v>176.0</v>
      </c>
      <c r="B125" s="96" t="s">
        <v>39</v>
      </c>
      <c r="C125" s="96" t="s">
        <v>144</v>
      </c>
      <c r="D125" s="96" t="s">
        <v>145</v>
      </c>
      <c r="E125" s="93">
        <v>-76.0</v>
      </c>
      <c r="F125" s="93">
        <v>28.74912574</v>
      </c>
      <c r="G125" s="93">
        <v>27.51960380726529</v>
      </c>
      <c r="H125" s="93">
        <v>7.444739549693115</v>
      </c>
      <c r="I125" s="93">
        <v>1188.0</v>
      </c>
      <c r="J125" s="93">
        <v>1112.0</v>
      </c>
      <c r="K125" s="93">
        <v>7.514936155</v>
      </c>
    </row>
    <row r="126">
      <c r="A126" s="93">
        <v>176.0</v>
      </c>
      <c r="B126" s="96" t="s">
        <v>23</v>
      </c>
      <c r="C126" s="96" t="s">
        <v>144</v>
      </c>
      <c r="D126" s="96" t="s">
        <v>145</v>
      </c>
      <c r="E126" s="93">
        <v>-42.0</v>
      </c>
      <c r="F126" s="93">
        <v>33.36377073</v>
      </c>
      <c r="G126" s="93">
        <v>32.70988820753949</v>
      </c>
      <c r="H126" s="93">
        <v>5.453397435920348</v>
      </c>
      <c r="I126" s="93">
        <v>1710.0</v>
      </c>
      <c r="J126" s="93">
        <v>1668.0</v>
      </c>
      <c r="K126" s="93">
        <v>5.47990674</v>
      </c>
    </row>
    <row r="127">
      <c r="A127" s="93">
        <v>176.0</v>
      </c>
      <c r="B127" s="96" t="s">
        <v>22</v>
      </c>
      <c r="C127" s="96" t="s">
        <v>144</v>
      </c>
      <c r="D127" s="96" t="s">
        <v>145</v>
      </c>
      <c r="E127" s="93">
        <v>-41.0</v>
      </c>
      <c r="F127" s="93">
        <v>31.54350479</v>
      </c>
      <c r="G127" s="93">
        <v>30.90077827861299</v>
      </c>
      <c r="H127" s="93">
        <v>5.407141571358823</v>
      </c>
      <c r="I127" s="93">
        <v>1591.0</v>
      </c>
      <c r="J127" s="93">
        <v>1550.0</v>
      </c>
      <c r="K127" s="93">
        <v>5.432943077</v>
      </c>
    </row>
    <row r="128">
      <c r="A128" s="93">
        <v>176.0</v>
      </c>
      <c r="B128" s="96" t="s">
        <v>89</v>
      </c>
      <c r="C128" s="96" t="s">
        <v>144</v>
      </c>
      <c r="D128" s="96" t="s">
        <v>145</v>
      </c>
      <c r="E128" s="93">
        <v>-91.0</v>
      </c>
      <c r="F128" s="93">
        <v>26.55418878</v>
      </c>
      <c r="G128" s="93">
        <v>25.06832901933283</v>
      </c>
      <c r="H128" s="93">
        <v>8.167753296329067</v>
      </c>
      <c r="I128" s="93">
        <v>963.0</v>
      </c>
      <c r="J128" s="93">
        <v>872.0</v>
      </c>
      <c r="K128" s="93">
        <v>8.261381908</v>
      </c>
    </row>
    <row r="129">
      <c r="A129" s="93">
        <v>176.0</v>
      </c>
      <c r="B129" s="96" t="s">
        <v>112</v>
      </c>
      <c r="C129" s="96" t="s">
        <v>144</v>
      </c>
      <c r="D129" s="96" t="s">
        <v>145</v>
      </c>
      <c r="E129" s="93">
        <v>-93.0</v>
      </c>
      <c r="F129" s="93">
        <v>25.0</v>
      </c>
      <c r="G129" s="93">
        <v>23.488149537842858</v>
      </c>
      <c r="H129" s="93">
        <v>8.237206443476474</v>
      </c>
      <c r="I129" s="93">
        <v>850.0</v>
      </c>
      <c r="J129" s="93">
        <v>757.0</v>
      </c>
      <c r="K129" s="93">
        <v>8.333333333333334</v>
      </c>
    </row>
    <row r="130">
      <c r="A130" s="93">
        <v>176.0</v>
      </c>
      <c r="B130" s="96" t="s">
        <v>146</v>
      </c>
      <c r="C130" s="96" t="s">
        <v>144</v>
      </c>
      <c r="D130" s="96" t="s">
        <v>146</v>
      </c>
      <c r="E130" s="93">
        <v>0.0</v>
      </c>
      <c r="F130" s="93" t="s">
        <v>147</v>
      </c>
      <c r="G130" s="93" t="s">
        <v>147</v>
      </c>
      <c r="H130" s="93" t="s">
        <v>147</v>
      </c>
      <c r="I130" s="93" t="s">
        <v>147</v>
      </c>
      <c r="J130" s="93" t="s">
        <v>147</v>
      </c>
      <c r="K130" s="93" t="s">
        <v>147</v>
      </c>
    </row>
    <row r="131">
      <c r="A131" s="93">
        <v>176.0</v>
      </c>
      <c r="B131" s="96" t="s">
        <v>64</v>
      </c>
      <c r="C131" s="96" t="s">
        <v>144</v>
      </c>
      <c r="D131" s="96" t="s">
        <v>145</v>
      </c>
      <c r="E131" s="93">
        <v>-66.0</v>
      </c>
      <c r="F131" s="93">
        <v>22.79570233</v>
      </c>
      <c r="G131" s="93">
        <v>21.749417045041323</v>
      </c>
      <c r="H131" s="93">
        <v>6.877404046114728</v>
      </c>
      <c r="I131" s="93">
        <v>843.0</v>
      </c>
      <c r="J131" s="93">
        <v>777.0</v>
      </c>
      <c r="K131" s="93">
        <v>6.932270167</v>
      </c>
    </row>
    <row r="132">
      <c r="A132" s="93">
        <v>176.0</v>
      </c>
      <c r="B132" s="96" t="s">
        <v>17</v>
      </c>
      <c r="C132" s="96" t="s">
        <v>144</v>
      </c>
      <c r="D132" s="96" t="s">
        <v>145</v>
      </c>
      <c r="E132" s="93">
        <v>-50.0</v>
      </c>
      <c r="F132" s="93">
        <v>34.58944242</v>
      </c>
      <c r="G132" s="93">
        <v>33.80247245226429</v>
      </c>
      <c r="H132" s="93">
        <v>5.976546645417733</v>
      </c>
      <c r="I132" s="93">
        <v>1739.0</v>
      </c>
      <c r="J132" s="93">
        <v>1689.0</v>
      </c>
      <c r="K132" s="93">
        <v>6.011939631</v>
      </c>
    </row>
    <row r="133">
      <c r="A133" s="93">
        <v>176.0</v>
      </c>
      <c r="B133" s="96" t="s">
        <v>46</v>
      </c>
      <c r="C133" s="96" t="s">
        <v>144</v>
      </c>
      <c r="D133" s="96" t="s">
        <v>145</v>
      </c>
      <c r="E133" s="93">
        <v>-67.0</v>
      </c>
      <c r="F133" s="93">
        <v>26.60079937</v>
      </c>
      <c r="G133" s="93">
        <v>25.539028697377088</v>
      </c>
      <c r="H133" s="93">
        <v>6.927278928363647</v>
      </c>
      <c r="I133" s="93">
        <v>1097.0</v>
      </c>
      <c r="J133" s="93">
        <v>1030.0</v>
      </c>
      <c r="K133" s="93">
        <v>6.983392351</v>
      </c>
    </row>
    <row r="134">
      <c r="A134" s="93">
        <v>176.0</v>
      </c>
      <c r="B134" s="96" t="s">
        <v>21</v>
      </c>
      <c r="C134" s="96" t="s">
        <v>144</v>
      </c>
      <c r="D134" s="96" t="s">
        <v>145</v>
      </c>
      <c r="E134" s="93">
        <v>-65.0</v>
      </c>
      <c r="F134" s="93">
        <v>33.95472092</v>
      </c>
      <c r="G134" s="93">
        <v>32.91901180450489</v>
      </c>
      <c r="H134" s="93">
        <v>6.84311759798628</v>
      </c>
      <c r="I134" s="93">
        <v>1605.0</v>
      </c>
      <c r="J134" s="93">
        <v>1540.0</v>
      </c>
      <c r="K134" s="93">
        <v>6.897137102</v>
      </c>
    </row>
    <row r="135">
      <c r="A135" s="93">
        <v>176.0</v>
      </c>
      <c r="B135" s="96" t="s">
        <v>50</v>
      </c>
      <c r="C135" s="96" t="s">
        <v>144</v>
      </c>
      <c r="D135" s="96" t="s">
        <v>145</v>
      </c>
      <c r="E135" s="93">
        <v>-63.0</v>
      </c>
      <c r="F135" s="93">
        <v>21.31500233</v>
      </c>
      <c r="G135" s="93">
        <v>20.322285122797744</v>
      </c>
      <c r="H135" s="93">
        <v>6.701817934841712</v>
      </c>
      <c r="I135" s="93">
        <v>761.0</v>
      </c>
      <c r="J135" s="93">
        <v>698.0</v>
      </c>
      <c r="K135" s="93">
        <v>6.752440371</v>
      </c>
    </row>
    <row r="136">
      <c r="A136" s="93">
        <v>176.0</v>
      </c>
      <c r="B136" s="96" t="s">
        <v>146</v>
      </c>
      <c r="C136" s="96" t="s">
        <v>144</v>
      </c>
      <c r="D136" s="96" t="s">
        <v>146</v>
      </c>
      <c r="E136" s="93">
        <v>0.0</v>
      </c>
      <c r="F136" s="93" t="s">
        <v>147</v>
      </c>
      <c r="G136" s="93" t="s">
        <v>147</v>
      </c>
      <c r="H136" s="93" t="s">
        <v>147</v>
      </c>
      <c r="I136" s="93" t="s">
        <v>147</v>
      </c>
      <c r="J136" s="93" t="s">
        <v>147</v>
      </c>
      <c r="K136" s="93" t="s">
        <v>147</v>
      </c>
    </row>
    <row r="137">
      <c r="A137" s="93">
        <v>175.0</v>
      </c>
      <c r="B137" s="96" t="s">
        <v>33</v>
      </c>
      <c r="C137" s="96" t="s">
        <v>142</v>
      </c>
      <c r="D137" s="96" t="s">
        <v>143</v>
      </c>
      <c r="E137" s="93">
        <v>11.0</v>
      </c>
      <c r="F137" s="93">
        <v>31.4387925</v>
      </c>
      <c r="G137" s="93">
        <v>31.573303878807998</v>
      </c>
      <c r="H137" s="93">
        <v>6.392702221440119</v>
      </c>
      <c r="I137" s="93">
        <v>1484.0</v>
      </c>
      <c r="J137" s="93">
        <v>1495.0</v>
      </c>
      <c r="K137" s="93">
        <v>6.406971961</v>
      </c>
    </row>
    <row r="138">
      <c r="A138" s="93">
        <v>175.0</v>
      </c>
      <c r="B138" s="96" t="s">
        <v>39</v>
      </c>
      <c r="C138" s="96" t="s">
        <v>142</v>
      </c>
      <c r="D138" s="96" t="s">
        <v>143</v>
      </c>
      <c r="E138" s="93">
        <v>15.0</v>
      </c>
      <c r="F138" s="93">
        <v>28.56290485</v>
      </c>
      <c r="G138" s="93">
        <v>28.749125744772886</v>
      </c>
      <c r="H138" s="93">
        <v>7.514936154929975</v>
      </c>
      <c r="I138" s="93">
        <v>1173.0</v>
      </c>
      <c r="J138" s="93">
        <v>1188.0</v>
      </c>
      <c r="K138" s="93">
        <v>7.538799692</v>
      </c>
    </row>
    <row r="139">
      <c r="A139" s="93">
        <v>175.0</v>
      </c>
      <c r="B139" s="96" t="s">
        <v>17</v>
      </c>
      <c r="C139" s="96" t="s">
        <v>142</v>
      </c>
      <c r="D139" s="96" t="s">
        <v>143</v>
      </c>
      <c r="E139" s="93">
        <v>9.0</v>
      </c>
      <c r="F139" s="93">
        <v>34.47054245</v>
      </c>
      <c r="G139" s="93">
        <v>34.58944242196738</v>
      </c>
      <c r="H139" s="93">
        <v>6.0119396306956885</v>
      </c>
      <c r="I139" s="93">
        <v>1730.0</v>
      </c>
      <c r="J139" s="93">
        <v>1739.0</v>
      </c>
      <c r="K139" s="93">
        <v>6.023615492</v>
      </c>
    </row>
    <row r="140">
      <c r="A140" s="93">
        <v>175.0</v>
      </c>
      <c r="B140" s="96" t="s">
        <v>47</v>
      </c>
      <c r="C140" s="96" t="s">
        <v>144</v>
      </c>
      <c r="D140" s="96" t="s">
        <v>145</v>
      </c>
      <c r="E140" s="93">
        <v>-6.0</v>
      </c>
      <c r="F140" s="93">
        <v>27.07905587</v>
      </c>
      <c r="G140" s="93">
        <v>26.97478537433524</v>
      </c>
      <c r="H140" s="93">
        <v>5.631391180930818</v>
      </c>
      <c r="I140" s="93">
        <v>1266.0</v>
      </c>
      <c r="J140" s="93">
        <v>1260.0</v>
      </c>
      <c r="K140" s="93">
        <v>5.640773841</v>
      </c>
    </row>
    <row r="141">
      <c r="A141" s="93">
        <v>175.0</v>
      </c>
      <c r="B141" s="96" t="s">
        <v>32</v>
      </c>
      <c r="C141" s="96" t="s">
        <v>144</v>
      </c>
      <c r="D141" s="96" t="s">
        <v>145</v>
      </c>
      <c r="E141" s="93">
        <v>-8.0</v>
      </c>
      <c r="F141" s="93">
        <v>32.13543884</v>
      </c>
      <c r="G141" s="93">
        <v>31.99982915543083</v>
      </c>
      <c r="H141" s="93">
        <v>6.4186243199806565</v>
      </c>
      <c r="I141" s="93">
        <v>1529.0</v>
      </c>
      <c r="J141" s="93">
        <v>1521.0</v>
      </c>
      <c r="K141" s="93">
        <v>6.433082078</v>
      </c>
    </row>
    <row r="142">
      <c r="A142" s="93">
        <v>175.0</v>
      </c>
      <c r="B142" s="96" t="s">
        <v>44</v>
      </c>
      <c r="C142" s="96" t="s">
        <v>144</v>
      </c>
      <c r="D142" s="96" t="s">
        <v>145</v>
      </c>
      <c r="E142" s="93">
        <v>-8.0</v>
      </c>
      <c r="F142" s="93">
        <v>28.35760994</v>
      </c>
      <c r="G142" s="93">
        <v>28.209240493007712</v>
      </c>
      <c r="H142" s="93">
        <v>6.712305504056575</v>
      </c>
      <c r="I142" s="93">
        <v>1242.0</v>
      </c>
      <c r="J142" s="93">
        <v>1234.0</v>
      </c>
      <c r="K142" s="93">
        <v>6.728999422</v>
      </c>
    </row>
    <row r="143">
      <c r="A143" s="93">
        <v>175.0</v>
      </c>
      <c r="B143" s="96" t="s">
        <v>24</v>
      </c>
      <c r="C143" s="96" t="s">
        <v>144</v>
      </c>
      <c r="D143" s="96" t="s">
        <v>145</v>
      </c>
      <c r="E143" s="93">
        <v>-7.0</v>
      </c>
      <c r="F143" s="93">
        <v>30.84774611</v>
      </c>
      <c r="G143" s="93">
        <v>30.728827255686433</v>
      </c>
      <c r="H143" s="93">
        <v>6.012414997542792</v>
      </c>
      <c r="I143" s="93">
        <v>1483.0</v>
      </c>
      <c r="J143" s="93">
        <v>1476.0</v>
      </c>
      <c r="K143" s="93">
        <v>6.024093906</v>
      </c>
    </row>
    <row r="144">
      <c r="A144" s="93">
        <v>175.0</v>
      </c>
      <c r="B144" s="96" t="s">
        <v>146</v>
      </c>
      <c r="C144" s="96" t="s">
        <v>144</v>
      </c>
      <c r="D144" s="96" t="s">
        <v>146</v>
      </c>
      <c r="E144" s="93">
        <v>0.0</v>
      </c>
      <c r="F144" s="93" t="s">
        <v>147</v>
      </c>
      <c r="G144" s="93" t="s">
        <v>147</v>
      </c>
      <c r="H144" s="93" t="s">
        <v>147</v>
      </c>
      <c r="I144" s="93" t="s">
        <v>147</v>
      </c>
      <c r="J144" s="93" t="s">
        <v>147</v>
      </c>
      <c r="K144" s="93" t="s">
        <v>147</v>
      </c>
    </row>
    <row r="145">
      <c r="A145" s="93">
        <v>175.0</v>
      </c>
      <c r="B145" s="96" t="s">
        <v>121</v>
      </c>
      <c r="C145" s="96" t="s">
        <v>144</v>
      </c>
      <c r="D145" s="96" t="s">
        <v>145</v>
      </c>
      <c r="E145" s="93">
        <v>-11.0</v>
      </c>
      <c r="F145" s="93">
        <v>22.30945095</v>
      </c>
      <c r="G145" s="93">
        <v>22.093591233660316</v>
      </c>
      <c r="H145" s="93">
        <v>8.08669027972203</v>
      </c>
      <c r="I145" s="93">
        <v>689.0</v>
      </c>
      <c r="J145" s="93">
        <v>678.0</v>
      </c>
      <c r="K145" s="93">
        <v>8.116691633</v>
      </c>
    </row>
    <row r="146">
      <c r="A146" s="93">
        <v>175.0</v>
      </c>
      <c r="B146" s="96" t="s">
        <v>69</v>
      </c>
      <c r="C146" s="96" t="s">
        <v>144</v>
      </c>
      <c r="D146" s="96" t="s">
        <v>145</v>
      </c>
      <c r="E146" s="93">
        <v>-11.0</v>
      </c>
      <c r="F146" s="93">
        <v>26.45348066</v>
      </c>
      <c r="G146" s="93">
        <v>26.25242931064589</v>
      </c>
      <c r="H146" s="93">
        <v>7.806412409218876</v>
      </c>
      <c r="I146" s="93">
        <v>1000.0</v>
      </c>
      <c r="J146" s="93">
        <v>989.0</v>
      </c>
      <c r="K146" s="93">
        <v>7.833291966</v>
      </c>
    </row>
    <row r="147">
      <c r="A147" s="93">
        <v>175.0</v>
      </c>
      <c r="B147" s="96" t="s">
        <v>50</v>
      </c>
      <c r="C147" s="96" t="s">
        <v>144</v>
      </c>
      <c r="D147" s="96" t="s">
        <v>145</v>
      </c>
      <c r="E147" s="93">
        <v>-8.0</v>
      </c>
      <c r="F147" s="93">
        <v>21.46516079</v>
      </c>
      <c r="G147" s="93">
        <v>21.315002329446457</v>
      </c>
      <c r="H147" s="93">
        <v>6.752440370986519</v>
      </c>
      <c r="I147" s="93">
        <v>769.0</v>
      </c>
      <c r="J147" s="93">
        <v>761.0</v>
      </c>
      <c r="K147" s="93">
        <v>6.769455333</v>
      </c>
    </row>
    <row r="148">
      <c r="A148" s="93">
        <v>175.0</v>
      </c>
      <c r="B148" s="96" t="s">
        <v>111</v>
      </c>
      <c r="C148" s="96" t="s">
        <v>144</v>
      </c>
      <c r="D148" s="96" t="s">
        <v>145</v>
      </c>
      <c r="E148" s="93">
        <v>-10.0</v>
      </c>
      <c r="F148" s="93">
        <v>21.2152517</v>
      </c>
      <c r="G148" s="93">
        <v>21.040862319938984</v>
      </c>
      <c r="H148" s="93">
        <v>7.273798927363787</v>
      </c>
      <c r="I148" s="93">
        <v>699.0</v>
      </c>
      <c r="J148" s="93">
        <v>689.0</v>
      </c>
      <c r="K148" s="93">
        <v>7.295338106</v>
      </c>
    </row>
    <row r="149">
      <c r="A149" s="93">
        <v>175.0</v>
      </c>
      <c r="B149" s="96" t="s">
        <v>146</v>
      </c>
      <c r="C149" s="96" t="s">
        <v>144</v>
      </c>
      <c r="D149" s="96" t="s">
        <v>146</v>
      </c>
      <c r="E149" s="93">
        <v>0.0</v>
      </c>
      <c r="F149" s="93" t="s">
        <v>147</v>
      </c>
      <c r="G149" s="93" t="s">
        <v>147</v>
      </c>
      <c r="H149" s="93" t="s">
        <v>147</v>
      </c>
      <c r="I149" s="93" t="s">
        <v>147</v>
      </c>
      <c r="J149" s="93" t="s">
        <v>147</v>
      </c>
      <c r="K149" s="93" t="s">
        <v>147</v>
      </c>
    </row>
    <row r="150">
      <c r="A150" s="93">
        <v>175.0</v>
      </c>
      <c r="B150" s="96" t="s">
        <v>38</v>
      </c>
      <c r="C150" s="96" t="s">
        <v>144</v>
      </c>
      <c r="D150" s="96" t="s">
        <v>145</v>
      </c>
      <c r="E150" s="93">
        <v>-6.0</v>
      </c>
      <c r="F150" s="93">
        <v>24.68003555</v>
      </c>
      <c r="G150" s="93">
        <v>24.57813573216491</v>
      </c>
      <c r="H150" s="93">
        <v>5.5672369052954584</v>
      </c>
      <c r="I150" s="93">
        <v>1109.0</v>
      </c>
      <c r="J150" s="93">
        <v>1103.0</v>
      </c>
      <c r="K150" s="93">
        <v>5.576260894</v>
      </c>
    </row>
    <row r="151">
      <c r="A151" s="93">
        <v>175.0</v>
      </c>
      <c r="B151" s="96" t="s">
        <v>22</v>
      </c>
      <c r="C151" s="96" t="s">
        <v>144</v>
      </c>
      <c r="D151" s="96" t="s">
        <v>145</v>
      </c>
      <c r="E151" s="93">
        <v>-6.0</v>
      </c>
      <c r="F151" s="93">
        <v>31.64053126</v>
      </c>
      <c r="G151" s="93">
        <v>31.543504790302382</v>
      </c>
      <c r="H151" s="93">
        <v>5.432943076960426</v>
      </c>
      <c r="I151" s="93">
        <v>1597.0</v>
      </c>
      <c r="J151" s="93">
        <v>1591.0</v>
      </c>
      <c r="K151" s="93">
        <v>5.441241331</v>
      </c>
    </row>
    <row r="152">
      <c r="A152" s="93">
        <v>174.0</v>
      </c>
      <c r="B152" s="96" t="s">
        <v>40</v>
      </c>
      <c r="C152" s="96" t="s">
        <v>142</v>
      </c>
      <c r="D152" s="96" t="s">
        <v>143</v>
      </c>
      <c r="E152" s="93">
        <v>44.0</v>
      </c>
      <c r="F152" s="93">
        <v>29.60203435</v>
      </c>
      <c r="G152" s="93">
        <v>30.180623568015445</v>
      </c>
      <c r="H152" s="93">
        <v>7.30485892627358</v>
      </c>
      <c r="I152" s="93">
        <v>1263.0</v>
      </c>
      <c r="J152" s="93">
        <v>1307.0</v>
      </c>
      <c r="K152" s="93">
        <v>7.34906369</v>
      </c>
    </row>
    <row r="153">
      <c r="A153" s="93">
        <v>174.0</v>
      </c>
      <c r="B153" s="96" t="s">
        <v>31</v>
      </c>
      <c r="C153" s="96" t="s">
        <v>142</v>
      </c>
      <c r="D153" s="96" t="s">
        <v>143</v>
      </c>
      <c r="E153" s="93">
        <v>36.0</v>
      </c>
      <c r="F153" s="93">
        <v>29.94329949</v>
      </c>
      <c r="G153" s="93">
        <v>30.431521794361757</v>
      </c>
      <c r="H153" s="93">
        <v>6.716656496641211</v>
      </c>
      <c r="I153" s="93">
        <v>1348.0</v>
      </c>
      <c r="J153" s="93">
        <v>1384.0</v>
      </c>
      <c r="K153" s="93">
        <v>6.750690684</v>
      </c>
    </row>
    <row r="154">
      <c r="A154" s="93">
        <v>174.0</v>
      </c>
      <c r="B154" s="96" t="s">
        <v>128</v>
      </c>
      <c r="C154" s="96" t="s">
        <v>142</v>
      </c>
      <c r="D154" s="96" t="s">
        <v>143</v>
      </c>
      <c r="E154" s="93">
        <v>57.0</v>
      </c>
      <c r="F154" s="93">
        <v>24.51802747</v>
      </c>
      <c r="G154" s="93">
        <v>25.253448454706742</v>
      </c>
      <c r="H154" s="93">
        <v>8.221818849820165</v>
      </c>
      <c r="I154" s="93">
        <v>822.0</v>
      </c>
      <c r="J154" s="93">
        <v>879.0</v>
      </c>
      <c r="K154" s="93">
        <v>8.285589749</v>
      </c>
    </row>
    <row r="155">
      <c r="A155" s="93">
        <v>174.0</v>
      </c>
      <c r="B155" s="96" t="s">
        <v>39</v>
      </c>
      <c r="C155" s="96" t="s">
        <v>144</v>
      </c>
      <c r="D155" s="96" t="s">
        <v>145</v>
      </c>
      <c r="E155" s="93">
        <v>-37.0</v>
      </c>
      <c r="F155" s="93">
        <v>29.17964787</v>
      </c>
      <c r="G155" s="93">
        <v>28.562904845778814</v>
      </c>
      <c r="H155" s="93">
        <v>7.538799692052567</v>
      </c>
      <c r="I155" s="93">
        <v>1210.0</v>
      </c>
      <c r="J155" s="93">
        <v>1173.0</v>
      </c>
      <c r="K155" s="93">
        <v>7.587548031</v>
      </c>
    </row>
    <row r="156">
      <c r="A156" s="93">
        <v>174.0</v>
      </c>
      <c r="B156" s="96" t="s">
        <v>62</v>
      </c>
      <c r="C156" s="96" t="s">
        <v>144</v>
      </c>
      <c r="D156" s="96" t="s">
        <v>145</v>
      </c>
      <c r="E156" s="93">
        <v>-43.0</v>
      </c>
      <c r="F156" s="93">
        <v>24.23384274</v>
      </c>
      <c r="G156" s="93">
        <v>23.520759573413724</v>
      </c>
      <c r="H156" s="93">
        <v>8.097923146912985</v>
      </c>
      <c r="I156" s="93">
        <v>816.0</v>
      </c>
      <c r="J156" s="93">
        <v>773.0</v>
      </c>
      <c r="K156" s="93">
        <v>8.158766768</v>
      </c>
    </row>
    <row r="157">
      <c r="A157" s="93">
        <v>174.0</v>
      </c>
      <c r="B157" s="96" t="s">
        <v>46</v>
      </c>
      <c r="C157" s="96" t="s">
        <v>144</v>
      </c>
      <c r="D157" s="96" t="s">
        <v>145</v>
      </c>
      <c r="E157" s="93">
        <v>-32.0</v>
      </c>
      <c r="F157" s="93">
        <v>27.12901804</v>
      </c>
      <c r="G157" s="93">
        <v>26.600799373753798</v>
      </c>
      <c r="H157" s="93">
        <v>6.983392350860663</v>
      </c>
      <c r="I157" s="93">
        <v>1129.0</v>
      </c>
      <c r="J157" s="93">
        <v>1097.0</v>
      </c>
      <c r="K157" s="93">
        <v>7.021823051</v>
      </c>
    </row>
    <row r="158">
      <c r="A158" s="93">
        <v>174.0</v>
      </c>
      <c r="B158" s="96" t="s">
        <v>50</v>
      </c>
      <c r="C158" s="96" t="s">
        <v>144</v>
      </c>
      <c r="D158" s="96" t="s">
        <v>145</v>
      </c>
      <c r="E158" s="93">
        <v>-30.0</v>
      </c>
      <c r="F158" s="93">
        <v>21.96117112</v>
      </c>
      <c r="G158" s="93">
        <v>21.4651607900375</v>
      </c>
      <c r="H158" s="93">
        <v>6.769455333080391</v>
      </c>
      <c r="I158" s="93">
        <v>799.0</v>
      </c>
      <c r="J158" s="93">
        <v>769.0</v>
      </c>
      <c r="K158" s="93">
        <v>6.80433222</v>
      </c>
    </row>
    <row r="159">
      <c r="A159" s="93">
        <v>174.0</v>
      </c>
      <c r="B159" s="96" t="s">
        <v>146</v>
      </c>
      <c r="C159" s="96" t="s">
        <v>144</v>
      </c>
      <c r="D159" s="96" t="s">
        <v>146</v>
      </c>
      <c r="E159" s="93">
        <v>0.0</v>
      </c>
      <c r="F159" s="93" t="s">
        <v>147</v>
      </c>
      <c r="G159" s="93" t="s">
        <v>147</v>
      </c>
      <c r="H159" s="93" t="s">
        <v>147</v>
      </c>
      <c r="I159" s="93" t="s">
        <v>147</v>
      </c>
      <c r="J159" s="93" t="s">
        <v>147</v>
      </c>
      <c r="K159" s="93" t="s">
        <v>147</v>
      </c>
    </row>
    <row r="160">
      <c r="A160" s="93">
        <v>174.0</v>
      </c>
      <c r="B160" s="96" t="s">
        <v>22</v>
      </c>
      <c r="C160" s="96" t="s">
        <v>144</v>
      </c>
      <c r="D160" s="96" t="s">
        <v>145</v>
      </c>
      <c r="E160" s="93">
        <v>-19.0</v>
      </c>
      <c r="F160" s="93">
        <v>31.95979515</v>
      </c>
      <c r="G160" s="93">
        <v>31.640531259029206</v>
      </c>
      <c r="H160" s="93">
        <v>5.4412413305517715</v>
      </c>
      <c r="I160" s="93">
        <v>1616.0</v>
      </c>
      <c r="J160" s="93">
        <v>1597.0</v>
      </c>
      <c r="K160" s="93">
        <v>5.458698203</v>
      </c>
    </row>
    <row r="161">
      <c r="A161" s="93">
        <v>174.0</v>
      </c>
      <c r="B161" s="96" t="s">
        <v>16</v>
      </c>
      <c r="C161" s="96" t="s">
        <v>144</v>
      </c>
      <c r="D161" s="96" t="s">
        <v>145</v>
      </c>
      <c r="E161" s="93">
        <v>-20.0</v>
      </c>
      <c r="F161" s="93">
        <v>36.02611882</v>
      </c>
      <c r="G161" s="93">
        <v>35.70304388194849</v>
      </c>
      <c r="H161" s="93">
        <v>5.473399988863943</v>
      </c>
      <c r="I161" s="93">
        <v>1890.0</v>
      </c>
      <c r="J161" s="93">
        <v>1870.0</v>
      </c>
      <c r="K161" s="93">
        <v>5.49119261</v>
      </c>
    </row>
    <row r="162">
      <c r="A162" s="93">
        <v>174.0</v>
      </c>
      <c r="B162" s="96" t="s">
        <v>23</v>
      </c>
      <c r="C162" s="96" t="s">
        <v>144</v>
      </c>
      <c r="D162" s="96" t="s">
        <v>145</v>
      </c>
      <c r="E162" s="93">
        <v>-20.0</v>
      </c>
      <c r="F162" s="93">
        <v>33.68761958</v>
      </c>
      <c r="G162" s="93">
        <v>33.36377073482796</v>
      </c>
      <c r="H162" s="93">
        <v>5.47990673984008</v>
      </c>
      <c r="I162" s="93">
        <v>1730.0</v>
      </c>
      <c r="J162" s="93">
        <v>1710.0</v>
      </c>
      <c r="K162" s="93">
        <v>5.49776777</v>
      </c>
    </row>
    <row r="163">
      <c r="A163" s="93">
        <v>174.0</v>
      </c>
      <c r="B163" s="96" t="s">
        <v>104</v>
      </c>
      <c r="C163" s="96" t="s">
        <v>144</v>
      </c>
      <c r="D163" s="96" t="s">
        <v>145</v>
      </c>
      <c r="E163" s="93">
        <v>-44.0</v>
      </c>
      <c r="F163" s="93">
        <v>24.86821045</v>
      </c>
      <c r="G163" s="93">
        <v>24.128057068077656</v>
      </c>
      <c r="H163" s="93">
        <v>8.247812712013731</v>
      </c>
      <c r="I163" s="93">
        <v>843.0</v>
      </c>
      <c r="J163" s="93">
        <v>799.0</v>
      </c>
      <c r="K163" s="93">
        <v>8.312209548</v>
      </c>
    </row>
    <row r="164">
      <c r="A164" s="93">
        <v>174.0</v>
      </c>
      <c r="B164" s="96" t="s">
        <v>121</v>
      </c>
      <c r="C164" s="96" t="s">
        <v>144</v>
      </c>
      <c r="D164" s="96" t="s">
        <v>145</v>
      </c>
      <c r="E164" s="93">
        <v>-43.0</v>
      </c>
      <c r="F164" s="93">
        <v>23.0258948</v>
      </c>
      <c r="G164" s="93">
        <v>22.309450945229838</v>
      </c>
      <c r="H164" s="93">
        <v>8.11669163259999</v>
      </c>
      <c r="I164" s="93">
        <v>732.0</v>
      </c>
      <c r="J164" s="93">
        <v>689.0</v>
      </c>
      <c r="K164" s="93">
        <v>8.177972768</v>
      </c>
    </row>
    <row r="165">
      <c r="A165" s="93">
        <v>174.0</v>
      </c>
      <c r="B165" s="96" t="s">
        <v>146</v>
      </c>
      <c r="C165" s="96" t="s">
        <v>144</v>
      </c>
      <c r="D165" s="96" t="s">
        <v>146</v>
      </c>
      <c r="E165" s="93">
        <v>0.0</v>
      </c>
      <c r="F165" s="93" t="s">
        <v>147</v>
      </c>
      <c r="G165" s="93" t="s">
        <v>147</v>
      </c>
      <c r="H165" s="93" t="s">
        <v>147</v>
      </c>
      <c r="I165" s="93" t="s">
        <v>147</v>
      </c>
      <c r="J165" s="93" t="s">
        <v>147</v>
      </c>
      <c r="K165" s="93" t="s">
        <v>147</v>
      </c>
    </row>
    <row r="166">
      <c r="A166" s="93">
        <v>174.0</v>
      </c>
      <c r="B166" s="96" t="s">
        <v>122</v>
      </c>
      <c r="C166" s="96" t="s">
        <v>144</v>
      </c>
      <c r="D166" s="96" t="s">
        <v>145</v>
      </c>
      <c r="E166" s="93">
        <v>-40.0</v>
      </c>
      <c r="F166" s="93">
        <v>22.20648411</v>
      </c>
      <c r="G166" s="93">
        <v>21.540960068076423</v>
      </c>
      <c r="H166" s="93">
        <v>7.827191824887401</v>
      </c>
      <c r="I166" s="93">
        <v>706.0</v>
      </c>
      <c r="J166" s="93">
        <v>666.0</v>
      </c>
      <c r="K166" s="93">
        <v>7.881955332</v>
      </c>
    </row>
    <row r="167">
      <c r="A167" s="93">
        <v>173.0</v>
      </c>
      <c r="B167" s="96" t="s">
        <v>46</v>
      </c>
      <c r="C167" s="96" t="s">
        <v>142</v>
      </c>
      <c r="D167" s="96" t="s">
        <v>143</v>
      </c>
      <c r="E167" s="93">
        <v>53.0</v>
      </c>
      <c r="F167" s="93">
        <v>26.4273204</v>
      </c>
      <c r="G167" s="93">
        <v>27.12901804004592</v>
      </c>
      <c r="H167" s="93">
        <v>7.021823051223643</v>
      </c>
      <c r="I167" s="93">
        <v>1076.0</v>
      </c>
      <c r="J167" s="93">
        <v>1129.0</v>
      </c>
      <c r="K167" s="93">
        <v>7.069283349</v>
      </c>
    </row>
    <row r="168">
      <c r="A168" s="93">
        <v>173.0</v>
      </c>
      <c r="B168" s="96" t="s">
        <v>41</v>
      </c>
      <c r="C168" s="96" t="s">
        <v>142</v>
      </c>
      <c r="D168" s="96" t="s">
        <v>143</v>
      </c>
      <c r="E168" s="93">
        <v>40.0</v>
      </c>
      <c r="F168" s="93">
        <v>24.64349897</v>
      </c>
      <c r="G168" s="93">
        <v>25.186426906492468</v>
      </c>
      <c r="H168" s="93">
        <v>6.186162169993025</v>
      </c>
      <c r="I168" s="93">
        <v>1042.0</v>
      </c>
      <c r="J168" s="93">
        <v>1082.0</v>
      </c>
      <c r="K168" s="93">
        <v>6.218115273</v>
      </c>
    </row>
    <row r="169">
      <c r="A169" s="93">
        <v>173.0</v>
      </c>
      <c r="B169" s="96" t="s">
        <v>22</v>
      </c>
      <c r="C169" s="96" t="s">
        <v>142</v>
      </c>
      <c r="D169" s="96" t="s">
        <v>143</v>
      </c>
      <c r="E169" s="93">
        <v>30.0</v>
      </c>
      <c r="F169" s="93">
        <v>31.53805042</v>
      </c>
      <c r="G169" s="93">
        <v>31.95979514504615</v>
      </c>
      <c r="H169" s="93">
        <v>5.458698202760845</v>
      </c>
      <c r="I169" s="93">
        <v>1586.0</v>
      </c>
      <c r="J169" s="93">
        <v>1616.0</v>
      </c>
      <c r="K169" s="93">
        <v>5.480199468</v>
      </c>
    </row>
    <row r="170">
      <c r="A170" s="93">
        <v>173.0</v>
      </c>
      <c r="B170" s="96" t="s">
        <v>108</v>
      </c>
      <c r="C170" s="96" t="s">
        <v>144</v>
      </c>
      <c r="D170" s="96" t="s">
        <v>145</v>
      </c>
      <c r="E170" s="93">
        <v>-58.0</v>
      </c>
      <c r="F170" s="93">
        <v>25.0</v>
      </c>
      <c r="G170" s="93">
        <v>24.024982557373352</v>
      </c>
      <c r="H170" s="93">
        <v>8.254932880563725</v>
      </c>
      <c r="I170" s="93">
        <v>850.0</v>
      </c>
      <c r="J170" s="93">
        <v>792.0</v>
      </c>
      <c r="K170" s="93">
        <v>8.333333333333334</v>
      </c>
    </row>
    <row r="171">
      <c r="A171" s="93">
        <v>173.0</v>
      </c>
      <c r="B171" s="96" t="s">
        <v>121</v>
      </c>
      <c r="C171" s="96" t="s">
        <v>144</v>
      </c>
      <c r="D171" s="96" t="s">
        <v>145</v>
      </c>
      <c r="E171" s="93">
        <v>-57.0</v>
      </c>
      <c r="F171" s="93">
        <v>23.98246897</v>
      </c>
      <c r="G171" s="93">
        <v>23.025894796182204</v>
      </c>
      <c r="H171" s="93">
        <v>8.17797276822715</v>
      </c>
      <c r="I171" s="93">
        <v>789.0</v>
      </c>
      <c r="J171" s="93">
        <v>732.0</v>
      </c>
      <c r="K171" s="93">
        <v>8.254129612</v>
      </c>
    </row>
    <row r="172">
      <c r="A172" s="93">
        <v>173.0</v>
      </c>
      <c r="B172" s="96" t="s">
        <v>114</v>
      </c>
      <c r="C172" s="96" t="s">
        <v>144</v>
      </c>
      <c r="D172" s="96" t="s">
        <v>145</v>
      </c>
      <c r="E172" s="93">
        <v>-58.0</v>
      </c>
      <c r="F172" s="93">
        <v>24.08223649</v>
      </c>
      <c r="G172" s="93">
        <v>23.123520584955084</v>
      </c>
      <c r="H172" s="93">
        <v>8.18694985610281</v>
      </c>
      <c r="I172" s="93">
        <v>795.0</v>
      </c>
      <c r="J172" s="93">
        <v>737.0</v>
      </c>
      <c r="K172" s="93">
        <v>8.263366133</v>
      </c>
    </row>
    <row r="173">
      <c r="A173" s="93">
        <v>173.0</v>
      </c>
      <c r="B173" s="96" t="s">
        <v>44</v>
      </c>
      <c r="C173" s="96" t="s">
        <v>144</v>
      </c>
      <c r="D173" s="96" t="s">
        <v>145</v>
      </c>
      <c r="E173" s="93">
        <v>-39.0</v>
      </c>
      <c r="F173" s="93">
        <v>29.00127069</v>
      </c>
      <c r="G173" s="93">
        <v>28.357609944393587</v>
      </c>
      <c r="H173" s="93">
        <v>6.728999421903624</v>
      </c>
      <c r="I173" s="93">
        <v>1281.0</v>
      </c>
      <c r="J173" s="93">
        <v>1242.0</v>
      </c>
      <c r="K173" s="93">
        <v>6.770565991</v>
      </c>
    </row>
    <row r="174">
      <c r="A174" s="93">
        <v>173.0</v>
      </c>
      <c r="B174" s="96" t="s">
        <v>16</v>
      </c>
      <c r="C174" s="96" t="s">
        <v>144</v>
      </c>
      <c r="D174" s="96" t="s">
        <v>145</v>
      </c>
      <c r="E174" s="93">
        <v>-26.0</v>
      </c>
      <c r="F174" s="93">
        <v>36.45294189</v>
      </c>
      <c r="G174" s="93">
        <v>36.02611882402286</v>
      </c>
      <c r="H174" s="93">
        <v>5.491192610381055</v>
      </c>
      <c r="I174" s="93">
        <v>1916.0</v>
      </c>
      <c r="J174" s="93">
        <v>1890.0</v>
      </c>
      <c r="K174" s="93">
        <v>5.513105932</v>
      </c>
    </row>
    <row r="175">
      <c r="A175" s="93">
        <v>173.0</v>
      </c>
      <c r="B175" s="96" t="s">
        <v>39</v>
      </c>
      <c r="C175" s="96" t="s">
        <v>144</v>
      </c>
      <c r="D175" s="96" t="s">
        <v>145</v>
      </c>
      <c r="E175" s="93">
        <v>-50.0</v>
      </c>
      <c r="F175" s="93">
        <v>30.00089325</v>
      </c>
      <c r="G175" s="93">
        <v>29.179647865463384</v>
      </c>
      <c r="H175" s="93">
        <v>7.587548031447544</v>
      </c>
      <c r="I175" s="93">
        <v>1260.0</v>
      </c>
      <c r="J175" s="93">
        <v>1210.0</v>
      </c>
      <c r="K175" s="93">
        <v>7.647917198</v>
      </c>
    </row>
    <row r="176">
      <c r="A176" s="93">
        <v>173.0</v>
      </c>
      <c r="B176" s="96" t="s">
        <v>146</v>
      </c>
      <c r="C176" s="96" t="s">
        <v>144</v>
      </c>
      <c r="D176" s="96" t="s">
        <v>146</v>
      </c>
      <c r="E176" s="93">
        <v>0.0</v>
      </c>
      <c r="F176" s="93" t="s">
        <v>147</v>
      </c>
      <c r="G176" s="93" t="s">
        <v>147</v>
      </c>
      <c r="H176" s="93" t="s">
        <v>147</v>
      </c>
      <c r="I176" s="93" t="s">
        <v>147</v>
      </c>
      <c r="J176" s="93" t="s">
        <v>147</v>
      </c>
      <c r="K176" s="93" t="s">
        <v>147</v>
      </c>
    </row>
    <row r="177">
      <c r="A177" s="93">
        <v>173.0</v>
      </c>
      <c r="B177" s="96" t="s">
        <v>31</v>
      </c>
      <c r="C177" s="96" t="s">
        <v>144</v>
      </c>
      <c r="D177" s="96" t="s">
        <v>145</v>
      </c>
      <c r="E177" s="93">
        <v>-39.0</v>
      </c>
      <c r="F177" s="93">
        <v>30.59117012</v>
      </c>
      <c r="G177" s="93">
        <v>29.943299492920588</v>
      </c>
      <c r="H177" s="93">
        <v>6.750690684422048</v>
      </c>
      <c r="I177" s="93">
        <v>1387.0</v>
      </c>
      <c r="J177" s="93">
        <v>1348.0</v>
      </c>
      <c r="K177" s="93">
        <v>6.792676259</v>
      </c>
    </row>
    <row r="178">
      <c r="A178" s="93">
        <v>173.0</v>
      </c>
      <c r="B178" s="96" t="s">
        <v>65</v>
      </c>
      <c r="C178" s="96" t="s">
        <v>144</v>
      </c>
      <c r="D178" s="96" t="s">
        <v>145</v>
      </c>
      <c r="E178" s="93">
        <v>-51.0</v>
      </c>
      <c r="F178" s="93">
        <v>25.71534057</v>
      </c>
      <c r="G178" s="93">
        <v>24.877739181362625</v>
      </c>
      <c r="H178" s="93">
        <v>7.6615002924435505</v>
      </c>
      <c r="I178" s="93">
        <v>961.0</v>
      </c>
      <c r="J178" s="93">
        <v>910.0</v>
      </c>
      <c r="K178" s="93">
        <v>7.723712963</v>
      </c>
    </row>
    <row r="179">
      <c r="A179" s="93">
        <v>173.0</v>
      </c>
      <c r="B179" s="96" t="s">
        <v>27</v>
      </c>
      <c r="C179" s="96" t="s">
        <v>144</v>
      </c>
      <c r="D179" s="96" t="s">
        <v>145</v>
      </c>
      <c r="E179" s="93">
        <v>-34.0</v>
      </c>
      <c r="F179" s="93">
        <v>33.96774951</v>
      </c>
      <c r="G179" s="93">
        <v>33.431727587996114</v>
      </c>
      <c r="H179" s="93">
        <v>6.14710752097106</v>
      </c>
      <c r="I179" s="93">
        <v>1680.0</v>
      </c>
      <c r="J179" s="93">
        <v>1646.0</v>
      </c>
      <c r="K179" s="93">
        <v>6.178431366</v>
      </c>
    </row>
    <row r="180">
      <c r="A180" s="93">
        <v>173.0</v>
      </c>
      <c r="B180" s="96" t="s">
        <v>146</v>
      </c>
      <c r="C180" s="96" t="s">
        <v>144</v>
      </c>
      <c r="D180" s="96" t="s">
        <v>146</v>
      </c>
      <c r="E180" s="93">
        <v>0.0</v>
      </c>
      <c r="F180" s="93" t="s">
        <v>147</v>
      </c>
      <c r="G180" s="93" t="s">
        <v>147</v>
      </c>
      <c r="H180" s="93" t="s">
        <v>147</v>
      </c>
      <c r="I180" s="93" t="s">
        <v>147</v>
      </c>
      <c r="J180" s="93" t="s">
        <v>147</v>
      </c>
      <c r="K180" s="93" t="s">
        <v>147</v>
      </c>
    </row>
    <row r="181">
      <c r="A181" s="93">
        <v>173.0</v>
      </c>
      <c r="B181" s="96" t="s">
        <v>97</v>
      </c>
      <c r="C181" s="96" t="s">
        <v>144</v>
      </c>
      <c r="D181" s="96" t="s">
        <v>145</v>
      </c>
      <c r="E181" s="93">
        <v>-31.0</v>
      </c>
      <c r="F181" s="93">
        <v>22.67846048</v>
      </c>
      <c r="G181" s="93">
        <v>22.168534370509526</v>
      </c>
      <c r="H181" s="93">
        <v>5.997136617794512</v>
      </c>
      <c r="I181" s="93">
        <v>927.0</v>
      </c>
      <c r="J181" s="93">
        <v>896.0</v>
      </c>
      <c r="K181" s="93">
        <v>6.026118456</v>
      </c>
    </row>
    <row r="182">
      <c r="A182" s="93">
        <v>172.0</v>
      </c>
      <c r="B182" s="96" t="s">
        <v>39</v>
      </c>
      <c r="C182" s="96" t="s">
        <v>142</v>
      </c>
      <c r="D182" s="96" t="s">
        <v>143</v>
      </c>
      <c r="E182" s="93">
        <v>59.0</v>
      </c>
      <c r="F182" s="93">
        <v>29.21670504</v>
      </c>
      <c r="G182" s="93">
        <v>30.000893247052378</v>
      </c>
      <c r="H182" s="93">
        <v>7.647917198106925</v>
      </c>
      <c r="I182" s="93">
        <v>1201.0</v>
      </c>
      <c r="J182" s="93">
        <v>1260.0</v>
      </c>
      <c r="K182" s="93">
        <v>7.70296969</v>
      </c>
    </row>
    <row r="183">
      <c r="A183" s="93">
        <v>172.0</v>
      </c>
      <c r="B183" s="96" t="s">
        <v>86</v>
      </c>
      <c r="C183" s="96" t="s">
        <v>142</v>
      </c>
      <c r="D183" s="96" t="s">
        <v>143</v>
      </c>
      <c r="E183" s="93">
        <v>65.0</v>
      </c>
      <c r="F183" s="93">
        <v>24.06966922</v>
      </c>
      <c r="G183" s="93">
        <v>24.9251275516343</v>
      </c>
      <c r="H183" s="93">
        <v>7.982588520706157</v>
      </c>
      <c r="I183" s="93">
        <v>816.0</v>
      </c>
      <c r="J183" s="93">
        <v>881.0</v>
      </c>
      <c r="K183" s="93">
        <v>8.045453232</v>
      </c>
    </row>
    <row r="184">
      <c r="A184" s="93">
        <v>172.0</v>
      </c>
      <c r="B184" s="96" t="s">
        <v>79</v>
      </c>
      <c r="C184" s="96" t="s">
        <v>142</v>
      </c>
      <c r="D184" s="96" t="s">
        <v>143</v>
      </c>
      <c r="E184" s="93">
        <v>70.0</v>
      </c>
      <c r="F184" s="93">
        <v>25.0</v>
      </c>
      <c r="G184" s="93">
        <v>25.91776350558317</v>
      </c>
      <c r="H184" s="93">
        <v>8.263366132868931</v>
      </c>
      <c r="I184" s="93">
        <v>850.0</v>
      </c>
      <c r="J184" s="93">
        <v>920.0</v>
      </c>
      <c r="K184" s="93">
        <v>8.333333333333334</v>
      </c>
    </row>
    <row r="185">
      <c r="A185" s="93">
        <v>172.0</v>
      </c>
      <c r="B185" s="96" t="s">
        <v>50</v>
      </c>
      <c r="C185" s="96" t="s">
        <v>144</v>
      </c>
      <c r="D185" s="96" t="s">
        <v>145</v>
      </c>
      <c r="E185" s="93">
        <v>-38.0</v>
      </c>
      <c r="F185" s="93">
        <v>22.57999658</v>
      </c>
      <c r="G185" s="93">
        <v>21.961171120084042</v>
      </c>
      <c r="H185" s="93">
        <v>6.804332220147691</v>
      </c>
      <c r="I185" s="93">
        <v>837.0</v>
      </c>
      <c r="J185" s="93">
        <v>799.0</v>
      </c>
      <c r="K185" s="93">
        <v>6.842618743</v>
      </c>
    </row>
    <row r="186">
      <c r="A186" s="93">
        <v>172.0</v>
      </c>
      <c r="B186" s="96" t="s">
        <v>23</v>
      </c>
      <c r="C186" s="96" t="s">
        <v>144</v>
      </c>
      <c r="D186" s="96" t="s">
        <v>145</v>
      </c>
      <c r="E186" s="93">
        <v>-25.0</v>
      </c>
      <c r="F186" s="93">
        <v>34.08999024</v>
      </c>
      <c r="G186" s="93">
        <v>33.68761958301544</v>
      </c>
      <c r="H186" s="93">
        <v>5.497767770120602</v>
      </c>
      <c r="I186" s="93">
        <v>1755.0</v>
      </c>
      <c r="J186" s="93">
        <v>1730.0</v>
      </c>
      <c r="K186" s="93">
        <v>5.517298192</v>
      </c>
    </row>
    <row r="187">
      <c r="A187" s="93">
        <v>172.0</v>
      </c>
      <c r="B187" s="96" t="s">
        <v>56</v>
      </c>
      <c r="C187" s="96" t="s">
        <v>144</v>
      </c>
      <c r="D187" s="96" t="s">
        <v>145</v>
      </c>
      <c r="E187" s="93">
        <v>-45.0</v>
      </c>
      <c r="F187" s="93">
        <v>27.94574721</v>
      </c>
      <c r="G187" s="93">
        <v>27.218589885406452</v>
      </c>
      <c r="H187" s="93">
        <v>7.36848099619244</v>
      </c>
      <c r="I187" s="93">
        <v>1144.0</v>
      </c>
      <c r="J187" s="93">
        <v>1099.0</v>
      </c>
      <c r="K187" s="93">
        <v>7.417530774</v>
      </c>
    </row>
    <row r="188">
      <c r="A188" s="93">
        <v>172.0</v>
      </c>
      <c r="B188" s="96" t="s">
        <v>111</v>
      </c>
      <c r="C188" s="96" t="s">
        <v>144</v>
      </c>
      <c r="D188" s="96" t="s">
        <v>145</v>
      </c>
      <c r="E188" s="93">
        <v>-43.0</v>
      </c>
      <c r="F188" s="93">
        <v>21.92785129</v>
      </c>
      <c r="G188" s="93">
        <v>21.215251695789163</v>
      </c>
      <c r="H188" s="93">
        <v>7.295338106119442</v>
      </c>
      <c r="I188" s="93">
        <v>742.0</v>
      </c>
      <c r="J188" s="93">
        <v>699.0</v>
      </c>
      <c r="K188" s="93">
        <v>7.342892063</v>
      </c>
    </row>
    <row r="189">
      <c r="A189" s="93">
        <v>172.0</v>
      </c>
      <c r="B189" s="96" t="s">
        <v>22</v>
      </c>
      <c r="C189" s="96" t="s">
        <v>144</v>
      </c>
      <c r="D189" s="96" t="s">
        <v>145</v>
      </c>
      <c r="E189" s="93">
        <v>-25.0</v>
      </c>
      <c r="F189" s="93">
        <v>31.93783447</v>
      </c>
      <c r="G189" s="93">
        <v>31.538050424297882</v>
      </c>
      <c r="H189" s="93">
        <v>5.480199467854388</v>
      </c>
      <c r="I189" s="93">
        <v>1611.0</v>
      </c>
      <c r="J189" s="93">
        <v>1586.0</v>
      </c>
      <c r="K189" s="93">
        <v>5.499529975</v>
      </c>
    </row>
    <row r="190">
      <c r="A190" s="93">
        <v>172.0</v>
      </c>
      <c r="B190" s="96" t="s">
        <v>91</v>
      </c>
      <c r="C190" s="96" t="s">
        <v>144</v>
      </c>
      <c r="D190" s="96" t="s">
        <v>145</v>
      </c>
      <c r="E190" s="93">
        <v>-53.0</v>
      </c>
      <c r="F190" s="93">
        <v>25.5355843</v>
      </c>
      <c r="G190" s="93">
        <v>24.654862925269473</v>
      </c>
      <c r="H190" s="93">
        <v>8.097690060188901</v>
      </c>
      <c r="I190" s="93">
        <v>904.0</v>
      </c>
      <c r="J190" s="93">
        <v>851.0</v>
      </c>
      <c r="K190" s="93">
        <v>8.163404472</v>
      </c>
    </row>
    <row r="191">
      <c r="A191" s="93">
        <v>172.0</v>
      </c>
      <c r="B191" s="96" t="s">
        <v>69</v>
      </c>
      <c r="C191" s="96" t="s">
        <v>144</v>
      </c>
      <c r="D191" s="96" t="s">
        <v>145</v>
      </c>
      <c r="E191" s="93">
        <v>-50.0</v>
      </c>
      <c r="F191" s="93">
        <v>27.27674456</v>
      </c>
      <c r="G191" s="93">
        <v>26.453480660569827</v>
      </c>
      <c r="H191" s="93">
        <v>7.833291966319018</v>
      </c>
      <c r="I191" s="93">
        <v>1050.0</v>
      </c>
      <c r="J191" s="93">
        <v>1000.0</v>
      </c>
      <c r="K191" s="93">
        <v>7.892585739</v>
      </c>
    </row>
    <row r="192">
      <c r="A192" s="93">
        <v>172.0</v>
      </c>
      <c r="B192" s="96" t="s">
        <v>38</v>
      </c>
      <c r="C192" s="96" t="s">
        <v>144</v>
      </c>
      <c r="D192" s="96" t="s">
        <v>145</v>
      </c>
      <c r="E192" s="93">
        <v>-27.0</v>
      </c>
      <c r="F192" s="93">
        <v>25.09406711</v>
      </c>
      <c r="G192" s="93">
        <v>24.68003555208256</v>
      </c>
      <c r="H192" s="93">
        <v>5.576260893605454</v>
      </c>
      <c r="I192" s="93">
        <v>1136.0</v>
      </c>
      <c r="J192" s="93">
        <v>1109.0</v>
      </c>
      <c r="K192" s="93">
        <v>5.596700118</v>
      </c>
    </row>
    <row r="193">
      <c r="A193" s="93">
        <v>172.0</v>
      </c>
      <c r="B193" s="96" t="s">
        <v>62</v>
      </c>
      <c r="C193" s="96" t="s">
        <v>144</v>
      </c>
      <c r="D193" s="96" t="s">
        <v>145</v>
      </c>
      <c r="E193" s="93">
        <v>-54.0</v>
      </c>
      <c r="F193" s="93">
        <v>25.12812639</v>
      </c>
      <c r="G193" s="93">
        <v>24.233842737752397</v>
      </c>
      <c r="H193" s="93">
        <v>8.158766768486434</v>
      </c>
      <c r="I193" s="93">
        <v>870.0</v>
      </c>
      <c r="J193" s="93">
        <v>816.0</v>
      </c>
      <c r="K193" s="93">
        <v>8.226028063</v>
      </c>
    </row>
    <row r="194">
      <c r="A194" s="93">
        <v>172.0</v>
      </c>
      <c r="B194" s="96" t="s">
        <v>114</v>
      </c>
      <c r="C194" s="96" t="s">
        <v>144</v>
      </c>
      <c r="D194" s="96" t="s">
        <v>145</v>
      </c>
      <c r="E194" s="93">
        <v>-55.0</v>
      </c>
      <c r="F194" s="93">
        <v>25.0</v>
      </c>
      <c r="G194" s="93">
        <v>24.082236494416833</v>
      </c>
      <c r="H194" s="93">
        <v>8.263366132868931</v>
      </c>
      <c r="I194" s="93">
        <v>850.0</v>
      </c>
      <c r="J194" s="93">
        <v>795.0</v>
      </c>
      <c r="K194" s="93">
        <v>8.333333333333334</v>
      </c>
    </row>
    <row r="195">
      <c r="A195" s="93">
        <v>172.0</v>
      </c>
      <c r="B195" s="96" t="s">
        <v>146</v>
      </c>
      <c r="C195" s="96" t="s">
        <v>144</v>
      </c>
      <c r="D195" s="96" t="s">
        <v>146</v>
      </c>
      <c r="E195" s="93">
        <v>0.0</v>
      </c>
      <c r="F195" s="93" t="s">
        <v>147</v>
      </c>
      <c r="G195" s="93" t="s">
        <v>147</v>
      </c>
      <c r="H195" s="93" t="s">
        <v>147</v>
      </c>
      <c r="I195" s="93" t="s">
        <v>147</v>
      </c>
      <c r="J195" s="93" t="s">
        <v>147</v>
      </c>
      <c r="K195" s="93" t="s">
        <v>147</v>
      </c>
    </row>
    <row r="196">
      <c r="A196" s="93">
        <v>172.0</v>
      </c>
      <c r="B196" s="96" t="s">
        <v>146</v>
      </c>
      <c r="C196" s="96" t="s">
        <v>144</v>
      </c>
      <c r="D196" s="96" t="s">
        <v>146</v>
      </c>
      <c r="E196" s="93">
        <v>0.0</v>
      </c>
      <c r="F196" s="93" t="s">
        <v>147</v>
      </c>
      <c r="G196" s="93" t="s">
        <v>147</v>
      </c>
      <c r="H196" s="93" t="s">
        <v>147</v>
      </c>
      <c r="I196" s="93" t="s">
        <v>147</v>
      </c>
      <c r="J196" s="93" t="s">
        <v>147</v>
      </c>
      <c r="K196" s="93" t="s">
        <v>147</v>
      </c>
    </row>
    <row r="197">
      <c r="A197" s="93">
        <v>171.0</v>
      </c>
      <c r="B197" s="96" t="s">
        <v>20</v>
      </c>
      <c r="C197" s="96" t="s">
        <v>142</v>
      </c>
      <c r="D197" s="96" t="s">
        <v>145</v>
      </c>
      <c r="E197" s="93">
        <v>-141.0</v>
      </c>
      <c r="F197" s="93">
        <v>37.32658665</v>
      </c>
      <c r="G197" s="93">
        <v>35.1607908342522</v>
      </c>
      <c r="H197" s="93">
        <v>6.772129600502464</v>
      </c>
      <c r="I197" s="93">
        <v>1841.0</v>
      </c>
      <c r="J197" s="93">
        <v>1700.0</v>
      </c>
      <c r="K197" s="93">
        <v>6.834088155</v>
      </c>
    </row>
    <row r="198">
      <c r="A198" s="93">
        <v>171.0</v>
      </c>
      <c r="B198" s="96" t="s">
        <v>29</v>
      </c>
      <c r="C198" s="96" t="s">
        <v>142</v>
      </c>
      <c r="D198" s="96" t="s">
        <v>145</v>
      </c>
      <c r="E198" s="93">
        <v>-107.0</v>
      </c>
      <c r="F198" s="93">
        <v>31.6794799</v>
      </c>
      <c r="G198" s="93">
        <v>30.033261053072398</v>
      </c>
      <c r="H198" s="93">
        <v>5.917347488786197</v>
      </c>
      <c r="I198" s="93">
        <v>1546.0</v>
      </c>
      <c r="J198" s="93">
        <v>1439.0</v>
      </c>
      <c r="K198" s="93">
        <v>5.958005934</v>
      </c>
    </row>
    <row r="199">
      <c r="A199" s="93">
        <v>171.0</v>
      </c>
      <c r="B199" s="96" t="s">
        <v>23</v>
      </c>
      <c r="C199" s="96" t="s">
        <v>142</v>
      </c>
      <c r="D199" s="96" t="s">
        <v>145</v>
      </c>
      <c r="E199" s="93">
        <v>-94.0</v>
      </c>
      <c r="F199" s="93">
        <v>35.51848498</v>
      </c>
      <c r="G199" s="93">
        <v>34.08999024190257</v>
      </c>
      <c r="H199" s="93">
        <v>5.51729819188955</v>
      </c>
      <c r="I199" s="93">
        <v>1849.0</v>
      </c>
      <c r="J199" s="93">
        <v>1755.0</v>
      </c>
      <c r="K199" s="93">
        <v>5.549925399</v>
      </c>
    </row>
    <row r="200">
      <c r="A200" s="93">
        <v>171.0</v>
      </c>
      <c r="B200" s="96" t="s">
        <v>17</v>
      </c>
      <c r="C200" s="96" t="s">
        <v>144</v>
      </c>
      <c r="D200" s="96" t="s">
        <v>143</v>
      </c>
      <c r="E200" s="93">
        <v>121.0</v>
      </c>
      <c r="F200" s="93">
        <v>32.76378123</v>
      </c>
      <c r="G200" s="93">
        <v>34.47054245198974</v>
      </c>
      <c r="H200" s="93">
        <v>6.023615492196535</v>
      </c>
      <c r="I200" s="93">
        <v>1609.0</v>
      </c>
      <c r="J200" s="93">
        <v>1730.0</v>
      </c>
      <c r="K200" s="93">
        <v>6.06660474</v>
      </c>
    </row>
    <row r="201">
      <c r="A201" s="93">
        <v>171.0</v>
      </c>
      <c r="B201" s="96" t="s">
        <v>42</v>
      </c>
      <c r="C201" s="96" t="s">
        <v>144</v>
      </c>
      <c r="D201" s="96" t="s">
        <v>143</v>
      </c>
      <c r="E201" s="93">
        <v>149.0</v>
      </c>
      <c r="F201" s="93">
        <v>28.11552865</v>
      </c>
      <c r="G201" s="93">
        <v>30.21224990286946</v>
      </c>
      <c r="H201" s="93">
        <v>6.665237521272655</v>
      </c>
      <c r="I201" s="93">
        <v>1226.0</v>
      </c>
      <c r="J201" s="93">
        <v>1375.0</v>
      </c>
      <c r="K201" s="93">
        <v>6.724200249</v>
      </c>
    </row>
    <row r="202">
      <c r="A202" s="93">
        <v>171.0</v>
      </c>
      <c r="B202" s="96" t="s">
        <v>25</v>
      </c>
      <c r="C202" s="96" t="s">
        <v>144</v>
      </c>
      <c r="D202" s="96" t="s">
        <v>143</v>
      </c>
      <c r="E202" s="93">
        <v>210.0</v>
      </c>
      <c r="F202" s="93">
        <v>28.18161595</v>
      </c>
      <c r="G202" s="93">
        <v>31.119199756384035</v>
      </c>
      <c r="H202" s="93">
        <v>7.860814909282866</v>
      </c>
      <c r="I202" s="93">
        <v>1104.0</v>
      </c>
      <c r="J202" s="93">
        <v>1314.0</v>
      </c>
      <c r="K202" s="93">
        <v>7.959378709</v>
      </c>
    </row>
    <row r="203">
      <c r="A203" s="93">
        <v>171.0</v>
      </c>
      <c r="B203" s="96" t="s">
        <v>43</v>
      </c>
      <c r="C203" s="96" t="s">
        <v>144</v>
      </c>
      <c r="D203" s="96" t="s">
        <v>143</v>
      </c>
      <c r="E203" s="93">
        <v>192.0</v>
      </c>
      <c r="F203" s="93">
        <v>29.69121334</v>
      </c>
      <c r="G203" s="93">
        <v>32.3866361524235</v>
      </c>
      <c r="H203" s="93">
        <v>7.537720366720346</v>
      </c>
      <c r="I203" s="93">
        <v>1241.0</v>
      </c>
      <c r="J203" s="93">
        <v>1433.0</v>
      </c>
      <c r="K203" s="93">
        <v>7.624202218</v>
      </c>
    </row>
    <row r="204">
      <c r="A204" s="93">
        <v>171.0</v>
      </c>
      <c r="B204" s="96" t="s">
        <v>18</v>
      </c>
      <c r="C204" s="96" t="s">
        <v>144</v>
      </c>
      <c r="D204" s="96" t="s">
        <v>143</v>
      </c>
      <c r="E204" s="93">
        <v>122.0</v>
      </c>
      <c r="F204" s="93">
        <v>34.75646282</v>
      </c>
      <c r="G204" s="93">
        <v>36.49129422841022</v>
      </c>
      <c r="H204" s="93">
        <v>6.072217911309145</v>
      </c>
      <c r="I204" s="93">
        <v>1740.0</v>
      </c>
      <c r="J204" s="93">
        <v>1862.0</v>
      </c>
      <c r="K204" s="93">
        <v>6.116301835</v>
      </c>
    </row>
    <row r="205">
      <c r="A205" s="93">
        <v>171.0</v>
      </c>
      <c r="B205" s="96" t="s">
        <v>39</v>
      </c>
      <c r="C205" s="96" t="s">
        <v>144</v>
      </c>
      <c r="D205" s="96" t="s">
        <v>143</v>
      </c>
      <c r="E205" s="93">
        <v>201.0</v>
      </c>
      <c r="F205" s="93">
        <v>26.39882637</v>
      </c>
      <c r="G205" s="93">
        <v>29.21670503675825</v>
      </c>
      <c r="H205" s="93">
        <v>7.702969690444792</v>
      </c>
      <c r="I205" s="93">
        <v>1000.0</v>
      </c>
      <c r="J205" s="93">
        <v>1201.0</v>
      </c>
      <c r="K205" s="93">
        <v>7.795495493</v>
      </c>
    </row>
    <row r="206">
      <c r="A206" s="93">
        <v>171.0</v>
      </c>
      <c r="B206" s="96" t="s">
        <v>67</v>
      </c>
      <c r="C206" s="96" t="s">
        <v>144</v>
      </c>
      <c r="D206" s="96" t="s">
        <v>143</v>
      </c>
      <c r="E206" s="93">
        <v>138.0</v>
      </c>
      <c r="F206" s="93">
        <v>24.43258255</v>
      </c>
      <c r="G206" s="93">
        <v>26.390193210887734</v>
      </c>
      <c r="H206" s="93">
        <v>6.444178415131363</v>
      </c>
      <c r="I206" s="93">
        <v>999.0</v>
      </c>
      <c r="J206" s="93">
        <v>1137.0</v>
      </c>
      <c r="K206" s="93">
        <v>6.49725688</v>
      </c>
    </row>
    <row r="207">
      <c r="A207" s="93">
        <v>171.0</v>
      </c>
      <c r="B207" s="96" t="s">
        <v>22</v>
      </c>
      <c r="C207" s="96" t="s">
        <v>144</v>
      </c>
      <c r="D207" s="96" t="s">
        <v>143</v>
      </c>
      <c r="E207" s="93">
        <v>100.0</v>
      </c>
      <c r="F207" s="93">
        <v>30.51863834</v>
      </c>
      <c r="G207" s="93">
        <v>31.9378344653418</v>
      </c>
      <c r="H207" s="93">
        <v>5.49952997514989</v>
      </c>
      <c r="I207" s="93">
        <v>1511.0</v>
      </c>
      <c r="J207" s="93">
        <v>1611.0</v>
      </c>
      <c r="K207" s="93">
        <v>5.531826742</v>
      </c>
    </row>
    <row r="208">
      <c r="A208" s="93">
        <v>171.0</v>
      </c>
      <c r="B208" s="96" t="s">
        <v>41</v>
      </c>
      <c r="C208" s="96" t="s">
        <v>144</v>
      </c>
      <c r="D208" s="96" t="s">
        <v>143</v>
      </c>
      <c r="E208" s="93">
        <v>129.0</v>
      </c>
      <c r="F208" s="93">
        <v>22.82296536</v>
      </c>
      <c r="G208" s="93">
        <v>24.6434989665686</v>
      </c>
      <c r="H208" s="93">
        <v>6.218115273008031</v>
      </c>
      <c r="I208" s="93">
        <v>913.0</v>
      </c>
      <c r="J208" s="93">
        <v>1042.0</v>
      </c>
      <c r="K208" s="93">
        <v>6.265595501</v>
      </c>
    </row>
    <row r="209">
      <c r="A209" s="93">
        <v>171.0</v>
      </c>
      <c r="B209" s="96" t="s">
        <v>16</v>
      </c>
      <c r="C209" s="96" t="s">
        <v>144</v>
      </c>
      <c r="D209" s="96" t="s">
        <v>143</v>
      </c>
      <c r="E209" s="93">
        <v>100.0</v>
      </c>
      <c r="F209" s="93">
        <v>35.02664392</v>
      </c>
      <c r="G209" s="93">
        <v>36.452941891106356</v>
      </c>
      <c r="H209" s="93">
        <v>5.513105932149407</v>
      </c>
      <c r="I209" s="93">
        <v>1816.0</v>
      </c>
      <c r="J209" s="93">
        <v>1916.0</v>
      </c>
      <c r="K209" s="93">
        <v>5.545654979</v>
      </c>
    </row>
    <row r="210">
      <c r="A210" s="93">
        <v>171.0</v>
      </c>
      <c r="B210" s="96" t="s">
        <v>32</v>
      </c>
      <c r="C210" s="96" t="s">
        <v>144</v>
      </c>
      <c r="D210" s="96" t="s">
        <v>148</v>
      </c>
      <c r="E210" s="93">
        <v>0.0</v>
      </c>
      <c r="F210" s="93" t="s">
        <v>147</v>
      </c>
      <c r="G210" s="93" t="s">
        <v>147</v>
      </c>
      <c r="H210" s="93" t="s">
        <v>147</v>
      </c>
      <c r="I210" s="93" t="s">
        <v>147</v>
      </c>
      <c r="J210" s="93" t="s">
        <v>147</v>
      </c>
      <c r="K210" s="93" t="s">
        <v>147</v>
      </c>
    </row>
    <row r="211">
      <c r="A211" s="93">
        <v>171.0</v>
      </c>
      <c r="B211" s="96" t="s">
        <v>47</v>
      </c>
      <c r="C211" s="96" t="s">
        <v>144</v>
      </c>
      <c r="D211" s="96" t="s">
        <v>143</v>
      </c>
      <c r="E211" s="93">
        <v>105.0</v>
      </c>
      <c r="F211" s="93">
        <v>25.58507205</v>
      </c>
      <c r="G211" s="93">
        <v>27.079055868621072</v>
      </c>
      <c r="H211" s="93">
        <v>5.640773841100661</v>
      </c>
      <c r="I211" s="93">
        <v>1161.0</v>
      </c>
      <c r="J211" s="93">
        <v>1266.0</v>
      </c>
      <c r="K211" s="93">
        <v>5.675757871</v>
      </c>
    </row>
    <row r="212">
      <c r="A212" s="93">
        <v>170.0</v>
      </c>
      <c r="B212" s="96" t="s">
        <v>83</v>
      </c>
      <c r="C212" s="96" t="s">
        <v>142</v>
      </c>
      <c r="D212" s="96" t="s">
        <v>145</v>
      </c>
      <c r="E212" s="93">
        <v>-21.0</v>
      </c>
      <c r="F212" s="93">
        <v>20.89924647</v>
      </c>
      <c r="G212" s="93">
        <v>20.553340088341397</v>
      </c>
      <c r="H212" s="93">
        <v>6.683086780982693</v>
      </c>
      <c r="I212" s="93">
        <v>737.0</v>
      </c>
      <c r="J212" s="93">
        <v>716.0</v>
      </c>
      <c r="K212" s="93">
        <v>6.711608652</v>
      </c>
    </row>
    <row r="213">
      <c r="A213" s="93">
        <v>170.0</v>
      </c>
      <c r="B213" s="96" t="s">
        <v>86</v>
      </c>
      <c r="C213" s="96" t="s">
        <v>142</v>
      </c>
      <c r="D213" s="96" t="s">
        <v>145</v>
      </c>
      <c r="E213" s="93">
        <v>-29.0</v>
      </c>
      <c r="F213" s="93">
        <v>24.5729886</v>
      </c>
      <c r="G213" s="93">
        <v>24.069669215396097</v>
      </c>
      <c r="H213" s="93">
        <v>8.045453231711205</v>
      </c>
      <c r="I213" s="93">
        <v>845.0</v>
      </c>
      <c r="J213" s="93">
        <v>816.0</v>
      </c>
      <c r="K213" s="93">
        <v>8.096256195</v>
      </c>
    </row>
    <row r="214">
      <c r="A214" s="93">
        <v>170.0</v>
      </c>
      <c r="B214" s="96" t="s">
        <v>44</v>
      </c>
      <c r="C214" s="96" t="s">
        <v>142</v>
      </c>
      <c r="D214" s="96" t="s">
        <v>145</v>
      </c>
      <c r="E214" s="93">
        <v>-22.0</v>
      </c>
      <c r="F214" s="93">
        <v>29.3563748</v>
      </c>
      <c r="G214" s="93">
        <v>29.001270688941972</v>
      </c>
      <c r="H214" s="93">
        <v>6.770565991178335</v>
      </c>
      <c r="I214" s="93">
        <v>1303.0</v>
      </c>
      <c r="J214" s="93">
        <v>1281.0</v>
      </c>
      <c r="K214" s="93">
        <v>6.800274389</v>
      </c>
    </row>
    <row r="215">
      <c r="A215" s="93">
        <v>170.0</v>
      </c>
      <c r="B215" s="96" t="s">
        <v>39</v>
      </c>
      <c r="C215" s="96" t="s">
        <v>144</v>
      </c>
      <c r="D215" s="96" t="s">
        <v>143</v>
      </c>
      <c r="E215" s="93">
        <v>37.0</v>
      </c>
      <c r="F215" s="93">
        <v>25.9266705</v>
      </c>
      <c r="G215" s="93">
        <v>26.398826374216696</v>
      </c>
      <c r="H215" s="93">
        <v>7.7954954932285005</v>
      </c>
      <c r="I215" s="93">
        <v>963.0</v>
      </c>
      <c r="J215" s="93">
        <v>1000.0</v>
      </c>
      <c r="K215" s="93">
        <v>7.841568237</v>
      </c>
    </row>
    <row r="216">
      <c r="A216" s="93">
        <v>170.0</v>
      </c>
      <c r="B216" s="96" t="s">
        <v>16</v>
      </c>
      <c r="C216" s="96" t="s">
        <v>144</v>
      </c>
      <c r="D216" s="96" t="s">
        <v>143</v>
      </c>
      <c r="E216" s="93">
        <v>18.0</v>
      </c>
      <c r="F216" s="93">
        <v>34.78911454</v>
      </c>
      <c r="G216" s="93">
        <v>35.02664391717381</v>
      </c>
      <c r="H216" s="93">
        <v>5.545654978851888</v>
      </c>
      <c r="I216" s="93">
        <v>1798.0</v>
      </c>
      <c r="J216" s="93">
        <v>1816.0</v>
      </c>
      <c r="K216" s="93">
        <v>5.561398393</v>
      </c>
    </row>
    <row r="217">
      <c r="A217" s="93">
        <v>170.0</v>
      </c>
      <c r="B217" s="96" t="s">
        <v>18</v>
      </c>
      <c r="C217" s="96" t="s">
        <v>144</v>
      </c>
      <c r="D217" s="96" t="s">
        <v>148</v>
      </c>
      <c r="E217" s="93">
        <v>0.0</v>
      </c>
      <c r="F217" s="93" t="s">
        <v>147</v>
      </c>
      <c r="G217" s="93" t="s">
        <v>147</v>
      </c>
      <c r="H217" s="93" t="s">
        <v>147</v>
      </c>
      <c r="I217" s="93" t="s">
        <v>147</v>
      </c>
      <c r="J217" s="93" t="s">
        <v>147</v>
      </c>
      <c r="K217" s="93" t="s">
        <v>147</v>
      </c>
    </row>
    <row r="218">
      <c r="A218" s="93">
        <v>170.0</v>
      </c>
      <c r="B218" s="96" t="s">
        <v>43</v>
      </c>
      <c r="C218" s="96" t="s">
        <v>144</v>
      </c>
      <c r="D218" s="96" t="s">
        <v>143</v>
      </c>
      <c r="E218" s="93">
        <v>35.0</v>
      </c>
      <c r="F218" s="93">
        <v>29.23981777</v>
      </c>
      <c r="G218" s="93">
        <v>29.69121334351342</v>
      </c>
      <c r="H218" s="93">
        <v>7.624202218017035</v>
      </c>
      <c r="I218" s="93">
        <v>1206.0</v>
      </c>
      <c r="J218" s="93">
        <v>1241.0</v>
      </c>
      <c r="K218" s="93">
        <v>7.667208107</v>
      </c>
    </row>
    <row r="219">
      <c r="A219" s="93">
        <v>170.0</v>
      </c>
      <c r="B219" s="96" t="s">
        <v>32</v>
      </c>
      <c r="C219" s="96" t="s">
        <v>144</v>
      </c>
      <c r="D219" s="96" t="s">
        <v>143</v>
      </c>
      <c r="E219" s="93">
        <v>24.0</v>
      </c>
      <c r="F219" s="93">
        <v>31.81513623</v>
      </c>
      <c r="G219" s="93">
        <v>32.13543884327056</v>
      </c>
      <c r="H219" s="93">
        <v>6.433082078439441</v>
      </c>
      <c r="I219" s="93">
        <v>1505.0</v>
      </c>
      <c r="J219" s="93">
        <v>1529.0</v>
      </c>
      <c r="K219" s="93">
        <v>6.458381948</v>
      </c>
    </row>
    <row r="220">
      <c r="A220" s="93">
        <v>170.0</v>
      </c>
      <c r="B220" s="96" t="s">
        <v>97</v>
      </c>
      <c r="C220" s="96" t="s">
        <v>144</v>
      </c>
      <c r="D220" s="96" t="s">
        <v>148</v>
      </c>
      <c r="E220" s="93">
        <v>0.0</v>
      </c>
      <c r="F220" s="93" t="s">
        <v>147</v>
      </c>
      <c r="G220" s="93" t="s">
        <v>147</v>
      </c>
      <c r="H220" s="93" t="s">
        <v>147</v>
      </c>
      <c r="I220" s="93" t="s">
        <v>147</v>
      </c>
      <c r="J220" s="93" t="s">
        <v>147</v>
      </c>
      <c r="K220" s="93" t="s">
        <v>147</v>
      </c>
    </row>
    <row r="221">
      <c r="A221" s="93">
        <v>170.0</v>
      </c>
      <c r="B221" s="96" t="s">
        <v>33</v>
      </c>
      <c r="C221" s="96" t="s">
        <v>144</v>
      </c>
      <c r="D221" s="96" t="s">
        <v>143</v>
      </c>
      <c r="E221" s="93">
        <v>24.0</v>
      </c>
      <c r="F221" s="93">
        <v>31.12110573</v>
      </c>
      <c r="G221" s="93">
        <v>31.43879250462789</v>
      </c>
      <c r="H221" s="93">
        <v>6.4069719614341345</v>
      </c>
      <c r="I221" s="93">
        <v>1460.0</v>
      </c>
      <c r="J221" s="93">
        <v>1484.0</v>
      </c>
      <c r="K221" s="93">
        <v>6.431949466</v>
      </c>
    </row>
    <row r="222">
      <c r="A222" s="93">
        <v>170.0</v>
      </c>
      <c r="B222" s="96" t="s">
        <v>29</v>
      </c>
      <c r="C222" s="96" t="s">
        <v>144</v>
      </c>
      <c r="D222" s="96" t="s">
        <v>143</v>
      </c>
      <c r="E222" s="93">
        <v>20.0</v>
      </c>
      <c r="F222" s="93">
        <v>31.40505776</v>
      </c>
      <c r="G222" s="93">
        <v>31.67947990399283</v>
      </c>
      <c r="H222" s="93">
        <v>5.9580059335631415</v>
      </c>
      <c r="I222" s="93">
        <v>1526.0</v>
      </c>
      <c r="J222" s="93">
        <v>1546.0</v>
      </c>
      <c r="K222" s="93">
        <v>5.977840967</v>
      </c>
    </row>
    <row r="223">
      <c r="A223" s="93">
        <v>170.0</v>
      </c>
      <c r="B223" s="96" t="s">
        <v>47</v>
      </c>
      <c r="C223" s="96" t="s">
        <v>144</v>
      </c>
      <c r="D223" s="96" t="s">
        <v>143</v>
      </c>
      <c r="E223" s="93">
        <v>19.0</v>
      </c>
      <c r="F223" s="93">
        <v>25.33619544</v>
      </c>
      <c r="G223" s="93">
        <v>25.58507205132034</v>
      </c>
      <c r="H223" s="93">
        <v>5.675757870826008</v>
      </c>
      <c r="I223" s="93">
        <v>1142.0</v>
      </c>
      <c r="J223" s="93">
        <v>1161.0</v>
      </c>
      <c r="K223" s="93">
        <v>5.692729991</v>
      </c>
    </row>
    <row r="224">
      <c r="A224" s="93">
        <v>170.0</v>
      </c>
      <c r="B224" s="96" t="s">
        <v>20</v>
      </c>
      <c r="C224" s="96" t="s">
        <v>144</v>
      </c>
      <c r="D224" s="96" t="s">
        <v>143</v>
      </c>
      <c r="E224" s="93">
        <v>28.0</v>
      </c>
      <c r="F224" s="93">
        <v>36.96472598</v>
      </c>
      <c r="G224" s="93">
        <v>37.3265866536923</v>
      </c>
      <c r="H224" s="93">
        <v>6.834088154599388</v>
      </c>
      <c r="I224" s="93">
        <v>1813.0</v>
      </c>
      <c r="J224" s="93">
        <v>1841.0</v>
      </c>
      <c r="K224" s="93">
        <v>6.864677785</v>
      </c>
    </row>
    <row r="225">
      <c r="A225" s="93">
        <v>170.0</v>
      </c>
      <c r="B225" s="96" t="s">
        <v>42</v>
      </c>
      <c r="C225" s="96" t="s">
        <v>144</v>
      </c>
      <c r="D225" s="96" t="s">
        <v>143</v>
      </c>
      <c r="E225" s="93">
        <v>27.0</v>
      </c>
      <c r="F225" s="93">
        <v>27.76531496</v>
      </c>
      <c r="G225" s="93">
        <v>28.115528652325352</v>
      </c>
      <c r="H225" s="93">
        <v>6.724200248906625</v>
      </c>
      <c r="I225" s="93">
        <v>1199.0</v>
      </c>
      <c r="J225" s="93">
        <v>1226.0</v>
      </c>
      <c r="K225" s="93">
        <v>6.753275883</v>
      </c>
    </row>
    <row r="226">
      <c r="A226" s="93">
        <v>170.0</v>
      </c>
      <c r="B226" s="96" t="s">
        <v>37</v>
      </c>
      <c r="C226" s="96" t="s">
        <v>144</v>
      </c>
      <c r="D226" s="96" t="s">
        <v>143</v>
      </c>
      <c r="E226" s="93">
        <v>35.0</v>
      </c>
      <c r="F226" s="93">
        <v>30.23797578</v>
      </c>
      <c r="G226" s="93">
        <v>30.68593205373798</v>
      </c>
      <c r="H226" s="93">
        <v>7.595433607911517</v>
      </c>
      <c r="I226" s="93">
        <v>1277.0</v>
      </c>
      <c r="J226" s="93">
        <v>1312.0</v>
      </c>
      <c r="K226" s="93">
        <v>7.637938046</v>
      </c>
    </row>
    <row r="227">
      <c r="A227" s="93">
        <v>169.0</v>
      </c>
      <c r="B227" s="96" t="s">
        <v>62</v>
      </c>
      <c r="C227" s="96" t="s">
        <v>142</v>
      </c>
      <c r="D227" s="96" t="s">
        <v>143</v>
      </c>
      <c r="E227" s="93">
        <v>45.0</v>
      </c>
      <c r="F227" s="93">
        <v>24.55908125</v>
      </c>
      <c r="G227" s="93">
        <v>25.128126391365676</v>
      </c>
      <c r="H227" s="93">
        <v>8.226028063224057</v>
      </c>
      <c r="I227" s="93">
        <v>825.0</v>
      </c>
      <c r="J227" s="93">
        <v>870.0</v>
      </c>
      <c r="K227" s="93">
        <v>8.282771424</v>
      </c>
    </row>
    <row r="228">
      <c r="A228" s="93">
        <v>169.0</v>
      </c>
      <c r="B228" s="96" t="s">
        <v>16</v>
      </c>
      <c r="C228" s="96" t="s">
        <v>142</v>
      </c>
      <c r="D228" s="96" t="s">
        <v>143</v>
      </c>
      <c r="E228" s="93">
        <v>19.0</v>
      </c>
      <c r="F228" s="93">
        <v>34.53099143</v>
      </c>
      <c r="G228" s="93">
        <v>34.789114540148574</v>
      </c>
      <c r="H228" s="93">
        <v>5.561398392787234</v>
      </c>
      <c r="I228" s="93">
        <v>1779.0</v>
      </c>
      <c r="J228" s="93">
        <v>1798.0</v>
      </c>
      <c r="K228" s="93">
        <v>5.577988717</v>
      </c>
    </row>
    <row r="229">
      <c r="A229" s="93">
        <v>169.0</v>
      </c>
      <c r="B229" s="96" t="s">
        <v>40</v>
      </c>
      <c r="C229" s="96" t="s">
        <v>142</v>
      </c>
      <c r="D229" s="96" t="s">
        <v>143</v>
      </c>
      <c r="E229" s="93">
        <v>35.0</v>
      </c>
      <c r="F229" s="93">
        <v>29.14914533</v>
      </c>
      <c r="G229" s="93">
        <v>29.602034352857782</v>
      </c>
      <c r="H229" s="93">
        <v>7.34906368997542</v>
      </c>
      <c r="I229" s="93">
        <v>1228.0</v>
      </c>
      <c r="J229" s="93">
        <v>1263.0</v>
      </c>
      <c r="K229" s="93">
        <v>7.389075356</v>
      </c>
    </row>
    <row r="230">
      <c r="A230" s="93">
        <v>169.0</v>
      </c>
      <c r="B230" s="96" t="s">
        <v>44</v>
      </c>
      <c r="C230" s="96" t="s">
        <v>144</v>
      </c>
      <c r="D230" s="96" t="s">
        <v>145</v>
      </c>
      <c r="E230" s="93">
        <v>-23.0</v>
      </c>
      <c r="F230" s="93">
        <v>29.74352657</v>
      </c>
      <c r="G230" s="93">
        <v>29.35637479885259</v>
      </c>
      <c r="H230" s="93">
        <v>6.800274388888681</v>
      </c>
      <c r="I230" s="93">
        <v>1326.0</v>
      </c>
      <c r="J230" s="93">
        <v>1303.0</v>
      </c>
      <c r="K230" s="93">
        <v>6.831688729</v>
      </c>
    </row>
    <row r="231">
      <c r="A231" s="93">
        <v>169.0</v>
      </c>
      <c r="B231" s="96" t="s">
        <v>39</v>
      </c>
      <c r="C231" s="96" t="s">
        <v>144</v>
      </c>
      <c r="D231" s="96" t="s">
        <v>148</v>
      </c>
      <c r="E231" s="93">
        <v>0.0</v>
      </c>
      <c r="F231" s="93" t="s">
        <v>147</v>
      </c>
      <c r="G231" s="93" t="s">
        <v>147</v>
      </c>
      <c r="H231" s="93" t="s">
        <v>147</v>
      </c>
      <c r="I231" s="93" t="s">
        <v>147</v>
      </c>
      <c r="J231" s="93" t="s">
        <v>147</v>
      </c>
      <c r="K231" s="93" t="s">
        <v>147</v>
      </c>
    </row>
    <row r="232">
      <c r="A232" s="93">
        <v>169.0</v>
      </c>
      <c r="B232" s="96" t="s">
        <v>54</v>
      </c>
      <c r="C232" s="96" t="s">
        <v>144</v>
      </c>
      <c r="D232" s="96" t="s">
        <v>145</v>
      </c>
      <c r="E232" s="93">
        <v>-33.0</v>
      </c>
      <c r="F232" s="93">
        <v>24.55908125</v>
      </c>
      <c r="G232" s="93">
        <v>23.990036108634328</v>
      </c>
      <c r="H232" s="93">
        <v>8.226028063224057</v>
      </c>
      <c r="I232" s="93">
        <v>825.0</v>
      </c>
      <c r="J232" s="93">
        <v>792.0</v>
      </c>
      <c r="K232" s="93">
        <v>8.282771424</v>
      </c>
    </row>
    <row r="233">
      <c r="A233" s="93">
        <v>169.0</v>
      </c>
      <c r="B233" s="96" t="s">
        <v>34</v>
      </c>
      <c r="C233" s="96" t="s">
        <v>144</v>
      </c>
      <c r="D233" s="96" t="s">
        <v>145</v>
      </c>
      <c r="E233" s="93">
        <v>-23.0</v>
      </c>
      <c r="F233" s="93">
        <v>30.81815461</v>
      </c>
      <c r="G233" s="93">
        <v>30.446326700102166</v>
      </c>
      <c r="H233" s="93">
        <v>6.665584532654594</v>
      </c>
      <c r="I233" s="93">
        <v>1413.0</v>
      </c>
      <c r="J233" s="93">
        <v>1390.0</v>
      </c>
      <c r="K233" s="93">
        <v>6.695091557</v>
      </c>
    </row>
    <row r="234">
      <c r="A234" s="93">
        <v>169.0</v>
      </c>
      <c r="B234" s="96" t="s">
        <v>50</v>
      </c>
      <c r="C234" s="96" t="s">
        <v>144</v>
      </c>
      <c r="D234" s="96" t="s">
        <v>145</v>
      </c>
      <c r="E234" s="93">
        <v>-24.0</v>
      </c>
      <c r="F234" s="93">
        <v>22.9720317</v>
      </c>
      <c r="G234" s="93">
        <v>22.579996576128114</v>
      </c>
      <c r="H234" s="93">
        <v>6.842618742914734</v>
      </c>
      <c r="I234" s="93">
        <v>861.0</v>
      </c>
      <c r="J234" s="93">
        <v>837.0</v>
      </c>
      <c r="K234" s="93">
        <v>6.874648762</v>
      </c>
    </row>
    <row r="235">
      <c r="A235" s="93">
        <v>169.0</v>
      </c>
      <c r="B235" s="96" t="s">
        <v>30</v>
      </c>
      <c r="C235" s="96" t="s">
        <v>144</v>
      </c>
      <c r="D235" s="96" t="s">
        <v>145</v>
      </c>
      <c r="E235" s="93">
        <v>-31.0</v>
      </c>
      <c r="F235" s="93">
        <v>25.78132978</v>
      </c>
      <c r="G235" s="93">
        <v>25.252787793812036</v>
      </c>
      <c r="H235" s="93">
        <v>7.9318175630101155</v>
      </c>
      <c r="I235" s="93">
        <v>939.0</v>
      </c>
      <c r="J235" s="93">
        <v>908.0</v>
      </c>
      <c r="K235" s="93">
        <v>7.982513052</v>
      </c>
    </row>
    <row r="236">
      <c r="A236" s="93">
        <v>169.0</v>
      </c>
      <c r="B236" s="96" t="s">
        <v>22</v>
      </c>
      <c r="C236" s="96" t="s">
        <v>144</v>
      </c>
      <c r="D236" s="96" t="s">
        <v>145</v>
      </c>
      <c r="E236" s="93">
        <v>-16.0</v>
      </c>
      <c r="F236" s="93">
        <v>30.77400654</v>
      </c>
      <c r="G236" s="93">
        <v>30.51863833679345</v>
      </c>
      <c r="H236" s="93">
        <v>5.531826741778758</v>
      </c>
      <c r="I236" s="93">
        <v>1527.0</v>
      </c>
      <c r="J236" s="93">
        <v>1511.0</v>
      </c>
      <c r="K236" s="93">
        <v>5.548132755</v>
      </c>
    </row>
    <row r="237">
      <c r="A237" s="93">
        <v>169.0</v>
      </c>
      <c r="B237" s="96" t="s">
        <v>26</v>
      </c>
      <c r="C237" s="96" t="s">
        <v>144</v>
      </c>
      <c r="D237" s="96" t="s">
        <v>148</v>
      </c>
      <c r="E237" s="93">
        <v>0.0</v>
      </c>
      <c r="F237" s="93" t="s">
        <v>147</v>
      </c>
      <c r="G237" s="93" t="s">
        <v>147</v>
      </c>
      <c r="H237" s="93" t="s">
        <v>147</v>
      </c>
      <c r="I237" s="93" t="s">
        <v>147</v>
      </c>
      <c r="J237" s="93" t="s">
        <v>147</v>
      </c>
      <c r="K237" s="93" t="s">
        <v>147</v>
      </c>
    </row>
    <row r="238">
      <c r="A238" s="93">
        <v>169.0</v>
      </c>
      <c r="B238" s="96" t="s">
        <v>24</v>
      </c>
      <c r="C238" s="96" t="s">
        <v>144</v>
      </c>
      <c r="D238" s="96" t="s">
        <v>145</v>
      </c>
      <c r="E238" s="93">
        <v>-19.0</v>
      </c>
      <c r="F238" s="93">
        <v>31.15093985</v>
      </c>
      <c r="G238" s="93">
        <v>30.8477461117718</v>
      </c>
      <c r="H238" s="93">
        <v>6.024093905820976</v>
      </c>
      <c r="I238" s="93">
        <v>1502.0</v>
      </c>
      <c r="J238" s="93">
        <v>1483.0</v>
      </c>
      <c r="K238" s="93">
        <v>6.045534098</v>
      </c>
    </row>
    <row r="239">
      <c r="A239" s="93">
        <v>169.0</v>
      </c>
      <c r="B239" s="96" t="s">
        <v>41</v>
      </c>
      <c r="C239" s="96" t="s">
        <v>144</v>
      </c>
      <c r="D239" s="96" t="s">
        <v>145</v>
      </c>
      <c r="E239" s="93">
        <v>-20.0</v>
      </c>
      <c r="F239" s="93">
        <v>23.15115642</v>
      </c>
      <c r="G239" s="93">
        <v>22.822965362065453</v>
      </c>
      <c r="H239" s="93">
        <v>6.265595500884816</v>
      </c>
      <c r="I239" s="93">
        <v>933.0</v>
      </c>
      <c r="J239" s="93">
        <v>913.0</v>
      </c>
      <c r="K239" s="93">
        <v>6.289881426</v>
      </c>
    </row>
    <row r="240">
      <c r="A240" s="93">
        <v>169.0</v>
      </c>
      <c r="B240" s="96" t="s">
        <v>33</v>
      </c>
      <c r="C240" s="96" t="s">
        <v>144</v>
      </c>
      <c r="D240" s="96" t="s">
        <v>145</v>
      </c>
      <c r="E240" s="93">
        <v>-21.0</v>
      </c>
      <c r="F240" s="93">
        <v>31.46710595</v>
      </c>
      <c r="G240" s="93">
        <v>31.1211057297981</v>
      </c>
      <c r="H240" s="93">
        <v>6.43194946598247</v>
      </c>
      <c r="I240" s="93">
        <v>1481.0</v>
      </c>
      <c r="J240" s="93">
        <v>1460.0</v>
      </c>
      <c r="K240" s="93">
        <v>6.45832802</v>
      </c>
    </row>
    <row r="241">
      <c r="A241" s="93">
        <v>169.0</v>
      </c>
      <c r="B241" s="96" t="s">
        <v>68</v>
      </c>
      <c r="C241" s="96" t="s">
        <v>144</v>
      </c>
      <c r="D241" s="96" t="s">
        <v>145</v>
      </c>
      <c r="E241" s="93">
        <v>-32.0</v>
      </c>
      <c r="F241" s="93">
        <v>25.02605155</v>
      </c>
      <c r="G241" s="93">
        <v>24.46438560424182</v>
      </c>
      <c r="H241" s="93">
        <v>8.173259130809527</v>
      </c>
      <c r="I241" s="93">
        <v>862.0</v>
      </c>
      <c r="J241" s="93">
        <v>830.0</v>
      </c>
      <c r="K241" s="93">
        <v>8.228884135</v>
      </c>
    </row>
    <row r="242">
      <c r="A242" s="93">
        <v>168.0</v>
      </c>
      <c r="B242" s="96" t="s">
        <v>34</v>
      </c>
      <c r="C242" s="96" t="s">
        <v>142</v>
      </c>
      <c r="D242" s="96" t="s">
        <v>143</v>
      </c>
      <c r="E242" s="93">
        <v>22.0</v>
      </c>
      <c r="F242" s="93">
        <v>30.53131198</v>
      </c>
      <c r="G242" s="93">
        <v>30.818154609080008</v>
      </c>
      <c r="H242" s="93">
        <v>6.695091556783365</v>
      </c>
      <c r="I242" s="93">
        <v>1391.0</v>
      </c>
      <c r="J242" s="93">
        <v>1413.0</v>
      </c>
      <c r="K242" s="93">
        <v>6.721164439</v>
      </c>
    </row>
    <row r="243">
      <c r="A243" s="93">
        <v>168.0</v>
      </c>
      <c r="B243" s="96" t="s">
        <v>44</v>
      </c>
      <c r="C243" s="96" t="s">
        <v>142</v>
      </c>
      <c r="D243" s="96" t="s">
        <v>143</v>
      </c>
      <c r="E243" s="93">
        <v>23.0</v>
      </c>
      <c r="F243" s="93">
        <v>29.44476019</v>
      </c>
      <c r="G243" s="93">
        <v>29.74352657337689</v>
      </c>
      <c r="H243" s="93">
        <v>6.831688729056958</v>
      </c>
      <c r="I243" s="93">
        <v>1303.0</v>
      </c>
      <c r="J243" s="93">
        <v>1326.0</v>
      </c>
      <c r="K243" s="93">
        <v>6.859468358</v>
      </c>
    </row>
    <row r="244">
      <c r="A244" s="93">
        <v>168.0</v>
      </c>
      <c r="B244" s="96" t="s">
        <v>22</v>
      </c>
      <c r="C244" s="96" t="s">
        <v>142</v>
      </c>
      <c r="D244" s="96" t="s">
        <v>143</v>
      </c>
      <c r="E244" s="93">
        <v>15.0</v>
      </c>
      <c r="F244" s="93">
        <v>30.57752236</v>
      </c>
      <c r="G244" s="93">
        <v>30.774006539297613</v>
      </c>
      <c r="H244" s="93">
        <v>5.548132755107356</v>
      </c>
      <c r="I244" s="93">
        <v>1512.0</v>
      </c>
      <c r="J244" s="93">
        <v>1527.0</v>
      </c>
      <c r="K244" s="93">
        <v>5.56242746</v>
      </c>
    </row>
    <row r="245">
      <c r="A245" s="93">
        <v>168.0</v>
      </c>
      <c r="B245" s="96" t="s">
        <v>62</v>
      </c>
      <c r="C245" s="96" t="s">
        <v>144</v>
      </c>
      <c r="D245" s="96" t="s">
        <v>145</v>
      </c>
      <c r="E245" s="93">
        <v>-25.0</v>
      </c>
      <c r="F245" s="93">
        <v>25.0</v>
      </c>
      <c r="G245" s="93">
        <v>24.559081250543954</v>
      </c>
      <c r="H245" s="93">
        <v>8.28277142412215</v>
      </c>
      <c r="I245" s="93">
        <v>850.0</v>
      </c>
      <c r="J245" s="93">
        <v>825.0</v>
      </c>
      <c r="K245" s="93">
        <v>8.333333333333334</v>
      </c>
    </row>
    <row r="246">
      <c r="A246" s="93">
        <v>168.0</v>
      </c>
      <c r="B246" s="96" t="s">
        <v>50</v>
      </c>
      <c r="C246" s="96" t="s">
        <v>144</v>
      </c>
      <c r="D246" s="96" t="s">
        <v>148</v>
      </c>
      <c r="E246" s="93">
        <v>0.0</v>
      </c>
      <c r="F246" s="93" t="s">
        <v>147</v>
      </c>
      <c r="G246" s="93" t="s">
        <v>147</v>
      </c>
      <c r="H246" s="93" t="s">
        <v>147</v>
      </c>
      <c r="I246" s="93" t="s">
        <v>147</v>
      </c>
      <c r="J246" s="93" t="s">
        <v>147</v>
      </c>
      <c r="K246" s="93" t="s">
        <v>147</v>
      </c>
    </row>
    <row r="247">
      <c r="A247" s="93">
        <v>168.0</v>
      </c>
      <c r="B247" s="96" t="s">
        <v>33</v>
      </c>
      <c r="C247" s="96" t="s">
        <v>144</v>
      </c>
      <c r="D247" s="96" t="s">
        <v>145</v>
      </c>
      <c r="E247" s="93">
        <v>-16.0</v>
      </c>
      <c r="F247" s="93">
        <v>31.73386975</v>
      </c>
      <c r="G247" s="93">
        <v>31.467105947602146</v>
      </c>
      <c r="H247" s="93">
        <v>6.4583280202060145</v>
      </c>
      <c r="I247" s="93">
        <v>1497.0</v>
      </c>
      <c r="J247" s="93">
        <v>1481.0</v>
      </c>
      <c r="K247" s="93">
        <v>6.481604169</v>
      </c>
    </row>
    <row r="248">
      <c r="A248" s="93">
        <v>168.0</v>
      </c>
      <c r="B248" s="96" t="s">
        <v>16</v>
      </c>
      <c r="C248" s="96" t="s">
        <v>144</v>
      </c>
      <c r="D248" s="96" t="s">
        <v>145</v>
      </c>
      <c r="E248" s="93">
        <v>-12.0</v>
      </c>
      <c r="F248" s="93">
        <v>34.72960779</v>
      </c>
      <c r="G248" s="93">
        <v>34.530991434038135</v>
      </c>
      <c r="H248" s="93">
        <v>5.577988716634797</v>
      </c>
      <c r="I248" s="93">
        <v>1791.0</v>
      </c>
      <c r="J248" s="93">
        <v>1779.0</v>
      </c>
      <c r="K248" s="93">
        <v>5.592536471</v>
      </c>
    </row>
    <row r="249">
      <c r="A249" s="93">
        <v>168.0</v>
      </c>
      <c r="B249" s="96" t="s">
        <v>39</v>
      </c>
      <c r="C249" s="96" t="s">
        <v>144</v>
      </c>
      <c r="D249" s="96" t="s">
        <v>145</v>
      </c>
      <c r="E249" s="93">
        <v>-23.0</v>
      </c>
      <c r="F249" s="93">
        <v>26.32135411</v>
      </c>
      <c r="G249" s="93">
        <v>25.92667049617405</v>
      </c>
      <c r="H249" s="93">
        <v>7.841568236885126</v>
      </c>
      <c r="I249" s="93">
        <v>986.0</v>
      </c>
      <c r="J249" s="93">
        <v>963.0</v>
      </c>
      <c r="K249" s="93">
        <v>7.884249431</v>
      </c>
    </row>
    <row r="250">
      <c r="A250" s="93">
        <v>168.0</v>
      </c>
      <c r="B250" s="96" t="s">
        <v>38</v>
      </c>
      <c r="C250" s="96" t="s">
        <v>144</v>
      </c>
      <c r="D250" s="96" t="s">
        <v>145</v>
      </c>
      <c r="E250" s="93">
        <v>-12.0</v>
      </c>
      <c r="F250" s="93">
        <v>25.29402571</v>
      </c>
      <c r="G250" s="93">
        <v>25.094067107058567</v>
      </c>
      <c r="H250" s="93">
        <v>5.596700118000547</v>
      </c>
      <c r="I250" s="93">
        <v>1148.0</v>
      </c>
      <c r="J250" s="93">
        <v>1136.0</v>
      </c>
      <c r="K250" s="93">
        <v>5.611407821</v>
      </c>
    </row>
    <row r="251">
      <c r="A251" s="93">
        <v>168.0</v>
      </c>
      <c r="B251" s="96" t="s">
        <v>54</v>
      </c>
      <c r="C251" s="96" t="s">
        <v>144</v>
      </c>
      <c r="D251" s="96" t="s">
        <v>145</v>
      </c>
      <c r="E251" s="93">
        <v>-25.0</v>
      </c>
      <c r="F251" s="93">
        <v>25.0</v>
      </c>
      <c r="G251" s="93">
        <v>24.559081250543954</v>
      </c>
      <c r="H251" s="93">
        <v>8.28277142412215</v>
      </c>
      <c r="I251" s="93">
        <v>850.0</v>
      </c>
      <c r="J251" s="93">
        <v>825.0</v>
      </c>
      <c r="K251" s="93">
        <v>8.333333333333334</v>
      </c>
    </row>
    <row r="252">
      <c r="A252" s="93">
        <v>168.0</v>
      </c>
      <c r="B252" s="96" t="s">
        <v>30</v>
      </c>
      <c r="C252" s="96" t="s">
        <v>144</v>
      </c>
      <c r="D252" s="96" t="s">
        <v>145</v>
      </c>
      <c r="E252" s="93">
        <v>-23.0</v>
      </c>
      <c r="F252" s="93">
        <v>26.19049536</v>
      </c>
      <c r="G252" s="93">
        <v>25.781329783536425</v>
      </c>
      <c r="H252" s="93">
        <v>7.982513051853022</v>
      </c>
      <c r="I252" s="93">
        <v>962.0</v>
      </c>
      <c r="J252" s="93">
        <v>939.0</v>
      </c>
      <c r="K252" s="93">
        <v>8.02761597</v>
      </c>
    </row>
    <row r="253">
      <c r="A253" s="93">
        <v>168.0</v>
      </c>
      <c r="B253" s="96" t="s">
        <v>26</v>
      </c>
      <c r="C253" s="96" t="s">
        <v>144</v>
      </c>
      <c r="D253" s="96" t="s">
        <v>148</v>
      </c>
      <c r="E253" s="93">
        <v>0.0</v>
      </c>
      <c r="F253" s="93" t="s">
        <v>147</v>
      </c>
      <c r="G253" s="93" t="s">
        <v>147</v>
      </c>
      <c r="H253" s="93" t="s">
        <v>147</v>
      </c>
      <c r="I253" s="93" t="s">
        <v>147</v>
      </c>
      <c r="J253" s="93" t="s">
        <v>147</v>
      </c>
      <c r="K253" s="93" t="s">
        <v>147</v>
      </c>
    </row>
    <row r="254">
      <c r="A254" s="93">
        <v>168.0</v>
      </c>
      <c r="B254" s="96" t="s">
        <v>41</v>
      </c>
      <c r="C254" s="96" t="s">
        <v>144</v>
      </c>
      <c r="D254" s="96" t="s">
        <v>145</v>
      </c>
      <c r="E254" s="93">
        <v>-15.0</v>
      </c>
      <c r="F254" s="93">
        <v>23.40408834</v>
      </c>
      <c r="G254" s="93">
        <v>23.15115641846404</v>
      </c>
      <c r="H254" s="93">
        <v>6.28988142603948</v>
      </c>
      <c r="I254" s="93">
        <v>948.0</v>
      </c>
      <c r="J254" s="93">
        <v>933.0</v>
      </c>
      <c r="K254" s="93">
        <v>6.311288757</v>
      </c>
    </row>
    <row r="255">
      <c r="A255" s="93">
        <v>168.0</v>
      </c>
      <c r="B255" s="96" t="s">
        <v>97</v>
      </c>
      <c r="C255" s="96" t="s">
        <v>144</v>
      </c>
      <c r="D255" s="96" t="s">
        <v>145</v>
      </c>
      <c r="E255" s="93">
        <v>-14.0</v>
      </c>
      <c r="F255" s="93">
        <v>22.91048844</v>
      </c>
      <c r="G255" s="93">
        <v>22.67846048030194</v>
      </c>
      <c r="H255" s="93">
        <v>6.026118456209428</v>
      </c>
      <c r="I255" s="93">
        <v>941.0</v>
      </c>
      <c r="J255" s="93">
        <v>927.0</v>
      </c>
      <c r="K255" s="93">
        <v>6.044793623</v>
      </c>
    </row>
    <row r="256">
      <c r="A256" s="93">
        <v>168.0</v>
      </c>
      <c r="B256" s="96" t="s">
        <v>21</v>
      </c>
      <c r="C256" s="96" t="s">
        <v>144</v>
      </c>
      <c r="D256" s="96" t="s">
        <v>145</v>
      </c>
      <c r="E256" s="93">
        <v>-18.0</v>
      </c>
      <c r="F256" s="93">
        <v>34.25928862</v>
      </c>
      <c r="G256" s="93">
        <v>33.954720922147736</v>
      </c>
      <c r="H256" s="93">
        <v>6.897137101816092</v>
      </c>
      <c r="I256" s="93">
        <v>1623.0</v>
      </c>
      <c r="J256" s="93">
        <v>1605.0</v>
      </c>
      <c r="K256" s="93">
        <v>6.925759262</v>
      </c>
    </row>
    <row r="257">
      <c r="A257" s="93">
        <v>167.0</v>
      </c>
      <c r="B257" s="96" t="s">
        <v>24</v>
      </c>
      <c r="C257" s="96" t="s">
        <v>142</v>
      </c>
      <c r="D257" s="96" t="s">
        <v>143</v>
      </c>
      <c r="E257" s="93">
        <v>40.0</v>
      </c>
      <c r="F257" s="93">
        <v>30.61001137</v>
      </c>
      <c r="G257" s="93">
        <v>31.150939849073634</v>
      </c>
      <c r="H257" s="93">
        <v>6.0455340981188055</v>
      </c>
      <c r="I257" s="93">
        <v>1462.0</v>
      </c>
      <c r="J257" s="93">
        <v>1502.0</v>
      </c>
      <c r="K257" s="93">
        <v>6.075573698</v>
      </c>
    </row>
    <row r="258">
      <c r="A258" s="93">
        <v>167.0</v>
      </c>
      <c r="B258" s="96" t="s">
        <v>44</v>
      </c>
      <c r="C258" s="96" t="s">
        <v>142</v>
      </c>
      <c r="D258" s="96" t="s">
        <v>143</v>
      </c>
      <c r="E258" s="93">
        <v>52.0</v>
      </c>
      <c r="F258" s="93">
        <v>28.7462897</v>
      </c>
      <c r="G258" s="93">
        <v>29.444760188271033</v>
      </c>
      <c r="H258" s="93">
        <v>6.859468358496736</v>
      </c>
      <c r="I258" s="93">
        <v>1251.0</v>
      </c>
      <c r="J258" s="93">
        <v>1303.0</v>
      </c>
      <c r="K258" s="93">
        <v>6.904061775</v>
      </c>
    </row>
    <row r="259">
      <c r="A259" s="93">
        <v>167.0</v>
      </c>
      <c r="B259" s="96" t="s">
        <v>50</v>
      </c>
      <c r="C259" s="96" t="s">
        <v>142</v>
      </c>
      <c r="D259" s="96" t="s">
        <v>143</v>
      </c>
      <c r="E259" s="93">
        <v>52.0</v>
      </c>
      <c r="F259" s="93">
        <v>22.27042451</v>
      </c>
      <c r="G259" s="93">
        <v>22.972031700332533</v>
      </c>
      <c r="H259" s="93">
        <v>6.874648762033343</v>
      </c>
      <c r="I259" s="93">
        <v>809.0</v>
      </c>
      <c r="J259" s="93">
        <v>861.0</v>
      </c>
      <c r="K259" s="93">
        <v>6.919550088</v>
      </c>
    </row>
    <row r="260">
      <c r="A260" s="93">
        <v>167.0</v>
      </c>
      <c r="B260" s="96" t="s">
        <v>86</v>
      </c>
      <c r="C260" s="96" t="s">
        <v>144</v>
      </c>
      <c r="D260" s="96" t="s">
        <v>145</v>
      </c>
      <c r="E260" s="93">
        <v>-59.0</v>
      </c>
      <c r="F260" s="93">
        <v>25.55123421</v>
      </c>
      <c r="G260" s="93">
        <v>24.572988601557768</v>
      </c>
      <c r="H260" s="93">
        <v>8.096256195461915</v>
      </c>
      <c r="I260" s="93">
        <v>904.0</v>
      </c>
      <c r="J260" s="93">
        <v>845.0</v>
      </c>
      <c r="K260" s="93">
        <v>8.170857191</v>
      </c>
    </row>
    <row r="261">
      <c r="A261" s="93">
        <v>167.0</v>
      </c>
      <c r="B261" s="96" t="s">
        <v>41</v>
      </c>
      <c r="C261" s="96" t="s">
        <v>144</v>
      </c>
      <c r="D261" s="96" t="s">
        <v>145</v>
      </c>
      <c r="E261" s="93">
        <v>-36.0</v>
      </c>
      <c r="F261" s="93">
        <v>23.99416811</v>
      </c>
      <c r="G261" s="93">
        <v>23.404088344122275</v>
      </c>
      <c r="H261" s="93">
        <v>6.311288756970873</v>
      </c>
      <c r="I261" s="93">
        <v>984.0</v>
      </c>
      <c r="J261" s="93">
        <v>948.0</v>
      </c>
      <c r="K261" s="93">
        <v>6.345672161</v>
      </c>
    </row>
    <row r="262">
      <c r="A262" s="93">
        <v>167.0</v>
      </c>
      <c r="B262" s="96" t="s">
        <v>38</v>
      </c>
      <c r="C262" s="96" t="s">
        <v>144</v>
      </c>
      <c r="D262" s="96" t="s">
        <v>145</v>
      </c>
      <c r="E262" s="93">
        <v>-29.0</v>
      </c>
      <c r="F262" s="93">
        <v>25.75939059</v>
      </c>
      <c r="G262" s="93">
        <v>25.294025706878738</v>
      </c>
      <c r="H262" s="93">
        <v>5.611407821020629</v>
      </c>
      <c r="I262" s="93">
        <v>1177.0</v>
      </c>
      <c r="J262" s="93">
        <v>1148.0</v>
      </c>
      <c r="K262" s="93">
        <v>5.635138849</v>
      </c>
    </row>
    <row r="263">
      <c r="A263" s="93">
        <v>167.0</v>
      </c>
      <c r="B263" s="96" t="s">
        <v>146</v>
      </c>
      <c r="C263" s="96" t="s">
        <v>144</v>
      </c>
      <c r="D263" s="96" t="s">
        <v>146</v>
      </c>
      <c r="E263" s="93">
        <v>0.0</v>
      </c>
      <c r="F263" s="93" t="s">
        <v>147</v>
      </c>
      <c r="G263" s="93" t="s">
        <v>147</v>
      </c>
      <c r="H263" s="93" t="s">
        <v>147</v>
      </c>
      <c r="I263" s="93" t="s">
        <v>147</v>
      </c>
      <c r="J263" s="93" t="s">
        <v>147</v>
      </c>
      <c r="K263" s="93" t="s">
        <v>147</v>
      </c>
    </row>
    <row r="264">
      <c r="A264" s="93">
        <v>167.0</v>
      </c>
      <c r="B264" s="96" t="s">
        <v>22</v>
      </c>
      <c r="C264" s="96" t="s">
        <v>144</v>
      </c>
      <c r="D264" s="96" t="s">
        <v>145</v>
      </c>
      <c r="E264" s="93">
        <v>-29.0</v>
      </c>
      <c r="F264" s="93">
        <v>31.03472814</v>
      </c>
      <c r="G264" s="93">
        <v>30.577522362293983</v>
      </c>
      <c r="H264" s="93">
        <v>5.5624274602463615</v>
      </c>
      <c r="I264" s="93">
        <v>1541.0</v>
      </c>
      <c r="J264" s="93">
        <v>1512.0</v>
      </c>
      <c r="K264" s="93">
        <v>5.585505093</v>
      </c>
    </row>
    <row r="265">
      <c r="A265" s="93">
        <v>167.0</v>
      </c>
      <c r="B265" s="96" t="s">
        <v>46</v>
      </c>
      <c r="C265" s="96" t="s">
        <v>144</v>
      </c>
      <c r="D265" s="96" t="s">
        <v>145</v>
      </c>
      <c r="E265" s="93">
        <v>-45.0</v>
      </c>
      <c r="F265" s="93">
        <v>27.1697936</v>
      </c>
      <c r="G265" s="93">
        <v>26.42732039942158</v>
      </c>
      <c r="H265" s="93">
        <v>7.069283348744652</v>
      </c>
      <c r="I265" s="93">
        <v>1121.0</v>
      </c>
      <c r="J265" s="93">
        <v>1076.0</v>
      </c>
      <c r="K265" s="93">
        <v>7.118258071</v>
      </c>
    </row>
    <row r="266">
      <c r="A266" s="93">
        <v>167.0</v>
      </c>
      <c r="B266" s="96" t="s">
        <v>78</v>
      </c>
      <c r="C266" s="96" t="s">
        <v>144</v>
      </c>
      <c r="D266" s="96" t="s">
        <v>145</v>
      </c>
      <c r="E266" s="93">
        <v>-58.0</v>
      </c>
      <c r="F266" s="93">
        <v>27.14565446</v>
      </c>
      <c r="G266" s="93">
        <v>26.1876912930609</v>
      </c>
      <c r="H266" s="93">
        <v>8.013434962432159</v>
      </c>
      <c r="I266" s="93">
        <v>1021.0</v>
      </c>
      <c r="J266" s="93">
        <v>963.0</v>
      </c>
      <c r="K266" s="93">
        <v>8.085695524</v>
      </c>
    </row>
    <row r="267">
      <c r="A267" s="93">
        <v>167.0</v>
      </c>
      <c r="B267" s="96" t="s">
        <v>146</v>
      </c>
      <c r="C267" s="96" t="s">
        <v>144</v>
      </c>
      <c r="D267" s="96" t="s">
        <v>146</v>
      </c>
      <c r="E267" s="93">
        <v>0.0</v>
      </c>
      <c r="F267" s="93" t="s">
        <v>147</v>
      </c>
      <c r="G267" s="93" t="s">
        <v>147</v>
      </c>
      <c r="H267" s="93" t="s">
        <v>147</v>
      </c>
      <c r="I267" s="93" t="s">
        <v>147</v>
      </c>
      <c r="J267" s="93" t="s">
        <v>147</v>
      </c>
      <c r="K267" s="93" t="s">
        <v>147</v>
      </c>
    </row>
    <row r="268">
      <c r="A268" s="93">
        <v>167.0</v>
      </c>
      <c r="B268" s="96" t="s">
        <v>91</v>
      </c>
      <c r="C268" s="96" t="s">
        <v>144</v>
      </c>
      <c r="D268" s="96" t="s">
        <v>145</v>
      </c>
      <c r="E268" s="93">
        <v>-60.0</v>
      </c>
      <c r="F268" s="93">
        <v>26.53043913</v>
      </c>
      <c r="G268" s="93">
        <v>25.535584303202267</v>
      </c>
      <c r="H268" s="93">
        <v>8.163404472468292</v>
      </c>
      <c r="I268" s="93">
        <v>964.0</v>
      </c>
      <c r="J268" s="93">
        <v>904.0</v>
      </c>
      <c r="K268" s="93">
        <v>8.239940302</v>
      </c>
    </row>
    <row r="269">
      <c r="A269" s="93">
        <v>167.0</v>
      </c>
      <c r="B269" s="96" t="s">
        <v>121</v>
      </c>
      <c r="C269" s="96" t="s">
        <v>144</v>
      </c>
      <c r="D269" s="96" t="s">
        <v>145</v>
      </c>
      <c r="E269" s="93">
        <v>-61.0</v>
      </c>
      <c r="F269" s="93">
        <v>25.0</v>
      </c>
      <c r="G269" s="93">
        <v>23.98246896717071</v>
      </c>
      <c r="H269" s="93">
        <v>8.254129612498897</v>
      </c>
      <c r="I269" s="93">
        <v>850.0</v>
      </c>
      <c r="J269" s="93">
        <v>789.0</v>
      </c>
      <c r="K269" s="93">
        <v>8.333333333333334</v>
      </c>
    </row>
    <row r="270">
      <c r="A270" s="93">
        <v>167.0</v>
      </c>
      <c r="B270" s="96" t="s">
        <v>27</v>
      </c>
      <c r="C270" s="96" t="s">
        <v>144</v>
      </c>
      <c r="D270" s="96" t="s">
        <v>145</v>
      </c>
      <c r="E270" s="93">
        <v>-35.0</v>
      </c>
      <c r="F270" s="93">
        <v>34.53298149</v>
      </c>
      <c r="G270" s="93">
        <v>33.96774950704659</v>
      </c>
      <c r="H270" s="93">
        <v>6.1784313662620365</v>
      </c>
      <c r="I270" s="93">
        <v>1715.0</v>
      </c>
      <c r="J270" s="93">
        <v>1680.0</v>
      </c>
      <c r="K270" s="93">
        <v>6.21059577</v>
      </c>
    </row>
    <row r="271">
      <c r="A271" s="93">
        <v>167.0</v>
      </c>
      <c r="B271" s="96" t="s">
        <v>17</v>
      </c>
      <c r="C271" s="96" t="s">
        <v>144</v>
      </c>
      <c r="D271" s="96" t="s">
        <v>145</v>
      </c>
      <c r="E271" s="93">
        <v>-34.0</v>
      </c>
      <c r="F271" s="93">
        <v>33.30852624</v>
      </c>
      <c r="G271" s="93">
        <v>32.76378122658064</v>
      </c>
      <c r="H271" s="93">
        <v>6.066604739956121</v>
      </c>
      <c r="I271" s="93">
        <v>1643.0</v>
      </c>
      <c r="J271" s="93">
        <v>1609.0</v>
      </c>
      <c r="K271" s="93">
        <v>6.096974992</v>
      </c>
    </row>
    <row r="272">
      <c r="A272" s="93">
        <v>166.0</v>
      </c>
      <c r="B272" s="96" t="s">
        <v>67</v>
      </c>
      <c r="C272" s="96" t="s">
        <v>142</v>
      </c>
      <c r="D272" s="96" t="s">
        <v>145</v>
      </c>
      <c r="E272" s="93">
        <v>-96.0</v>
      </c>
      <c r="F272" s="93">
        <v>25.91928887</v>
      </c>
      <c r="G272" s="93">
        <v>24.43258255260223</v>
      </c>
      <c r="H272" s="93">
        <v>6.497256879994643</v>
      </c>
      <c r="I272" s="93">
        <v>1095.0</v>
      </c>
      <c r="J272" s="93">
        <v>999.0</v>
      </c>
      <c r="K272" s="93">
        <v>6.549054275</v>
      </c>
    </row>
    <row r="273">
      <c r="A273" s="93">
        <v>166.0</v>
      </c>
      <c r="B273" s="96" t="s">
        <v>23</v>
      </c>
      <c r="C273" s="96" t="s">
        <v>142</v>
      </c>
      <c r="D273" s="96" t="s">
        <v>145</v>
      </c>
      <c r="E273" s="93">
        <v>-70.0</v>
      </c>
      <c r="F273" s="93">
        <v>36.59845965</v>
      </c>
      <c r="G273" s="93">
        <v>35.518484984448875</v>
      </c>
      <c r="H273" s="93">
        <v>5.549925399449744</v>
      </c>
      <c r="I273" s="93">
        <v>1919.0</v>
      </c>
      <c r="J273" s="93">
        <v>1849.0</v>
      </c>
      <c r="K273" s="93">
        <v>5.581535764</v>
      </c>
    </row>
    <row r="274">
      <c r="A274" s="93">
        <v>166.0</v>
      </c>
      <c r="B274" s="96" t="s">
        <v>16</v>
      </c>
      <c r="C274" s="96" t="s">
        <v>142</v>
      </c>
      <c r="D274" s="96" t="s">
        <v>145</v>
      </c>
      <c r="E274" s="93">
        <v>-71.0</v>
      </c>
      <c r="F274" s="93">
        <v>35.82643075</v>
      </c>
      <c r="G274" s="93">
        <v>34.72960779160362</v>
      </c>
      <c r="H274" s="93">
        <v>5.592536470917456</v>
      </c>
      <c r="I274" s="93">
        <v>1862.0</v>
      </c>
      <c r="J274" s="93">
        <v>1791.0</v>
      </c>
      <c r="K274" s="93">
        <v>5.624918896</v>
      </c>
    </row>
    <row r="275">
      <c r="A275" s="93">
        <v>166.0</v>
      </c>
      <c r="B275" s="96" t="s">
        <v>21</v>
      </c>
      <c r="C275" s="96" t="s">
        <v>144</v>
      </c>
      <c r="D275" s="96" t="s">
        <v>143</v>
      </c>
      <c r="E275" s="93">
        <v>121.0</v>
      </c>
      <c r="F275" s="93">
        <v>32.5661973</v>
      </c>
      <c r="G275" s="93">
        <v>34.25928862027372</v>
      </c>
      <c r="H275" s="93">
        <v>6.925759262384262</v>
      </c>
      <c r="I275" s="93">
        <v>1502.0</v>
      </c>
      <c r="J275" s="93">
        <v>1623.0</v>
      </c>
      <c r="K275" s="93">
        <v>6.988956853</v>
      </c>
    </row>
    <row r="276">
      <c r="A276" s="93">
        <v>166.0</v>
      </c>
      <c r="B276" s="96" t="s">
        <v>41</v>
      </c>
      <c r="C276" s="96" t="s">
        <v>144</v>
      </c>
      <c r="D276" s="96" t="s">
        <v>143</v>
      </c>
      <c r="E276" s="93">
        <v>101.0</v>
      </c>
      <c r="F276" s="93">
        <v>22.57710228</v>
      </c>
      <c r="G276" s="93">
        <v>23.994168111909932</v>
      </c>
      <c r="H276" s="93">
        <v>6.345672160923076</v>
      </c>
      <c r="I276" s="93">
        <v>883.0</v>
      </c>
      <c r="J276" s="93">
        <v>984.0</v>
      </c>
      <c r="K276" s="93">
        <v>6.393792257</v>
      </c>
    </row>
    <row r="277">
      <c r="A277" s="93">
        <v>166.0</v>
      </c>
      <c r="B277" s="96" t="s">
        <v>18</v>
      </c>
      <c r="C277" s="96" t="s">
        <v>144</v>
      </c>
      <c r="D277" s="96" t="s">
        <v>143</v>
      </c>
      <c r="E277" s="93">
        <v>94.0</v>
      </c>
      <c r="F277" s="93">
        <v>33.44145323</v>
      </c>
      <c r="G277" s="93">
        <v>34.756462823429864</v>
      </c>
      <c r="H277" s="93">
        <v>6.116301834828989</v>
      </c>
      <c r="I277" s="93">
        <v>1646.0</v>
      </c>
      <c r="J277" s="93">
        <v>1740.0</v>
      </c>
      <c r="K277" s="93">
        <v>6.159193471</v>
      </c>
    </row>
    <row r="278">
      <c r="A278" s="93">
        <v>166.0</v>
      </c>
      <c r="B278" s="96" t="s">
        <v>33</v>
      </c>
      <c r="C278" s="96" t="s">
        <v>144</v>
      </c>
      <c r="D278" s="96" t="s">
        <v>148</v>
      </c>
      <c r="E278" s="93">
        <v>0.0</v>
      </c>
      <c r="F278" s="93" t="s">
        <v>147</v>
      </c>
      <c r="G278" s="93" t="s">
        <v>147</v>
      </c>
      <c r="H278" s="93" t="s">
        <v>147</v>
      </c>
      <c r="I278" s="93" t="s">
        <v>147</v>
      </c>
      <c r="J278" s="93" t="s">
        <v>147</v>
      </c>
      <c r="K278" s="93" t="s">
        <v>147</v>
      </c>
    </row>
    <row r="279">
      <c r="A279" s="93">
        <v>166.0</v>
      </c>
      <c r="B279" s="96" t="s">
        <v>56</v>
      </c>
      <c r="C279" s="96" t="s">
        <v>144</v>
      </c>
      <c r="D279" s="96" t="s">
        <v>143</v>
      </c>
      <c r="E279" s="93">
        <v>141.0</v>
      </c>
      <c r="F279" s="93">
        <v>25.9982539</v>
      </c>
      <c r="G279" s="93">
        <v>27.945747210261413</v>
      </c>
      <c r="H279" s="93">
        <v>7.417530774048391</v>
      </c>
      <c r="I279" s="93">
        <v>1003.0</v>
      </c>
      <c r="J279" s="93">
        <v>1144.0</v>
      </c>
      <c r="K279" s="93">
        <v>7.495764994</v>
      </c>
    </row>
    <row r="280">
      <c r="A280" s="93">
        <v>166.0</v>
      </c>
      <c r="B280" s="96" t="s">
        <v>34</v>
      </c>
      <c r="C280" s="96" t="s">
        <v>144</v>
      </c>
      <c r="D280" s="96" t="s">
        <v>143</v>
      </c>
      <c r="E280" s="93">
        <v>115.0</v>
      </c>
      <c r="F280" s="93">
        <v>28.93852446</v>
      </c>
      <c r="G280" s="93">
        <v>30.531311982048816</v>
      </c>
      <c r="H280" s="93">
        <v>6.721164438569453</v>
      </c>
      <c r="I280" s="93">
        <v>1276.0</v>
      </c>
      <c r="J280" s="93">
        <v>1391.0</v>
      </c>
      <c r="K280" s="93">
        <v>6.778729288</v>
      </c>
    </row>
    <row r="281">
      <c r="A281" s="93">
        <v>166.0</v>
      </c>
      <c r="B281" s="96" t="s">
        <v>47</v>
      </c>
      <c r="C281" s="96" t="s">
        <v>144</v>
      </c>
      <c r="D281" s="96" t="s">
        <v>143</v>
      </c>
      <c r="E281" s="93">
        <v>81.0</v>
      </c>
      <c r="F281" s="93">
        <v>24.19922333</v>
      </c>
      <c r="G281" s="93">
        <v>25.33619543911558</v>
      </c>
      <c r="H281" s="93">
        <v>5.69272999145906</v>
      </c>
      <c r="I281" s="93">
        <v>1061.0</v>
      </c>
      <c r="J281" s="93">
        <v>1142.0</v>
      </c>
      <c r="K281" s="93">
        <v>5.726975534</v>
      </c>
    </row>
    <row r="282">
      <c r="A282" s="93">
        <v>166.0</v>
      </c>
      <c r="B282" s="96" t="s">
        <v>27</v>
      </c>
      <c r="C282" s="96" t="s">
        <v>144</v>
      </c>
      <c r="D282" s="96" t="s">
        <v>143</v>
      </c>
      <c r="E282" s="93">
        <v>97.0</v>
      </c>
      <c r="F282" s="93">
        <v>33.17649926</v>
      </c>
      <c r="G282" s="93">
        <v>34.53298149258492</v>
      </c>
      <c r="H282" s="93">
        <v>6.210595770463527</v>
      </c>
      <c r="I282" s="93">
        <v>1618.0</v>
      </c>
      <c r="J282" s="93">
        <v>1715.0</v>
      </c>
      <c r="K282" s="93">
        <v>6.255588759</v>
      </c>
    </row>
    <row r="283">
      <c r="A283" s="93">
        <v>166.0</v>
      </c>
      <c r="B283" s="96" t="s">
        <v>20</v>
      </c>
      <c r="C283" s="96" t="s">
        <v>144</v>
      </c>
      <c r="D283" s="96" t="s">
        <v>143</v>
      </c>
      <c r="E283" s="93">
        <v>119.0</v>
      </c>
      <c r="F283" s="93">
        <v>35.30191876</v>
      </c>
      <c r="G283" s="93">
        <v>36.964725984990984</v>
      </c>
      <c r="H283" s="93">
        <v>6.8646777850739475</v>
      </c>
      <c r="I283" s="93">
        <v>1694.0</v>
      </c>
      <c r="J283" s="93">
        <v>1813.0</v>
      </c>
      <c r="K283" s="93">
        <v>6.926156644</v>
      </c>
    </row>
    <row r="284">
      <c r="A284" s="93">
        <v>166.0</v>
      </c>
      <c r="B284" s="96" t="s">
        <v>22</v>
      </c>
      <c r="C284" s="96" t="s">
        <v>144</v>
      </c>
      <c r="D284" s="96" t="s">
        <v>143</v>
      </c>
      <c r="E284" s="93">
        <v>78.0</v>
      </c>
      <c r="F284" s="93">
        <v>29.94069468</v>
      </c>
      <c r="G284" s="93">
        <v>31.034728142899382</v>
      </c>
      <c r="H284" s="93">
        <v>5.585505093230335</v>
      </c>
      <c r="I284" s="93">
        <v>1463.0</v>
      </c>
      <c r="J284" s="93">
        <v>1541.0</v>
      </c>
      <c r="K284" s="93">
        <v>5.61775929</v>
      </c>
    </row>
    <row r="285">
      <c r="A285" s="93">
        <v>166.0</v>
      </c>
      <c r="B285" s="96" t="s">
        <v>24</v>
      </c>
      <c r="C285" s="96" t="s">
        <v>144</v>
      </c>
      <c r="D285" s="96" t="s">
        <v>143</v>
      </c>
      <c r="E285" s="93">
        <v>93.0</v>
      </c>
      <c r="F285" s="93">
        <v>29.31270714</v>
      </c>
      <c r="G285" s="93">
        <v>30.610011373080546</v>
      </c>
      <c r="H285" s="93">
        <v>6.075573698073215</v>
      </c>
      <c r="I285" s="93">
        <v>1369.0</v>
      </c>
      <c r="J285" s="93">
        <v>1462.0</v>
      </c>
      <c r="K285" s="93">
        <v>6.117578094</v>
      </c>
    </row>
    <row r="286">
      <c r="A286" s="93">
        <v>166.0</v>
      </c>
      <c r="B286" s="96" t="s">
        <v>29</v>
      </c>
      <c r="C286" s="96" t="s">
        <v>144</v>
      </c>
      <c r="D286" s="96" t="s">
        <v>143</v>
      </c>
      <c r="E286" s="93">
        <v>90.0</v>
      </c>
      <c r="F286" s="93">
        <v>30.14972973</v>
      </c>
      <c r="G286" s="93">
        <v>31.405057756026988</v>
      </c>
      <c r="H286" s="93">
        <v>5.977840967175436</v>
      </c>
      <c r="I286" s="93">
        <v>1436.0</v>
      </c>
      <c r="J286" s="93">
        <v>1526.0</v>
      </c>
      <c r="K286" s="93">
        <v>6.017765729</v>
      </c>
    </row>
    <row r="287">
      <c r="A287" s="93">
        <v>165.0</v>
      </c>
      <c r="B287" s="96" t="s">
        <v>34</v>
      </c>
      <c r="C287" s="96" t="s">
        <v>142</v>
      </c>
      <c r="D287" s="96" t="s">
        <v>145</v>
      </c>
      <c r="E287" s="93">
        <v>-73.0</v>
      </c>
      <c r="F287" s="93">
        <v>30.08820532</v>
      </c>
      <c r="G287" s="93">
        <v>28.938524460165198</v>
      </c>
      <c r="H287" s="93">
        <v>6.778729288063292</v>
      </c>
      <c r="I287" s="93">
        <v>1349.0</v>
      </c>
      <c r="J287" s="93">
        <v>1276.0</v>
      </c>
      <c r="K287" s="93">
        <v>6.833157295</v>
      </c>
    </row>
    <row r="288">
      <c r="A288" s="93">
        <v>165.0</v>
      </c>
      <c r="B288" s="96" t="s">
        <v>20</v>
      </c>
      <c r="C288" s="96" t="s">
        <v>142</v>
      </c>
      <c r="D288" s="96" t="s">
        <v>145</v>
      </c>
      <c r="E288" s="93">
        <v>-76.0</v>
      </c>
      <c r="F288" s="93">
        <v>36.50302912</v>
      </c>
      <c r="G288" s="93">
        <v>35.30191875912688</v>
      </c>
      <c r="H288" s="93">
        <v>6.926156644486865</v>
      </c>
      <c r="I288" s="93">
        <v>1770.0</v>
      </c>
      <c r="J288" s="93">
        <v>1694.0</v>
      </c>
      <c r="K288" s="93">
        <v>6.98435355</v>
      </c>
    </row>
    <row r="289">
      <c r="A289" s="93">
        <v>165.0</v>
      </c>
      <c r="B289" s="96" t="s">
        <v>47</v>
      </c>
      <c r="C289" s="96" t="s">
        <v>142</v>
      </c>
      <c r="D289" s="96" t="s">
        <v>145</v>
      </c>
      <c r="E289" s="93">
        <v>-53.0</v>
      </c>
      <c r="F289" s="93">
        <v>25.01595812</v>
      </c>
      <c r="G289" s="93">
        <v>24.19922333489107</v>
      </c>
      <c r="H289" s="93">
        <v>5.726975533882958</v>
      </c>
      <c r="I289" s="93">
        <v>1114.0</v>
      </c>
      <c r="J289" s="93">
        <v>1061.0</v>
      </c>
      <c r="K289" s="93">
        <v>5.759096219</v>
      </c>
    </row>
    <row r="290">
      <c r="A290" s="93">
        <v>165.0</v>
      </c>
      <c r="B290" s="96" t="s">
        <v>33</v>
      </c>
      <c r="C290" s="96" t="s">
        <v>144</v>
      </c>
      <c r="D290" s="96" t="s">
        <v>143</v>
      </c>
      <c r="E290" s="93">
        <v>76.0</v>
      </c>
      <c r="F290" s="93">
        <v>30.68425851</v>
      </c>
      <c r="G290" s="93">
        <v>31.733869746783725</v>
      </c>
      <c r="H290" s="93">
        <v>6.481604169440362</v>
      </c>
      <c r="I290" s="93">
        <v>1421.0</v>
      </c>
      <c r="J290" s="93">
        <v>1497.0</v>
      </c>
      <c r="K290" s="93">
        <v>6.528938372</v>
      </c>
    </row>
    <row r="291">
      <c r="A291" s="93">
        <v>165.0</v>
      </c>
      <c r="B291" s="96" t="s">
        <v>44</v>
      </c>
      <c r="C291" s="96" t="s">
        <v>144</v>
      </c>
      <c r="D291" s="96" t="s">
        <v>143</v>
      </c>
      <c r="E291" s="93">
        <v>87.0</v>
      </c>
      <c r="F291" s="93">
        <v>27.55296245</v>
      </c>
      <c r="G291" s="93">
        <v>28.746289695350974</v>
      </c>
      <c r="H291" s="93">
        <v>6.904061774567177</v>
      </c>
      <c r="I291" s="93">
        <v>1164.0</v>
      </c>
      <c r="J291" s="93">
        <v>1251.0</v>
      </c>
      <c r="K291" s="93">
        <v>6.961683044</v>
      </c>
    </row>
    <row r="292">
      <c r="A292" s="93">
        <v>165.0</v>
      </c>
      <c r="B292" s="96" t="s">
        <v>97</v>
      </c>
      <c r="C292" s="96" t="s">
        <v>144</v>
      </c>
      <c r="D292" s="96" t="s">
        <v>148</v>
      </c>
      <c r="E292" s="93">
        <v>0.0</v>
      </c>
      <c r="F292" s="93" t="s">
        <v>147</v>
      </c>
      <c r="G292" s="93" t="s">
        <v>147</v>
      </c>
      <c r="H292" s="93" t="s">
        <v>147</v>
      </c>
      <c r="I292" s="93" t="s">
        <v>147</v>
      </c>
      <c r="J292" s="93" t="s">
        <v>147</v>
      </c>
      <c r="K292" s="93" t="s">
        <v>147</v>
      </c>
    </row>
    <row r="293">
      <c r="A293" s="93">
        <v>165.0</v>
      </c>
      <c r="B293" s="96" t="s">
        <v>86</v>
      </c>
      <c r="C293" s="96" t="s">
        <v>144</v>
      </c>
      <c r="D293" s="96" t="s">
        <v>143</v>
      </c>
      <c r="E293" s="93">
        <v>124.0</v>
      </c>
      <c r="F293" s="93">
        <v>23.86808968</v>
      </c>
      <c r="G293" s="93">
        <v>25.551234207145466</v>
      </c>
      <c r="H293" s="93">
        <v>8.170857190874319</v>
      </c>
      <c r="I293" s="93">
        <v>780.0</v>
      </c>
      <c r="J293" s="93">
        <v>904.0</v>
      </c>
      <c r="K293" s="93">
        <v>8.268147421</v>
      </c>
    </row>
    <row r="294">
      <c r="A294" s="93">
        <v>165.0</v>
      </c>
      <c r="B294" s="96" t="s">
        <v>32</v>
      </c>
      <c r="C294" s="96" t="s">
        <v>144</v>
      </c>
      <c r="D294" s="96" t="s">
        <v>143</v>
      </c>
      <c r="E294" s="93">
        <v>76.0</v>
      </c>
      <c r="F294" s="93">
        <v>30.77314529</v>
      </c>
      <c r="G294" s="93">
        <v>31.815136232587385</v>
      </c>
      <c r="H294" s="93">
        <v>6.4583819482941</v>
      </c>
      <c r="I294" s="93">
        <v>1429.0</v>
      </c>
      <c r="J294" s="93">
        <v>1505.0</v>
      </c>
      <c r="K294" s="93">
        <v>6.505189209</v>
      </c>
    </row>
    <row r="295">
      <c r="A295" s="93">
        <v>165.0</v>
      </c>
      <c r="B295" s="96" t="s">
        <v>29</v>
      </c>
      <c r="C295" s="96" t="s">
        <v>144</v>
      </c>
      <c r="D295" s="96" t="s">
        <v>143</v>
      </c>
      <c r="E295" s="93">
        <v>65.0</v>
      </c>
      <c r="F295" s="93">
        <v>29.24684871</v>
      </c>
      <c r="G295" s="93">
        <v>30.14972972708432</v>
      </c>
      <c r="H295" s="93">
        <v>6.017765728716978</v>
      </c>
      <c r="I295" s="93">
        <v>1371.0</v>
      </c>
      <c r="J295" s="93">
        <v>1436.0</v>
      </c>
      <c r="K295" s="93">
        <v>6.055295139</v>
      </c>
    </row>
    <row r="296">
      <c r="A296" s="93">
        <v>165.0</v>
      </c>
      <c r="B296" s="96" t="s">
        <v>21</v>
      </c>
      <c r="C296" s="96" t="s">
        <v>144</v>
      </c>
      <c r="D296" s="96" t="s">
        <v>143</v>
      </c>
      <c r="E296" s="93">
        <v>90.0</v>
      </c>
      <c r="F296" s="93">
        <v>31.34281953</v>
      </c>
      <c r="G296" s="93">
        <v>32.56619730057047</v>
      </c>
      <c r="H296" s="93">
        <v>6.9889568527487835</v>
      </c>
      <c r="I296" s="93">
        <v>1412.0</v>
      </c>
      <c r="J296" s="93">
        <v>1502.0</v>
      </c>
      <c r="K296" s="93">
        <v>7.048810926</v>
      </c>
    </row>
    <row r="297">
      <c r="A297" s="93">
        <v>165.0</v>
      </c>
      <c r="B297" s="96" t="s">
        <v>37</v>
      </c>
      <c r="C297" s="96" t="s">
        <v>144</v>
      </c>
      <c r="D297" s="96" t="s">
        <v>143</v>
      </c>
      <c r="E297" s="93">
        <v>108.0</v>
      </c>
      <c r="F297" s="93">
        <v>28.77178286</v>
      </c>
      <c r="G297" s="93">
        <v>30.237975783581952</v>
      </c>
      <c r="H297" s="93">
        <v>7.637938045638699</v>
      </c>
      <c r="I297" s="93">
        <v>1169.0</v>
      </c>
      <c r="J297" s="93">
        <v>1277.0</v>
      </c>
      <c r="K297" s="93">
        <v>7.71681993</v>
      </c>
    </row>
    <row r="298">
      <c r="A298" s="93">
        <v>165.0</v>
      </c>
      <c r="B298" s="96" t="s">
        <v>23</v>
      </c>
      <c r="C298" s="96" t="s">
        <v>144</v>
      </c>
      <c r="D298" s="96" t="s">
        <v>148</v>
      </c>
      <c r="E298" s="93">
        <v>0.0</v>
      </c>
      <c r="F298" s="93" t="s">
        <v>147</v>
      </c>
      <c r="G298" s="93" t="s">
        <v>147</v>
      </c>
      <c r="H298" s="93" t="s">
        <v>147</v>
      </c>
      <c r="I298" s="93" t="s">
        <v>147</v>
      </c>
      <c r="J298" s="93" t="s">
        <v>147</v>
      </c>
      <c r="K298" s="93" t="s">
        <v>147</v>
      </c>
    </row>
    <row r="299">
      <c r="A299" s="93">
        <v>165.0</v>
      </c>
      <c r="B299" s="96" t="s">
        <v>16</v>
      </c>
      <c r="C299" s="96" t="s">
        <v>144</v>
      </c>
      <c r="D299" s="96" t="s">
        <v>143</v>
      </c>
      <c r="E299" s="93">
        <v>56.0</v>
      </c>
      <c r="F299" s="93">
        <v>35.03887061</v>
      </c>
      <c r="G299" s="93">
        <v>35.82643074789281</v>
      </c>
      <c r="H299" s="93">
        <v>5.624918896293028</v>
      </c>
      <c r="I299" s="93">
        <v>1806.0</v>
      </c>
      <c r="J299" s="93">
        <v>1862.0</v>
      </c>
      <c r="K299" s="93">
        <v>5.655268719</v>
      </c>
    </row>
    <row r="300">
      <c r="A300" s="93">
        <v>165.0</v>
      </c>
      <c r="B300" s="96" t="s">
        <v>36</v>
      </c>
      <c r="C300" s="96" t="s">
        <v>144</v>
      </c>
      <c r="D300" s="96" t="s">
        <v>143</v>
      </c>
      <c r="E300" s="93">
        <v>98.0</v>
      </c>
      <c r="F300" s="93">
        <v>29.01774097</v>
      </c>
      <c r="G300" s="93">
        <v>30.349470405698476</v>
      </c>
      <c r="H300" s="93">
        <v>7.28626642464081</v>
      </c>
      <c r="I300" s="93">
        <v>1223.0</v>
      </c>
      <c r="J300" s="93">
        <v>1321.0</v>
      </c>
      <c r="K300" s="93">
        <v>7.354397922</v>
      </c>
    </row>
    <row r="301">
      <c r="A301" s="93">
        <v>165.0</v>
      </c>
      <c r="B301" s="96" t="s">
        <v>18</v>
      </c>
      <c r="C301" s="96" t="s">
        <v>144</v>
      </c>
      <c r="D301" s="96" t="s">
        <v>143</v>
      </c>
      <c r="E301" s="93">
        <v>69.0</v>
      </c>
      <c r="F301" s="93">
        <v>32.49505168</v>
      </c>
      <c r="G301" s="93">
        <v>33.44145323074695</v>
      </c>
      <c r="H301" s="93">
        <v>6.159193470939853</v>
      </c>
      <c r="I301" s="93">
        <v>1577.0</v>
      </c>
      <c r="J301" s="93">
        <v>1646.0</v>
      </c>
      <c r="K301" s="93">
        <v>6.199554749</v>
      </c>
    </row>
    <row r="302">
      <c r="A302" s="93">
        <v>164.0</v>
      </c>
      <c r="B302" s="96" t="s">
        <v>97</v>
      </c>
      <c r="C302" s="96" t="s">
        <v>142</v>
      </c>
      <c r="D302" s="96" t="s">
        <v>145</v>
      </c>
      <c r="E302" s="93">
        <v>-51.0</v>
      </c>
      <c r="F302" s="93">
        <v>23.70125059</v>
      </c>
      <c r="G302" s="93">
        <v>22.910488437912495</v>
      </c>
      <c r="H302" s="93">
        <v>6.044793623195691</v>
      </c>
      <c r="I302" s="93">
        <v>992.0</v>
      </c>
      <c r="J302" s="93">
        <v>941.0</v>
      </c>
      <c r="K302" s="93">
        <v>6.079380536</v>
      </c>
    </row>
    <row r="303">
      <c r="A303" s="93">
        <v>164.0</v>
      </c>
      <c r="B303" s="96" t="s">
        <v>38</v>
      </c>
      <c r="C303" s="96" t="s">
        <v>142</v>
      </c>
      <c r="D303" s="96" t="s">
        <v>145</v>
      </c>
      <c r="E303" s="93">
        <v>-44.0</v>
      </c>
      <c r="F303" s="93">
        <v>26.44553825</v>
      </c>
      <c r="G303" s="93">
        <v>25.759390587361455</v>
      </c>
      <c r="H303" s="93">
        <v>5.635138849017903</v>
      </c>
      <c r="I303" s="93">
        <v>1221.0</v>
      </c>
      <c r="J303" s="93">
        <v>1177.0</v>
      </c>
      <c r="K303" s="93">
        <v>5.662865247</v>
      </c>
    </row>
    <row r="304">
      <c r="A304" s="93">
        <v>164.0</v>
      </c>
      <c r="B304" s="96" t="s">
        <v>26</v>
      </c>
      <c r="C304" s="96" t="s">
        <v>142</v>
      </c>
      <c r="D304" s="96" t="s">
        <v>145</v>
      </c>
      <c r="E304" s="93">
        <v>-48.0</v>
      </c>
      <c r="F304" s="93">
        <v>31.43313847</v>
      </c>
      <c r="G304" s="93">
        <v>30.674004918994275</v>
      </c>
      <c r="H304" s="93">
        <v>5.924062919946605</v>
      </c>
      <c r="I304" s="93">
        <v>1530.0</v>
      </c>
      <c r="J304" s="93">
        <v>1482.0</v>
      </c>
      <c r="K304" s="93">
        <v>5.956525927</v>
      </c>
    </row>
    <row r="305">
      <c r="A305" s="93">
        <v>164.0</v>
      </c>
      <c r="B305" s="96" t="s">
        <v>22</v>
      </c>
      <c r="C305" s="96" t="s">
        <v>144</v>
      </c>
      <c r="D305" s="96" t="s">
        <v>143</v>
      </c>
      <c r="E305" s="93">
        <v>49.0</v>
      </c>
      <c r="F305" s="93">
        <v>29.25881603</v>
      </c>
      <c r="G305" s="93">
        <v>29.940694681058147</v>
      </c>
      <c r="H305" s="93">
        <v>5.617759289626623</v>
      </c>
      <c r="I305" s="93">
        <v>1414.0</v>
      </c>
      <c r="J305" s="93">
        <v>1463.0</v>
      </c>
      <c r="K305" s="93">
        <v>5.645215898</v>
      </c>
    </row>
    <row r="306">
      <c r="A306" s="93">
        <v>164.0</v>
      </c>
      <c r="B306" s="96" t="s">
        <v>34</v>
      </c>
      <c r="C306" s="96" t="s">
        <v>144</v>
      </c>
      <c r="D306" s="96" t="s">
        <v>143</v>
      </c>
      <c r="E306" s="93">
        <v>74.0</v>
      </c>
      <c r="F306" s="93">
        <v>29.07436938</v>
      </c>
      <c r="G306" s="93">
        <v>30.08820532201383</v>
      </c>
      <c r="H306" s="93">
        <v>6.833157295171644</v>
      </c>
      <c r="I306" s="93">
        <v>1275.0</v>
      </c>
      <c r="J306" s="93">
        <v>1349.0</v>
      </c>
      <c r="K306" s="93">
        <v>6.883877927</v>
      </c>
    </row>
    <row r="307">
      <c r="A307" s="93">
        <v>164.0</v>
      </c>
      <c r="B307" s="96" t="s">
        <v>31</v>
      </c>
      <c r="C307" s="96" t="s">
        <v>144</v>
      </c>
      <c r="D307" s="96" t="s">
        <v>143</v>
      </c>
      <c r="E307" s="93">
        <v>73.0</v>
      </c>
      <c r="F307" s="93">
        <v>29.58949251</v>
      </c>
      <c r="G307" s="93">
        <v>30.591170120766346</v>
      </c>
      <c r="H307" s="93">
        <v>6.792676259374617</v>
      </c>
      <c r="I307" s="93">
        <v>1314.0</v>
      </c>
      <c r="J307" s="93">
        <v>1387.0</v>
      </c>
      <c r="K307" s="93">
        <v>6.842467537</v>
      </c>
    </row>
    <row r="308">
      <c r="A308" s="93">
        <v>164.0</v>
      </c>
      <c r="B308" s="96" t="s">
        <v>30</v>
      </c>
      <c r="C308" s="96" t="s">
        <v>144</v>
      </c>
      <c r="D308" s="96" t="s">
        <v>143</v>
      </c>
      <c r="E308" s="93">
        <v>104.0</v>
      </c>
      <c r="F308" s="93">
        <v>24.7829756</v>
      </c>
      <c r="G308" s="93">
        <v>26.190495356967677</v>
      </c>
      <c r="H308" s="93">
        <v>8.027615969678035</v>
      </c>
      <c r="I308" s="93">
        <v>858.0</v>
      </c>
      <c r="J308" s="93">
        <v>962.0</v>
      </c>
      <c r="K308" s="93">
        <v>8.111279839</v>
      </c>
    </row>
    <row r="309">
      <c r="A309" s="93">
        <v>164.0</v>
      </c>
      <c r="B309" s="96" t="s">
        <v>21</v>
      </c>
      <c r="C309" s="96" t="s">
        <v>144</v>
      </c>
      <c r="D309" s="96" t="s">
        <v>143</v>
      </c>
      <c r="E309" s="93">
        <v>79.0</v>
      </c>
      <c r="F309" s="93">
        <v>30.26291705</v>
      </c>
      <c r="G309" s="93">
        <v>31.34281953130264</v>
      </c>
      <c r="H309" s="93">
        <v>7.048810926332489</v>
      </c>
      <c r="I309" s="93">
        <v>1333.0</v>
      </c>
      <c r="J309" s="93">
        <v>1412.0</v>
      </c>
      <c r="K309" s="93">
        <v>7.104677868</v>
      </c>
    </row>
    <row r="310">
      <c r="A310" s="93">
        <v>164.0</v>
      </c>
      <c r="B310" s="96" t="s">
        <v>46</v>
      </c>
      <c r="C310" s="96" t="s">
        <v>144</v>
      </c>
      <c r="D310" s="96" t="s">
        <v>148</v>
      </c>
      <c r="E310" s="93">
        <v>0.0</v>
      </c>
      <c r="F310" s="93" t="s">
        <v>147</v>
      </c>
      <c r="G310" s="93" t="s">
        <v>147</v>
      </c>
      <c r="H310" s="93" t="s">
        <v>147</v>
      </c>
      <c r="I310" s="93" t="s">
        <v>147</v>
      </c>
      <c r="J310" s="93" t="s">
        <v>147</v>
      </c>
      <c r="K310" s="93" t="s">
        <v>147</v>
      </c>
    </row>
    <row r="311">
      <c r="A311" s="93">
        <v>164.0</v>
      </c>
      <c r="B311" s="96" t="s">
        <v>23</v>
      </c>
      <c r="C311" s="96" t="s">
        <v>144</v>
      </c>
      <c r="D311" s="96" t="s">
        <v>143</v>
      </c>
      <c r="E311" s="93">
        <v>48.0</v>
      </c>
      <c r="F311" s="93">
        <v>35.9254346</v>
      </c>
      <c r="G311" s="93">
        <v>36.59845964519064</v>
      </c>
      <c r="H311" s="93">
        <v>5.581535763658298</v>
      </c>
      <c r="I311" s="93">
        <v>1871.0</v>
      </c>
      <c r="J311" s="93">
        <v>1919.0</v>
      </c>
      <c r="K311" s="93">
        <v>5.608435451</v>
      </c>
    </row>
    <row r="312">
      <c r="A312" s="93">
        <v>164.0</v>
      </c>
      <c r="B312" s="96" t="s">
        <v>50</v>
      </c>
      <c r="C312" s="96" t="s">
        <v>144</v>
      </c>
      <c r="D312" s="96" t="s">
        <v>143</v>
      </c>
      <c r="E312" s="93">
        <v>77.0</v>
      </c>
      <c r="F312" s="93">
        <v>21.23038399</v>
      </c>
      <c r="G312" s="93">
        <v>22.270424512783663</v>
      </c>
      <c r="H312" s="93">
        <v>6.919550087820023</v>
      </c>
      <c r="I312" s="93">
        <v>732.0</v>
      </c>
      <c r="J312" s="93">
        <v>809.0</v>
      </c>
      <c r="K312" s="93">
        <v>6.972292585</v>
      </c>
    </row>
    <row r="313">
      <c r="A313" s="93">
        <v>164.0</v>
      </c>
      <c r="B313" s="96" t="s">
        <v>44</v>
      </c>
      <c r="C313" s="96" t="s">
        <v>144</v>
      </c>
      <c r="D313" s="96" t="s">
        <v>143</v>
      </c>
      <c r="E313" s="93">
        <v>78.0</v>
      </c>
      <c r="F313" s="93">
        <v>26.50001512</v>
      </c>
      <c r="G313" s="93">
        <v>27.55296244871921</v>
      </c>
      <c r="H313" s="93">
        <v>6.961683044237685</v>
      </c>
      <c r="I313" s="93">
        <v>1086.0</v>
      </c>
      <c r="J313" s="93">
        <v>1164.0</v>
      </c>
      <c r="K313" s="93">
        <v>7.015430785</v>
      </c>
    </row>
    <row r="314">
      <c r="A314" s="93">
        <v>164.0</v>
      </c>
      <c r="B314" s="96" t="s">
        <v>41</v>
      </c>
      <c r="C314" s="96" t="s">
        <v>144</v>
      </c>
      <c r="D314" s="96" t="s">
        <v>143</v>
      </c>
      <c r="E314" s="93">
        <v>64.0</v>
      </c>
      <c r="F314" s="93">
        <v>21.69114102</v>
      </c>
      <c r="G314" s="93">
        <v>22.5771022843149</v>
      </c>
      <c r="H314" s="93">
        <v>6.39379225703808</v>
      </c>
      <c r="I314" s="93">
        <v>819.0</v>
      </c>
      <c r="J314" s="93">
        <v>883.0</v>
      </c>
      <c r="K314" s="93">
        <v>6.435022528</v>
      </c>
    </row>
    <row r="315">
      <c r="A315" s="93">
        <v>164.0</v>
      </c>
      <c r="B315" s="96" t="s">
        <v>33</v>
      </c>
      <c r="C315" s="96" t="s">
        <v>144</v>
      </c>
      <c r="D315" s="96" t="s">
        <v>143</v>
      </c>
      <c r="E315" s="93">
        <v>68.0</v>
      </c>
      <c r="F315" s="93">
        <v>29.7599203</v>
      </c>
      <c r="G315" s="93">
        <v>30.684258508445563</v>
      </c>
      <c r="H315" s="93">
        <v>6.528938371875021</v>
      </c>
      <c r="I315" s="93">
        <v>1353.0</v>
      </c>
      <c r="J315" s="93">
        <v>1421.0</v>
      </c>
      <c r="K315" s="93">
        <v>6.572950087</v>
      </c>
    </row>
    <row r="316">
      <c r="A316" s="93">
        <v>164.0</v>
      </c>
      <c r="B316" s="96" t="s">
        <v>67</v>
      </c>
      <c r="C316" s="96" t="s">
        <v>144</v>
      </c>
      <c r="D316" s="96" t="s">
        <v>143</v>
      </c>
      <c r="E316" s="93">
        <v>68.0</v>
      </c>
      <c r="F316" s="93">
        <v>24.98916594</v>
      </c>
      <c r="G316" s="93">
        <v>25.919288872170895</v>
      </c>
      <c r="H316" s="93">
        <v>6.549054275042902</v>
      </c>
      <c r="I316" s="93">
        <v>1027.0</v>
      </c>
      <c r="J316" s="93">
        <v>1095.0</v>
      </c>
      <c r="K316" s="93">
        <v>6.59349028</v>
      </c>
    </row>
    <row r="317">
      <c r="A317" s="93">
        <v>163.0</v>
      </c>
      <c r="B317" s="96" t="s">
        <v>16</v>
      </c>
      <c r="C317" s="96" t="s">
        <v>142</v>
      </c>
      <c r="D317" s="96" t="s">
        <v>143</v>
      </c>
      <c r="E317" s="93">
        <v>5.0</v>
      </c>
      <c r="F317" s="93">
        <v>34.97803857</v>
      </c>
      <c r="G317" s="93">
        <v>35.03887061197531</v>
      </c>
      <c r="H317" s="93">
        <v>5.655268719157081</v>
      </c>
      <c r="I317" s="93">
        <v>1801.0</v>
      </c>
      <c r="J317" s="93">
        <v>1806.0</v>
      </c>
      <c r="K317" s="93">
        <v>5.661193385</v>
      </c>
    </row>
    <row r="318">
      <c r="A318" s="93">
        <v>163.0</v>
      </c>
      <c r="B318" s="96" t="s">
        <v>24</v>
      </c>
      <c r="C318" s="96" t="s">
        <v>142</v>
      </c>
      <c r="D318" s="96" t="s">
        <v>143</v>
      </c>
      <c r="E318" s="93">
        <v>5.0</v>
      </c>
      <c r="F318" s="93">
        <v>29.24149344</v>
      </c>
      <c r="G318" s="93">
        <v>29.312707137479116</v>
      </c>
      <c r="H318" s="93">
        <v>6.117578094092218</v>
      </c>
      <c r="I318" s="93">
        <v>1364.0</v>
      </c>
      <c r="J318" s="93">
        <v>1369.0</v>
      </c>
      <c r="K318" s="93">
        <v>6.125385666</v>
      </c>
    </row>
    <row r="319">
      <c r="A319" s="93">
        <v>163.0</v>
      </c>
      <c r="B319" s="96" t="s">
        <v>21</v>
      </c>
      <c r="C319" s="96" t="s">
        <v>142</v>
      </c>
      <c r="D319" s="96" t="s">
        <v>143</v>
      </c>
      <c r="E319" s="93">
        <v>8.0</v>
      </c>
      <c r="F319" s="93">
        <v>30.166773</v>
      </c>
      <c r="G319" s="93">
        <v>30.262917054623394</v>
      </c>
      <c r="H319" s="93">
        <v>7.10467786755185</v>
      </c>
      <c r="I319" s="93">
        <v>1325.0</v>
      </c>
      <c r="J319" s="93">
        <v>1333.0</v>
      </c>
      <c r="K319" s="93">
        <v>7.117506844</v>
      </c>
    </row>
    <row r="320">
      <c r="A320" s="93">
        <v>163.0</v>
      </c>
      <c r="B320" s="96" t="s">
        <v>76</v>
      </c>
      <c r="C320" s="96" t="s">
        <v>144</v>
      </c>
      <c r="D320" s="96" t="s">
        <v>145</v>
      </c>
      <c r="E320" s="93">
        <v>-7.0</v>
      </c>
      <c r="F320" s="93">
        <v>26.26971897</v>
      </c>
      <c r="G320" s="93">
        <v>26.140028794923303</v>
      </c>
      <c r="H320" s="93">
        <v>8.246081844075775</v>
      </c>
      <c r="I320" s="93">
        <v>943.0</v>
      </c>
      <c r="J320" s="93">
        <v>936.0</v>
      </c>
      <c r="K320" s="93">
        <v>8.266683343</v>
      </c>
    </row>
    <row r="321">
      <c r="A321" s="93">
        <v>163.0</v>
      </c>
      <c r="B321" s="96" t="s">
        <v>124</v>
      </c>
      <c r="C321" s="96" t="s">
        <v>144</v>
      </c>
      <c r="D321" s="96" t="s">
        <v>145</v>
      </c>
      <c r="E321" s="93">
        <v>-6.0</v>
      </c>
      <c r="F321" s="93">
        <v>18.23451267</v>
      </c>
      <c r="G321" s="93">
        <v>18.133702480272024</v>
      </c>
      <c r="H321" s="93">
        <v>7.274366951010908</v>
      </c>
      <c r="I321" s="93">
        <v>497.0</v>
      </c>
      <c r="J321" s="93">
        <v>491.0</v>
      </c>
      <c r="K321" s="93">
        <v>7.288209984</v>
      </c>
    </row>
    <row r="322">
      <c r="A322" s="93">
        <v>163.0</v>
      </c>
      <c r="B322" s="96" t="s">
        <v>97</v>
      </c>
      <c r="C322" s="96" t="s">
        <v>144</v>
      </c>
      <c r="D322" s="96" t="s">
        <v>145</v>
      </c>
      <c r="E322" s="93">
        <v>-4.0</v>
      </c>
      <c r="F322" s="93">
        <v>23.77157528</v>
      </c>
      <c r="G322" s="93">
        <v>23.70125058572185</v>
      </c>
      <c r="H322" s="93">
        <v>6.079380536051806</v>
      </c>
      <c r="I322" s="93">
        <v>996.0</v>
      </c>
      <c r="J322" s="93">
        <v>992.0</v>
      </c>
      <c r="K322" s="93">
        <v>6.087021911</v>
      </c>
    </row>
    <row r="323">
      <c r="A323" s="93">
        <v>163.0</v>
      </c>
      <c r="B323" s="96" t="s">
        <v>146</v>
      </c>
      <c r="C323" s="96" t="s">
        <v>144</v>
      </c>
      <c r="D323" s="96" t="s">
        <v>146</v>
      </c>
      <c r="E323" s="93">
        <v>0.0</v>
      </c>
      <c r="F323" s="93" t="s">
        <v>147</v>
      </c>
      <c r="G323" s="93" t="s">
        <v>147</v>
      </c>
      <c r="H323" s="93" t="s">
        <v>147</v>
      </c>
      <c r="I323" s="93" t="s">
        <v>147</v>
      </c>
      <c r="J323" s="93" t="s">
        <v>147</v>
      </c>
      <c r="K323" s="93" t="s">
        <v>147</v>
      </c>
    </row>
    <row r="324">
      <c r="A324" s="93">
        <v>163.0</v>
      </c>
      <c r="B324" s="96" t="s">
        <v>29</v>
      </c>
      <c r="C324" s="96" t="s">
        <v>144</v>
      </c>
      <c r="D324" s="96" t="s">
        <v>145</v>
      </c>
      <c r="E324" s="93">
        <v>-4.0</v>
      </c>
      <c r="F324" s="93">
        <v>29.31661574</v>
      </c>
      <c r="G324" s="93">
        <v>29.246848710467415</v>
      </c>
      <c r="H324" s="93">
        <v>6.055295139438363</v>
      </c>
      <c r="I324" s="93">
        <v>1375.0</v>
      </c>
      <c r="J324" s="93">
        <v>1371.0</v>
      </c>
      <c r="K324" s="93">
        <v>6.062832729</v>
      </c>
    </row>
    <row r="325">
      <c r="A325" s="93">
        <v>163.0</v>
      </c>
      <c r="B325" s="96" t="s">
        <v>120</v>
      </c>
      <c r="C325" s="96" t="s">
        <v>144</v>
      </c>
      <c r="D325" s="96" t="s">
        <v>145</v>
      </c>
      <c r="E325" s="93">
        <v>-7.0</v>
      </c>
      <c r="F325" s="93">
        <v>25.0</v>
      </c>
      <c r="G325" s="93">
        <v>24.868210452244696</v>
      </c>
      <c r="H325" s="93">
        <v>8.312209548025834</v>
      </c>
      <c r="I325" s="93">
        <v>850.0</v>
      </c>
      <c r="J325" s="93">
        <v>843.0</v>
      </c>
      <c r="K325" s="93">
        <v>8.333333333333334</v>
      </c>
    </row>
    <row r="326">
      <c r="A326" s="93">
        <v>163.0</v>
      </c>
      <c r="B326" s="96" t="s">
        <v>146</v>
      </c>
      <c r="C326" s="96" t="s">
        <v>144</v>
      </c>
      <c r="D326" s="96" t="s">
        <v>146</v>
      </c>
      <c r="E326" s="93">
        <v>0.0</v>
      </c>
      <c r="F326" s="93" t="s">
        <v>147</v>
      </c>
      <c r="G326" s="93" t="s">
        <v>147</v>
      </c>
      <c r="H326" s="93" t="s">
        <v>147</v>
      </c>
      <c r="I326" s="93" t="s">
        <v>147</v>
      </c>
      <c r="J326" s="93" t="s">
        <v>147</v>
      </c>
      <c r="K326" s="93" t="s">
        <v>147</v>
      </c>
    </row>
    <row r="327">
      <c r="A327" s="93">
        <v>163.0</v>
      </c>
      <c r="B327" s="96" t="s">
        <v>104</v>
      </c>
      <c r="C327" s="96" t="s">
        <v>144</v>
      </c>
      <c r="D327" s="96" t="s">
        <v>145</v>
      </c>
      <c r="E327" s="93">
        <v>-7.0</v>
      </c>
      <c r="F327" s="93">
        <v>25.0</v>
      </c>
      <c r="G327" s="93">
        <v>24.868210452244696</v>
      </c>
      <c r="H327" s="93">
        <v>8.312209548025834</v>
      </c>
      <c r="I327" s="93">
        <v>850.0</v>
      </c>
      <c r="J327" s="93">
        <v>843.0</v>
      </c>
      <c r="K327" s="93">
        <v>8.333333333333334</v>
      </c>
    </row>
    <row r="328">
      <c r="A328" s="93">
        <v>163.0</v>
      </c>
      <c r="B328" s="96" t="s">
        <v>33</v>
      </c>
      <c r="C328" s="96" t="s">
        <v>144</v>
      </c>
      <c r="D328" s="96" t="s">
        <v>145</v>
      </c>
      <c r="E328" s="93">
        <v>-5.0</v>
      </c>
      <c r="F328" s="93">
        <v>29.84216634</v>
      </c>
      <c r="G328" s="93">
        <v>29.759920295161177</v>
      </c>
      <c r="H328" s="93">
        <v>6.572950087225753</v>
      </c>
      <c r="I328" s="93">
        <v>1358.0</v>
      </c>
      <c r="J328" s="93">
        <v>1353.0</v>
      </c>
      <c r="K328" s="93">
        <v>6.582895249</v>
      </c>
    </row>
    <row r="329">
      <c r="A329" s="93">
        <v>163.0</v>
      </c>
      <c r="B329" s="96" t="s">
        <v>94</v>
      </c>
      <c r="C329" s="96" t="s">
        <v>144</v>
      </c>
      <c r="D329" s="96" t="s">
        <v>145</v>
      </c>
      <c r="E329" s="93">
        <v>-7.0</v>
      </c>
      <c r="F329" s="93">
        <v>25.0</v>
      </c>
      <c r="G329" s="93">
        <v>24.868210452244696</v>
      </c>
      <c r="H329" s="93">
        <v>8.312209548025834</v>
      </c>
      <c r="I329" s="93">
        <v>850.0</v>
      </c>
      <c r="J329" s="93">
        <v>843.0</v>
      </c>
      <c r="K329" s="93">
        <v>8.333333333333334</v>
      </c>
    </row>
    <row r="330">
      <c r="A330" s="93">
        <v>163.0</v>
      </c>
      <c r="B330" s="96" t="s">
        <v>64</v>
      </c>
      <c r="C330" s="96" t="s">
        <v>144</v>
      </c>
      <c r="D330" s="96" t="s">
        <v>145</v>
      </c>
      <c r="E330" s="93">
        <v>-5.0</v>
      </c>
      <c r="F330" s="93">
        <v>22.88722</v>
      </c>
      <c r="G330" s="93">
        <v>22.79570233349741</v>
      </c>
      <c r="H330" s="93">
        <v>6.932270166714613</v>
      </c>
      <c r="I330" s="93">
        <v>848.0</v>
      </c>
      <c r="J330" s="93">
        <v>843.0</v>
      </c>
      <c r="K330" s="93">
        <v>6.944116189</v>
      </c>
    </row>
    <row r="331">
      <c r="A331" s="93">
        <v>163.0</v>
      </c>
      <c r="B331" s="96" t="s">
        <v>95</v>
      </c>
      <c r="C331" s="96" t="s">
        <v>144</v>
      </c>
      <c r="D331" s="96" t="s">
        <v>145</v>
      </c>
      <c r="E331" s="93">
        <v>-7.0</v>
      </c>
      <c r="F331" s="93">
        <v>25.0</v>
      </c>
      <c r="G331" s="93">
        <v>24.868210452244696</v>
      </c>
      <c r="H331" s="93">
        <v>8.312209548025834</v>
      </c>
      <c r="I331" s="93">
        <v>850.0</v>
      </c>
      <c r="J331" s="93">
        <v>843.0</v>
      </c>
      <c r="K331" s="93">
        <v>8.333333333333334</v>
      </c>
    </row>
    <row r="332">
      <c r="A332" s="93">
        <v>162.0</v>
      </c>
      <c r="B332" s="96" t="s">
        <v>18</v>
      </c>
      <c r="C332" s="96" t="s">
        <v>142</v>
      </c>
      <c r="D332" s="96" t="s">
        <v>143</v>
      </c>
      <c r="E332" s="93">
        <v>30.0</v>
      </c>
      <c r="F332" s="93">
        <v>32.08231217</v>
      </c>
      <c r="G332" s="93">
        <v>32.495051677807496</v>
      </c>
      <c r="H332" s="93">
        <v>6.19955474911196</v>
      </c>
      <c r="I332" s="93">
        <v>1547.0</v>
      </c>
      <c r="J332" s="93">
        <v>1577.0</v>
      </c>
      <c r="K332" s="93">
        <v>6.226432905</v>
      </c>
    </row>
    <row r="333">
      <c r="A333" s="93">
        <v>162.0</v>
      </c>
      <c r="B333" s="96" t="s">
        <v>41</v>
      </c>
      <c r="C333" s="96" t="s">
        <v>142</v>
      </c>
      <c r="D333" s="96" t="s">
        <v>143</v>
      </c>
      <c r="E333" s="93">
        <v>34.0</v>
      </c>
      <c r="F333" s="93">
        <v>21.24614196</v>
      </c>
      <c r="G333" s="93">
        <v>21.69114101903268</v>
      </c>
      <c r="H333" s="93">
        <v>6.435022528047593</v>
      </c>
      <c r="I333" s="93">
        <v>785.0</v>
      </c>
      <c r="J333" s="93">
        <v>819.0</v>
      </c>
      <c r="K333" s="93">
        <v>6.465243679</v>
      </c>
    </row>
    <row r="334">
      <c r="A334" s="93">
        <v>162.0</v>
      </c>
      <c r="B334" s="96" t="s">
        <v>16</v>
      </c>
      <c r="C334" s="96" t="s">
        <v>142</v>
      </c>
      <c r="D334" s="96" t="s">
        <v>143</v>
      </c>
      <c r="E334" s="93">
        <v>25.0</v>
      </c>
      <c r="F334" s="93">
        <v>34.63438497</v>
      </c>
      <c r="G334" s="93">
        <v>34.978038573545206</v>
      </c>
      <c r="H334" s="93">
        <v>5.661193384874945</v>
      </c>
      <c r="I334" s="93">
        <v>1776.0</v>
      </c>
      <c r="J334" s="93">
        <v>1801.0</v>
      </c>
      <c r="K334" s="93">
        <v>5.6813361</v>
      </c>
    </row>
    <row r="335">
      <c r="A335" s="93">
        <v>162.0</v>
      </c>
      <c r="B335" s="96" t="s">
        <v>22</v>
      </c>
      <c r="C335" s="96" t="s">
        <v>144</v>
      </c>
      <c r="D335" s="96" t="s">
        <v>145</v>
      </c>
      <c r="E335" s="93">
        <v>-21.0</v>
      </c>
      <c r="F335" s="93">
        <v>29.60051816</v>
      </c>
      <c r="G335" s="93">
        <v>29.258816032259606</v>
      </c>
      <c r="H335" s="93">
        <v>5.645215897723887</v>
      </c>
      <c r="I335" s="93">
        <v>1435.0</v>
      </c>
      <c r="J335" s="93">
        <v>1414.0</v>
      </c>
      <c r="K335" s="93">
        <v>5.665177068</v>
      </c>
    </row>
    <row r="336">
      <c r="A336" s="93">
        <v>162.0</v>
      </c>
      <c r="B336" s="96" t="s">
        <v>67</v>
      </c>
      <c r="C336" s="96" t="s">
        <v>144</v>
      </c>
      <c r="D336" s="96" t="s">
        <v>145</v>
      </c>
      <c r="E336" s="93">
        <v>-28.0</v>
      </c>
      <c r="F336" s="93">
        <v>25.45657914</v>
      </c>
      <c r="G336" s="93">
        <v>24.989165941400245</v>
      </c>
      <c r="H336" s="93">
        <v>6.59349028048532</v>
      </c>
      <c r="I336" s="93">
        <v>1055.0</v>
      </c>
      <c r="J336" s="93">
        <v>1027.0</v>
      </c>
      <c r="K336" s="93">
        <v>6.626105235</v>
      </c>
    </row>
    <row r="337">
      <c r="A337" s="93">
        <v>162.0</v>
      </c>
      <c r="B337" s="96" t="s">
        <v>27</v>
      </c>
      <c r="C337" s="96" t="s">
        <v>144</v>
      </c>
      <c r="D337" s="96" t="s">
        <v>145</v>
      </c>
      <c r="E337" s="93">
        <v>-26.0</v>
      </c>
      <c r="F337" s="93">
        <v>33.59680242</v>
      </c>
      <c r="G337" s="93">
        <v>33.17649925589543</v>
      </c>
      <c r="H337" s="93">
        <v>6.255588759325075</v>
      </c>
      <c r="I337" s="93">
        <v>1644.0</v>
      </c>
      <c r="J337" s="93">
        <v>1618.0</v>
      </c>
      <c r="K337" s="93">
        <v>6.283239719</v>
      </c>
    </row>
    <row r="338">
      <c r="A338" s="93">
        <v>162.0</v>
      </c>
      <c r="B338" s="96" t="s">
        <v>44</v>
      </c>
      <c r="C338" s="96" t="s">
        <v>144</v>
      </c>
      <c r="D338" s="96" t="s">
        <v>145</v>
      </c>
      <c r="E338" s="93">
        <v>-32.0</v>
      </c>
      <c r="F338" s="93">
        <v>27.02988372</v>
      </c>
      <c r="G338" s="93">
        <v>26.500015120882345</v>
      </c>
      <c r="H338" s="93">
        <v>7.015430784575401</v>
      </c>
      <c r="I338" s="93">
        <v>1118.0</v>
      </c>
      <c r="J338" s="93">
        <v>1086.0</v>
      </c>
      <c r="K338" s="93">
        <v>7.055012123</v>
      </c>
    </row>
    <row r="339">
      <c r="A339" s="93">
        <v>162.0</v>
      </c>
      <c r="B339" s="96" t="s">
        <v>33</v>
      </c>
      <c r="C339" s="96" t="s">
        <v>144</v>
      </c>
      <c r="D339" s="96" t="s">
        <v>145</v>
      </c>
      <c r="E339" s="93">
        <v>-28.0</v>
      </c>
      <c r="F339" s="93">
        <v>30.30806324</v>
      </c>
      <c r="G339" s="93">
        <v>29.84216633699994</v>
      </c>
      <c r="H339" s="93">
        <v>6.582895249095726</v>
      </c>
      <c r="I339" s="93">
        <v>1386.0</v>
      </c>
      <c r="J339" s="93">
        <v>1358.0</v>
      </c>
      <c r="K339" s="93">
        <v>6.615346459</v>
      </c>
    </row>
    <row r="340">
      <c r="A340" s="93">
        <v>162.0</v>
      </c>
      <c r="B340" s="96" t="s">
        <v>23</v>
      </c>
      <c r="C340" s="96" t="s">
        <v>144</v>
      </c>
      <c r="D340" s="96" t="s">
        <v>145</v>
      </c>
      <c r="E340" s="93">
        <v>-21.0</v>
      </c>
      <c r="F340" s="93">
        <v>36.26266599</v>
      </c>
      <c r="G340" s="93">
        <v>35.925434604304</v>
      </c>
      <c r="H340" s="93">
        <v>5.608435450929669</v>
      </c>
      <c r="I340" s="93">
        <v>1892.0</v>
      </c>
      <c r="J340" s="93">
        <v>1871.0</v>
      </c>
      <c r="K340" s="93">
        <v>5.627982567</v>
      </c>
    </row>
    <row r="341">
      <c r="A341" s="93">
        <v>162.0</v>
      </c>
      <c r="B341" s="96" t="s">
        <v>24</v>
      </c>
      <c r="C341" s="96" t="s">
        <v>144</v>
      </c>
      <c r="D341" s="96" t="s">
        <v>145</v>
      </c>
      <c r="E341" s="93">
        <v>-24.0</v>
      </c>
      <c r="F341" s="93">
        <v>29.6443298</v>
      </c>
      <c r="G341" s="93">
        <v>29.241493436602862</v>
      </c>
      <c r="H341" s="93">
        <v>6.125385665767142</v>
      </c>
      <c r="I341" s="93">
        <v>1388.0</v>
      </c>
      <c r="J341" s="93">
        <v>1364.0</v>
      </c>
      <c r="K341" s="93">
        <v>6.151262322</v>
      </c>
    </row>
    <row r="342">
      <c r="A342" s="93">
        <v>162.0</v>
      </c>
      <c r="B342" s="96" t="s">
        <v>123</v>
      </c>
      <c r="C342" s="96" t="s">
        <v>144</v>
      </c>
      <c r="D342" s="96" t="s">
        <v>145</v>
      </c>
      <c r="E342" s="93">
        <v>-40.0</v>
      </c>
      <c r="F342" s="93">
        <v>21.98123218</v>
      </c>
      <c r="G342" s="93">
        <v>21.309976630207444</v>
      </c>
      <c r="H342" s="93">
        <v>7.8839838651578065</v>
      </c>
      <c r="I342" s="93">
        <v>685.0</v>
      </c>
      <c r="J342" s="93">
        <v>645.0</v>
      </c>
      <c r="K342" s="93">
        <v>7.9408466</v>
      </c>
    </row>
    <row r="343">
      <c r="A343" s="93">
        <v>162.0</v>
      </c>
      <c r="B343" s="96" t="s">
        <v>29</v>
      </c>
      <c r="C343" s="96" t="s">
        <v>144</v>
      </c>
      <c r="D343" s="96" t="s">
        <v>145</v>
      </c>
      <c r="E343" s="93">
        <v>-24.0</v>
      </c>
      <c r="F343" s="93">
        <v>29.71119589</v>
      </c>
      <c r="G343" s="93">
        <v>29.316615738239747</v>
      </c>
      <c r="H343" s="93">
        <v>6.062832729054123</v>
      </c>
      <c r="I343" s="93">
        <v>1399.0</v>
      </c>
      <c r="J343" s="93">
        <v>1375.0</v>
      </c>
      <c r="K343" s="93">
        <v>6.08788348</v>
      </c>
    </row>
    <row r="344">
      <c r="A344" s="93">
        <v>162.0</v>
      </c>
      <c r="B344" s="96" t="s">
        <v>42</v>
      </c>
      <c r="C344" s="96" t="s">
        <v>144</v>
      </c>
      <c r="D344" s="96" t="s">
        <v>145</v>
      </c>
      <c r="E344" s="93">
        <v>-30.0</v>
      </c>
      <c r="F344" s="93">
        <v>28.25590393</v>
      </c>
      <c r="G344" s="93">
        <v>27.765314955450098</v>
      </c>
      <c r="H344" s="93">
        <v>6.753275883263801</v>
      </c>
      <c r="I344" s="93">
        <v>1229.0</v>
      </c>
      <c r="J344" s="93">
        <v>1199.0</v>
      </c>
      <c r="K344" s="93">
        <v>6.788425739</v>
      </c>
    </row>
    <row r="345">
      <c r="A345" s="93">
        <v>162.0</v>
      </c>
      <c r="B345" s="96" t="s">
        <v>38</v>
      </c>
      <c r="C345" s="96" t="s">
        <v>144</v>
      </c>
      <c r="D345" s="96" t="s">
        <v>148</v>
      </c>
      <c r="E345" s="93">
        <v>0.0</v>
      </c>
      <c r="F345" s="93" t="s">
        <v>147</v>
      </c>
      <c r="G345" s="93" t="s">
        <v>147</v>
      </c>
      <c r="H345" s="93" t="s">
        <v>147</v>
      </c>
      <c r="I345" s="93" t="s">
        <v>147</v>
      </c>
      <c r="J345" s="93" t="s">
        <v>147</v>
      </c>
      <c r="K345" s="93" t="s">
        <v>147</v>
      </c>
    </row>
    <row r="346">
      <c r="A346" s="93">
        <v>162.0</v>
      </c>
      <c r="B346" s="96" t="s">
        <v>50</v>
      </c>
      <c r="C346" s="96" t="s">
        <v>144</v>
      </c>
      <c r="D346" s="96" t="s">
        <v>145</v>
      </c>
      <c r="E346" s="93">
        <v>-32.0</v>
      </c>
      <c r="F346" s="93">
        <v>21.7536815</v>
      </c>
      <c r="G346" s="93">
        <v>21.230383992242686</v>
      </c>
      <c r="H346" s="93">
        <v>6.972292584776506</v>
      </c>
      <c r="I346" s="93">
        <v>764.0</v>
      </c>
      <c r="J346" s="93">
        <v>732.0</v>
      </c>
      <c r="K346" s="93">
        <v>7.011120931</v>
      </c>
    </row>
    <row r="347">
      <c r="A347" s="93">
        <v>161.0</v>
      </c>
      <c r="B347" s="96" t="s">
        <v>47</v>
      </c>
      <c r="C347" s="96" t="s">
        <v>142</v>
      </c>
      <c r="D347" s="96" t="s">
        <v>145</v>
      </c>
      <c r="E347" s="93">
        <v>-47.0</v>
      </c>
      <c r="F347" s="93">
        <v>25.75480248</v>
      </c>
      <c r="G347" s="93">
        <v>25.015958118825207</v>
      </c>
      <c r="H347" s="93">
        <v>5.759096218619777</v>
      </c>
      <c r="I347" s="93">
        <v>1161.0</v>
      </c>
      <c r="J347" s="93">
        <v>1114.0</v>
      </c>
      <c r="K347" s="93">
        <v>5.789668538</v>
      </c>
    </row>
    <row r="348">
      <c r="A348" s="93">
        <v>161.0</v>
      </c>
      <c r="B348" s="96" t="s">
        <v>123</v>
      </c>
      <c r="C348" s="96" t="s">
        <v>142</v>
      </c>
      <c r="D348" s="96" t="s">
        <v>145</v>
      </c>
      <c r="E348" s="93">
        <v>-88.0</v>
      </c>
      <c r="F348" s="93">
        <v>23.40021277</v>
      </c>
      <c r="G348" s="93">
        <v>21.98123217714932</v>
      </c>
      <c r="H348" s="93">
        <v>7.940846599594652</v>
      </c>
      <c r="I348" s="93">
        <v>773.0</v>
      </c>
      <c r="J348" s="93">
        <v>685.0</v>
      </c>
      <c r="K348" s="93">
        <v>8.024103008</v>
      </c>
    </row>
    <row r="349">
      <c r="A349" s="93">
        <v>161.0</v>
      </c>
      <c r="B349" s="96" t="s">
        <v>29</v>
      </c>
      <c r="C349" s="96" t="s">
        <v>142</v>
      </c>
      <c r="D349" s="96" t="s">
        <v>145</v>
      </c>
      <c r="E349" s="93">
        <v>-53.0</v>
      </c>
      <c r="F349" s="93">
        <v>30.53788567</v>
      </c>
      <c r="G349" s="93">
        <v>29.711195890079914</v>
      </c>
      <c r="H349" s="93">
        <v>6.0878834803401904</v>
      </c>
      <c r="I349" s="93">
        <v>1452.0</v>
      </c>
      <c r="J349" s="93">
        <v>1399.0</v>
      </c>
      <c r="K349" s="93">
        <v>6.12428492</v>
      </c>
    </row>
    <row r="350">
      <c r="A350" s="93">
        <v>161.0</v>
      </c>
      <c r="B350" s="96" t="s">
        <v>16</v>
      </c>
      <c r="C350" s="96" t="s">
        <v>144</v>
      </c>
      <c r="D350" s="96" t="s">
        <v>143</v>
      </c>
      <c r="E350" s="93">
        <v>52.0</v>
      </c>
      <c r="F350" s="93">
        <v>33.9155712</v>
      </c>
      <c r="G350" s="93">
        <v>34.634384974338914</v>
      </c>
      <c r="H350" s="93">
        <v>5.681336099634078</v>
      </c>
      <c r="I350" s="93">
        <v>1724.0</v>
      </c>
      <c r="J350" s="93">
        <v>1776.0</v>
      </c>
      <c r="K350" s="93">
        <v>5.710624568</v>
      </c>
    </row>
    <row r="351">
      <c r="A351" s="93">
        <v>161.0</v>
      </c>
      <c r="B351" s="96" t="s">
        <v>72</v>
      </c>
      <c r="C351" s="96" t="s">
        <v>144</v>
      </c>
      <c r="D351" s="96" t="s">
        <v>143</v>
      </c>
      <c r="E351" s="93">
        <v>114.0</v>
      </c>
      <c r="F351" s="93">
        <v>25.0</v>
      </c>
      <c r="G351" s="93">
        <v>26.53043912908122</v>
      </c>
      <c r="H351" s="93">
        <v>8.239940301692279</v>
      </c>
      <c r="I351" s="93">
        <v>850.0</v>
      </c>
      <c r="J351" s="93">
        <v>964.0</v>
      </c>
      <c r="K351" s="93">
        <v>8.333333333333334</v>
      </c>
    </row>
    <row r="352">
      <c r="A352" s="93">
        <v>161.0</v>
      </c>
      <c r="B352" s="96" t="s">
        <v>44</v>
      </c>
      <c r="C352" s="96" t="s">
        <v>144</v>
      </c>
      <c r="D352" s="96" t="s">
        <v>143</v>
      </c>
      <c r="E352" s="93">
        <v>81.0</v>
      </c>
      <c r="F352" s="93">
        <v>25.91490433</v>
      </c>
      <c r="G352" s="93">
        <v>27.029883720341424</v>
      </c>
      <c r="H352" s="93">
        <v>7.055012123054967</v>
      </c>
      <c r="I352" s="93">
        <v>1037.0</v>
      </c>
      <c r="J352" s="93">
        <v>1118.0</v>
      </c>
      <c r="K352" s="93">
        <v>7.11266725</v>
      </c>
    </row>
    <row r="353">
      <c r="A353" s="93">
        <v>161.0</v>
      </c>
      <c r="B353" s="96" t="s">
        <v>34</v>
      </c>
      <c r="C353" s="96" t="s">
        <v>144</v>
      </c>
      <c r="D353" s="96" t="s">
        <v>143</v>
      </c>
      <c r="E353" s="93">
        <v>78.0</v>
      </c>
      <c r="F353" s="93">
        <v>28.0136843</v>
      </c>
      <c r="G353" s="93">
        <v>29.074369375564242</v>
      </c>
      <c r="H353" s="93">
        <v>6.88387792716556</v>
      </c>
      <c r="I353" s="93">
        <v>1197.0</v>
      </c>
      <c r="J353" s="93">
        <v>1275.0</v>
      </c>
      <c r="K353" s="93">
        <v>6.937294057</v>
      </c>
    </row>
    <row r="354">
      <c r="A354" s="93">
        <v>161.0</v>
      </c>
      <c r="B354" s="96" t="s">
        <v>67</v>
      </c>
      <c r="C354" s="96" t="s">
        <v>144</v>
      </c>
      <c r="D354" s="96" t="s">
        <v>143</v>
      </c>
      <c r="E354" s="93">
        <v>71.0</v>
      </c>
      <c r="F354" s="93">
        <v>24.47499925</v>
      </c>
      <c r="G354" s="93">
        <v>25.456579143721658</v>
      </c>
      <c r="H354" s="93">
        <v>6.626105234979999</v>
      </c>
      <c r="I354" s="93">
        <v>984.0</v>
      </c>
      <c r="J354" s="93">
        <v>1055.0</v>
      </c>
      <c r="K354" s="93">
        <v>6.673536887</v>
      </c>
    </row>
    <row r="355">
      <c r="A355" s="93">
        <v>161.0</v>
      </c>
      <c r="B355" s="96" t="s">
        <v>33</v>
      </c>
      <c r="C355" s="96" t="s">
        <v>144</v>
      </c>
      <c r="D355" s="96" t="s">
        <v>143</v>
      </c>
      <c r="E355" s="93">
        <v>71.0</v>
      </c>
      <c r="F355" s="93">
        <v>29.32971535</v>
      </c>
      <c r="G355" s="93">
        <v>30.30806324042214</v>
      </c>
      <c r="H355" s="93">
        <v>6.6153464587698085</v>
      </c>
      <c r="I355" s="93">
        <v>1315.0</v>
      </c>
      <c r="J355" s="93">
        <v>1386.0</v>
      </c>
      <c r="K355" s="93">
        <v>6.662538532</v>
      </c>
    </row>
    <row r="356">
      <c r="A356" s="93">
        <v>161.0</v>
      </c>
      <c r="B356" s="96" t="s">
        <v>119</v>
      </c>
      <c r="C356" s="96" t="s">
        <v>144</v>
      </c>
      <c r="D356" s="96" t="s">
        <v>143</v>
      </c>
      <c r="E356" s="93">
        <v>89.0</v>
      </c>
      <c r="F356" s="93">
        <v>20.59014505</v>
      </c>
      <c r="G356" s="93">
        <v>21.80365563473072</v>
      </c>
      <c r="H356" s="93">
        <v>7.354736499601575</v>
      </c>
      <c r="I356" s="93">
        <v>643.0</v>
      </c>
      <c r="J356" s="93">
        <v>732.0</v>
      </c>
      <c r="K356" s="93">
        <v>7.420349161</v>
      </c>
    </row>
    <row r="357">
      <c r="A357" s="93">
        <v>161.0</v>
      </c>
      <c r="B357" s="96" t="s">
        <v>91</v>
      </c>
      <c r="C357" s="96" t="s">
        <v>144</v>
      </c>
      <c r="D357" s="96" t="s">
        <v>143</v>
      </c>
      <c r="E357" s="93">
        <v>114.0</v>
      </c>
      <c r="F357" s="93">
        <v>25.0</v>
      </c>
      <c r="G357" s="93">
        <v>26.53043912908122</v>
      </c>
      <c r="H357" s="93">
        <v>8.239940301692279</v>
      </c>
      <c r="I357" s="93">
        <v>850.0</v>
      </c>
      <c r="J357" s="93">
        <v>964.0</v>
      </c>
      <c r="K357" s="93">
        <v>8.333333333333334</v>
      </c>
    </row>
    <row r="358">
      <c r="A358" s="93">
        <v>161.0</v>
      </c>
      <c r="B358" s="96" t="s">
        <v>42</v>
      </c>
      <c r="C358" s="96" t="s">
        <v>144</v>
      </c>
      <c r="D358" s="96" t="s">
        <v>143</v>
      </c>
      <c r="E358" s="93">
        <v>75.0</v>
      </c>
      <c r="F358" s="93">
        <v>27.22488529</v>
      </c>
      <c r="G358" s="93">
        <v>28.255903934459116</v>
      </c>
      <c r="H358" s="93">
        <v>6.788425738770261</v>
      </c>
      <c r="I358" s="93">
        <v>1154.0</v>
      </c>
      <c r="J358" s="93">
        <v>1229.0</v>
      </c>
      <c r="K358" s="93">
        <v>6.839570584</v>
      </c>
    </row>
    <row r="359">
      <c r="A359" s="93">
        <v>161.0</v>
      </c>
      <c r="B359" s="96" t="s">
        <v>18</v>
      </c>
      <c r="C359" s="96" t="s">
        <v>144</v>
      </c>
      <c r="D359" s="96" t="s">
        <v>148</v>
      </c>
      <c r="E359" s="93">
        <v>0.0</v>
      </c>
      <c r="F359" s="93" t="s">
        <v>147</v>
      </c>
      <c r="G359" s="93" t="s">
        <v>147</v>
      </c>
      <c r="H359" s="93" t="s">
        <v>147</v>
      </c>
      <c r="I359" s="93" t="s">
        <v>147</v>
      </c>
      <c r="J359" s="93" t="s">
        <v>147</v>
      </c>
      <c r="K359" s="93" t="s">
        <v>147</v>
      </c>
    </row>
    <row r="360">
      <c r="A360" s="93">
        <v>161.0</v>
      </c>
      <c r="B360" s="96" t="s">
        <v>23</v>
      </c>
      <c r="C360" s="96" t="s">
        <v>144</v>
      </c>
      <c r="D360" s="96" t="s">
        <v>148</v>
      </c>
      <c r="E360" s="93">
        <v>0.0</v>
      </c>
      <c r="F360" s="93" t="s">
        <v>147</v>
      </c>
      <c r="G360" s="93" t="s">
        <v>147</v>
      </c>
      <c r="H360" s="93" t="s">
        <v>147</v>
      </c>
      <c r="I360" s="93" t="s">
        <v>147</v>
      </c>
      <c r="J360" s="93" t="s">
        <v>147</v>
      </c>
      <c r="K360" s="93" t="s">
        <v>147</v>
      </c>
    </row>
    <row r="361">
      <c r="A361" s="93">
        <v>161.0</v>
      </c>
      <c r="B361" s="96" t="s">
        <v>37</v>
      </c>
      <c r="C361" s="96" t="s">
        <v>144</v>
      </c>
      <c r="D361" s="96" t="s">
        <v>143</v>
      </c>
      <c r="E361" s="93">
        <v>98.0</v>
      </c>
      <c r="F361" s="93">
        <v>27.43335082</v>
      </c>
      <c r="G361" s="93">
        <v>28.771782857098078</v>
      </c>
      <c r="H361" s="93">
        <v>7.7168199299514715</v>
      </c>
      <c r="I361" s="93">
        <v>1071.0</v>
      </c>
      <c r="J361" s="93">
        <v>1169.0</v>
      </c>
      <c r="K361" s="93">
        <v>7.792995033</v>
      </c>
    </row>
    <row r="362">
      <c r="A362" s="93">
        <v>160.0</v>
      </c>
      <c r="B362" s="96" t="s">
        <v>38</v>
      </c>
      <c r="C362" s="96" t="s">
        <v>142</v>
      </c>
      <c r="D362" s="96" t="s">
        <v>143</v>
      </c>
      <c r="E362" s="93">
        <v>14.0</v>
      </c>
      <c r="F362" s="93">
        <v>26.26213676</v>
      </c>
      <c r="G362" s="93">
        <v>26.445538253225497</v>
      </c>
      <c r="H362" s="93">
        <v>5.662865247056715</v>
      </c>
      <c r="I362" s="93">
        <v>1207.0</v>
      </c>
      <c r="J362" s="93">
        <v>1221.0</v>
      </c>
      <c r="K362" s="93">
        <v>5.677392408</v>
      </c>
    </row>
    <row r="363">
      <c r="A363" s="93">
        <v>160.0</v>
      </c>
      <c r="B363" s="96" t="s">
        <v>21</v>
      </c>
      <c r="C363" s="96" t="s">
        <v>142</v>
      </c>
      <c r="D363" s="96" t="s">
        <v>143</v>
      </c>
      <c r="E363" s="93">
        <v>22.0</v>
      </c>
      <c r="F363" s="93">
        <v>29.87612168</v>
      </c>
      <c r="G363" s="93">
        <v>30.16677300109745</v>
      </c>
      <c r="H363" s="93">
        <v>7.11750684369473</v>
      </c>
      <c r="I363" s="93">
        <v>1303.0</v>
      </c>
      <c r="J363" s="93">
        <v>1325.0</v>
      </c>
      <c r="K363" s="93">
        <v>7.147571148</v>
      </c>
    </row>
    <row r="364">
      <c r="A364" s="93">
        <v>160.0</v>
      </c>
      <c r="B364" s="96" t="s">
        <v>23</v>
      </c>
      <c r="C364" s="96" t="s">
        <v>142</v>
      </c>
      <c r="D364" s="96" t="s">
        <v>143</v>
      </c>
      <c r="E364" s="93">
        <v>14.0</v>
      </c>
      <c r="F364" s="93">
        <v>36.0815292</v>
      </c>
      <c r="G364" s="93">
        <v>36.26266599463284</v>
      </c>
      <c r="H364" s="93">
        <v>5.627982567120606</v>
      </c>
      <c r="I364" s="93">
        <v>1878.0</v>
      </c>
      <c r="J364" s="93">
        <v>1892.0</v>
      </c>
      <c r="K364" s="93">
        <v>5.642219478</v>
      </c>
    </row>
    <row r="365">
      <c r="A365" s="93">
        <v>160.0</v>
      </c>
      <c r="B365" s="96" t="s">
        <v>34</v>
      </c>
      <c r="C365" s="96" t="s">
        <v>144</v>
      </c>
      <c r="D365" s="96" t="s">
        <v>145</v>
      </c>
      <c r="E365" s="93">
        <v>-16.0</v>
      </c>
      <c r="F365" s="93">
        <v>28.28968303</v>
      </c>
      <c r="G365" s="93">
        <v>28.013684295973643</v>
      </c>
      <c r="H365" s="93">
        <v>6.937294056747238</v>
      </c>
      <c r="I365" s="93">
        <v>1213.0</v>
      </c>
      <c r="J365" s="93">
        <v>1197.0</v>
      </c>
      <c r="K365" s="93">
        <v>6.96504016</v>
      </c>
    </row>
    <row r="366">
      <c r="A366" s="93">
        <v>160.0</v>
      </c>
      <c r="B366" s="96" t="s">
        <v>146</v>
      </c>
      <c r="C366" s="96" t="s">
        <v>144</v>
      </c>
      <c r="D366" s="96" t="s">
        <v>146</v>
      </c>
      <c r="E366" s="93">
        <v>0.0</v>
      </c>
      <c r="F366" s="93" t="s">
        <v>147</v>
      </c>
      <c r="G366" s="93" t="s">
        <v>147</v>
      </c>
      <c r="H366" s="93" t="s">
        <v>147</v>
      </c>
      <c r="I366" s="93" t="s">
        <v>147</v>
      </c>
      <c r="J366" s="93" t="s">
        <v>147</v>
      </c>
      <c r="K366" s="93" t="s">
        <v>147</v>
      </c>
    </row>
    <row r="367">
      <c r="A367" s="93">
        <v>160.0</v>
      </c>
      <c r="B367" s="96" t="s">
        <v>97</v>
      </c>
      <c r="C367" s="96" t="s">
        <v>144</v>
      </c>
      <c r="D367" s="96" t="s">
        <v>145</v>
      </c>
      <c r="E367" s="93">
        <v>-12.0</v>
      </c>
      <c r="F367" s="93">
        <v>23.98366051</v>
      </c>
      <c r="G367" s="93">
        <v>23.771575282431627</v>
      </c>
      <c r="H367" s="93">
        <v>6.087021910919633</v>
      </c>
      <c r="I367" s="93">
        <v>1008.0</v>
      </c>
      <c r="J367" s="93">
        <v>996.0</v>
      </c>
      <c r="K367" s="93">
        <v>6.105367351</v>
      </c>
    </row>
    <row r="368">
      <c r="A368" s="93">
        <v>160.0</v>
      </c>
      <c r="B368" s="96" t="s">
        <v>27</v>
      </c>
      <c r="C368" s="96" t="s">
        <v>144</v>
      </c>
      <c r="D368" s="96" t="s">
        <v>145</v>
      </c>
      <c r="E368" s="93">
        <v>-13.0</v>
      </c>
      <c r="F368" s="93">
        <v>33.82287538</v>
      </c>
      <c r="G368" s="93">
        <v>33.59680241536199</v>
      </c>
      <c r="H368" s="93">
        <v>6.283239718839273</v>
      </c>
      <c r="I368" s="93">
        <v>1657.0</v>
      </c>
      <c r="J368" s="93">
        <v>1644.0</v>
      </c>
      <c r="K368" s="93">
        <v>6.303539945</v>
      </c>
    </row>
    <row r="369">
      <c r="A369" s="93">
        <v>160.0</v>
      </c>
      <c r="B369" s="96" t="s">
        <v>44</v>
      </c>
      <c r="C369" s="96" t="s">
        <v>144</v>
      </c>
      <c r="D369" s="96" t="s">
        <v>145</v>
      </c>
      <c r="E369" s="93">
        <v>-16.0</v>
      </c>
      <c r="F369" s="93">
        <v>26.20515708</v>
      </c>
      <c r="G369" s="93">
        <v>25.914904333094444</v>
      </c>
      <c r="H369" s="93">
        <v>7.112667250396097</v>
      </c>
      <c r="I369" s="93">
        <v>1053.0</v>
      </c>
      <c r="J369" s="93">
        <v>1037.0</v>
      </c>
      <c r="K369" s="93">
        <v>7.142667725</v>
      </c>
    </row>
    <row r="370">
      <c r="A370" s="93">
        <v>160.0</v>
      </c>
      <c r="B370" s="96" t="s">
        <v>80</v>
      </c>
      <c r="C370" s="96" t="s">
        <v>144</v>
      </c>
      <c r="D370" s="96" t="s">
        <v>145</v>
      </c>
      <c r="E370" s="93">
        <v>-17.0</v>
      </c>
      <c r="F370" s="93">
        <v>24.45013663</v>
      </c>
      <c r="G370" s="93">
        <v>24.151833139570353</v>
      </c>
      <c r="H370" s="93">
        <v>7.209769447083196</v>
      </c>
      <c r="I370" s="93">
        <v>924.0</v>
      </c>
      <c r="J370" s="93">
        <v>907.0</v>
      </c>
      <c r="K370" s="93">
        <v>7.241067473</v>
      </c>
    </row>
    <row r="371">
      <c r="A371" s="93">
        <v>160.0</v>
      </c>
      <c r="B371" s="96" t="s">
        <v>33</v>
      </c>
      <c r="C371" s="96" t="s">
        <v>144</v>
      </c>
      <c r="D371" s="96" t="s">
        <v>145</v>
      </c>
      <c r="E371" s="93">
        <v>-15.0</v>
      </c>
      <c r="F371" s="93">
        <v>29.58412117</v>
      </c>
      <c r="G371" s="93">
        <v>29.329715346503836</v>
      </c>
      <c r="H371" s="93">
        <v>6.662538531900049</v>
      </c>
      <c r="I371" s="93">
        <v>1330.0</v>
      </c>
      <c r="J371" s="93">
        <v>1315.0</v>
      </c>
      <c r="K371" s="93">
        <v>6.686976621</v>
      </c>
    </row>
    <row r="372">
      <c r="A372" s="93">
        <v>160.0</v>
      </c>
      <c r="B372" s="96" t="s">
        <v>41</v>
      </c>
      <c r="C372" s="96" t="s">
        <v>144</v>
      </c>
      <c r="D372" s="96" t="s">
        <v>148</v>
      </c>
      <c r="E372" s="93">
        <v>0.0</v>
      </c>
      <c r="F372" s="93" t="s">
        <v>147</v>
      </c>
      <c r="G372" s="93" t="s">
        <v>147</v>
      </c>
      <c r="H372" s="93" t="s">
        <v>147</v>
      </c>
      <c r="I372" s="93" t="s">
        <v>147</v>
      </c>
      <c r="J372" s="93" t="s">
        <v>147</v>
      </c>
      <c r="K372" s="93" t="s">
        <v>147</v>
      </c>
    </row>
    <row r="373">
      <c r="A373" s="93">
        <v>160.0</v>
      </c>
      <c r="B373" s="96" t="s">
        <v>22</v>
      </c>
      <c r="C373" s="96" t="s">
        <v>144</v>
      </c>
      <c r="D373" s="96" t="s">
        <v>145</v>
      </c>
      <c r="E373" s="93">
        <v>-11.0</v>
      </c>
      <c r="F373" s="93">
        <v>29.78407025</v>
      </c>
      <c r="G373" s="93">
        <v>29.60051816044661</v>
      </c>
      <c r="H373" s="93">
        <v>5.665177067878243</v>
      </c>
      <c r="I373" s="93">
        <v>1446.0</v>
      </c>
      <c r="J373" s="93">
        <v>1435.0</v>
      </c>
      <c r="K373" s="93">
        <v>5.679723589</v>
      </c>
    </row>
    <row r="374">
      <c r="A374" s="93">
        <v>160.0</v>
      </c>
      <c r="B374" s="96" t="s">
        <v>50</v>
      </c>
      <c r="C374" s="96" t="s">
        <v>144</v>
      </c>
      <c r="D374" s="96" t="s">
        <v>145</v>
      </c>
      <c r="E374" s="93">
        <v>-16.0</v>
      </c>
      <c r="F374" s="93">
        <v>22.03563589</v>
      </c>
      <c r="G374" s="93">
        <v>21.7536814965893</v>
      </c>
      <c r="H374" s="93">
        <v>7.0111209307536555</v>
      </c>
      <c r="I374" s="93">
        <v>780.0</v>
      </c>
      <c r="J374" s="93">
        <v>764.0</v>
      </c>
      <c r="K374" s="93">
        <v>7.039802227</v>
      </c>
    </row>
    <row r="375">
      <c r="A375" s="93">
        <v>160.0</v>
      </c>
      <c r="B375" s="96" t="s">
        <v>30</v>
      </c>
      <c r="C375" s="96" t="s">
        <v>144</v>
      </c>
      <c r="D375" s="96" t="s">
        <v>145</v>
      </c>
      <c r="E375" s="93">
        <v>-21.0</v>
      </c>
      <c r="F375" s="93">
        <v>25.16144745</v>
      </c>
      <c r="G375" s="93">
        <v>24.78297559885565</v>
      </c>
      <c r="H375" s="93">
        <v>8.111279838773838</v>
      </c>
      <c r="I375" s="93">
        <v>879.0</v>
      </c>
      <c r="J375" s="93">
        <v>858.0</v>
      </c>
      <c r="K375" s="93">
        <v>8.156408925</v>
      </c>
    </row>
    <row r="376">
      <c r="A376" s="93">
        <v>160.0</v>
      </c>
      <c r="B376" s="96" t="s">
        <v>26</v>
      </c>
      <c r="C376" s="96" t="s">
        <v>144</v>
      </c>
      <c r="D376" s="96" t="s">
        <v>145</v>
      </c>
      <c r="E376" s="93">
        <v>-12.0</v>
      </c>
      <c r="F376" s="93">
        <v>31.63617299</v>
      </c>
      <c r="G376" s="93">
        <v>31.433138465228197</v>
      </c>
      <c r="H376" s="93">
        <v>5.95652592719559</v>
      </c>
      <c r="I376" s="93">
        <v>1542.0</v>
      </c>
      <c r="J376" s="93">
        <v>1530.0</v>
      </c>
      <c r="K376" s="93">
        <v>5.973638536</v>
      </c>
    </row>
    <row r="377">
      <c r="A377" s="93">
        <v>159.0</v>
      </c>
      <c r="B377" s="96" t="s">
        <v>34</v>
      </c>
      <c r="C377" s="96" t="s">
        <v>142</v>
      </c>
      <c r="D377" s="96" t="s">
        <v>145</v>
      </c>
      <c r="E377" s="93">
        <v>-65.0</v>
      </c>
      <c r="F377" s="93">
        <v>29.32676517</v>
      </c>
      <c r="G377" s="93">
        <v>28.28968302842393</v>
      </c>
      <c r="H377" s="93">
        <v>6.965040159523077</v>
      </c>
      <c r="I377" s="93">
        <v>1278.0</v>
      </c>
      <c r="J377" s="93">
        <v>1213.0</v>
      </c>
      <c r="K377" s="93">
        <v>7.020001892</v>
      </c>
    </row>
    <row r="378">
      <c r="A378" s="93">
        <v>159.0</v>
      </c>
      <c r="B378" s="96" t="s">
        <v>41</v>
      </c>
      <c r="C378" s="96" t="s">
        <v>142</v>
      </c>
      <c r="D378" s="96" t="s">
        <v>145</v>
      </c>
      <c r="E378" s="93">
        <v>-56.0</v>
      </c>
      <c r="F378" s="93">
        <v>22.13771884</v>
      </c>
      <c r="G378" s="93">
        <v>21.24614195866555</v>
      </c>
      <c r="H378" s="93">
        <v>6.465243678990808</v>
      </c>
      <c r="I378" s="93">
        <v>841.0</v>
      </c>
      <c r="J378" s="93">
        <v>785.0</v>
      </c>
      <c r="K378" s="93">
        <v>6.508828961</v>
      </c>
    </row>
    <row r="379">
      <c r="A379" s="93">
        <v>159.0</v>
      </c>
      <c r="B379" s="96" t="s">
        <v>44</v>
      </c>
      <c r="C379" s="96" t="s">
        <v>142</v>
      </c>
      <c r="D379" s="96" t="s">
        <v>145</v>
      </c>
      <c r="E379" s="93">
        <v>-69.0</v>
      </c>
      <c r="F379" s="93">
        <v>27.29673117</v>
      </c>
      <c r="G379" s="93">
        <v>26.20515707815742</v>
      </c>
      <c r="H379" s="93">
        <v>7.142667725208084</v>
      </c>
      <c r="I379" s="93">
        <v>1122.0</v>
      </c>
      <c r="J379" s="93">
        <v>1053.0</v>
      </c>
      <c r="K379" s="93">
        <v>7.202105197</v>
      </c>
    </row>
    <row r="380">
      <c r="A380" s="93">
        <v>159.0</v>
      </c>
      <c r="B380" s="96" t="s">
        <v>30</v>
      </c>
      <c r="C380" s="96" t="s">
        <v>144</v>
      </c>
      <c r="D380" s="96" t="s">
        <v>143</v>
      </c>
      <c r="E380" s="93">
        <v>106.0</v>
      </c>
      <c r="F380" s="93">
        <v>23.73051468</v>
      </c>
      <c r="G380" s="93">
        <v>25.161447450391158</v>
      </c>
      <c r="H380" s="93">
        <v>8.15640892473046</v>
      </c>
      <c r="I380" s="93">
        <v>773.0</v>
      </c>
      <c r="J380" s="93">
        <v>879.0</v>
      </c>
      <c r="K380" s="93">
        <v>8.24617209</v>
      </c>
    </row>
    <row r="381">
      <c r="A381" s="93">
        <v>159.0</v>
      </c>
      <c r="B381" s="96" t="s">
        <v>33</v>
      </c>
      <c r="C381" s="96" t="s">
        <v>144</v>
      </c>
      <c r="D381" s="96" t="s">
        <v>143</v>
      </c>
      <c r="E381" s="93">
        <v>70.0</v>
      </c>
      <c r="F381" s="93">
        <v>28.62940952</v>
      </c>
      <c r="G381" s="93">
        <v>29.584121166808103</v>
      </c>
      <c r="H381" s="93">
        <v>6.686976620944878</v>
      </c>
      <c r="I381" s="93">
        <v>1260.0</v>
      </c>
      <c r="J381" s="93">
        <v>1330.0</v>
      </c>
      <c r="K381" s="93">
        <v>6.735393289</v>
      </c>
    </row>
    <row r="382">
      <c r="A382" s="93">
        <v>159.0</v>
      </c>
      <c r="B382" s="96" t="s">
        <v>21</v>
      </c>
      <c r="C382" s="96" t="s">
        <v>144</v>
      </c>
      <c r="D382" s="96" t="s">
        <v>148</v>
      </c>
      <c r="E382" s="93">
        <v>0.0</v>
      </c>
      <c r="F382" s="93" t="s">
        <v>147</v>
      </c>
      <c r="G382" s="93" t="s">
        <v>147</v>
      </c>
      <c r="H382" s="93" t="s">
        <v>147</v>
      </c>
      <c r="I382" s="93" t="s">
        <v>147</v>
      </c>
      <c r="J382" s="93" t="s">
        <v>147</v>
      </c>
      <c r="K382" s="93" t="s">
        <v>147</v>
      </c>
    </row>
    <row r="383">
      <c r="A383" s="93">
        <v>159.0</v>
      </c>
      <c r="B383" s="96" t="s">
        <v>50</v>
      </c>
      <c r="C383" s="96" t="s">
        <v>144</v>
      </c>
      <c r="D383" s="96" t="s">
        <v>143</v>
      </c>
      <c r="E383" s="93">
        <v>78.0</v>
      </c>
      <c r="F383" s="93">
        <v>20.97579711</v>
      </c>
      <c r="G383" s="93">
        <v>22.03563589163254</v>
      </c>
      <c r="H383" s="93">
        <v>7.039802227155308</v>
      </c>
      <c r="I383" s="93">
        <v>702.0</v>
      </c>
      <c r="J383" s="93">
        <v>780.0</v>
      </c>
      <c r="K383" s="93">
        <v>7.096619185</v>
      </c>
    </row>
    <row r="384">
      <c r="A384" s="93">
        <v>159.0</v>
      </c>
      <c r="B384" s="96" t="s">
        <v>97</v>
      </c>
      <c r="C384" s="96" t="s">
        <v>144</v>
      </c>
      <c r="D384" s="96" t="s">
        <v>143</v>
      </c>
      <c r="E384" s="93">
        <v>58.0</v>
      </c>
      <c r="F384" s="93">
        <v>23.18977487</v>
      </c>
      <c r="G384" s="93">
        <v>23.98366050901115</v>
      </c>
      <c r="H384" s="93">
        <v>6.105367351374395</v>
      </c>
      <c r="I384" s="93">
        <v>950.0</v>
      </c>
      <c r="J384" s="93">
        <v>1008.0</v>
      </c>
      <c r="K384" s="93">
        <v>6.14180644</v>
      </c>
    </row>
    <row r="385">
      <c r="A385" s="93">
        <v>159.0</v>
      </c>
      <c r="B385" s="96" t="s">
        <v>38</v>
      </c>
      <c r="C385" s="96" t="s">
        <v>144</v>
      </c>
      <c r="D385" s="96" t="s">
        <v>143</v>
      </c>
      <c r="E385" s="93">
        <v>50.0</v>
      </c>
      <c r="F385" s="93">
        <v>25.576797</v>
      </c>
      <c r="G385" s="93">
        <v>26.262136764430355</v>
      </c>
      <c r="H385" s="93">
        <v>5.677392408428326</v>
      </c>
      <c r="I385" s="93">
        <v>1157.0</v>
      </c>
      <c r="J385" s="93">
        <v>1207.0</v>
      </c>
      <c r="K385" s="93">
        <v>5.706384094</v>
      </c>
    </row>
    <row r="386">
      <c r="A386" s="93">
        <v>159.0</v>
      </c>
      <c r="B386" s="96" t="s">
        <v>80</v>
      </c>
      <c r="C386" s="96" t="s">
        <v>144</v>
      </c>
      <c r="D386" s="96" t="s">
        <v>143</v>
      </c>
      <c r="E386" s="93">
        <v>83.0</v>
      </c>
      <c r="F386" s="93">
        <v>23.3277438</v>
      </c>
      <c r="G386" s="93">
        <v>24.450136629715054</v>
      </c>
      <c r="H386" s="93">
        <v>7.241067472968468</v>
      </c>
      <c r="I386" s="93">
        <v>841.0</v>
      </c>
      <c r="J386" s="93">
        <v>924.0</v>
      </c>
      <c r="K386" s="93">
        <v>7.30308646</v>
      </c>
    </row>
    <row r="387">
      <c r="A387" s="93">
        <v>159.0</v>
      </c>
      <c r="B387" s="96" t="s">
        <v>23</v>
      </c>
      <c r="C387" s="96" t="s">
        <v>144</v>
      </c>
      <c r="D387" s="96" t="s">
        <v>143</v>
      </c>
      <c r="E387" s="93">
        <v>49.0</v>
      </c>
      <c r="F387" s="93">
        <v>35.40474397</v>
      </c>
      <c r="G387" s="93">
        <v>36.08152920227296</v>
      </c>
      <c r="H387" s="93">
        <v>5.64221947797581</v>
      </c>
      <c r="I387" s="93">
        <v>1829.0</v>
      </c>
      <c r="J387" s="93">
        <v>1878.0</v>
      </c>
      <c r="K387" s="93">
        <v>5.670647206</v>
      </c>
    </row>
    <row r="388">
      <c r="A388" s="93">
        <v>159.0</v>
      </c>
      <c r="B388" s="96" t="s">
        <v>26</v>
      </c>
      <c r="C388" s="96" t="s">
        <v>144</v>
      </c>
      <c r="D388" s="96" t="s">
        <v>143</v>
      </c>
      <c r="E388" s="93">
        <v>55.0</v>
      </c>
      <c r="F388" s="93">
        <v>30.87657698</v>
      </c>
      <c r="G388" s="93">
        <v>31.63617299108189</v>
      </c>
      <c r="H388" s="93">
        <v>5.973638536406698</v>
      </c>
      <c r="I388" s="93">
        <v>1487.0</v>
      </c>
      <c r="J388" s="93">
        <v>1542.0</v>
      </c>
      <c r="K388" s="93">
        <v>6.007667547</v>
      </c>
    </row>
    <row r="389">
      <c r="A389" s="93">
        <v>159.0</v>
      </c>
      <c r="B389" s="96" t="s">
        <v>22</v>
      </c>
      <c r="C389" s="96" t="s">
        <v>144</v>
      </c>
      <c r="D389" s="96" t="s">
        <v>143</v>
      </c>
      <c r="E389" s="93">
        <v>50.0</v>
      </c>
      <c r="F389" s="93">
        <v>29.09816155</v>
      </c>
      <c r="G389" s="93">
        <v>29.78407024825125</v>
      </c>
      <c r="H389" s="93">
        <v>5.679723588809973</v>
      </c>
      <c r="I389" s="93">
        <v>1396.0</v>
      </c>
      <c r="J389" s="93">
        <v>1446.0</v>
      </c>
      <c r="K389" s="93">
        <v>5.708752903</v>
      </c>
    </row>
    <row r="390">
      <c r="A390" s="93">
        <v>159.0</v>
      </c>
      <c r="B390" s="96" t="s">
        <v>60</v>
      </c>
      <c r="C390" s="96" t="s">
        <v>144</v>
      </c>
      <c r="D390" s="96" t="s">
        <v>143</v>
      </c>
      <c r="E390" s="93">
        <v>107.0</v>
      </c>
      <c r="F390" s="93">
        <v>26.42605887</v>
      </c>
      <c r="G390" s="93">
        <v>27.864618418277626</v>
      </c>
      <c r="H390" s="93">
        <v>8.177630965381816</v>
      </c>
      <c r="I390" s="93">
        <v>954.0</v>
      </c>
      <c r="J390" s="93">
        <v>1061.0</v>
      </c>
      <c r="K390" s="93">
        <v>8.268121887</v>
      </c>
    </row>
    <row r="391">
      <c r="A391" s="93">
        <v>159.0</v>
      </c>
      <c r="B391" s="96" t="s">
        <v>146</v>
      </c>
      <c r="C391" s="96" t="s">
        <v>144</v>
      </c>
      <c r="D391" s="96" t="s">
        <v>146</v>
      </c>
      <c r="E391" s="93">
        <v>0.0</v>
      </c>
      <c r="F391" s="93" t="s">
        <v>147</v>
      </c>
      <c r="G391" s="93" t="s">
        <v>147</v>
      </c>
      <c r="H391" s="93" t="s">
        <v>147</v>
      </c>
      <c r="I391" s="93" t="s">
        <v>147</v>
      </c>
      <c r="J391" s="93" t="s">
        <v>147</v>
      </c>
      <c r="K391" s="93" t="s">
        <v>147</v>
      </c>
    </row>
    <row r="392">
      <c r="A392" s="93">
        <v>158.0</v>
      </c>
      <c r="B392" s="96" t="s">
        <v>18</v>
      </c>
      <c r="C392" s="96" t="s">
        <v>142</v>
      </c>
      <c r="D392" s="96" t="s">
        <v>143</v>
      </c>
      <c r="E392" s="93">
        <v>13.0</v>
      </c>
      <c r="F392" s="93">
        <v>31.91669035</v>
      </c>
      <c r="G392" s="93">
        <v>32.0823121698126</v>
      </c>
      <c r="H392" s="93">
        <v>6.226432905448392</v>
      </c>
      <c r="I392" s="93">
        <v>1534.0</v>
      </c>
      <c r="J392" s="93">
        <v>1547.0</v>
      </c>
      <c r="K392" s="93">
        <v>6.242399019</v>
      </c>
    </row>
    <row r="393">
      <c r="A393" s="93">
        <v>158.0</v>
      </c>
      <c r="B393" s="96" t="s">
        <v>34</v>
      </c>
      <c r="C393" s="96" t="s">
        <v>142</v>
      </c>
      <c r="D393" s="96" t="s">
        <v>143</v>
      </c>
      <c r="E393" s="93">
        <v>17.0</v>
      </c>
      <c r="F393" s="93">
        <v>29.11592502</v>
      </c>
      <c r="G393" s="93">
        <v>29.32676516951273</v>
      </c>
      <c r="H393" s="93">
        <v>7.020001892004348</v>
      </c>
      <c r="I393" s="93">
        <v>1261.0</v>
      </c>
      <c r="J393" s="93">
        <v>1278.0</v>
      </c>
      <c r="K393" s="93">
        <v>7.043383866</v>
      </c>
    </row>
    <row r="394">
      <c r="A394" s="93">
        <v>158.0</v>
      </c>
      <c r="B394" s="96" t="s">
        <v>20</v>
      </c>
      <c r="C394" s="96" t="s">
        <v>142</v>
      </c>
      <c r="D394" s="96" t="s">
        <v>143</v>
      </c>
      <c r="E394" s="93">
        <v>17.0</v>
      </c>
      <c r="F394" s="93">
        <v>36.29433951</v>
      </c>
      <c r="G394" s="93">
        <v>36.503029122212666</v>
      </c>
      <c r="H394" s="93">
        <v>6.984353549572324</v>
      </c>
      <c r="I394" s="93">
        <v>1753.0</v>
      </c>
      <c r="J394" s="93">
        <v>1770.0</v>
      </c>
      <c r="K394" s="93">
        <v>7.007363802</v>
      </c>
    </row>
    <row r="395">
      <c r="A395" s="93">
        <v>158.0</v>
      </c>
      <c r="B395" s="96" t="s">
        <v>22</v>
      </c>
      <c r="C395" s="96" t="s">
        <v>144</v>
      </c>
      <c r="D395" s="96" t="s">
        <v>145</v>
      </c>
      <c r="E395" s="93">
        <v>-9.0</v>
      </c>
      <c r="F395" s="93">
        <v>29.23726779</v>
      </c>
      <c r="G395" s="93">
        <v>29.098161551452655</v>
      </c>
      <c r="H395" s="93">
        <v>5.708752902996581</v>
      </c>
      <c r="I395" s="93">
        <v>1405.0</v>
      </c>
      <c r="J395" s="93">
        <v>1396.0</v>
      </c>
      <c r="K395" s="93">
        <v>5.720782427</v>
      </c>
    </row>
    <row r="396">
      <c r="A396" s="93">
        <v>158.0</v>
      </c>
      <c r="B396" s="96" t="s">
        <v>27</v>
      </c>
      <c r="C396" s="96" t="s">
        <v>144</v>
      </c>
      <c r="D396" s="96" t="s">
        <v>145</v>
      </c>
      <c r="E396" s="93">
        <v>-10.0</v>
      </c>
      <c r="F396" s="93">
        <v>33.99264761</v>
      </c>
      <c r="G396" s="93">
        <v>33.82287538406326</v>
      </c>
      <c r="H396" s="93">
        <v>6.303539944986094</v>
      </c>
      <c r="I396" s="93">
        <v>1667.0</v>
      </c>
      <c r="J396" s="93">
        <v>1657.0</v>
      </c>
      <c r="K396" s="93">
        <v>6.320150691</v>
      </c>
    </row>
    <row r="397">
      <c r="A397" s="93">
        <v>158.0</v>
      </c>
      <c r="B397" s="96" t="s">
        <v>29</v>
      </c>
      <c r="C397" s="96" t="s">
        <v>144</v>
      </c>
      <c r="D397" s="96" t="s">
        <v>148</v>
      </c>
      <c r="E397" s="93">
        <v>0.0</v>
      </c>
      <c r="F397" s="93" t="s">
        <v>147</v>
      </c>
      <c r="G397" s="93" t="s">
        <v>147</v>
      </c>
      <c r="H397" s="93" t="s">
        <v>147</v>
      </c>
      <c r="I397" s="93" t="s">
        <v>147</v>
      </c>
      <c r="J397" s="93" t="s">
        <v>147</v>
      </c>
      <c r="K397" s="93" t="s">
        <v>147</v>
      </c>
    </row>
    <row r="398">
      <c r="A398" s="93">
        <v>158.0</v>
      </c>
      <c r="B398" s="96" t="s">
        <v>42</v>
      </c>
      <c r="C398" s="96" t="s">
        <v>144</v>
      </c>
      <c r="D398" s="96" t="s">
        <v>145</v>
      </c>
      <c r="E398" s="93">
        <v>-11.0</v>
      </c>
      <c r="F398" s="93">
        <v>27.42495624</v>
      </c>
      <c r="G398" s="93">
        <v>27.224885288562238</v>
      </c>
      <c r="H398" s="93">
        <v>6.839570583955195</v>
      </c>
      <c r="I398" s="93">
        <v>1165.0</v>
      </c>
      <c r="J398" s="93">
        <v>1154.0</v>
      </c>
      <c r="K398" s="93">
        <v>6.861109698</v>
      </c>
    </row>
    <row r="399">
      <c r="A399" s="93">
        <v>158.0</v>
      </c>
      <c r="B399" s="96" t="s">
        <v>16</v>
      </c>
      <c r="C399" s="96" t="s">
        <v>144</v>
      </c>
      <c r="D399" s="96" t="s">
        <v>145</v>
      </c>
      <c r="E399" s="93">
        <v>-8.0</v>
      </c>
      <c r="F399" s="93">
        <v>34.05476908</v>
      </c>
      <c r="G399" s="93">
        <v>33.91557119705049</v>
      </c>
      <c r="H399" s="93">
        <v>5.710624568127202</v>
      </c>
      <c r="I399" s="93">
        <v>1732.0</v>
      </c>
      <c r="J399" s="93">
        <v>1724.0</v>
      </c>
      <c r="K399" s="93">
        <v>5.722667143</v>
      </c>
    </row>
    <row r="400">
      <c r="A400" s="93">
        <v>158.0</v>
      </c>
      <c r="B400" s="96" t="s">
        <v>41</v>
      </c>
      <c r="C400" s="96" t="s">
        <v>144</v>
      </c>
      <c r="D400" s="96" t="s">
        <v>145</v>
      </c>
      <c r="E400" s="93">
        <v>-11.0</v>
      </c>
      <c r="F400" s="93">
        <v>22.31879583</v>
      </c>
      <c r="G400" s="93">
        <v>22.13771884229282</v>
      </c>
      <c r="H400" s="93">
        <v>6.508828960771437</v>
      </c>
      <c r="I400" s="93">
        <v>852.0</v>
      </c>
      <c r="J400" s="93">
        <v>841.0</v>
      </c>
      <c r="K400" s="93">
        <v>6.527233308</v>
      </c>
    </row>
    <row r="401">
      <c r="A401" s="93">
        <v>158.0</v>
      </c>
      <c r="B401" s="96" t="s">
        <v>28</v>
      </c>
      <c r="C401" s="96" t="s">
        <v>144</v>
      </c>
      <c r="D401" s="96" t="s">
        <v>145</v>
      </c>
      <c r="E401" s="93">
        <v>-10.0</v>
      </c>
      <c r="F401" s="93">
        <v>31.43396959</v>
      </c>
      <c r="G401" s="93">
        <v>31.269928419775326</v>
      </c>
      <c r="H401" s="93">
        <v>6.196809451229949</v>
      </c>
      <c r="I401" s="93">
        <v>1504.0</v>
      </c>
      <c r="J401" s="93">
        <v>1494.0</v>
      </c>
      <c r="K401" s="93">
        <v>6.212532046</v>
      </c>
    </row>
    <row r="402">
      <c r="A402" s="93">
        <v>158.0</v>
      </c>
      <c r="B402" s="96" t="s">
        <v>119</v>
      </c>
      <c r="C402" s="96" t="s">
        <v>144</v>
      </c>
      <c r="D402" s="96" t="s">
        <v>145</v>
      </c>
      <c r="E402" s="93">
        <v>-13.0</v>
      </c>
      <c r="F402" s="93">
        <v>20.82591079</v>
      </c>
      <c r="G402" s="93">
        <v>20.590145053306994</v>
      </c>
      <c r="H402" s="93">
        <v>7.4203491605367615</v>
      </c>
      <c r="I402" s="93">
        <v>656.0</v>
      </c>
      <c r="J402" s="93">
        <v>643.0</v>
      </c>
      <c r="K402" s="93">
        <v>7.448171587</v>
      </c>
    </row>
    <row r="403">
      <c r="A403" s="93">
        <v>158.0</v>
      </c>
      <c r="B403" s="96" t="s">
        <v>17</v>
      </c>
      <c r="C403" s="96" t="s">
        <v>144</v>
      </c>
      <c r="D403" s="96" t="s">
        <v>145</v>
      </c>
      <c r="E403" s="93">
        <v>-9.0</v>
      </c>
      <c r="F403" s="93">
        <v>33.46729713</v>
      </c>
      <c r="G403" s="93">
        <v>33.30852623894153</v>
      </c>
      <c r="H403" s="93">
        <v>6.096974991592595</v>
      </c>
      <c r="I403" s="93">
        <v>1652.0</v>
      </c>
      <c r="J403" s="93">
        <v>1643.0</v>
      </c>
      <c r="K403" s="93">
        <v>6.111893613</v>
      </c>
    </row>
    <row r="404">
      <c r="A404" s="93">
        <v>158.0</v>
      </c>
      <c r="B404" s="96" t="s">
        <v>24</v>
      </c>
      <c r="C404" s="96" t="s">
        <v>144</v>
      </c>
      <c r="D404" s="96" t="s">
        <v>148</v>
      </c>
      <c r="E404" s="93">
        <v>0.0</v>
      </c>
      <c r="F404" s="93" t="s">
        <v>147</v>
      </c>
      <c r="G404" s="93" t="s">
        <v>147</v>
      </c>
      <c r="H404" s="93" t="s">
        <v>147</v>
      </c>
      <c r="I404" s="93" t="s">
        <v>147</v>
      </c>
      <c r="J404" s="93" t="s">
        <v>147</v>
      </c>
      <c r="K404" s="93" t="s">
        <v>147</v>
      </c>
    </row>
    <row r="405">
      <c r="A405" s="93">
        <v>158.0</v>
      </c>
      <c r="B405" s="96" t="s">
        <v>47</v>
      </c>
      <c r="C405" s="96" t="s">
        <v>144</v>
      </c>
      <c r="D405" s="96" t="s">
        <v>145</v>
      </c>
      <c r="E405" s="93">
        <v>-8.0</v>
      </c>
      <c r="F405" s="93">
        <v>25.89789861</v>
      </c>
      <c r="G405" s="93">
        <v>25.75480247735399</v>
      </c>
      <c r="H405" s="93">
        <v>5.789668538277642</v>
      </c>
      <c r="I405" s="93">
        <v>1169.0</v>
      </c>
      <c r="J405" s="93">
        <v>1161.0</v>
      </c>
      <c r="K405" s="93">
        <v>5.802269885</v>
      </c>
    </row>
    <row r="406">
      <c r="A406" s="93">
        <v>158.0</v>
      </c>
      <c r="B406" s="96" t="s">
        <v>67</v>
      </c>
      <c r="C406" s="96" t="s">
        <v>144</v>
      </c>
      <c r="D406" s="96" t="s">
        <v>145</v>
      </c>
      <c r="E406" s="93">
        <v>-11.0</v>
      </c>
      <c r="F406" s="93">
        <v>24.66541454</v>
      </c>
      <c r="G406" s="93">
        <v>24.47499925012122</v>
      </c>
      <c r="H406" s="93">
        <v>6.673536886822602</v>
      </c>
      <c r="I406" s="93">
        <v>995.0</v>
      </c>
      <c r="J406" s="93">
        <v>984.0</v>
      </c>
      <c r="K406" s="93">
        <v>6.693463729</v>
      </c>
    </row>
    <row r="407">
      <c r="A407" s="93">
        <v>157.0</v>
      </c>
      <c r="B407" s="96" t="s">
        <v>29</v>
      </c>
      <c r="C407" s="96" t="s">
        <v>142</v>
      </c>
      <c r="D407" s="96" t="s">
        <v>145</v>
      </c>
      <c r="E407" s="93">
        <v>-110.0</v>
      </c>
      <c r="F407" s="93">
        <v>32.22372858</v>
      </c>
      <c r="G407" s="93">
        <v>30.537885667669187</v>
      </c>
      <c r="H407" s="93">
        <v>6.124284919661266</v>
      </c>
      <c r="I407" s="93">
        <v>1562.0</v>
      </c>
      <c r="J407" s="93">
        <v>1452.0</v>
      </c>
      <c r="K407" s="93">
        <v>6.171267767</v>
      </c>
    </row>
    <row r="408">
      <c r="A408" s="93">
        <v>157.0</v>
      </c>
      <c r="B408" s="96" t="s">
        <v>18</v>
      </c>
      <c r="C408" s="96" t="s">
        <v>142</v>
      </c>
      <c r="D408" s="96" t="s">
        <v>145</v>
      </c>
      <c r="E408" s="93">
        <v>-114.0</v>
      </c>
      <c r="F408" s="93">
        <v>33.66927442</v>
      </c>
      <c r="G408" s="93">
        <v>31.916690345206504</v>
      </c>
      <c r="H408" s="93">
        <v>6.242399019327776</v>
      </c>
      <c r="I408" s="93">
        <v>1648.0</v>
      </c>
      <c r="J408" s="93">
        <v>1534.0</v>
      </c>
      <c r="K408" s="93">
        <v>6.292271309</v>
      </c>
    </row>
    <row r="409">
      <c r="A409" s="93">
        <v>157.0</v>
      </c>
      <c r="B409" s="96" t="s">
        <v>26</v>
      </c>
      <c r="C409" s="96" t="s">
        <v>142</v>
      </c>
      <c r="D409" s="96" t="s">
        <v>145</v>
      </c>
      <c r="E409" s="93">
        <v>-106.0</v>
      </c>
      <c r="F409" s="93">
        <v>32.49785532</v>
      </c>
      <c r="G409" s="93">
        <v>30.876576978098512</v>
      </c>
      <c r="H409" s="93">
        <v>6.007667546915269</v>
      </c>
      <c r="I409" s="93">
        <v>1593.0</v>
      </c>
      <c r="J409" s="93">
        <v>1487.0</v>
      </c>
      <c r="K409" s="93">
        <v>6.051908571</v>
      </c>
    </row>
    <row r="410">
      <c r="A410" s="93">
        <v>157.0</v>
      </c>
      <c r="B410" s="96" t="s">
        <v>36</v>
      </c>
      <c r="C410" s="96" t="s">
        <v>144</v>
      </c>
      <c r="D410" s="96" t="s">
        <v>143</v>
      </c>
      <c r="E410" s="93">
        <v>175.0</v>
      </c>
      <c r="F410" s="93">
        <v>26.56929957</v>
      </c>
      <c r="G410" s="93">
        <v>29.017740972148854</v>
      </c>
      <c r="H410" s="93">
        <v>7.354397921904285</v>
      </c>
      <c r="I410" s="93">
        <v>1048.0</v>
      </c>
      <c r="J410" s="93">
        <v>1223.0</v>
      </c>
      <c r="K410" s="93">
        <v>7.437525259</v>
      </c>
    </row>
    <row r="411">
      <c r="A411" s="93">
        <v>157.0</v>
      </c>
      <c r="B411" s="96" t="s">
        <v>44</v>
      </c>
      <c r="C411" s="96" t="s">
        <v>144</v>
      </c>
      <c r="D411" s="96" t="s">
        <v>143</v>
      </c>
      <c r="E411" s="93">
        <v>168.0</v>
      </c>
      <c r="F411" s="93">
        <v>24.95089614</v>
      </c>
      <c r="G411" s="93">
        <v>27.296731170167984</v>
      </c>
      <c r="H411" s="93">
        <v>7.202105196726426</v>
      </c>
      <c r="I411" s="93">
        <v>954.0</v>
      </c>
      <c r="J411" s="93">
        <v>1122.0</v>
      </c>
      <c r="K411" s="93">
        <v>7.279987154</v>
      </c>
    </row>
    <row r="412">
      <c r="A412" s="93">
        <v>157.0</v>
      </c>
      <c r="B412" s="96" t="s">
        <v>31</v>
      </c>
      <c r="C412" s="96" t="s">
        <v>144</v>
      </c>
      <c r="D412" s="96" t="s">
        <v>143</v>
      </c>
      <c r="E412" s="93">
        <v>150.0</v>
      </c>
      <c r="F412" s="93">
        <v>27.4766913</v>
      </c>
      <c r="G412" s="93">
        <v>29.589492510621078</v>
      </c>
      <c r="H412" s="93">
        <v>6.842467536868904</v>
      </c>
      <c r="I412" s="93">
        <v>1164.0</v>
      </c>
      <c r="J412" s="93">
        <v>1314.0</v>
      </c>
      <c r="K412" s="93">
        <v>6.908864556</v>
      </c>
    </row>
    <row r="413">
      <c r="A413" s="93">
        <v>157.0</v>
      </c>
      <c r="B413" s="96" t="s">
        <v>16</v>
      </c>
      <c r="C413" s="96" t="s">
        <v>144</v>
      </c>
      <c r="D413" s="96" t="s">
        <v>143</v>
      </c>
      <c r="E413" s="93">
        <v>104.0</v>
      </c>
      <c r="F413" s="93">
        <v>32.58574468</v>
      </c>
      <c r="G413" s="93">
        <v>34.05476908272248</v>
      </c>
      <c r="H413" s="93">
        <v>5.722667142932779</v>
      </c>
      <c r="I413" s="93">
        <v>1628.0</v>
      </c>
      <c r="J413" s="93">
        <v>1732.0</v>
      </c>
      <c r="K413" s="93">
        <v>5.760655814</v>
      </c>
    </row>
    <row r="414">
      <c r="A414" s="93">
        <v>157.0</v>
      </c>
      <c r="B414" s="96" t="s">
        <v>56</v>
      </c>
      <c r="C414" s="96" t="s">
        <v>144</v>
      </c>
      <c r="D414" s="96" t="s">
        <v>143</v>
      </c>
      <c r="E414" s="93">
        <v>182.0</v>
      </c>
      <c r="F414" s="93">
        <v>23.45245946</v>
      </c>
      <c r="G414" s="93">
        <v>25.998253904704395</v>
      </c>
      <c r="H414" s="93">
        <v>7.495764994434273</v>
      </c>
      <c r="I414" s="93">
        <v>821.0</v>
      </c>
      <c r="J414" s="93">
        <v>1003.0</v>
      </c>
      <c r="K414" s="93">
        <v>7.583972765</v>
      </c>
    </row>
    <row r="415">
      <c r="A415" s="93">
        <v>157.0</v>
      </c>
      <c r="B415" s="96" t="s">
        <v>48</v>
      </c>
      <c r="C415" s="96" t="s">
        <v>144</v>
      </c>
      <c r="D415" s="96" t="s">
        <v>143</v>
      </c>
      <c r="E415" s="93">
        <v>209.0</v>
      </c>
      <c r="F415" s="93">
        <v>26.22262874</v>
      </c>
      <c r="G415" s="93">
        <v>29.135973502563832</v>
      </c>
      <c r="H415" s="93">
        <v>8.004812674187347</v>
      </c>
      <c r="I415" s="93">
        <v>956.0</v>
      </c>
      <c r="J415" s="93">
        <v>1165.0</v>
      </c>
      <c r="K415" s="93">
        <v>8.113080802</v>
      </c>
    </row>
    <row r="416">
      <c r="A416" s="93">
        <v>157.0</v>
      </c>
      <c r="B416" s="96" t="s">
        <v>42</v>
      </c>
      <c r="C416" s="96" t="s">
        <v>144</v>
      </c>
      <c r="D416" s="96" t="s">
        <v>143</v>
      </c>
      <c r="E416" s="93">
        <v>151.0</v>
      </c>
      <c r="F416" s="93">
        <v>25.30039361</v>
      </c>
      <c r="G416" s="93">
        <v>27.424956238026496</v>
      </c>
      <c r="H416" s="93">
        <v>6.861109698228338</v>
      </c>
      <c r="I416" s="93">
        <v>1014.0</v>
      </c>
      <c r="J416" s="93">
        <v>1165.0</v>
      </c>
      <c r="K416" s="93">
        <v>6.928071816</v>
      </c>
    </row>
    <row r="417">
      <c r="A417" s="93">
        <v>157.0</v>
      </c>
      <c r="B417" s="96" t="s">
        <v>20</v>
      </c>
      <c r="C417" s="96" t="s">
        <v>144</v>
      </c>
      <c r="D417" s="96" t="s">
        <v>143</v>
      </c>
      <c r="E417" s="93">
        <v>158.0</v>
      </c>
      <c r="F417" s="93">
        <v>34.07630059</v>
      </c>
      <c r="G417" s="93">
        <v>36.29433951334535</v>
      </c>
      <c r="H417" s="93">
        <v>7.007363802224644</v>
      </c>
      <c r="I417" s="93">
        <v>1595.0</v>
      </c>
      <c r="J417" s="93">
        <v>1753.0</v>
      </c>
      <c r="K417" s="93">
        <v>7.078872663</v>
      </c>
    </row>
    <row r="418">
      <c r="A418" s="93">
        <v>157.0</v>
      </c>
      <c r="B418" s="96" t="s">
        <v>32</v>
      </c>
      <c r="C418" s="96" t="s">
        <v>144</v>
      </c>
      <c r="D418" s="96" t="s">
        <v>148</v>
      </c>
      <c r="E418" s="93">
        <v>0.0</v>
      </c>
      <c r="F418" s="93" t="s">
        <v>147</v>
      </c>
      <c r="G418" s="93" t="s">
        <v>147</v>
      </c>
      <c r="H418" s="93" t="s">
        <v>147</v>
      </c>
      <c r="I418" s="93" t="s">
        <v>147</v>
      </c>
      <c r="J418" s="93" t="s">
        <v>147</v>
      </c>
      <c r="K418" s="93" t="s">
        <v>147</v>
      </c>
    </row>
    <row r="419">
      <c r="A419" s="93">
        <v>157.0</v>
      </c>
      <c r="B419" s="96" t="s">
        <v>33</v>
      </c>
      <c r="C419" s="96" t="s">
        <v>144</v>
      </c>
      <c r="D419" s="96" t="s">
        <v>143</v>
      </c>
      <c r="E419" s="93">
        <v>146.0</v>
      </c>
      <c r="F419" s="93">
        <v>26.58349209</v>
      </c>
      <c r="G419" s="93">
        <v>28.629409522065007</v>
      </c>
      <c r="H419" s="93">
        <v>6.735393288589536</v>
      </c>
      <c r="I419" s="93">
        <v>1114.0</v>
      </c>
      <c r="J419" s="93">
        <v>1260.0</v>
      </c>
      <c r="K419" s="93">
        <v>6.7986068</v>
      </c>
    </row>
    <row r="420">
      <c r="A420" s="93">
        <v>157.0</v>
      </c>
      <c r="B420" s="96" t="s">
        <v>37</v>
      </c>
      <c r="C420" s="96" t="s">
        <v>144</v>
      </c>
      <c r="D420" s="96" t="s">
        <v>143</v>
      </c>
      <c r="E420" s="93">
        <v>198.0</v>
      </c>
      <c r="F420" s="93">
        <v>24.6761965</v>
      </c>
      <c r="G420" s="93">
        <v>27.43335082017952</v>
      </c>
      <c r="H420" s="93">
        <v>7.792995032936332</v>
      </c>
      <c r="I420" s="93">
        <v>873.0</v>
      </c>
      <c r="J420" s="93">
        <v>1071.0</v>
      </c>
      <c r="K420" s="93">
        <v>7.892571573</v>
      </c>
    </row>
    <row r="421">
      <c r="A421" s="93">
        <v>157.0</v>
      </c>
      <c r="B421" s="96" t="s">
        <v>47</v>
      </c>
      <c r="C421" s="96" t="s">
        <v>144</v>
      </c>
      <c r="D421" s="96" t="s">
        <v>148</v>
      </c>
      <c r="E421" s="93">
        <v>0.0</v>
      </c>
      <c r="F421" s="93" t="s">
        <v>147</v>
      </c>
      <c r="G421" s="93" t="s">
        <v>147</v>
      </c>
      <c r="H421" s="93" t="s">
        <v>147</v>
      </c>
      <c r="I421" s="93" t="s">
        <v>147</v>
      </c>
      <c r="J421" s="93" t="s">
        <v>147</v>
      </c>
      <c r="K421" s="93" t="s">
        <v>147</v>
      </c>
    </row>
    <row r="422">
      <c r="A422" s="93">
        <v>156.0</v>
      </c>
      <c r="B422" s="96" t="s">
        <v>24</v>
      </c>
      <c r="C422" s="96" t="s">
        <v>142</v>
      </c>
      <c r="D422" s="96" t="s">
        <v>145</v>
      </c>
      <c r="E422" s="93">
        <v>-27.0</v>
      </c>
      <c r="F422" s="93">
        <v>30.08269043</v>
      </c>
      <c r="G422" s="93">
        <v>29.64432979576681</v>
      </c>
      <c r="H422" s="93">
        <v>6.151262322337471</v>
      </c>
      <c r="I422" s="93">
        <v>1415.0</v>
      </c>
      <c r="J422" s="93">
        <v>1388.0</v>
      </c>
      <c r="K422" s="93">
        <v>6.179796099</v>
      </c>
    </row>
    <row r="423">
      <c r="A423" s="93">
        <v>156.0</v>
      </c>
      <c r="B423" s="96" t="s">
        <v>50</v>
      </c>
      <c r="C423" s="96" t="s">
        <v>142</v>
      </c>
      <c r="D423" s="96" t="s">
        <v>145</v>
      </c>
      <c r="E423" s="93">
        <v>-36.0</v>
      </c>
      <c r="F423" s="93">
        <v>21.56112706</v>
      </c>
      <c r="G423" s="93">
        <v>20.975797111254177</v>
      </c>
      <c r="H423" s="93">
        <v>7.09661918451445</v>
      </c>
      <c r="I423" s="93">
        <v>738.0</v>
      </c>
      <c r="J423" s="93">
        <v>702.0</v>
      </c>
      <c r="K423" s="93">
        <v>7.141230016</v>
      </c>
    </row>
    <row r="424">
      <c r="A424" s="93">
        <v>156.0</v>
      </c>
      <c r="B424" s="96" t="s">
        <v>33</v>
      </c>
      <c r="C424" s="96" t="s">
        <v>142</v>
      </c>
      <c r="D424" s="96" t="s">
        <v>145</v>
      </c>
      <c r="E424" s="93">
        <v>-33.0</v>
      </c>
      <c r="F424" s="93">
        <v>27.12012209</v>
      </c>
      <c r="G424" s="93">
        <v>26.58349208920108</v>
      </c>
      <c r="H424" s="93">
        <v>6.798606800356006</v>
      </c>
      <c r="I424" s="93">
        <v>1147.0</v>
      </c>
      <c r="J424" s="93">
        <v>1114.0</v>
      </c>
      <c r="K424" s="93">
        <v>6.837640432</v>
      </c>
    </row>
    <row r="425">
      <c r="A425" s="93">
        <v>156.0</v>
      </c>
      <c r="B425" s="96" t="s">
        <v>27</v>
      </c>
      <c r="C425" s="96" t="s">
        <v>144</v>
      </c>
      <c r="D425" s="96" t="s">
        <v>143</v>
      </c>
      <c r="E425" s="93">
        <v>35.0</v>
      </c>
      <c r="F425" s="93">
        <v>33.52963637</v>
      </c>
      <c r="G425" s="93">
        <v>33.99264760698724</v>
      </c>
      <c r="H425" s="93">
        <v>6.320150690579625</v>
      </c>
      <c r="I425" s="93">
        <v>1632.0</v>
      </c>
      <c r="J425" s="93">
        <v>1667.0</v>
      </c>
      <c r="K425" s="93">
        <v>6.351220129</v>
      </c>
    </row>
    <row r="426">
      <c r="A426" s="93">
        <v>156.0</v>
      </c>
      <c r="B426" s="96" t="s">
        <v>17</v>
      </c>
      <c r="C426" s="96" t="s">
        <v>144</v>
      </c>
      <c r="D426" s="96" t="s">
        <v>143</v>
      </c>
      <c r="E426" s="93">
        <v>32.0</v>
      </c>
      <c r="F426" s="93">
        <v>33.03458295</v>
      </c>
      <c r="G426" s="93">
        <v>33.46729713160099</v>
      </c>
      <c r="H426" s="93">
        <v>6.111893612938318</v>
      </c>
      <c r="I426" s="93">
        <v>1620.0</v>
      </c>
      <c r="J426" s="93">
        <v>1652.0</v>
      </c>
      <c r="K426" s="93">
        <v>6.139856133</v>
      </c>
    </row>
    <row r="427">
      <c r="A427" s="93">
        <v>156.0</v>
      </c>
      <c r="B427" s="96" t="s">
        <v>44</v>
      </c>
      <c r="C427" s="96" t="s">
        <v>144</v>
      </c>
      <c r="D427" s="96" t="s">
        <v>143</v>
      </c>
      <c r="E427" s="93">
        <v>47.0</v>
      </c>
      <c r="F427" s="93">
        <v>24.334508</v>
      </c>
      <c r="G427" s="93">
        <v>24.950896143747517</v>
      </c>
      <c r="H427" s="93">
        <v>7.279987154168575</v>
      </c>
      <c r="I427" s="93">
        <v>907.0</v>
      </c>
      <c r="J427" s="93">
        <v>954.0</v>
      </c>
      <c r="K427" s="93">
        <v>7.328277943</v>
      </c>
    </row>
    <row r="428">
      <c r="A428" s="93">
        <v>156.0</v>
      </c>
      <c r="B428" s="96" t="s">
        <v>22</v>
      </c>
      <c r="C428" s="96" t="s">
        <v>144</v>
      </c>
      <c r="D428" s="96" t="s">
        <v>143</v>
      </c>
      <c r="E428" s="93">
        <v>28.0</v>
      </c>
      <c r="F428" s="93">
        <v>28.85860848</v>
      </c>
      <c r="G428" s="93">
        <v>29.23726779261647</v>
      </c>
      <c r="H428" s="93">
        <v>5.720782426501602</v>
      </c>
      <c r="I428" s="93">
        <v>1377.0</v>
      </c>
      <c r="J428" s="93">
        <v>1405.0</v>
      </c>
      <c r="K428" s="93">
        <v>5.743461691</v>
      </c>
    </row>
    <row r="429">
      <c r="A429" s="93">
        <v>156.0</v>
      </c>
      <c r="B429" s="96" t="s">
        <v>26</v>
      </c>
      <c r="C429" s="96" t="s">
        <v>144</v>
      </c>
      <c r="D429" s="96" t="s">
        <v>143</v>
      </c>
      <c r="E429" s="93">
        <v>32.0</v>
      </c>
      <c r="F429" s="93">
        <v>32.07367212</v>
      </c>
      <c r="G429" s="93">
        <v>32.49785532024399</v>
      </c>
      <c r="H429" s="93">
        <v>6.051908571115094</v>
      </c>
      <c r="I429" s="93">
        <v>1561.0</v>
      </c>
      <c r="J429" s="93">
        <v>1593.0</v>
      </c>
      <c r="K429" s="93">
        <v>6.07901485</v>
      </c>
    </row>
    <row r="430">
      <c r="A430" s="93">
        <v>156.0</v>
      </c>
      <c r="B430" s="96" t="s">
        <v>23</v>
      </c>
      <c r="C430" s="96" t="s">
        <v>144</v>
      </c>
      <c r="D430" s="96" t="s">
        <v>143</v>
      </c>
      <c r="E430" s="93">
        <v>27.0</v>
      </c>
      <c r="F430" s="93">
        <v>35.03274648</v>
      </c>
      <c r="G430" s="93">
        <v>35.404743968306235</v>
      </c>
      <c r="H430" s="93">
        <v>5.6706472062391295</v>
      </c>
      <c r="I430" s="93">
        <v>1802.0</v>
      </c>
      <c r="J430" s="93">
        <v>1829.0</v>
      </c>
      <c r="K430" s="93">
        <v>5.692699148</v>
      </c>
    </row>
    <row r="431">
      <c r="A431" s="93">
        <v>156.0</v>
      </c>
      <c r="B431" s="96" t="s">
        <v>146</v>
      </c>
      <c r="C431" s="96" t="s">
        <v>144</v>
      </c>
      <c r="D431" s="96" t="s">
        <v>146</v>
      </c>
      <c r="E431" s="93">
        <v>0.0</v>
      </c>
      <c r="F431" s="93" t="s">
        <v>147</v>
      </c>
      <c r="G431" s="93" t="s">
        <v>147</v>
      </c>
      <c r="H431" s="93" t="s">
        <v>147</v>
      </c>
      <c r="I431" s="93" t="s">
        <v>147</v>
      </c>
      <c r="J431" s="93" t="s">
        <v>147</v>
      </c>
      <c r="K431" s="93" t="s">
        <v>147</v>
      </c>
    </row>
    <row r="432">
      <c r="A432" s="93">
        <v>156.0</v>
      </c>
      <c r="B432" s="96" t="s">
        <v>65</v>
      </c>
      <c r="C432" s="96" t="s">
        <v>144</v>
      </c>
      <c r="D432" s="96" t="s">
        <v>143</v>
      </c>
      <c r="E432" s="93">
        <v>53.0</v>
      </c>
      <c r="F432" s="93">
        <v>25.02032619</v>
      </c>
      <c r="G432" s="93">
        <v>25.715340573995086</v>
      </c>
      <c r="H432" s="93">
        <v>7.723712963295897</v>
      </c>
      <c r="I432" s="93">
        <v>908.0</v>
      </c>
      <c r="J432" s="93">
        <v>961.0</v>
      </c>
      <c r="K432" s="93">
        <v>7.781731916</v>
      </c>
    </row>
    <row r="433">
      <c r="A433" s="93">
        <v>156.0</v>
      </c>
      <c r="B433" s="96" t="s">
        <v>28</v>
      </c>
      <c r="C433" s="96" t="s">
        <v>144</v>
      </c>
      <c r="D433" s="96" t="s">
        <v>143</v>
      </c>
      <c r="E433" s="93">
        <v>34.0</v>
      </c>
      <c r="F433" s="93">
        <v>30.9867464</v>
      </c>
      <c r="G433" s="93">
        <v>31.433969585369606</v>
      </c>
      <c r="H433" s="93">
        <v>6.212532046147781</v>
      </c>
      <c r="I433" s="93">
        <v>1470.0</v>
      </c>
      <c r="J433" s="93">
        <v>1504.0</v>
      </c>
      <c r="K433" s="93">
        <v>6.241969678</v>
      </c>
    </row>
    <row r="434">
      <c r="A434" s="93">
        <v>156.0</v>
      </c>
      <c r="B434" s="96" t="s">
        <v>21</v>
      </c>
      <c r="C434" s="96" t="s">
        <v>144</v>
      </c>
      <c r="D434" s="96" t="s">
        <v>143</v>
      </c>
      <c r="E434" s="93">
        <v>46.0</v>
      </c>
      <c r="F434" s="93">
        <v>29.28224543</v>
      </c>
      <c r="G434" s="93">
        <v>29.876121680036043</v>
      </c>
      <c r="H434" s="93">
        <v>7.147571147721216</v>
      </c>
      <c r="I434" s="93">
        <v>1257.0</v>
      </c>
      <c r="J434" s="93">
        <v>1303.0</v>
      </c>
      <c r="K434" s="93">
        <v>7.193185174</v>
      </c>
    </row>
    <row r="435">
      <c r="A435" s="93">
        <v>156.0</v>
      </c>
      <c r="B435" s="96" t="s">
        <v>34</v>
      </c>
      <c r="C435" s="96" t="s">
        <v>144</v>
      </c>
      <c r="D435" s="96" t="s">
        <v>143</v>
      </c>
      <c r="E435" s="93">
        <v>43.0</v>
      </c>
      <c r="F435" s="93">
        <v>28.53945563</v>
      </c>
      <c r="G435" s="93">
        <v>29.115925016627067</v>
      </c>
      <c r="H435" s="93">
        <v>7.043383865582863</v>
      </c>
      <c r="I435" s="93">
        <v>1218.0</v>
      </c>
      <c r="J435" s="93">
        <v>1261.0</v>
      </c>
      <c r="K435" s="93">
        <v>7.086962243</v>
      </c>
    </row>
    <row r="436">
      <c r="A436" s="93">
        <v>156.0</v>
      </c>
      <c r="B436" s="96" t="s">
        <v>146</v>
      </c>
      <c r="C436" s="96" t="s">
        <v>144</v>
      </c>
      <c r="D436" s="96" t="s">
        <v>146</v>
      </c>
      <c r="E436" s="93">
        <v>0.0</v>
      </c>
      <c r="F436" s="93" t="s">
        <v>147</v>
      </c>
      <c r="G436" s="93" t="s">
        <v>147</v>
      </c>
      <c r="H436" s="93" t="s">
        <v>147</v>
      </c>
      <c r="I436" s="93" t="s">
        <v>147</v>
      </c>
      <c r="J436" s="93" t="s">
        <v>147</v>
      </c>
      <c r="K436" s="93" t="s">
        <v>147</v>
      </c>
    </row>
    <row r="437">
      <c r="A437" s="93">
        <v>155.0</v>
      </c>
      <c r="B437" s="96" t="s">
        <v>44</v>
      </c>
      <c r="C437" s="96" t="s">
        <v>142</v>
      </c>
      <c r="D437" s="96" t="s">
        <v>145</v>
      </c>
      <c r="E437" s="93">
        <v>-68.0</v>
      </c>
      <c r="F437" s="93">
        <v>25.42205683</v>
      </c>
      <c r="G437" s="93">
        <v>24.334507999715424</v>
      </c>
      <c r="H437" s="93">
        <v>7.32827794292796</v>
      </c>
      <c r="I437" s="93">
        <v>975.0</v>
      </c>
      <c r="J437" s="93">
        <v>907.0</v>
      </c>
      <c r="K437" s="93">
        <v>7.38678421</v>
      </c>
    </row>
    <row r="438">
      <c r="A438" s="93">
        <v>155.0</v>
      </c>
      <c r="B438" s="96" t="s">
        <v>65</v>
      </c>
      <c r="C438" s="96" t="s">
        <v>142</v>
      </c>
      <c r="D438" s="96" t="s">
        <v>145</v>
      </c>
      <c r="E438" s="93">
        <v>-76.0</v>
      </c>
      <c r="F438" s="93">
        <v>26.24921827</v>
      </c>
      <c r="G438" s="93">
        <v>25.020326189631625</v>
      </c>
      <c r="H438" s="93">
        <v>7.781731915719543</v>
      </c>
      <c r="I438" s="93">
        <v>984.0</v>
      </c>
      <c r="J438" s="93">
        <v>908.0</v>
      </c>
      <c r="K438" s="93">
        <v>7.852220367</v>
      </c>
    </row>
    <row r="439">
      <c r="A439" s="93">
        <v>155.0</v>
      </c>
      <c r="B439" s="96" t="s">
        <v>29</v>
      </c>
      <c r="C439" s="96" t="s">
        <v>142</v>
      </c>
      <c r="D439" s="96" t="s">
        <v>145</v>
      </c>
      <c r="E439" s="93">
        <v>-48.0</v>
      </c>
      <c r="F439" s="93">
        <v>32.99131362</v>
      </c>
      <c r="G439" s="93">
        <v>32.22372858202482</v>
      </c>
      <c r="H439" s="93">
        <v>6.171267767431369</v>
      </c>
      <c r="I439" s="93">
        <v>1610.0</v>
      </c>
      <c r="J439" s="93">
        <v>1562.0</v>
      </c>
      <c r="K439" s="93">
        <v>6.205513006</v>
      </c>
    </row>
    <row r="440">
      <c r="A440" s="93">
        <v>155.0</v>
      </c>
      <c r="B440" s="96" t="s">
        <v>34</v>
      </c>
      <c r="C440" s="96" t="s">
        <v>144</v>
      </c>
      <c r="D440" s="96" t="s">
        <v>143</v>
      </c>
      <c r="E440" s="93">
        <v>75.0</v>
      </c>
      <c r="F440" s="93">
        <v>27.52343586</v>
      </c>
      <c r="G440" s="93">
        <v>28.53945562806286</v>
      </c>
      <c r="H440" s="93">
        <v>7.086962242762765</v>
      </c>
      <c r="I440" s="93">
        <v>1143.0</v>
      </c>
      <c r="J440" s="93">
        <v>1218.0</v>
      </c>
      <c r="K440" s="93">
        <v>7.139689196</v>
      </c>
    </row>
    <row r="441">
      <c r="A441" s="93">
        <v>155.0</v>
      </c>
      <c r="B441" s="96" t="s">
        <v>32</v>
      </c>
      <c r="C441" s="96" t="s">
        <v>144</v>
      </c>
      <c r="D441" s="96" t="s">
        <v>143</v>
      </c>
      <c r="E441" s="93">
        <v>62.0</v>
      </c>
      <c r="F441" s="93">
        <v>29.91915118</v>
      </c>
      <c r="G441" s="93">
        <v>30.773145292975755</v>
      </c>
      <c r="H441" s="93">
        <v>6.505189209163948</v>
      </c>
      <c r="I441" s="93">
        <v>1367.0</v>
      </c>
      <c r="J441" s="93">
        <v>1429.0</v>
      </c>
      <c r="K441" s="93">
        <v>6.54557169</v>
      </c>
    </row>
    <row r="442">
      <c r="A442" s="93">
        <v>155.0</v>
      </c>
      <c r="B442" s="96" t="s">
        <v>22</v>
      </c>
      <c r="C442" s="96" t="s">
        <v>144</v>
      </c>
      <c r="D442" s="96" t="s">
        <v>143</v>
      </c>
      <c r="E442" s="93">
        <v>48.0</v>
      </c>
      <c r="F442" s="93">
        <v>28.19477835</v>
      </c>
      <c r="G442" s="93">
        <v>28.858608476044317</v>
      </c>
      <c r="H442" s="93">
        <v>5.74346169142799</v>
      </c>
      <c r="I442" s="93">
        <v>1329.0</v>
      </c>
      <c r="J442" s="93">
        <v>1377.0</v>
      </c>
      <c r="K442" s="93">
        <v>5.770774512</v>
      </c>
    </row>
    <row r="443">
      <c r="A443" s="93">
        <v>155.0</v>
      </c>
      <c r="B443" s="96" t="s">
        <v>47</v>
      </c>
      <c r="C443" s="96" t="s">
        <v>144</v>
      </c>
      <c r="D443" s="96" t="s">
        <v>143</v>
      </c>
      <c r="E443" s="93">
        <v>49.0</v>
      </c>
      <c r="F443" s="93">
        <v>25.22026618</v>
      </c>
      <c r="G443" s="93">
        <v>25.89789861293961</v>
      </c>
      <c r="H443" s="93">
        <v>5.802269884918717</v>
      </c>
      <c r="I443" s="93">
        <v>1120.0</v>
      </c>
      <c r="J443" s="93">
        <v>1169.0</v>
      </c>
      <c r="K443" s="93">
        <v>5.83047646</v>
      </c>
    </row>
    <row r="444">
      <c r="A444" s="93">
        <v>155.0</v>
      </c>
      <c r="B444" s="96" t="s">
        <v>33</v>
      </c>
      <c r="C444" s="96" t="s">
        <v>144</v>
      </c>
      <c r="D444" s="96" t="s">
        <v>143</v>
      </c>
      <c r="E444" s="93">
        <v>69.0</v>
      </c>
      <c r="F444" s="93">
        <v>26.17533519</v>
      </c>
      <c r="G444" s="93">
        <v>27.12012209356769</v>
      </c>
      <c r="H444" s="93">
        <v>6.837640431526727</v>
      </c>
      <c r="I444" s="93">
        <v>1078.0</v>
      </c>
      <c r="J444" s="93">
        <v>1147.0</v>
      </c>
      <c r="K444" s="93">
        <v>6.884809819</v>
      </c>
    </row>
    <row r="445">
      <c r="A445" s="93">
        <v>155.0</v>
      </c>
      <c r="B445" s="96" t="s">
        <v>28</v>
      </c>
      <c r="C445" s="96" t="s">
        <v>144</v>
      </c>
      <c r="D445" s="96" t="s">
        <v>143</v>
      </c>
      <c r="E445" s="93">
        <v>57.0</v>
      </c>
      <c r="F445" s="93">
        <v>30.20126411</v>
      </c>
      <c r="G445" s="93">
        <v>30.98674640014396</v>
      </c>
      <c r="H445" s="93">
        <v>6.241969678162867</v>
      </c>
      <c r="I445" s="93">
        <v>1413.0</v>
      </c>
      <c r="J445" s="93">
        <v>1470.0</v>
      </c>
      <c r="K445" s="93">
        <v>6.277459558</v>
      </c>
    </row>
    <row r="446">
      <c r="A446" s="93">
        <v>155.0</v>
      </c>
      <c r="B446" s="96" t="s">
        <v>146</v>
      </c>
      <c r="C446" s="96" t="s">
        <v>144</v>
      </c>
      <c r="D446" s="96" t="s">
        <v>146</v>
      </c>
      <c r="E446" s="93">
        <v>0.0</v>
      </c>
      <c r="F446" s="93" t="s">
        <v>147</v>
      </c>
      <c r="G446" s="93" t="s">
        <v>147</v>
      </c>
      <c r="H446" s="93" t="s">
        <v>147</v>
      </c>
      <c r="I446" s="93" t="s">
        <v>147</v>
      </c>
      <c r="J446" s="93" t="s">
        <v>147</v>
      </c>
      <c r="K446" s="93" t="s">
        <v>147</v>
      </c>
    </row>
    <row r="447">
      <c r="A447" s="93">
        <v>155.0</v>
      </c>
      <c r="B447" s="96" t="s">
        <v>26</v>
      </c>
      <c r="C447" s="96" t="s">
        <v>144</v>
      </c>
      <c r="D447" s="96" t="s">
        <v>143</v>
      </c>
      <c r="E447" s="93">
        <v>54.0</v>
      </c>
      <c r="F447" s="93">
        <v>31.32911897</v>
      </c>
      <c r="G447" s="93">
        <v>32.07367212047843</v>
      </c>
      <c r="H447" s="93">
        <v>6.079014849924024</v>
      </c>
      <c r="I447" s="93">
        <v>1507.0</v>
      </c>
      <c r="J447" s="93">
        <v>1561.0</v>
      </c>
      <c r="K447" s="93">
        <v>6.111679173</v>
      </c>
    </row>
    <row r="448">
      <c r="A448" s="93">
        <v>155.0</v>
      </c>
      <c r="B448" s="96" t="s">
        <v>21</v>
      </c>
      <c r="C448" s="96" t="s">
        <v>144</v>
      </c>
      <c r="D448" s="96" t="s">
        <v>143</v>
      </c>
      <c r="E448" s="93">
        <v>76.0</v>
      </c>
      <c r="F448" s="93">
        <v>28.23505394</v>
      </c>
      <c r="G448" s="93">
        <v>29.282245426594738</v>
      </c>
      <c r="H448" s="93">
        <v>7.19318517406379</v>
      </c>
      <c r="I448" s="93">
        <v>1181.0</v>
      </c>
      <c r="J448" s="93">
        <v>1257.0</v>
      </c>
      <c r="K448" s="93">
        <v>7.248406599</v>
      </c>
    </row>
    <row r="449">
      <c r="A449" s="93">
        <v>155.0</v>
      </c>
      <c r="B449" s="96" t="s">
        <v>23</v>
      </c>
      <c r="C449" s="96" t="s">
        <v>144</v>
      </c>
      <c r="D449" s="96" t="s">
        <v>143</v>
      </c>
      <c r="E449" s="93">
        <v>47.0</v>
      </c>
      <c r="F449" s="93">
        <v>34.38071276</v>
      </c>
      <c r="G449" s="93">
        <v>35.032746482042</v>
      </c>
      <c r="H449" s="93">
        <v>5.692699147794392</v>
      </c>
      <c r="I449" s="93">
        <v>1755.0</v>
      </c>
      <c r="J449" s="93">
        <v>1802.0</v>
      </c>
      <c r="K449" s="93">
        <v>5.719255191</v>
      </c>
    </row>
    <row r="450">
      <c r="A450" s="93">
        <v>155.0</v>
      </c>
      <c r="B450" s="96" t="s">
        <v>16</v>
      </c>
      <c r="C450" s="96" t="s">
        <v>144</v>
      </c>
      <c r="D450" s="96" t="s">
        <v>143</v>
      </c>
      <c r="E450" s="93">
        <v>48.0</v>
      </c>
      <c r="F450" s="93">
        <v>31.91789422</v>
      </c>
      <c r="G450" s="93">
        <v>32.58574467987947</v>
      </c>
      <c r="H450" s="93">
        <v>5.760655813596932</v>
      </c>
      <c r="I450" s="93">
        <v>1580.0</v>
      </c>
      <c r="J450" s="93">
        <v>1628.0</v>
      </c>
      <c r="K450" s="93">
        <v>5.788228047</v>
      </c>
    </row>
    <row r="451">
      <c r="A451" s="93">
        <v>155.0</v>
      </c>
      <c r="B451" s="96" t="s">
        <v>67</v>
      </c>
      <c r="C451" s="96" t="s">
        <v>144</v>
      </c>
      <c r="D451" s="96" t="s">
        <v>143</v>
      </c>
      <c r="E451" s="93">
        <v>67.0</v>
      </c>
      <c r="F451" s="93">
        <v>23.76058867</v>
      </c>
      <c r="G451" s="93">
        <v>24.665414544689938</v>
      </c>
      <c r="H451" s="93">
        <v>6.693463729036778</v>
      </c>
      <c r="I451" s="93">
        <v>928.0</v>
      </c>
      <c r="J451" s="93">
        <v>995.0</v>
      </c>
      <c r="K451" s="93">
        <v>6.737604254</v>
      </c>
    </row>
    <row r="452">
      <c r="A452" s="93">
        <v>154.0</v>
      </c>
      <c r="B452" s="96" t="s">
        <v>84</v>
      </c>
      <c r="C452" s="96" t="s">
        <v>142</v>
      </c>
      <c r="D452" s="96" t="s">
        <v>143</v>
      </c>
      <c r="E452" s="93">
        <v>39.0</v>
      </c>
      <c r="F452" s="93">
        <v>25.0</v>
      </c>
      <c r="G452" s="93">
        <v>25.490289637143306</v>
      </c>
      <c r="H452" s="93">
        <v>8.281112536457993</v>
      </c>
      <c r="I452" s="93">
        <v>850.0</v>
      </c>
      <c r="J452" s="93">
        <v>889.0</v>
      </c>
      <c r="K452" s="93">
        <v>8.333333333333334</v>
      </c>
    </row>
    <row r="453">
      <c r="A453" s="93">
        <v>154.0</v>
      </c>
      <c r="B453" s="96" t="s">
        <v>27</v>
      </c>
      <c r="C453" s="96" t="s">
        <v>142</v>
      </c>
      <c r="D453" s="96" t="s">
        <v>143</v>
      </c>
      <c r="E453" s="93">
        <v>22.0</v>
      </c>
      <c r="F453" s="93">
        <v>33.24276326</v>
      </c>
      <c r="G453" s="93">
        <v>33.529636367863</v>
      </c>
      <c r="H453" s="93">
        <v>6.351220129403336</v>
      </c>
      <c r="I453" s="93">
        <v>1610.0</v>
      </c>
      <c r="J453" s="93">
        <v>1632.0</v>
      </c>
      <c r="K453" s="93">
        <v>6.374045255</v>
      </c>
    </row>
    <row r="454">
      <c r="A454" s="93">
        <v>154.0</v>
      </c>
      <c r="B454" s="96" t="s">
        <v>26</v>
      </c>
      <c r="C454" s="96" t="s">
        <v>142</v>
      </c>
      <c r="D454" s="96" t="s">
        <v>143</v>
      </c>
      <c r="E454" s="93">
        <v>20.0</v>
      </c>
      <c r="F454" s="93">
        <v>31.06362442</v>
      </c>
      <c r="G454" s="93">
        <v>31.329118965667888</v>
      </c>
      <c r="H454" s="93">
        <v>6.111679173486327</v>
      </c>
      <c r="I454" s="93">
        <v>1487.0</v>
      </c>
      <c r="J454" s="93">
        <v>1507.0</v>
      </c>
      <c r="K454" s="93">
        <v>6.131881046</v>
      </c>
    </row>
    <row r="455">
      <c r="A455" s="93">
        <v>154.0</v>
      </c>
      <c r="B455" s="96" t="s">
        <v>71</v>
      </c>
      <c r="C455" s="96" t="s">
        <v>144</v>
      </c>
      <c r="D455" s="96" t="s">
        <v>145</v>
      </c>
      <c r="E455" s="93">
        <v>-23.0</v>
      </c>
      <c r="F455" s="93">
        <v>26.08165079</v>
      </c>
      <c r="G455" s="93">
        <v>25.67692572868433</v>
      </c>
      <c r="H455" s="93">
        <v>7.5322862871705585</v>
      </c>
      <c r="I455" s="93">
        <v>1001.0</v>
      </c>
      <c r="J455" s="93">
        <v>978.0</v>
      </c>
      <c r="K455" s="93">
        <v>7.57121946</v>
      </c>
    </row>
    <row r="456">
      <c r="A456" s="93">
        <v>154.0</v>
      </c>
      <c r="B456" s="96" t="s">
        <v>31</v>
      </c>
      <c r="C456" s="96" t="s">
        <v>144</v>
      </c>
      <c r="D456" s="96" t="s">
        <v>145</v>
      </c>
      <c r="E456" s="93">
        <v>-20.0</v>
      </c>
      <c r="F456" s="93">
        <v>27.81661977</v>
      </c>
      <c r="G456" s="93">
        <v>27.476691301555118</v>
      </c>
      <c r="H456" s="93">
        <v>6.9088645564964235</v>
      </c>
      <c r="I456" s="93">
        <v>1184.0</v>
      </c>
      <c r="J456" s="93">
        <v>1164.0</v>
      </c>
      <c r="K456" s="93">
        <v>6.938607703</v>
      </c>
    </row>
    <row r="457">
      <c r="A457" s="93">
        <v>154.0</v>
      </c>
      <c r="B457" s="96" t="s">
        <v>107</v>
      </c>
      <c r="C457" s="96" t="s">
        <v>144</v>
      </c>
      <c r="D457" s="96" t="s">
        <v>145</v>
      </c>
      <c r="E457" s="93">
        <v>-28.0</v>
      </c>
      <c r="F457" s="93">
        <v>24.48990264</v>
      </c>
      <c r="G457" s="93">
        <v>24.005856834268975</v>
      </c>
      <c r="H457" s="93">
        <v>8.228884135363035</v>
      </c>
      <c r="I457" s="93">
        <v>821.0</v>
      </c>
      <c r="J457" s="93">
        <v>793.0</v>
      </c>
      <c r="K457" s="93">
        <v>8.280093182</v>
      </c>
    </row>
    <row r="458">
      <c r="A458" s="93">
        <v>154.0</v>
      </c>
      <c r="B458" s="96" t="s">
        <v>33</v>
      </c>
      <c r="C458" s="96" t="s">
        <v>144</v>
      </c>
      <c r="D458" s="96" t="s">
        <v>145</v>
      </c>
      <c r="E458" s="93">
        <v>-20.0</v>
      </c>
      <c r="F458" s="93">
        <v>26.51287979</v>
      </c>
      <c r="G458" s="93">
        <v>26.175335194166564</v>
      </c>
      <c r="H458" s="93">
        <v>6.884809819206815</v>
      </c>
      <c r="I458" s="93">
        <v>1098.0</v>
      </c>
      <c r="J458" s="93">
        <v>1078.0</v>
      </c>
      <c r="K458" s="93">
        <v>6.914230065</v>
      </c>
    </row>
    <row r="459">
      <c r="A459" s="93">
        <v>154.0</v>
      </c>
      <c r="B459" s="96" t="s">
        <v>68</v>
      </c>
      <c r="C459" s="96" t="s">
        <v>144</v>
      </c>
      <c r="D459" s="96" t="s">
        <v>145</v>
      </c>
      <c r="E459" s="93">
        <v>-28.0</v>
      </c>
      <c r="F459" s="93">
        <v>25.51009736</v>
      </c>
      <c r="G459" s="93">
        <v>25.026051554268978</v>
      </c>
      <c r="H459" s="93">
        <v>8.228884135363035</v>
      </c>
      <c r="I459" s="93">
        <v>890.0</v>
      </c>
      <c r="J459" s="93">
        <v>862.0</v>
      </c>
      <c r="K459" s="93">
        <v>8.280093182</v>
      </c>
    </row>
    <row r="460">
      <c r="A460" s="93">
        <v>154.0</v>
      </c>
      <c r="B460" s="96" t="s">
        <v>38</v>
      </c>
      <c r="C460" s="96" t="s">
        <v>144</v>
      </c>
      <c r="D460" s="96" t="s">
        <v>145</v>
      </c>
      <c r="E460" s="93">
        <v>-14.0</v>
      </c>
      <c r="F460" s="93">
        <v>25.80804111</v>
      </c>
      <c r="G460" s="93">
        <v>25.57679699962111</v>
      </c>
      <c r="H460" s="93">
        <v>5.706384093787383</v>
      </c>
      <c r="I460" s="93">
        <v>1171.0</v>
      </c>
      <c r="J460" s="93">
        <v>1157.0</v>
      </c>
      <c r="K460" s="93">
        <v>5.722590977</v>
      </c>
    </row>
    <row r="461">
      <c r="A461" s="93">
        <v>154.0</v>
      </c>
      <c r="B461" s="96" t="s">
        <v>30</v>
      </c>
      <c r="C461" s="96" t="s">
        <v>144</v>
      </c>
      <c r="D461" s="96" t="s">
        <v>148</v>
      </c>
      <c r="E461" s="93">
        <v>0.0</v>
      </c>
      <c r="F461" s="93" t="s">
        <v>147</v>
      </c>
      <c r="G461" s="93" t="s">
        <v>147</v>
      </c>
      <c r="H461" s="93" t="s">
        <v>147</v>
      </c>
      <c r="I461" s="93" t="s">
        <v>147</v>
      </c>
      <c r="J461" s="93" t="s">
        <v>147</v>
      </c>
      <c r="K461" s="93" t="s">
        <v>147</v>
      </c>
    </row>
    <row r="462">
      <c r="A462" s="93">
        <v>154.0</v>
      </c>
      <c r="B462" s="96" t="s">
        <v>109</v>
      </c>
      <c r="C462" s="96" t="s">
        <v>144</v>
      </c>
      <c r="D462" s="96" t="s">
        <v>145</v>
      </c>
      <c r="E462" s="93">
        <v>-27.0</v>
      </c>
      <c r="F462" s="93">
        <v>24.46770847</v>
      </c>
      <c r="G462" s="93">
        <v>23.982643665523618</v>
      </c>
      <c r="H462" s="93">
        <v>8.237431647774574</v>
      </c>
      <c r="I462" s="93">
        <v>818.0</v>
      </c>
      <c r="J462" s="93">
        <v>791.0</v>
      </c>
      <c r="K462" s="93">
        <v>8.288805372</v>
      </c>
    </row>
    <row r="463">
      <c r="A463" s="93">
        <v>154.0</v>
      </c>
      <c r="B463" s="96" t="s">
        <v>21</v>
      </c>
      <c r="C463" s="96" t="s">
        <v>144</v>
      </c>
      <c r="D463" s="96" t="s">
        <v>145</v>
      </c>
      <c r="E463" s="93">
        <v>-22.0</v>
      </c>
      <c r="F463" s="93">
        <v>28.6095522</v>
      </c>
      <c r="G463" s="93">
        <v>28.23505394232831</v>
      </c>
      <c r="H463" s="93">
        <v>7.248406598943733</v>
      </c>
      <c r="I463" s="93">
        <v>1203.0</v>
      </c>
      <c r="J463" s="93">
        <v>1181.0</v>
      </c>
      <c r="K463" s="93">
        <v>7.282955047</v>
      </c>
    </row>
    <row r="464">
      <c r="A464" s="93">
        <v>154.0</v>
      </c>
      <c r="B464" s="96" t="s">
        <v>28</v>
      </c>
      <c r="C464" s="96" t="s">
        <v>144</v>
      </c>
      <c r="D464" s="96" t="s">
        <v>145</v>
      </c>
      <c r="E464" s="93">
        <v>-17.0</v>
      </c>
      <c r="F464" s="93">
        <v>30.4814641</v>
      </c>
      <c r="G464" s="93">
        <v>30.20126411088331</v>
      </c>
      <c r="H464" s="93">
        <v>6.277459558066932</v>
      </c>
      <c r="I464" s="93">
        <v>1430.0</v>
      </c>
      <c r="J464" s="93">
        <v>1413.0</v>
      </c>
      <c r="K464" s="93">
        <v>6.29945543</v>
      </c>
    </row>
    <row r="465">
      <c r="A465" s="93">
        <v>154.0</v>
      </c>
      <c r="B465" s="96" t="s">
        <v>29</v>
      </c>
      <c r="C465" s="96" t="s">
        <v>144</v>
      </c>
      <c r="D465" s="96" t="s">
        <v>145</v>
      </c>
      <c r="E465" s="93">
        <v>-17.0</v>
      </c>
      <c r="F465" s="93">
        <v>33.26508191</v>
      </c>
      <c r="G465" s="93">
        <v>32.99131362124998</v>
      </c>
      <c r="H465" s="93">
        <v>6.205513006305737</v>
      </c>
      <c r="I465" s="93">
        <v>1627.0</v>
      </c>
      <c r="J465" s="93">
        <v>1610.0</v>
      </c>
      <c r="K465" s="93">
        <v>6.226718546</v>
      </c>
    </row>
    <row r="466">
      <c r="A466" s="93">
        <v>154.0</v>
      </c>
      <c r="B466" s="96" t="s">
        <v>22</v>
      </c>
      <c r="C466" s="96" t="s">
        <v>144</v>
      </c>
      <c r="D466" s="96" t="s">
        <v>148</v>
      </c>
      <c r="E466" s="93">
        <v>0.0</v>
      </c>
      <c r="F466" s="93" t="s">
        <v>147</v>
      </c>
      <c r="G466" s="93" t="s">
        <v>147</v>
      </c>
      <c r="H466" s="93" t="s">
        <v>147</v>
      </c>
      <c r="I466" s="93" t="s">
        <v>147</v>
      </c>
      <c r="J466" s="93" t="s">
        <v>147</v>
      </c>
      <c r="K466" s="93" t="s">
        <v>147</v>
      </c>
    </row>
    <row r="467">
      <c r="A467" s="93">
        <v>153.0</v>
      </c>
      <c r="B467" s="96" t="s">
        <v>32</v>
      </c>
      <c r="C467" s="96" t="s">
        <v>142</v>
      </c>
      <c r="D467" s="96" t="s">
        <v>143</v>
      </c>
      <c r="E467" s="93">
        <v>24.0</v>
      </c>
      <c r="F467" s="93">
        <v>29.60194592</v>
      </c>
      <c r="G467" s="93">
        <v>29.91915118330352</v>
      </c>
      <c r="H467" s="93">
        <v>6.545571690079126</v>
      </c>
      <c r="I467" s="93">
        <v>1343.0</v>
      </c>
      <c r="J467" s="93">
        <v>1367.0</v>
      </c>
      <c r="K467" s="93">
        <v>6.571180471</v>
      </c>
    </row>
    <row r="468">
      <c r="A468" s="93">
        <v>153.0</v>
      </c>
      <c r="B468" s="96" t="s">
        <v>35</v>
      </c>
      <c r="C468" s="96" t="s">
        <v>142</v>
      </c>
      <c r="D468" s="96" t="s">
        <v>143</v>
      </c>
      <c r="E468" s="93">
        <v>27.0</v>
      </c>
      <c r="F468" s="93">
        <v>29.99873001</v>
      </c>
      <c r="G468" s="93">
        <v>30.354062809376263</v>
      </c>
      <c r="H468" s="93">
        <v>6.924432948105967</v>
      </c>
      <c r="I468" s="93">
        <v>1331.0</v>
      </c>
      <c r="J468" s="93">
        <v>1358.0</v>
      </c>
      <c r="K468" s="93">
        <v>6.95498579</v>
      </c>
    </row>
    <row r="469">
      <c r="A469" s="93">
        <v>153.0</v>
      </c>
      <c r="B469" s="96" t="s">
        <v>68</v>
      </c>
      <c r="C469" s="96" t="s">
        <v>142</v>
      </c>
      <c r="D469" s="96" t="s">
        <v>143</v>
      </c>
      <c r="E469" s="93">
        <v>40.0</v>
      </c>
      <c r="F469" s="93">
        <v>25.0</v>
      </c>
      <c r="G469" s="93">
        <v>25.510097355368437</v>
      </c>
      <c r="H469" s="93">
        <v>8.28009318166139</v>
      </c>
      <c r="I469" s="93">
        <v>850.0</v>
      </c>
      <c r="J469" s="93">
        <v>890.0</v>
      </c>
      <c r="K469" s="93">
        <v>8.333333333333334</v>
      </c>
    </row>
    <row r="470">
      <c r="A470" s="93">
        <v>153.0</v>
      </c>
      <c r="B470" s="96" t="s">
        <v>44</v>
      </c>
      <c r="C470" s="96" t="s">
        <v>144</v>
      </c>
      <c r="D470" s="96" t="s">
        <v>145</v>
      </c>
      <c r="E470" s="93">
        <v>-24.0</v>
      </c>
      <c r="F470" s="93">
        <v>25.82693676</v>
      </c>
      <c r="G470" s="93">
        <v>25.422056832483978</v>
      </c>
      <c r="H470" s="93">
        <v>7.386784210020796</v>
      </c>
      <c r="I470" s="93">
        <v>999.0</v>
      </c>
      <c r="J470" s="93">
        <v>975.0</v>
      </c>
      <c r="K470" s="93">
        <v>7.424158157</v>
      </c>
    </row>
    <row r="471">
      <c r="A471" s="93">
        <v>153.0</v>
      </c>
      <c r="B471" s="96" t="s">
        <v>97</v>
      </c>
      <c r="C471" s="96" t="s">
        <v>144</v>
      </c>
      <c r="D471" s="96" t="s">
        <v>145</v>
      </c>
      <c r="E471" s="93">
        <v>-17.0</v>
      </c>
      <c r="F471" s="93">
        <v>23.46878209</v>
      </c>
      <c r="G471" s="93">
        <v>23.1897748668342</v>
      </c>
      <c r="H471" s="93">
        <v>6.141806440082692</v>
      </c>
      <c r="I471" s="93">
        <v>967.0</v>
      </c>
      <c r="J471" s="93">
        <v>950.0</v>
      </c>
      <c r="K471" s="93">
        <v>6.16274277</v>
      </c>
    </row>
    <row r="472">
      <c r="A472" s="93">
        <v>153.0</v>
      </c>
      <c r="B472" s="96" t="s">
        <v>47</v>
      </c>
      <c r="C472" s="96" t="s">
        <v>144</v>
      </c>
      <c r="D472" s="96" t="s">
        <v>145</v>
      </c>
      <c r="E472" s="93">
        <v>-16.0</v>
      </c>
      <c r="F472" s="93">
        <v>25.47152713</v>
      </c>
      <c r="G472" s="93">
        <v>25.220266179864176</v>
      </c>
      <c r="H472" s="93">
        <v>5.830476460440603</v>
      </c>
      <c r="I472" s="93">
        <v>1136.0</v>
      </c>
      <c r="J472" s="93">
        <v>1120.0</v>
      </c>
      <c r="K472" s="93">
        <v>5.848203852</v>
      </c>
    </row>
    <row r="473">
      <c r="A473" s="93">
        <v>153.0</v>
      </c>
      <c r="B473" s="96" t="s">
        <v>115</v>
      </c>
      <c r="C473" s="96" t="s">
        <v>144</v>
      </c>
      <c r="D473" s="96" t="s">
        <v>145</v>
      </c>
      <c r="E473" s="93">
        <v>-22.0</v>
      </c>
      <c r="F473" s="93">
        <v>22.65609323</v>
      </c>
      <c r="G473" s="93">
        <v>22.286269568861158</v>
      </c>
      <c r="H473" s="93">
        <v>7.062910964280951</v>
      </c>
      <c r="I473" s="93">
        <v>817.0</v>
      </c>
      <c r="J473" s="93">
        <v>795.0</v>
      </c>
      <c r="K473" s="93">
        <v>7.095413405</v>
      </c>
    </row>
    <row r="474">
      <c r="A474" s="93">
        <v>153.0</v>
      </c>
      <c r="B474" s="96" t="s">
        <v>146</v>
      </c>
      <c r="C474" s="96" t="s">
        <v>144</v>
      </c>
      <c r="D474" s="96" t="s">
        <v>146</v>
      </c>
      <c r="E474" s="93">
        <v>0.0</v>
      </c>
      <c r="F474" s="93" t="s">
        <v>147</v>
      </c>
      <c r="G474" s="93" t="s">
        <v>147</v>
      </c>
      <c r="H474" s="93" t="s">
        <v>147</v>
      </c>
      <c r="I474" s="93" t="s">
        <v>147</v>
      </c>
      <c r="J474" s="93" t="s">
        <v>147</v>
      </c>
      <c r="K474" s="93" t="s">
        <v>147</v>
      </c>
    </row>
    <row r="475">
      <c r="A475" s="93">
        <v>153.0</v>
      </c>
      <c r="B475" s="96" t="s">
        <v>107</v>
      </c>
      <c r="C475" s="96" t="s">
        <v>144</v>
      </c>
      <c r="D475" s="96" t="s">
        <v>145</v>
      </c>
      <c r="E475" s="93">
        <v>-29.0</v>
      </c>
      <c r="F475" s="93">
        <v>25.0</v>
      </c>
      <c r="G475" s="93">
        <v>24.489902644631574</v>
      </c>
      <c r="H475" s="93">
        <v>8.28009318166139</v>
      </c>
      <c r="I475" s="93">
        <v>850.0</v>
      </c>
      <c r="J475" s="93">
        <v>821.0</v>
      </c>
      <c r="K475" s="93">
        <v>8.333333333333334</v>
      </c>
    </row>
    <row r="476">
      <c r="A476" s="93">
        <v>153.0</v>
      </c>
      <c r="B476" s="96" t="s">
        <v>98</v>
      </c>
      <c r="C476" s="96" t="s">
        <v>144</v>
      </c>
      <c r="D476" s="96" t="s">
        <v>145</v>
      </c>
      <c r="E476" s="93">
        <v>-29.0</v>
      </c>
      <c r="F476" s="93">
        <v>25.0</v>
      </c>
      <c r="G476" s="93">
        <v>24.489902644631574</v>
      </c>
      <c r="H476" s="93">
        <v>8.28009318166139</v>
      </c>
      <c r="I476" s="93">
        <v>850.0</v>
      </c>
      <c r="J476" s="93">
        <v>821.0</v>
      </c>
      <c r="K476" s="93">
        <v>8.333333333333334</v>
      </c>
    </row>
    <row r="477">
      <c r="A477" s="93">
        <v>153.0</v>
      </c>
      <c r="B477" s="96" t="s">
        <v>33</v>
      </c>
      <c r="C477" s="96" t="s">
        <v>144</v>
      </c>
      <c r="D477" s="96" t="s">
        <v>145</v>
      </c>
      <c r="E477" s="93">
        <v>-21.0</v>
      </c>
      <c r="F477" s="93">
        <v>26.86715669</v>
      </c>
      <c r="G477" s="93">
        <v>26.51287978760175</v>
      </c>
      <c r="H477" s="93">
        <v>6.914230065205921</v>
      </c>
      <c r="I477" s="93">
        <v>1119.0</v>
      </c>
      <c r="J477" s="93">
        <v>1098.0</v>
      </c>
      <c r="K477" s="93">
        <v>6.944642342</v>
      </c>
    </row>
    <row r="478">
      <c r="A478" s="93">
        <v>153.0</v>
      </c>
      <c r="B478" s="96" t="s">
        <v>146</v>
      </c>
      <c r="C478" s="96" t="s">
        <v>144</v>
      </c>
      <c r="D478" s="96" t="s">
        <v>146</v>
      </c>
      <c r="E478" s="93">
        <v>0.0</v>
      </c>
      <c r="F478" s="93" t="s">
        <v>147</v>
      </c>
      <c r="G478" s="93" t="s">
        <v>147</v>
      </c>
      <c r="H478" s="93" t="s">
        <v>147</v>
      </c>
      <c r="I478" s="93" t="s">
        <v>147</v>
      </c>
      <c r="J478" s="93" t="s">
        <v>147</v>
      </c>
      <c r="K478" s="93" t="s">
        <v>147</v>
      </c>
    </row>
    <row r="479">
      <c r="A479" s="93">
        <v>153.0</v>
      </c>
      <c r="B479" s="96" t="s">
        <v>16</v>
      </c>
      <c r="C479" s="96" t="s">
        <v>144</v>
      </c>
      <c r="D479" s="96" t="s">
        <v>145</v>
      </c>
      <c r="E479" s="93">
        <v>-15.0</v>
      </c>
      <c r="F479" s="93">
        <v>32.16550405</v>
      </c>
      <c r="G479" s="93">
        <v>31.917894219325625</v>
      </c>
      <c r="H479" s="93">
        <v>5.78822804730076</v>
      </c>
      <c r="I479" s="93">
        <v>1595.0</v>
      </c>
      <c r="J479" s="93">
        <v>1580.0</v>
      </c>
      <c r="K479" s="93">
        <v>5.805545178</v>
      </c>
    </row>
    <row r="480">
      <c r="A480" s="93">
        <v>153.0</v>
      </c>
      <c r="B480" s="96" t="s">
        <v>26</v>
      </c>
      <c r="C480" s="96" t="s">
        <v>144</v>
      </c>
      <c r="D480" s="96" t="s">
        <v>145</v>
      </c>
      <c r="E480" s="93">
        <v>-17.0</v>
      </c>
      <c r="F480" s="93">
        <v>31.34172418</v>
      </c>
      <c r="G480" s="93">
        <v>31.063624417784826</v>
      </c>
      <c r="H480" s="93">
        <v>6.131881046050181</v>
      </c>
      <c r="I480" s="93">
        <v>1504.0</v>
      </c>
      <c r="J480" s="93">
        <v>1487.0</v>
      </c>
      <c r="K480" s="93">
        <v>6.152709915</v>
      </c>
    </row>
    <row r="481">
      <c r="A481" s="93">
        <v>153.0</v>
      </c>
      <c r="B481" s="96" t="s">
        <v>50</v>
      </c>
      <c r="C481" s="96" t="s">
        <v>144</v>
      </c>
      <c r="D481" s="96" t="s">
        <v>145</v>
      </c>
      <c r="E481" s="93">
        <v>-22.0</v>
      </c>
      <c r="F481" s="93">
        <v>21.93927824</v>
      </c>
      <c r="G481" s="93">
        <v>21.561127063002466</v>
      </c>
      <c r="H481" s="93">
        <v>7.1412300160064195</v>
      </c>
      <c r="I481" s="93">
        <v>760.0</v>
      </c>
      <c r="J481" s="93">
        <v>738.0</v>
      </c>
      <c r="K481" s="93">
        <v>7.17486998</v>
      </c>
    </row>
    <row r="482">
      <c r="A482" s="93">
        <v>152.0</v>
      </c>
      <c r="B482" s="96" t="s">
        <v>17</v>
      </c>
      <c r="C482" s="96" t="s">
        <v>142</v>
      </c>
      <c r="D482" s="96" t="s">
        <v>143</v>
      </c>
      <c r="E482" s="93">
        <v>37.0</v>
      </c>
      <c r="F482" s="93">
        <v>32.53550712</v>
      </c>
      <c r="G482" s="93">
        <v>33.03458295451209</v>
      </c>
      <c r="H482" s="93">
        <v>6.139856133152726</v>
      </c>
      <c r="I482" s="93">
        <v>1583.0</v>
      </c>
      <c r="J482" s="93">
        <v>1620.0</v>
      </c>
      <c r="K482" s="93">
        <v>6.170407082</v>
      </c>
    </row>
    <row r="483">
      <c r="A483" s="93">
        <v>152.0</v>
      </c>
      <c r="B483" s="96" t="s">
        <v>42</v>
      </c>
      <c r="C483" s="96" t="s">
        <v>142</v>
      </c>
      <c r="D483" s="96" t="s">
        <v>143</v>
      </c>
      <c r="E483" s="93">
        <v>48.0</v>
      </c>
      <c r="F483" s="93">
        <v>24.66314618</v>
      </c>
      <c r="G483" s="93">
        <v>25.3003936066174</v>
      </c>
      <c r="H483" s="93">
        <v>6.928071816398908</v>
      </c>
      <c r="I483" s="93">
        <v>966.0</v>
      </c>
      <c r="J483" s="93">
        <v>1014.0</v>
      </c>
      <c r="K483" s="93">
        <v>6.972635409</v>
      </c>
    </row>
    <row r="484">
      <c r="A484" s="93">
        <v>152.0</v>
      </c>
      <c r="B484" s="96" t="s">
        <v>35</v>
      </c>
      <c r="C484" s="96" t="s">
        <v>142</v>
      </c>
      <c r="D484" s="96" t="s">
        <v>143</v>
      </c>
      <c r="E484" s="93">
        <v>49.0</v>
      </c>
      <c r="F484" s="93">
        <v>29.3564554</v>
      </c>
      <c r="G484" s="93">
        <v>29.9987300129814</v>
      </c>
      <c r="H484" s="93">
        <v>6.954985790466832</v>
      </c>
      <c r="I484" s="93">
        <v>1282.0</v>
      </c>
      <c r="J484" s="93">
        <v>1331.0</v>
      </c>
      <c r="K484" s="93">
        <v>7.000090254</v>
      </c>
    </row>
    <row r="485">
      <c r="A485" s="93">
        <v>152.0</v>
      </c>
      <c r="B485" s="96" t="s">
        <v>22</v>
      </c>
      <c r="C485" s="96" t="s">
        <v>144</v>
      </c>
      <c r="D485" s="96" t="s">
        <v>145</v>
      </c>
      <c r="E485" s="93">
        <v>-27.0</v>
      </c>
      <c r="F485" s="93">
        <v>28.63512558</v>
      </c>
      <c r="G485" s="93">
        <v>28.19477834953215</v>
      </c>
      <c r="H485" s="93">
        <v>5.770774511923281</v>
      </c>
      <c r="I485" s="93">
        <v>1356.0</v>
      </c>
      <c r="J485" s="93">
        <v>1329.0</v>
      </c>
      <c r="K485" s="93">
        <v>5.795895867</v>
      </c>
    </row>
    <row r="486">
      <c r="A486" s="93">
        <v>152.0</v>
      </c>
      <c r="B486" s="96" t="s">
        <v>18</v>
      </c>
      <c r="C486" s="96" t="s">
        <v>144</v>
      </c>
      <c r="D486" s="96" t="s">
        <v>145</v>
      </c>
      <c r="E486" s="93">
        <v>-32.0</v>
      </c>
      <c r="F486" s="93">
        <v>34.19370873</v>
      </c>
      <c r="G486" s="93">
        <v>33.669274424226515</v>
      </c>
      <c r="H486" s="93">
        <v>6.292271308820999</v>
      </c>
      <c r="I486" s="93">
        <v>1680.0</v>
      </c>
      <c r="J486" s="93">
        <v>1648.0</v>
      </c>
      <c r="K486" s="93">
        <v>6.325266823</v>
      </c>
    </row>
    <row r="487">
      <c r="A487" s="93">
        <v>152.0</v>
      </c>
      <c r="B487" s="96" t="s">
        <v>23</v>
      </c>
      <c r="C487" s="96" t="s">
        <v>144</v>
      </c>
      <c r="D487" s="96" t="s">
        <v>145</v>
      </c>
      <c r="E487" s="93">
        <v>-26.0</v>
      </c>
      <c r="F487" s="93">
        <v>34.81316258</v>
      </c>
      <c r="G487" s="93">
        <v>34.38071276499249</v>
      </c>
      <c r="H487" s="93">
        <v>5.719255191424692</v>
      </c>
      <c r="I487" s="93">
        <v>1781.0</v>
      </c>
      <c r="J487" s="93">
        <v>1755.0</v>
      </c>
      <c r="K487" s="93">
        <v>5.743671812</v>
      </c>
    </row>
    <row r="488">
      <c r="A488" s="93">
        <v>152.0</v>
      </c>
      <c r="B488" s="96" t="s">
        <v>33</v>
      </c>
      <c r="C488" s="96" t="s">
        <v>144</v>
      </c>
      <c r="D488" s="96" t="s">
        <v>145</v>
      </c>
      <c r="E488" s="93">
        <v>-39.0</v>
      </c>
      <c r="F488" s="93">
        <v>27.50749685</v>
      </c>
      <c r="G488" s="93">
        <v>26.867156691803267</v>
      </c>
      <c r="H488" s="93">
        <v>6.944642341910284</v>
      </c>
      <c r="I488" s="93">
        <v>1158.0</v>
      </c>
      <c r="J488" s="93">
        <v>1119.0</v>
      </c>
      <c r="K488" s="93">
        <v>6.98953843</v>
      </c>
    </row>
    <row r="489">
      <c r="A489" s="93">
        <v>152.0</v>
      </c>
      <c r="B489" s="96" t="s">
        <v>38</v>
      </c>
      <c r="C489" s="96" t="s">
        <v>144</v>
      </c>
      <c r="D489" s="96" t="s">
        <v>145</v>
      </c>
      <c r="E489" s="93">
        <v>-27.0</v>
      </c>
      <c r="F489" s="93">
        <v>26.24100005</v>
      </c>
      <c r="G489" s="93">
        <v>25.80804111335341</v>
      </c>
      <c r="H489" s="93">
        <v>5.722590976754295</v>
      </c>
      <c r="I489" s="93">
        <v>1198.0</v>
      </c>
      <c r="J489" s="93">
        <v>1171.0</v>
      </c>
      <c r="K489" s="93">
        <v>5.747052844</v>
      </c>
    </row>
    <row r="490">
      <c r="A490" s="93">
        <v>152.0</v>
      </c>
      <c r="B490" s="96" t="s">
        <v>93</v>
      </c>
      <c r="C490" s="96" t="s">
        <v>144</v>
      </c>
      <c r="D490" s="96" t="s">
        <v>145</v>
      </c>
      <c r="E490" s="93">
        <v>-49.0</v>
      </c>
      <c r="F490" s="93">
        <v>25.02157059</v>
      </c>
      <c r="G490" s="93">
        <v>24.201162104593504</v>
      </c>
      <c r="H490" s="93">
        <v>7.846091098162469</v>
      </c>
      <c r="I490" s="93">
        <v>894.0</v>
      </c>
      <c r="J490" s="93">
        <v>845.0</v>
      </c>
      <c r="K490" s="93">
        <v>7.911666187</v>
      </c>
    </row>
    <row r="491">
      <c r="A491" s="93">
        <v>152.0</v>
      </c>
      <c r="B491" s="96" t="s">
        <v>27</v>
      </c>
      <c r="C491" s="96" t="s">
        <v>144</v>
      </c>
      <c r="D491" s="96" t="s">
        <v>148</v>
      </c>
      <c r="E491" s="93">
        <v>0.0</v>
      </c>
      <c r="F491" s="93" t="s">
        <v>147</v>
      </c>
      <c r="G491" s="93" t="s">
        <v>147</v>
      </c>
      <c r="H491" s="93" t="s">
        <v>147</v>
      </c>
      <c r="I491" s="93" t="s">
        <v>147</v>
      </c>
      <c r="J491" s="93" t="s">
        <v>147</v>
      </c>
      <c r="K491" s="93" t="s">
        <v>147</v>
      </c>
    </row>
    <row r="492">
      <c r="A492" s="93">
        <v>152.0</v>
      </c>
      <c r="B492" s="96" t="s">
        <v>41</v>
      </c>
      <c r="C492" s="96" t="s">
        <v>144</v>
      </c>
      <c r="D492" s="96" t="s">
        <v>145</v>
      </c>
      <c r="E492" s="93">
        <v>-35.0</v>
      </c>
      <c r="F492" s="93">
        <v>22.88359568</v>
      </c>
      <c r="G492" s="93">
        <v>22.318795830631764</v>
      </c>
      <c r="H492" s="93">
        <v>6.527233308162124</v>
      </c>
      <c r="I492" s="93">
        <v>887.0</v>
      </c>
      <c r="J492" s="93">
        <v>852.0</v>
      </c>
      <c r="K492" s="93">
        <v>6.564240265</v>
      </c>
    </row>
    <row r="493">
      <c r="A493" s="93">
        <v>152.0</v>
      </c>
      <c r="B493" s="96" t="s">
        <v>26</v>
      </c>
      <c r="C493" s="96" t="s">
        <v>144</v>
      </c>
      <c r="D493" s="96" t="s">
        <v>145</v>
      </c>
      <c r="E493" s="93">
        <v>-31.0</v>
      </c>
      <c r="F493" s="93">
        <v>31.84291357</v>
      </c>
      <c r="G493" s="93">
        <v>31.34172418064178</v>
      </c>
      <c r="H493" s="93">
        <v>6.152709915352507</v>
      </c>
      <c r="I493" s="93">
        <v>1535.0</v>
      </c>
      <c r="J493" s="93">
        <v>1504.0</v>
      </c>
      <c r="K493" s="93">
        <v>6.183462346</v>
      </c>
    </row>
    <row r="494">
      <c r="A494" s="93">
        <v>152.0</v>
      </c>
      <c r="B494" s="96" t="s">
        <v>16</v>
      </c>
      <c r="C494" s="96" t="s">
        <v>144</v>
      </c>
      <c r="D494" s="96" t="s">
        <v>145</v>
      </c>
      <c r="E494" s="93">
        <v>-28.0</v>
      </c>
      <c r="F494" s="93">
        <v>32.61122279</v>
      </c>
      <c r="G494" s="93">
        <v>32.165504049112975</v>
      </c>
      <c r="H494" s="93">
        <v>5.805545178452517</v>
      </c>
      <c r="I494" s="93">
        <v>1623.0</v>
      </c>
      <c r="J494" s="93">
        <v>1595.0</v>
      </c>
      <c r="K494" s="93">
        <v>5.831149364</v>
      </c>
    </row>
    <row r="495">
      <c r="A495" s="93">
        <v>152.0</v>
      </c>
      <c r="B495" s="96" t="s">
        <v>71</v>
      </c>
      <c r="C495" s="96" t="s">
        <v>144</v>
      </c>
      <c r="D495" s="96" t="s">
        <v>145</v>
      </c>
      <c r="E495" s="93">
        <v>-46.0</v>
      </c>
      <c r="F495" s="93">
        <v>26.84467908</v>
      </c>
      <c r="G495" s="93">
        <v>26.0816507882603</v>
      </c>
      <c r="H495" s="93">
        <v>7.57121946013087</v>
      </c>
      <c r="I495" s="93">
        <v>1047.0</v>
      </c>
      <c r="J495" s="93">
        <v>1001.0</v>
      </c>
      <c r="K495" s="93">
        <v>7.629930727</v>
      </c>
    </row>
    <row r="496">
      <c r="A496" s="93">
        <v>152.0</v>
      </c>
      <c r="B496" s="96" t="s">
        <v>20</v>
      </c>
      <c r="C496" s="96" t="s">
        <v>144</v>
      </c>
      <c r="D496" s="96" t="s">
        <v>148</v>
      </c>
      <c r="E496" s="93">
        <v>0.0</v>
      </c>
      <c r="F496" s="93" t="s">
        <v>147</v>
      </c>
      <c r="G496" s="93" t="s">
        <v>147</v>
      </c>
      <c r="H496" s="93" t="s">
        <v>147</v>
      </c>
      <c r="I496" s="93" t="s">
        <v>147</v>
      </c>
      <c r="J496" s="93" t="s">
        <v>147</v>
      </c>
      <c r="K496" s="93" t="s">
        <v>147</v>
      </c>
    </row>
    <row r="497">
      <c r="A497" s="93">
        <v>151.0</v>
      </c>
      <c r="B497" s="96" t="s">
        <v>67</v>
      </c>
      <c r="C497" s="96" t="s">
        <v>142</v>
      </c>
      <c r="D497" s="96" t="s">
        <v>145</v>
      </c>
      <c r="E497" s="93">
        <v>-91.0</v>
      </c>
      <c r="F497" s="93">
        <v>25.18145482</v>
      </c>
      <c r="G497" s="93">
        <v>23.76058867465611</v>
      </c>
      <c r="H497" s="93">
        <v>6.737604253575933</v>
      </c>
      <c r="I497" s="93">
        <v>1019.0</v>
      </c>
      <c r="J497" s="93">
        <v>928.0</v>
      </c>
      <c r="K497" s="93">
        <v>6.793409908</v>
      </c>
    </row>
    <row r="498">
      <c r="A498" s="93">
        <v>151.0</v>
      </c>
      <c r="B498" s="96" t="s">
        <v>23</v>
      </c>
      <c r="C498" s="96" t="s">
        <v>142</v>
      </c>
      <c r="D498" s="96" t="s">
        <v>145</v>
      </c>
      <c r="E498" s="93">
        <v>-67.0</v>
      </c>
      <c r="F498" s="93">
        <v>35.84094479</v>
      </c>
      <c r="G498" s="93">
        <v>34.81316257635133</v>
      </c>
      <c r="H498" s="93">
        <v>5.743671812102429</v>
      </c>
      <c r="I498" s="93">
        <v>1848.0</v>
      </c>
      <c r="J498" s="93">
        <v>1781.0</v>
      </c>
      <c r="K498" s="93">
        <v>5.777551025</v>
      </c>
    </row>
    <row r="499">
      <c r="A499" s="93">
        <v>151.0</v>
      </c>
      <c r="B499" s="96" t="s">
        <v>37</v>
      </c>
      <c r="C499" s="96" t="s">
        <v>142</v>
      </c>
      <c r="D499" s="96" t="s">
        <v>145</v>
      </c>
      <c r="E499" s="93">
        <v>-124.0</v>
      </c>
      <c r="F499" s="93">
        <v>26.63855235</v>
      </c>
      <c r="G499" s="93">
        <v>24.67619649612903</v>
      </c>
      <c r="H499" s="93">
        <v>7.8925715726461725</v>
      </c>
      <c r="I499" s="93">
        <v>997.0</v>
      </c>
      <c r="J499" s="93">
        <v>873.0</v>
      </c>
      <c r="K499" s="93">
        <v>7.983863491</v>
      </c>
    </row>
    <row r="500">
      <c r="A500" s="93">
        <v>151.0</v>
      </c>
      <c r="B500" s="96" t="s">
        <v>44</v>
      </c>
      <c r="C500" s="96" t="s">
        <v>144</v>
      </c>
      <c r="D500" s="96" t="s">
        <v>143</v>
      </c>
      <c r="E500" s="93">
        <v>125.0</v>
      </c>
      <c r="F500" s="93">
        <v>24.09536624</v>
      </c>
      <c r="G500" s="93">
        <v>25.82693675707566</v>
      </c>
      <c r="H500" s="93">
        <v>7.424158156590692</v>
      </c>
      <c r="I500" s="93">
        <v>874.0</v>
      </c>
      <c r="J500" s="93">
        <v>999.0</v>
      </c>
      <c r="K500" s="93">
        <v>7.499628848</v>
      </c>
    </row>
    <row r="501">
      <c r="A501" s="93">
        <v>151.0</v>
      </c>
      <c r="B501" s="96" t="s">
        <v>42</v>
      </c>
      <c r="C501" s="96" t="s">
        <v>144</v>
      </c>
      <c r="D501" s="96" t="s">
        <v>143</v>
      </c>
      <c r="E501" s="93">
        <v>110.0</v>
      </c>
      <c r="F501" s="93">
        <v>23.13956516</v>
      </c>
      <c r="G501" s="93">
        <v>24.66314617688434</v>
      </c>
      <c r="H501" s="93">
        <v>6.972635408506351</v>
      </c>
      <c r="I501" s="93">
        <v>856.0</v>
      </c>
      <c r="J501" s="93">
        <v>966.0</v>
      </c>
      <c r="K501" s="93">
        <v>7.034725985</v>
      </c>
    </row>
    <row r="502">
      <c r="A502" s="93">
        <v>151.0</v>
      </c>
      <c r="B502" s="96" t="s">
        <v>29</v>
      </c>
      <c r="C502" s="96" t="s">
        <v>144</v>
      </c>
      <c r="D502" s="96" t="s">
        <v>148</v>
      </c>
      <c r="E502" s="93">
        <v>0.0</v>
      </c>
      <c r="F502" s="93" t="s">
        <v>147</v>
      </c>
      <c r="G502" s="93" t="s">
        <v>147</v>
      </c>
      <c r="H502" s="93" t="s">
        <v>147</v>
      </c>
      <c r="I502" s="93" t="s">
        <v>147</v>
      </c>
      <c r="J502" s="93" t="s">
        <v>147</v>
      </c>
      <c r="K502" s="93" t="s">
        <v>147</v>
      </c>
    </row>
    <row r="503">
      <c r="A503" s="93">
        <v>151.0</v>
      </c>
      <c r="B503" s="96" t="s">
        <v>51</v>
      </c>
      <c r="C503" s="96" t="s">
        <v>144</v>
      </c>
      <c r="D503" s="96" t="s">
        <v>143</v>
      </c>
      <c r="E503" s="93">
        <v>149.0</v>
      </c>
      <c r="F503" s="93">
        <v>26.66434831</v>
      </c>
      <c r="G503" s="93">
        <v>28.70642941114711</v>
      </c>
      <c r="H503" s="93">
        <v>8.047469825743597</v>
      </c>
      <c r="I503" s="93">
        <v>982.0</v>
      </c>
      <c r="J503" s="93">
        <v>1131.0</v>
      </c>
      <c r="K503" s="93">
        <v>8.144455283</v>
      </c>
    </row>
    <row r="504">
      <c r="A504" s="93">
        <v>151.0</v>
      </c>
      <c r="B504" s="96" t="s">
        <v>36</v>
      </c>
      <c r="C504" s="96" t="s">
        <v>144</v>
      </c>
      <c r="D504" s="96" t="s">
        <v>143</v>
      </c>
      <c r="E504" s="93">
        <v>126.0</v>
      </c>
      <c r="F504" s="93">
        <v>24.83135623</v>
      </c>
      <c r="G504" s="93">
        <v>26.569299566751695</v>
      </c>
      <c r="H504" s="93">
        <v>7.437525259268426</v>
      </c>
      <c r="I504" s="93">
        <v>922.0</v>
      </c>
      <c r="J504" s="93">
        <v>1048.0</v>
      </c>
      <c r="K504" s="93">
        <v>7.513419326</v>
      </c>
    </row>
    <row r="505">
      <c r="A505" s="93">
        <v>151.0</v>
      </c>
      <c r="B505" s="96" t="s">
        <v>17</v>
      </c>
      <c r="C505" s="96" t="s">
        <v>144</v>
      </c>
      <c r="D505" s="96" t="s">
        <v>143</v>
      </c>
      <c r="E505" s="93">
        <v>85.0</v>
      </c>
      <c r="F505" s="93">
        <v>31.34707594</v>
      </c>
      <c r="G505" s="93">
        <v>32.535507123094284</v>
      </c>
      <c r="H505" s="93">
        <v>6.170407081727539</v>
      </c>
      <c r="I505" s="93">
        <v>1498.0</v>
      </c>
      <c r="J505" s="93">
        <v>1583.0</v>
      </c>
      <c r="K505" s="93">
        <v>6.21282404</v>
      </c>
    </row>
    <row r="506">
      <c r="A506" s="93">
        <v>151.0</v>
      </c>
      <c r="B506" s="96" t="s">
        <v>18</v>
      </c>
      <c r="C506" s="96" t="s">
        <v>144</v>
      </c>
      <c r="D506" s="96" t="s">
        <v>148</v>
      </c>
      <c r="E506" s="93">
        <v>0.0</v>
      </c>
      <c r="F506" s="93" t="s">
        <v>147</v>
      </c>
      <c r="G506" s="93" t="s">
        <v>147</v>
      </c>
      <c r="H506" s="93" t="s">
        <v>147</v>
      </c>
      <c r="I506" s="93" t="s">
        <v>147</v>
      </c>
      <c r="J506" s="93" t="s">
        <v>147</v>
      </c>
      <c r="K506" s="93" t="s">
        <v>147</v>
      </c>
    </row>
    <row r="507">
      <c r="A507" s="93">
        <v>151.0</v>
      </c>
      <c r="B507" s="96" t="s">
        <v>32</v>
      </c>
      <c r="C507" s="96" t="s">
        <v>144</v>
      </c>
      <c r="D507" s="96" t="s">
        <v>143</v>
      </c>
      <c r="E507" s="93">
        <v>97.0</v>
      </c>
      <c r="F507" s="93">
        <v>28.25153433</v>
      </c>
      <c r="G507" s="93">
        <v>29.60194592241625</v>
      </c>
      <c r="H507" s="93">
        <v>6.5711804713941735</v>
      </c>
      <c r="I507" s="93">
        <v>1246.0</v>
      </c>
      <c r="J507" s="93">
        <v>1343.0</v>
      </c>
      <c r="K507" s="93">
        <v>6.622803367</v>
      </c>
    </row>
    <row r="508">
      <c r="A508" s="93">
        <v>151.0</v>
      </c>
      <c r="B508" s="96" t="s">
        <v>71</v>
      </c>
      <c r="C508" s="96" t="s">
        <v>144</v>
      </c>
      <c r="D508" s="96" t="s">
        <v>143</v>
      </c>
      <c r="E508" s="93">
        <v>133.0</v>
      </c>
      <c r="F508" s="93">
        <v>25.01362297</v>
      </c>
      <c r="G508" s="93">
        <v>26.844679082566397</v>
      </c>
      <c r="H508" s="93">
        <v>7.629930726792759</v>
      </c>
      <c r="I508" s="93">
        <v>914.0</v>
      </c>
      <c r="J508" s="93">
        <v>1047.0</v>
      </c>
      <c r="K508" s="93">
        <v>7.712099143</v>
      </c>
    </row>
    <row r="509">
      <c r="A509" s="93">
        <v>151.0</v>
      </c>
      <c r="B509" s="96" t="s">
        <v>33</v>
      </c>
      <c r="C509" s="96" t="s">
        <v>144</v>
      </c>
      <c r="D509" s="96" t="s">
        <v>143</v>
      </c>
      <c r="E509" s="93">
        <v>111.0</v>
      </c>
      <c r="F509" s="93">
        <v>25.97638299</v>
      </c>
      <c r="G509" s="93">
        <v>27.507496851873864</v>
      </c>
      <c r="H509" s="93">
        <v>6.9895384303311685</v>
      </c>
      <c r="I509" s="93">
        <v>1047.0</v>
      </c>
      <c r="J509" s="93">
        <v>1158.0</v>
      </c>
      <c r="K509" s="93">
        <v>7.052098492</v>
      </c>
    </row>
    <row r="510">
      <c r="A510" s="93">
        <v>151.0</v>
      </c>
      <c r="B510" s="96" t="s">
        <v>47</v>
      </c>
      <c r="C510" s="96" t="s">
        <v>144</v>
      </c>
      <c r="D510" s="96" t="s">
        <v>143</v>
      </c>
      <c r="E510" s="93">
        <v>77.0</v>
      </c>
      <c r="F510" s="93">
        <v>24.40551302</v>
      </c>
      <c r="G510" s="93">
        <v>25.471527134252245</v>
      </c>
      <c r="H510" s="93">
        <v>5.8482038518776145</v>
      </c>
      <c r="I510" s="93">
        <v>1059.0</v>
      </c>
      <c r="J510" s="93">
        <v>1136.0</v>
      </c>
      <c r="K510" s="93">
        <v>5.884059441</v>
      </c>
    </row>
    <row r="511">
      <c r="A511" s="93">
        <v>151.0</v>
      </c>
      <c r="B511" s="96" t="s">
        <v>20</v>
      </c>
      <c r="C511" s="96" t="s">
        <v>144</v>
      </c>
      <c r="D511" s="96" t="s">
        <v>143</v>
      </c>
      <c r="E511" s="93">
        <v>113.0</v>
      </c>
      <c r="F511" s="93">
        <v>32.50504879</v>
      </c>
      <c r="G511" s="93">
        <v>34.076300594154716</v>
      </c>
      <c r="H511" s="93">
        <v>7.078872662620947</v>
      </c>
      <c r="I511" s="93">
        <v>1482.0</v>
      </c>
      <c r="J511" s="93">
        <v>1595.0</v>
      </c>
      <c r="K511" s="93">
        <v>7.143953763</v>
      </c>
    </row>
    <row r="512">
      <c r="A512" s="93">
        <v>150.0</v>
      </c>
      <c r="B512" s="96" t="s">
        <v>21</v>
      </c>
      <c r="C512" s="96" t="s">
        <v>142</v>
      </c>
      <c r="D512" s="96" t="s">
        <v>143</v>
      </c>
      <c r="E512" s="93">
        <v>23.0</v>
      </c>
      <c r="F512" s="93">
        <v>28.31800558</v>
      </c>
      <c r="G512" s="93">
        <v>28.609552201904226</v>
      </c>
      <c r="H512" s="93">
        <v>7.282955047030599</v>
      </c>
      <c r="I512" s="93">
        <v>1180.0</v>
      </c>
      <c r="J512" s="93">
        <v>1203.0</v>
      </c>
      <c r="K512" s="93">
        <v>7.314498845</v>
      </c>
    </row>
    <row r="513">
      <c r="A513" s="93">
        <v>150.0</v>
      </c>
      <c r="B513" s="96" t="s">
        <v>16</v>
      </c>
      <c r="C513" s="96" t="s">
        <v>142</v>
      </c>
      <c r="D513" s="96" t="s">
        <v>143</v>
      </c>
      <c r="E513" s="93">
        <v>14.0</v>
      </c>
      <c r="F513" s="93">
        <v>32.42492284</v>
      </c>
      <c r="G513" s="93">
        <v>32.61122279216608</v>
      </c>
      <c r="H513" s="93">
        <v>5.831149364284465</v>
      </c>
      <c r="I513" s="93">
        <v>1609.0</v>
      </c>
      <c r="J513" s="93">
        <v>1623.0</v>
      </c>
      <c r="K513" s="93">
        <v>5.846743083</v>
      </c>
    </row>
    <row r="514">
      <c r="A514" s="93">
        <v>150.0</v>
      </c>
      <c r="B514" s="96" t="s">
        <v>22</v>
      </c>
      <c r="C514" s="96" t="s">
        <v>142</v>
      </c>
      <c r="D514" s="96" t="s">
        <v>143</v>
      </c>
      <c r="E514" s="93">
        <v>14.0</v>
      </c>
      <c r="F514" s="93">
        <v>28.45108406</v>
      </c>
      <c r="G514" s="93">
        <v>28.635125582118057</v>
      </c>
      <c r="H514" s="93">
        <v>5.795895867212556</v>
      </c>
      <c r="I514" s="93">
        <v>1342.0</v>
      </c>
      <c r="J514" s="93">
        <v>1356.0</v>
      </c>
      <c r="K514" s="93">
        <v>5.811185884</v>
      </c>
    </row>
    <row r="515">
      <c r="A515" s="93">
        <v>150.0</v>
      </c>
      <c r="B515" s="96" t="s">
        <v>23</v>
      </c>
      <c r="C515" s="96" t="s">
        <v>144</v>
      </c>
      <c r="D515" s="96" t="s">
        <v>145</v>
      </c>
      <c r="E515" s="93">
        <v>-11.0</v>
      </c>
      <c r="F515" s="93">
        <v>36.02381663</v>
      </c>
      <c r="G515" s="93">
        <v>35.84094478602898</v>
      </c>
      <c r="H515" s="93">
        <v>5.77755102518664</v>
      </c>
      <c r="I515" s="93">
        <v>1859.0</v>
      </c>
      <c r="J515" s="93">
        <v>1848.0</v>
      </c>
      <c r="K515" s="93">
        <v>5.792684432</v>
      </c>
    </row>
    <row r="516">
      <c r="A516" s="93">
        <v>150.0</v>
      </c>
      <c r="B516" s="96" t="s">
        <v>41</v>
      </c>
      <c r="C516" s="96" t="s">
        <v>144</v>
      </c>
      <c r="D516" s="96" t="s">
        <v>145</v>
      </c>
      <c r="E516" s="93">
        <v>-13.0</v>
      </c>
      <c r="F516" s="93">
        <v>23.12004295</v>
      </c>
      <c r="G516" s="93">
        <v>22.88359567933842</v>
      </c>
      <c r="H516" s="93">
        <v>6.564240264891493</v>
      </c>
      <c r="I516" s="93">
        <v>900.0</v>
      </c>
      <c r="J516" s="93">
        <v>887.0</v>
      </c>
      <c r="K516" s="93">
        <v>6.587009098</v>
      </c>
    </row>
    <row r="517">
      <c r="A517" s="93">
        <v>150.0</v>
      </c>
      <c r="B517" s="96" t="s">
        <v>24</v>
      </c>
      <c r="C517" s="96" t="s">
        <v>144</v>
      </c>
      <c r="D517" s="96" t="s">
        <v>145</v>
      </c>
      <c r="E517" s="93">
        <v>-13.0</v>
      </c>
      <c r="F517" s="93">
        <v>30.2920809</v>
      </c>
      <c r="G517" s="93">
        <v>30.082690426911977</v>
      </c>
      <c r="H517" s="93">
        <v>6.179796099485788</v>
      </c>
      <c r="I517" s="93">
        <v>1428.0</v>
      </c>
      <c r="J517" s="93">
        <v>1415.0</v>
      </c>
      <c r="K517" s="93">
        <v>6.198592732</v>
      </c>
    </row>
    <row r="518">
      <c r="A518" s="93">
        <v>150.0</v>
      </c>
      <c r="B518" s="96" t="s">
        <v>50</v>
      </c>
      <c r="C518" s="96" t="s">
        <v>144</v>
      </c>
      <c r="D518" s="96" t="s">
        <v>145</v>
      </c>
      <c r="E518" s="93">
        <v>-16.0</v>
      </c>
      <c r="F518" s="93">
        <v>22.22216093</v>
      </c>
      <c r="G518" s="93">
        <v>21.939278242577366</v>
      </c>
      <c r="H518" s="93">
        <v>7.174869980478771</v>
      </c>
      <c r="I518" s="93">
        <v>776.0</v>
      </c>
      <c r="J518" s="93">
        <v>760.0</v>
      </c>
      <c r="K518" s="93">
        <v>7.204975533</v>
      </c>
    </row>
    <row r="519">
      <c r="A519" s="93">
        <v>150.0</v>
      </c>
      <c r="B519" s="96" t="s">
        <v>146</v>
      </c>
      <c r="C519" s="96" t="s">
        <v>144</v>
      </c>
      <c r="D519" s="96" t="s">
        <v>146</v>
      </c>
      <c r="E519" s="93">
        <v>0.0</v>
      </c>
      <c r="F519" s="93" t="s">
        <v>147</v>
      </c>
      <c r="G519" s="93" t="s">
        <v>147</v>
      </c>
      <c r="H519" s="93" t="s">
        <v>147</v>
      </c>
      <c r="I519" s="93" t="s">
        <v>147</v>
      </c>
      <c r="J519" s="93" t="s">
        <v>147</v>
      </c>
      <c r="K519" s="93" t="s">
        <v>147</v>
      </c>
    </row>
    <row r="520">
      <c r="A520" s="93">
        <v>150.0</v>
      </c>
      <c r="B520" s="96" t="s">
        <v>46</v>
      </c>
      <c r="C520" s="96" t="s">
        <v>144</v>
      </c>
      <c r="D520" s="96" t="s">
        <v>145</v>
      </c>
      <c r="E520" s="93">
        <v>-16.0</v>
      </c>
      <c r="F520" s="93">
        <v>27.44819187</v>
      </c>
      <c r="G520" s="93">
        <v>27.169793603711216</v>
      </c>
      <c r="H520" s="93">
        <v>7.118258071470237</v>
      </c>
      <c r="I520" s="93">
        <v>1137.0</v>
      </c>
      <c r="J520" s="93">
        <v>1121.0</v>
      </c>
      <c r="K520" s="93">
        <v>7.147627567</v>
      </c>
    </row>
    <row r="521">
      <c r="A521" s="93">
        <v>150.0</v>
      </c>
      <c r="B521" s="96" t="s">
        <v>83</v>
      </c>
      <c r="C521" s="96" t="s">
        <v>144</v>
      </c>
      <c r="D521" s="96" t="s">
        <v>145</v>
      </c>
      <c r="E521" s="93">
        <v>-14.0</v>
      </c>
      <c r="F521" s="93">
        <v>21.14651072</v>
      </c>
      <c r="G521" s="93">
        <v>20.89924647485256</v>
      </c>
      <c r="H521" s="93">
        <v>6.711608652423337</v>
      </c>
      <c r="I521" s="93">
        <v>751.0</v>
      </c>
      <c r="J521" s="93">
        <v>737.0</v>
      </c>
      <c r="K521" s="93">
        <v>6.736029192</v>
      </c>
    </row>
    <row r="522">
      <c r="A522" s="93">
        <v>150.0</v>
      </c>
      <c r="B522" s="96" t="s">
        <v>38</v>
      </c>
      <c r="C522" s="96" t="s">
        <v>144</v>
      </c>
      <c r="D522" s="96" t="s">
        <v>145</v>
      </c>
      <c r="E522" s="93">
        <v>-11.0</v>
      </c>
      <c r="F522" s="93">
        <v>26.4219357</v>
      </c>
      <c r="G522" s="93">
        <v>26.24100004836293</v>
      </c>
      <c r="H522" s="93">
        <v>5.74705284390651</v>
      </c>
      <c r="I522" s="93">
        <v>1209.0</v>
      </c>
      <c r="J522" s="93">
        <v>1198.0</v>
      </c>
      <c r="K522" s="93">
        <v>5.761928038</v>
      </c>
    </row>
    <row r="523">
      <c r="A523" s="93">
        <v>150.0</v>
      </c>
      <c r="B523" s="96" t="s">
        <v>47</v>
      </c>
      <c r="C523" s="96" t="s">
        <v>144</v>
      </c>
      <c r="D523" s="96" t="s">
        <v>145</v>
      </c>
      <c r="E523" s="93">
        <v>-12.0</v>
      </c>
      <c r="F523" s="93">
        <v>24.59522882</v>
      </c>
      <c r="G523" s="93">
        <v>24.405513018855924</v>
      </c>
      <c r="H523" s="93">
        <v>5.8840594412325915</v>
      </c>
      <c r="I523" s="93">
        <v>1071.0</v>
      </c>
      <c r="J523" s="93">
        <v>1059.0</v>
      </c>
      <c r="K523" s="93">
        <v>5.900115788</v>
      </c>
    </row>
    <row r="524">
      <c r="A524" s="93">
        <v>150.0</v>
      </c>
      <c r="B524" s="96" t="s">
        <v>28</v>
      </c>
      <c r="C524" s="96" t="s">
        <v>144</v>
      </c>
      <c r="D524" s="96" t="s">
        <v>145</v>
      </c>
      <c r="E524" s="93">
        <v>-13.0</v>
      </c>
      <c r="F524" s="93">
        <v>30.69909636</v>
      </c>
      <c r="G524" s="93">
        <v>30.481464097185857</v>
      </c>
      <c r="H524" s="93">
        <v>6.299455429861227</v>
      </c>
      <c r="I524" s="93">
        <v>1443.0</v>
      </c>
      <c r="J524" s="93">
        <v>1430.0</v>
      </c>
      <c r="K524" s="93">
        <v>6.319437496</v>
      </c>
    </row>
    <row r="525">
      <c r="A525" s="93">
        <v>150.0</v>
      </c>
      <c r="B525" s="96" t="s">
        <v>146</v>
      </c>
      <c r="C525" s="96" t="s">
        <v>144</v>
      </c>
      <c r="D525" s="96" t="s">
        <v>146</v>
      </c>
      <c r="E525" s="93">
        <v>0.0</v>
      </c>
      <c r="F525" s="93" t="s">
        <v>147</v>
      </c>
      <c r="G525" s="93" t="s">
        <v>147</v>
      </c>
      <c r="H525" s="93" t="s">
        <v>147</v>
      </c>
      <c r="I525" s="93" t="s">
        <v>147</v>
      </c>
      <c r="J525" s="93" t="s">
        <v>147</v>
      </c>
      <c r="K525" s="93" t="s">
        <v>147</v>
      </c>
    </row>
    <row r="526">
      <c r="A526" s="93">
        <v>150.0</v>
      </c>
      <c r="B526" s="96" t="s">
        <v>115</v>
      </c>
      <c r="C526" s="96" t="s">
        <v>144</v>
      </c>
      <c r="D526" s="96" t="s">
        <v>145</v>
      </c>
      <c r="E526" s="93">
        <v>-16.0</v>
      </c>
      <c r="F526" s="93">
        <v>22.9326923</v>
      </c>
      <c r="G526" s="93">
        <v>22.656093230627125</v>
      </c>
      <c r="H526" s="93">
        <v>7.095413405126701</v>
      </c>
      <c r="I526" s="93">
        <v>833.0</v>
      </c>
      <c r="J526" s="93">
        <v>817.0</v>
      </c>
      <c r="K526" s="93">
        <v>7.124489205</v>
      </c>
    </row>
    <row r="527">
      <c r="A527" s="93">
        <v>149.0</v>
      </c>
      <c r="B527" s="96" t="s">
        <v>38</v>
      </c>
      <c r="C527" s="96" t="s">
        <v>142</v>
      </c>
      <c r="D527" s="96" t="s">
        <v>145</v>
      </c>
      <c r="E527" s="93">
        <v>-50.0</v>
      </c>
      <c r="F527" s="93">
        <v>27.2078925570308</v>
      </c>
      <c r="G527" s="93">
        <v>26.42193569911149</v>
      </c>
      <c r="H527" s="93">
        <v>5.761928038246825</v>
      </c>
      <c r="I527" s="93">
        <v>1259.0</v>
      </c>
      <c r="J527" s="93">
        <v>1209.0</v>
      </c>
      <c r="K527" s="93">
        <v>5.794628769860743</v>
      </c>
    </row>
    <row r="528">
      <c r="A528" s="93">
        <v>149.0</v>
      </c>
      <c r="B528" s="96" t="s">
        <v>115</v>
      </c>
      <c r="C528" s="96" t="s">
        <v>142</v>
      </c>
      <c r="D528" s="96" t="s">
        <v>145</v>
      </c>
      <c r="E528" s="93">
        <v>-75.0</v>
      </c>
      <c r="F528" s="93">
        <v>24.141930746623355</v>
      </c>
      <c r="G528" s="93">
        <v>22.932692296269792</v>
      </c>
      <c r="H528" s="93">
        <v>7.124489205497735</v>
      </c>
      <c r="I528" s="93">
        <v>908.0</v>
      </c>
      <c r="J528" s="93">
        <v>833.0</v>
      </c>
      <c r="K528" s="93">
        <v>7.18794713529009</v>
      </c>
    </row>
    <row r="529">
      <c r="A529" s="93">
        <v>149.0</v>
      </c>
      <c r="B529" s="96" t="s">
        <v>27</v>
      </c>
      <c r="C529" s="96" t="s">
        <v>142</v>
      </c>
      <c r="D529" s="96" t="s">
        <v>145</v>
      </c>
      <c r="E529" s="93">
        <v>-61.0</v>
      </c>
      <c r="F529" s="93">
        <v>34.20714012441544</v>
      </c>
      <c r="G529" s="93">
        <v>33.242763260868976</v>
      </c>
      <c r="H529" s="93">
        <v>6.3740452546047655</v>
      </c>
      <c r="I529" s="93">
        <v>1671.0</v>
      </c>
      <c r="J529" s="93">
        <v>1610.0</v>
      </c>
      <c r="K529" s="93">
        <v>6.418914930886562</v>
      </c>
    </row>
    <row r="530">
      <c r="A530" s="93">
        <v>149.0</v>
      </c>
      <c r="B530" s="96" t="s">
        <v>80</v>
      </c>
      <c r="C530" s="96" t="s">
        <v>144</v>
      </c>
      <c r="D530" s="96" t="s">
        <v>143</v>
      </c>
      <c r="E530" s="93">
        <v>93.0</v>
      </c>
      <c r="F530" s="93">
        <v>22.05592826456241</v>
      </c>
      <c r="G530" s="93">
        <v>23.327743804930414</v>
      </c>
      <c r="H530" s="93">
        <v>7.3030864602664955</v>
      </c>
      <c r="I530" s="93">
        <v>748.0</v>
      </c>
      <c r="J530" s="93">
        <v>841.0</v>
      </c>
      <c r="K530" s="93">
        <v>7.37162156630719</v>
      </c>
    </row>
    <row r="531">
      <c r="A531" s="93">
        <v>149.0</v>
      </c>
      <c r="B531" s="96" t="s">
        <v>17</v>
      </c>
      <c r="C531" s="96" t="s">
        <v>144</v>
      </c>
      <c r="D531" s="96" t="s">
        <v>143</v>
      </c>
      <c r="E531" s="93">
        <v>67.0</v>
      </c>
      <c r="F531" s="93">
        <v>30.431533255520264</v>
      </c>
      <c r="G531" s="93">
        <v>31.347075940546997</v>
      </c>
      <c r="H531" s="93">
        <v>6.212824040400648</v>
      </c>
      <c r="I531" s="93">
        <v>1431.0</v>
      </c>
      <c r="J531" s="93">
        <v>1498.0</v>
      </c>
      <c r="K531" s="93">
        <v>6.254242496269314</v>
      </c>
    </row>
    <row r="532">
      <c r="A532" s="93">
        <v>149.0</v>
      </c>
      <c r="B532" s="96" t="s">
        <v>33</v>
      </c>
      <c r="C532" s="96" t="s">
        <v>144</v>
      </c>
      <c r="D532" s="96" t="s">
        <v>143</v>
      </c>
      <c r="E532" s="93">
        <v>87.0</v>
      </c>
      <c r="F532" s="93">
        <v>24.7920344197124</v>
      </c>
      <c r="G532" s="93">
        <v>25.976382986216954</v>
      </c>
      <c r="H532" s="93">
        <v>7.052098492255604</v>
      </c>
      <c r="I532" s="93">
        <v>960.0</v>
      </c>
      <c r="J532" s="93">
        <v>1047.0</v>
      </c>
      <c r="K532" s="93">
        <v>7.11357289872805</v>
      </c>
    </row>
    <row r="533">
      <c r="A533" s="93">
        <v>149.0</v>
      </c>
      <c r="B533" s="96" t="s">
        <v>24</v>
      </c>
      <c r="C533" s="96" t="s">
        <v>144</v>
      </c>
      <c r="D533" s="96" t="s">
        <v>143</v>
      </c>
      <c r="E533" s="93">
        <v>67.0</v>
      </c>
      <c r="F533" s="93">
        <v>29.380785405503772</v>
      </c>
      <c r="G533" s="93">
        <v>30.29208089805992</v>
      </c>
      <c r="H533" s="93">
        <v>6.198592731755428</v>
      </c>
      <c r="I533" s="93">
        <v>1361.0</v>
      </c>
      <c r="J533" s="93">
        <v>1428.0</v>
      </c>
      <c r="K533" s="93">
        <v>6.2397152345819675</v>
      </c>
    </row>
    <row r="534">
      <c r="A534" s="93">
        <v>149.0</v>
      </c>
      <c r="B534" s="96" t="s">
        <v>21</v>
      </c>
      <c r="C534" s="96" t="s">
        <v>144</v>
      </c>
      <c r="D534" s="96" t="s">
        <v>143</v>
      </c>
      <c r="E534" s="93">
        <v>94.0</v>
      </c>
      <c r="F534" s="93">
        <v>27.04213457301818</v>
      </c>
      <c r="G534" s="93">
        <v>28.31800557989198</v>
      </c>
      <c r="H534" s="93">
        <v>7.314498845369379</v>
      </c>
      <c r="I534" s="93">
        <v>1086.0</v>
      </c>
      <c r="J534" s="93">
        <v>1180.0</v>
      </c>
      <c r="K534" s="93">
        <v>7.383367398164016</v>
      </c>
    </row>
    <row r="535">
      <c r="A535" s="93">
        <v>149.0</v>
      </c>
      <c r="B535" s="96" t="s">
        <v>28</v>
      </c>
      <c r="C535" s="96" t="s">
        <v>144</v>
      </c>
      <c r="D535" s="96" t="s">
        <v>143</v>
      </c>
      <c r="E535" s="93">
        <v>69.0</v>
      </c>
      <c r="F535" s="93">
        <v>29.751408490790315</v>
      </c>
      <c r="G535" s="93">
        <v>30.699096361061468</v>
      </c>
      <c r="H535" s="93">
        <v>6.319437496476602</v>
      </c>
      <c r="I535" s="93">
        <v>1374.0</v>
      </c>
      <c r="J535" s="93">
        <v>1443.0</v>
      </c>
      <c r="K535" s="93">
        <v>6.36311777468937</v>
      </c>
    </row>
    <row r="536">
      <c r="A536" s="93">
        <v>149.0</v>
      </c>
      <c r="B536" s="96" t="s">
        <v>22</v>
      </c>
      <c r="C536" s="96" t="s">
        <v>144</v>
      </c>
      <c r="D536" s="96" t="s">
        <v>143</v>
      </c>
      <c r="E536" s="93">
        <v>58.0</v>
      </c>
      <c r="F536" s="93">
        <v>27.65146935810666</v>
      </c>
      <c r="G536" s="93">
        <v>28.451084058709675</v>
      </c>
      <c r="H536" s="93">
        <v>5.81118588354224</v>
      </c>
      <c r="I536" s="93">
        <v>1284.0</v>
      </c>
      <c r="J536" s="93">
        <v>1342.0</v>
      </c>
      <c r="K536" s="93">
        <v>5.844774417350934</v>
      </c>
    </row>
    <row r="537">
      <c r="A537" s="93">
        <v>149.0</v>
      </c>
      <c r="B537" s="96" t="s">
        <v>23</v>
      </c>
      <c r="C537" s="96" t="s">
        <v>144</v>
      </c>
      <c r="D537" s="96" t="s">
        <v>143</v>
      </c>
      <c r="E537" s="93">
        <v>58.0</v>
      </c>
      <c r="F537" s="93">
        <v>35.22934615937891</v>
      </c>
      <c r="G537" s="93">
        <v>36.023816625396044</v>
      </c>
      <c r="H537" s="93">
        <v>5.792684432090631</v>
      </c>
      <c r="I537" s="93">
        <v>1801.0</v>
      </c>
      <c r="J537" s="93">
        <v>1859.0</v>
      </c>
      <c r="K537" s="93">
        <v>5.825937698389408</v>
      </c>
    </row>
    <row r="538">
      <c r="A538" s="93">
        <v>149.0</v>
      </c>
      <c r="B538" s="96" t="s">
        <v>16</v>
      </c>
      <c r="C538" s="96" t="s">
        <v>144</v>
      </c>
      <c r="D538" s="96" t="s">
        <v>148</v>
      </c>
      <c r="E538" s="93" t="s">
        <v>147</v>
      </c>
      <c r="F538" s="93" t="s">
        <v>147</v>
      </c>
      <c r="G538" s="93" t="s">
        <v>147</v>
      </c>
      <c r="H538" s="93" t="s">
        <v>147</v>
      </c>
      <c r="I538" s="93" t="s">
        <v>147</v>
      </c>
      <c r="J538" s="93" t="s">
        <v>147</v>
      </c>
      <c r="K538" s="93" t="s">
        <v>147</v>
      </c>
    </row>
    <row r="539">
      <c r="A539" s="93">
        <v>149.0</v>
      </c>
      <c r="B539" s="96" t="s">
        <v>26</v>
      </c>
      <c r="C539" s="96" t="s">
        <v>144</v>
      </c>
      <c r="D539" s="96" t="s">
        <v>143</v>
      </c>
      <c r="E539" s="93">
        <v>66.0</v>
      </c>
      <c r="F539" s="93">
        <v>30.936122317557807</v>
      </c>
      <c r="G539" s="93">
        <v>31.8429135745523</v>
      </c>
      <c r="H539" s="93">
        <v>6.183462345899764</v>
      </c>
      <c r="I539" s="93">
        <v>1469.0</v>
      </c>
      <c r="J539" s="93">
        <v>1535.0</v>
      </c>
      <c r="K539" s="93">
        <v>6.224271726533233</v>
      </c>
    </row>
    <row r="540">
      <c r="A540" s="93">
        <v>149.0</v>
      </c>
      <c r="B540" s="96" t="s">
        <v>46</v>
      </c>
      <c r="C540" s="96" t="s">
        <v>144</v>
      </c>
      <c r="D540" s="96" t="s">
        <v>143</v>
      </c>
      <c r="E540" s="93">
        <v>89.0</v>
      </c>
      <c r="F540" s="93">
        <v>26.230940205166497</v>
      </c>
      <c r="G540" s="93">
        <v>27.448191873854817</v>
      </c>
      <c r="H540" s="93">
        <v>7.14762756661073</v>
      </c>
      <c r="I540" s="93">
        <v>1048.0</v>
      </c>
      <c r="J540" s="93">
        <v>1137.0</v>
      </c>
      <c r="K540" s="93">
        <v>7.211728464087762</v>
      </c>
    </row>
    <row r="541">
      <c r="A541" s="93">
        <v>149.0</v>
      </c>
      <c r="B541" s="96" t="s">
        <v>34</v>
      </c>
      <c r="C541" s="96" t="s">
        <v>144</v>
      </c>
      <c r="D541" s="96" t="s">
        <v>148</v>
      </c>
      <c r="E541" s="93" t="s">
        <v>147</v>
      </c>
      <c r="F541" s="93" t="s">
        <v>147</v>
      </c>
      <c r="G541" s="93" t="s">
        <v>147</v>
      </c>
      <c r="H541" s="93" t="s">
        <v>147</v>
      </c>
      <c r="I541" s="93" t="s">
        <v>147</v>
      </c>
      <c r="J541" s="93" t="s">
        <v>147</v>
      </c>
      <c r="K541" s="93" t="s">
        <v>147</v>
      </c>
    </row>
    <row r="542">
      <c r="A542" s="93">
        <v>148.0</v>
      </c>
      <c r="B542" s="96" t="s">
        <v>44</v>
      </c>
      <c r="C542" s="96" t="s">
        <v>142</v>
      </c>
      <c r="D542" s="96" t="s">
        <v>145</v>
      </c>
      <c r="E542" s="93">
        <v>-93.0</v>
      </c>
      <c r="F542" s="93">
        <v>25.58160037343892</v>
      </c>
      <c r="G542" s="93">
        <v>24.095366237631573</v>
      </c>
      <c r="H542" s="93">
        <v>7.499628847929629</v>
      </c>
      <c r="I542" s="93">
        <v>967.0</v>
      </c>
      <c r="J542" s="93">
        <v>874.0</v>
      </c>
      <c r="K542" s="93">
        <v>7.57395249524154</v>
      </c>
    </row>
    <row r="543">
      <c r="A543" s="93">
        <v>148.0</v>
      </c>
      <c r="B543" s="96" t="s">
        <v>17</v>
      </c>
      <c r="C543" s="96" t="s">
        <v>142</v>
      </c>
      <c r="D543" s="96" t="s">
        <v>145</v>
      </c>
      <c r="E543" s="93">
        <v>-66.0</v>
      </c>
      <c r="F543" s="93">
        <v>31.458768708274416</v>
      </c>
      <c r="G543" s="93">
        <v>30.431533255520264</v>
      </c>
      <c r="H543" s="93">
        <v>6.254242496269314</v>
      </c>
      <c r="I543" s="93">
        <v>1497.0</v>
      </c>
      <c r="J543" s="93">
        <v>1431.0</v>
      </c>
      <c r="K543" s="93">
        <v>6.296468657725643</v>
      </c>
    </row>
    <row r="544">
      <c r="A544" s="93">
        <v>148.0</v>
      </c>
      <c r="B544" s="96" t="s">
        <v>69</v>
      </c>
      <c r="C544" s="96" t="s">
        <v>142</v>
      </c>
      <c r="D544" s="96" t="s">
        <v>145</v>
      </c>
      <c r="E544" s="93">
        <v>-103.0</v>
      </c>
      <c r="F544" s="93">
        <v>28.926453662297703</v>
      </c>
      <c r="G544" s="93">
        <v>27.276744561459264</v>
      </c>
      <c r="H544" s="93">
        <v>7.892585739081414</v>
      </c>
      <c r="I544" s="93">
        <v>1153.0</v>
      </c>
      <c r="J544" s="93">
        <v>1050.0</v>
      </c>
      <c r="K544" s="93">
        <v>7.9796969284137225</v>
      </c>
    </row>
    <row r="545">
      <c r="A545" s="93">
        <v>148.0</v>
      </c>
      <c r="B545" s="96" t="s">
        <v>24</v>
      </c>
      <c r="C545" s="96" t="s">
        <v>144</v>
      </c>
      <c r="D545" s="96" t="s">
        <v>143</v>
      </c>
      <c r="E545" s="93">
        <v>73.0</v>
      </c>
      <c r="F545" s="93">
        <v>28.358382907372427</v>
      </c>
      <c r="G545" s="93">
        <v>29.380785405503772</v>
      </c>
      <c r="H545" s="93">
        <v>6.2397152345819675</v>
      </c>
      <c r="I545" s="93">
        <v>1288.0</v>
      </c>
      <c r="J545" s="93">
        <v>1361.0</v>
      </c>
      <c r="K545" s="93">
        <v>6.281635584163389</v>
      </c>
    </row>
    <row r="546">
      <c r="A546" s="93">
        <v>148.0</v>
      </c>
      <c r="B546" s="96" t="s">
        <v>23</v>
      </c>
      <c r="C546" s="96" t="s">
        <v>144</v>
      </c>
      <c r="D546" s="96" t="s">
        <v>143</v>
      </c>
      <c r="E546" s="93">
        <v>64.0</v>
      </c>
      <c r="F546" s="93">
        <v>34.339632268304655</v>
      </c>
      <c r="G546" s="93">
        <v>35.22934615937891</v>
      </c>
      <c r="H546" s="93">
        <v>5.825937698389408</v>
      </c>
      <c r="I546" s="93">
        <v>1737.0</v>
      </c>
      <c r="J546" s="93">
        <v>1801.0</v>
      </c>
      <c r="K546" s="93">
        <v>5.859745652064859</v>
      </c>
    </row>
    <row r="547">
      <c r="A547" s="93">
        <v>148.0</v>
      </c>
      <c r="B547" s="96" t="s">
        <v>146</v>
      </c>
      <c r="C547" s="96" t="s">
        <v>144</v>
      </c>
      <c r="D547" s="96" t="s">
        <v>146</v>
      </c>
      <c r="E547" s="93" t="s">
        <v>147</v>
      </c>
      <c r="F547" s="93" t="s">
        <v>147</v>
      </c>
      <c r="G547" s="93" t="s">
        <v>147</v>
      </c>
      <c r="H547" s="93" t="s">
        <v>147</v>
      </c>
      <c r="I547" s="93" t="s">
        <v>147</v>
      </c>
      <c r="J547" s="93" t="s">
        <v>147</v>
      </c>
      <c r="K547" s="93" t="s">
        <v>147</v>
      </c>
    </row>
    <row r="548">
      <c r="A548" s="93">
        <v>148.0</v>
      </c>
      <c r="B548" s="96" t="s">
        <v>146</v>
      </c>
      <c r="C548" s="96" t="s">
        <v>144</v>
      </c>
      <c r="D548" s="96" t="s">
        <v>146</v>
      </c>
      <c r="E548" s="93" t="s">
        <v>147</v>
      </c>
      <c r="F548" s="93" t="s">
        <v>147</v>
      </c>
      <c r="G548" s="93" t="s">
        <v>147</v>
      </c>
      <c r="H548" s="93" t="s">
        <v>147</v>
      </c>
      <c r="I548" s="93" t="s">
        <v>147</v>
      </c>
      <c r="J548" s="93" t="s">
        <v>147</v>
      </c>
      <c r="K548" s="93" t="s">
        <v>147</v>
      </c>
    </row>
    <row r="549">
      <c r="A549" s="93">
        <v>148.0</v>
      </c>
      <c r="B549" s="96" t="s">
        <v>38</v>
      </c>
      <c r="C549" s="96" t="s">
        <v>144</v>
      </c>
      <c r="D549" s="96" t="s">
        <v>143</v>
      </c>
      <c r="E549" s="93">
        <v>63.0</v>
      </c>
      <c r="F549" s="93">
        <v>26.327829647575427</v>
      </c>
      <c r="G549" s="93">
        <v>27.2078925570308</v>
      </c>
      <c r="H549" s="93">
        <v>5.794628769860743</v>
      </c>
      <c r="I549" s="93">
        <v>1196.0</v>
      </c>
      <c r="J549" s="93">
        <v>1259.0</v>
      </c>
      <c r="K549" s="93">
        <v>5.827868519772369</v>
      </c>
    </row>
    <row r="550">
      <c r="A550" s="93">
        <v>148.0</v>
      </c>
      <c r="B550" s="96" t="s">
        <v>16</v>
      </c>
      <c r="C550" s="96" t="s">
        <v>144</v>
      </c>
      <c r="D550" s="96" t="s">
        <v>143</v>
      </c>
      <c r="E550" s="93">
        <v>65.0</v>
      </c>
      <c r="F550" s="93">
        <v>31.528765514250523</v>
      </c>
      <c r="G550" s="93">
        <v>32.42492283710698</v>
      </c>
      <c r="H550" s="93">
        <v>5.846743083257462</v>
      </c>
      <c r="I550" s="93">
        <v>1544.0</v>
      </c>
      <c r="J550" s="93">
        <v>1609.0</v>
      </c>
      <c r="K550" s="93">
        <v>5.8809320775707</v>
      </c>
    </row>
    <row r="551">
      <c r="A551" s="93">
        <v>148.0</v>
      </c>
      <c r="B551" s="96" t="s">
        <v>33</v>
      </c>
      <c r="C551" s="96" t="s">
        <v>144</v>
      </c>
      <c r="D551" s="96" t="s">
        <v>143</v>
      </c>
      <c r="E551" s="93">
        <v>97.0</v>
      </c>
      <c r="F551" s="93">
        <v>23.45761407127183</v>
      </c>
      <c r="G551" s="93">
        <v>24.7920344197124</v>
      </c>
      <c r="H551" s="93">
        <v>7.11357289872805</v>
      </c>
      <c r="I551" s="93">
        <v>863.0</v>
      </c>
      <c r="J551" s="93">
        <v>960.0</v>
      </c>
      <c r="K551" s="93">
        <v>7.1766370395466685</v>
      </c>
    </row>
    <row r="552">
      <c r="A552" s="93">
        <v>148.0</v>
      </c>
      <c r="B552" s="96" t="s">
        <v>26</v>
      </c>
      <c r="C552" s="96" t="s">
        <v>144</v>
      </c>
      <c r="D552" s="96" t="s">
        <v>143</v>
      </c>
      <c r="E552" s="93">
        <v>74.0</v>
      </c>
      <c r="F552" s="93">
        <v>29.91884457255217</v>
      </c>
      <c r="G552" s="93">
        <v>30.936122317557807</v>
      </c>
      <c r="H552" s="93">
        <v>6.224271726533233</v>
      </c>
      <c r="I552" s="93">
        <v>1395.0</v>
      </c>
      <c r="J552" s="93">
        <v>1469.0</v>
      </c>
      <c r="K552" s="93">
        <v>6.265868578513336</v>
      </c>
    </row>
    <row r="553">
      <c r="A553" s="93">
        <v>148.0</v>
      </c>
      <c r="B553" s="96" t="s">
        <v>21</v>
      </c>
      <c r="C553" s="96" t="s">
        <v>144</v>
      </c>
      <c r="D553" s="96" t="s">
        <v>143</v>
      </c>
      <c r="E553" s="93">
        <v>105.0</v>
      </c>
      <c r="F553" s="93">
        <v>25.602531056405375</v>
      </c>
      <c r="G553" s="93">
        <v>27.04213457301818</v>
      </c>
      <c r="H553" s="93">
        <v>7.383367398164016</v>
      </c>
      <c r="I553" s="93">
        <v>981.0</v>
      </c>
      <c r="J553" s="93">
        <v>1086.0</v>
      </c>
      <c r="K553" s="93">
        <v>7.454168130860583</v>
      </c>
    </row>
    <row r="554">
      <c r="A554" s="93">
        <v>148.0</v>
      </c>
      <c r="B554" s="96" t="s">
        <v>34</v>
      </c>
      <c r="C554" s="96" t="s">
        <v>144</v>
      </c>
      <c r="D554" s="96" t="s">
        <v>143</v>
      </c>
      <c r="E554" s="93">
        <v>98.0</v>
      </c>
      <c r="F554" s="93">
        <v>26.179017943398012</v>
      </c>
      <c r="G554" s="93">
        <v>27.523435855446262</v>
      </c>
      <c r="H554" s="93">
        <v>7.139689196161254</v>
      </c>
      <c r="I554" s="93">
        <v>1045.0</v>
      </c>
      <c r="J554" s="93">
        <v>1143.0</v>
      </c>
      <c r="K554" s="93">
        <v>7.203475988171406</v>
      </c>
    </row>
    <row r="555">
      <c r="A555" s="93">
        <v>148.0</v>
      </c>
      <c r="B555" s="96" t="s">
        <v>97</v>
      </c>
      <c r="C555" s="96" t="s">
        <v>144</v>
      </c>
      <c r="D555" s="96" t="s">
        <v>143</v>
      </c>
      <c r="E555" s="93">
        <v>72.0</v>
      </c>
      <c r="F555" s="93">
        <v>22.47178891726289</v>
      </c>
      <c r="G555" s="93">
        <v>23.468782088626106</v>
      </c>
      <c r="H555" s="93">
        <v>6.16274277026396</v>
      </c>
      <c r="I555" s="93">
        <v>895.0</v>
      </c>
      <c r="J555" s="93">
        <v>967.0</v>
      </c>
      <c r="K555" s="93">
        <v>6.203067063150356</v>
      </c>
    </row>
    <row r="556">
      <c r="A556" s="93">
        <v>148.0</v>
      </c>
      <c r="B556" s="96" t="s">
        <v>28</v>
      </c>
      <c r="C556" s="96" t="s">
        <v>144</v>
      </c>
      <c r="D556" s="96" t="s">
        <v>143</v>
      </c>
      <c r="E556" s="93">
        <v>77.0</v>
      </c>
      <c r="F556" s="93">
        <v>28.687573807575497</v>
      </c>
      <c r="G556" s="93">
        <v>29.751408490790315</v>
      </c>
      <c r="H556" s="93">
        <v>6.36311777468937</v>
      </c>
      <c r="I556" s="93">
        <v>1297.0</v>
      </c>
      <c r="J556" s="93">
        <v>1374.0</v>
      </c>
      <c r="K556" s="93">
        <v>6.407682773894328</v>
      </c>
    </row>
    <row r="557">
      <c r="A557" s="93">
        <v>147.0</v>
      </c>
      <c r="B557" s="96" t="s">
        <v>21</v>
      </c>
      <c r="C557" s="96" t="s">
        <v>142</v>
      </c>
      <c r="D557" s="96" t="s">
        <v>143</v>
      </c>
      <c r="E557" s="93">
        <v>49.0</v>
      </c>
      <c r="F557" s="93">
        <v>24.95529385389947</v>
      </c>
      <c r="G557" s="93">
        <v>25.602531056405375</v>
      </c>
      <c r="H557" s="93">
        <v>7.454168130860583</v>
      </c>
      <c r="I557" s="93">
        <v>932.0</v>
      </c>
      <c r="J557" s="93">
        <v>981.0</v>
      </c>
      <c r="K557" s="93">
        <v>7.503502141711589</v>
      </c>
    </row>
    <row r="558">
      <c r="A558" s="93">
        <v>147.0</v>
      </c>
      <c r="B558" s="96" t="s">
        <v>63</v>
      </c>
      <c r="C558" s="96" t="s">
        <v>142</v>
      </c>
      <c r="D558" s="96" t="s">
        <v>143</v>
      </c>
      <c r="E558" s="93">
        <v>58.0</v>
      </c>
      <c r="F558" s="93">
        <v>26.408170280753247</v>
      </c>
      <c r="G558" s="93">
        <v>27.17531836204789</v>
      </c>
      <c r="H558" s="93">
        <v>8.105221025733584</v>
      </c>
      <c r="I558" s="93">
        <v>963.0</v>
      </c>
      <c r="J558" s="93">
        <v>1021.0</v>
      </c>
      <c r="K558" s="93">
        <v>8.169169453251735</v>
      </c>
    </row>
    <row r="559">
      <c r="A559" s="93">
        <v>147.0</v>
      </c>
      <c r="B559" s="96" t="s">
        <v>46</v>
      </c>
      <c r="C559" s="96" t="s">
        <v>142</v>
      </c>
      <c r="D559" s="96" t="s">
        <v>143</v>
      </c>
      <c r="E559" s="93">
        <v>46.0</v>
      </c>
      <c r="F559" s="93">
        <v>25.625647890341803</v>
      </c>
      <c r="G559" s="93">
        <v>26.230940205166497</v>
      </c>
      <c r="H559" s="93">
        <v>7.211728464087762</v>
      </c>
      <c r="I559" s="93">
        <v>1002.0</v>
      </c>
      <c r="J559" s="93">
        <v>1048.0</v>
      </c>
      <c r="K559" s="93">
        <v>7.256249080698604</v>
      </c>
    </row>
    <row r="560">
      <c r="A560" s="93">
        <v>147.0</v>
      </c>
      <c r="B560" s="96" t="s">
        <v>38</v>
      </c>
      <c r="C560" s="96" t="s">
        <v>144</v>
      </c>
      <c r="D560" s="96" t="s">
        <v>145</v>
      </c>
      <c r="E560" s="93">
        <v>-24.0</v>
      </c>
      <c r="F560" s="93">
        <v>26.72137912259355</v>
      </c>
      <c r="G560" s="93">
        <v>26.327829647575427</v>
      </c>
      <c r="H560" s="93">
        <v>5.827868519772369</v>
      </c>
      <c r="I560" s="93">
        <v>1220.0</v>
      </c>
      <c r="J560" s="93">
        <v>1196.0</v>
      </c>
      <c r="K560" s="93">
        <v>5.850689906650917</v>
      </c>
    </row>
    <row r="561">
      <c r="A561" s="93">
        <v>147.0</v>
      </c>
      <c r="B561" s="96" t="s">
        <v>23</v>
      </c>
      <c r="C561" s="96" t="s">
        <v>144</v>
      </c>
      <c r="D561" s="96" t="s">
        <v>148</v>
      </c>
      <c r="E561" s="93" t="s">
        <v>147</v>
      </c>
      <c r="F561" s="93" t="s">
        <v>147</v>
      </c>
      <c r="G561" s="93" t="s">
        <v>147</v>
      </c>
      <c r="H561" s="93" t="s">
        <v>147</v>
      </c>
      <c r="I561" s="93" t="s">
        <v>147</v>
      </c>
      <c r="J561" s="93" t="s">
        <v>147</v>
      </c>
      <c r="K561" s="93" t="s">
        <v>147</v>
      </c>
    </row>
    <row r="562">
      <c r="A562" s="93">
        <v>147.0</v>
      </c>
      <c r="B562" s="96" t="s">
        <v>16</v>
      </c>
      <c r="C562" s="96" t="s">
        <v>144</v>
      </c>
      <c r="D562" s="96" t="s">
        <v>145</v>
      </c>
      <c r="E562" s="93">
        <v>-25.0</v>
      </c>
      <c r="F562" s="93">
        <v>31.92957445565473</v>
      </c>
      <c r="G562" s="93">
        <v>31.528765514250523</v>
      </c>
      <c r="H562" s="93">
        <v>5.8809320775707</v>
      </c>
      <c r="I562" s="93">
        <v>1569.0</v>
      </c>
      <c r="J562" s="93">
        <v>1544.0</v>
      </c>
      <c r="K562" s="93">
        <v>5.90442025716297</v>
      </c>
    </row>
    <row r="563">
      <c r="A563" s="93">
        <v>147.0</v>
      </c>
      <c r="B563" s="96" t="s">
        <v>115</v>
      </c>
      <c r="C563" s="96" t="s">
        <v>144</v>
      </c>
      <c r="D563" s="96" t="s">
        <v>145</v>
      </c>
      <c r="E563" s="93">
        <v>-37.0</v>
      </c>
      <c r="F563" s="93">
        <v>24.743187209922723</v>
      </c>
      <c r="G563" s="93">
        <v>24.141930746623355</v>
      </c>
      <c r="H563" s="93">
        <v>7.18794713529009</v>
      </c>
      <c r="I563" s="93">
        <v>945.0</v>
      </c>
      <c r="J563" s="93">
        <v>908.0</v>
      </c>
      <c r="K563" s="93">
        <v>7.232013101965579</v>
      </c>
    </row>
    <row r="564">
      <c r="A564" s="93">
        <v>147.0</v>
      </c>
      <c r="B564" s="96" t="s">
        <v>31</v>
      </c>
      <c r="C564" s="96" t="s">
        <v>144</v>
      </c>
      <c r="D564" s="96" t="s">
        <v>145</v>
      </c>
      <c r="E564" s="93">
        <v>-34.0</v>
      </c>
      <c r="F564" s="93">
        <v>28.37640394893798</v>
      </c>
      <c r="G564" s="93">
        <v>27.8166197662848</v>
      </c>
      <c r="H564" s="93">
        <v>6.93860770264848</v>
      </c>
      <c r="I564" s="93">
        <v>1218.0</v>
      </c>
      <c r="J564" s="93">
        <v>1184.0</v>
      </c>
      <c r="K564" s="93">
        <v>6.978089908617459</v>
      </c>
    </row>
    <row r="565">
      <c r="A565" s="93">
        <v>147.0</v>
      </c>
      <c r="B565" s="96" t="s">
        <v>119</v>
      </c>
      <c r="C565" s="96" t="s">
        <v>144</v>
      </c>
      <c r="D565" s="96" t="s">
        <v>145</v>
      </c>
      <c r="E565" s="93">
        <v>-39.0</v>
      </c>
      <c r="F565" s="93">
        <v>21.47209288579792</v>
      </c>
      <c r="G565" s="93">
        <v>20.825910790055417</v>
      </c>
      <c r="H565" s="93">
        <v>7.448171586824846</v>
      </c>
      <c r="I565" s="93">
        <v>695.0</v>
      </c>
      <c r="J565" s="93">
        <v>656.0</v>
      </c>
      <c r="K565" s="93">
        <v>7.497382567409093</v>
      </c>
    </row>
    <row r="566">
      <c r="A566" s="93">
        <v>147.0</v>
      </c>
      <c r="B566" s="96" t="s">
        <v>24</v>
      </c>
      <c r="C566" s="96" t="s">
        <v>144</v>
      </c>
      <c r="D566" s="96" t="s">
        <v>145</v>
      </c>
      <c r="E566" s="93">
        <v>-28.0</v>
      </c>
      <c r="F566" s="93">
        <v>28.816211830451234</v>
      </c>
      <c r="G566" s="93">
        <v>28.358382907372427</v>
      </c>
      <c r="H566" s="93">
        <v>6.281635584163389</v>
      </c>
      <c r="I566" s="93">
        <v>1316.0</v>
      </c>
      <c r="J566" s="93">
        <v>1288.0</v>
      </c>
      <c r="K566" s="93">
        <v>6.310560446299369</v>
      </c>
    </row>
    <row r="567">
      <c r="A567" s="93">
        <v>147.0</v>
      </c>
      <c r="B567" s="96" t="s">
        <v>33</v>
      </c>
      <c r="C567" s="96" t="s">
        <v>144</v>
      </c>
      <c r="D567" s="96" t="s">
        <v>145</v>
      </c>
      <c r="E567" s="93">
        <v>-36.0</v>
      </c>
      <c r="F567" s="93">
        <v>24.056956052414503</v>
      </c>
      <c r="G567" s="93">
        <v>23.45761407127183</v>
      </c>
      <c r="H567" s="93">
        <v>7.1766370395466685</v>
      </c>
      <c r="I567" s="93">
        <v>899.0</v>
      </c>
      <c r="J567" s="93">
        <v>863.0</v>
      </c>
      <c r="K567" s="93">
        <v>7.220487861521693</v>
      </c>
    </row>
    <row r="568">
      <c r="A568" s="93">
        <v>147.0</v>
      </c>
      <c r="B568" s="96" t="s">
        <v>124</v>
      </c>
      <c r="C568" s="96" t="s">
        <v>144</v>
      </c>
      <c r="D568" s="96" t="s">
        <v>145</v>
      </c>
      <c r="E568" s="93">
        <v>-37.0</v>
      </c>
      <c r="F568" s="93">
        <v>18.85287949637502</v>
      </c>
      <c r="G568" s="93">
        <v>18.234512671846733</v>
      </c>
      <c r="H568" s="93">
        <v>7.288209984402845</v>
      </c>
      <c r="I568" s="93">
        <v>534.0</v>
      </c>
      <c r="J568" s="93">
        <v>497.0</v>
      </c>
      <c r="K568" s="93">
        <v>7.334213782252959</v>
      </c>
    </row>
    <row r="569">
      <c r="A569" s="93">
        <v>147.0</v>
      </c>
      <c r="B569" s="96" t="s">
        <v>83</v>
      </c>
      <c r="C569" s="96" t="s">
        <v>144</v>
      </c>
      <c r="D569" s="96" t="s">
        <v>145</v>
      </c>
      <c r="E569" s="93">
        <v>-32.0</v>
      </c>
      <c r="F569" s="93">
        <v>21.67372890238443</v>
      </c>
      <c r="G569" s="93">
        <v>21.146510723372856</v>
      </c>
      <c r="H569" s="93">
        <v>6.736029191677022</v>
      </c>
      <c r="I569" s="93">
        <v>783.0</v>
      </c>
      <c r="J569" s="93">
        <v>751.0</v>
      </c>
      <c r="K569" s="93">
        <v>6.772027034069091</v>
      </c>
    </row>
    <row r="570">
      <c r="A570" s="93">
        <v>147.0</v>
      </c>
      <c r="B570" s="96" t="s">
        <v>22</v>
      </c>
      <c r="C570" s="96" t="s">
        <v>144</v>
      </c>
      <c r="D570" s="96" t="s">
        <v>145</v>
      </c>
      <c r="E570" s="93">
        <v>-25.0</v>
      </c>
      <c r="F570" s="93">
        <v>28.04732429783508</v>
      </c>
      <c r="G570" s="93">
        <v>27.65146935810666</v>
      </c>
      <c r="H570" s="93">
        <v>5.844774417350934</v>
      </c>
      <c r="I570" s="93">
        <v>1309.0</v>
      </c>
      <c r="J570" s="93">
        <v>1284.0</v>
      </c>
      <c r="K570" s="93">
        <v>5.86780693028449</v>
      </c>
    </row>
    <row r="571">
      <c r="A571" s="93">
        <v>147.0</v>
      </c>
      <c r="B571" s="96" t="s">
        <v>146</v>
      </c>
      <c r="C571" s="96" t="s">
        <v>144</v>
      </c>
      <c r="D571" s="96" t="s">
        <v>146</v>
      </c>
      <c r="E571" s="93" t="s">
        <v>147</v>
      </c>
      <c r="F571" s="93" t="s">
        <v>147</v>
      </c>
      <c r="G571" s="93" t="s">
        <v>147</v>
      </c>
      <c r="H571" s="93" t="s">
        <v>147</v>
      </c>
      <c r="I571" s="93" t="s">
        <v>147</v>
      </c>
      <c r="J571" s="93" t="s">
        <v>147</v>
      </c>
      <c r="K571" s="93" t="s">
        <v>147</v>
      </c>
    </row>
    <row r="572">
      <c r="A572" s="93">
        <v>146.0</v>
      </c>
      <c r="B572" s="96" t="s">
        <v>23</v>
      </c>
      <c r="C572" s="96" t="s">
        <v>142</v>
      </c>
      <c r="D572" s="96" t="s">
        <v>143</v>
      </c>
      <c r="E572" s="93">
        <v>5.0</v>
      </c>
      <c r="F572" s="93">
        <v>34.267451231389465</v>
      </c>
      <c r="G572" s="93">
        <v>34.339632268304655</v>
      </c>
      <c r="H572" s="93">
        <v>5.859745652064859</v>
      </c>
      <c r="I572" s="93">
        <v>1732.0</v>
      </c>
      <c r="J572" s="93">
        <v>1737.0</v>
      </c>
      <c r="K572" s="93">
        <v>5.867359124690135</v>
      </c>
    </row>
    <row r="573">
      <c r="A573" s="93">
        <v>146.0</v>
      </c>
      <c r="B573" s="96" t="s">
        <v>24</v>
      </c>
      <c r="C573" s="96" t="s">
        <v>142</v>
      </c>
      <c r="D573" s="96" t="s">
        <v>143</v>
      </c>
      <c r="E573" s="93">
        <v>7.0</v>
      </c>
      <c r="F573" s="93">
        <v>28.732458357622654</v>
      </c>
      <c r="G573" s="93">
        <v>28.816211830451234</v>
      </c>
      <c r="H573" s="93">
        <v>6.310560446299369</v>
      </c>
      <c r="I573" s="93">
        <v>1309.0</v>
      </c>
      <c r="J573" s="93">
        <v>1316.0</v>
      </c>
      <c r="K573" s="93">
        <v>6.320351619270597</v>
      </c>
    </row>
    <row r="574">
      <c r="A574" s="93">
        <v>146.0</v>
      </c>
      <c r="B574" s="96" t="s">
        <v>27</v>
      </c>
      <c r="C574" s="96" t="s">
        <v>142</v>
      </c>
      <c r="D574" s="96" t="s">
        <v>143</v>
      </c>
      <c r="E574" s="93">
        <v>7.0</v>
      </c>
      <c r="F574" s="93">
        <v>34.12047569711089</v>
      </c>
      <c r="G574" s="93">
        <v>34.20714012441544</v>
      </c>
      <c r="H574" s="93">
        <v>6.418914930886562</v>
      </c>
      <c r="I574" s="93">
        <v>1664.0</v>
      </c>
      <c r="J574" s="93">
        <v>1671.0</v>
      </c>
      <c r="K574" s="93">
        <v>6.42927629198107</v>
      </c>
    </row>
    <row r="575">
      <c r="A575" s="93">
        <v>146.0</v>
      </c>
      <c r="B575" s="96" t="s">
        <v>16</v>
      </c>
      <c r="C575" s="96" t="s">
        <v>144</v>
      </c>
      <c r="D575" s="96" t="s">
        <v>145</v>
      </c>
      <c r="E575" s="93">
        <v>-4.0</v>
      </c>
      <c r="F575" s="93">
        <v>32.00286355533052</v>
      </c>
      <c r="G575" s="93">
        <v>31.92957445565473</v>
      </c>
      <c r="H575" s="93">
        <v>5.90442025716297</v>
      </c>
      <c r="I575" s="93">
        <v>1573.0</v>
      </c>
      <c r="J575" s="93">
        <v>1569.0</v>
      </c>
      <c r="K575" s="93">
        <v>5.9122359738641</v>
      </c>
    </row>
    <row r="576">
      <c r="A576" s="93">
        <v>146.0</v>
      </c>
      <c r="B576" s="96" t="s">
        <v>21</v>
      </c>
      <c r="C576" s="96" t="s">
        <v>144</v>
      </c>
      <c r="D576" s="96" t="s">
        <v>145</v>
      </c>
      <c r="E576" s="93">
        <v>-6.0</v>
      </c>
      <c r="F576" s="93">
        <v>25.0738711464341</v>
      </c>
      <c r="G576" s="93">
        <v>24.95529385389947</v>
      </c>
      <c r="H576" s="93">
        <v>7.503502141711589</v>
      </c>
      <c r="I576" s="93">
        <v>938.0</v>
      </c>
      <c r="J576" s="93">
        <v>932.0</v>
      </c>
      <c r="K576" s="93">
        <v>7.5206704133216995</v>
      </c>
    </row>
    <row r="577">
      <c r="A577" s="93">
        <v>146.0</v>
      </c>
      <c r="B577" s="96" t="s">
        <v>22</v>
      </c>
      <c r="C577" s="96" t="s">
        <v>144</v>
      </c>
      <c r="D577" s="96" t="s">
        <v>145</v>
      </c>
      <c r="E577" s="93">
        <v>-4.0</v>
      </c>
      <c r="F577" s="93">
        <v>28.119704648812025</v>
      </c>
      <c r="G577" s="93">
        <v>28.04732429783508</v>
      </c>
      <c r="H577" s="93">
        <v>5.86780693028449</v>
      </c>
      <c r="I577" s="93">
        <v>1313.0</v>
      </c>
      <c r="J577" s="93">
        <v>1309.0</v>
      </c>
      <c r="K577" s="93">
        <v>5.8754566823891805</v>
      </c>
    </row>
    <row r="578">
      <c r="A578" s="93">
        <v>146.0</v>
      </c>
      <c r="B578" s="96" t="s">
        <v>28</v>
      </c>
      <c r="C578" s="96" t="s">
        <v>144</v>
      </c>
      <c r="D578" s="96" t="s">
        <v>145</v>
      </c>
      <c r="E578" s="93">
        <v>-5.0</v>
      </c>
      <c r="F578" s="93">
        <v>28.773934147644532</v>
      </c>
      <c r="G578" s="93">
        <v>28.687573807575497</v>
      </c>
      <c r="H578" s="93">
        <v>6.407682773894328</v>
      </c>
      <c r="I578" s="93">
        <v>1302.0</v>
      </c>
      <c r="J578" s="93">
        <v>1297.0</v>
      </c>
      <c r="K578" s="93">
        <v>6.417984158003845</v>
      </c>
    </row>
    <row r="579">
      <c r="A579" s="93">
        <v>146.0</v>
      </c>
      <c r="B579" s="96" t="s">
        <v>115</v>
      </c>
      <c r="C579" s="96" t="s">
        <v>144</v>
      </c>
      <c r="D579" s="96" t="s">
        <v>145</v>
      </c>
      <c r="E579" s="93">
        <v>-6.0</v>
      </c>
      <c r="F579" s="93">
        <v>24.853301691192293</v>
      </c>
      <c r="G579" s="93">
        <v>24.743187209922723</v>
      </c>
      <c r="H579" s="93">
        <v>7.232013101965579</v>
      </c>
      <c r="I579" s="93">
        <v>951.0</v>
      </c>
      <c r="J579" s="93">
        <v>945.0</v>
      </c>
      <c r="K579" s="93">
        <v>7.247280314980456</v>
      </c>
    </row>
    <row r="580">
      <c r="A580" s="93">
        <v>146.0</v>
      </c>
      <c r="B580" s="96" t="s">
        <v>47</v>
      </c>
      <c r="C580" s="96" t="s">
        <v>144</v>
      </c>
      <c r="D580" s="96" t="s">
        <v>145</v>
      </c>
      <c r="E580" s="93">
        <v>-4.0</v>
      </c>
      <c r="F580" s="93">
        <v>24.668410783515014</v>
      </c>
      <c r="G580" s="93">
        <v>24.59522881812121</v>
      </c>
      <c r="H580" s="93">
        <v>5.900115788217035</v>
      </c>
      <c r="I580" s="93">
        <v>1075.0</v>
      </c>
      <c r="J580" s="93">
        <v>1071.0</v>
      </c>
      <c r="K580" s="93">
        <v>5.907911891932055</v>
      </c>
    </row>
    <row r="581">
      <c r="A581" s="93">
        <v>146.0</v>
      </c>
      <c r="B581" s="96" t="s">
        <v>31</v>
      </c>
      <c r="C581" s="96" t="s">
        <v>144</v>
      </c>
      <c r="D581" s="96" t="s">
        <v>145</v>
      </c>
      <c r="E581" s="93">
        <v>-5.0</v>
      </c>
      <c r="F581" s="93">
        <v>28.478890354199216</v>
      </c>
      <c r="G581" s="93">
        <v>28.37640394893798</v>
      </c>
      <c r="H581" s="93">
        <v>6.978089908617459</v>
      </c>
      <c r="I581" s="93">
        <v>1223.0</v>
      </c>
      <c r="J581" s="93">
        <v>1218.0</v>
      </c>
      <c r="K581" s="93">
        <v>6.991701748843801</v>
      </c>
    </row>
    <row r="582">
      <c r="A582" s="93">
        <v>146.0</v>
      </c>
      <c r="B582" s="96" t="s">
        <v>124</v>
      </c>
      <c r="C582" s="96" t="s">
        <v>144</v>
      </c>
      <c r="D582" s="96" t="s">
        <v>145</v>
      </c>
      <c r="E582" s="93">
        <v>-6.0</v>
      </c>
      <c r="F582" s="93">
        <v>18.966142486048373</v>
      </c>
      <c r="G582" s="93">
        <v>18.85287949637502</v>
      </c>
      <c r="H582" s="93">
        <v>7.334213782252959</v>
      </c>
      <c r="I582" s="93">
        <v>540.0</v>
      </c>
      <c r="J582" s="93">
        <v>534.0</v>
      </c>
      <c r="K582" s="93">
        <v>7.35018043965165</v>
      </c>
    </row>
    <row r="583">
      <c r="A583" s="93">
        <v>146.0</v>
      </c>
      <c r="B583" s="96" t="s">
        <v>32</v>
      </c>
      <c r="C583" s="96" t="s">
        <v>144</v>
      </c>
      <c r="D583" s="96" t="s">
        <v>145</v>
      </c>
      <c r="E583" s="93">
        <v>-5.0</v>
      </c>
      <c r="F583" s="93">
        <v>28.343812523209177</v>
      </c>
      <c r="G583" s="93">
        <v>28.251534329382405</v>
      </c>
      <c r="H583" s="93">
        <v>6.622803366915292</v>
      </c>
      <c r="I583" s="93">
        <v>1251.0</v>
      </c>
      <c r="J583" s="93">
        <v>1246.0</v>
      </c>
      <c r="K583" s="93">
        <v>6.634289094904765</v>
      </c>
    </row>
    <row r="584">
      <c r="A584" s="93">
        <v>146.0</v>
      </c>
      <c r="B584" s="96" t="s">
        <v>63</v>
      </c>
      <c r="C584" s="96" t="s">
        <v>144</v>
      </c>
      <c r="D584" s="96" t="s">
        <v>148</v>
      </c>
      <c r="E584" s="93" t="s">
        <v>147</v>
      </c>
      <c r="F584" s="93" t="s">
        <v>147</v>
      </c>
      <c r="G584" s="93" t="s">
        <v>147</v>
      </c>
      <c r="H584" s="93" t="s">
        <v>147</v>
      </c>
      <c r="I584" s="93" t="s">
        <v>147</v>
      </c>
      <c r="J584" s="93" t="s">
        <v>147</v>
      </c>
      <c r="K584" s="93" t="s">
        <v>147</v>
      </c>
    </row>
    <row r="585">
      <c r="A585" s="93">
        <v>146.0</v>
      </c>
      <c r="B585" s="96" t="s">
        <v>38</v>
      </c>
      <c r="C585" s="96" t="s">
        <v>144</v>
      </c>
      <c r="D585" s="96" t="s">
        <v>148</v>
      </c>
      <c r="E585" s="93" t="s">
        <v>147</v>
      </c>
      <c r="F585" s="93" t="s">
        <v>147</v>
      </c>
      <c r="G585" s="93" t="s">
        <v>147</v>
      </c>
      <c r="H585" s="93" t="s">
        <v>147</v>
      </c>
      <c r="I585" s="93" t="s">
        <v>147</v>
      </c>
      <c r="J585" s="93" t="s">
        <v>147</v>
      </c>
      <c r="K585" s="93" t="s">
        <v>147</v>
      </c>
    </row>
    <row r="586">
      <c r="A586" s="93">
        <v>146.0</v>
      </c>
      <c r="B586" s="96" t="s">
        <v>33</v>
      </c>
      <c r="C586" s="96" t="s">
        <v>144</v>
      </c>
      <c r="D586" s="96" t="s">
        <v>145</v>
      </c>
      <c r="E586" s="93">
        <v>-6.0</v>
      </c>
      <c r="F586" s="93">
        <v>24.16671829606975</v>
      </c>
      <c r="G586" s="93">
        <v>24.056956052414503</v>
      </c>
      <c r="H586" s="93">
        <v>7.220487861521693</v>
      </c>
      <c r="I586" s="93">
        <v>905.0</v>
      </c>
      <c r="J586" s="93">
        <v>899.0</v>
      </c>
      <c r="K586" s="93">
        <v>7.235677407519787</v>
      </c>
    </row>
    <row r="587">
      <c r="A587" s="93">
        <v>145.0</v>
      </c>
      <c r="B587" s="96" t="s">
        <v>24</v>
      </c>
      <c r="C587" s="96" t="s">
        <v>142</v>
      </c>
      <c r="D587" s="96" t="s">
        <v>143</v>
      </c>
      <c r="E587" s="93">
        <v>33.0</v>
      </c>
      <c r="F587" s="93">
        <v>28.293171505110532</v>
      </c>
      <c r="G587" s="93">
        <v>28.732458357622654</v>
      </c>
      <c r="H587" s="93">
        <v>6.320351619270597</v>
      </c>
      <c r="I587" s="93">
        <v>1276.0</v>
      </c>
      <c r="J587" s="93">
        <v>1309.0</v>
      </c>
      <c r="K587" s="93">
        <v>6.35035605559998</v>
      </c>
    </row>
    <row r="588">
      <c r="A588" s="93">
        <v>145.0</v>
      </c>
      <c r="B588" s="96" t="s">
        <v>16</v>
      </c>
      <c r="C588" s="96" t="s">
        <v>142</v>
      </c>
      <c r="D588" s="96" t="s">
        <v>143</v>
      </c>
      <c r="E588" s="93">
        <v>28.0</v>
      </c>
      <c r="F588" s="93">
        <v>31.618948734275286</v>
      </c>
      <c r="G588" s="93">
        <v>32.00286355533052</v>
      </c>
      <c r="H588" s="93">
        <v>5.9122359738641</v>
      </c>
      <c r="I588" s="93">
        <v>1545.0</v>
      </c>
      <c r="J588" s="93">
        <v>1573.0</v>
      </c>
      <c r="K588" s="93">
        <v>5.9365433892138535</v>
      </c>
    </row>
    <row r="589">
      <c r="A589" s="93">
        <v>145.0</v>
      </c>
      <c r="B589" s="96" t="s">
        <v>115</v>
      </c>
      <c r="C589" s="96" t="s">
        <v>142</v>
      </c>
      <c r="D589" s="96" t="s">
        <v>143</v>
      </c>
      <c r="E589" s="93">
        <v>44.0</v>
      </c>
      <c r="F589" s="93">
        <v>24.27391188767184</v>
      </c>
      <c r="G589" s="93">
        <v>24.853301691192293</v>
      </c>
      <c r="H589" s="93">
        <v>7.247280314980456</v>
      </c>
      <c r="I589" s="93">
        <v>907.0</v>
      </c>
      <c r="J589" s="93">
        <v>951.0</v>
      </c>
      <c r="K589" s="93">
        <v>7.293272119695446</v>
      </c>
    </row>
    <row r="590">
      <c r="A590" s="93">
        <v>145.0</v>
      </c>
      <c r="B590" s="96" t="s">
        <v>33</v>
      </c>
      <c r="C590" s="96" t="s">
        <v>144</v>
      </c>
      <c r="D590" s="96" t="s">
        <v>145</v>
      </c>
      <c r="E590" s="93">
        <v>-35.0</v>
      </c>
      <c r="F590" s="93">
        <v>24.744230187402096</v>
      </c>
      <c r="G590" s="93">
        <v>24.16671829606975</v>
      </c>
      <c r="H590" s="93">
        <v>7.235677407519787</v>
      </c>
      <c r="I590" s="93">
        <v>940.0</v>
      </c>
      <c r="J590" s="93">
        <v>905.0</v>
      </c>
      <c r="K590" s="93">
        <v>7.281440862469195</v>
      </c>
    </row>
    <row r="591">
      <c r="A591" s="93">
        <v>145.0</v>
      </c>
      <c r="B591" s="96" t="s">
        <v>28</v>
      </c>
      <c r="C591" s="96" t="s">
        <v>144</v>
      </c>
      <c r="D591" s="96" t="s">
        <v>145</v>
      </c>
      <c r="E591" s="93">
        <v>-28.0</v>
      </c>
      <c r="F591" s="93">
        <v>29.227036625059824</v>
      </c>
      <c r="G591" s="93">
        <v>28.773934147644532</v>
      </c>
      <c r="H591" s="93">
        <v>6.417984158003845</v>
      </c>
      <c r="I591" s="93">
        <v>1330.0</v>
      </c>
      <c r="J591" s="93">
        <v>1302.0</v>
      </c>
      <c r="K591" s="93">
        <v>6.449467131357472</v>
      </c>
    </row>
    <row r="592">
      <c r="A592" s="93">
        <v>145.0</v>
      </c>
      <c r="B592" s="96" t="s">
        <v>46</v>
      </c>
      <c r="C592" s="96" t="s">
        <v>144</v>
      </c>
      <c r="D592" s="96" t="s">
        <v>145</v>
      </c>
      <c r="E592" s="93">
        <v>-35.0</v>
      </c>
      <c r="F592" s="93">
        <v>26.206491445654088</v>
      </c>
      <c r="G592" s="93">
        <v>25.625647890341803</v>
      </c>
      <c r="H592" s="93">
        <v>7.256249080698604</v>
      </c>
      <c r="I592" s="93">
        <v>1037.0</v>
      </c>
      <c r="J592" s="93">
        <v>1002.0</v>
      </c>
      <c r="K592" s="93">
        <v>7.302417910394248</v>
      </c>
    </row>
    <row r="593">
      <c r="A593" s="93">
        <v>145.0</v>
      </c>
      <c r="B593" s="96" t="s">
        <v>124</v>
      </c>
      <c r="C593" s="96" t="s">
        <v>144</v>
      </c>
      <c r="D593" s="96" t="s">
        <v>145</v>
      </c>
      <c r="E593" s="93">
        <v>-36.0</v>
      </c>
      <c r="F593" s="93">
        <v>19.56232526537493</v>
      </c>
      <c r="G593" s="93">
        <v>18.966142486048373</v>
      </c>
      <c r="H593" s="93">
        <v>7.35018043965165</v>
      </c>
      <c r="I593" s="93">
        <v>576.0</v>
      </c>
      <c r="J593" s="93">
        <v>540.0</v>
      </c>
      <c r="K593" s="93">
        <v>7.398230488529205</v>
      </c>
    </row>
    <row r="594">
      <c r="A594" s="93">
        <v>145.0</v>
      </c>
      <c r="B594" s="96" t="s">
        <v>38</v>
      </c>
      <c r="C594" s="96" t="s">
        <v>144</v>
      </c>
      <c r="D594" s="96" t="s">
        <v>145</v>
      </c>
      <c r="E594" s="93">
        <v>-23.0</v>
      </c>
      <c r="F594" s="93">
        <v>27.097275546000333</v>
      </c>
      <c r="G594" s="93">
        <v>26.72137912259355</v>
      </c>
      <c r="H594" s="93">
        <v>5.850689906650917</v>
      </c>
      <c r="I594" s="93">
        <v>1243.0</v>
      </c>
      <c r="J594" s="93">
        <v>1220.0</v>
      </c>
      <c r="K594" s="93">
        <v>5.874203524769854</v>
      </c>
    </row>
    <row r="595">
      <c r="A595" s="93">
        <v>145.0</v>
      </c>
      <c r="B595" s="96" t="s">
        <v>146</v>
      </c>
      <c r="C595" s="96" t="s">
        <v>144</v>
      </c>
      <c r="D595" s="96" t="s">
        <v>146</v>
      </c>
      <c r="E595" s="93" t="s">
        <v>147</v>
      </c>
      <c r="F595" s="93" t="s">
        <v>147</v>
      </c>
      <c r="G595" s="93" t="s">
        <v>147</v>
      </c>
      <c r="H595" s="93" t="s">
        <v>147</v>
      </c>
      <c r="I595" s="93" t="s">
        <v>147</v>
      </c>
      <c r="J595" s="93" t="s">
        <v>147</v>
      </c>
      <c r="K595" s="93" t="s">
        <v>147</v>
      </c>
    </row>
    <row r="596">
      <c r="A596" s="93">
        <v>145.0</v>
      </c>
      <c r="B596" s="96" t="s">
        <v>100</v>
      </c>
      <c r="C596" s="96" t="s">
        <v>144</v>
      </c>
      <c r="D596" s="96" t="s">
        <v>145</v>
      </c>
      <c r="E596" s="93">
        <v>-44.0</v>
      </c>
      <c r="F596" s="93">
        <v>25.0</v>
      </c>
      <c r="G596" s="93">
        <v>24.243612375050986</v>
      </c>
      <c r="H596" s="93">
        <v>8.264239487758369</v>
      </c>
      <c r="I596" s="93">
        <v>850.0</v>
      </c>
      <c r="J596" s="93">
        <v>806.0</v>
      </c>
      <c r="K596" s="93">
        <v>8.333333333333334</v>
      </c>
    </row>
    <row r="597">
      <c r="A597" s="93">
        <v>145.0</v>
      </c>
      <c r="B597" s="96" t="s">
        <v>29</v>
      </c>
      <c r="C597" s="96" t="s">
        <v>144</v>
      </c>
      <c r="D597" s="96" t="s">
        <v>145</v>
      </c>
      <c r="E597" s="93">
        <v>-26.0</v>
      </c>
      <c r="F597" s="93">
        <v>33.691325896456526</v>
      </c>
      <c r="G597" s="93">
        <v>33.265081907305614</v>
      </c>
      <c r="H597" s="93">
        <v>6.226718546391932</v>
      </c>
      <c r="I597" s="93">
        <v>1653.0</v>
      </c>
      <c r="J597" s="93">
        <v>1627.0</v>
      </c>
      <c r="K597" s="93">
        <v>6.25534777197256</v>
      </c>
    </row>
    <row r="598">
      <c r="A598" s="93">
        <v>145.0</v>
      </c>
      <c r="B598" s="96" t="s">
        <v>21</v>
      </c>
      <c r="C598" s="96" t="s">
        <v>144</v>
      </c>
      <c r="D598" s="96" t="s">
        <v>145</v>
      </c>
      <c r="E598" s="93">
        <v>-37.0</v>
      </c>
      <c r="F598" s="93">
        <v>25.698427414447522</v>
      </c>
      <c r="G598" s="93">
        <v>25.0738711464341</v>
      </c>
      <c r="H598" s="93">
        <v>7.5206704133216995</v>
      </c>
      <c r="I598" s="93">
        <v>975.0</v>
      </c>
      <c r="J598" s="93">
        <v>938.0</v>
      </c>
      <c r="K598" s="93">
        <v>7.572263737113463</v>
      </c>
    </row>
    <row r="599">
      <c r="A599" s="93">
        <v>145.0</v>
      </c>
      <c r="B599" s="96" t="s">
        <v>146</v>
      </c>
      <c r="C599" s="96" t="s">
        <v>144</v>
      </c>
      <c r="D599" s="96" t="s">
        <v>146</v>
      </c>
      <c r="E599" s="93" t="s">
        <v>147</v>
      </c>
      <c r="F599" s="93" t="s">
        <v>147</v>
      </c>
      <c r="G599" s="93" t="s">
        <v>147</v>
      </c>
      <c r="H599" s="93" t="s">
        <v>147</v>
      </c>
      <c r="I599" s="93" t="s">
        <v>147</v>
      </c>
      <c r="J599" s="93" t="s">
        <v>147</v>
      </c>
      <c r="K599" s="93" t="s">
        <v>147</v>
      </c>
    </row>
    <row r="600">
      <c r="A600" s="93">
        <v>145.0</v>
      </c>
      <c r="B600" s="96" t="s">
        <v>27</v>
      </c>
      <c r="C600" s="96" t="s">
        <v>144</v>
      </c>
      <c r="D600" s="96" t="s">
        <v>145</v>
      </c>
      <c r="E600" s="93">
        <v>-28.0</v>
      </c>
      <c r="F600" s="93">
        <v>34.57519030552346</v>
      </c>
      <c r="G600" s="93">
        <v>34.12047569711089</v>
      </c>
      <c r="H600" s="93">
        <v>6.42927629198107</v>
      </c>
      <c r="I600" s="93">
        <v>1692.0</v>
      </c>
      <c r="J600" s="93">
        <v>1664.0</v>
      </c>
      <c r="K600" s="93">
        <v>6.460933245074078</v>
      </c>
    </row>
    <row r="601">
      <c r="A601" s="93">
        <v>145.0</v>
      </c>
      <c r="B601" s="96" t="s">
        <v>22</v>
      </c>
      <c r="C601" s="96" t="s">
        <v>144</v>
      </c>
      <c r="D601" s="96" t="s">
        <v>145</v>
      </c>
      <c r="E601" s="93">
        <v>-23.0</v>
      </c>
      <c r="F601" s="93">
        <v>28.498817323791194</v>
      </c>
      <c r="G601" s="93">
        <v>28.119704648812025</v>
      </c>
      <c r="H601" s="93">
        <v>5.8754566823891805</v>
      </c>
      <c r="I601" s="93">
        <v>1336.0</v>
      </c>
      <c r="J601" s="93">
        <v>1313.0</v>
      </c>
      <c r="K601" s="93">
        <v>5.899287731589388</v>
      </c>
    </row>
    <row r="602">
      <c r="A602" s="93">
        <v>144.0</v>
      </c>
      <c r="B602" s="96" t="s">
        <v>31</v>
      </c>
      <c r="C602" s="96" t="s">
        <v>142</v>
      </c>
      <c r="D602" s="96" t="s">
        <v>145</v>
      </c>
      <c r="E602" s="93">
        <v>-60.0</v>
      </c>
      <c r="F602" s="93">
        <v>29.426698946985237</v>
      </c>
      <c r="G602" s="93">
        <v>28.478890354199216</v>
      </c>
      <c r="H602" s="93">
        <v>6.991701748843801</v>
      </c>
      <c r="I602" s="93">
        <v>1283.0</v>
      </c>
      <c r="J602" s="93">
        <v>1223.0</v>
      </c>
      <c r="K602" s="93">
        <v>7.043479375330701</v>
      </c>
    </row>
    <row r="603">
      <c r="A603" s="93">
        <v>144.0</v>
      </c>
      <c r="B603" s="96" t="s">
        <v>50</v>
      </c>
      <c r="C603" s="96" t="s">
        <v>142</v>
      </c>
      <c r="D603" s="96" t="s">
        <v>145</v>
      </c>
      <c r="E603" s="93">
        <v>-63.0</v>
      </c>
      <c r="F603" s="93">
        <v>23.229630782489636</v>
      </c>
      <c r="G603" s="93">
        <v>22.222160929795358</v>
      </c>
      <c r="H603" s="93">
        <v>7.204975532724509</v>
      </c>
      <c r="I603" s="93">
        <v>839.0</v>
      </c>
      <c r="J603" s="93">
        <v>776.0</v>
      </c>
      <c r="K603" s="93">
        <v>7.26182114172132</v>
      </c>
    </row>
    <row r="604">
      <c r="A604" s="93">
        <v>144.0</v>
      </c>
      <c r="B604" s="96" t="s">
        <v>46</v>
      </c>
      <c r="C604" s="96" t="s">
        <v>142</v>
      </c>
      <c r="D604" s="96" t="s">
        <v>145</v>
      </c>
      <c r="E604" s="93">
        <v>-65.0</v>
      </c>
      <c r="F604" s="93">
        <v>27.24185591459264</v>
      </c>
      <c r="G604" s="93">
        <v>26.206491445654088</v>
      </c>
      <c r="H604" s="93">
        <v>7.302417910394248</v>
      </c>
      <c r="I604" s="93">
        <v>1102.0</v>
      </c>
      <c r="J604" s="93">
        <v>1037.0</v>
      </c>
      <c r="K604" s="93">
        <v>7.3616854391119455</v>
      </c>
    </row>
    <row r="605">
      <c r="A605" s="93">
        <v>144.0</v>
      </c>
      <c r="B605" s="96" t="s">
        <v>69</v>
      </c>
      <c r="C605" s="96" t="s">
        <v>144</v>
      </c>
      <c r="D605" s="96" t="s">
        <v>143</v>
      </c>
      <c r="E605" s="93">
        <v>92.0</v>
      </c>
      <c r="F605" s="93">
        <v>27.686079632826843</v>
      </c>
      <c r="G605" s="93">
        <v>28.926453662297703</v>
      </c>
      <c r="H605" s="93">
        <v>7.9796969284137225</v>
      </c>
      <c r="I605" s="93">
        <v>1061.0</v>
      </c>
      <c r="J605" s="93">
        <v>1153.0</v>
      </c>
      <c r="K605" s="93">
        <v>8.05774617162311</v>
      </c>
    </row>
    <row r="606">
      <c r="A606" s="93">
        <v>144.0</v>
      </c>
      <c r="B606" s="96" t="s">
        <v>29</v>
      </c>
      <c r="C606" s="96" t="s">
        <v>144</v>
      </c>
      <c r="D606" s="96" t="s">
        <v>143</v>
      </c>
      <c r="E606" s="93">
        <v>55.0</v>
      </c>
      <c r="F606" s="93">
        <v>32.93494970580026</v>
      </c>
      <c r="G606" s="93">
        <v>33.691325896456526</v>
      </c>
      <c r="H606" s="93">
        <v>6.25534777197256</v>
      </c>
      <c r="I606" s="93">
        <v>1598.0</v>
      </c>
      <c r="J606" s="93">
        <v>1653.0</v>
      </c>
      <c r="K606" s="93">
        <v>6.291942904542396</v>
      </c>
    </row>
    <row r="607">
      <c r="A607" s="93">
        <v>144.0</v>
      </c>
      <c r="B607" s="96" t="s">
        <v>24</v>
      </c>
      <c r="C607" s="96" t="s">
        <v>144</v>
      </c>
      <c r="D607" s="96" t="s">
        <v>143</v>
      </c>
      <c r="E607" s="93">
        <v>57.0</v>
      </c>
      <c r="F607" s="93">
        <v>27.5133548818403</v>
      </c>
      <c r="G607" s="93">
        <v>28.293171505110532</v>
      </c>
      <c r="H607" s="93">
        <v>6.35035605559998</v>
      </c>
      <c r="I607" s="93">
        <v>1219.0</v>
      </c>
      <c r="J607" s="93">
        <v>1276.0</v>
      </c>
      <c r="K607" s="93">
        <v>6.388718333888784</v>
      </c>
    </row>
    <row r="608">
      <c r="A608" s="93">
        <v>144.0</v>
      </c>
      <c r="B608" s="96" t="s">
        <v>124</v>
      </c>
      <c r="C608" s="96" t="s">
        <v>144</v>
      </c>
      <c r="D608" s="96" t="s">
        <v>148</v>
      </c>
      <c r="E608" s="93" t="s">
        <v>147</v>
      </c>
      <c r="F608" s="93" t="s">
        <v>147</v>
      </c>
      <c r="G608" s="93" t="s">
        <v>147</v>
      </c>
      <c r="H608" s="93" t="s">
        <v>147</v>
      </c>
      <c r="I608" s="93" t="s">
        <v>147</v>
      </c>
      <c r="J608" s="93" t="s">
        <v>147</v>
      </c>
      <c r="K608" s="93" t="s">
        <v>147</v>
      </c>
    </row>
    <row r="609">
      <c r="A609" s="93">
        <v>144.0</v>
      </c>
      <c r="B609" s="96" t="s">
        <v>115</v>
      </c>
      <c r="C609" s="96" t="s">
        <v>144</v>
      </c>
      <c r="D609" s="96" t="s">
        <v>143</v>
      </c>
      <c r="E609" s="93">
        <v>77.0</v>
      </c>
      <c r="F609" s="93">
        <v>23.24118257621671</v>
      </c>
      <c r="G609" s="93">
        <v>24.27391188767184</v>
      </c>
      <c r="H609" s="93">
        <v>7.293272119695446</v>
      </c>
      <c r="I609" s="93">
        <v>830.0</v>
      </c>
      <c r="J609" s="93">
        <v>907.0</v>
      </c>
      <c r="K609" s="93">
        <v>7.352309444290991</v>
      </c>
    </row>
    <row r="610">
      <c r="A610" s="93">
        <v>144.0</v>
      </c>
      <c r="B610" s="96" t="s">
        <v>33</v>
      </c>
      <c r="C610" s="96" t="s">
        <v>144</v>
      </c>
      <c r="D610" s="96" t="s">
        <v>143</v>
      </c>
      <c r="E610" s="93">
        <v>76.0</v>
      </c>
      <c r="F610" s="93">
        <v>23.714904559194657</v>
      </c>
      <c r="G610" s="93">
        <v>24.744230187402096</v>
      </c>
      <c r="H610" s="93">
        <v>7.281440862469195</v>
      </c>
      <c r="I610" s="93">
        <v>864.0</v>
      </c>
      <c r="J610" s="93">
        <v>940.0</v>
      </c>
      <c r="K610" s="93">
        <v>7.340181279295712</v>
      </c>
    </row>
    <row r="611">
      <c r="A611" s="93">
        <v>144.0</v>
      </c>
      <c r="B611" s="96" t="s">
        <v>21</v>
      </c>
      <c r="C611" s="96" t="s">
        <v>144</v>
      </c>
      <c r="D611" s="96" t="s">
        <v>148</v>
      </c>
      <c r="E611" s="93" t="s">
        <v>147</v>
      </c>
      <c r="F611" s="93" t="s">
        <v>147</v>
      </c>
      <c r="G611" s="93" t="s">
        <v>147</v>
      </c>
      <c r="H611" s="93" t="s">
        <v>147</v>
      </c>
      <c r="I611" s="93" t="s">
        <v>147</v>
      </c>
      <c r="J611" s="93" t="s">
        <v>147</v>
      </c>
      <c r="K611" s="93" t="s">
        <v>147</v>
      </c>
    </row>
    <row r="612">
      <c r="A612" s="93">
        <v>144.0</v>
      </c>
      <c r="B612" s="96" t="s">
        <v>57</v>
      </c>
      <c r="C612" s="96" t="s">
        <v>144</v>
      </c>
      <c r="D612" s="96" t="s">
        <v>143</v>
      </c>
      <c r="E612" s="93">
        <v>92.0</v>
      </c>
      <c r="F612" s="93">
        <v>26.645997616083935</v>
      </c>
      <c r="G612" s="93">
        <v>27.88410941887686</v>
      </c>
      <c r="H612" s="93">
        <v>7.972560871593201</v>
      </c>
      <c r="I612" s="93">
        <v>991.0</v>
      </c>
      <c r="J612" s="93">
        <v>1083.0</v>
      </c>
      <c r="K612" s="93">
        <v>8.050393721083855</v>
      </c>
    </row>
    <row r="613">
      <c r="A613" s="93">
        <v>144.0</v>
      </c>
      <c r="B613" s="96" t="s">
        <v>45</v>
      </c>
      <c r="C613" s="96" t="s">
        <v>144</v>
      </c>
      <c r="D613" s="96" t="s">
        <v>143</v>
      </c>
      <c r="E613" s="93">
        <v>94.0</v>
      </c>
      <c r="F613" s="93">
        <v>28.70758359632717</v>
      </c>
      <c r="G613" s="93">
        <v>29.96372936990858</v>
      </c>
      <c r="H613" s="93">
        <v>8.02925717330339</v>
      </c>
      <c r="I613" s="93">
        <v>1125.0</v>
      </c>
      <c r="J613" s="93">
        <v>1219.0</v>
      </c>
      <c r="K613" s="93">
        <v>8.108820575593782</v>
      </c>
    </row>
    <row r="614">
      <c r="A614" s="93">
        <v>144.0</v>
      </c>
      <c r="B614" s="96" t="s">
        <v>38</v>
      </c>
      <c r="C614" s="96" t="s">
        <v>144</v>
      </c>
      <c r="D614" s="96" t="s">
        <v>143</v>
      </c>
      <c r="E614" s="93">
        <v>48.0</v>
      </c>
      <c r="F614" s="93">
        <v>26.431218308997092</v>
      </c>
      <c r="G614" s="93">
        <v>27.097275546000333</v>
      </c>
      <c r="H614" s="93">
        <v>5.874203524769854</v>
      </c>
      <c r="I614" s="93">
        <v>1195.0</v>
      </c>
      <c r="J614" s="93">
        <v>1243.0</v>
      </c>
      <c r="K614" s="93">
        <v>5.904242490508796</v>
      </c>
    </row>
    <row r="615">
      <c r="A615" s="93">
        <v>144.0</v>
      </c>
      <c r="B615" s="96" t="s">
        <v>16</v>
      </c>
      <c r="C615" s="96" t="s">
        <v>144</v>
      </c>
      <c r="D615" s="96" t="s">
        <v>143</v>
      </c>
      <c r="E615" s="93">
        <v>50.0</v>
      </c>
      <c r="F615" s="93">
        <v>30.938524703514084</v>
      </c>
      <c r="G615" s="93">
        <v>31.618948734275286</v>
      </c>
      <c r="H615" s="93">
        <v>5.9365433892138535</v>
      </c>
      <c r="I615" s="93">
        <v>1495.0</v>
      </c>
      <c r="J615" s="93">
        <v>1545.0</v>
      </c>
      <c r="K615" s="93">
        <v>5.967597826070912</v>
      </c>
    </row>
    <row r="616">
      <c r="A616" s="93">
        <v>144.0</v>
      </c>
      <c r="B616" s="96" t="s">
        <v>28</v>
      </c>
      <c r="C616" s="96" t="s">
        <v>144</v>
      </c>
      <c r="D616" s="96" t="s">
        <v>143</v>
      </c>
      <c r="E616" s="93">
        <v>59.0</v>
      </c>
      <c r="F616" s="93">
        <v>28.422371514841032</v>
      </c>
      <c r="G616" s="93">
        <v>29.227036625059824</v>
      </c>
      <c r="H616" s="93">
        <v>6.449467131357472</v>
      </c>
      <c r="I616" s="93">
        <v>1271.0</v>
      </c>
      <c r="J616" s="93">
        <v>1330.0</v>
      </c>
      <c r="K616" s="93">
        <v>6.4897314445269085</v>
      </c>
    </row>
    <row r="617">
      <c r="A617" s="93">
        <v>143.0</v>
      </c>
      <c r="B617" s="96" t="s">
        <v>115</v>
      </c>
      <c r="C617" s="96" t="s">
        <v>142</v>
      </c>
      <c r="D617" s="96" t="s">
        <v>143</v>
      </c>
      <c r="E617" s="93">
        <v>74.0</v>
      </c>
      <c r="F617" s="93">
        <v>22.237543307820232</v>
      </c>
      <c r="G617" s="93">
        <v>23.24118257621671</v>
      </c>
      <c r="H617" s="93">
        <v>7.352309444290991</v>
      </c>
      <c r="I617" s="93">
        <v>756.0</v>
      </c>
      <c r="J617" s="93">
        <v>830.0</v>
      </c>
      <c r="K617" s="93">
        <v>7.409733448853384</v>
      </c>
    </row>
    <row r="618">
      <c r="A618" s="93">
        <v>143.0</v>
      </c>
      <c r="B618" s="96" t="s">
        <v>57</v>
      </c>
      <c r="C618" s="96" t="s">
        <v>142</v>
      </c>
      <c r="D618" s="96" t="s">
        <v>143</v>
      </c>
      <c r="E618" s="93">
        <v>90.0</v>
      </c>
      <c r="F618" s="93">
        <v>25.438840208728312</v>
      </c>
      <c r="G618" s="93">
        <v>26.645997616083935</v>
      </c>
      <c r="H618" s="93">
        <v>8.050393721083855</v>
      </c>
      <c r="I618" s="93">
        <v>901.0</v>
      </c>
      <c r="J618" s="93">
        <v>991.0</v>
      </c>
      <c r="K618" s="93">
        <v>8.126478343932927</v>
      </c>
    </row>
    <row r="619">
      <c r="A619" s="93">
        <v>143.0</v>
      </c>
      <c r="B619" s="96" t="s">
        <v>21</v>
      </c>
      <c r="C619" s="96" t="s">
        <v>142</v>
      </c>
      <c r="D619" s="96" t="s">
        <v>143</v>
      </c>
      <c r="E619" s="93">
        <v>79.0</v>
      </c>
      <c r="F619" s="93">
        <v>24.632795065063537</v>
      </c>
      <c r="G619" s="93">
        <v>25.698427414447522</v>
      </c>
      <c r="H619" s="93">
        <v>7.572263737113463</v>
      </c>
      <c r="I619" s="93">
        <v>896.0</v>
      </c>
      <c r="J619" s="93">
        <v>975.0</v>
      </c>
      <c r="K619" s="93">
        <v>7.635188464613869</v>
      </c>
    </row>
    <row r="620">
      <c r="A620" s="93">
        <v>143.0</v>
      </c>
      <c r="B620" s="96" t="s">
        <v>33</v>
      </c>
      <c r="C620" s="96" t="s">
        <v>144</v>
      </c>
      <c r="D620" s="96" t="s">
        <v>145</v>
      </c>
      <c r="E620" s="93">
        <v>-62.0</v>
      </c>
      <c r="F620" s="93">
        <v>24.71518224939725</v>
      </c>
      <c r="G620" s="93">
        <v>23.714904559194657</v>
      </c>
      <c r="H620" s="93">
        <v>7.340181279295712</v>
      </c>
      <c r="I620" s="93">
        <v>926.0</v>
      </c>
      <c r="J620" s="93">
        <v>864.0</v>
      </c>
      <c r="K620" s="93">
        <v>7.397311737451138</v>
      </c>
    </row>
    <row r="621">
      <c r="A621" s="93">
        <v>143.0</v>
      </c>
      <c r="B621" s="96" t="s">
        <v>69</v>
      </c>
      <c r="C621" s="96" t="s">
        <v>144</v>
      </c>
      <c r="D621" s="96" t="s">
        <v>145</v>
      </c>
      <c r="E621" s="93">
        <v>-74.0</v>
      </c>
      <c r="F621" s="93">
        <v>28.89548619041227</v>
      </c>
      <c r="G621" s="93">
        <v>27.686079632826843</v>
      </c>
      <c r="H621" s="93">
        <v>8.05774617162311</v>
      </c>
      <c r="I621" s="93">
        <v>1135.0</v>
      </c>
      <c r="J621" s="93">
        <v>1061.0</v>
      </c>
      <c r="K621" s="93">
        <v>8.134046507748659</v>
      </c>
    </row>
    <row r="622">
      <c r="A622" s="93">
        <v>143.0</v>
      </c>
      <c r="B622" s="96" t="s">
        <v>31</v>
      </c>
      <c r="C622" s="96" t="s">
        <v>144</v>
      </c>
      <c r="D622" s="96" t="s">
        <v>145</v>
      </c>
      <c r="E622" s="93">
        <v>-57.0</v>
      </c>
      <c r="F622" s="93">
        <v>30.34657618057657</v>
      </c>
      <c r="G622" s="93">
        <v>29.426698946985237</v>
      </c>
      <c r="H622" s="93">
        <v>7.043479375330701</v>
      </c>
      <c r="I622" s="93">
        <v>1340.0</v>
      </c>
      <c r="J622" s="93">
        <v>1283.0</v>
      </c>
      <c r="K622" s="93">
        <v>7.093737222195611</v>
      </c>
    </row>
    <row r="623">
      <c r="A623" s="93">
        <v>143.0</v>
      </c>
      <c r="B623" s="96" t="s">
        <v>124</v>
      </c>
      <c r="C623" s="96" t="s">
        <v>144</v>
      </c>
      <c r="D623" s="96" t="s">
        <v>145</v>
      </c>
      <c r="E623" s="93">
        <v>-63.0</v>
      </c>
      <c r="F623" s="93">
        <v>20.578746127248998</v>
      </c>
      <c r="G623" s="93">
        <v>19.56232526537493</v>
      </c>
      <c r="H623" s="93">
        <v>7.398230488529205</v>
      </c>
      <c r="I623" s="93">
        <v>639.0</v>
      </c>
      <c r="J623" s="93">
        <v>576.0</v>
      </c>
      <c r="K623" s="93">
        <v>7.4567751083658145</v>
      </c>
    </row>
    <row r="624">
      <c r="A624" s="93">
        <v>143.0</v>
      </c>
      <c r="B624" s="96" t="s">
        <v>119</v>
      </c>
      <c r="C624" s="96" t="s">
        <v>144</v>
      </c>
      <c r="D624" s="96" t="s">
        <v>145</v>
      </c>
      <c r="E624" s="93">
        <v>-65.0</v>
      </c>
      <c r="F624" s="93">
        <v>22.516401236763205</v>
      </c>
      <c r="G624" s="93">
        <v>21.47209288579792</v>
      </c>
      <c r="H624" s="93">
        <v>7.497382567409093</v>
      </c>
      <c r="I624" s="93">
        <v>760.0</v>
      </c>
      <c r="J624" s="93">
        <v>695.0</v>
      </c>
      <c r="K624" s="93">
        <v>7.55839663807829</v>
      </c>
    </row>
    <row r="625">
      <c r="A625" s="93">
        <v>143.0</v>
      </c>
      <c r="B625" s="96" t="s">
        <v>16</v>
      </c>
      <c r="C625" s="96" t="s">
        <v>144</v>
      </c>
      <c r="D625" s="96" t="s">
        <v>148</v>
      </c>
      <c r="E625" s="93" t="s">
        <v>147</v>
      </c>
      <c r="F625" s="93" t="s">
        <v>147</v>
      </c>
      <c r="G625" s="93" t="s">
        <v>147</v>
      </c>
      <c r="H625" s="93" t="s">
        <v>147</v>
      </c>
      <c r="I625" s="93" t="s">
        <v>147</v>
      </c>
      <c r="J625" s="93" t="s">
        <v>147</v>
      </c>
      <c r="K625" s="93" t="s">
        <v>147</v>
      </c>
    </row>
    <row r="626">
      <c r="A626" s="93">
        <v>143.0</v>
      </c>
      <c r="B626" s="96" t="s">
        <v>28</v>
      </c>
      <c r="C626" s="96" t="s">
        <v>144</v>
      </c>
      <c r="D626" s="96" t="s">
        <v>148</v>
      </c>
      <c r="E626" s="93" t="s">
        <v>147</v>
      </c>
      <c r="F626" s="93" t="s">
        <v>147</v>
      </c>
      <c r="G626" s="93" t="s">
        <v>147</v>
      </c>
      <c r="H626" s="93" t="s">
        <v>147</v>
      </c>
      <c r="I626" s="93" t="s">
        <v>147</v>
      </c>
      <c r="J626" s="93" t="s">
        <v>147</v>
      </c>
      <c r="K626" s="93" t="s">
        <v>147</v>
      </c>
    </row>
    <row r="627">
      <c r="A627" s="93">
        <v>143.0</v>
      </c>
      <c r="B627" s="96" t="s">
        <v>92</v>
      </c>
      <c r="C627" s="96" t="s">
        <v>144</v>
      </c>
      <c r="D627" s="96" t="s">
        <v>145</v>
      </c>
      <c r="E627" s="93">
        <v>-70.0</v>
      </c>
      <c r="F627" s="93">
        <v>25.324794216866454</v>
      </c>
      <c r="G627" s="93">
        <v>24.192672532135116</v>
      </c>
      <c r="H627" s="93">
        <v>7.800815246492823</v>
      </c>
      <c r="I627" s="93">
        <v>919.0</v>
      </c>
      <c r="J627" s="93">
        <v>849.0</v>
      </c>
      <c r="K627" s="93">
        <v>7.869820117162751</v>
      </c>
    </row>
    <row r="628">
      <c r="A628" s="93">
        <v>143.0</v>
      </c>
      <c r="B628" s="96" t="s">
        <v>50</v>
      </c>
      <c r="C628" s="96" t="s">
        <v>144</v>
      </c>
      <c r="D628" s="96" t="s">
        <v>145</v>
      </c>
      <c r="E628" s="93">
        <v>-61.0</v>
      </c>
      <c r="F628" s="93">
        <v>24.20833170610233</v>
      </c>
      <c r="G628" s="93">
        <v>23.229630782489636</v>
      </c>
      <c r="H628" s="93">
        <v>7.26182114172132</v>
      </c>
      <c r="I628" s="93">
        <v>900.0</v>
      </c>
      <c r="J628" s="93">
        <v>839.0</v>
      </c>
      <c r="K628" s="93">
        <v>7.317079169452256</v>
      </c>
    </row>
    <row r="629">
      <c r="A629" s="93">
        <v>143.0</v>
      </c>
      <c r="B629" s="96" t="s">
        <v>24</v>
      </c>
      <c r="C629" s="96" t="s">
        <v>144</v>
      </c>
      <c r="D629" s="96" t="s">
        <v>145</v>
      </c>
      <c r="E629" s="93">
        <v>-48.0</v>
      </c>
      <c r="F629" s="93">
        <v>28.268191024946667</v>
      </c>
      <c r="G629" s="93">
        <v>27.5133548818403</v>
      </c>
      <c r="H629" s="93">
        <v>6.388718333888784</v>
      </c>
      <c r="I629" s="93">
        <v>1267.0</v>
      </c>
      <c r="J629" s="93">
        <v>1219.0</v>
      </c>
      <c r="K629" s="93">
        <v>6.425798007776426</v>
      </c>
    </row>
    <row r="630">
      <c r="A630" s="93">
        <v>143.0</v>
      </c>
      <c r="B630" s="96" t="s">
        <v>29</v>
      </c>
      <c r="C630" s="96" t="s">
        <v>144</v>
      </c>
      <c r="D630" s="96" t="s">
        <v>145</v>
      </c>
      <c r="E630" s="93">
        <v>-46.0</v>
      </c>
      <c r="F630" s="93">
        <v>33.66682613242365</v>
      </c>
      <c r="G630" s="93">
        <v>32.93494970580026</v>
      </c>
      <c r="H630" s="93">
        <v>6.291942904542396</v>
      </c>
      <c r="I630" s="93">
        <v>1644.0</v>
      </c>
      <c r="J630" s="93">
        <v>1598.0</v>
      </c>
      <c r="K630" s="93">
        <v>6.327293143742117</v>
      </c>
    </row>
    <row r="631">
      <c r="A631" s="93">
        <v>143.0</v>
      </c>
      <c r="B631" s="96" t="s">
        <v>38</v>
      </c>
      <c r="C631" s="96" t="s">
        <v>144</v>
      </c>
      <c r="D631" s="96" t="s">
        <v>145</v>
      </c>
      <c r="E631" s="93">
        <v>-41.0</v>
      </c>
      <c r="F631" s="93">
        <v>27.07478458217296</v>
      </c>
      <c r="G631" s="93">
        <v>26.431218308997092</v>
      </c>
      <c r="H631" s="93">
        <v>5.904242490508796</v>
      </c>
      <c r="I631" s="93">
        <v>1236.0</v>
      </c>
      <c r="J631" s="93">
        <v>1195.0</v>
      </c>
      <c r="K631" s="93">
        <v>5.9331902115571085</v>
      </c>
    </row>
    <row r="632">
      <c r="A632" s="93">
        <v>142.0</v>
      </c>
      <c r="B632" s="96" t="s">
        <v>23</v>
      </c>
      <c r="C632" s="96" t="s">
        <v>142</v>
      </c>
      <c r="D632" s="96" t="s">
        <v>143</v>
      </c>
      <c r="E632" s="93">
        <v>8.0</v>
      </c>
      <c r="F632" s="93">
        <v>34.16937145138865</v>
      </c>
      <c r="G632" s="93">
        <v>34.267451231389465</v>
      </c>
      <c r="H632" s="93">
        <v>5.867359124690135</v>
      </c>
      <c r="I632" s="93">
        <v>1724.0</v>
      </c>
      <c r="J632" s="93">
        <v>1732.0</v>
      </c>
      <c r="K632" s="93">
        <v>5.876245689061054</v>
      </c>
    </row>
    <row r="633">
      <c r="A633" s="93">
        <v>142.0</v>
      </c>
      <c r="B633" s="96" t="s">
        <v>16</v>
      </c>
      <c r="C633" s="96" t="s">
        <v>142</v>
      </c>
      <c r="D633" s="96" t="s">
        <v>143</v>
      </c>
      <c r="E633" s="93">
        <v>8.0</v>
      </c>
      <c r="F633" s="93">
        <v>30.837053426750067</v>
      </c>
      <c r="G633" s="93">
        <v>30.938524703514084</v>
      </c>
      <c r="H633" s="93">
        <v>5.967597826070912</v>
      </c>
      <c r="I633" s="93">
        <v>1487.0</v>
      </c>
      <c r="J633" s="93">
        <v>1495.0</v>
      </c>
      <c r="K633" s="93">
        <v>5.977008430259799</v>
      </c>
    </row>
    <row r="634">
      <c r="A634" s="93">
        <v>142.0</v>
      </c>
      <c r="B634" s="96" t="s">
        <v>24</v>
      </c>
      <c r="C634" s="96" t="s">
        <v>142</v>
      </c>
      <c r="D634" s="96" t="s">
        <v>143</v>
      </c>
      <c r="E634" s="93">
        <v>9.0</v>
      </c>
      <c r="F634" s="93">
        <v>28.150474557724362</v>
      </c>
      <c r="G634" s="93">
        <v>28.268191024946667</v>
      </c>
      <c r="H634" s="93">
        <v>6.425798007776426</v>
      </c>
      <c r="I634" s="93">
        <v>1258.0</v>
      </c>
      <c r="J634" s="93">
        <v>1267.0</v>
      </c>
      <c r="K634" s="93">
        <v>6.437827031531233</v>
      </c>
    </row>
    <row r="635">
      <c r="A635" s="93">
        <v>142.0</v>
      </c>
      <c r="B635" s="96" t="s">
        <v>28</v>
      </c>
      <c r="C635" s="96" t="s">
        <v>144</v>
      </c>
      <c r="D635" s="96" t="s">
        <v>145</v>
      </c>
      <c r="E635" s="93">
        <v>-7.0</v>
      </c>
      <c r="F635" s="93">
        <v>28.542451693378673</v>
      </c>
      <c r="G635" s="93">
        <v>28.422371514841032</v>
      </c>
      <c r="H635" s="93">
        <v>6.4897314445269085</v>
      </c>
      <c r="I635" s="93">
        <v>1278.0</v>
      </c>
      <c r="J635" s="93">
        <v>1271.0</v>
      </c>
      <c r="K635" s="93">
        <v>6.502156044515612</v>
      </c>
    </row>
    <row r="636">
      <c r="A636" s="93">
        <v>142.0</v>
      </c>
      <c r="B636" s="96" t="s">
        <v>45</v>
      </c>
      <c r="C636" s="96" t="s">
        <v>144</v>
      </c>
      <c r="D636" s="96" t="s">
        <v>145</v>
      </c>
      <c r="E636" s="93">
        <v>-10.0</v>
      </c>
      <c r="F636" s="93">
        <v>28.89548619041227</v>
      </c>
      <c r="G636" s="93">
        <v>28.70758359632717</v>
      </c>
      <c r="H636" s="93">
        <v>8.108820575593782</v>
      </c>
      <c r="I636" s="93">
        <v>1135.0</v>
      </c>
      <c r="J636" s="93">
        <v>1125.0</v>
      </c>
      <c r="K636" s="93">
        <v>8.134046507748659</v>
      </c>
    </row>
    <row r="637">
      <c r="A637" s="93">
        <v>142.0</v>
      </c>
      <c r="B637" s="96" t="s">
        <v>146</v>
      </c>
      <c r="C637" s="96" t="s">
        <v>144</v>
      </c>
      <c r="D637" s="96" t="s">
        <v>146</v>
      </c>
      <c r="E637" s="93" t="s">
        <v>147</v>
      </c>
      <c r="F637" s="93" t="s">
        <v>147</v>
      </c>
      <c r="G637" s="93" t="s">
        <v>147</v>
      </c>
      <c r="H637" s="93" t="s">
        <v>147</v>
      </c>
      <c r="I637" s="93" t="s">
        <v>147</v>
      </c>
      <c r="J637" s="93" t="s">
        <v>147</v>
      </c>
      <c r="K637" s="93" t="s">
        <v>147</v>
      </c>
    </row>
    <row r="638">
      <c r="A638" s="93">
        <v>142.0</v>
      </c>
      <c r="B638" s="96" t="s">
        <v>124</v>
      </c>
      <c r="C638" s="96" t="s">
        <v>144</v>
      </c>
      <c r="D638" s="96" t="s">
        <v>145</v>
      </c>
      <c r="E638" s="93">
        <v>-9.0</v>
      </c>
      <c r="F638" s="93">
        <v>20.737487247550238</v>
      </c>
      <c r="G638" s="93">
        <v>20.578746127248998</v>
      </c>
      <c r="H638" s="93">
        <v>7.4567751083658145</v>
      </c>
      <c r="I638" s="93">
        <v>648.0</v>
      </c>
      <c r="J638" s="93">
        <v>639.0</v>
      </c>
      <c r="K638" s="93">
        <v>7.4761663214935465</v>
      </c>
    </row>
    <row r="639">
      <c r="A639" s="93">
        <v>142.0</v>
      </c>
      <c r="B639" s="96" t="s">
        <v>57</v>
      </c>
      <c r="C639" s="96" t="s">
        <v>144</v>
      </c>
      <c r="D639" s="96" t="s">
        <v>145</v>
      </c>
      <c r="E639" s="93">
        <v>-10.0</v>
      </c>
      <c r="F639" s="93">
        <v>25.627567333827447</v>
      </c>
      <c r="G639" s="93">
        <v>25.438840208728312</v>
      </c>
      <c r="H639" s="93">
        <v>8.126478343932927</v>
      </c>
      <c r="I639" s="93">
        <v>911.0</v>
      </c>
      <c r="J639" s="93">
        <v>901.0</v>
      </c>
      <c r="K639" s="93">
        <v>8.151876074574641</v>
      </c>
    </row>
    <row r="640">
      <c r="A640" s="93">
        <v>142.0</v>
      </c>
      <c r="B640" s="96" t="s">
        <v>119</v>
      </c>
      <c r="C640" s="96" t="s">
        <v>144</v>
      </c>
      <c r="D640" s="96" t="s">
        <v>145</v>
      </c>
      <c r="E640" s="93">
        <v>-9.0</v>
      </c>
      <c r="F640" s="93">
        <v>22.679522763633717</v>
      </c>
      <c r="G640" s="93">
        <v>22.516401236763205</v>
      </c>
      <c r="H640" s="93">
        <v>7.55839663807829</v>
      </c>
      <c r="I640" s="93">
        <v>769.0</v>
      </c>
      <c r="J640" s="93">
        <v>760.0</v>
      </c>
      <c r="K640" s="93">
        <v>7.578633692311019</v>
      </c>
    </row>
    <row r="641">
      <c r="A641" s="93">
        <v>142.0</v>
      </c>
      <c r="B641" s="96" t="s">
        <v>29</v>
      </c>
      <c r="C641" s="96" t="s">
        <v>144</v>
      </c>
      <c r="D641" s="96" t="s">
        <v>145</v>
      </c>
      <c r="E641" s="93">
        <v>-7.0</v>
      </c>
      <c r="F641" s="93">
        <v>33.78094726559948</v>
      </c>
      <c r="G641" s="93">
        <v>33.66682613242365</v>
      </c>
      <c r="H641" s="93">
        <v>6.327293143742117</v>
      </c>
      <c r="I641" s="93">
        <v>1651.0</v>
      </c>
      <c r="J641" s="93">
        <v>1644.0</v>
      </c>
      <c r="K641" s="93">
        <v>6.338727487334883</v>
      </c>
    </row>
    <row r="642">
      <c r="A642" s="93">
        <v>142.0</v>
      </c>
      <c r="B642" s="96" t="s">
        <v>115</v>
      </c>
      <c r="C642" s="96" t="s">
        <v>144</v>
      </c>
      <c r="D642" s="96" t="s">
        <v>145</v>
      </c>
      <c r="E642" s="93">
        <v>-9.0</v>
      </c>
      <c r="F642" s="93">
        <v>22.394277206422053</v>
      </c>
      <c r="G642" s="93">
        <v>22.237543307820232</v>
      </c>
      <c r="H642" s="93">
        <v>7.409733448853384</v>
      </c>
      <c r="I642" s="93">
        <v>765.0</v>
      </c>
      <c r="J642" s="93">
        <v>756.0</v>
      </c>
      <c r="K642" s="93">
        <v>7.428740787270529</v>
      </c>
    </row>
    <row r="643">
      <c r="A643" s="93">
        <v>142.0</v>
      </c>
      <c r="B643" s="96" t="s">
        <v>26</v>
      </c>
      <c r="C643" s="96" t="s">
        <v>144</v>
      </c>
      <c r="D643" s="96" t="s">
        <v>145</v>
      </c>
      <c r="E643" s="93">
        <v>-7.0</v>
      </c>
      <c r="F643" s="93">
        <v>30.03075231973943</v>
      </c>
      <c r="G643" s="93">
        <v>29.91884457255217</v>
      </c>
      <c r="H643" s="93">
        <v>6.265868578513336</v>
      </c>
      <c r="I643" s="93">
        <v>1402.0</v>
      </c>
      <c r="J643" s="93">
        <v>1395.0</v>
      </c>
      <c r="K643" s="93">
        <v>6.276941065082229</v>
      </c>
    </row>
    <row r="644">
      <c r="A644" s="93">
        <v>142.0</v>
      </c>
      <c r="B644" s="96" t="s">
        <v>33</v>
      </c>
      <c r="C644" s="96" t="s">
        <v>144</v>
      </c>
      <c r="D644" s="96" t="s">
        <v>145</v>
      </c>
      <c r="E644" s="93">
        <v>-9.0</v>
      </c>
      <c r="F644" s="93">
        <v>24.87138829135031</v>
      </c>
      <c r="G644" s="93">
        <v>24.71518224939725</v>
      </c>
      <c r="H644" s="93">
        <v>7.397311737451138</v>
      </c>
      <c r="I644" s="93">
        <v>935.0</v>
      </c>
      <c r="J644" s="93">
        <v>926.0</v>
      </c>
      <c r="K644" s="93">
        <v>7.4162185148675075</v>
      </c>
    </row>
    <row r="645">
      <c r="A645" s="93">
        <v>142.0</v>
      </c>
      <c r="B645" s="96" t="s">
        <v>96</v>
      </c>
      <c r="C645" s="96" t="s">
        <v>144</v>
      </c>
      <c r="D645" s="96" t="s">
        <v>145</v>
      </c>
      <c r="E645" s="93">
        <v>-11.0</v>
      </c>
      <c r="F645" s="93">
        <v>25.0</v>
      </c>
      <c r="G645" s="93">
        <v>24.80277867158524</v>
      </c>
      <c r="H645" s="93">
        <v>8.306144580080327</v>
      </c>
      <c r="I645" s="93">
        <v>850.0</v>
      </c>
      <c r="J645" s="93">
        <v>839.0</v>
      </c>
      <c r="K645" s="93">
        <v>8.333333333333334</v>
      </c>
    </row>
    <row r="646">
      <c r="A646" s="93">
        <v>142.0</v>
      </c>
      <c r="B646" s="96" t="s">
        <v>92</v>
      </c>
      <c r="C646" s="96" t="s">
        <v>144</v>
      </c>
      <c r="D646" s="96" t="s">
        <v>145</v>
      </c>
      <c r="E646" s="93">
        <v>-10.0</v>
      </c>
      <c r="F646" s="93">
        <v>25.50171752208421</v>
      </c>
      <c r="G646" s="93">
        <v>25.324794216866454</v>
      </c>
      <c r="H646" s="93">
        <v>7.869820117162751</v>
      </c>
      <c r="I646" s="93">
        <v>929.0</v>
      </c>
      <c r="J646" s="93">
        <v>919.0</v>
      </c>
      <c r="K646" s="93">
        <v>7.892793649057603</v>
      </c>
    </row>
    <row r="647">
      <c r="A647" s="93">
        <v>141.0</v>
      </c>
      <c r="B647" s="96" t="s">
        <v>83</v>
      </c>
      <c r="C647" s="96" t="s">
        <v>142</v>
      </c>
      <c r="D647" s="96" t="s">
        <v>145</v>
      </c>
      <c r="E647" s="93">
        <v>-74.0</v>
      </c>
      <c r="F647" s="93">
        <v>22.83509846565697</v>
      </c>
      <c r="G647" s="93">
        <v>21.67372890238443</v>
      </c>
      <c r="H647" s="93">
        <v>6.772027034069091</v>
      </c>
      <c r="I647" s="93">
        <v>857.0</v>
      </c>
      <c r="J647" s="93">
        <v>783.0</v>
      </c>
      <c r="K647" s="93">
        <v>6.8255030178782015</v>
      </c>
    </row>
    <row r="648">
      <c r="A648" s="93">
        <v>141.0</v>
      </c>
      <c r="B648" s="96" t="s">
        <v>50</v>
      </c>
      <c r="C648" s="96" t="s">
        <v>142</v>
      </c>
      <c r="D648" s="96" t="s">
        <v>145</v>
      </c>
      <c r="E648" s="93">
        <v>-85.0</v>
      </c>
      <c r="F648" s="93">
        <v>25.567901627028075</v>
      </c>
      <c r="G648" s="93">
        <v>24.20833170610233</v>
      </c>
      <c r="H648" s="93">
        <v>7.317079169452256</v>
      </c>
      <c r="I648" s="93">
        <v>985.0</v>
      </c>
      <c r="J648" s="93">
        <v>900.0</v>
      </c>
      <c r="K648" s="93">
        <v>7.385110736010902</v>
      </c>
    </row>
    <row r="649">
      <c r="A649" s="93">
        <v>141.0</v>
      </c>
      <c r="B649" s="96" t="s">
        <v>23</v>
      </c>
      <c r="C649" s="96" t="s">
        <v>142</v>
      </c>
      <c r="D649" s="96" t="s">
        <v>145</v>
      </c>
      <c r="E649" s="93">
        <v>-56.0</v>
      </c>
      <c r="F649" s="93">
        <v>35.04031659325959</v>
      </c>
      <c r="G649" s="93">
        <v>34.16937145138865</v>
      </c>
      <c r="H649" s="93">
        <v>5.876245689061054</v>
      </c>
      <c r="I649" s="93">
        <v>1780.0</v>
      </c>
      <c r="J649" s="93">
        <v>1724.0</v>
      </c>
      <c r="K649" s="93">
        <v>5.9105691165956085</v>
      </c>
    </row>
    <row r="650">
      <c r="A650" s="93">
        <v>141.0</v>
      </c>
      <c r="B650" s="96" t="s">
        <v>38</v>
      </c>
      <c r="C650" s="96" t="s">
        <v>144</v>
      </c>
      <c r="D650" s="96" t="s">
        <v>143</v>
      </c>
      <c r="E650" s="93">
        <v>64.0</v>
      </c>
      <c r="F650" s="93">
        <v>26.18666740810166</v>
      </c>
      <c r="G650" s="93">
        <v>27.07478458217296</v>
      </c>
      <c r="H650" s="93">
        <v>5.9331902115571085</v>
      </c>
      <c r="I650" s="93">
        <v>1172.0</v>
      </c>
      <c r="J650" s="93">
        <v>1236.0</v>
      </c>
      <c r="K650" s="93">
        <v>5.968569231129498</v>
      </c>
    </row>
    <row r="651">
      <c r="A651" s="93">
        <v>141.0</v>
      </c>
      <c r="B651" s="96" t="s">
        <v>24</v>
      </c>
      <c r="C651" s="96" t="s">
        <v>144</v>
      </c>
      <c r="D651" s="96" t="s">
        <v>143</v>
      </c>
      <c r="E651" s="93">
        <v>76.0</v>
      </c>
      <c r="F651" s="93">
        <v>27.102549237802705</v>
      </c>
      <c r="G651" s="93">
        <v>28.150474557724362</v>
      </c>
      <c r="H651" s="93">
        <v>6.437827031531233</v>
      </c>
      <c r="I651" s="93">
        <v>1182.0</v>
      </c>
      <c r="J651" s="93">
        <v>1258.0</v>
      </c>
      <c r="K651" s="93">
        <v>6.483500728894503</v>
      </c>
    </row>
    <row r="652">
      <c r="A652" s="93">
        <v>141.0</v>
      </c>
      <c r="B652" s="96" t="s">
        <v>22</v>
      </c>
      <c r="C652" s="96" t="s">
        <v>144</v>
      </c>
      <c r="D652" s="96" t="s">
        <v>143</v>
      </c>
      <c r="E652" s="93">
        <v>63.0</v>
      </c>
      <c r="F652" s="93">
        <v>27.620944625641094</v>
      </c>
      <c r="G652" s="93">
        <v>28.498817323791194</v>
      </c>
      <c r="H652" s="93">
        <v>5.899287731589388</v>
      </c>
      <c r="I652" s="93">
        <v>1273.0</v>
      </c>
      <c r="J652" s="93">
        <v>1336.0</v>
      </c>
      <c r="K652" s="93">
        <v>5.934035792804692</v>
      </c>
    </row>
    <row r="653">
      <c r="A653" s="93">
        <v>141.0</v>
      </c>
      <c r="B653" s="96" t="s">
        <v>122</v>
      </c>
      <c r="C653" s="96" t="s">
        <v>144</v>
      </c>
      <c r="D653" s="96" t="s">
        <v>148</v>
      </c>
      <c r="E653" s="93" t="s">
        <v>147</v>
      </c>
      <c r="F653" s="93" t="s">
        <v>147</v>
      </c>
      <c r="G653" s="93" t="s">
        <v>147</v>
      </c>
      <c r="H653" s="93" t="s">
        <v>147</v>
      </c>
      <c r="I653" s="93" t="s">
        <v>147</v>
      </c>
      <c r="J653" s="93" t="s">
        <v>147</v>
      </c>
      <c r="K653" s="93" t="s">
        <v>147</v>
      </c>
    </row>
    <row r="654">
      <c r="A654" s="93">
        <v>141.0</v>
      </c>
      <c r="B654" s="96" t="s">
        <v>69</v>
      </c>
      <c r="C654" s="96" t="s">
        <v>144</v>
      </c>
      <c r="D654" s="96" t="s">
        <v>143</v>
      </c>
      <c r="E654" s="93">
        <v>124.0</v>
      </c>
      <c r="F654" s="93">
        <v>27.20768138065717</v>
      </c>
      <c r="G654" s="93">
        <v>28.89548619041227</v>
      </c>
      <c r="H654" s="93">
        <v>8.134046507748659</v>
      </c>
      <c r="I654" s="93">
        <v>1011.0</v>
      </c>
      <c r="J654" s="93">
        <v>1135.0</v>
      </c>
      <c r="K654" s="93">
        <v>8.228583692822152</v>
      </c>
    </row>
    <row r="655">
      <c r="A655" s="93">
        <v>141.0</v>
      </c>
      <c r="B655" s="96" t="s">
        <v>35</v>
      </c>
      <c r="C655" s="96" t="s">
        <v>144</v>
      </c>
      <c r="D655" s="96" t="s">
        <v>143</v>
      </c>
      <c r="E655" s="93">
        <v>90.0</v>
      </c>
      <c r="F655" s="93">
        <v>28.114153679858795</v>
      </c>
      <c r="G655" s="93">
        <v>29.3564554005727</v>
      </c>
      <c r="H655" s="93">
        <v>7.000090253775292</v>
      </c>
      <c r="I655" s="93">
        <v>1192.0</v>
      </c>
      <c r="J655" s="93">
        <v>1282.0</v>
      </c>
      <c r="K655" s="93">
        <v>7.059371266336407</v>
      </c>
    </row>
    <row r="656">
      <c r="A656" s="93">
        <v>141.0</v>
      </c>
      <c r="B656" s="96" t="s">
        <v>33</v>
      </c>
      <c r="C656" s="96" t="s">
        <v>144</v>
      </c>
      <c r="D656" s="96" t="s">
        <v>143</v>
      </c>
      <c r="E656" s="93">
        <v>102.0</v>
      </c>
      <c r="F656" s="93">
        <v>23.473993516496897</v>
      </c>
      <c r="G656" s="93">
        <v>24.87138829135031</v>
      </c>
      <c r="H656" s="93">
        <v>7.4162185148675075</v>
      </c>
      <c r="I656" s="93">
        <v>833.0</v>
      </c>
      <c r="J656" s="93">
        <v>935.0</v>
      </c>
      <c r="K656" s="93">
        <v>7.487155845351148</v>
      </c>
    </row>
    <row r="657">
      <c r="A657" s="93">
        <v>141.0</v>
      </c>
      <c r="B657" s="96" t="s">
        <v>45</v>
      </c>
      <c r="C657" s="96" t="s">
        <v>144</v>
      </c>
      <c r="D657" s="96" t="s">
        <v>143</v>
      </c>
      <c r="E657" s="93">
        <v>124.0</v>
      </c>
      <c r="F657" s="93">
        <v>27.20768138065717</v>
      </c>
      <c r="G657" s="93">
        <v>28.89548619041227</v>
      </c>
      <c r="H657" s="93">
        <v>8.134046507748659</v>
      </c>
      <c r="I657" s="93">
        <v>1011.0</v>
      </c>
      <c r="J657" s="93">
        <v>1135.0</v>
      </c>
      <c r="K657" s="93">
        <v>8.228583692822152</v>
      </c>
    </row>
    <row r="658">
      <c r="A658" s="93">
        <v>141.0</v>
      </c>
      <c r="B658" s="96" t="s">
        <v>28</v>
      </c>
      <c r="C658" s="96" t="s">
        <v>144</v>
      </c>
      <c r="D658" s="96" t="s">
        <v>143</v>
      </c>
      <c r="E658" s="93">
        <v>78.0</v>
      </c>
      <c r="F658" s="93">
        <v>27.473163614965063</v>
      </c>
      <c r="G658" s="93">
        <v>28.542451693378673</v>
      </c>
      <c r="H658" s="93">
        <v>6.502156044515612</v>
      </c>
      <c r="I658" s="93">
        <v>1200.0</v>
      </c>
      <c r="J658" s="93">
        <v>1278.0</v>
      </c>
      <c r="K658" s="93">
        <v>6.549268439588027</v>
      </c>
    </row>
    <row r="659">
      <c r="A659" s="93">
        <v>141.0</v>
      </c>
      <c r="B659" s="96" t="s">
        <v>27</v>
      </c>
      <c r="C659" s="96" t="s">
        <v>144</v>
      </c>
      <c r="D659" s="96" t="s">
        <v>143</v>
      </c>
      <c r="E659" s="93">
        <v>76.0</v>
      </c>
      <c r="F659" s="93">
        <v>33.51961765348328</v>
      </c>
      <c r="G659" s="93">
        <v>34.57519030552346</v>
      </c>
      <c r="H659" s="93">
        <v>6.460933245074078</v>
      </c>
      <c r="I659" s="93">
        <v>1616.0</v>
      </c>
      <c r="J659" s="93">
        <v>1692.0</v>
      </c>
      <c r="K659" s="93">
        <v>6.507120306966053</v>
      </c>
    </row>
    <row r="660">
      <c r="A660" s="93">
        <v>141.0</v>
      </c>
      <c r="B660" s="96" t="s">
        <v>115</v>
      </c>
      <c r="C660" s="96" t="s">
        <v>144</v>
      </c>
      <c r="D660" s="96" t="s">
        <v>143</v>
      </c>
      <c r="E660" s="93">
        <v>103.0</v>
      </c>
      <c r="F660" s="93">
        <v>20.992065665206866</v>
      </c>
      <c r="G660" s="93">
        <v>22.394277206422053</v>
      </c>
      <c r="H660" s="93">
        <v>7.428740787270529</v>
      </c>
      <c r="I660" s="93">
        <v>662.0</v>
      </c>
      <c r="J660" s="93">
        <v>765.0</v>
      </c>
      <c r="K660" s="93">
        <v>7.50005101253107</v>
      </c>
    </row>
    <row r="661">
      <c r="A661" s="93">
        <v>141.0</v>
      </c>
      <c r="B661" s="96" t="s">
        <v>146</v>
      </c>
      <c r="C661" s="96" t="s">
        <v>144</v>
      </c>
      <c r="D661" s="96" t="s">
        <v>146</v>
      </c>
      <c r="E661" s="93" t="s">
        <v>147</v>
      </c>
      <c r="F661" s="93" t="s">
        <v>147</v>
      </c>
      <c r="G661" s="93" t="s">
        <v>147</v>
      </c>
      <c r="H661" s="93" t="s">
        <v>147</v>
      </c>
      <c r="I661" s="93" t="s">
        <v>147</v>
      </c>
      <c r="J661" s="93" t="s">
        <v>147</v>
      </c>
      <c r="K661" s="93" t="s">
        <v>147</v>
      </c>
    </row>
    <row r="662">
      <c r="A662" s="93">
        <v>140.0</v>
      </c>
      <c r="B662" s="96" t="s">
        <v>46</v>
      </c>
      <c r="C662" s="96" t="s">
        <v>142</v>
      </c>
      <c r="D662" s="96" t="s">
        <v>145</v>
      </c>
      <c r="E662" s="93">
        <v>-112.0</v>
      </c>
      <c r="F662" s="93">
        <v>28.9996418752153</v>
      </c>
      <c r="G662" s="93">
        <v>27.24185591459264</v>
      </c>
      <c r="H662" s="93">
        <v>7.3616854391119455</v>
      </c>
      <c r="I662" s="93">
        <v>1214.0</v>
      </c>
      <c r="J662" s="93">
        <v>1102.0</v>
      </c>
      <c r="K662" s="93">
        <v>7.435763168895167</v>
      </c>
    </row>
    <row r="663">
      <c r="A663" s="93">
        <v>140.0</v>
      </c>
      <c r="B663" s="96" t="s">
        <v>24</v>
      </c>
      <c r="C663" s="96" t="s">
        <v>142</v>
      </c>
      <c r="D663" s="96" t="s">
        <v>145</v>
      </c>
      <c r="E663" s="93">
        <v>-87.0</v>
      </c>
      <c r="F663" s="93">
        <v>28.459658171638278</v>
      </c>
      <c r="G663" s="93">
        <v>27.102549237802705</v>
      </c>
      <c r="H663" s="93">
        <v>6.483500728894503</v>
      </c>
      <c r="I663" s="93">
        <v>1269.0</v>
      </c>
      <c r="J663" s="93">
        <v>1182.0</v>
      </c>
      <c r="K663" s="93">
        <v>6.533385920590416</v>
      </c>
    </row>
    <row r="664">
      <c r="A664" s="93">
        <v>140.0</v>
      </c>
      <c r="B664" s="96" t="s">
        <v>28</v>
      </c>
      <c r="C664" s="96" t="s">
        <v>142</v>
      </c>
      <c r="D664" s="96" t="s">
        <v>145</v>
      </c>
      <c r="E664" s="93">
        <v>-89.0</v>
      </c>
      <c r="F664" s="93">
        <v>28.85839508846986</v>
      </c>
      <c r="G664" s="93">
        <v>27.473163614965063</v>
      </c>
      <c r="H664" s="93">
        <v>6.549268439588027</v>
      </c>
      <c r="I664" s="93">
        <v>1289.0</v>
      </c>
      <c r="J664" s="93">
        <v>1200.0</v>
      </c>
      <c r="K664" s="93">
        <v>6.600748194406396</v>
      </c>
    </row>
    <row r="665">
      <c r="A665" s="93">
        <v>140.0</v>
      </c>
      <c r="B665" s="96" t="s">
        <v>22</v>
      </c>
      <c r="C665" s="96" t="s">
        <v>144</v>
      </c>
      <c r="D665" s="96" t="s">
        <v>143</v>
      </c>
      <c r="E665" s="93">
        <v>81.0</v>
      </c>
      <c r="F665" s="93">
        <v>26.487038859953394</v>
      </c>
      <c r="G665" s="93">
        <v>27.620944625641094</v>
      </c>
      <c r="H665" s="93">
        <v>5.934035792804692</v>
      </c>
      <c r="I665" s="93">
        <v>1192.0</v>
      </c>
      <c r="J665" s="93">
        <v>1273.0</v>
      </c>
      <c r="K665" s="93">
        <v>5.971857351541504</v>
      </c>
    </row>
    <row r="666">
      <c r="A666" s="93">
        <v>140.0</v>
      </c>
      <c r="B666" s="96" t="s">
        <v>83</v>
      </c>
      <c r="C666" s="96" t="s">
        <v>144</v>
      </c>
      <c r="D666" s="96" t="s">
        <v>143</v>
      </c>
      <c r="E666" s="93">
        <v>109.0</v>
      </c>
      <c r="F666" s="93">
        <v>21.32843500390901</v>
      </c>
      <c r="G666" s="93">
        <v>22.83509846565697</v>
      </c>
      <c r="H666" s="93">
        <v>6.8255030178782015</v>
      </c>
      <c r="I666" s="93">
        <v>748.0</v>
      </c>
      <c r="J666" s="93">
        <v>857.0</v>
      </c>
      <c r="K666" s="93">
        <v>6.884051890491428</v>
      </c>
    </row>
    <row r="667">
      <c r="A667" s="93">
        <v>140.0</v>
      </c>
      <c r="B667" s="96" t="s">
        <v>27</v>
      </c>
      <c r="C667" s="96" t="s">
        <v>144</v>
      </c>
      <c r="D667" s="96" t="s">
        <v>143</v>
      </c>
      <c r="E667" s="93">
        <v>99.0</v>
      </c>
      <c r="F667" s="93">
        <v>32.1524436901264</v>
      </c>
      <c r="G667" s="93">
        <v>33.51961765348328</v>
      </c>
      <c r="H667" s="93">
        <v>6.507120306966053</v>
      </c>
      <c r="I667" s="93">
        <v>1517.0</v>
      </c>
      <c r="J667" s="93">
        <v>1616.0</v>
      </c>
      <c r="K667" s="93">
        <v>6.55757432360695</v>
      </c>
    </row>
    <row r="668">
      <c r="A668" s="93">
        <v>140.0</v>
      </c>
      <c r="B668" s="96" t="s">
        <v>35</v>
      </c>
      <c r="C668" s="96" t="s">
        <v>144</v>
      </c>
      <c r="D668" s="96" t="s">
        <v>143</v>
      </c>
      <c r="E668" s="93">
        <v>117.0</v>
      </c>
      <c r="F668" s="93">
        <v>26.50047367856472</v>
      </c>
      <c r="G668" s="93">
        <v>28.114153679858795</v>
      </c>
      <c r="H668" s="93">
        <v>7.059371266336407</v>
      </c>
      <c r="I668" s="93">
        <v>1075.0</v>
      </c>
      <c r="J668" s="93">
        <v>1192.0</v>
      </c>
      <c r="K668" s="93">
        <v>7.124391130001085</v>
      </c>
    </row>
    <row r="669">
      <c r="A669" s="93">
        <v>140.0</v>
      </c>
      <c r="B669" s="96" t="s">
        <v>65</v>
      </c>
      <c r="C669" s="96" t="s">
        <v>144</v>
      </c>
      <c r="D669" s="96" t="s">
        <v>143</v>
      </c>
      <c r="E669" s="93">
        <v>146.0</v>
      </c>
      <c r="F669" s="93">
        <v>24.243601130236016</v>
      </c>
      <c r="G669" s="93">
        <v>26.249218270879066</v>
      </c>
      <c r="H669" s="93">
        <v>7.852220367384759</v>
      </c>
      <c r="I669" s="93">
        <v>838.0</v>
      </c>
      <c r="J669" s="93">
        <v>984.0</v>
      </c>
      <c r="K669" s="93">
        <v>7.942759678509738</v>
      </c>
    </row>
    <row r="670">
      <c r="A670" s="93">
        <v>140.0</v>
      </c>
      <c r="B670" s="96" t="s">
        <v>69</v>
      </c>
      <c r="C670" s="96" t="s">
        <v>144</v>
      </c>
      <c r="D670" s="96" t="s">
        <v>143</v>
      </c>
      <c r="E670" s="93">
        <v>161.0</v>
      </c>
      <c r="F670" s="93">
        <v>25.0</v>
      </c>
      <c r="G670" s="93">
        <v>27.20768138065717</v>
      </c>
      <c r="H670" s="93">
        <v>8.228583692822152</v>
      </c>
      <c r="I670" s="93">
        <v>850.0</v>
      </c>
      <c r="J670" s="93">
        <v>1011.0</v>
      </c>
      <c r="K670" s="93">
        <v>8.333333333333334</v>
      </c>
    </row>
    <row r="671">
      <c r="A671" s="93">
        <v>140.0</v>
      </c>
      <c r="B671" s="96" t="s">
        <v>146</v>
      </c>
      <c r="C671" s="96" t="s">
        <v>144</v>
      </c>
      <c r="D671" s="96" t="s">
        <v>146</v>
      </c>
      <c r="E671" s="93" t="s">
        <v>147</v>
      </c>
      <c r="F671" s="93" t="s">
        <v>147</v>
      </c>
      <c r="G671" s="93" t="s">
        <v>147</v>
      </c>
      <c r="H671" s="93" t="s">
        <v>147</v>
      </c>
      <c r="I671" s="93" t="s">
        <v>147</v>
      </c>
      <c r="J671" s="93" t="s">
        <v>147</v>
      </c>
      <c r="K671" s="93" t="s">
        <v>147</v>
      </c>
    </row>
    <row r="672">
      <c r="A672" s="93">
        <v>140.0</v>
      </c>
      <c r="B672" s="96" t="s">
        <v>45</v>
      </c>
      <c r="C672" s="96" t="s">
        <v>144</v>
      </c>
      <c r="D672" s="96" t="s">
        <v>143</v>
      </c>
      <c r="E672" s="93">
        <v>161.0</v>
      </c>
      <c r="F672" s="93">
        <v>25.0</v>
      </c>
      <c r="G672" s="93">
        <v>27.20768138065717</v>
      </c>
      <c r="H672" s="93">
        <v>8.228583692822152</v>
      </c>
      <c r="I672" s="93">
        <v>850.0</v>
      </c>
      <c r="J672" s="93">
        <v>1011.0</v>
      </c>
      <c r="K672" s="93">
        <v>8.333333333333334</v>
      </c>
    </row>
    <row r="673">
      <c r="A673" s="93">
        <v>140.0</v>
      </c>
      <c r="B673" s="96" t="s">
        <v>23</v>
      </c>
      <c r="C673" s="96" t="s">
        <v>144</v>
      </c>
      <c r="D673" s="96" t="s">
        <v>143</v>
      </c>
      <c r="E673" s="93">
        <v>80.0</v>
      </c>
      <c r="F673" s="93">
        <v>33.91547894853485</v>
      </c>
      <c r="G673" s="93">
        <v>35.04031659325959</v>
      </c>
      <c r="H673" s="93">
        <v>5.9105691165956085</v>
      </c>
      <c r="I673" s="93">
        <v>1700.0</v>
      </c>
      <c r="J673" s="93">
        <v>1780.0</v>
      </c>
      <c r="K673" s="93">
        <v>5.947923495142885</v>
      </c>
    </row>
    <row r="674">
      <c r="A674" s="93">
        <v>140.0</v>
      </c>
      <c r="B674" s="96" t="s">
        <v>33</v>
      </c>
      <c r="C674" s="96" t="s">
        <v>144</v>
      </c>
      <c r="D674" s="96" t="s">
        <v>143</v>
      </c>
      <c r="E674" s="93">
        <v>132.0</v>
      </c>
      <c r="F674" s="93">
        <v>21.65447427459689</v>
      </c>
      <c r="G674" s="93">
        <v>23.473993516496897</v>
      </c>
      <c r="H674" s="93">
        <v>7.487155845351148</v>
      </c>
      <c r="I674" s="93">
        <v>701.0</v>
      </c>
      <c r="J674" s="93">
        <v>833.0</v>
      </c>
      <c r="K674" s="93">
        <v>7.565231323200242</v>
      </c>
    </row>
    <row r="675">
      <c r="A675" s="93">
        <v>140.0</v>
      </c>
      <c r="B675" s="96" t="s">
        <v>146</v>
      </c>
      <c r="C675" s="96" t="s">
        <v>144</v>
      </c>
      <c r="D675" s="96" t="s">
        <v>146</v>
      </c>
      <c r="E675" s="93" t="s">
        <v>147</v>
      </c>
      <c r="F675" s="93" t="s">
        <v>147</v>
      </c>
      <c r="G675" s="93" t="s">
        <v>147</v>
      </c>
      <c r="H675" s="93" t="s">
        <v>147</v>
      </c>
      <c r="I675" s="93" t="s">
        <v>147</v>
      </c>
      <c r="J675" s="93" t="s">
        <v>147</v>
      </c>
      <c r="K675" s="93" t="s">
        <v>147</v>
      </c>
    </row>
    <row r="676">
      <c r="A676" s="93">
        <v>140.0</v>
      </c>
      <c r="B676" s="96" t="s">
        <v>38</v>
      </c>
      <c r="C676" s="96" t="s">
        <v>144</v>
      </c>
      <c r="D676" s="96" t="s">
        <v>143</v>
      </c>
      <c r="E676" s="93">
        <v>82.0</v>
      </c>
      <c r="F676" s="93">
        <v>25.039348175594714</v>
      </c>
      <c r="G676" s="93">
        <v>26.18666740810166</v>
      </c>
      <c r="H676" s="93">
        <v>5.968569231129498</v>
      </c>
      <c r="I676" s="93">
        <v>1090.0</v>
      </c>
      <c r="J676" s="93">
        <v>1172.0</v>
      </c>
      <c r="K676" s="93">
        <v>6.007085206845892</v>
      </c>
    </row>
    <row r="677">
      <c r="A677" s="93">
        <v>139.0</v>
      </c>
      <c r="B677" s="96" t="s">
        <v>38</v>
      </c>
      <c r="C677" s="96" t="s">
        <v>142</v>
      </c>
      <c r="D677" s="96" t="s">
        <v>145</v>
      </c>
      <c r="E677" s="93">
        <v>-40.0</v>
      </c>
      <c r="F677" s="93">
        <v>25.677959910791206</v>
      </c>
      <c r="G677" s="93">
        <v>25.039348175594714</v>
      </c>
      <c r="H677" s="93">
        <v>6.007085206845892</v>
      </c>
      <c r="I677" s="93">
        <v>1130.0</v>
      </c>
      <c r="J677" s="93">
        <v>1090.0</v>
      </c>
      <c r="K677" s="93">
        <v>6.039896296790094</v>
      </c>
    </row>
    <row r="678">
      <c r="A678" s="93">
        <v>139.0</v>
      </c>
      <c r="B678" s="96" t="s">
        <v>42</v>
      </c>
      <c r="C678" s="96" t="s">
        <v>142</v>
      </c>
      <c r="D678" s="96" t="s">
        <v>145</v>
      </c>
      <c r="E678" s="93">
        <v>-54.0</v>
      </c>
      <c r="F678" s="93">
        <v>24.019089038738056</v>
      </c>
      <c r="G678" s="93">
        <v>23.13956516291588</v>
      </c>
      <c r="H678" s="93">
        <v>7.034725985489955</v>
      </c>
      <c r="I678" s="93">
        <v>910.0</v>
      </c>
      <c r="J678" s="93">
        <v>856.0</v>
      </c>
      <c r="K678" s="93">
        <v>7.088447956151204</v>
      </c>
    </row>
    <row r="679">
      <c r="A679" s="93">
        <v>139.0</v>
      </c>
      <c r="B679" s="96" t="s">
        <v>28</v>
      </c>
      <c r="C679" s="96" t="s">
        <v>142</v>
      </c>
      <c r="D679" s="96" t="s">
        <v>145</v>
      </c>
      <c r="E679" s="93">
        <v>-48.0</v>
      </c>
      <c r="F679" s="93">
        <v>29.631293674971367</v>
      </c>
      <c r="G679" s="93">
        <v>28.85839508846986</v>
      </c>
      <c r="H679" s="93">
        <v>6.600748194406396</v>
      </c>
      <c r="I679" s="93">
        <v>1337.0</v>
      </c>
      <c r="J679" s="93">
        <v>1289.0</v>
      </c>
      <c r="K679" s="93">
        <v>6.644811002015144</v>
      </c>
    </row>
    <row r="680">
      <c r="A680" s="93">
        <v>139.0</v>
      </c>
      <c r="B680" s="96" t="s">
        <v>18</v>
      </c>
      <c r="C680" s="96" t="s">
        <v>144</v>
      </c>
      <c r="D680" s="96" t="s">
        <v>143</v>
      </c>
      <c r="E680" s="93">
        <v>52.0</v>
      </c>
      <c r="F680" s="93">
        <v>33.48477696992712</v>
      </c>
      <c r="G680" s="93">
        <v>34.19370873321758</v>
      </c>
      <c r="H680" s="93">
        <v>6.3252668229398274</v>
      </c>
      <c r="I680" s="93">
        <v>1628.0</v>
      </c>
      <c r="J680" s="93">
        <v>1680.0</v>
      </c>
      <c r="K680" s="93">
        <v>6.363838597065889</v>
      </c>
    </row>
    <row r="681">
      <c r="A681" s="93">
        <v>139.0</v>
      </c>
      <c r="B681" s="96" t="s">
        <v>47</v>
      </c>
      <c r="C681" s="96" t="s">
        <v>144</v>
      </c>
      <c r="D681" s="96" t="s">
        <v>143</v>
      </c>
      <c r="E681" s="93">
        <v>45.0</v>
      </c>
      <c r="F681" s="93">
        <v>24.05094075279478</v>
      </c>
      <c r="G681" s="93">
        <v>24.668410783515014</v>
      </c>
      <c r="H681" s="93">
        <v>5.907911891932055</v>
      </c>
      <c r="I681" s="93">
        <v>1030.0</v>
      </c>
      <c r="J681" s="93">
        <v>1075.0</v>
      </c>
      <c r="K681" s="93">
        <v>5.939049408325398</v>
      </c>
    </row>
    <row r="682">
      <c r="A682" s="93">
        <v>139.0</v>
      </c>
      <c r="B682" s="96" t="s">
        <v>29</v>
      </c>
      <c r="C682" s="96" t="s">
        <v>144</v>
      </c>
      <c r="D682" s="96" t="s">
        <v>143</v>
      </c>
      <c r="E682" s="93">
        <v>53.0</v>
      </c>
      <c r="F682" s="93">
        <v>33.06895661735156</v>
      </c>
      <c r="G682" s="93">
        <v>33.78094726559948</v>
      </c>
      <c r="H682" s="93">
        <v>6.338727487334883</v>
      </c>
      <c r="I682" s="93">
        <v>1598.0</v>
      </c>
      <c r="J682" s="93">
        <v>1651.0</v>
      </c>
      <c r="K682" s="93">
        <v>6.3775564853891105</v>
      </c>
    </row>
    <row r="683">
      <c r="A683" s="93">
        <v>139.0</v>
      </c>
      <c r="B683" s="96" t="s">
        <v>34</v>
      </c>
      <c r="C683" s="96" t="s">
        <v>144</v>
      </c>
      <c r="D683" s="96" t="s">
        <v>143</v>
      </c>
      <c r="E683" s="93">
        <v>68.0</v>
      </c>
      <c r="F683" s="93">
        <v>25.25608407369973</v>
      </c>
      <c r="G683" s="93">
        <v>26.179017943398012</v>
      </c>
      <c r="H683" s="93">
        <v>7.203475988171406</v>
      </c>
      <c r="I683" s="93">
        <v>977.0</v>
      </c>
      <c r="J683" s="93">
        <v>1045.0</v>
      </c>
      <c r="K683" s="93">
        <v>7.2613047326767655</v>
      </c>
    </row>
    <row r="684">
      <c r="A684" s="93">
        <v>139.0</v>
      </c>
      <c r="B684" s="96" t="s">
        <v>50</v>
      </c>
      <c r="C684" s="96" t="s">
        <v>144</v>
      </c>
      <c r="D684" s="96" t="s">
        <v>143</v>
      </c>
      <c r="E684" s="93">
        <v>72.0</v>
      </c>
      <c r="F684" s="93">
        <v>24.59701474169211</v>
      </c>
      <c r="G684" s="93">
        <v>25.567901627028075</v>
      </c>
      <c r="H684" s="93">
        <v>7.385110736010902</v>
      </c>
      <c r="I684" s="93">
        <v>913.0</v>
      </c>
      <c r="J684" s="93">
        <v>985.0</v>
      </c>
      <c r="K684" s="93">
        <v>7.447589354640294</v>
      </c>
    </row>
    <row r="685">
      <c r="A685" s="93">
        <v>139.0</v>
      </c>
      <c r="B685" s="96" t="s">
        <v>23</v>
      </c>
      <c r="C685" s="96" t="s">
        <v>144</v>
      </c>
      <c r="D685" s="96" t="s">
        <v>143</v>
      </c>
      <c r="E685" s="93">
        <v>46.0</v>
      </c>
      <c r="F685" s="93">
        <v>33.289523531405656</v>
      </c>
      <c r="G685" s="93">
        <v>33.91547894853485</v>
      </c>
      <c r="H685" s="93">
        <v>5.947923495142885</v>
      </c>
      <c r="I685" s="93">
        <v>1654.0</v>
      </c>
      <c r="J685" s="93">
        <v>1700.0</v>
      </c>
      <c r="K685" s="93">
        <v>5.979729410289176</v>
      </c>
    </row>
    <row r="686">
      <c r="A686" s="93">
        <v>139.0</v>
      </c>
      <c r="B686" s="96" t="s">
        <v>22</v>
      </c>
      <c r="C686" s="96" t="s">
        <v>144</v>
      </c>
      <c r="D686" s="96" t="s">
        <v>143</v>
      </c>
      <c r="E686" s="93">
        <v>46.0</v>
      </c>
      <c r="F686" s="93">
        <v>25.855979105279598</v>
      </c>
      <c r="G686" s="93">
        <v>26.487038859953394</v>
      </c>
      <c r="H686" s="93">
        <v>5.971857351541504</v>
      </c>
      <c r="I686" s="93">
        <v>1146.0</v>
      </c>
      <c r="J686" s="93">
        <v>1192.0</v>
      </c>
      <c r="K686" s="93">
        <v>6.0040674753763374</v>
      </c>
    </row>
    <row r="687">
      <c r="A687" s="93">
        <v>139.0</v>
      </c>
      <c r="B687" s="96" t="s">
        <v>26</v>
      </c>
      <c r="C687" s="96" t="s">
        <v>144</v>
      </c>
      <c r="D687" s="96" t="s">
        <v>143</v>
      </c>
      <c r="E687" s="93">
        <v>51.0</v>
      </c>
      <c r="F687" s="93">
        <v>29.332746097838125</v>
      </c>
      <c r="G687" s="93">
        <v>30.03075231973943</v>
      </c>
      <c r="H687" s="93">
        <v>6.276941065082229</v>
      </c>
      <c r="I687" s="93">
        <v>1351.0</v>
      </c>
      <c r="J687" s="93">
        <v>1402.0</v>
      </c>
      <c r="K687" s="93">
        <v>6.314598562877816</v>
      </c>
    </row>
    <row r="688">
      <c r="A688" s="93">
        <v>139.0</v>
      </c>
      <c r="B688" s="96" t="s">
        <v>27</v>
      </c>
      <c r="C688" s="96" t="s">
        <v>144</v>
      </c>
      <c r="D688" s="96" t="s">
        <v>143</v>
      </c>
      <c r="E688" s="93">
        <v>56.0</v>
      </c>
      <c r="F688" s="93">
        <v>31.389760055657874</v>
      </c>
      <c r="G688" s="93">
        <v>32.1524436901264</v>
      </c>
      <c r="H688" s="93">
        <v>6.55757432360695</v>
      </c>
      <c r="I688" s="93">
        <v>1461.0</v>
      </c>
      <c r="J688" s="93">
        <v>1517.0</v>
      </c>
      <c r="K688" s="93">
        <v>6.6007446345113285</v>
      </c>
    </row>
    <row r="689">
      <c r="A689" s="93">
        <v>139.0</v>
      </c>
      <c r="B689" s="96" t="s">
        <v>33</v>
      </c>
      <c r="C689" s="96" t="s">
        <v>144</v>
      </c>
      <c r="D689" s="96" t="s">
        <v>148</v>
      </c>
      <c r="E689" s="93" t="s">
        <v>147</v>
      </c>
      <c r="F689" s="93" t="s">
        <v>147</v>
      </c>
      <c r="G689" s="93" t="s">
        <v>147</v>
      </c>
      <c r="H689" s="93" t="s">
        <v>147</v>
      </c>
      <c r="I689" s="93" t="s">
        <v>147</v>
      </c>
      <c r="J689" s="93" t="s">
        <v>147</v>
      </c>
      <c r="K689" s="93" t="s">
        <v>147</v>
      </c>
    </row>
    <row r="690">
      <c r="A690" s="93">
        <v>139.0</v>
      </c>
      <c r="B690" s="96" t="s">
        <v>16</v>
      </c>
      <c r="C690" s="96" t="s">
        <v>144</v>
      </c>
      <c r="D690" s="96" t="s">
        <v>148</v>
      </c>
      <c r="E690" s="93" t="s">
        <v>147</v>
      </c>
      <c r="F690" s="93" t="s">
        <v>147</v>
      </c>
      <c r="G690" s="93" t="s">
        <v>147</v>
      </c>
      <c r="H690" s="93" t="s">
        <v>147</v>
      </c>
      <c r="I690" s="93" t="s">
        <v>147</v>
      </c>
      <c r="J690" s="93" t="s">
        <v>147</v>
      </c>
      <c r="K690" s="93" t="s">
        <v>147</v>
      </c>
    </row>
    <row r="691">
      <c r="A691" s="93">
        <v>139.0</v>
      </c>
      <c r="B691" s="96" t="s">
        <v>119</v>
      </c>
      <c r="C691" s="96" t="s">
        <v>144</v>
      </c>
      <c r="D691" s="96" t="s">
        <v>143</v>
      </c>
      <c r="E691" s="93">
        <v>76.0</v>
      </c>
      <c r="F691" s="93">
        <v>21.65613557506119</v>
      </c>
      <c r="G691" s="93">
        <v>22.679522763633717</v>
      </c>
      <c r="H691" s="93">
        <v>7.578633692311019</v>
      </c>
      <c r="I691" s="93">
        <v>693.0</v>
      </c>
      <c r="J691" s="93">
        <v>769.0</v>
      </c>
      <c r="K691" s="93">
        <v>7.646336410410343</v>
      </c>
    </row>
    <row r="692">
      <c r="A692" s="93">
        <v>138.0</v>
      </c>
      <c r="B692" s="96" t="s">
        <v>38</v>
      </c>
      <c r="C692" s="96" t="s">
        <v>142</v>
      </c>
      <c r="D692" s="96" t="s">
        <v>145</v>
      </c>
      <c r="E692" s="93">
        <v>-58.0</v>
      </c>
      <c r="F692" s="93">
        <v>26.58496755040921</v>
      </c>
      <c r="G692" s="93">
        <v>25.677959910791206</v>
      </c>
      <c r="H692" s="93">
        <v>6.039896296790094</v>
      </c>
      <c r="I692" s="93">
        <v>1188.0</v>
      </c>
      <c r="J692" s="93">
        <v>1130.0</v>
      </c>
      <c r="K692" s="93">
        <v>6.077990676759659</v>
      </c>
    </row>
    <row r="693">
      <c r="A693" s="93">
        <v>138.0</v>
      </c>
      <c r="B693" s="96" t="s">
        <v>42</v>
      </c>
      <c r="C693" s="96" t="s">
        <v>142</v>
      </c>
      <c r="D693" s="96" t="s">
        <v>145</v>
      </c>
      <c r="E693" s="93">
        <v>-79.0</v>
      </c>
      <c r="F693" s="93">
        <v>25.274589664195545</v>
      </c>
      <c r="G693" s="93">
        <v>24.019089038738056</v>
      </c>
      <c r="H693" s="93">
        <v>7.088447956151204</v>
      </c>
      <c r="I693" s="93">
        <v>989.0</v>
      </c>
      <c r="J693" s="93">
        <v>910.0</v>
      </c>
      <c r="K693" s="93">
        <v>7.151206829432039</v>
      </c>
    </row>
    <row r="694">
      <c r="A694" s="93">
        <v>138.0</v>
      </c>
      <c r="B694" s="96" t="s">
        <v>28</v>
      </c>
      <c r="C694" s="96" t="s">
        <v>142</v>
      </c>
      <c r="D694" s="96" t="s">
        <v>145</v>
      </c>
      <c r="E694" s="93">
        <v>-70.0</v>
      </c>
      <c r="F694" s="93">
        <v>30.73211971895696</v>
      </c>
      <c r="G694" s="93">
        <v>29.631293674971367</v>
      </c>
      <c r="H694" s="93">
        <v>6.644811002015144</v>
      </c>
      <c r="I694" s="93">
        <v>1407.0</v>
      </c>
      <c r="J694" s="93">
        <v>1337.0</v>
      </c>
      <c r="K694" s="93">
        <v>6.696135819247538</v>
      </c>
    </row>
    <row r="695">
      <c r="A695" s="93">
        <v>138.0</v>
      </c>
      <c r="B695" s="96" t="s">
        <v>18</v>
      </c>
      <c r="C695" s="96" t="s">
        <v>144</v>
      </c>
      <c r="D695" s="96" t="s">
        <v>143</v>
      </c>
      <c r="E695" s="93">
        <v>73.0</v>
      </c>
      <c r="F695" s="93">
        <v>32.476410994628104</v>
      </c>
      <c r="G695" s="93">
        <v>33.48477696992712</v>
      </c>
      <c r="H695" s="93">
        <v>6.363838597065889</v>
      </c>
      <c r="I695" s="93">
        <v>1555.0</v>
      </c>
      <c r="J695" s="93">
        <v>1628.0</v>
      </c>
      <c r="K695" s="93">
        <v>6.408694316216546</v>
      </c>
    </row>
    <row r="696">
      <c r="A696" s="93">
        <v>138.0</v>
      </c>
      <c r="B696" s="96" t="s">
        <v>47</v>
      </c>
      <c r="C696" s="96" t="s">
        <v>144</v>
      </c>
      <c r="D696" s="96" t="s">
        <v>143</v>
      </c>
      <c r="E696" s="93">
        <v>64.0</v>
      </c>
      <c r="F696" s="93">
        <v>23.174348518626182</v>
      </c>
      <c r="G696" s="93">
        <v>24.05094075279478</v>
      </c>
      <c r="H696" s="93">
        <v>5.939049408325398</v>
      </c>
      <c r="I696" s="93">
        <v>966.0</v>
      </c>
      <c r="J696" s="93">
        <v>1030.0</v>
      </c>
      <c r="K696" s="93">
        <v>5.9751845972911095</v>
      </c>
    </row>
    <row r="697">
      <c r="A697" s="93">
        <v>138.0</v>
      </c>
      <c r="B697" s="96" t="s">
        <v>29</v>
      </c>
      <c r="C697" s="96" t="s">
        <v>144</v>
      </c>
      <c r="D697" s="96" t="s">
        <v>143</v>
      </c>
      <c r="E697" s="93">
        <v>73.0</v>
      </c>
      <c r="F697" s="93">
        <v>32.0561748521063</v>
      </c>
      <c r="G697" s="93">
        <v>33.06895661735156</v>
      </c>
      <c r="H697" s="93">
        <v>6.3775564853891105</v>
      </c>
      <c r="I697" s="93">
        <v>1525.0</v>
      </c>
      <c r="J697" s="93">
        <v>1598.0</v>
      </c>
      <c r="K697" s="93">
        <v>6.422714726284142</v>
      </c>
    </row>
    <row r="698">
      <c r="A698" s="93">
        <v>138.0</v>
      </c>
      <c r="B698" s="96" t="s">
        <v>34</v>
      </c>
      <c r="C698" s="96" t="s">
        <v>144</v>
      </c>
      <c r="D698" s="96" t="s">
        <v>143</v>
      </c>
      <c r="E698" s="93">
        <v>97.0</v>
      </c>
      <c r="F698" s="93">
        <v>23.937411013265436</v>
      </c>
      <c r="G698" s="93">
        <v>25.25608407369973</v>
      </c>
      <c r="H698" s="93">
        <v>7.2613047326767655</v>
      </c>
      <c r="I698" s="93">
        <v>880.0</v>
      </c>
      <c r="J698" s="93">
        <v>977.0</v>
      </c>
      <c r="K698" s="93">
        <v>7.328945184004315</v>
      </c>
    </row>
    <row r="699">
      <c r="A699" s="93">
        <v>138.0</v>
      </c>
      <c r="B699" s="96" t="s">
        <v>50</v>
      </c>
      <c r="C699" s="96" t="s">
        <v>144</v>
      </c>
      <c r="D699" s="96" t="s">
        <v>143</v>
      </c>
      <c r="E699" s="93">
        <v>102.0</v>
      </c>
      <c r="F699" s="93">
        <v>23.208422140437804</v>
      </c>
      <c r="G699" s="93">
        <v>24.59701474169211</v>
      </c>
      <c r="H699" s="93">
        <v>7.447589354640294</v>
      </c>
      <c r="I699" s="93">
        <v>811.0</v>
      </c>
      <c r="J699" s="93">
        <v>913.0</v>
      </c>
      <c r="K699" s="93">
        <v>7.520771008442014</v>
      </c>
    </row>
    <row r="700">
      <c r="A700" s="93">
        <v>138.0</v>
      </c>
      <c r="B700" s="96" t="s">
        <v>23</v>
      </c>
      <c r="C700" s="96" t="s">
        <v>144</v>
      </c>
      <c r="D700" s="96" t="s">
        <v>143</v>
      </c>
      <c r="E700" s="93">
        <v>64.0</v>
      </c>
      <c r="F700" s="93">
        <v>32.4007270473056</v>
      </c>
      <c r="G700" s="93">
        <v>33.289523531405656</v>
      </c>
      <c r="H700" s="93">
        <v>5.979729410289176</v>
      </c>
      <c r="I700" s="93">
        <v>1590.0</v>
      </c>
      <c r="J700" s="93">
        <v>1654.0</v>
      </c>
      <c r="K700" s="93">
        <v>6.016646787444858</v>
      </c>
    </row>
    <row r="701">
      <c r="A701" s="93">
        <v>138.0</v>
      </c>
      <c r="B701" s="96" t="s">
        <v>22</v>
      </c>
      <c r="C701" s="96" t="s">
        <v>144</v>
      </c>
      <c r="D701" s="96" t="s">
        <v>143</v>
      </c>
      <c r="E701" s="93">
        <v>65.0</v>
      </c>
      <c r="F701" s="93">
        <v>24.959839150302503</v>
      </c>
      <c r="G701" s="93">
        <v>25.855979105279598</v>
      </c>
      <c r="H701" s="93">
        <v>6.0040674753763374</v>
      </c>
      <c r="I701" s="93">
        <v>1081.0</v>
      </c>
      <c r="J701" s="93">
        <v>1146.0</v>
      </c>
      <c r="K701" s="93">
        <v>6.041458056631236</v>
      </c>
    </row>
    <row r="702">
      <c r="A702" s="93">
        <v>138.0</v>
      </c>
      <c r="B702" s="96" t="s">
        <v>26</v>
      </c>
      <c r="C702" s="96" t="s">
        <v>144</v>
      </c>
      <c r="D702" s="96" t="s">
        <v>143</v>
      </c>
      <c r="E702" s="93">
        <v>72.0</v>
      </c>
      <c r="F702" s="93">
        <v>28.340147566345845</v>
      </c>
      <c r="G702" s="93">
        <v>29.332746097838125</v>
      </c>
      <c r="H702" s="93">
        <v>6.314598562877816</v>
      </c>
      <c r="I702" s="93">
        <v>1279.0</v>
      </c>
      <c r="J702" s="93">
        <v>1351.0</v>
      </c>
      <c r="K702" s="93">
        <v>6.358379419602007</v>
      </c>
    </row>
    <row r="703">
      <c r="A703" s="93">
        <v>138.0</v>
      </c>
      <c r="B703" s="96" t="s">
        <v>27</v>
      </c>
      <c r="C703" s="96" t="s">
        <v>144</v>
      </c>
      <c r="D703" s="96" t="s">
        <v>143</v>
      </c>
      <c r="E703" s="93">
        <v>79.0</v>
      </c>
      <c r="F703" s="93">
        <v>30.303715741818372</v>
      </c>
      <c r="G703" s="93">
        <v>31.389760055657874</v>
      </c>
      <c r="H703" s="93">
        <v>6.6007446345113285</v>
      </c>
      <c r="I703" s="93">
        <v>1382.0</v>
      </c>
      <c r="J703" s="93">
        <v>1461.0</v>
      </c>
      <c r="K703" s="93">
        <v>6.65101641933683</v>
      </c>
    </row>
    <row r="704">
      <c r="A704" s="93">
        <v>138.0</v>
      </c>
      <c r="B704" s="96" t="s">
        <v>33</v>
      </c>
      <c r="C704" s="96" t="s">
        <v>144</v>
      </c>
      <c r="D704" s="96" t="s">
        <v>148</v>
      </c>
      <c r="E704" s="93" t="s">
        <v>147</v>
      </c>
      <c r="F704" s="93" t="s">
        <v>147</v>
      </c>
      <c r="G704" s="93" t="s">
        <v>147</v>
      </c>
      <c r="H704" s="93" t="s">
        <v>147</v>
      </c>
      <c r="I704" s="93" t="s">
        <v>147</v>
      </c>
      <c r="J704" s="93" t="s">
        <v>147</v>
      </c>
      <c r="K704" s="93" t="s">
        <v>147</v>
      </c>
    </row>
    <row r="705">
      <c r="A705" s="93">
        <v>138.0</v>
      </c>
      <c r="B705" s="96" t="s">
        <v>16</v>
      </c>
      <c r="C705" s="96" t="s">
        <v>144</v>
      </c>
      <c r="D705" s="96" t="s">
        <v>148</v>
      </c>
      <c r="E705" s="93" t="s">
        <v>147</v>
      </c>
      <c r="F705" s="93" t="s">
        <v>147</v>
      </c>
      <c r="G705" s="93" t="s">
        <v>147</v>
      </c>
      <c r="H705" s="93" t="s">
        <v>147</v>
      </c>
      <c r="I705" s="93" t="s">
        <v>147</v>
      </c>
      <c r="J705" s="93" t="s">
        <v>147</v>
      </c>
      <c r="K705" s="93" t="s">
        <v>147</v>
      </c>
    </row>
    <row r="706">
      <c r="A706" s="93">
        <v>138.0</v>
      </c>
      <c r="B706" s="96" t="s">
        <v>119</v>
      </c>
      <c r="C706" s="96" t="s">
        <v>144</v>
      </c>
      <c r="D706" s="96" t="s">
        <v>143</v>
      </c>
      <c r="E706" s="93">
        <v>108.0</v>
      </c>
      <c r="F706" s="93">
        <v>20.190828543282713</v>
      </c>
      <c r="G706" s="93">
        <v>21.65613557506119</v>
      </c>
      <c r="H706" s="93">
        <v>7.646336410410343</v>
      </c>
      <c r="I706" s="93">
        <v>585.0</v>
      </c>
      <c r="J706" s="93">
        <v>693.0</v>
      </c>
      <c r="K706" s="93">
        <v>7.725760998821666</v>
      </c>
    </row>
    <row r="707">
      <c r="A707" s="93">
        <v>137.0</v>
      </c>
      <c r="B707" s="96" t="s">
        <v>35</v>
      </c>
      <c r="C707" s="96" t="s">
        <v>142</v>
      </c>
      <c r="D707" s="96" t="s">
        <v>143</v>
      </c>
      <c r="E707" s="93">
        <v>57.0</v>
      </c>
      <c r="F707" s="93">
        <v>25.73646006251491</v>
      </c>
      <c r="G707" s="93">
        <v>26.50047367856472</v>
      </c>
      <c r="H707" s="93">
        <v>7.124391130001085</v>
      </c>
      <c r="I707" s="93">
        <v>1018.0</v>
      </c>
      <c r="J707" s="93">
        <v>1075.0</v>
      </c>
      <c r="K707" s="93">
        <v>7.173997371619527</v>
      </c>
    </row>
    <row r="708">
      <c r="A708" s="93">
        <v>137.0</v>
      </c>
      <c r="B708" s="96" t="s">
        <v>56</v>
      </c>
      <c r="C708" s="96" t="s">
        <v>142</v>
      </c>
      <c r="D708" s="96" t="s">
        <v>143</v>
      </c>
      <c r="E708" s="93">
        <v>65.0</v>
      </c>
      <c r="F708" s="93">
        <v>22.58503240835634</v>
      </c>
      <c r="G708" s="93">
        <v>23.452459464327017</v>
      </c>
      <c r="H708" s="93">
        <v>7.583972765224314</v>
      </c>
      <c r="I708" s="93">
        <v>756.0</v>
      </c>
      <c r="J708" s="93">
        <v>821.0</v>
      </c>
      <c r="K708" s="93">
        <v>7.644202372837621</v>
      </c>
    </row>
    <row r="709">
      <c r="A709" s="93">
        <v>137.0</v>
      </c>
      <c r="B709" s="96" t="s">
        <v>29</v>
      </c>
      <c r="C709" s="96" t="s">
        <v>142</v>
      </c>
      <c r="D709" s="96" t="s">
        <v>143</v>
      </c>
      <c r="E709" s="93">
        <v>46.0</v>
      </c>
      <c r="F709" s="93">
        <v>31.436907164072302</v>
      </c>
      <c r="G709" s="93">
        <v>32.0561748521063</v>
      </c>
      <c r="H709" s="93">
        <v>6.422714726284142</v>
      </c>
      <c r="I709" s="93">
        <v>1479.0</v>
      </c>
      <c r="J709" s="93">
        <v>1525.0</v>
      </c>
      <c r="K709" s="93">
        <v>6.458624146314902</v>
      </c>
    </row>
    <row r="710">
      <c r="A710" s="93">
        <v>137.0</v>
      </c>
      <c r="B710" s="96" t="s">
        <v>33</v>
      </c>
      <c r="C710" s="96" t="s">
        <v>144</v>
      </c>
      <c r="D710" s="96" t="s">
        <v>145</v>
      </c>
      <c r="E710" s="93">
        <v>-52.0</v>
      </c>
      <c r="F710" s="93">
        <v>22.517549674435507</v>
      </c>
      <c r="G710" s="93">
        <v>21.65447427459689</v>
      </c>
      <c r="H710" s="93">
        <v>7.565231323200242</v>
      </c>
      <c r="I710" s="93">
        <v>753.0</v>
      </c>
      <c r="J710" s="93">
        <v>701.0</v>
      </c>
      <c r="K710" s="93">
        <v>7.625000485855249</v>
      </c>
    </row>
    <row r="711">
      <c r="A711" s="93">
        <v>137.0</v>
      </c>
      <c r="B711" s="96" t="s">
        <v>18</v>
      </c>
      <c r="C711" s="96" t="s">
        <v>144</v>
      </c>
      <c r="D711" s="96" t="s">
        <v>145</v>
      </c>
      <c r="E711" s="93">
        <v>-38.0</v>
      </c>
      <c r="F711" s="93">
        <v>33.09294682620793</v>
      </c>
      <c r="G711" s="93">
        <v>32.476410994628104</v>
      </c>
      <c r="H711" s="93">
        <v>6.408694316216546</v>
      </c>
      <c r="I711" s="93">
        <v>1593.0</v>
      </c>
      <c r="J711" s="93">
        <v>1555.0</v>
      </c>
      <c r="K711" s="93">
        <v>6.444359091443839</v>
      </c>
    </row>
    <row r="712">
      <c r="A712" s="93">
        <v>137.0</v>
      </c>
      <c r="B712" s="96" t="s">
        <v>97</v>
      </c>
      <c r="C712" s="96" t="s">
        <v>144</v>
      </c>
      <c r="D712" s="96" t="s">
        <v>145</v>
      </c>
      <c r="E712" s="93">
        <v>-36.0</v>
      </c>
      <c r="F712" s="93">
        <v>23.048975414802914</v>
      </c>
      <c r="G712" s="93">
        <v>22.47178891726289</v>
      </c>
      <c r="H712" s="93">
        <v>6.203067063150356</v>
      </c>
      <c r="I712" s="93">
        <v>931.0</v>
      </c>
      <c r="J712" s="93">
        <v>895.0</v>
      </c>
      <c r="K712" s="93">
        <v>6.235267471329673</v>
      </c>
    </row>
    <row r="713">
      <c r="A713" s="93">
        <v>137.0</v>
      </c>
      <c r="B713" s="96" t="s">
        <v>32</v>
      </c>
      <c r="C713" s="96" t="s">
        <v>144</v>
      </c>
      <c r="D713" s="96" t="s">
        <v>145</v>
      </c>
      <c r="E713" s="93">
        <v>-41.0</v>
      </c>
      <c r="F713" s="93">
        <v>29.00506509367613</v>
      </c>
      <c r="G713" s="93">
        <v>28.343812523209177</v>
      </c>
      <c r="H713" s="93">
        <v>6.634289094904765</v>
      </c>
      <c r="I713" s="93">
        <v>1292.0</v>
      </c>
      <c r="J713" s="93">
        <v>1251.0</v>
      </c>
      <c r="K713" s="93">
        <v>6.674024455200178</v>
      </c>
    </row>
    <row r="714">
      <c r="A714" s="93">
        <v>137.0</v>
      </c>
      <c r="B714" s="96" t="s">
        <v>28</v>
      </c>
      <c r="C714" s="96" t="s">
        <v>144</v>
      </c>
      <c r="D714" s="96" t="s">
        <v>145</v>
      </c>
      <c r="E714" s="93">
        <v>-41.0</v>
      </c>
      <c r="F714" s="93">
        <v>31.40591498187218</v>
      </c>
      <c r="G714" s="93">
        <v>30.73211971895696</v>
      </c>
      <c r="H714" s="93">
        <v>6.696135819247538</v>
      </c>
      <c r="I714" s="93">
        <v>1448.0</v>
      </c>
      <c r="J714" s="93">
        <v>1407.0</v>
      </c>
      <c r="K714" s="93">
        <v>6.737037910610935</v>
      </c>
    </row>
    <row r="715">
      <c r="A715" s="93">
        <v>137.0</v>
      </c>
      <c r="B715" s="96" t="s">
        <v>37</v>
      </c>
      <c r="C715" s="96" t="s">
        <v>144</v>
      </c>
      <c r="D715" s="96" t="s">
        <v>145</v>
      </c>
      <c r="E715" s="93">
        <v>-58.0</v>
      </c>
      <c r="F715" s="93">
        <v>27.601578096452684</v>
      </c>
      <c r="G715" s="93">
        <v>26.638552347124456</v>
      </c>
      <c r="H715" s="93">
        <v>7.983863490510656</v>
      </c>
      <c r="I715" s="93">
        <v>1055.0</v>
      </c>
      <c r="J715" s="93">
        <v>997.0</v>
      </c>
      <c r="K715" s="93">
        <v>8.054495303829174</v>
      </c>
    </row>
    <row r="716">
      <c r="A716" s="93">
        <v>137.0</v>
      </c>
      <c r="B716" s="96" t="s">
        <v>42</v>
      </c>
      <c r="C716" s="96" t="s">
        <v>144</v>
      </c>
      <c r="D716" s="96" t="s">
        <v>145</v>
      </c>
      <c r="E716" s="93">
        <v>-47.0</v>
      </c>
      <c r="F716" s="93">
        <v>26.04444896399774</v>
      </c>
      <c r="G716" s="93">
        <v>25.274589664195545</v>
      </c>
      <c r="H716" s="93">
        <v>7.151206829432039</v>
      </c>
      <c r="I716" s="93">
        <v>1036.0</v>
      </c>
      <c r="J716" s="93">
        <v>989.0</v>
      </c>
      <c r="K716" s="93">
        <v>7.20139552529988</v>
      </c>
    </row>
    <row r="717">
      <c r="A717" s="93">
        <v>137.0</v>
      </c>
      <c r="B717" s="96" t="s">
        <v>47</v>
      </c>
      <c r="C717" s="96" t="s">
        <v>144</v>
      </c>
      <c r="D717" s="96" t="s">
        <v>145</v>
      </c>
      <c r="E717" s="93">
        <v>-34.0</v>
      </c>
      <c r="F717" s="93">
        <v>23.709489819828466</v>
      </c>
      <c r="G717" s="93">
        <v>23.174348518626182</v>
      </c>
      <c r="H717" s="93">
        <v>5.9751845972911095</v>
      </c>
      <c r="I717" s="93">
        <v>1000.0</v>
      </c>
      <c r="J717" s="93">
        <v>966.0</v>
      </c>
      <c r="K717" s="93">
        <v>6.003808804386855</v>
      </c>
    </row>
    <row r="718">
      <c r="A718" s="93">
        <v>137.0</v>
      </c>
      <c r="B718" s="96" t="s">
        <v>50</v>
      </c>
      <c r="C718" s="96" t="s">
        <v>144</v>
      </c>
      <c r="D718" s="96" t="s">
        <v>148</v>
      </c>
      <c r="E718" s="93" t="s">
        <v>147</v>
      </c>
      <c r="F718" s="93" t="s">
        <v>147</v>
      </c>
      <c r="G718" s="93" t="s">
        <v>147</v>
      </c>
      <c r="H718" s="93" t="s">
        <v>147</v>
      </c>
      <c r="I718" s="93" t="s">
        <v>147</v>
      </c>
      <c r="J718" s="93" t="s">
        <v>147</v>
      </c>
      <c r="K718" s="93" t="s">
        <v>147</v>
      </c>
    </row>
    <row r="719">
      <c r="A719" s="93">
        <v>137.0</v>
      </c>
      <c r="B719" s="96" t="s">
        <v>16</v>
      </c>
      <c r="C719" s="96" t="s">
        <v>144</v>
      </c>
      <c r="D719" s="96" t="s">
        <v>145</v>
      </c>
      <c r="E719" s="93">
        <v>-34.0</v>
      </c>
      <c r="F719" s="93">
        <v>31.372524728834847</v>
      </c>
      <c r="G719" s="93">
        <v>30.837053426750067</v>
      </c>
      <c r="H719" s="93">
        <v>5.977008430259799</v>
      </c>
      <c r="I719" s="93">
        <v>1521.0</v>
      </c>
      <c r="J719" s="93">
        <v>1487.0</v>
      </c>
      <c r="K719" s="93">
        <v>6.00566019049246</v>
      </c>
    </row>
    <row r="720">
      <c r="A720" s="93">
        <v>137.0</v>
      </c>
      <c r="B720" s="96" t="s">
        <v>48</v>
      </c>
      <c r="C720" s="96" t="s">
        <v>144</v>
      </c>
      <c r="D720" s="96" t="s">
        <v>145</v>
      </c>
      <c r="E720" s="93">
        <v>-60.0</v>
      </c>
      <c r="F720" s="93">
        <v>27.217672664890102</v>
      </c>
      <c r="G720" s="93">
        <v>26.222628743083398</v>
      </c>
      <c r="H720" s="93">
        <v>8.113080801894458</v>
      </c>
      <c r="I720" s="93">
        <v>1016.0</v>
      </c>
      <c r="J720" s="93">
        <v>956.0</v>
      </c>
      <c r="K720" s="93">
        <v>8.187316616119187</v>
      </c>
    </row>
    <row r="721">
      <c r="A721" s="93">
        <v>137.0</v>
      </c>
      <c r="B721" s="96" t="s">
        <v>36</v>
      </c>
      <c r="C721" s="96" t="s">
        <v>144</v>
      </c>
      <c r="D721" s="96" t="s">
        <v>148</v>
      </c>
      <c r="E721" s="93" t="s">
        <v>147</v>
      </c>
      <c r="F721" s="93" t="s">
        <v>147</v>
      </c>
      <c r="G721" s="93" t="s">
        <v>147</v>
      </c>
      <c r="H721" s="93" t="s">
        <v>147</v>
      </c>
      <c r="I721" s="93" t="s">
        <v>147</v>
      </c>
      <c r="J721" s="93" t="s">
        <v>147</v>
      </c>
      <c r="K721" s="93" t="s">
        <v>147</v>
      </c>
    </row>
    <row r="722">
      <c r="A722" s="93">
        <v>136.0</v>
      </c>
      <c r="B722" s="96" t="s">
        <v>23</v>
      </c>
      <c r="C722" s="96" t="s">
        <v>142</v>
      </c>
      <c r="D722" s="96" t="s">
        <v>145</v>
      </c>
      <c r="E722" s="93">
        <v>-59.0</v>
      </c>
      <c r="F722" s="93">
        <v>33.33943724848676</v>
      </c>
      <c r="G722" s="93">
        <v>32.4007270473056</v>
      </c>
      <c r="H722" s="93">
        <v>6.016646787444858</v>
      </c>
      <c r="I722" s="93">
        <v>1649.0</v>
      </c>
      <c r="J722" s="93">
        <v>1590.0</v>
      </c>
      <c r="K722" s="93">
        <v>6.0549440721303895</v>
      </c>
    </row>
    <row r="723">
      <c r="A723" s="93">
        <v>136.0</v>
      </c>
      <c r="B723" s="96" t="s">
        <v>83</v>
      </c>
      <c r="C723" s="96" t="s">
        <v>142</v>
      </c>
      <c r="D723" s="96" t="s">
        <v>145</v>
      </c>
      <c r="E723" s="93">
        <v>-78.0</v>
      </c>
      <c r="F723" s="93">
        <v>22.562382205966106</v>
      </c>
      <c r="G723" s="93">
        <v>21.32843500390901</v>
      </c>
      <c r="H723" s="93">
        <v>6.884051890491428</v>
      </c>
      <c r="I723" s="93">
        <v>826.0</v>
      </c>
      <c r="J723" s="93">
        <v>748.0</v>
      </c>
      <c r="K723" s="93">
        <v>6.942355146407607</v>
      </c>
    </row>
    <row r="724">
      <c r="A724" s="93">
        <v>136.0</v>
      </c>
      <c r="B724" s="96" t="s">
        <v>97</v>
      </c>
      <c r="C724" s="96" t="s">
        <v>142</v>
      </c>
      <c r="D724" s="96" t="s">
        <v>145</v>
      </c>
      <c r="E724" s="93">
        <v>-65.0</v>
      </c>
      <c r="F724" s="93">
        <v>24.0581309742455</v>
      </c>
      <c r="G724" s="93">
        <v>23.048975414802914</v>
      </c>
      <c r="H724" s="93">
        <v>6.235267471329673</v>
      </c>
      <c r="I724" s="93">
        <v>996.0</v>
      </c>
      <c r="J724" s="93">
        <v>931.0</v>
      </c>
      <c r="K724" s="93">
        <v>6.278090333726389</v>
      </c>
    </row>
    <row r="725">
      <c r="A725" s="93">
        <v>136.0</v>
      </c>
      <c r="B725" s="96" t="s">
        <v>22</v>
      </c>
      <c r="C725" s="96" t="s">
        <v>144</v>
      </c>
      <c r="D725" s="96" t="s">
        <v>143</v>
      </c>
      <c r="E725" s="93">
        <v>68.0</v>
      </c>
      <c r="F725" s="93">
        <v>24.013267506642322</v>
      </c>
      <c r="G725" s="93">
        <v>24.959839150302503</v>
      </c>
      <c r="H725" s="93">
        <v>6.041458056631236</v>
      </c>
      <c r="I725" s="93">
        <v>1013.0</v>
      </c>
      <c r="J725" s="93">
        <v>1081.0</v>
      </c>
      <c r="K725" s="93">
        <v>6.080252350760234</v>
      </c>
    </row>
    <row r="726">
      <c r="A726" s="93">
        <v>136.0</v>
      </c>
      <c r="B726" s="96" t="s">
        <v>16</v>
      </c>
      <c r="C726" s="96" t="s">
        <v>144</v>
      </c>
      <c r="D726" s="96" t="s">
        <v>143</v>
      </c>
      <c r="E726" s="93">
        <v>68.0</v>
      </c>
      <c r="F726" s="93">
        <v>30.437284738819955</v>
      </c>
      <c r="G726" s="93">
        <v>31.372524728834847</v>
      </c>
      <c r="H726" s="93">
        <v>6.00566019049246</v>
      </c>
      <c r="I726" s="93">
        <v>1453.0</v>
      </c>
      <c r="J726" s="93">
        <v>1521.0</v>
      </c>
      <c r="K726" s="93">
        <v>6.0437387334289125</v>
      </c>
    </row>
    <row r="727">
      <c r="A727" s="93">
        <v>136.0</v>
      </c>
      <c r="B727" s="96" t="s">
        <v>57</v>
      </c>
      <c r="C727" s="96" t="s">
        <v>144</v>
      </c>
      <c r="D727" s="96" t="s">
        <v>143</v>
      </c>
      <c r="E727" s="93">
        <v>128.0</v>
      </c>
      <c r="F727" s="93">
        <v>23.88488606542708</v>
      </c>
      <c r="G727" s="93">
        <v>25.627567333827447</v>
      </c>
      <c r="H727" s="93">
        <v>8.151876074574641</v>
      </c>
      <c r="I727" s="93">
        <v>783.0</v>
      </c>
      <c r="J727" s="93">
        <v>911.0</v>
      </c>
      <c r="K727" s="93">
        <v>8.250507661256389</v>
      </c>
    </row>
    <row r="728">
      <c r="A728" s="93">
        <v>136.0</v>
      </c>
      <c r="B728" s="96" t="s">
        <v>47</v>
      </c>
      <c r="C728" s="96" t="s">
        <v>144</v>
      </c>
      <c r="D728" s="96" t="s">
        <v>143</v>
      </c>
      <c r="E728" s="93">
        <v>68.0</v>
      </c>
      <c r="F728" s="93">
        <v>22.774833948241813</v>
      </c>
      <c r="G728" s="93">
        <v>23.709489819828466</v>
      </c>
      <c r="H728" s="93">
        <v>6.003808804386855</v>
      </c>
      <c r="I728" s="93">
        <v>932.0</v>
      </c>
      <c r="J728" s="93">
        <v>1000.0</v>
      </c>
      <c r="K728" s="93">
        <v>6.041850567083293</v>
      </c>
    </row>
    <row r="729">
      <c r="A729" s="93">
        <v>136.0</v>
      </c>
      <c r="B729" s="96" t="s">
        <v>24</v>
      </c>
      <c r="C729" s="96" t="s">
        <v>144</v>
      </c>
      <c r="D729" s="96" t="s">
        <v>143</v>
      </c>
      <c r="E729" s="93">
        <v>81.0</v>
      </c>
      <c r="F729" s="93">
        <v>27.35014783219027</v>
      </c>
      <c r="G729" s="93">
        <v>28.459658171638278</v>
      </c>
      <c r="H729" s="93">
        <v>6.533385920590416</v>
      </c>
      <c r="I729" s="93">
        <v>1188.0</v>
      </c>
      <c r="J729" s="93">
        <v>1269.0</v>
      </c>
      <c r="K729" s="93">
        <v>6.582928859881509</v>
      </c>
    </row>
    <row r="730">
      <c r="A730" s="93">
        <v>136.0</v>
      </c>
      <c r="B730" s="96" t="s">
        <v>65</v>
      </c>
      <c r="C730" s="96" t="s">
        <v>144</v>
      </c>
      <c r="D730" s="96" t="s">
        <v>143</v>
      </c>
      <c r="E730" s="93">
        <v>121.0</v>
      </c>
      <c r="F730" s="93">
        <v>22.591280157236355</v>
      </c>
      <c r="G730" s="93">
        <v>24.243601130236016</v>
      </c>
      <c r="H730" s="93">
        <v>7.942759678509738</v>
      </c>
      <c r="I730" s="93">
        <v>717.0</v>
      </c>
      <c r="J730" s="93">
        <v>838.0</v>
      </c>
      <c r="K730" s="93">
        <v>8.033728553283938</v>
      </c>
    </row>
    <row r="731">
      <c r="A731" s="93">
        <v>136.0</v>
      </c>
      <c r="B731" s="96" t="s">
        <v>146</v>
      </c>
      <c r="C731" s="96" t="s">
        <v>144</v>
      </c>
      <c r="D731" s="96" t="s">
        <v>146</v>
      </c>
      <c r="E731" s="93" t="s">
        <v>147</v>
      </c>
      <c r="F731" s="93" t="s">
        <v>147</v>
      </c>
      <c r="G731" s="93" t="s">
        <v>147</v>
      </c>
      <c r="H731" s="93" t="s">
        <v>147</v>
      </c>
      <c r="I731" s="93" t="s">
        <v>147</v>
      </c>
      <c r="J731" s="93" t="s">
        <v>147</v>
      </c>
      <c r="K731" s="93" t="s">
        <v>147</v>
      </c>
    </row>
    <row r="732">
      <c r="A732" s="93">
        <v>136.0</v>
      </c>
      <c r="B732" s="96" t="s">
        <v>17</v>
      </c>
      <c r="C732" s="96" t="s">
        <v>144</v>
      </c>
      <c r="D732" s="96" t="s">
        <v>143</v>
      </c>
      <c r="E732" s="93">
        <v>75.0</v>
      </c>
      <c r="F732" s="93">
        <v>30.429416303082963</v>
      </c>
      <c r="G732" s="93">
        <v>31.458768708274416</v>
      </c>
      <c r="H732" s="93">
        <v>6.296468657725643</v>
      </c>
      <c r="I732" s="93">
        <v>1422.0</v>
      </c>
      <c r="J732" s="93">
        <v>1497.0</v>
      </c>
      <c r="K732" s="93">
        <v>6.340618516177073</v>
      </c>
    </row>
    <row r="733">
      <c r="A733" s="93">
        <v>136.0</v>
      </c>
      <c r="B733" s="96" t="s">
        <v>38</v>
      </c>
      <c r="C733" s="96" t="s">
        <v>144</v>
      </c>
      <c r="D733" s="96" t="s">
        <v>143</v>
      </c>
      <c r="E733" s="93">
        <v>69.0</v>
      </c>
      <c r="F733" s="93">
        <v>25.626758474162884</v>
      </c>
      <c r="G733" s="93">
        <v>26.58496755040921</v>
      </c>
      <c r="H733" s="93">
        <v>6.077990676759659</v>
      </c>
      <c r="I733" s="93">
        <v>1119.0</v>
      </c>
      <c r="J733" s="93">
        <v>1188.0</v>
      </c>
      <c r="K733" s="93">
        <v>6.117524434474834</v>
      </c>
    </row>
    <row r="734">
      <c r="A734" s="93">
        <v>136.0</v>
      </c>
      <c r="B734" s="96" t="s">
        <v>33</v>
      </c>
      <c r="C734" s="96" t="s">
        <v>144</v>
      </c>
      <c r="D734" s="96" t="s">
        <v>143</v>
      </c>
      <c r="E734" s="93">
        <v>111.0</v>
      </c>
      <c r="F734" s="93">
        <v>20.99761492608666</v>
      </c>
      <c r="G734" s="93">
        <v>22.517549674435507</v>
      </c>
      <c r="H734" s="93">
        <v>7.625000485855249</v>
      </c>
      <c r="I734" s="93">
        <v>642.0</v>
      </c>
      <c r="J734" s="93">
        <v>753.0</v>
      </c>
      <c r="K734" s="93">
        <v>7.7051214267024735</v>
      </c>
    </row>
    <row r="735">
      <c r="A735" s="93">
        <v>136.0</v>
      </c>
      <c r="B735" s="96" t="s">
        <v>146</v>
      </c>
      <c r="C735" s="96" t="s">
        <v>144</v>
      </c>
      <c r="D735" s="96" t="s">
        <v>146</v>
      </c>
      <c r="E735" s="93" t="s">
        <v>147</v>
      </c>
      <c r="F735" s="93" t="s">
        <v>147</v>
      </c>
      <c r="G735" s="93" t="s">
        <v>147</v>
      </c>
      <c r="H735" s="93" t="s">
        <v>147</v>
      </c>
      <c r="I735" s="93" t="s">
        <v>147</v>
      </c>
      <c r="J735" s="93" t="s">
        <v>147</v>
      </c>
      <c r="K735" s="93" t="s">
        <v>147</v>
      </c>
    </row>
    <row r="736">
      <c r="A736" s="93">
        <v>136.0</v>
      </c>
      <c r="B736" s="96" t="s">
        <v>27</v>
      </c>
      <c r="C736" s="96" t="s">
        <v>144</v>
      </c>
      <c r="D736" s="96" t="s">
        <v>143</v>
      </c>
      <c r="E736" s="93">
        <v>83.0</v>
      </c>
      <c r="F736" s="93">
        <v>29.153236657545254</v>
      </c>
      <c r="G736" s="93">
        <v>30.303715741818372</v>
      </c>
      <c r="H736" s="93">
        <v>6.65101641933683</v>
      </c>
      <c r="I736" s="93">
        <v>1299.0</v>
      </c>
      <c r="J736" s="93">
        <v>1382.0</v>
      </c>
      <c r="K736" s="93">
        <v>6.703392252570383</v>
      </c>
    </row>
    <row r="737">
      <c r="A737" s="93">
        <v>135.0</v>
      </c>
      <c r="B737" s="96" t="s">
        <v>83</v>
      </c>
      <c r="C737" s="96" t="s">
        <v>142</v>
      </c>
      <c r="D737" s="96" t="s">
        <v>143</v>
      </c>
      <c r="E737" s="93">
        <v>58.0</v>
      </c>
      <c r="F737" s="93">
        <v>21.77757186163218</v>
      </c>
      <c r="G737" s="93">
        <v>22.562382205966106</v>
      </c>
      <c r="H737" s="93">
        <v>6.942355146407607</v>
      </c>
      <c r="I737" s="93">
        <v>768.0</v>
      </c>
      <c r="J737" s="93">
        <v>826.0</v>
      </c>
      <c r="K737" s="93">
        <v>6.990823399119001</v>
      </c>
    </row>
    <row r="738">
      <c r="A738" s="93">
        <v>135.0</v>
      </c>
      <c r="B738" s="96" t="s">
        <v>26</v>
      </c>
      <c r="C738" s="96" t="s">
        <v>142</v>
      </c>
      <c r="D738" s="96" t="s">
        <v>143</v>
      </c>
      <c r="E738" s="93">
        <v>49.0</v>
      </c>
      <c r="F738" s="93">
        <v>27.683340365707725</v>
      </c>
      <c r="G738" s="93">
        <v>28.340147566345845</v>
      </c>
      <c r="H738" s="93">
        <v>6.358379419602007</v>
      </c>
      <c r="I738" s="93">
        <v>1230.0</v>
      </c>
      <c r="J738" s="93">
        <v>1279.0</v>
      </c>
      <c r="K738" s="93">
        <v>6.395231426947101</v>
      </c>
    </row>
    <row r="739">
      <c r="A739" s="93">
        <v>135.0</v>
      </c>
      <c r="B739" s="96" t="s">
        <v>38</v>
      </c>
      <c r="C739" s="96" t="s">
        <v>142</v>
      </c>
      <c r="D739" s="96" t="s">
        <v>143</v>
      </c>
      <c r="E739" s="93">
        <v>45.0</v>
      </c>
      <c r="F739" s="93">
        <v>25.019310433909112</v>
      </c>
      <c r="G739" s="93">
        <v>25.626758474162884</v>
      </c>
      <c r="H739" s="93">
        <v>6.117524434474834</v>
      </c>
      <c r="I739" s="93">
        <v>1074.0</v>
      </c>
      <c r="J739" s="93">
        <v>1119.0</v>
      </c>
      <c r="K739" s="93">
        <v>6.150176306334518</v>
      </c>
    </row>
    <row r="740">
      <c r="A740" s="93">
        <v>135.0</v>
      </c>
      <c r="B740" s="96" t="s">
        <v>56</v>
      </c>
      <c r="C740" s="96" t="s">
        <v>144</v>
      </c>
      <c r="D740" s="96" t="s">
        <v>145</v>
      </c>
      <c r="E740" s="93">
        <v>-58.0</v>
      </c>
      <c r="F740" s="93">
        <v>23.539480432381062</v>
      </c>
      <c r="G740" s="93">
        <v>22.58503240835634</v>
      </c>
      <c r="H740" s="93">
        <v>7.644202372837621</v>
      </c>
      <c r="I740" s="93">
        <v>814.0</v>
      </c>
      <c r="J740" s="93">
        <v>756.0</v>
      </c>
      <c r="K740" s="93">
        <v>7.709567414839965</v>
      </c>
    </row>
    <row r="741">
      <c r="A741" s="93">
        <v>135.0</v>
      </c>
      <c r="B741" s="96" t="s">
        <v>16</v>
      </c>
      <c r="C741" s="96" t="s">
        <v>144</v>
      </c>
      <c r="D741" s="96" t="s">
        <v>145</v>
      </c>
      <c r="E741" s="93">
        <v>-37.0</v>
      </c>
      <c r="F741" s="93">
        <v>31.03001024237909</v>
      </c>
      <c r="G741" s="93">
        <v>30.437284738819955</v>
      </c>
      <c r="H741" s="93">
        <v>6.0437387334289125</v>
      </c>
      <c r="I741" s="93">
        <v>1490.0</v>
      </c>
      <c r="J741" s="93">
        <v>1453.0</v>
      </c>
      <c r="K741" s="93">
        <v>6.075169218889642</v>
      </c>
    </row>
    <row r="742">
      <c r="A742" s="93">
        <v>135.0</v>
      </c>
      <c r="B742" s="96" t="s">
        <v>24</v>
      </c>
      <c r="C742" s="96" t="s">
        <v>144</v>
      </c>
      <c r="D742" s="96" t="s">
        <v>148</v>
      </c>
      <c r="E742" s="93" t="s">
        <v>147</v>
      </c>
      <c r="F742" s="93" t="s">
        <v>147</v>
      </c>
      <c r="G742" s="93" t="s">
        <v>147</v>
      </c>
      <c r="H742" s="93" t="s">
        <v>147</v>
      </c>
      <c r="I742" s="93" t="s">
        <v>147</v>
      </c>
      <c r="J742" s="93" t="s">
        <v>147</v>
      </c>
      <c r="K742" s="93" t="s">
        <v>147</v>
      </c>
    </row>
    <row r="743">
      <c r="A743" s="93">
        <v>135.0</v>
      </c>
      <c r="B743" s="96" t="s">
        <v>57</v>
      </c>
      <c r="C743" s="96" t="s">
        <v>144</v>
      </c>
      <c r="D743" s="96" t="s">
        <v>145</v>
      </c>
      <c r="E743" s="93">
        <v>-67.0</v>
      </c>
      <c r="F743" s="93">
        <v>25.0</v>
      </c>
      <c r="G743" s="93">
        <v>23.88488606542708</v>
      </c>
      <c r="H743" s="93">
        <v>8.250507661256389</v>
      </c>
      <c r="I743" s="93">
        <v>850.0</v>
      </c>
      <c r="J743" s="93">
        <v>783.0</v>
      </c>
      <c r="K743" s="93">
        <v>8.333333333333334</v>
      </c>
    </row>
    <row r="744">
      <c r="A744" s="93">
        <v>135.0</v>
      </c>
      <c r="B744" s="96" t="s">
        <v>27</v>
      </c>
      <c r="C744" s="96" t="s">
        <v>144</v>
      </c>
      <c r="D744" s="96" t="s">
        <v>145</v>
      </c>
      <c r="E744" s="93">
        <v>-45.0</v>
      </c>
      <c r="F744" s="93">
        <v>29.884236228616448</v>
      </c>
      <c r="G744" s="93">
        <v>29.153236657545254</v>
      </c>
      <c r="H744" s="93">
        <v>6.703392252570383</v>
      </c>
      <c r="I744" s="93">
        <v>1344.0</v>
      </c>
      <c r="J744" s="93">
        <v>1299.0</v>
      </c>
      <c r="K744" s="93">
        <v>6.746853221230097</v>
      </c>
    </row>
    <row r="745">
      <c r="A745" s="93">
        <v>135.0</v>
      </c>
      <c r="B745" s="96" t="s">
        <v>97</v>
      </c>
      <c r="C745" s="96" t="s">
        <v>144</v>
      </c>
      <c r="D745" s="96" t="s">
        <v>145</v>
      </c>
      <c r="E745" s="93">
        <v>-40.0</v>
      </c>
      <c r="F745" s="93">
        <v>24.6982625589138</v>
      </c>
      <c r="G745" s="93">
        <v>24.0581309742455</v>
      </c>
      <c r="H745" s="93">
        <v>6.278090333726389</v>
      </c>
      <c r="I745" s="93">
        <v>1036.0</v>
      </c>
      <c r="J745" s="93">
        <v>996.0</v>
      </c>
      <c r="K745" s="93">
        <v>6.3135054168444915</v>
      </c>
    </row>
    <row r="746">
      <c r="A746" s="93">
        <v>135.0</v>
      </c>
      <c r="B746" s="96" t="s">
        <v>65</v>
      </c>
      <c r="C746" s="96" t="s">
        <v>144</v>
      </c>
      <c r="D746" s="96" t="s">
        <v>145</v>
      </c>
      <c r="E746" s="93">
        <v>-64.0</v>
      </c>
      <c r="F746" s="93">
        <v>23.6474303967521</v>
      </c>
      <c r="G746" s="93">
        <v>22.591280157236355</v>
      </c>
      <c r="H746" s="93">
        <v>8.033728553283938</v>
      </c>
      <c r="I746" s="93">
        <v>781.0</v>
      </c>
      <c r="J746" s="93">
        <v>717.0</v>
      </c>
      <c r="K746" s="93">
        <v>8.109988487948232</v>
      </c>
    </row>
    <row r="747">
      <c r="A747" s="93">
        <v>135.0</v>
      </c>
      <c r="B747" s="96" t="s">
        <v>22</v>
      </c>
      <c r="C747" s="96" t="s">
        <v>144</v>
      </c>
      <c r="D747" s="96" t="s">
        <v>145</v>
      </c>
      <c r="E747" s="93">
        <v>-37.0</v>
      </c>
      <c r="F747" s="93">
        <v>24.613255291653665</v>
      </c>
      <c r="G747" s="93">
        <v>24.013267506642322</v>
      </c>
      <c r="H747" s="93">
        <v>6.080252350760234</v>
      </c>
      <c r="I747" s="93">
        <v>1050.0</v>
      </c>
      <c r="J747" s="93">
        <v>1013.0</v>
      </c>
      <c r="K747" s="93">
        <v>6.112283489638802</v>
      </c>
    </row>
    <row r="748">
      <c r="A748" s="93">
        <v>135.0</v>
      </c>
      <c r="B748" s="96" t="s">
        <v>41</v>
      </c>
      <c r="C748" s="96" t="s">
        <v>144</v>
      </c>
      <c r="D748" s="96" t="s">
        <v>148</v>
      </c>
      <c r="E748" s="93" t="s">
        <v>147</v>
      </c>
      <c r="F748" s="93" t="s">
        <v>147</v>
      </c>
      <c r="G748" s="93" t="s">
        <v>147</v>
      </c>
      <c r="H748" s="93" t="s">
        <v>147</v>
      </c>
      <c r="I748" s="93" t="s">
        <v>147</v>
      </c>
      <c r="J748" s="93" t="s">
        <v>147</v>
      </c>
      <c r="K748" s="93" t="s">
        <v>147</v>
      </c>
    </row>
    <row r="749">
      <c r="A749" s="93">
        <v>135.0</v>
      </c>
      <c r="B749" s="96" t="s">
        <v>35</v>
      </c>
      <c r="C749" s="96" t="s">
        <v>144</v>
      </c>
      <c r="D749" s="96" t="s">
        <v>145</v>
      </c>
      <c r="E749" s="93">
        <v>-52.0</v>
      </c>
      <c r="F749" s="93">
        <v>26.575338712888698</v>
      </c>
      <c r="G749" s="93">
        <v>25.73646006251491</v>
      </c>
      <c r="H749" s="93">
        <v>7.173997371619527</v>
      </c>
      <c r="I749" s="93">
        <v>1070.0</v>
      </c>
      <c r="J749" s="93">
        <v>1018.0</v>
      </c>
      <c r="K749" s="93">
        <v>7.2276715155666365</v>
      </c>
    </row>
    <row r="750">
      <c r="A750" s="93">
        <v>135.0</v>
      </c>
      <c r="B750" s="96" t="s">
        <v>33</v>
      </c>
      <c r="C750" s="96" t="s">
        <v>144</v>
      </c>
      <c r="D750" s="96" t="s">
        <v>145</v>
      </c>
      <c r="E750" s="93">
        <v>-59.0</v>
      </c>
      <c r="F750" s="93">
        <v>21.96761023829486</v>
      </c>
      <c r="G750" s="93">
        <v>20.99761492608666</v>
      </c>
      <c r="H750" s="93">
        <v>7.7051214267024735</v>
      </c>
      <c r="I750" s="93">
        <v>701.0</v>
      </c>
      <c r="J750" s="93">
        <v>642.0</v>
      </c>
      <c r="K750" s="93">
        <v>7.772115967708339</v>
      </c>
    </row>
    <row r="751">
      <c r="A751" s="93">
        <v>135.0</v>
      </c>
      <c r="B751" s="96" t="s">
        <v>17</v>
      </c>
      <c r="C751" s="96" t="s">
        <v>144</v>
      </c>
      <c r="D751" s="96" t="s">
        <v>145</v>
      </c>
      <c r="E751" s="93">
        <v>-41.0</v>
      </c>
      <c r="F751" s="93">
        <v>31.082515525967363</v>
      </c>
      <c r="G751" s="93">
        <v>30.429416303082963</v>
      </c>
      <c r="H751" s="93">
        <v>6.340618516177073</v>
      </c>
      <c r="I751" s="93">
        <v>1463.0</v>
      </c>
      <c r="J751" s="93">
        <v>1422.0</v>
      </c>
      <c r="K751" s="93">
        <v>6.377149443880393</v>
      </c>
    </row>
    <row r="752">
      <c r="A752" s="93">
        <v>134.0</v>
      </c>
      <c r="B752" s="96" t="s">
        <v>28</v>
      </c>
      <c r="C752" s="96" t="s">
        <v>142</v>
      </c>
      <c r="D752" s="96" t="s">
        <v>143</v>
      </c>
      <c r="E752" s="93">
        <v>34.0</v>
      </c>
      <c r="F752" s="93">
        <v>30.95203010503269</v>
      </c>
      <c r="G752" s="93">
        <v>31.40591498187218</v>
      </c>
      <c r="H752" s="93">
        <v>6.737037910610935</v>
      </c>
      <c r="I752" s="93">
        <v>1414.0</v>
      </c>
      <c r="J752" s="93">
        <v>1448.0</v>
      </c>
      <c r="K752" s="93">
        <v>6.769021211708743</v>
      </c>
    </row>
    <row r="753">
      <c r="A753" s="93">
        <v>134.0</v>
      </c>
      <c r="B753" s="96" t="s">
        <v>23</v>
      </c>
      <c r="C753" s="96" t="s">
        <v>142</v>
      </c>
      <c r="D753" s="96" t="s">
        <v>143</v>
      </c>
      <c r="E753" s="93">
        <v>27.0</v>
      </c>
      <c r="F753" s="93">
        <v>32.973497691396766</v>
      </c>
      <c r="G753" s="93">
        <v>33.33943724848676</v>
      </c>
      <c r="H753" s="93">
        <v>6.0549440721303895</v>
      </c>
      <c r="I753" s="93">
        <v>1622.0</v>
      </c>
      <c r="J753" s="93">
        <v>1649.0</v>
      </c>
      <c r="K753" s="93">
        <v>6.077798644682588</v>
      </c>
    </row>
    <row r="754">
      <c r="A754" s="93">
        <v>134.0</v>
      </c>
      <c r="B754" s="96" t="s">
        <v>115</v>
      </c>
      <c r="C754" s="96" t="s">
        <v>142</v>
      </c>
      <c r="D754" s="96" t="s">
        <v>143</v>
      </c>
      <c r="E754" s="93">
        <v>42.0</v>
      </c>
      <c r="F754" s="93">
        <v>20.428217804071647</v>
      </c>
      <c r="G754" s="93">
        <v>20.992065665206866</v>
      </c>
      <c r="H754" s="93">
        <v>7.50005101253107</v>
      </c>
      <c r="I754" s="93">
        <v>620.0</v>
      </c>
      <c r="J754" s="93">
        <v>662.0</v>
      </c>
      <c r="K754" s="93">
        <v>7.544721786168294</v>
      </c>
    </row>
    <row r="755">
      <c r="A755" s="93">
        <v>134.0</v>
      </c>
      <c r="B755" s="96" t="s">
        <v>16</v>
      </c>
      <c r="C755" s="96" t="s">
        <v>144</v>
      </c>
      <c r="D755" s="96" t="s">
        <v>145</v>
      </c>
      <c r="E755" s="93">
        <v>-23.0</v>
      </c>
      <c r="F755" s="93">
        <v>31.398418027757618</v>
      </c>
      <c r="G755" s="93">
        <v>31.03001024237909</v>
      </c>
      <c r="H755" s="93">
        <v>6.075169218889642</v>
      </c>
      <c r="I755" s="93">
        <v>1513.0</v>
      </c>
      <c r="J755" s="93">
        <v>1490.0</v>
      </c>
      <c r="K755" s="93">
        <v>6.098266821574369</v>
      </c>
    </row>
    <row r="756">
      <c r="A756" s="93">
        <v>134.0</v>
      </c>
      <c r="B756" s="96" t="s">
        <v>63</v>
      </c>
      <c r="C756" s="96" t="s">
        <v>144</v>
      </c>
      <c r="D756" s="96" t="s">
        <v>145</v>
      </c>
      <c r="E756" s="93">
        <v>-39.0</v>
      </c>
      <c r="F756" s="93">
        <v>27.078651071937255</v>
      </c>
      <c r="G756" s="93">
        <v>26.408170280753247</v>
      </c>
      <c r="H756" s="93">
        <v>8.169169453251735</v>
      </c>
      <c r="I756" s="93">
        <v>1002.0</v>
      </c>
      <c r="J756" s="93">
        <v>963.0</v>
      </c>
      <c r="K756" s="93">
        <v>8.227378888441832</v>
      </c>
    </row>
    <row r="757">
      <c r="A757" s="93">
        <v>134.0</v>
      </c>
      <c r="B757" s="96" t="s">
        <v>17</v>
      </c>
      <c r="C757" s="96" t="s">
        <v>144</v>
      </c>
      <c r="D757" s="96" t="s">
        <v>145</v>
      </c>
      <c r="E757" s="93">
        <v>-25.0</v>
      </c>
      <c r="F757" s="93">
        <v>31.48878811883682</v>
      </c>
      <c r="G757" s="93">
        <v>31.082515525967363</v>
      </c>
      <c r="H757" s="93">
        <v>6.377149443880393</v>
      </c>
      <c r="I757" s="93">
        <v>1488.0</v>
      </c>
      <c r="J757" s="93">
        <v>1463.0</v>
      </c>
      <c r="K757" s="93">
        <v>6.404072318926119</v>
      </c>
    </row>
    <row r="758">
      <c r="A758" s="93">
        <v>134.0</v>
      </c>
      <c r="B758" s="96" t="s">
        <v>47</v>
      </c>
      <c r="C758" s="96" t="s">
        <v>144</v>
      </c>
      <c r="D758" s="96" t="s">
        <v>145</v>
      </c>
      <c r="E758" s="93">
        <v>-23.0</v>
      </c>
      <c r="F758" s="93">
        <v>23.139180134201954</v>
      </c>
      <c r="G758" s="93">
        <v>22.774833948241813</v>
      </c>
      <c r="H758" s="93">
        <v>6.041850567083293</v>
      </c>
      <c r="I758" s="93">
        <v>955.0</v>
      </c>
      <c r="J758" s="93">
        <v>932.0</v>
      </c>
      <c r="K758" s="93">
        <v>6.064548668319395</v>
      </c>
    </row>
    <row r="759">
      <c r="A759" s="93">
        <v>134.0</v>
      </c>
      <c r="B759" s="96" t="s">
        <v>38</v>
      </c>
      <c r="C759" s="96" t="s">
        <v>144</v>
      </c>
      <c r="D759" s="96" t="s">
        <v>145</v>
      </c>
      <c r="E759" s="93">
        <v>-23.0</v>
      </c>
      <c r="F759" s="93">
        <v>25.39694609807636</v>
      </c>
      <c r="G759" s="93">
        <v>25.019310433909112</v>
      </c>
      <c r="H759" s="93">
        <v>6.150176306334518</v>
      </c>
      <c r="I759" s="93">
        <v>1097.0</v>
      </c>
      <c r="J759" s="93">
        <v>1074.0</v>
      </c>
      <c r="K759" s="93">
        <v>6.1741894436928035</v>
      </c>
    </row>
    <row r="760">
      <c r="A760" s="93">
        <v>134.0</v>
      </c>
      <c r="B760" s="96" t="s">
        <v>46</v>
      </c>
      <c r="C760" s="96" t="s">
        <v>144</v>
      </c>
      <c r="D760" s="96" t="s">
        <v>145</v>
      </c>
      <c r="E760" s="93">
        <v>-33.0</v>
      </c>
      <c r="F760" s="93">
        <v>29.553748875195183</v>
      </c>
      <c r="G760" s="93">
        <v>28.9996418752153</v>
      </c>
      <c r="H760" s="93">
        <v>7.435763168895167</v>
      </c>
      <c r="I760" s="93">
        <v>1247.0</v>
      </c>
      <c r="J760" s="93">
        <v>1214.0</v>
      </c>
      <c r="K760" s="93">
        <v>7.479256175136754</v>
      </c>
    </row>
    <row r="761">
      <c r="A761" s="93">
        <v>134.0</v>
      </c>
      <c r="B761" s="96" t="s">
        <v>27</v>
      </c>
      <c r="C761" s="96" t="s">
        <v>144</v>
      </c>
      <c r="D761" s="96" t="s">
        <v>145</v>
      </c>
      <c r="E761" s="93">
        <v>-28.0</v>
      </c>
      <c r="F761" s="93">
        <v>30.339457668086833</v>
      </c>
      <c r="G761" s="93">
        <v>29.884236228616448</v>
      </c>
      <c r="H761" s="93">
        <v>6.746853221230097</v>
      </c>
      <c r="I761" s="93">
        <v>1372.0</v>
      </c>
      <c r="J761" s="93">
        <v>1344.0</v>
      </c>
      <c r="K761" s="93">
        <v>6.77898248415892</v>
      </c>
    </row>
    <row r="762">
      <c r="A762" s="93">
        <v>134.0</v>
      </c>
      <c r="B762" s="96" t="s">
        <v>35</v>
      </c>
      <c r="C762" s="96" t="s">
        <v>144</v>
      </c>
      <c r="D762" s="96" t="s">
        <v>145</v>
      </c>
      <c r="E762" s="93">
        <v>-31.0</v>
      </c>
      <c r="F762" s="93">
        <v>27.098518147441503</v>
      </c>
      <c r="G762" s="93">
        <v>26.575338712888698</v>
      </c>
      <c r="H762" s="93">
        <v>7.2276715155666365</v>
      </c>
      <c r="I762" s="93">
        <v>1101.0</v>
      </c>
      <c r="J762" s="93">
        <v>1070.0</v>
      </c>
      <c r="K762" s="93">
        <v>7.267493093312018</v>
      </c>
    </row>
    <row r="763">
      <c r="A763" s="93">
        <v>134.0</v>
      </c>
      <c r="B763" s="96" t="s">
        <v>83</v>
      </c>
      <c r="C763" s="96" t="s">
        <v>144</v>
      </c>
      <c r="D763" s="96" t="s">
        <v>145</v>
      </c>
      <c r="E763" s="93">
        <v>-29.0</v>
      </c>
      <c r="F763" s="93">
        <v>22.266666130958605</v>
      </c>
      <c r="G763" s="93">
        <v>21.77757186163218</v>
      </c>
      <c r="H763" s="93">
        <v>6.990823399119001</v>
      </c>
      <c r="I763" s="93">
        <v>797.0</v>
      </c>
      <c r="J763" s="93">
        <v>768.0</v>
      </c>
      <c r="K763" s="93">
        <v>7.026721122335986</v>
      </c>
    </row>
    <row r="764">
      <c r="A764" s="93">
        <v>134.0</v>
      </c>
      <c r="B764" s="96" t="s">
        <v>21</v>
      </c>
      <c r="C764" s="96" t="s">
        <v>144</v>
      </c>
      <c r="D764" s="96" t="s">
        <v>145</v>
      </c>
      <c r="E764" s="93">
        <v>-35.0</v>
      </c>
      <c r="F764" s="93">
        <v>25.217406066341177</v>
      </c>
      <c r="G764" s="93">
        <v>24.632795065063537</v>
      </c>
      <c r="H764" s="93">
        <v>7.635188464613869</v>
      </c>
      <c r="I764" s="93">
        <v>931.0</v>
      </c>
      <c r="J764" s="93">
        <v>896.0</v>
      </c>
      <c r="K764" s="93">
        <v>7.682403393640208</v>
      </c>
    </row>
    <row r="765">
      <c r="A765" s="93">
        <v>134.0</v>
      </c>
      <c r="B765" s="96" t="s">
        <v>24</v>
      </c>
      <c r="C765" s="96" t="s">
        <v>144</v>
      </c>
      <c r="D765" s="96" t="s">
        <v>148</v>
      </c>
      <c r="E765" s="93" t="s">
        <v>147</v>
      </c>
      <c r="F765" s="93" t="s">
        <v>147</v>
      </c>
      <c r="G765" s="93" t="s">
        <v>147</v>
      </c>
      <c r="H765" s="93" t="s">
        <v>147</v>
      </c>
      <c r="I765" s="93" t="s">
        <v>147</v>
      </c>
      <c r="J765" s="93" t="s">
        <v>147</v>
      </c>
      <c r="K765" s="93" t="s">
        <v>147</v>
      </c>
    </row>
    <row r="766">
      <c r="A766" s="93">
        <v>134.0</v>
      </c>
      <c r="B766" s="96" t="s">
        <v>22</v>
      </c>
      <c r="C766" s="96" t="s">
        <v>144</v>
      </c>
      <c r="D766" s="96" t="s">
        <v>145</v>
      </c>
      <c r="E766" s="93">
        <v>-23.0</v>
      </c>
      <c r="F766" s="93">
        <v>24.986214513316177</v>
      </c>
      <c r="G766" s="93">
        <v>24.613255291653665</v>
      </c>
      <c r="H766" s="93">
        <v>6.112283489638802</v>
      </c>
      <c r="I766" s="93">
        <v>1073.0</v>
      </c>
      <c r="J766" s="93">
        <v>1050.0</v>
      </c>
      <c r="K766" s="93">
        <v>6.1358312961611885</v>
      </c>
    </row>
    <row r="767">
      <c r="A767" s="93">
        <v>133.0</v>
      </c>
      <c r="B767" s="96" t="s">
        <v>22</v>
      </c>
      <c r="C767" s="96" t="s">
        <v>142</v>
      </c>
      <c r="D767" s="96" t="s">
        <v>145</v>
      </c>
      <c r="E767" s="93">
        <v>-74.0</v>
      </c>
      <c r="F767" s="93">
        <v>26.128927561532986</v>
      </c>
      <c r="G767" s="93">
        <v>24.986214513316177</v>
      </c>
      <c r="H767" s="93">
        <v>6.1358312961611885</v>
      </c>
      <c r="I767" s="93">
        <v>1147.0</v>
      </c>
      <c r="J767" s="93">
        <v>1073.0</v>
      </c>
      <c r="K767" s="93">
        <v>6.1783276744603555</v>
      </c>
    </row>
    <row r="768">
      <c r="A768" s="93">
        <v>133.0</v>
      </c>
      <c r="B768" s="96" t="s">
        <v>47</v>
      </c>
      <c r="C768" s="96" t="s">
        <v>142</v>
      </c>
      <c r="D768" s="96" t="s">
        <v>145</v>
      </c>
      <c r="E768" s="93">
        <v>-72.0</v>
      </c>
      <c r="F768" s="93">
        <v>24.255126333791264</v>
      </c>
      <c r="G768" s="93">
        <v>23.139180134201954</v>
      </c>
      <c r="H768" s="93">
        <v>6.064548668319395</v>
      </c>
      <c r="I768" s="93">
        <v>1027.0</v>
      </c>
      <c r="J768" s="93">
        <v>955.0</v>
      </c>
      <c r="K768" s="93">
        <v>6.105519306992399</v>
      </c>
    </row>
    <row r="769">
      <c r="A769" s="93">
        <v>133.0</v>
      </c>
      <c r="B769" s="96" t="s">
        <v>27</v>
      </c>
      <c r="C769" s="96" t="s">
        <v>142</v>
      </c>
      <c r="D769" s="96" t="s">
        <v>145</v>
      </c>
      <c r="E769" s="93">
        <v>-89.0</v>
      </c>
      <c r="F769" s="93">
        <v>31.73873187564944</v>
      </c>
      <c r="G769" s="93">
        <v>30.339457668086833</v>
      </c>
      <c r="H769" s="93">
        <v>6.77898248415892</v>
      </c>
      <c r="I769" s="93">
        <v>1461.0</v>
      </c>
      <c r="J769" s="93">
        <v>1372.0</v>
      </c>
      <c r="K769" s="93">
        <v>6.836978107563713</v>
      </c>
    </row>
    <row r="770">
      <c r="A770" s="93">
        <v>133.0</v>
      </c>
      <c r="B770" s="96" t="s">
        <v>17</v>
      </c>
      <c r="C770" s="96" t="s">
        <v>144</v>
      </c>
      <c r="D770" s="96" t="s">
        <v>143</v>
      </c>
      <c r="E770" s="93">
        <v>90.0</v>
      </c>
      <c r="F770" s="93">
        <v>30.242376588809783</v>
      </c>
      <c r="G770" s="93">
        <v>31.48878811883682</v>
      </c>
      <c r="H770" s="93">
        <v>6.404072318926119</v>
      </c>
      <c r="I770" s="93">
        <v>1398.0</v>
      </c>
      <c r="J770" s="93">
        <v>1488.0</v>
      </c>
      <c r="K770" s="93">
        <v>6.452645502504901</v>
      </c>
    </row>
    <row r="771">
      <c r="A771" s="93">
        <v>133.0</v>
      </c>
      <c r="B771" s="96" t="s">
        <v>28</v>
      </c>
      <c r="C771" s="96" t="s">
        <v>144</v>
      </c>
      <c r="D771" s="96" t="s">
        <v>143</v>
      </c>
      <c r="E771" s="93">
        <v>100.0</v>
      </c>
      <c r="F771" s="93">
        <v>29.556937711591797</v>
      </c>
      <c r="G771" s="93">
        <v>30.95203010503269</v>
      </c>
      <c r="H771" s="93">
        <v>6.769021211708743</v>
      </c>
      <c r="I771" s="93">
        <v>1314.0</v>
      </c>
      <c r="J771" s="93">
        <v>1414.0</v>
      </c>
      <c r="K771" s="93">
        <v>6.826751916547586</v>
      </c>
    </row>
    <row r="772">
      <c r="A772" s="93">
        <v>133.0</v>
      </c>
      <c r="B772" s="96" t="s">
        <v>24</v>
      </c>
      <c r="C772" s="96" t="s">
        <v>144</v>
      </c>
      <c r="D772" s="96" t="s">
        <v>143</v>
      </c>
      <c r="E772" s="93">
        <v>95.0</v>
      </c>
      <c r="F772" s="93">
        <v>26.031968896712264</v>
      </c>
      <c r="G772" s="93">
        <v>27.35014783219027</v>
      </c>
      <c r="H772" s="93">
        <v>6.582928859881509</v>
      </c>
      <c r="I772" s="93">
        <v>1093.0</v>
      </c>
      <c r="J772" s="93">
        <v>1188.0</v>
      </c>
      <c r="K772" s="93">
        <v>6.635858251938597</v>
      </c>
    </row>
    <row r="773">
      <c r="A773" s="93">
        <v>133.0</v>
      </c>
      <c r="B773" s="96" t="s">
        <v>38</v>
      </c>
      <c r="C773" s="96" t="s">
        <v>144</v>
      </c>
      <c r="D773" s="96" t="s">
        <v>143</v>
      </c>
      <c r="E773" s="93">
        <v>83.0</v>
      </c>
      <c r="F773" s="93">
        <v>24.239692455532943</v>
      </c>
      <c r="G773" s="93">
        <v>25.39694609807636</v>
      </c>
      <c r="H773" s="93">
        <v>6.1741894436928035</v>
      </c>
      <c r="I773" s="93">
        <v>1014.0</v>
      </c>
      <c r="J773" s="93">
        <v>1097.0</v>
      </c>
      <c r="K773" s="93">
        <v>6.217522099856177</v>
      </c>
    </row>
    <row r="774">
      <c r="A774" s="93">
        <v>133.0</v>
      </c>
      <c r="B774" s="96" t="s">
        <v>23</v>
      </c>
      <c r="C774" s="96" t="s">
        <v>144</v>
      </c>
      <c r="D774" s="96" t="s">
        <v>143</v>
      </c>
      <c r="E774" s="93">
        <v>80.0</v>
      </c>
      <c r="F774" s="93">
        <v>31.852601108179552</v>
      </c>
      <c r="G774" s="93">
        <v>32.973497691396766</v>
      </c>
      <c r="H774" s="93">
        <v>6.077798644682588</v>
      </c>
      <c r="I774" s="93">
        <v>1542.0</v>
      </c>
      <c r="J774" s="93">
        <v>1622.0</v>
      </c>
      <c r="K774" s="93">
        <v>6.119050115030204</v>
      </c>
    </row>
    <row r="775">
      <c r="A775" s="93">
        <v>133.0</v>
      </c>
      <c r="B775" s="96" t="s">
        <v>35</v>
      </c>
      <c r="C775" s="96" t="s">
        <v>144</v>
      </c>
      <c r="D775" s="96" t="s">
        <v>143</v>
      </c>
      <c r="E775" s="93">
        <v>117.0</v>
      </c>
      <c r="F775" s="93">
        <v>25.48603154161464</v>
      </c>
      <c r="G775" s="93">
        <v>27.098518147441503</v>
      </c>
      <c r="H775" s="93">
        <v>7.267493093312018</v>
      </c>
      <c r="I775" s="93">
        <v>984.0</v>
      </c>
      <c r="J775" s="93">
        <v>1101.0</v>
      </c>
      <c r="K775" s="93">
        <v>7.339508454198304</v>
      </c>
    </row>
    <row r="776">
      <c r="A776" s="93">
        <v>133.0</v>
      </c>
      <c r="B776" s="96" t="s">
        <v>83</v>
      </c>
      <c r="C776" s="96" t="s">
        <v>144</v>
      </c>
      <c r="D776" s="96" t="s">
        <v>143</v>
      </c>
      <c r="E776" s="93">
        <v>109.0</v>
      </c>
      <c r="F776" s="93">
        <v>20.76126303790744</v>
      </c>
      <c r="G776" s="93">
        <v>22.266666130958605</v>
      </c>
      <c r="H776" s="93">
        <v>7.026721122335986</v>
      </c>
      <c r="I776" s="93">
        <v>688.0</v>
      </c>
      <c r="J776" s="93">
        <v>797.0</v>
      </c>
      <c r="K776" s="93">
        <v>7.091570940642234</v>
      </c>
    </row>
    <row r="777">
      <c r="A777" s="93">
        <v>133.0</v>
      </c>
      <c r="B777" s="96" t="s">
        <v>146</v>
      </c>
      <c r="C777" s="96" t="s">
        <v>144</v>
      </c>
      <c r="D777" s="96" t="s">
        <v>146</v>
      </c>
      <c r="E777" s="93" t="s">
        <v>147</v>
      </c>
      <c r="F777" s="93" t="s">
        <v>147</v>
      </c>
      <c r="G777" s="93" t="s">
        <v>147</v>
      </c>
      <c r="H777" s="93" t="s">
        <v>147</v>
      </c>
      <c r="I777" s="93" t="s">
        <v>147</v>
      </c>
      <c r="J777" s="93" t="s">
        <v>147</v>
      </c>
      <c r="K777" s="93" t="s">
        <v>147</v>
      </c>
    </row>
    <row r="778">
      <c r="A778" s="93">
        <v>133.0</v>
      </c>
      <c r="B778" s="96" t="s">
        <v>21</v>
      </c>
      <c r="C778" s="96" t="s">
        <v>144</v>
      </c>
      <c r="D778" s="96" t="s">
        <v>148</v>
      </c>
      <c r="E778" s="93" t="s">
        <v>147</v>
      </c>
      <c r="F778" s="93" t="s">
        <v>147</v>
      </c>
      <c r="G778" s="93" t="s">
        <v>147</v>
      </c>
      <c r="H778" s="93" t="s">
        <v>147</v>
      </c>
      <c r="I778" s="93" t="s">
        <v>147</v>
      </c>
      <c r="J778" s="93" t="s">
        <v>147</v>
      </c>
      <c r="K778" s="93" t="s">
        <v>147</v>
      </c>
    </row>
    <row r="779">
      <c r="A779" s="93">
        <v>133.0</v>
      </c>
      <c r="B779" s="96" t="s">
        <v>63</v>
      </c>
      <c r="C779" s="96" t="s">
        <v>144</v>
      </c>
      <c r="D779" s="96" t="s">
        <v>143</v>
      </c>
      <c r="E779" s="93">
        <v>152.0</v>
      </c>
      <c r="F779" s="93">
        <v>25.0</v>
      </c>
      <c r="G779" s="93">
        <v>27.078651071937255</v>
      </c>
      <c r="H779" s="93">
        <v>8.227378888441832</v>
      </c>
      <c r="I779" s="93">
        <v>850.0</v>
      </c>
      <c r="J779" s="93">
        <v>1002.0</v>
      </c>
      <c r="K779" s="93">
        <v>8.333333333333334</v>
      </c>
    </row>
    <row r="780">
      <c r="A780" s="93">
        <v>133.0</v>
      </c>
      <c r="B780" s="96" t="s">
        <v>115</v>
      </c>
      <c r="C780" s="96" t="s">
        <v>144</v>
      </c>
      <c r="D780" s="96" t="s">
        <v>143</v>
      </c>
      <c r="E780" s="93">
        <v>127.0</v>
      </c>
      <c r="F780" s="93">
        <v>18.687582346835764</v>
      </c>
      <c r="G780" s="93">
        <v>20.428217804071647</v>
      </c>
      <c r="H780" s="93">
        <v>7.544721786168294</v>
      </c>
      <c r="I780" s="93">
        <v>493.0</v>
      </c>
      <c r="J780" s="93">
        <v>620.0</v>
      </c>
      <c r="K780" s="93">
        <v>7.625631205201477</v>
      </c>
    </row>
    <row r="781">
      <c r="A781" s="93">
        <v>133.0</v>
      </c>
      <c r="B781" s="96" t="s">
        <v>50</v>
      </c>
      <c r="C781" s="96" t="s">
        <v>144</v>
      </c>
      <c r="D781" s="96" t="s">
        <v>143</v>
      </c>
      <c r="E781" s="93">
        <v>126.0</v>
      </c>
      <c r="F781" s="93">
        <v>21.47906402918722</v>
      </c>
      <c r="G781" s="93">
        <v>23.208422140437804</v>
      </c>
      <c r="H781" s="93">
        <v>7.520771008442014</v>
      </c>
      <c r="I781" s="93">
        <v>685.0</v>
      </c>
      <c r="J781" s="93">
        <v>811.0</v>
      </c>
      <c r="K781" s="93">
        <v>7.60088407574534</v>
      </c>
    </row>
    <row r="782">
      <c r="A782" s="93">
        <v>132.0</v>
      </c>
      <c r="B782" s="96" t="s">
        <v>115</v>
      </c>
      <c r="C782" s="96" t="s">
        <v>142</v>
      </c>
      <c r="D782" s="96" t="s">
        <v>145</v>
      </c>
      <c r="E782" s="93">
        <v>-95.0</v>
      </c>
      <c r="F782" s="93">
        <v>20.195938835690377</v>
      </c>
      <c r="G782" s="93">
        <v>18.687582346835764</v>
      </c>
      <c r="H782" s="93">
        <v>7.625631205201477</v>
      </c>
      <c r="I782" s="93">
        <v>588.0</v>
      </c>
      <c r="J782" s="93">
        <v>493.0</v>
      </c>
      <c r="K782" s="93">
        <v>7.7023409621205525</v>
      </c>
    </row>
    <row r="783">
      <c r="A783" s="93">
        <v>132.0</v>
      </c>
      <c r="B783" s="96" t="s">
        <v>97</v>
      </c>
      <c r="C783" s="96" t="s">
        <v>142</v>
      </c>
      <c r="D783" s="96" t="s">
        <v>145</v>
      </c>
      <c r="E783" s="93">
        <v>-65.0</v>
      </c>
      <c r="F783" s="93">
        <v>25.725516735041932</v>
      </c>
      <c r="G783" s="93">
        <v>24.6982625589138</v>
      </c>
      <c r="H783" s="93">
        <v>6.3135054168444915</v>
      </c>
      <c r="I783" s="93">
        <v>1101.0</v>
      </c>
      <c r="J783" s="93">
        <v>1036.0</v>
      </c>
      <c r="K783" s="93">
        <v>6.356126860365508</v>
      </c>
    </row>
    <row r="784">
      <c r="A784" s="93">
        <v>132.0</v>
      </c>
      <c r="B784" s="96" t="s">
        <v>17</v>
      </c>
      <c r="C784" s="96" t="s">
        <v>142</v>
      </c>
      <c r="D784" s="96" t="s">
        <v>145</v>
      </c>
      <c r="E784" s="93">
        <v>-69.0</v>
      </c>
      <c r="F784" s="93">
        <v>31.31607780484082</v>
      </c>
      <c r="G784" s="93">
        <v>30.242376588809783</v>
      </c>
      <c r="H784" s="93">
        <v>6.452645502504901</v>
      </c>
      <c r="I784" s="93">
        <v>1467.0</v>
      </c>
      <c r="J784" s="93">
        <v>1398.0</v>
      </c>
      <c r="K784" s="93">
        <v>6.498268418866943</v>
      </c>
    </row>
    <row r="785">
      <c r="A785" s="93">
        <v>132.0</v>
      </c>
      <c r="B785" s="96" t="s">
        <v>22</v>
      </c>
      <c r="C785" s="96" t="s">
        <v>144</v>
      </c>
      <c r="D785" s="96" t="s">
        <v>143</v>
      </c>
      <c r="E785" s="93">
        <v>71.0</v>
      </c>
      <c r="F785" s="93">
        <v>25.14577368695755</v>
      </c>
      <c r="G785" s="93">
        <v>26.128927561532986</v>
      </c>
      <c r="H785" s="93">
        <v>6.1783276744603555</v>
      </c>
      <c r="I785" s="93">
        <v>1076.0</v>
      </c>
      <c r="J785" s="93">
        <v>1147.0</v>
      </c>
      <c r="K785" s="93">
        <v>6.21816061155999</v>
      </c>
    </row>
    <row r="786">
      <c r="A786" s="93">
        <v>132.0</v>
      </c>
      <c r="B786" s="96" t="s">
        <v>119</v>
      </c>
      <c r="C786" s="96" t="s">
        <v>144</v>
      </c>
      <c r="D786" s="96" t="s">
        <v>143</v>
      </c>
      <c r="E786" s="93">
        <v>114.0</v>
      </c>
      <c r="F786" s="93">
        <v>18.64174759200583</v>
      </c>
      <c r="G786" s="93">
        <v>20.190828543282713</v>
      </c>
      <c r="H786" s="93">
        <v>7.725760998821666</v>
      </c>
      <c r="I786" s="93">
        <v>471.0</v>
      </c>
      <c r="J786" s="93">
        <v>585.0</v>
      </c>
      <c r="K786" s="93">
        <v>7.805644372837199</v>
      </c>
    </row>
    <row r="787">
      <c r="A787" s="93">
        <v>132.0</v>
      </c>
      <c r="B787" s="96" t="s">
        <v>58</v>
      </c>
      <c r="C787" s="96" t="s">
        <v>144</v>
      </c>
      <c r="D787" s="96" t="s">
        <v>143</v>
      </c>
      <c r="E787" s="93">
        <v>111.0</v>
      </c>
      <c r="F787" s="93">
        <v>25.85803230259099</v>
      </c>
      <c r="G787" s="93">
        <v>27.381129842153648</v>
      </c>
      <c r="H787" s="93">
        <v>7.662039358189395</v>
      </c>
      <c r="I787" s="93">
        <v>969.0</v>
      </c>
      <c r="J787" s="93">
        <v>1080.0</v>
      </c>
      <c r="K787" s="93">
        <v>7.739892955477205</v>
      </c>
    </row>
    <row r="788">
      <c r="A788" s="93">
        <v>132.0</v>
      </c>
      <c r="B788" s="96" t="s">
        <v>50</v>
      </c>
      <c r="C788" s="96" t="s">
        <v>144</v>
      </c>
      <c r="D788" s="96" t="s">
        <v>143</v>
      </c>
      <c r="E788" s="93">
        <v>109.0</v>
      </c>
      <c r="F788" s="93">
        <v>19.98068375255379</v>
      </c>
      <c r="G788" s="93">
        <v>21.47906402918722</v>
      </c>
      <c r="H788" s="93">
        <v>7.60088407574534</v>
      </c>
      <c r="I788" s="93">
        <v>576.0</v>
      </c>
      <c r="J788" s="93">
        <v>685.0</v>
      </c>
      <c r="K788" s="93">
        <v>7.676822903137804</v>
      </c>
    </row>
    <row r="789">
      <c r="A789" s="93">
        <v>132.0</v>
      </c>
      <c r="B789" s="96" t="s">
        <v>21</v>
      </c>
      <c r="C789" s="96" t="s">
        <v>144</v>
      </c>
      <c r="D789" s="96" t="s">
        <v>143</v>
      </c>
      <c r="E789" s="93">
        <v>112.0</v>
      </c>
      <c r="F789" s="93">
        <v>23.68603022103245</v>
      </c>
      <c r="G789" s="93">
        <v>25.217406066341177</v>
      </c>
      <c r="H789" s="93">
        <v>7.682403393640208</v>
      </c>
      <c r="I789" s="93">
        <v>819.0</v>
      </c>
      <c r="J789" s="93">
        <v>931.0</v>
      </c>
      <c r="K789" s="93">
        <v>7.7609018005575185</v>
      </c>
    </row>
    <row r="790">
      <c r="A790" s="93">
        <v>132.0</v>
      </c>
      <c r="B790" s="96" t="s">
        <v>38</v>
      </c>
      <c r="C790" s="96" t="s">
        <v>144</v>
      </c>
      <c r="D790" s="96" t="s">
        <v>148</v>
      </c>
      <c r="E790" s="93" t="s">
        <v>147</v>
      </c>
      <c r="F790" s="93" t="s">
        <v>147</v>
      </c>
      <c r="G790" s="93" t="s">
        <v>147</v>
      </c>
      <c r="H790" s="93" t="s">
        <v>147</v>
      </c>
      <c r="I790" s="93" t="s">
        <v>147</v>
      </c>
      <c r="J790" s="93" t="s">
        <v>147</v>
      </c>
      <c r="K790" s="93" t="s">
        <v>147</v>
      </c>
    </row>
    <row r="791">
      <c r="A791" s="93">
        <v>132.0</v>
      </c>
      <c r="B791" s="96" t="s">
        <v>23</v>
      </c>
      <c r="C791" s="96" t="s">
        <v>144</v>
      </c>
      <c r="D791" s="96" t="s">
        <v>148</v>
      </c>
      <c r="E791" s="93" t="s">
        <v>147</v>
      </c>
      <c r="F791" s="93" t="s">
        <v>147</v>
      </c>
      <c r="G791" s="93" t="s">
        <v>147</v>
      </c>
      <c r="H791" s="93" t="s">
        <v>147</v>
      </c>
      <c r="I791" s="93" t="s">
        <v>147</v>
      </c>
      <c r="J791" s="93" t="s">
        <v>147</v>
      </c>
      <c r="K791" s="93" t="s">
        <v>147</v>
      </c>
    </row>
    <row r="792">
      <c r="A792" s="93">
        <v>132.0</v>
      </c>
      <c r="B792" s="96" t="s">
        <v>34</v>
      </c>
      <c r="C792" s="96" t="s">
        <v>144</v>
      </c>
      <c r="D792" s="96" t="s">
        <v>143</v>
      </c>
      <c r="E792" s="93">
        <v>101.0</v>
      </c>
      <c r="F792" s="93">
        <v>22.546346655976382</v>
      </c>
      <c r="G792" s="93">
        <v>23.937411013265436</v>
      </c>
      <c r="H792" s="93">
        <v>7.328945184004315</v>
      </c>
      <c r="I792" s="93">
        <v>779.0</v>
      </c>
      <c r="J792" s="93">
        <v>880.0</v>
      </c>
      <c r="K792" s="93">
        <v>7.396755563221196</v>
      </c>
    </row>
    <row r="793">
      <c r="A793" s="93">
        <v>132.0</v>
      </c>
      <c r="B793" s="96" t="s">
        <v>28</v>
      </c>
      <c r="C793" s="96" t="s">
        <v>144</v>
      </c>
      <c r="D793" s="96" t="s">
        <v>143</v>
      </c>
      <c r="E793" s="93">
        <v>88.0</v>
      </c>
      <c r="F793" s="93">
        <v>28.353019933548527</v>
      </c>
      <c r="G793" s="93">
        <v>29.556937711591797</v>
      </c>
      <c r="H793" s="93">
        <v>6.826751916547586</v>
      </c>
      <c r="I793" s="93">
        <v>1226.0</v>
      </c>
      <c r="J793" s="93">
        <v>1314.0</v>
      </c>
      <c r="K793" s="93">
        <v>6.881132169932577</v>
      </c>
    </row>
    <row r="794">
      <c r="A794" s="93">
        <v>132.0</v>
      </c>
      <c r="B794" s="96" t="s">
        <v>27</v>
      </c>
      <c r="C794" s="96" t="s">
        <v>144</v>
      </c>
      <c r="D794" s="96" t="s">
        <v>143</v>
      </c>
      <c r="E794" s="93">
        <v>88.0</v>
      </c>
      <c r="F794" s="93">
        <v>30.53114490118343</v>
      </c>
      <c r="G794" s="93">
        <v>31.73873187564944</v>
      </c>
      <c r="H794" s="93">
        <v>6.836978107563713</v>
      </c>
      <c r="I794" s="93">
        <v>1373.0</v>
      </c>
      <c r="J794" s="93">
        <v>1461.0</v>
      </c>
      <c r="K794" s="93">
        <v>6.891612263370631</v>
      </c>
    </row>
    <row r="795">
      <c r="A795" s="93">
        <v>132.0</v>
      </c>
      <c r="B795" s="96" t="s">
        <v>26</v>
      </c>
      <c r="C795" s="96" t="s">
        <v>144</v>
      </c>
      <c r="D795" s="96" t="s">
        <v>143</v>
      </c>
      <c r="E795" s="93">
        <v>76.0</v>
      </c>
      <c r="F795" s="93">
        <v>26.6289346604752</v>
      </c>
      <c r="G795" s="93">
        <v>27.683340365707725</v>
      </c>
      <c r="H795" s="93">
        <v>6.395231426947101</v>
      </c>
      <c r="I795" s="93">
        <v>1154.0</v>
      </c>
      <c r="J795" s="93">
        <v>1230.0</v>
      </c>
      <c r="K795" s="93">
        <v>6.4395994778012895</v>
      </c>
    </row>
    <row r="796">
      <c r="A796" s="93">
        <v>132.0</v>
      </c>
      <c r="B796" s="96" t="s">
        <v>24</v>
      </c>
      <c r="C796" s="96" t="s">
        <v>144</v>
      </c>
      <c r="D796" s="96" t="s">
        <v>143</v>
      </c>
      <c r="E796" s="93">
        <v>82.0</v>
      </c>
      <c r="F796" s="93">
        <v>24.89547072755947</v>
      </c>
      <c r="G796" s="93">
        <v>26.031968896712264</v>
      </c>
      <c r="H796" s="93">
        <v>6.635858251938597</v>
      </c>
      <c r="I796" s="93">
        <v>1011.0</v>
      </c>
      <c r="J796" s="93">
        <v>1093.0</v>
      </c>
      <c r="K796" s="93">
        <v>6.685642278181343</v>
      </c>
    </row>
    <row r="797">
      <c r="A797" s="93">
        <v>131.0</v>
      </c>
      <c r="B797" s="96" t="s">
        <v>38</v>
      </c>
      <c r="C797" s="96" t="s">
        <v>142</v>
      </c>
      <c r="D797" s="96" t="s">
        <v>143</v>
      </c>
      <c r="E797" s="93">
        <v>50.0</v>
      </c>
      <c r="F797" s="93">
        <v>23.552905169849897</v>
      </c>
      <c r="G797" s="93">
        <v>24.239692455532943</v>
      </c>
      <c r="H797" s="93">
        <v>6.217522099856177</v>
      </c>
      <c r="I797" s="93">
        <v>964.0</v>
      </c>
      <c r="J797" s="93">
        <v>1014.0</v>
      </c>
      <c r="K797" s="93">
        <v>6.252629493126597</v>
      </c>
    </row>
    <row r="798">
      <c r="A798" s="93">
        <v>131.0</v>
      </c>
      <c r="B798" s="96" t="s">
        <v>83</v>
      </c>
      <c r="C798" s="96" t="s">
        <v>142</v>
      </c>
      <c r="D798" s="96" t="s">
        <v>143</v>
      </c>
      <c r="E798" s="93">
        <v>66.0</v>
      </c>
      <c r="F798" s="93">
        <v>19.864635074863934</v>
      </c>
      <c r="G798" s="93">
        <v>20.76126303790744</v>
      </c>
      <c r="H798" s="93">
        <v>7.091570940642234</v>
      </c>
      <c r="I798" s="93">
        <v>622.0</v>
      </c>
      <c r="J798" s="93">
        <v>688.0</v>
      </c>
      <c r="K798" s="93">
        <v>7.144481393812608</v>
      </c>
    </row>
    <row r="799">
      <c r="A799" s="93">
        <v>131.0</v>
      </c>
      <c r="B799" s="96" t="s">
        <v>28</v>
      </c>
      <c r="C799" s="96" t="s">
        <v>142</v>
      </c>
      <c r="D799" s="96" t="s">
        <v>143</v>
      </c>
      <c r="E799" s="93">
        <v>62.0</v>
      </c>
      <c r="F799" s="93">
        <v>27.50957565227467</v>
      </c>
      <c r="G799" s="93">
        <v>28.353019933548527</v>
      </c>
      <c r="H799" s="93">
        <v>6.881132169932577</v>
      </c>
      <c r="I799" s="93">
        <v>1164.0</v>
      </c>
      <c r="J799" s="93">
        <v>1226.0</v>
      </c>
      <c r="K799" s="93">
        <v>6.929311523870909</v>
      </c>
    </row>
    <row r="800">
      <c r="A800" s="93">
        <v>131.0</v>
      </c>
      <c r="B800" s="96" t="s">
        <v>34</v>
      </c>
      <c r="C800" s="96" t="s">
        <v>144</v>
      </c>
      <c r="D800" s="96" t="s">
        <v>145</v>
      </c>
      <c r="E800" s="93">
        <v>-60.0</v>
      </c>
      <c r="F800" s="93">
        <v>23.523132940702638</v>
      </c>
      <c r="G800" s="93">
        <v>22.546346655976382</v>
      </c>
      <c r="H800" s="93">
        <v>7.396755563221196</v>
      </c>
      <c r="I800" s="93">
        <v>839.0</v>
      </c>
      <c r="J800" s="93">
        <v>779.0</v>
      </c>
      <c r="K800" s="93">
        <v>7.457063435945584</v>
      </c>
    </row>
    <row r="801">
      <c r="A801" s="93">
        <v>131.0</v>
      </c>
      <c r="B801" s="96" t="s">
        <v>119</v>
      </c>
      <c r="C801" s="96" t="s">
        <v>144</v>
      </c>
      <c r="D801" s="96" t="s">
        <v>145</v>
      </c>
      <c r="E801" s="93">
        <v>-67.0</v>
      </c>
      <c r="F801" s="93">
        <v>19.731599816857106</v>
      </c>
      <c r="G801" s="93">
        <v>18.64174759200583</v>
      </c>
      <c r="H801" s="93">
        <v>7.805644372837199</v>
      </c>
      <c r="I801" s="93">
        <v>538.0</v>
      </c>
      <c r="J801" s="93">
        <v>471.0</v>
      </c>
      <c r="K801" s="93">
        <v>7.8769106615021425</v>
      </c>
    </row>
    <row r="802">
      <c r="A802" s="93">
        <v>131.0</v>
      </c>
      <c r="B802" s="96" t="s">
        <v>29</v>
      </c>
      <c r="C802" s="96" t="s">
        <v>144</v>
      </c>
      <c r="D802" s="96" t="s">
        <v>145</v>
      </c>
      <c r="E802" s="93">
        <v>-46.0</v>
      </c>
      <c r="F802" s="93">
        <v>32.17867935072072</v>
      </c>
      <c r="G802" s="93">
        <v>31.436907164072302</v>
      </c>
      <c r="H802" s="93">
        <v>6.458624146314902</v>
      </c>
      <c r="I802" s="93">
        <v>1525.0</v>
      </c>
      <c r="J802" s="93">
        <v>1479.0</v>
      </c>
      <c r="K802" s="93">
        <v>6.498168389935413</v>
      </c>
    </row>
    <row r="803">
      <c r="A803" s="93">
        <v>131.0</v>
      </c>
      <c r="B803" s="96" t="s">
        <v>115</v>
      </c>
      <c r="C803" s="96" t="s">
        <v>144</v>
      </c>
      <c r="D803" s="96" t="s">
        <v>145</v>
      </c>
      <c r="E803" s="93">
        <v>-65.0</v>
      </c>
      <c r="F803" s="93">
        <v>21.2566091308265</v>
      </c>
      <c r="G803" s="93">
        <v>20.195938835690377</v>
      </c>
      <c r="H803" s="93">
        <v>7.7023409621205525</v>
      </c>
      <c r="I803" s="93">
        <v>653.0</v>
      </c>
      <c r="J803" s="93">
        <v>588.0</v>
      </c>
      <c r="K803" s="93">
        <v>7.770721647211097</v>
      </c>
    </row>
    <row r="804">
      <c r="A804" s="93">
        <v>131.0</v>
      </c>
      <c r="B804" s="96" t="s">
        <v>33</v>
      </c>
      <c r="C804" s="96" t="s">
        <v>144</v>
      </c>
      <c r="D804" s="96" t="s">
        <v>145</v>
      </c>
      <c r="E804" s="93">
        <v>-66.0</v>
      </c>
      <c r="F804" s="93">
        <v>23.047945254438815</v>
      </c>
      <c r="G804" s="93">
        <v>21.96761023829486</v>
      </c>
      <c r="H804" s="93">
        <v>7.772115967708339</v>
      </c>
      <c r="I804" s="93">
        <v>767.0</v>
      </c>
      <c r="J804" s="93">
        <v>701.0</v>
      </c>
      <c r="K804" s="93">
        <v>7.842436850775175</v>
      </c>
    </row>
    <row r="805">
      <c r="A805" s="93">
        <v>131.0</v>
      </c>
      <c r="B805" s="96" t="s">
        <v>146</v>
      </c>
      <c r="C805" s="96" t="s">
        <v>144</v>
      </c>
      <c r="D805" s="96" t="s">
        <v>146</v>
      </c>
      <c r="E805" s="93" t="s">
        <v>147</v>
      </c>
      <c r="F805" s="93" t="s">
        <v>147</v>
      </c>
      <c r="G805" s="93" t="s">
        <v>147</v>
      </c>
      <c r="H805" s="93" t="s">
        <v>147</v>
      </c>
      <c r="I805" s="93" t="s">
        <v>147</v>
      </c>
      <c r="J805" s="93" t="s">
        <v>147</v>
      </c>
      <c r="K805" s="93" t="s">
        <v>147</v>
      </c>
    </row>
    <row r="806">
      <c r="A806" s="93">
        <v>131.0</v>
      </c>
      <c r="B806" s="96" t="s">
        <v>146</v>
      </c>
      <c r="C806" s="96" t="s">
        <v>144</v>
      </c>
      <c r="D806" s="96" t="s">
        <v>146</v>
      </c>
      <c r="E806" s="93" t="s">
        <v>147</v>
      </c>
      <c r="F806" s="93" t="s">
        <v>147</v>
      </c>
      <c r="G806" s="93" t="s">
        <v>147</v>
      </c>
      <c r="H806" s="93" t="s">
        <v>147</v>
      </c>
      <c r="I806" s="93" t="s">
        <v>147</v>
      </c>
      <c r="J806" s="93" t="s">
        <v>147</v>
      </c>
      <c r="K806" s="93" t="s">
        <v>147</v>
      </c>
    </row>
    <row r="807">
      <c r="A807" s="93">
        <v>131.0</v>
      </c>
      <c r="B807" s="96" t="s">
        <v>17</v>
      </c>
      <c r="C807" s="96" t="s">
        <v>144</v>
      </c>
      <c r="D807" s="96" t="s">
        <v>145</v>
      </c>
      <c r="E807" s="93">
        <v>-47.0</v>
      </c>
      <c r="F807" s="93">
        <v>32.06710151748832</v>
      </c>
      <c r="G807" s="93">
        <v>31.31607780484082</v>
      </c>
      <c r="H807" s="93">
        <v>6.498268418866943</v>
      </c>
      <c r="I807" s="93">
        <v>1514.0</v>
      </c>
      <c r="J807" s="93">
        <v>1467.0</v>
      </c>
      <c r="K807" s="93">
        <v>6.538575561586763</v>
      </c>
    </row>
    <row r="808">
      <c r="A808" s="93">
        <v>131.0</v>
      </c>
      <c r="B808" s="96" t="s">
        <v>111</v>
      </c>
      <c r="C808" s="96" t="s">
        <v>144</v>
      </c>
      <c r="D808" s="96" t="s">
        <v>145</v>
      </c>
      <c r="E808" s="93">
        <v>-60.0</v>
      </c>
      <c r="F808" s="93">
        <v>22.890228331652043</v>
      </c>
      <c r="G808" s="93">
        <v>21.92785128911186</v>
      </c>
      <c r="H808" s="93">
        <v>7.3428920630891374</v>
      </c>
      <c r="I808" s="93">
        <v>802.0</v>
      </c>
      <c r="J808" s="93">
        <v>742.0</v>
      </c>
      <c r="K808" s="93">
        <v>7.401846997460798</v>
      </c>
    </row>
    <row r="809">
      <c r="A809" s="93">
        <v>131.0</v>
      </c>
      <c r="B809" s="96" t="s">
        <v>58</v>
      </c>
      <c r="C809" s="96" t="s">
        <v>144</v>
      </c>
      <c r="D809" s="96" t="s">
        <v>145</v>
      </c>
      <c r="E809" s="93">
        <v>-66.0</v>
      </c>
      <c r="F809" s="93">
        <v>26.929262192408157</v>
      </c>
      <c r="G809" s="93">
        <v>25.85803230259099</v>
      </c>
      <c r="H809" s="93">
        <v>7.739892955477205</v>
      </c>
      <c r="I809" s="93">
        <v>1035.0</v>
      </c>
      <c r="J809" s="93">
        <v>969.0</v>
      </c>
      <c r="K809" s="93">
        <v>7.809313269601157</v>
      </c>
    </row>
    <row r="810">
      <c r="A810" s="93">
        <v>131.0</v>
      </c>
      <c r="B810" s="96" t="s">
        <v>97</v>
      </c>
      <c r="C810" s="96" t="s">
        <v>144</v>
      </c>
      <c r="D810" s="96" t="s">
        <v>145</v>
      </c>
      <c r="E810" s="93">
        <v>-45.0</v>
      </c>
      <c r="F810" s="93">
        <v>26.443645496425383</v>
      </c>
      <c r="G810" s="93">
        <v>25.725516735041932</v>
      </c>
      <c r="H810" s="93">
        <v>6.356126860365508</v>
      </c>
      <c r="I810" s="93">
        <v>1146.0</v>
      </c>
      <c r="J810" s="93">
        <v>1101.0</v>
      </c>
      <c r="K810" s="93">
        <v>6.393742711270561</v>
      </c>
    </row>
    <row r="811">
      <c r="A811" s="93">
        <v>131.0</v>
      </c>
      <c r="B811" s="96" t="s">
        <v>26</v>
      </c>
      <c r="C811" s="96" t="s">
        <v>144</v>
      </c>
      <c r="D811" s="96" t="s">
        <v>145</v>
      </c>
      <c r="E811" s="93">
        <v>-46.0</v>
      </c>
      <c r="F811" s="93">
        <v>27.366288319622974</v>
      </c>
      <c r="G811" s="93">
        <v>26.6289346604752</v>
      </c>
      <c r="H811" s="93">
        <v>6.4395994778012895</v>
      </c>
      <c r="I811" s="93">
        <v>1200.0</v>
      </c>
      <c r="J811" s="93">
        <v>1154.0</v>
      </c>
      <c r="K811" s="93">
        <v>6.478781008006054</v>
      </c>
    </row>
    <row r="812">
      <c r="A812" s="93">
        <v>130.0</v>
      </c>
      <c r="B812" s="96" t="s">
        <v>32</v>
      </c>
      <c r="C812" s="96" t="s">
        <v>142</v>
      </c>
      <c r="D812" s="96" t="s">
        <v>145</v>
      </c>
      <c r="E812" s="93">
        <v>-75.0</v>
      </c>
      <c r="F812" s="93">
        <v>30.183439201655</v>
      </c>
      <c r="G812" s="93">
        <v>29.00506509367613</v>
      </c>
      <c r="H812" s="93">
        <v>6.674024455200178</v>
      </c>
      <c r="I812" s="93">
        <v>1367.0</v>
      </c>
      <c r="J812" s="93">
        <v>1292.0</v>
      </c>
      <c r="K812" s="93">
        <v>6.725151462229874</v>
      </c>
    </row>
    <row r="813">
      <c r="A813" s="93">
        <v>130.0</v>
      </c>
      <c r="B813" s="96" t="s">
        <v>42</v>
      </c>
      <c r="C813" s="96" t="s">
        <v>142</v>
      </c>
      <c r="D813" s="96" t="s">
        <v>145</v>
      </c>
      <c r="E813" s="93">
        <v>-87.0</v>
      </c>
      <c r="F813" s="93">
        <v>27.41999897886723</v>
      </c>
      <c r="G813" s="93">
        <v>26.04444896399774</v>
      </c>
      <c r="H813" s="93">
        <v>7.20139552529988</v>
      </c>
      <c r="I813" s="93">
        <v>1123.0</v>
      </c>
      <c r="J813" s="93">
        <v>1036.0</v>
      </c>
      <c r="K813" s="93">
        <v>7.266169913159372</v>
      </c>
    </row>
    <row r="814">
      <c r="A814" s="93">
        <v>130.0</v>
      </c>
      <c r="B814" s="96" t="s">
        <v>119</v>
      </c>
      <c r="C814" s="96" t="s">
        <v>142</v>
      </c>
      <c r="D814" s="96" t="s">
        <v>145</v>
      </c>
      <c r="E814" s="93">
        <v>-104.0</v>
      </c>
      <c r="F814" s="93">
        <v>21.383373572549647</v>
      </c>
      <c r="G814" s="93">
        <v>19.731599816857106</v>
      </c>
      <c r="H814" s="93">
        <v>7.8769106615021425</v>
      </c>
      <c r="I814" s="93">
        <v>642.0</v>
      </c>
      <c r="J814" s="93">
        <v>538.0</v>
      </c>
      <c r="K814" s="93">
        <v>7.962501273536387</v>
      </c>
    </row>
    <row r="815">
      <c r="A815" s="93">
        <v>130.0</v>
      </c>
      <c r="B815" s="96" t="s">
        <v>27</v>
      </c>
      <c r="C815" s="96" t="s">
        <v>144</v>
      </c>
      <c r="D815" s="96" t="s">
        <v>143</v>
      </c>
      <c r="E815" s="93">
        <v>91.0</v>
      </c>
      <c r="F815" s="93">
        <v>29.273360490300455</v>
      </c>
      <c r="G815" s="93">
        <v>30.53114490118343</v>
      </c>
      <c r="H815" s="93">
        <v>6.891612263370631</v>
      </c>
      <c r="I815" s="93">
        <v>1282.0</v>
      </c>
      <c r="J815" s="93">
        <v>1373.0</v>
      </c>
      <c r="K815" s="93">
        <v>6.94810878182664</v>
      </c>
    </row>
    <row r="816">
      <c r="A816" s="93">
        <v>130.0</v>
      </c>
      <c r="B816" s="96" t="s">
        <v>22</v>
      </c>
      <c r="C816" s="96" t="s">
        <v>144</v>
      </c>
      <c r="D816" s="96" t="s">
        <v>143</v>
      </c>
      <c r="E816" s="93">
        <v>74.0</v>
      </c>
      <c r="F816" s="93">
        <v>24.12500813920824</v>
      </c>
      <c r="G816" s="93">
        <v>25.14577368695755</v>
      </c>
      <c r="H816" s="93">
        <v>6.21816061155999</v>
      </c>
      <c r="I816" s="93">
        <v>1002.0</v>
      </c>
      <c r="J816" s="93">
        <v>1076.0</v>
      </c>
      <c r="K816" s="93">
        <v>6.259160134405448</v>
      </c>
    </row>
    <row r="817">
      <c r="A817" s="93">
        <v>130.0</v>
      </c>
      <c r="B817" s="96" t="s">
        <v>23</v>
      </c>
      <c r="C817" s="96" t="s">
        <v>144</v>
      </c>
      <c r="D817" s="96" t="s">
        <v>143</v>
      </c>
      <c r="E817" s="93">
        <v>71.0</v>
      </c>
      <c r="F817" s="93">
        <v>30.864543008180995</v>
      </c>
      <c r="G817" s="93">
        <v>31.852601108179552</v>
      </c>
      <c r="H817" s="93">
        <v>6.119050115030204</v>
      </c>
      <c r="I817" s="93">
        <v>1471.0</v>
      </c>
      <c r="J817" s="93">
        <v>1542.0</v>
      </c>
      <c r="K817" s="93">
        <v>6.158039460301068</v>
      </c>
    </row>
    <row r="818">
      <c r="A818" s="93">
        <v>130.0</v>
      </c>
      <c r="B818" s="96" t="s">
        <v>24</v>
      </c>
      <c r="C818" s="96" t="s">
        <v>144</v>
      </c>
      <c r="D818" s="96" t="s">
        <v>143</v>
      </c>
      <c r="E818" s="93">
        <v>86.0</v>
      </c>
      <c r="F818" s="93">
        <v>23.712925211459243</v>
      </c>
      <c r="G818" s="93">
        <v>24.89547072755947</v>
      </c>
      <c r="H818" s="93">
        <v>6.685642278181343</v>
      </c>
      <c r="I818" s="93">
        <v>925.0</v>
      </c>
      <c r="J818" s="93">
        <v>1011.0</v>
      </c>
      <c r="K818" s="93">
        <v>6.737046988374705</v>
      </c>
    </row>
    <row r="819">
      <c r="A819" s="93">
        <v>130.0</v>
      </c>
      <c r="B819" s="96" t="s">
        <v>47</v>
      </c>
      <c r="C819" s="96" t="s">
        <v>144</v>
      </c>
      <c r="D819" s="96" t="s">
        <v>143</v>
      </c>
      <c r="E819" s="93">
        <v>71.0</v>
      </c>
      <c r="F819" s="93">
        <v>23.271490567074057</v>
      </c>
      <c r="G819" s="93">
        <v>24.255126333791264</v>
      </c>
      <c r="H819" s="93">
        <v>6.105519306992399</v>
      </c>
      <c r="I819" s="93">
        <v>956.0</v>
      </c>
      <c r="J819" s="93">
        <v>1027.0</v>
      </c>
      <c r="K819" s="93">
        <v>6.144239340195864</v>
      </c>
    </row>
    <row r="820">
      <c r="A820" s="93">
        <v>130.0</v>
      </c>
      <c r="B820" s="96" t="s">
        <v>97</v>
      </c>
      <c r="C820" s="96" t="s">
        <v>144</v>
      </c>
      <c r="D820" s="96" t="s">
        <v>143</v>
      </c>
      <c r="E820" s="93">
        <v>78.0</v>
      </c>
      <c r="F820" s="93">
        <v>25.36357290342902</v>
      </c>
      <c r="G820" s="93">
        <v>26.443645496425383</v>
      </c>
      <c r="H820" s="93">
        <v>6.393742711270561</v>
      </c>
      <c r="I820" s="93">
        <v>1068.0</v>
      </c>
      <c r="J820" s="93">
        <v>1146.0</v>
      </c>
      <c r="K820" s="93">
        <v>6.4384685310180725</v>
      </c>
    </row>
    <row r="821">
      <c r="A821" s="93">
        <v>130.0</v>
      </c>
      <c r="B821" s="96" t="s">
        <v>34</v>
      </c>
      <c r="C821" s="96" t="s">
        <v>144</v>
      </c>
      <c r="D821" s="96" t="s">
        <v>143</v>
      </c>
      <c r="E821" s="93">
        <v>108.0</v>
      </c>
      <c r="F821" s="93">
        <v>22.0461898210646</v>
      </c>
      <c r="G821" s="93">
        <v>23.523132940702638</v>
      </c>
      <c r="H821" s="93">
        <v>7.457063435945584</v>
      </c>
      <c r="I821" s="93">
        <v>731.0</v>
      </c>
      <c r="J821" s="93">
        <v>839.0</v>
      </c>
      <c r="K821" s="93">
        <v>7.529256018323619</v>
      </c>
    </row>
    <row r="822">
      <c r="A822" s="93">
        <v>130.0</v>
      </c>
      <c r="B822" s="96" t="s">
        <v>41</v>
      </c>
      <c r="C822" s="96" t="s">
        <v>144</v>
      </c>
      <c r="D822" s="96" t="s">
        <v>143</v>
      </c>
      <c r="E822" s="93">
        <v>83.0</v>
      </c>
      <c r="F822" s="93">
        <v>21.972666591018957</v>
      </c>
      <c r="G822" s="93">
        <v>23.120042950076044</v>
      </c>
      <c r="H822" s="93">
        <v>6.587009097802531</v>
      </c>
      <c r="I822" s="93">
        <v>817.0</v>
      </c>
      <c r="J822" s="93">
        <v>900.0</v>
      </c>
      <c r="K822" s="93">
        <v>6.636087835512102</v>
      </c>
    </row>
    <row r="823">
      <c r="A823" s="93">
        <v>130.0</v>
      </c>
      <c r="B823" s="96" t="s">
        <v>46</v>
      </c>
      <c r="C823" s="96" t="s">
        <v>144</v>
      </c>
      <c r="D823" s="96" t="s">
        <v>143</v>
      </c>
      <c r="E823" s="93">
        <v>109.0</v>
      </c>
      <c r="F823" s="93">
        <v>28.06782427282699</v>
      </c>
      <c r="G823" s="93">
        <v>29.553748875195183</v>
      </c>
      <c r="H823" s="93">
        <v>7.479256175136754</v>
      </c>
      <c r="I823" s="93">
        <v>1138.0</v>
      </c>
      <c r="J823" s="93">
        <v>1247.0</v>
      </c>
      <c r="K823" s="93">
        <v>7.552118537089381</v>
      </c>
    </row>
    <row r="824">
      <c r="A824" s="93">
        <v>130.0</v>
      </c>
      <c r="B824" s="96" t="s">
        <v>18</v>
      </c>
      <c r="C824" s="96" t="s">
        <v>144</v>
      </c>
      <c r="D824" s="96" t="s">
        <v>148</v>
      </c>
      <c r="E824" s="93" t="s">
        <v>147</v>
      </c>
      <c r="F824" s="93" t="s">
        <v>147</v>
      </c>
      <c r="G824" s="93" t="s">
        <v>147</v>
      </c>
      <c r="H824" s="93" t="s">
        <v>147</v>
      </c>
      <c r="I824" s="93" t="s">
        <v>147</v>
      </c>
      <c r="J824" s="93" t="s">
        <v>147</v>
      </c>
      <c r="K824" s="93" t="s">
        <v>147</v>
      </c>
    </row>
    <row r="825">
      <c r="A825" s="93">
        <v>130.0</v>
      </c>
      <c r="B825" s="96" t="s">
        <v>16</v>
      </c>
      <c r="C825" s="96" t="s">
        <v>144</v>
      </c>
      <c r="D825" s="96" t="s">
        <v>148</v>
      </c>
      <c r="E825" s="93" t="s">
        <v>147</v>
      </c>
      <c r="F825" s="93" t="s">
        <v>147</v>
      </c>
      <c r="G825" s="93" t="s">
        <v>147</v>
      </c>
      <c r="H825" s="93" t="s">
        <v>147</v>
      </c>
      <c r="I825" s="93" t="s">
        <v>147</v>
      </c>
      <c r="J825" s="93" t="s">
        <v>147</v>
      </c>
      <c r="K825" s="93" t="s">
        <v>147</v>
      </c>
    </row>
    <row r="826">
      <c r="A826" s="93">
        <v>130.0</v>
      </c>
      <c r="B826" s="96" t="s">
        <v>38</v>
      </c>
      <c r="C826" s="96" t="s">
        <v>144</v>
      </c>
      <c r="D826" s="96" t="s">
        <v>143</v>
      </c>
      <c r="E826" s="93">
        <v>75.0</v>
      </c>
      <c r="F826" s="93">
        <v>22.52063457621486</v>
      </c>
      <c r="G826" s="93">
        <v>23.552905169849897</v>
      </c>
      <c r="H826" s="93">
        <v>6.252629493126597</v>
      </c>
      <c r="I826" s="93">
        <v>889.0</v>
      </c>
      <c r="J826" s="93">
        <v>964.0</v>
      </c>
      <c r="K826" s="93">
        <v>6.29434374100008</v>
      </c>
    </row>
    <row r="827">
      <c r="A827" s="93">
        <v>129.0</v>
      </c>
      <c r="B827" s="96" t="s">
        <v>18</v>
      </c>
      <c r="C827" s="96" t="s">
        <v>142</v>
      </c>
      <c r="D827" s="96" t="s">
        <v>143</v>
      </c>
      <c r="E827" s="93">
        <v>33.0</v>
      </c>
      <c r="F827" s="93">
        <v>32.659307390832744</v>
      </c>
      <c r="G827" s="93">
        <v>33.09294682620793</v>
      </c>
      <c r="H827" s="93">
        <v>6.444359091443839</v>
      </c>
      <c r="I827" s="93">
        <v>1560.0</v>
      </c>
      <c r="J827" s="93">
        <v>1593.0</v>
      </c>
      <c r="K827" s="93">
        <v>6.474185254715389</v>
      </c>
    </row>
    <row r="828">
      <c r="A828" s="93">
        <v>129.0</v>
      </c>
      <c r="B828" s="96" t="s">
        <v>67</v>
      </c>
      <c r="C828" s="96" t="s">
        <v>142</v>
      </c>
      <c r="D828" s="96" t="s">
        <v>143</v>
      </c>
      <c r="E828" s="93">
        <v>36.0</v>
      </c>
      <c r="F828" s="93">
        <v>24.699051744136206</v>
      </c>
      <c r="G828" s="93">
        <v>25.181454816034258</v>
      </c>
      <c r="H828" s="93">
        <v>6.793409907864259</v>
      </c>
      <c r="I828" s="93">
        <v>983.0</v>
      </c>
      <c r="J828" s="93">
        <v>1019.0</v>
      </c>
      <c r="K828" s="93">
        <v>6.828589505794015</v>
      </c>
    </row>
    <row r="829">
      <c r="A829" s="93">
        <v>129.0</v>
      </c>
      <c r="B829" s="96" t="s">
        <v>37</v>
      </c>
      <c r="C829" s="96" t="s">
        <v>142</v>
      </c>
      <c r="D829" s="96" t="s">
        <v>143</v>
      </c>
      <c r="E829" s="93">
        <v>52.0</v>
      </c>
      <c r="F829" s="93">
        <v>26.92047715700239</v>
      </c>
      <c r="G829" s="93">
        <v>27.601578096452684</v>
      </c>
      <c r="H829" s="93">
        <v>8.054495303829174</v>
      </c>
      <c r="I829" s="93">
        <v>1003.0</v>
      </c>
      <c r="J829" s="93">
        <v>1055.0</v>
      </c>
      <c r="K829" s="93">
        <v>8.114192350590434</v>
      </c>
    </row>
    <row r="830">
      <c r="A830" s="93">
        <v>129.0</v>
      </c>
      <c r="B830" s="96" t="s">
        <v>34</v>
      </c>
      <c r="C830" s="96" t="s">
        <v>144</v>
      </c>
      <c r="D830" s="96" t="s">
        <v>145</v>
      </c>
      <c r="E830" s="93">
        <v>-36.0</v>
      </c>
      <c r="F830" s="93">
        <v>22.640215352479835</v>
      </c>
      <c r="G830" s="93">
        <v>22.0461898210646</v>
      </c>
      <c r="H830" s="93">
        <v>7.529256018323619</v>
      </c>
      <c r="I830" s="93">
        <v>767.0</v>
      </c>
      <c r="J830" s="93">
        <v>731.0</v>
      </c>
      <c r="K830" s="93">
        <v>7.577697775780407</v>
      </c>
    </row>
    <row r="831">
      <c r="A831" s="93">
        <v>129.0</v>
      </c>
      <c r="B831" s="96" t="s">
        <v>42</v>
      </c>
      <c r="C831" s="96" t="s">
        <v>144</v>
      </c>
      <c r="D831" s="96" t="s">
        <v>145</v>
      </c>
      <c r="E831" s="93">
        <v>-34.0</v>
      </c>
      <c r="F831" s="93">
        <v>27.97273433517879</v>
      </c>
      <c r="G831" s="93">
        <v>27.41999897886723</v>
      </c>
      <c r="H831" s="93">
        <v>7.266169913159372</v>
      </c>
      <c r="I831" s="93">
        <v>1157.0</v>
      </c>
      <c r="J831" s="93">
        <v>1123.0</v>
      </c>
      <c r="K831" s="93">
        <v>7.309547998011791</v>
      </c>
    </row>
    <row r="832">
      <c r="A832" s="93">
        <v>129.0</v>
      </c>
      <c r="B832" s="96" t="s">
        <v>46</v>
      </c>
      <c r="C832" s="96" t="s">
        <v>144</v>
      </c>
      <c r="D832" s="96" t="s">
        <v>145</v>
      </c>
      <c r="E832" s="93">
        <v>-36.0</v>
      </c>
      <c r="F832" s="93">
        <v>28.66551099115418</v>
      </c>
      <c r="G832" s="93">
        <v>28.06782427282699</v>
      </c>
      <c r="H832" s="93">
        <v>7.552118537089381</v>
      </c>
      <c r="I832" s="93">
        <v>1174.0</v>
      </c>
      <c r="J832" s="93">
        <v>1138.0</v>
      </c>
      <c r="K832" s="93">
        <v>7.601017958478099</v>
      </c>
    </row>
    <row r="833">
      <c r="A833" s="93">
        <v>129.0</v>
      </c>
      <c r="B833" s="96" t="s">
        <v>25</v>
      </c>
      <c r="C833" s="96" t="s">
        <v>144</v>
      </c>
      <c r="D833" s="96" t="s">
        <v>145</v>
      </c>
      <c r="E833" s="93">
        <v>-40.0</v>
      </c>
      <c r="F833" s="93">
        <v>28.846487294933187</v>
      </c>
      <c r="G833" s="93">
        <v>28.181615949132723</v>
      </c>
      <c r="H833" s="93">
        <v>7.95937870873967</v>
      </c>
      <c r="I833" s="93">
        <v>1144.0</v>
      </c>
      <c r="J833" s="93">
        <v>1104.0</v>
      </c>
      <c r="K833" s="93">
        <v>8.016920226584192</v>
      </c>
    </row>
    <row r="834">
      <c r="A834" s="93">
        <v>129.0</v>
      </c>
      <c r="B834" s="96" t="s">
        <v>17</v>
      </c>
      <c r="C834" s="96" t="s">
        <v>144</v>
      </c>
      <c r="D834" s="96" t="s">
        <v>145</v>
      </c>
      <c r="E834" s="93">
        <v>-27.0</v>
      </c>
      <c r="F834" s="93">
        <v>32.51363968141941</v>
      </c>
      <c r="G834" s="93">
        <v>32.06710151748832</v>
      </c>
      <c r="H834" s="93">
        <v>6.538575561586763</v>
      </c>
      <c r="I834" s="93">
        <v>1541.0</v>
      </c>
      <c r="J834" s="93">
        <v>1514.0</v>
      </c>
      <c r="K834" s="93">
        <v>6.569790560193332</v>
      </c>
    </row>
    <row r="835">
      <c r="A835" s="93">
        <v>129.0</v>
      </c>
      <c r="B835" s="96" t="s">
        <v>40</v>
      </c>
      <c r="C835" s="96" t="s">
        <v>144</v>
      </c>
      <c r="D835" s="96" t="s">
        <v>148</v>
      </c>
      <c r="E835" s="93" t="s">
        <v>147</v>
      </c>
      <c r="F835" s="93" t="s">
        <v>147</v>
      </c>
      <c r="G835" s="93" t="s">
        <v>147</v>
      </c>
      <c r="H835" s="93" t="s">
        <v>147</v>
      </c>
      <c r="I835" s="93" t="s">
        <v>147</v>
      </c>
      <c r="J835" s="93" t="s">
        <v>147</v>
      </c>
      <c r="K835" s="93" t="s">
        <v>147</v>
      </c>
    </row>
    <row r="836">
      <c r="A836" s="93">
        <v>129.0</v>
      </c>
      <c r="B836" s="96" t="s">
        <v>36</v>
      </c>
      <c r="C836" s="96" t="s">
        <v>144</v>
      </c>
      <c r="D836" s="96" t="s">
        <v>145</v>
      </c>
      <c r="E836" s="93">
        <v>-35.0</v>
      </c>
      <c r="F836" s="93">
        <v>25.42285254458575</v>
      </c>
      <c r="G836" s="93">
        <v>24.83135623235112</v>
      </c>
      <c r="H836" s="93">
        <v>7.513419325526141</v>
      </c>
      <c r="I836" s="93">
        <v>957.0</v>
      </c>
      <c r="J836" s="93">
        <v>922.0</v>
      </c>
      <c r="K836" s="93">
        <v>7.561545736317021</v>
      </c>
    </row>
    <row r="837">
      <c r="A837" s="93">
        <v>129.0</v>
      </c>
      <c r="B837" s="96" t="s">
        <v>47</v>
      </c>
      <c r="C837" s="96" t="s">
        <v>144</v>
      </c>
      <c r="D837" s="96" t="s">
        <v>145</v>
      </c>
      <c r="E837" s="93">
        <v>-24.0</v>
      </c>
      <c r="F837" s="93">
        <v>23.665336500156826</v>
      </c>
      <c r="G837" s="93">
        <v>23.271490567074057</v>
      </c>
      <c r="H837" s="93">
        <v>6.144239340195864</v>
      </c>
      <c r="I837" s="93">
        <v>980.0</v>
      </c>
      <c r="J837" s="93">
        <v>956.0</v>
      </c>
      <c r="K837" s="93">
        <v>6.169907957477298</v>
      </c>
    </row>
    <row r="838">
      <c r="A838" s="93">
        <v>129.0</v>
      </c>
      <c r="B838" s="96" t="s">
        <v>32</v>
      </c>
      <c r="C838" s="96" t="s">
        <v>144</v>
      </c>
      <c r="D838" s="96" t="s">
        <v>145</v>
      </c>
      <c r="E838" s="93">
        <v>-28.0</v>
      </c>
      <c r="F838" s="93">
        <v>30.656095618478215</v>
      </c>
      <c r="G838" s="93">
        <v>30.183439201655</v>
      </c>
      <c r="H838" s="93">
        <v>6.725151462229874</v>
      </c>
      <c r="I838" s="93">
        <v>1395.0</v>
      </c>
      <c r="J838" s="93">
        <v>1367.0</v>
      </c>
      <c r="K838" s="93">
        <v>6.759238842351862</v>
      </c>
    </row>
    <row r="839">
      <c r="A839" s="93">
        <v>129.0</v>
      </c>
      <c r="B839" s="96" t="s">
        <v>16</v>
      </c>
      <c r="C839" s="96" t="s">
        <v>144</v>
      </c>
      <c r="D839" s="96" t="s">
        <v>145</v>
      </c>
      <c r="E839" s="93">
        <v>-24.0</v>
      </c>
      <c r="F839" s="93">
        <v>31.78634194662677</v>
      </c>
      <c r="G839" s="93">
        <v>31.398418027757618</v>
      </c>
      <c r="H839" s="93">
        <v>6.098266821574369</v>
      </c>
      <c r="I839" s="93">
        <v>1537.0</v>
      </c>
      <c r="J839" s="93">
        <v>1513.0</v>
      </c>
      <c r="K839" s="93">
        <v>6.123333467301656</v>
      </c>
    </row>
    <row r="840">
      <c r="A840" s="93">
        <v>129.0</v>
      </c>
      <c r="B840" s="96" t="s">
        <v>28</v>
      </c>
      <c r="C840" s="96" t="s">
        <v>144</v>
      </c>
      <c r="D840" s="96" t="s">
        <v>148</v>
      </c>
      <c r="E840" s="93" t="s">
        <v>147</v>
      </c>
      <c r="F840" s="93" t="s">
        <v>147</v>
      </c>
      <c r="G840" s="93" t="s">
        <v>147</v>
      </c>
      <c r="H840" s="93" t="s">
        <v>147</v>
      </c>
      <c r="I840" s="93" t="s">
        <v>147</v>
      </c>
      <c r="J840" s="93" t="s">
        <v>147</v>
      </c>
      <c r="K840" s="93" t="s">
        <v>147</v>
      </c>
    </row>
    <row r="841">
      <c r="A841" s="93">
        <v>129.0</v>
      </c>
      <c r="B841" s="96" t="s">
        <v>83</v>
      </c>
      <c r="C841" s="96" t="s">
        <v>144</v>
      </c>
      <c r="D841" s="96" t="s">
        <v>145</v>
      </c>
      <c r="E841" s="93">
        <v>-32.0</v>
      </c>
      <c r="F841" s="93">
        <v>20.39879344969371</v>
      </c>
      <c r="G841" s="93">
        <v>19.864635074863934</v>
      </c>
      <c r="H841" s="93">
        <v>7.144481393812608</v>
      </c>
      <c r="I841" s="93">
        <v>654.0</v>
      </c>
      <c r="J841" s="93">
        <v>622.0</v>
      </c>
      <c r="K841" s="93">
        <v>7.185640854493767</v>
      </c>
    </row>
    <row r="842">
      <c r="A842" s="93">
        <v>128.0</v>
      </c>
      <c r="B842" s="96" t="s">
        <v>71</v>
      </c>
      <c r="C842" s="96" t="s">
        <v>142</v>
      </c>
      <c r="D842" s="96" t="s">
        <v>143</v>
      </c>
      <c r="E842" s="93">
        <v>91.0</v>
      </c>
      <c r="F842" s="93">
        <v>23.785450888936886</v>
      </c>
      <c r="G842" s="93">
        <v>25.013622969307885</v>
      </c>
      <c r="H842" s="93">
        <v>7.712099143254582</v>
      </c>
      <c r="I842" s="93">
        <v>823.0</v>
      </c>
      <c r="J842" s="93">
        <v>914.0</v>
      </c>
      <c r="K842" s="93">
        <v>7.783665069367795</v>
      </c>
    </row>
    <row r="843">
      <c r="A843" s="93">
        <v>128.0</v>
      </c>
      <c r="B843" s="96" t="s">
        <v>92</v>
      </c>
      <c r="C843" s="96" t="s">
        <v>142</v>
      </c>
      <c r="D843" s="96" t="s">
        <v>143</v>
      </c>
      <c r="E843" s="93">
        <v>95.0</v>
      </c>
      <c r="F843" s="93">
        <v>24.214147531504835</v>
      </c>
      <c r="G843" s="93">
        <v>25.50171752208421</v>
      </c>
      <c r="H843" s="93">
        <v>7.892793649057603</v>
      </c>
      <c r="I843" s="93">
        <v>834.0</v>
      </c>
      <c r="J843" s="93">
        <v>929.0</v>
      </c>
      <c r="K843" s="93">
        <v>7.969693255086068</v>
      </c>
    </row>
    <row r="844">
      <c r="A844" s="93">
        <v>128.0</v>
      </c>
      <c r="B844" s="96" t="s">
        <v>22</v>
      </c>
      <c r="C844" s="96" t="s">
        <v>142</v>
      </c>
      <c r="D844" s="96" t="s">
        <v>143</v>
      </c>
      <c r="E844" s="93">
        <v>58.0</v>
      </c>
      <c r="F844" s="93">
        <v>23.321238018378878</v>
      </c>
      <c r="G844" s="93">
        <v>24.12500813920824</v>
      </c>
      <c r="H844" s="93">
        <v>6.259160134405448</v>
      </c>
      <c r="I844" s="93">
        <v>944.0</v>
      </c>
      <c r="J844" s="93">
        <v>1002.0</v>
      </c>
      <c r="K844" s="93">
        <v>6.29653371307373</v>
      </c>
    </row>
    <row r="845">
      <c r="A845" s="93">
        <v>128.0</v>
      </c>
      <c r="B845" s="96" t="s">
        <v>83</v>
      </c>
      <c r="C845" s="96" t="s">
        <v>144</v>
      </c>
      <c r="D845" s="96" t="s">
        <v>145</v>
      </c>
      <c r="E845" s="93">
        <v>-67.0</v>
      </c>
      <c r="F845" s="93">
        <v>21.462326800735585</v>
      </c>
      <c r="G845" s="93">
        <v>20.39879344969371</v>
      </c>
      <c r="H845" s="93">
        <v>7.185640854493767</v>
      </c>
      <c r="I845" s="93">
        <v>721.0</v>
      </c>
      <c r="J845" s="93">
        <v>654.0</v>
      </c>
      <c r="K845" s="93">
        <v>7.243100946668603</v>
      </c>
    </row>
    <row r="846">
      <c r="A846" s="93">
        <v>128.0</v>
      </c>
      <c r="B846" s="96" t="s">
        <v>28</v>
      </c>
      <c r="C846" s="96" t="s">
        <v>144</v>
      </c>
      <c r="D846" s="96" t="s">
        <v>145</v>
      </c>
      <c r="E846" s="93">
        <v>-62.0</v>
      </c>
      <c r="F846" s="93">
        <v>28.497442572818983</v>
      </c>
      <c r="G846" s="93">
        <v>27.50957565227467</v>
      </c>
      <c r="H846" s="93">
        <v>6.929311523870909</v>
      </c>
      <c r="I846" s="93">
        <v>1226.0</v>
      </c>
      <c r="J846" s="93">
        <v>1164.0</v>
      </c>
      <c r="K846" s="93">
        <v>6.980636639133152</v>
      </c>
    </row>
    <row r="847">
      <c r="A847" s="93">
        <v>128.0</v>
      </c>
      <c r="B847" s="96" t="s">
        <v>27</v>
      </c>
      <c r="C847" s="96" t="s">
        <v>144</v>
      </c>
      <c r="D847" s="96" t="s">
        <v>145</v>
      </c>
      <c r="E847" s="93">
        <v>-62.0</v>
      </c>
      <c r="F847" s="93">
        <v>30.266676901710287</v>
      </c>
      <c r="G847" s="93">
        <v>29.273360490300455</v>
      </c>
      <c r="H847" s="93">
        <v>6.94810878182664</v>
      </c>
      <c r="I847" s="93">
        <v>1344.0</v>
      </c>
      <c r="J847" s="93">
        <v>1282.0</v>
      </c>
      <c r="K847" s="93">
        <v>6.999868168054221</v>
      </c>
    </row>
    <row r="848">
      <c r="A848" s="93">
        <v>128.0</v>
      </c>
      <c r="B848" s="96" t="s">
        <v>16</v>
      </c>
      <c r="C848" s="96" t="s">
        <v>144</v>
      </c>
      <c r="D848" s="96" t="s">
        <v>145</v>
      </c>
      <c r="E848" s="93">
        <v>-49.0</v>
      </c>
      <c r="F848" s="93">
        <v>32.55519765141343</v>
      </c>
      <c r="G848" s="93">
        <v>31.78634194662677</v>
      </c>
      <c r="H848" s="93">
        <v>6.123333467301656</v>
      </c>
      <c r="I848" s="93">
        <v>1586.0</v>
      </c>
      <c r="J848" s="93">
        <v>1537.0</v>
      </c>
      <c r="K848" s="93">
        <v>6.158224787263764</v>
      </c>
    </row>
    <row r="849">
      <c r="A849" s="93">
        <v>128.0</v>
      </c>
      <c r="B849" s="96" t="s">
        <v>65</v>
      </c>
      <c r="C849" s="96" t="s">
        <v>144</v>
      </c>
      <c r="D849" s="96" t="s">
        <v>145</v>
      </c>
      <c r="E849" s="93">
        <v>-84.0</v>
      </c>
      <c r="F849" s="93">
        <v>25.00836935151687</v>
      </c>
      <c r="G849" s="93">
        <v>23.6474303967521</v>
      </c>
      <c r="H849" s="93">
        <v>8.109988487948232</v>
      </c>
      <c r="I849" s="93">
        <v>865.0</v>
      </c>
      <c r="J849" s="93">
        <v>781.0</v>
      </c>
      <c r="K849" s="93">
        <v>8.193648871726465</v>
      </c>
    </row>
    <row r="850">
      <c r="A850" s="93">
        <v>128.0</v>
      </c>
      <c r="B850" s="96" t="s">
        <v>38</v>
      </c>
      <c r="C850" s="96" t="s">
        <v>144</v>
      </c>
      <c r="D850" s="96" t="s">
        <v>145</v>
      </c>
      <c r="E850" s="93">
        <v>-52.0</v>
      </c>
      <c r="F850" s="93">
        <v>23.33357982043812</v>
      </c>
      <c r="G850" s="93">
        <v>22.52063457621486</v>
      </c>
      <c r="H850" s="93">
        <v>6.29434374100008</v>
      </c>
      <c r="I850" s="93">
        <v>941.0</v>
      </c>
      <c r="J850" s="93">
        <v>889.0</v>
      </c>
      <c r="K850" s="93">
        <v>6.332378557838023</v>
      </c>
    </row>
    <row r="851">
      <c r="A851" s="93">
        <v>128.0</v>
      </c>
      <c r="B851" s="96" t="s">
        <v>146</v>
      </c>
      <c r="C851" s="96" t="s">
        <v>144</v>
      </c>
      <c r="D851" s="96" t="s">
        <v>146</v>
      </c>
      <c r="E851" s="93" t="s">
        <v>147</v>
      </c>
      <c r="F851" s="93" t="s">
        <v>147</v>
      </c>
      <c r="G851" s="93" t="s">
        <v>147</v>
      </c>
      <c r="H851" s="93" t="s">
        <v>147</v>
      </c>
      <c r="I851" s="93" t="s">
        <v>147</v>
      </c>
      <c r="J851" s="93" t="s">
        <v>147</v>
      </c>
      <c r="K851" s="93" t="s">
        <v>147</v>
      </c>
    </row>
    <row r="852">
      <c r="A852" s="93">
        <v>128.0</v>
      </c>
      <c r="B852" s="96" t="s">
        <v>35</v>
      </c>
      <c r="C852" s="96" t="s">
        <v>144</v>
      </c>
      <c r="D852" s="96" t="s">
        <v>145</v>
      </c>
      <c r="E852" s="93">
        <v>-70.0</v>
      </c>
      <c r="F852" s="93">
        <v>26.596394383096808</v>
      </c>
      <c r="G852" s="93">
        <v>25.48603154161464</v>
      </c>
      <c r="H852" s="93">
        <v>7.339508454198304</v>
      </c>
      <c r="I852" s="93">
        <v>1054.0</v>
      </c>
      <c r="J852" s="93">
        <v>984.0</v>
      </c>
      <c r="K852" s="93">
        <v>7.400877005143612</v>
      </c>
    </row>
    <row r="853">
      <c r="A853" s="93">
        <v>128.0</v>
      </c>
      <c r="B853" s="96" t="s">
        <v>146</v>
      </c>
      <c r="C853" s="96" t="s">
        <v>144</v>
      </c>
      <c r="D853" s="96" t="s">
        <v>146</v>
      </c>
      <c r="E853" s="93" t="s">
        <v>147</v>
      </c>
      <c r="F853" s="93" t="s">
        <v>147</v>
      </c>
      <c r="G853" s="93" t="s">
        <v>147</v>
      </c>
      <c r="H853" s="93" t="s">
        <v>147</v>
      </c>
      <c r="I853" s="93" t="s">
        <v>147</v>
      </c>
      <c r="J853" s="93" t="s">
        <v>147</v>
      </c>
      <c r="K853" s="93" t="s">
        <v>147</v>
      </c>
    </row>
    <row r="854">
      <c r="A854" s="93">
        <v>128.0</v>
      </c>
      <c r="B854" s="96" t="s">
        <v>111</v>
      </c>
      <c r="C854" s="96" t="s">
        <v>144</v>
      </c>
      <c r="D854" s="96" t="s">
        <v>145</v>
      </c>
      <c r="E854" s="93">
        <v>-70.0</v>
      </c>
      <c r="F854" s="93">
        <v>24.019866075290974</v>
      </c>
      <c r="G854" s="93">
        <v>22.890228331652043</v>
      </c>
      <c r="H854" s="93">
        <v>7.401846997460798</v>
      </c>
      <c r="I854" s="93">
        <v>872.0</v>
      </c>
      <c r="J854" s="93">
        <v>802.0</v>
      </c>
      <c r="K854" s="93">
        <v>7.464848545494993</v>
      </c>
    </row>
    <row r="855">
      <c r="A855" s="93">
        <v>128.0</v>
      </c>
      <c r="B855" s="96" t="s">
        <v>17</v>
      </c>
      <c r="C855" s="96" t="s">
        <v>144</v>
      </c>
      <c r="D855" s="96" t="s">
        <v>145</v>
      </c>
      <c r="E855" s="93">
        <v>-56.0</v>
      </c>
      <c r="F855" s="93">
        <v>33.400287038254746</v>
      </c>
      <c r="G855" s="93">
        <v>32.51363968141941</v>
      </c>
      <c r="H855" s="93">
        <v>6.569790560193332</v>
      </c>
      <c r="I855" s="93">
        <v>1597.0</v>
      </c>
      <c r="J855" s="93">
        <v>1541.0</v>
      </c>
      <c r="K855" s="93">
        <v>6.613268957133773</v>
      </c>
    </row>
    <row r="856">
      <c r="A856" s="93">
        <v>128.0</v>
      </c>
      <c r="B856" s="96" t="s">
        <v>41</v>
      </c>
      <c r="C856" s="96" t="s">
        <v>144</v>
      </c>
      <c r="D856" s="96" t="s">
        <v>145</v>
      </c>
      <c r="E856" s="93">
        <v>-57.0</v>
      </c>
      <c r="F856" s="93">
        <v>22.877550431850892</v>
      </c>
      <c r="G856" s="93">
        <v>21.972666591018957</v>
      </c>
      <c r="H856" s="93">
        <v>6.636087835512102</v>
      </c>
      <c r="I856" s="93">
        <v>874.0</v>
      </c>
      <c r="J856" s="93">
        <v>817.0</v>
      </c>
      <c r="K856" s="93">
        <v>6.680948756050631</v>
      </c>
    </row>
    <row r="857">
      <c r="A857" s="93">
        <v>127.0</v>
      </c>
      <c r="B857" s="96" t="s">
        <v>111</v>
      </c>
      <c r="C857" s="96" t="s">
        <v>142</v>
      </c>
      <c r="D857" s="96" t="s">
        <v>143</v>
      </c>
      <c r="E857" s="93">
        <v>54.0</v>
      </c>
      <c r="F857" s="93">
        <v>23.297793263013702</v>
      </c>
      <c r="G857" s="93">
        <v>24.019866075290974</v>
      </c>
      <c r="H857" s="93">
        <v>7.464848545494993</v>
      </c>
      <c r="I857" s="93">
        <v>818.0</v>
      </c>
      <c r="J857" s="93">
        <v>872.0</v>
      </c>
      <c r="K857" s="93">
        <v>7.516738395152382</v>
      </c>
    </row>
    <row r="858">
      <c r="A858" s="93">
        <v>127.0</v>
      </c>
      <c r="B858" s="96" t="s">
        <v>17</v>
      </c>
      <c r="C858" s="96" t="s">
        <v>142</v>
      </c>
      <c r="D858" s="96" t="s">
        <v>143</v>
      </c>
      <c r="E858" s="93">
        <v>42.0</v>
      </c>
      <c r="F858" s="93">
        <v>32.835300130064745</v>
      </c>
      <c r="G858" s="93">
        <v>33.400287038254746</v>
      </c>
      <c r="H858" s="93">
        <v>6.613268957133773</v>
      </c>
      <c r="I858" s="93">
        <v>1555.0</v>
      </c>
      <c r="J858" s="93">
        <v>1597.0</v>
      </c>
      <c r="K858" s="93">
        <v>6.648863938974424</v>
      </c>
    </row>
    <row r="859">
      <c r="A859" s="93">
        <v>127.0</v>
      </c>
      <c r="B859" s="96" t="s">
        <v>50</v>
      </c>
      <c r="C859" s="96" t="s">
        <v>142</v>
      </c>
      <c r="D859" s="96" t="s">
        <v>143</v>
      </c>
      <c r="E859" s="93">
        <v>58.0</v>
      </c>
      <c r="F859" s="93">
        <v>19.216388754109868</v>
      </c>
      <c r="G859" s="93">
        <v>19.98068375255379</v>
      </c>
      <c r="H859" s="93">
        <v>7.676822903137804</v>
      </c>
      <c r="I859" s="93">
        <v>518.0</v>
      </c>
      <c r="J859" s="93">
        <v>576.0</v>
      </c>
      <c r="K859" s="93">
        <v>7.733419534810921</v>
      </c>
    </row>
    <row r="860">
      <c r="A860" s="93">
        <v>127.0</v>
      </c>
      <c r="B860" s="96" t="s">
        <v>38</v>
      </c>
      <c r="C860" s="96" t="s">
        <v>144</v>
      </c>
      <c r="D860" s="96" t="s">
        <v>145</v>
      </c>
      <c r="E860" s="93">
        <v>-32.0</v>
      </c>
      <c r="F860" s="93">
        <v>23.85111261677684</v>
      </c>
      <c r="G860" s="93">
        <v>23.33357982043812</v>
      </c>
      <c r="H860" s="93">
        <v>6.332378557838023</v>
      </c>
      <c r="I860" s="93">
        <v>973.0</v>
      </c>
      <c r="J860" s="93">
        <v>941.0</v>
      </c>
      <c r="K860" s="93">
        <v>6.363450756772211</v>
      </c>
    </row>
    <row r="861">
      <c r="A861" s="93">
        <v>127.0</v>
      </c>
      <c r="B861" s="96" t="s">
        <v>83</v>
      </c>
      <c r="C861" s="96" t="s">
        <v>144</v>
      </c>
      <c r="D861" s="96" t="s">
        <v>145</v>
      </c>
      <c r="E861" s="93">
        <v>-41.0</v>
      </c>
      <c r="F861" s="93">
        <v>22.141568296321612</v>
      </c>
      <c r="G861" s="93">
        <v>21.462326800735585</v>
      </c>
      <c r="H861" s="93">
        <v>7.243100946668603</v>
      </c>
      <c r="I861" s="93">
        <v>762.0</v>
      </c>
      <c r="J861" s="93">
        <v>721.0</v>
      </c>
      <c r="K861" s="93">
        <v>7.290354059396237</v>
      </c>
    </row>
    <row r="862">
      <c r="A862" s="93">
        <v>127.0</v>
      </c>
      <c r="B862" s="96" t="s">
        <v>146</v>
      </c>
      <c r="C862" s="96" t="s">
        <v>144</v>
      </c>
      <c r="D862" s="96" t="s">
        <v>146</v>
      </c>
      <c r="E862" s="93" t="s">
        <v>147</v>
      </c>
      <c r="F862" s="93" t="s">
        <v>147</v>
      </c>
      <c r="G862" s="93" t="s">
        <v>147</v>
      </c>
      <c r="H862" s="93" t="s">
        <v>147</v>
      </c>
      <c r="I862" s="93" t="s">
        <v>147</v>
      </c>
      <c r="J862" s="93" t="s">
        <v>147</v>
      </c>
      <c r="K862" s="93" t="s">
        <v>147</v>
      </c>
    </row>
    <row r="863">
      <c r="A863" s="93">
        <v>127.0</v>
      </c>
      <c r="B863" s="96" t="s">
        <v>115</v>
      </c>
      <c r="C863" s="96" t="s">
        <v>144</v>
      </c>
      <c r="D863" s="96" t="s">
        <v>145</v>
      </c>
      <c r="E863" s="93">
        <v>-47.0</v>
      </c>
      <c r="F863" s="93">
        <v>22.040008478209135</v>
      </c>
      <c r="G863" s="93">
        <v>21.2566091308265</v>
      </c>
      <c r="H863" s="93">
        <v>7.770721647211097</v>
      </c>
      <c r="I863" s="93">
        <v>700.0</v>
      </c>
      <c r="J863" s="93">
        <v>653.0</v>
      </c>
      <c r="K863" s="93">
        <v>7.829491383180523</v>
      </c>
    </row>
    <row r="864">
      <c r="A864" s="93">
        <v>127.0</v>
      </c>
      <c r="B864" s="96" t="s">
        <v>33</v>
      </c>
      <c r="C864" s="96" t="s">
        <v>144</v>
      </c>
      <c r="D864" s="96" t="s">
        <v>145</v>
      </c>
      <c r="E864" s="93">
        <v>-48.0</v>
      </c>
      <c r="F864" s="93">
        <v>23.846101925761236</v>
      </c>
      <c r="G864" s="93">
        <v>23.047945254438815</v>
      </c>
      <c r="H864" s="93">
        <v>7.842436850775175</v>
      </c>
      <c r="I864" s="93">
        <v>815.0</v>
      </c>
      <c r="J864" s="93">
        <v>767.0</v>
      </c>
      <c r="K864" s="93">
        <v>7.902903459789958</v>
      </c>
    </row>
    <row r="865">
      <c r="A865" s="93">
        <v>127.0</v>
      </c>
      <c r="B865" s="96" t="s">
        <v>65</v>
      </c>
      <c r="C865" s="96" t="s">
        <v>144</v>
      </c>
      <c r="D865" s="96" t="s">
        <v>145</v>
      </c>
      <c r="E865" s="93">
        <v>-52.0</v>
      </c>
      <c r="F865" s="93">
        <v>25.880886878267464</v>
      </c>
      <c r="G865" s="93">
        <v>25.00836935151687</v>
      </c>
      <c r="H865" s="93">
        <v>8.193648871726465</v>
      </c>
      <c r="I865" s="93">
        <v>917.0</v>
      </c>
      <c r="J865" s="93">
        <v>865.0</v>
      </c>
      <c r="K865" s="93">
        <v>8.262902831409017</v>
      </c>
    </row>
    <row r="866">
      <c r="A866" s="93">
        <v>127.0</v>
      </c>
      <c r="B866" s="96" t="s">
        <v>41</v>
      </c>
      <c r="C866" s="96" t="s">
        <v>144</v>
      </c>
      <c r="D866" s="96" t="s">
        <v>145</v>
      </c>
      <c r="E866" s="93">
        <v>-36.0</v>
      </c>
      <c r="F866" s="93">
        <v>23.45429286690129</v>
      </c>
      <c r="G866" s="93">
        <v>22.877550431850892</v>
      </c>
      <c r="H866" s="93">
        <v>6.680948756050631</v>
      </c>
      <c r="I866" s="93">
        <v>910.0</v>
      </c>
      <c r="J866" s="93">
        <v>874.0</v>
      </c>
      <c r="K866" s="93">
        <v>6.717693857207383</v>
      </c>
    </row>
    <row r="867">
      <c r="A867" s="93">
        <v>127.0</v>
      </c>
      <c r="B867" s="96" t="s">
        <v>35</v>
      </c>
      <c r="C867" s="96" t="s">
        <v>144</v>
      </c>
      <c r="D867" s="96" t="s">
        <v>145</v>
      </c>
      <c r="E867" s="93">
        <v>-43.0</v>
      </c>
      <c r="F867" s="93">
        <v>27.305970803162943</v>
      </c>
      <c r="G867" s="93">
        <v>26.596394383096808</v>
      </c>
      <c r="H867" s="93">
        <v>7.400877005143612</v>
      </c>
      <c r="I867" s="93">
        <v>1097.0</v>
      </c>
      <c r="J867" s="93">
        <v>1054.0</v>
      </c>
      <c r="K867" s="93">
        <v>7.451399526961179</v>
      </c>
    </row>
    <row r="868">
      <c r="A868" s="93">
        <v>127.0</v>
      </c>
      <c r="B868" s="96" t="s">
        <v>16</v>
      </c>
      <c r="C868" s="96" t="s">
        <v>144</v>
      </c>
      <c r="D868" s="96" t="s">
        <v>145</v>
      </c>
      <c r="E868" s="93">
        <v>-30.0</v>
      </c>
      <c r="F868" s="93">
        <v>33.04438513935759</v>
      </c>
      <c r="G868" s="93">
        <v>32.55519765141343</v>
      </c>
      <c r="H868" s="93">
        <v>6.158224787263764</v>
      </c>
      <c r="I868" s="93">
        <v>1616.0</v>
      </c>
      <c r="J868" s="93">
        <v>1586.0</v>
      </c>
      <c r="K868" s="93">
        <v>6.186689391683599</v>
      </c>
    </row>
    <row r="869">
      <c r="A869" s="93">
        <v>127.0</v>
      </c>
      <c r="B869" s="96" t="s">
        <v>22</v>
      </c>
      <c r="C869" s="96" t="s">
        <v>144</v>
      </c>
      <c r="D869" s="96" t="s">
        <v>145</v>
      </c>
      <c r="E869" s="93">
        <v>-31.0</v>
      </c>
      <c r="F869" s="93">
        <v>23.832869491612755</v>
      </c>
      <c r="G869" s="93">
        <v>23.321238018378878</v>
      </c>
      <c r="H869" s="93">
        <v>6.29653371307373</v>
      </c>
      <c r="I869" s="93">
        <v>975.0</v>
      </c>
      <c r="J869" s="93">
        <v>944.0</v>
      </c>
      <c r="K869" s="93">
        <v>6.327057147712273</v>
      </c>
    </row>
    <row r="870">
      <c r="A870" s="93">
        <v>127.0</v>
      </c>
      <c r="B870" s="96" t="s">
        <v>92</v>
      </c>
      <c r="C870" s="96" t="s">
        <v>144</v>
      </c>
      <c r="D870" s="96" t="s">
        <v>145</v>
      </c>
      <c r="E870" s="93">
        <v>-49.0</v>
      </c>
      <c r="F870" s="93">
        <v>25.03884614966331</v>
      </c>
      <c r="G870" s="93">
        <v>24.214147531504835</v>
      </c>
      <c r="H870" s="93">
        <v>7.969693255086068</v>
      </c>
      <c r="I870" s="93">
        <v>883.0</v>
      </c>
      <c r="J870" s="93">
        <v>834.0</v>
      </c>
      <c r="K870" s="93">
        <v>8.033251339541202</v>
      </c>
    </row>
    <row r="871">
      <c r="A871" s="93">
        <v>127.0</v>
      </c>
      <c r="B871" s="96" t="s">
        <v>146</v>
      </c>
      <c r="C871" s="96" t="s">
        <v>144</v>
      </c>
      <c r="D871" s="96" t="s">
        <v>146</v>
      </c>
      <c r="E871" s="93" t="s">
        <v>147</v>
      </c>
      <c r="F871" s="93" t="s">
        <v>147</v>
      </c>
      <c r="G871" s="93" t="s">
        <v>147</v>
      </c>
      <c r="H871" s="93" t="s">
        <v>147</v>
      </c>
      <c r="I871" s="93" t="s">
        <v>147</v>
      </c>
      <c r="J871" s="93" t="s">
        <v>147</v>
      </c>
      <c r="K871" s="93" t="s">
        <v>147</v>
      </c>
    </row>
    <row r="872">
      <c r="A872" s="93">
        <v>126.0</v>
      </c>
      <c r="B872" s="96" t="s">
        <v>28</v>
      </c>
      <c r="C872" s="96" t="s">
        <v>142</v>
      </c>
      <c r="D872" s="96" t="s">
        <v>143</v>
      </c>
      <c r="E872" s="93">
        <v>39.0</v>
      </c>
      <c r="F872" s="93">
        <v>27.985865133362076</v>
      </c>
      <c r="G872" s="93">
        <v>28.497442572818983</v>
      </c>
      <c r="H872" s="93">
        <v>6.980636639133152</v>
      </c>
      <c r="I872" s="93">
        <v>1187.0</v>
      </c>
      <c r="J872" s="93">
        <v>1226.0</v>
      </c>
      <c r="K872" s="93">
        <v>7.018554681285106</v>
      </c>
    </row>
    <row r="873">
      <c r="A873" s="93">
        <v>126.0</v>
      </c>
      <c r="B873" s="96" t="s">
        <v>24</v>
      </c>
      <c r="C873" s="96" t="s">
        <v>142</v>
      </c>
      <c r="D873" s="96" t="s">
        <v>143</v>
      </c>
      <c r="E873" s="93">
        <v>36.0</v>
      </c>
      <c r="F873" s="93">
        <v>23.236794023211093</v>
      </c>
      <c r="G873" s="93">
        <v>23.712925211459243</v>
      </c>
      <c r="H873" s="93">
        <v>6.737046988374705</v>
      </c>
      <c r="I873" s="93">
        <v>889.0</v>
      </c>
      <c r="J873" s="93">
        <v>925.0</v>
      </c>
      <c r="K873" s="93">
        <v>6.770987768304443</v>
      </c>
    </row>
    <row r="874">
      <c r="A874" s="93">
        <v>126.0</v>
      </c>
      <c r="B874" s="96" t="s">
        <v>93</v>
      </c>
      <c r="C874" s="96" t="s">
        <v>142</v>
      </c>
      <c r="D874" s="96" t="s">
        <v>143</v>
      </c>
      <c r="E874" s="93">
        <v>50.0</v>
      </c>
      <c r="F874" s="93">
        <v>24.362319548273845</v>
      </c>
      <c r="G874" s="93">
        <v>25.02157058918089</v>
      </c>
      <c r="H874" s="93">
        <v>7.911666186553791</v>
      </c>
      <c r="I874" s="93">
        <v>844.0</v>
      </c>
      <c r="J874" s="93">
        <v>894.0</v>
      </c>
      <c r="K874" s="93">
        <v>7.967595582977907</v>
      </c>
    </row>
    <row r="875">
      <c r="A875" s="93">
        <v>126.0</v>
      </c>
      <c r="B875" s="96" t="s">
        <v>119</v>
      </c>
      <c r="C875" s="96" t="s">
        <v>144</v>
      </c>
      <c r="D875" s="96" t="s">
        <v>145</v>
      </c>
      <c r="E875" s="93">
        <v>-39.0</v>
      </c>
      <c r="F875" s="93">
        <v>22.05124900836806</v>
      </c>
      <c r="G875" s="93">
        <v>21.383373572549647</v>
      </c>
      <c r="H875" s="93">
        <v>7.962501273536387</v>
      </c>
      <c r="I875" s="93">
        <v>681.0</v>
      </c>
      <c r="J875" s="93">
        <v>642.0</v>
      </c>
      <c r="K875" s="93">
        <v>8.019550879449685</v>
      </c>
    </row>
    <row r="876">
      <c r="A876" s="93">
        <v>126.0</v>
      </c>
      <c r="B876" s="96" t="s">
        <v>50</v>
      </c>
      <c r="C876" s="96" t="s">
        <v>144</v>
      </c>
      <c r="D876" s="96" t="s">
        <v>145</v>
      </c>
      <c r="E876" s="93">
        <v>-37.0</v>
      </c>
      <c r="F876" s="93">
        <v>19.84586112864332</v>
      </c>
      <c r="G876" s="93">
        <v>19.216388754109868</v>
      </c>
      <c r="H876" s="93">
        <v>7.733419534810921</v>
      </c>
      <c r="I876" s="93">
        <v>555.0</v>
      </c>
      <c r="J876" s="93">
        <v>518.0</v>
      </c>
      <c r="K876" s="93">
        <v>7.785537295096372</v>
      </c>
    </row>
    <row r="877">
      <c r="A877" s="93">
        <v>126.0</v>
      </c>
      <c r="B877" s="96" t="s">
        <v>23</v>
      </c>
      <c r="C877" s="96" t="s">
        <v>144</v>
      </c>
      <c r="D877" s="96" t="s">
        <v>145</v>
      </c>
      <c r="E877" s="93">
        <v>-24.0</v>
      </c>
      <c r="F877" s="93">
        <v>31.261669859032924</v>
      </c>
      <c r="G877" s="93">
        <v>30.864543008180995</v>
      </c>
      <c r="H877" s="93">
        <v>6.158039460301068</v>
      </c>
      <c r="I877" s="93">
        <v>1495.0</v>
      </c>
      <c r="J877" s="93">
        <v>1471.0</v>
      </c>
      <c r="K877" s="93">
        <v>6.183636005370514</v>
      </c>
    </row>
    <row r="878">
      <c r="A878" s="93">
        <v>126.0</v>
      </c>
      <c r="B878" s="96" t="s">
        <v>115</v>
      </c>
      <c r="C878" s="96" t="s">
        <v>144</v>
      </c>
      <c r="D878" s="96" t="s">
        <v>145</v>
      </c>
      <c r="E878" s="93">
        <v>-38.0</v>
      </c>
      <c r="F878" s="93">
        <v>22.685441867304984</v>
      </c>
      <c r="G878" s="93">
        <v>22.040008478209135</v>
      </c>
      <c r="H878" s="93">
        <v>7.829491383180523</v>
      </c>
      <c r="I878" s="93">
        <v>738.0</v>
      </c>
      <c r="J878" s="93">
        <v>700.0</v>
      </c>
      <c r="K878" s="93">
        <v>7.883641226511628</v>
      </c>
    </row>
    <row r="879">
      <c r="A879" s="93">
        <v>126.0</v>
      </c>
      <c r="B879" s="96" t="s">
        <v>22</v>
      </c>
      <c r="C879" s="96" t="s">
        <v>144</v>
      </c>
      <c r="D879" s="96" t="s">
        <v>145</v>
      </c>
      <c r="E879" s="93">
        <v>-26.0</v>
      </c>
      <c r="F879" s="93">
        <v>24.252297550443476</v>
      </c>
      <c r="G879" s="93">
        <v>23.832869491612755</v>
      </c>
      <c r="H879" s="93">
        <v>6.327057147712273</v>
      </c>
      <c r="I879" s="93">
        <v>1001.0</v>
      </c>
      <c r="J879" s="93">
        <v>975.0</v>
      </c>
      <c r="K879" s="93">
        <v>6.354934095911955</v>
      </c>
    </row>
    <row r="880">
      <c r="A880" s="93">
        <v>126.0</v>
      </c>
      <c r="B880" s="96" t="s">
        <v>46</v>
      </c>
      <c r="C880" s="96" t="s">
        <v>144</v>
      </c>
      <c r="D880" s="96" t="s">
        <v>148</v>
      </c>
      <c r="E880" s="93" t="s">
        <v>147</v>
      </c>
      <c r="F880" s="93" t="s">
        <v>147</v>
      </c>
      <c r="G880" s="93" t="s">
        <v>147</v>
      </c>
      <c r="H880" s="93" t="s">
        <v>147</v>
      </c>
      <c r="I880" s="93" t="s">
        <v>147</v>
      </c>
      <c r="J880" s="93" t="s">
        <v>147</v>
      </c>
      <c r="K880" s="93" t="s">
        <v>147</v>
      </c>
    </row>
    <row r="881">
      <c r="A881" s="93">
        <v>126.0</v>
      </c>
      <c r="B881" s="96" t="s">
        <v>21</v>
      </c>
      <c r="C881" s="96" t="s">
        <v>144</v>
      </c>
      <c r="D881" s="96" t="s">
        <v>145</v>
      </c>
      <c r="E881" s="93">
        <v>-38.0</v>
      </c>
      <c r="F881" s="93">
        <v>24.32004712841653</v>
      </c>
      <c r="G881" s="93">
        <v>23.68603022103245</v>
      </c>
      <c r="H881" s="93">
        <v>7.7609018005575185</v>
      </c>
      <c r="I881" s="93">
        <v>857.0</v>
      </c>
      <c r="J881" s="93">
        <v>819.0</v>
      </c>
      <c r="K881" s="93">
        <v>7.813595568088921</v>
      </c>
    </row>
    <row r="882">
      <c r="A882" s="93">
        <v>126.0</v>
      </c>
      <c r="B882" s="96" t="s">
        <v>35</v>
      </c>
      <c r="C882" s="96" t="s">
        <v>144</v>
      </c>
      <c r="D882" s="96" t="s">
        <v>145</v>
      </c>
      <c r="E882" s="93">
        <v>-35.0</v>
      </c>
      <c r="F882" s="93">
        <v>27.889789774220084</v>
      </c>
      <c r="G882" s="93">
        <v>27.305970803162943</v>
      </c>
      <c r="H882" s="93">
        <v>7.451399526961179</v>
      </c>
      <c r="I882" s="93">
        <v>1132.0</v>
      </c>
      <c r="J882" s="93">
        <v>1097.0</v>
      </c>
      <c r="K882" s="93">
        <v>7.4978466211650865</v>
      </c>
    </row>
    <row r="883">
      <c r="A883" s="93">
        <v>126.0</v>
      </c>
      <c r="B883" s="96" t="s">
        <v>97</v>
      </c>
      <c r="C883" s="96" t="s">
        <v>144</v>
      </c>
      <c r="D883" s="96" t="s">
        <v>145</v>
      </c>
      <c r="E883" s="93">
        <v>-27.0</v>
      </c>
      <c r="F883" s="93">
        <v>25.79804370171591</v>
      </c>
      <c r="G883" s="93">
        <v>25.36357290342902</v>
      </c>
      <c r="H883" s="93">
        <v>6.4384685310180725</v>
      </c>
      <c r="I883" s="93">
        <v>1095.0</v>
      </c>
      <c r="J883" s="93">
        <v>1068.0</v>
      </c>
      <c r="K883" s="93">
        <v>6.46791745057387</v>
      </c>
    </row>
    <row r="884">
      <c r="A884" s="93">
        <v>126.0</v>
      </c>
      <c r="B884" s="96" t="s">
        <v>47</v>
      </c>
      <c r="C884" s="96" t="s">
        <v>144</v>
      </c>
      <c r="D884" s="96" t="s">
        <v>148</v>
      </c>
      <c r="E884" s="93" t="s">
        <v>147</v>
      </c>
      <c r="F884" s="93" t="s">
        <v>147</v>
      </c>
      <c r="G884" s="93" t="s">
        <v>147</v>
      </c>
      <c r="H884" s="93" t="s">
        <v>147</v>
      </c>
      <c r="I884" s="93" t="s">
        <v>147</v>
      </c>
      <c r="J884" s="93" t="s">
        <v>147</v>
      </c>
      <c r="K884" s="93" t="s">
        <v>147</v>
      </c>
    </row>
    <row r="885">
      <c r="A885" s="93">
        <v>126.0</v>
      </c>
      <c r="B885" s="96" t="s">
        <v>41</v>
      </c>
      <c r="C885" s="96" t="s">
        <v>144</v>
      </c>
      <c r="D885" s="96" t="s">
        <v>145</v>
      </c>
      <c r="E885" s="93">
        <v>-28.0</v>
      </c>
      <c r="F885" s="93">
        <v>23.92766415293669</v>
      </c>
      <c r="G885" s="93">
        <v>23.45429286690129</v>
      </c>
      <c r="H885" s="93">
        <v>6.717693857207383</v>
      </c>
      <c r="I885" s="93">
        <v>938.0</v>
      </c>
      <c r="J885" s="93">
        <v>910.0</v>
      </c>
      <c r="K885" s="93">
        <v>6.751330884285914</v>
      </c>
    </row>
    <row r="886">
      <c r="A886" s="93">
        <v>126.0</v>
      </c>
      <c r="B886" s="96" t="s">
        <v>83</v>
      </c>
      <c r="C886" s="96" t="s">
        <v>144</v>
      </c>
      <c r="D886" s="96" t="s">
        <v>145</v>
      </c>
      <c r="E886" s="93">
        <v>-34.0</v>
      </c>
      <c r="F886" s="93">
        <v>22.700117383757377</v>
      </c>
      <c r="G886" s="93">
        <v>22.141568296321612</v>
      </c>
      <c r="H886" s="93">
        <v>7.290354059396237</v>
      </c>
      <c r="I886" s="93">
        <v>796.0</v>
      </c>
      <c r="J886" s="93">
        <v>762.0</v>
      </c>
      <c r="K886" s="93">
        <v>7.333754644399699</v>
      </c>
    </row>
    <row r="887">
      <c r="A887" s="93">
        <v>125.0</v>
      </c>
      <c r="B887" s="96" t="s">
        <v>28</v>
      </c>
      <c r="C887" s="96" t="s">
        <v>142</v>
      </c>
      <c r="D887" s="96" t="s">
        <v>143</v>
      </c>
      <c r="E887" s="93">
        <v>52.0</v>
      </c>
      <c r="F887" s="93">
        <v>27.29035749863692</v>
      </c>
      <c r="G887" s="93">
        <v>27.985865133362076</v>
      </c>
      <c r="H887" s="93">
        <v>7.018554681285106</v>
      </c>
      <c r="I887" s="93">
        <v>1135.0</v>
      </c>
      <c r="J887" s="93">
        <v>1187.0</v>
      </c>
      <c r="K887" s="93">
        <v>7.0632479686081275</v>
      </c>
    </row>
    <row r="888">
      <c r="A888" s="93">
        <v>125.0</v>
      </c>
      <c r="B888" s="96" t="s">
        <v>24</v>
      </c>
      <c r="C888" s="96" t="s">
        <v>142</v>
      </c>
      <c r="D888" s="96" t="s">
        <v>143</v>
      </c>
      <c r="E888" s="93">
        <v>48.0</v>
      </c>
      <c r="F888" s="93">
        <v>22.59007543069629</v>
      </c>
      <c r="G888" s="93">
        <v>23.236794023211093</v>
      </c>
      <c r="H888" s="93">
        <v>6.770987768304443</v>
      </c>
      <c r="I888" s="93">
        <v>841.0</v>
      </c>
      <c r="J888" s="93">
        <v>889.0</v>
      </c>
      <c r="K888" s="93">
        <v>6.810953136574251</v>
      </c>
    </row>
    <row r="889">
      <c r="A889" s="93">
        <v>125.0</v>
      </c>
      <c r="B889" s="96" t="s">
        <v>93</v>
      </c>
      <c r="C889" s="96" t="s">
        <v>142</v>
      </c>
      <c r="D889" s="96" t="s">
        <v>143</v>
      </c>
      <c r="E889" s="93">
        <v>68.0</v>
      </c>
      <c r="F889" s="93">
        <v>23.462574375688302</v>
      </c>
      <c r="G889" s="93">
        <v>24.362319548273845</v>
      </c>
      <c r="H889" s="93">
        <v>7.967595582977907</v>
      </c>
      <c r="I889" s="93">
        <v>776.0</v>
      </c>
      <c r="J889" s="93">
        <v>844.0</v>
      </c>
      <c r="K889" s="93">
        <v>8.033839383995758</v>
      </c>
    </row>
    <row r="890">
      <c r="A890" s="93">
        <v>125.0</v>
      </c>
      <c r="B890" s="96" t="s">
        <v>119</v>
      </c>
      <c r="C890" s="96" t="s">
        <v>144</v>
      </c>
      <c r="D890" s="96" t="s">
        <v>145</v>
      </c>
      <c r="E890" s="93">
        <v>-56.0</v>
      </c>
      <c r="F890" s="93">
        <v>22.962971159413424</v>
      </c>
      <c r="G890" s="93">
        <v>22.05124900836806</v>
      </c>
      <c r="H890" s="93">
        <v>8.019550879449685</v>
      </c>
      <c r="I890" s="93">
        <v>737.0</v>
      </c>
      <c r="J890" s="93">
        <v>681.0</v>
      </c>
      <c r="K890" s="93">
        <v>8.087142160914826</v>
      </c>
    </row>
    <row r="891">
      <c r="A891" s="93">
        <v>125.0</v>
      </c>
      <c r="B891" s="96" t="s">
        <v>50</v>
      </c>
      <c r="C891" s="96" t="s">
        <v>144</v>
      </c>
      <c r="D891" s="96" t="s">
        <v>145</v>
      </c>
      <c r="E891" s="93">
        <v>-52.0</v>
      </c>
      <c r="F891" s="93">
        <v>20.704293654180365</v>
      </c>
      <c r="G891" s="93">
        <v>19.84586112864332</v>
      </c>
      <c r="H891" s="93">
        <v>7.785537295096372</v>
      </c>
      <c r="I891" s="93">
        <v>607.0</v>
      </c>
      <c r="J891" s="93">
        <v>555.0</v>
      </c>
      <c r="K891" s="93">
        <v>7.847202237406325</v>
      </c>
    </row>
    <row r="892">
      <c r="A892" s="93">
        <v>125.0</v>
      </c>
      <c r="B892" s="96" t="s">
        <v>23</v>
      </c>
      <c r="C892" s="96" t="s">
        <v>144</v>
      </c>
      <c r="D892" s="96" t="s">
        <v>145</v>
      </c>
      <c r="E892" s="93">
        <v>-34.0</v>
      </c>
      <c r="F892" s="93">
        <v>31.79996702236098</v>
      </c>
      <c r="G892" s="93">
        <v>31.261669859032924</v>
      </c>
      <c r="H892" s="93">
        <v>6.183636005370514</v>
      </c>
      <c r="I892" s="93">
        <v>1529.0</v>
      </c>
      <c r="J892" s="93">
        <v>1495.0</v>
      </c>
      <c r="K892" s="93">
        <v>6.213722239604445</v>
      </c>
    </row>
    <row r="893">
      <c r="A893" s="93">
        <v>125.0</v>
      </c>
      <c r="B893" s="96" t="s">
        <v>115</v>
      </c>
      <c r="C893" s="96" t="s">
        <v>144</v>
      </c>
      <c r="D893" s="96" t="s">
        <v>145</v>
      </c>
      <c r="E893" s="93">
        <v>-54.0</v>
      </c>
      <c r="F893" s="93">
        <v>23.566009403158517</v>
      </c>
      <c r="G893" s="93">
        <v>22.685441867304984</v>
      </c>
      <c r="H893" s="93">
        <v>7.883641226511628</v>
      </c>
      <c r="I893" s="93">
        <v>792.0</v>
      </c>
      <c r="J893" s="93">
        <v>738.0</v>
      </c>
      <c r="K893" s="93">
        <v>7.947746100203585</v>
      </c>
    </row>
    <row r="894">
      <c r="A894" s="93">
        <v>125.0</v>
      </c>
      <c r="B894" s="96" t="s">
        <v>22</v>
      </c>
      <c r="C894" s="96" t="s">
        <v>144</v>
      </c>
      <c r="D894" s="96" t="s">
        <v>145</v>
      </c>
      <c r="E894" s="93">
        <v>-35.0</v>
      </c>
      <c r="F894" s="93">
        <v>24.821154913759678</v>
      </c>
      <c r="G894" s="93">
        <v>24.252297550443476</v>
      </c>
      <c r="H894" s="93">
        <v>6.354934095911955</v>
      </c>
      <c r="I894" s="93">
        <v>1036.0</v>
      </c>
      <c r="J894" s="93">
        <v>1001.0</v>
      </c>
      <c r="K894" s="93">
        <v>6.38771459704521</v>
      </c>
    </row>
    <row r="895">
      <c r="A895" s="93">
        <v>125.0</v>
      </c>
      <c r="B895" s="96" t="s">
        <v>46</v>
      </c>
      <c r="C895" s="96" t="s">
        <v>144</v>
      </c>
      <c r="D895" s="96" t="s">
        <v>148</v>
      </c>
      <c r="E895" s="93" t="s">
        <v>147</v>
      </c>
      <c r="F895" s="93" t="s">
        <v>147</v>
      </c>
      <c r="G895" s="93" t="s">
        <v>147</v>
      </c>
      <c r="H895" s="93" t="s">
        <v>147</v>
      </c>
      <c r="I895" s="93" t="s">
        <v>147</v>
      </c>
      <c r="J895" s="93" t="s">
        <v>147</v>
      </c>
      <c r="K895" s="93" t="s">
        <v>147</v>
      </c>
    </row>
    <row r="896">
      <c r="A896" s="93">
        <v>125.0</v>
      </c>
      <c r="B896" s="96" t="s">
        <v>21</v>
      </c>
      <c r="C896" s="96" t="s">
        <v>144</v>
      </c>
      <c r="D896" s="96" t="s">
        <v>145</v>
      </c>
      <c r="E896" s="93">
        <v>-52.0</v>
      </c>
      <c r="F896" s="93">
        <v>25.184780191736632</v>
      </c>
      <c r="G896" s="93">
        <v>24.32004712841653</v>
      </c>
      <c r="H896" s="93">
        <v>7.813595568088921</v>
      </c>
      <c r="I896" s="93">
        <v>909.0</v>
      </c>
      <c r="J896" s="93">
        <v>857.0</v>
      </c>
      <c r="K896" s="93">
        <v>7.875951850018417</v>
      </c>
    </row>
    <row r="897">
      <c r="A897" s="93">
        <v>125.0</v>
      </c>
      <c r="B897" s="96" t="s">
        <v>35</v>
      </c>
      <c r="C897" s="96" t="s">
        <v>144</v>
      </c>
      <c r="D897" s="96" t="s">
        <v>145</v>
      </c>
      <c r="E897" s="93">
        <v>-48.0</v>
      </c>
      <c r="F897" s="93">
        <v>28.685012045514757</v>
      </c>
      <c r="G897" s="93">
        <v>27.889789774220084</v>
      </c>
      <c r="H897" s="93">
        <v>7.4978466211650865</v>
      </c>
      <c r="I897" s="93">
        <v>1180.0</v>
      </c>
      <c r="J897" s="93">
        <v>1132.0</v>
      </c>
      <c r="K897" s="93">
        <v>7.552717267617818</v>
      </c>
    </row>
    <row r="898">
      <c r="A898" s="93">
        <v>125.0</v>
      </c>
      <c r="B898" s="96" t="s">
        <v>97</v>
      </c>
      <c r="C898" s="96" t="s">
        <v>144</v>
      </c>
      <c r="D898" s="96" t="s">
        <v>145</v>
      </c>
      <c r="E898" s="93">
        <v>-36.0</v>
      </c>
      <c r="F898" s="93">
        <v>26.38753457241249</v>
      </c>
      <c r="G898" s="93">
        <v>25.79804370171591</v>
      </c>
      <c r="H898" s="93">
        <v>6.46791745057387</v>
      </c>
      <c r="I898" s="93">
        <v>1131.0</v>
      </c>
      <c r="J898" s="93">
        <v>1095.0</v>
      </c>
      <c r="K898" s="93">
        <v>6.502557724967322</v>
      </c>
    </row>
    <row r="899">
      <c r="A899" s="93">
        <v>125.0</v>
      </c>
      <c r="B899" s="96" t="s">
        <v>47</v>
      </c>
      <c r="C899" s="96" t="s">
        <v>144</v>
      </c>
      <c r="D899" s="96" t="s">
        <v>148</v>
      </c>
      <c r="E899" s="93" t="s">
        <v>147</v>
      </c>
      <c r="F899" s="93" t="s">
        <v>147</v>
      </c>
      <c r="G899" s="93" t="s">
        <v>147</v>
      </c>
      <c r="H899" s="93" t="s">
        <v>147</v>
      </c>
      <c r="I899" s="93" t="s">
        <v>147</v>
      </c>
      <c r="J899" s="93" t="s">
        <v>147</v>
      </c>
      <c r="K899" s="93" t="s">
        <v>147</v>
      </c>
    </row>
    <row r="900">
      <c r="A900" s="93">
        <v>125.0</v>
      </c>
      <c r="B900" s="96" t="s">
        <v>41</v>
      </c>
      <c r="C900" s="96" t="s">
        <v>144</v>
      </c>
      <c r="D900" s="96" t="s">
        <v>145</v>
      </c>
      <c r="E900" s="93">
        <v>-40.0</v>
      </c>
      <c r="F900" s="93">
        <v>24.5705877216078</v>
      </c>
      <c r="G900" s="93">
        <v>23.92766415293669</v>
      </c>
      <c r="H900" s="93">
        <v>6.751330884285914</v>
      </c>
      <c r="I900" s="93">
        <v>978.0</v>
      </c>
      <c r="J900" s="93">
        <v>938.0</v>
      </c>
      <c r="K900" s="93">
        <v>6.790935659657939</v>
      </c>
    </row>
    <row r="901">
      <c r="A901" s="93">
        <v>125.0</v>
      </c>
      <c r="B901" s="96" t="s">
        <v>83</v>
      </c>
      <c r="C901" s="96" t="s">
        <v>144</v>
      </c>
      <c r="D901" s="96" t="s">
        <v>145</v>
      </c>
      <c r="E901" s="93">
        <v>-46.0</v>
      </c>
      <c r="F901" s="93">
        <v>23.46041689498655</v>
      </c>
      <c r="G901" s="93">
        <v>22.700117383757377</v>
      </c>
      <c r="H901" s="93">
        <v>7.333754644399699</v>
      </c>
      <c r="I901" s="93">
        <v>842.0</v>
      </c>
      <c r="J901" s="93">
        <v>796.0</v>
      </c>
      <c r="K901" s="93">
        <v>7.384984144493762</v>
      </c>
    </row>
    <row r="902">
      <c r="A902" s="93">
        <v>124.0</v>
      </c>
      <c r="B902" s="96" t="s">
        <v>21</v>
      </c>
      <c r="C902" s="96" t="s">
        <v>142</v>
      </c>
      <c r="D902" s="96" t="s">
        <v>143</v>
      </c>
      <c r="E902" s="93">
        <v>76.0</v>
      </c>
      <c r="F902" s="93">
        <v>24.151829030058032</v>
      </c>
      <c r="G902" s="93">
        <v>25.184780191736632</v>
      </c>
      <c r="H902" s="93">
        <v>7.875951850018417</v>
      </c>
      <c r="I902" s="93">
        <v>833.0</v>
      </c>
      <c r="J902" s="93">
        <v>909.0</v>
      </c>
      <c r="K902" s="93">
        <v>7.938339981314036</v>
      </c>
    </row>
    <row r="903">
      <c r="A903" s="93">
        <v>124.0</v>
      </c>
      <c r="B903" s="96" t="s">
        <v>119</v>
      </c>
      <c r="C903" s="96" t="s">
        <v>142</v>
      </c>
      <c r="D903" s="96" t="s">
        <v>143</v>
      </c>
      <c r="E903" s="93">
        <v>81.0</v>
      </c>
      <c r="F903" s="93">
        <v>21.872912740485773</v>
      </c>
      <c r="G903" s="93">
        <v>22.962971159413424</v>
      </c>
      <c r="H903" s="93">
        <v>8.087142160914826</v>
      </c>
      <c r="I903" s="93">
        <v>656.0</v>
      </c>
      <c r="J903" s="93">
        <v>737.0</v>
      </c>
      <c r="K903" s="93">
        <v>8.154859680709686</v>
      </c>
    </row>
    <row r="904">
      <c r="A904" s="93">
        <v>124.0</v>
      </c>
      <c r="B904" s="96" t="s">
        <v>35</v>
      </c>
      <c r="C904" s="96" t="s">
        <v>142</v>
      </c>
      <c r="D904" s="96" t="s">
        <v>143</v>
      </c>
      <c r="E904" s="93">
        <v>70.0</v>
      </c>
      <c r="F904" s="93">
        <v>27.736350871295333</v>
      </c>
      <c r="G904" s="93">
        <v>28.685012045514757</v>
      </c>
      <c r="H904" s="93">
        <v>7.552717267617818</v>
      </c>
      <c r="I904" s="93">
        <v>1110.0</v>
      </c>
      <c r="J904" s="93">
        <v>1180.0</v>
      </c>
      <c r="K904" s="93">
        <v>7.607505976821299</v>
      </c>
    </row>
    <row r="905">
      <c r="A905" s="93">
        <v>124.0</v>
      </c>
      <c r="B905" s="96" t="s">
        <v>28</v>
      </c>
      <c r="C905" s="96" t="s">
        <v>144</v>
      </c>
      <c r="D905" s="96" t="s">
        <v>145</v>
      </c>
      <c r="E905" s="93">
        <v>-52.0</v>
      </c>
      <c r="F905" s="93">
        <v>28.11849269560389</v>
      </c>
      <c r="G905" s="93">
        <v>27.29035749863692</v>
      </c>
      <c r="H905" s="93">
        <v>7.0632479686081275</v>
      </c>
      <c r="I905" s="93">
        <v>1187.0</v>
      </c>
      <c r="J905" s="93">
        <v>1135.0</v>
      </c>
      <c r="K905" s="93">
        <v>7.107746002202965</v>
      </c>
    </row>
    <row r="906">
      <c r="A906" s="93">
        <v>124.0</v>
      </c>
      <c r="B906" s="96" t="s">
        <v>92</v>
      </c>
      <c r="C906" s="96" t="s">
        <v>144</v>
      </c>
      <c r="D906" s="96" t="s">
        <v>145</v>
      </c>
      <c r="E906" s="93">
        <v>-67.0</v>
      </c>
      <c r="F906" s="93">
        <v>26.114178663145445</v>
      </c>
      <c r="G906" s="93">
        <v>25.03884614966331</v>
      </c>
      <c r="H906" s="93">
        <v>8.033251339541202</v>
      </c>
      <c r="I906" s="93">
        <v>950.0</v>
      </c>
      <c r="J906" s="93">
        <v>883.0</v>
      </c>
      <c r="K906" s="93">
        <v>8.09958089518534</v>
      </c>
    </row>
    <row r="907">
      <c r="A907" s="93">
        <v>124.0</v>
      </c>
      <c r="B907" s="96" t="s">
        <v>17</v>
      </c>
      <c r="C907" s="96" t="s">
        <v>144</v>
      </c>
      <c r="D907" s="96" t="s">
        <v>145</v>
      </c>
      <c r="E907" s="93">
        <v>-46.0</v>
      </c>
      <c r="F907" s="93">
        <v>33.568032361488676</v>
      </c>
      <c r="G907" s="93">
        <v>32.835300130064745</v>
      </c>
      <c r="H907" s="93">
        <v>6.648863938974424</v>
      </c>
      <c r="I907" s="93">
        <v>1601.0</v>
      </c>
      <c r="J907" s="93">
        <v>1555.0</v>
      </c>
      <c r="K907" s="93">
        <v>6.685722236802062</v>
      </c>
    </row>
    <row r="908">
      <c r="A908" s="93">
        <v>124.0</v>
      </c>
      <c r="B908" s="96" t="s">
        <v>36</v>
      </c>
      <c r="C908" s="96" t="s">
        <v>144</v>
      </c>
      <c r="D908" s="96" t="s">
        <v>145</v>
      </c>
      <c r="E908" s="93">
        <v>-60.0</v>
      </c>
      <c r="F908" s="93">
        <v>26.37376608995592</v>
      </c>
      <c r="G908" s="93">
        <v>25.42285254458575</v>
      </c>
      <c r="H908" s="93">
        <v>7.561545736317021</v>
      </c>
      <c r="I908" s="93">
        <v>1017.0</v>
      </c>
      <c r="J908" s="93">
        <v>957.0</v>
      </c>
      <c r="K908" s="93">
        <v>7.616533291325336</v>
      </c>
    </row>
    <row r="909">
      <c r="A909" s="93">
        <v>124.0</v>
      </c>
      <c r="B909" s="96" t="s">
        <v>47</v>
      </c>
      <c r="C909" s="96" t="s">
        <v>144</v>
      </c>
      <c r="D909" s="96" t="s">
        <v>145</v>
      </c>
      <c r="E909" s="93">
        <v>-40.0</v>
      </c>
      <c r="F909" s="93">
        <v>24.2953028616067</v>
      </c>
      <c r="G909" s="93">
        <v>23.665336500156826</v>
      </c>
      <c r="H909" s="93">
        <v>6.169907957477298</v>
      </c>
      <c r="I909" s="93">
        <v>1020.0</v>
      </c>
      <c r="J909" s="93">
        <v>980.0</v>
      </c>
      <c r="K909" s="93">
        <v>6.199068518971354</v>
      </c>
    </row>
    <row r="910">
      <c r="A910" s="93">
        <v>124.0</v>
      </c>
      <c r="B910" s="96" t="s">
        <v>34</v>
      </c>
      <c r="C910" s="96" t="s">
        <v>144</v>
      </c>
      <c r="D910" s="96" t="s">
        <v>145</v>
      </c>
      <c r="E910" s="93">
        <v>-59.0</v>
      </c>
      <c r="F910" s="93">
        <v>23.595256927729572</v>
      </c>
      <c r="G910" s="93">
        <v>22.640215352479835</v>
      </c>
      <c r="H910" s="93">
        <v>7.577697775780407</v>
      </c>
      <c r="I910" s="93">
        <v>826.0</v>
      </c>
      <c r="J910" s="93">
        <v>767.0</v>
      </c>
      <c r="K910" s="93">
        <v>7.633050374573483</v>
      </c>
    </row>
    <row r="911">
      <c r="A911" s="93">
        <v>124.0</v>
      </c>
      <c r="B911" s="96" t="s">
        <v>41</v>
      </c>
      <c r="C911" s="96" t="s">
        <v>144</v>
      </c>
      <c r="D911" s="96" t="s">
        <v>145</v>
      </c>
      <c r="E911" s="93">
        <v>-48.0</v>
      </c>
      <c r="F911" s="93">
        <v>25.335347488020236</v>
      </c>
      <c r="G911" s="93">
        <v>24.5705877216078</v>
      </c>
      <c r="H911" s="93">
        <v>6.790935659657939</v>
      </c>
      <c r="I911" s="93">
        <v>1026.0</v>
      </c>
      <c r="J911" s="93">
        <v>978.0</v>
      </c>
      <c r="K911" s="93">
        <v>6.830307123951774</v>
      </c>
    </row>
    <row r="912">
      <c r="A912" s="93">
        <v>124.0</v>
      </c>
      <c r="B912" s="96" t="s">
        <v>115</v>
      </c>
      <c r="C912" s="96" t="s">
        <v>144</v>
      </c>
      <c r="D912" s="96" t="s">
        <v>145</v>
      </c>
      <c r="E912" s="93">
        <v>-65.0</v>
      </c>
      <c r="F912" s="93">
        <v>24.61819315199348</v>
      </c>
      <c r="G912" s="93">
        <v>23.566009403158517</v>
      </c>
      <c r="H912" s="93">
        <v>7.947746100203585</v>
      </c>
      <c r="I912" s="93">
        <v>857.0</v>
      </c>
      <c r="J912" s="93">
        <v>792.0</v>
      </c>
      <c r="K912" s="93">
        <v>8.011913011923976</v>
      </c>
    </row>
    <row r="913">
      <c r="A913" s="93">
        <v>124.0</v>
      </c>
      <c r="B913" s="96" t="s">
        <v>97</v>
      </c>
      <c r="C913" s="96" t="s">
        <v>144</v>
      </c>
      <c r="D913" s="96" t="s">
        <v>145</v>
      </c>
      <c r="E913" s="93">
        <v>-44.0</v>
      </c>
      <c r="F913" s="93">
        <v>27.08802484116286</v>
      </c>
      <c r="G913" s="93">
        <v>26.38753457241249</v>
      </c>
      <c r="H913" s="93">
        <v>6.502557724967322</v>
      </c>
      <c r="I913" s="93">
        <v>1175.0</v>
      </c>
      <c r="J913" s="93">
        <v>1131.0</v>
      </c>
      <c r="K913" s="93">
        <v>6.5369400015774835</v>
      </c>
    </row>
    <row r="914">
      <c r="A914" s="93">
        <v>124.0</v>
      </c>
      <c r="B914" s="96" t="s">
        <v>46</v>
      </c>
      <c r="C914" s="96" t="s">
        <v>144</v>
      </c>
      <c r="D914" s="96" t="s">
        <v>148</v>
      </c>
      <c r="E914" s="93" t="s">
        <v>147</v>
      </c>
      <c r="F914" s="93" t="s">
        <v>147</v>
      </c>
      <c r="G914" s="93" t="s">
        <v>147</v>
      </c>
      <c r="H914" s="93" t="s">
        <v>147</v>
      </c>
      <c r="I914" s="93" t="s">
        <v>147</v>
      </c>
      <c r="J914" s="93" t="s">
        <v>147</v>
      </c>
      <c r="K914" s="93" t="s">
        <v>147</v>
      </c>
    </row>
    <row r="915">
      <c r="A915" s="93">
        <v>124.0</v>
      </c>
      <c r="B915" s="96" t="s">
        <v>22</v>
      </c>
      <c r="C915" s="96" t="s">
        <v>144</v>
      </c>
      <c r="D915" s="96" t="s">
        <v>145</v>
      </c>
      <c r="E915" s="93">
        <v>-43.0</v>
      </c>
      <c r="F915" s="93">
        <v>25.496861510736235</v>
      </c>
      <c r="G915" s="93">
        <v>24.821154913759678</v>
      </c>
      <c r="H915" s="93">
        <v>6.38771459704521</v>
      </c>
      <c r="I915" s="93">
        <v>1079.0</v>
      </c>
      <c r="J915" s="93">
        <v>1036.0</v>
      </c>
      <c r="K915" s="93">
        <v>6.420231103800471</v>
      </c>
    </row>
    <row r="916">
      <c r="A916" s="93">
        <v>124.0</v>
      </c>
      <c r="B916" s="96" t="s">
        <v>26</v>
      </c>
      <c r="C916" s="96" t="s">
        <v>144</v>
      </c>
      <c r="D916" s="96" t="s">
        <v>145</v>
      </c>
      <c r="E916" s="93">
        <v>-44.0</v>
      </c>
      <c r="F916" s="93">
        <v>28.06160962869283</v>
      </c>
      <c r="G916" s="93">
        <v>27.366288319622974</v>
      </c>
      <c r="H916" s="93">
        <v>6.478781008006054</v>
      </c>
      <c r="I916" s="93">
        <v>1244.0</v>
      </c>
      <c r="J916" s="93">
        <v>1200.0</v>
      </c>
      <c r="K916" s="93">
        <v>6.512771443068228</v>
      </c>
    </row>
    <row r="917">
      <c r="A917" s="93">
        <v>123.0</v>
      </c>
      <c r="B917" s="96" t="s">
        <v>47</v>
      </c>
      <c r="C917" s="96" t="s">
        <v>142</v>
      </c>
      <c r="D917" s="96" t="s">
        <v>143</v>
      </c>
      <c r="E917" s="93">
        <v>65.0</v>
      </c>
      <c r="F917" s="93">
        <v>23.396162418566703</v>
      </c>
      <c r="G917" s="93">
        <v>24.2953028616067</v>
      </c>
      <c r="H917" s="93">
        <v>6.199068518971354</v>
      </c>
      <c r="I917" s="93">
        <v>955.0</v>
      </c>
      <c r="J917" s="93">
        <v>1020.0</v>
      </c>
      <c r="K917" s="93">
        <v>6.236876468615677</v>
      </c>
    </row>
    <row r="918">
      <c r="A918" s="93">
        <v>123.0</v>
      </c>
      <c r="B918" s="96" t="s">
        <v>33</v>
      </c>
      <c r="C918" s="96" t="s">
        <v>142</v>
      </c>
      <c r="D918" s="96" t="s">
        <v>143</v>
      </c>
      <c r="E918" s="93">
        <v>108.0</v>
      </c>
      <c r="F918" s="93">
        <v>22.37302358709208</v>
      </c>
      <c r="G918" s="93">
        <v>23.846101925761236</v>
      </c>
      <c r="H918" s="93">
        <v>7.902903459789958</v>
      </c>
      <c r="I918" s="93">
        <v>707.0</v>
      </c>
      <c r="J918" s="93">
        <v>815.0</v>
      </c>
      <c r="K918" s="93">
        <v>7.983402883352196</v>
      </c>
    </row>
    <row r="919">
      <c r="A919" s="93">
        <v>123.0</v>
      </c>
      <c r="B919" s="96" t="s">
        <v>83</v>
      </c>
      <c r="C919" s="96" t="s">
        <v>142</v>
      </c>
      <c r="D919" s="96" t="s">
        <v>143</v>
      </c>
      <c r="E919" s="93">
        <v>94.0</v>
      </c>
      <c r="F919" s="93">
        <v>22.177506885818914</v>
      </c>
      <c r="G919" s="93">
        <v>23.46041689498655</v>
      </c>
      <c r="H919" s="93">
        <v>7.384984144493762</v>
      </c>
      <c r="I919" s="93">
        <v>748.0</v>
      </c>
      <c r="J919" s="93">
        <v>842.0</v>
      </c>
      <c r="K919" s="93">
        <v>7.450204112256812</v>
      </c>
    </row>
    <row r="920">
      <c r="A920" s="93">
        <v>123.0</v>
      </c>
      <c r="B920" s="96" t="s">
        <v>38</v>
      </c>
      <c r="C920" s="96" t="s">
        <v>144</v>
      </c>
      <c r="D920" s="96" t="s">
        <v>145</v>
      </c>
      <c r="E920" s="93">
        <v>-60.0</v>
      </c>
      <c r="F920" s="93">
        <v>24.79921588841088</v>
      </c>
      <c r="G920" s="93">
        <v>23.85111261677684</v>
      </c>
      <c r="H920" s="93">
        <v>6.363450756772211</v>
      </c>
      <c r="I920" s="93">
        <v>1033.0</v>
      </c>
      <c r="J920" s="93">
        <v>973.0</v>
      </c>
      <c r="K920" s="93">
        <v>6.404483062843453</v>
      </c>
    </row>
    <row r="921">
      <c r="A921" s="93">
        <v>123.0</v>
      </c>
      <c r="B921" s="96" t="s">
        <v>146</v>
      </c>
      <c r="C921" s="96" t="s">
        <v>144</v>
      </c>
      <c r="D921" s="96" t="s">
        <v>146</v>
      </c>
      <c r="E921" s="93" t="s">
        <v>147</v>
      </c>
      <c r="F921" s="93" t="s">
        <v>147</v>
      </c>
      <c r="G921" s="93" t="s">
        <v>147</v>
      </c>
      <c r="H921" s="93" t="s">
        <v>147</v>
      </c>
      <c r="I921" s="93" t="s">
        <v>147</v>
      </c>
      <c r="J921" s="93" t="s">
        <v>147</v>
      </c>
      <c r="K921" s="93" t="s">
        <v>147</v>
      </c>
    </row>
    <row r="922">
      <c r="A922" s="93">
        <v>123.0</v>
      </c>
      <c r="B922" s="96" t="s">
        <v>32</v>
      </c>
      <c r="C922" s="96" t="s">
        <v>144</v>
      </c>
      <c r="D922" s="96" t="s">
        <v>145</v>
      </c>
      <c r="E922" s="93">
        <v>-68.0</v>
      </c>
      <c r="F922" s="93">
        <v>31.727644648428086</v>
      </c>
      <c r="G922" s="93">
        <v>30.656095618478215</v>
      </c>
      <c r="H922" s="93">
        <v>6.759238842351862</v>
      </c>
      <c r="I922" s="93">
        <v>1463.0</v>
      </c>
      <c r="J922" s="93">
        <v>1395.0</v>
      </c>
      <c r="K922" s="93">
        <v>6.8087655697678615</v>
      </c>
    </row>
    <row r="923">
      <c r="A923" s="93">
        <v>123.0</v>
      </c>
      <c r="B923" s="96" t="s">
        <v>119</v>
      </c>
      <c r="C923" s="96" t="s">
        <v>144</v>
      </c>
      <c r="D923" s="96" t="s">
        <v>145</v>
      </c>
      <c r="E923" s="93">
        <v>-97.0</v>
      </c>
      <c r="F923" s="93">
        <v>23.443563039606108</v>
      </c>
      <c r="G923" s="93">
        <v>21.872912740485773</v>
      </c>
      <c r="H923" s="93">
        <v>8.154859680709686</v>
      </c>
      <c r="I923" s="93">
        <v>753.0</v>
      </c>
      <c r="J923" s="93">
        <v>656.0</v>
      </c>
      <c r="K923" s="93">
        <v>8.243601546976677</v>
      </c>
    </row>
    <row r="924">
      <c r="A924" s="93">
        <v>123.0</v>
      </c>
      <c r="B924" s="96" t="s">
        <v>71</v>
      </c>
      <c r="C924" s="96" t="s">
        <v>144</v>
      </c>
      <c r="D924" s="96" t="s">
        <v>145</v>
      </c>
      <c r="E924" s="93">
        <v>-90.0</v>
      </c>
      <c r="F924" s="93">
        <v>25.213512611729197</v>
      </c>
      <c r="G924" s="93">
        <v>23.785450888936886</v>
      </c>
      <c r="H924" s="93">
        <v>7.783665069367795</v>
      </c>
      <c r="I924" s="93">
        <v>913.0</v>
      </c>
      <c r="J924" s="93">
        <v>823.0</v>
      </c>
      <c r="K924" s="93">
        <v>7.860452365241113</v>
      </c>
    </row>
    <row r="925">
      <c r="A925" s="93">
        <v>123.0</v>
      </c>
      <c r="B925" s="96" t="s">
        <v>93</v>
      </c>
      <c r="C925" s="96" t="s">
        <v>144</v>
      </c>
      <c r="D925" s="96" t="s">
        <v>145</v>
      </c>
      <c r="E925" s="93">
        <v>-95.0</v>
      </c>
      <c r="F925" s="93">
        <v>24.98594243776349</v>
      </c>
      <c r="G925" s="93">
        <v>23.462574375688302</v>
      </c>
      <c r="H925" s="93">
        <v>8.033839383995758</v>
      </c>
      <c r="I925" s="93">
        <v>871.0</v>
      </c>
      <c r="J925" s="93">
        <v>776.0</v>
      </c>
      <c r="K925" s="93">
        <v>8.118553794681088</v>
      </c>
    </row>
    <row r="926">
      <c r="A926" s="93">
        <v>123.0</v>
      </c>
      <c r="B926" s="96" t="s">
        <v>23</v>
      </c>
      <c r="C926" s="96" t="s">
        <v>144</v>
      </c>
      <c r="D926" s="96" t="s">
        <v>145</v>
      </c>
      <c r="E926" s="93">
        <v>-57.0</v>
      </c>
      <c r="F926" s="93">
        <v>32.70341748457332</v>
      </c>
      <c r="G926" s="93">
        <v>31.79996702236098</v>
      </c>
      <c r="H926" s="93">
        <v>6.213722239604445</v>
      </c>
      <c r="I926" s="93">
        <v>1586.0</v>
      </c>
      <c r="J926" s="93">
        <v>1529.0</v>
      </c>
      <c r="K926" s="93">
        <v>6.251810628716949</v>
      </c>
    </row>
    <row r="927">
      <c r="A927" s="93">
        <v>123.0</v>
      </c>
      <c r="B927" s="96" t="s">
        <v>22</v>
      </c>
      <c r="C927" s="96" t="s">
        <v>144</v>
      </c>
      <c r="D927" s="96" t="s">
        <v>145</v>
      </c>
      <c r="E927" s="93">
        <v>-61.0</v>
      </c>
      <c r="F927" s="93">
        <v>26.46219115616784</v>
      </c>
      <c r="G927" s="93">
        <v>25.496861510736235</v>
      </c>
      <c r="H927" s="93">
        <v>6.420231103800471</v>
      </c>
      <c r="I927" s="93">
        <v>1140.0</v>
      </c>
      <c r="J927" s="93">
        <v>1079.0</v>
      </c>
      <c r="K927" s="93">
        <v>6.4624177012470705</v>
      </c>
    </row>
    <row r="928">
      <c r="A928" s="93">
        <v>123.0</v>
      </c>
      <c r="B928" s="96" t="s">
        <v>124</v>
      </c>
      <c r="C928" s="96" t="s">
        <v>144</v>
      </c>
      <c r="D928" s="96" t="s">
        <v>145</v>
      </c>
      <c r="E928" s="93">
        <v>-82.0</v>
      </c>
      <c r="F928" s="93">
        <v>22.052869711487464</v>
      </c>
      <c r="G928" s="93">
        <v>20.737487247550238</v>
      </c>
      <c r="H928" s="93">
        <v>7.4761663214935465</v>
      </c>
      <c r="I928" s="93">
        <v>730.0</v>
      </c>
      <c r="J928" s="93">
        <v>648.0</v>
      </c>
      <c r="K928" s="93">
        <v>7.543919824382366</v>
      </c>
    </row>
    <row r="929">
      <c r="A929" s="93">
        <v>123.0</v>
      </c>
      <c r="B929" s="96" t="s">
        <v>28</v>
      </c>
      <c r="C929" s="96" t="s">
        <v>144</v>
      </c>
      <c r="D929" s="96" t="s">
        <v>145</v>
      </c>
      <c r="E929" s="93">
        <v>-75.0</v>
      </c>
      <c r="F929" s="93">
        <v>29.305294195799398</v>
      </c>
      <c r="G929" s="93">
        <v>28.11849269560389</v>
      </c>
      <c r="H929" s="93">
        <v>7.107746002202965</v>
      </c>
      <c r="I929" s="93">
        <v>1262.0</v>
      </c>
      <c r="J929" s="93">
        <v>1187.0</v>
      </c>
      <c r="K929" s="93">
        <v>7.165655907456516</v>
      </c>
    </row>
    <row r="930">
      <c r="A930" s="93">
        <v>123.0</v>
      </c>
      <c r="B930" s="96" t="s">
        <v>146</v>
      </c>
      <c r="C930" s="96" t="s">
        <v>144</v>
      </c>
      <c r="D930" s="96" t="s">
        <v>146</v>
      </c>
      <c r="E930" s="93" t="s">
        <v>147</v>
      </c>
      <c r="F930" s="93" t="s">
        <v>147</v>
      </c>
      <c r="G930" s="93" t="s">
        <v>147</v>
      </c>
      <c r="H930" s="93" t="s">
        <v>147</v>
      </c>
      <c r="I930" s="93" t="s">
        <v>147</v>
      </c>
      <c r="J930" s="93" t="s">
        <v>147</v>
      </c>
      <c r="K930" s="93" t="s">
        <v>147</v>
      </c>
    </row>
    <row r="931">
      <c r="A931" s="93">
        <v>123.0</v>
      </c>
      <c r="B931" s="96" t="s">
        <v>21</v>
      </c>
      <c r="C931" s="96" t="s">
        <v>144</v>
      </c>
      <c r="D931" s="96" t="s">
        <v>145</v>
      </c>
      <c r="E931" s="93">
        <v>-92.0</v>
      </c>
      <c r="F931" s="93">
        <v>25.63842911260823</v>
      </c>
      <c r="G931" s="93">
        <v>24.151829030058032</v>
      </c>
      <c r="H931" s="93">
        <v>7.938339981314036</v>
      </c>
      <c r="I931" s="93">
        <v>925.0</v>
      </c>
      <c r="J931" s="93">
        <v>833.0</v>
      </c>
      <c r="K931" s="93">
        <v>8.019965703233549</v>
      </c>
    </row>
    <row r="932">
      <c r="A932" s="93">
        <v>122.0</v>
      </c>
      <c r="B932" s="96" t="s">
        <v>119</v>
      </c>
      <c r="C932" s="96" t="s">
        <v>142</v>
      </c>
      <c r="D932" s="96" t="s">
        <v>145</v>
      </c>
      <c r="E932" s="93">
        <v>-97.0</v>
      </c>
      <c r="F932" s="93">
        <v>25.0</v>
      </c>
      <c r="G932" s="93">
        <v>23.443563039606108</v>
      </c>
      <c r="H932" s="93">
        <v>8.243601546976677</v>
      </c>
      <c r="I932" s="93">
        <v>850.0</v>
      </c>
      <c r="J932" s="93">
        <v>753.0</v>
      </c>
      <c r="K932" s="93">
        <v>8.333333333333334</v>
      </c>
    </row>
    <row r="933">
      <c r="A933" s="93">
        <v>122.0</v>
      </c>
      <c r="B933" s="96" t="s">
        <v>124</v>
      </c>
      <c r="C933" s="96" t="s">
        <v>142</v>
      </c>
      <c r="D933" s="96" t="s">
        <v>145</v>
      </c>
      <c r="E933" s="93">
        <v>-81.0</v>
      </c>
      <c r="F933" s="93">
        <v>23.351572729871968</v>
      </c>
      <c r="G933" s="93">
        <v>22.052869711487464</v>
      </c>
      <c r="H933" s="93">
        <v>7.543919824382366</v>
      </c>
      <c r="I933" s="93">
        <v>811.0</v>
      </c>
      <c r="J933" s="93">
        <v>730.0</v>
      </c>
      <c r="K933" s="93">
        <v>7.612051284895791</v>
      </c>
    </row>
    <row r="934">
      <c r="A934" s="93">
        <v>122.0</v>
      </c>
      <c r="B934" s="96" t="s">
        <v>22</v>
      </c>
      <c r="C934" s="96" t="s">
        <v>142</v>
      </c>
      <c r="D934" s="96" t="s">
        <v>145</v>
      </c>
      <c r="E934" s="93">
        <v>-60.0</v>
      </c>
      <c r="F934" s="93">
        <v>27.410532407469</v>
      </c>
      <c r="G934" s="93">
        <v>26.46219115616784</v>
      </c>
      <c r="H934" s="93">
        <v>6.4624177012470705</v>
      </c>
      <c r="I934" s="93">
        <v>1200.0</v>
      </c>
      <c r="J934" s="93">
        <v>1140.0</v>
      </c>
      <c r="K934" s="93">
        <v>6.504520038137736</v>
      </c>
    </row>
    <row r="935">
      <c r="A935" s="93">
        <v>122.0</v>
      </c>
      <c r="B935" s="96" t="s">
        <v>93</v>
      </c>
      <c r="C935" s="96" t="s">
        <v>144</v>
      </c>
      <c r="D935" s="96" t="s">
        <v>143</v>
      </c>
      <c r="E935" s="93">
        <v>111.0</v>
      </c>
      <c r="F935" s="93">
        <v>23.477389429873842</v>
      </c>
      <c r="G935" s="93">
        <v>24.98594243776349</v>
      </c>
      <c r="H935" s="93">
        <v>8.118553794681088</v>
      </c>
      <c r="I935" s="93">
        <v>760.0</v>
      </c>
      <c r="J935" s="93">
        <v>871.0</v>
      </c>
      <c r="K935" s="93">
        <v>8.204125236794864</v>
      </c>
    </row>
    <row r="936">
      <c r="A936" s="93">
        <v>122.0</v>
      </c>
      <c r="B936" s="96" t="s">
        <v>24</v>
      </c>
      <c r="C936" s="96" t="s">
        <v>144</v>
      </c>
      <c r="D936" s="96" t="s">
        <v>143</v>
      </c>
      <c r="E936" s="93">
        <v>76.0</v>
      </c>
      <c r="F936" s="93">
        <v>21.53510351156565</v>
      </c>
      <c r="G936" s="93">
        <v>22.59007543069629</v>
      </c>
      <c r="H936" s="93">
        <v>6.810953136574251</v>
      </c>
      <c r="I936" s="93">
        <v>765.0</v>
      </c>
      <c r="J936" s="93">
        <v>841.0</v>
      </c>
      <c r="K936" s="93">
        <v>6.860544289788865</v>
      </c>
    </row>
    <row r="937">
      <c r="A937" s="93">
        <v>122.0</v>
      </c>
      <c r="B937" s="96" t="s">
        <v>33</v>
      </c>
      <c r="C937" s="96" t="s">
        <v>144</v>
      </c>
      <c r="D937" s="96" t="s">
        <v>143</v>
      </c>
      <c r="E937" s="93">
        <v>107.0</v>
      </c>
      <c r="F937" s="93">
        <v>20.915327644084922</v>
      </c>
      <c r="G937" s="93">
        <v>22.37302358709208</v>
      </c>
      <c r="H937" s="93">
        <v>7.983402883352196</v>
      </c>
      <c r="I937" s="93">
        <v>600.0</v>
      </c>
      <c r="J937" s="93">
        <v>707.0</v>
      </c>
      <c r="K937" s="93">
        <v>8.064628025390046</v>
      </c>
    </row>
    <row r="938">
      <c r="A938" s="93">
        <v>122.0</v>
      </c>
      <c r="B938" s="96" t="s">
        <v>28</v>
      </c>
      <c r="C938" s="96" t="s">
        <v>144</v>
      </c>
      <c r="D938" s="96" t="s">
        <v>143</v>
      </c>
      <c r="E938" s="93">
        <v>86.0</v>
      </c>
      <c r="F938" s="93">
        <v>28.13569403599515</v>
      </c>
      <c r="G938" s="93">
        <v>29.305294195799398</v>
      </c>
      <c r="H938" s="93">
        <v>7.165655907456516</v>
      </c>
      <c r="I938" s="93">
        <v>1176.0</v>
      </c>
      <c r="J938" s="93">
        <v>1262.0</v>
      </c>
      <c r="K938" s="93">
        <v>7.223727477985338</v>
      </c>
    </row>
    <row r="939">
      <c r="A939" s="93">
        <v>122.0</v>
      </c>
      <c r="B939" s="96" t="s">
        <v>23</v>
      </c>
      <c r="C939" s="96" t="s">
        <v>144</v>
      </c>
      <c r="D939" s="96" t="s">
        <v>143</v>
      </c>
      <c r="E939" s="93">
        <v>64.0</v>
      </c>
      <c r="F939" s="93">
        <v>31.816647397743733</v>
      </c>
      <c r="G939" s="93">
        <v>32.70341748457332</v>
      </c>
      <c r="H939" s="93">
        <v>6.251810628716949</v>
      </c>
      <c r="I939" s="93">
        <v>1522.0</v>
      </c>
      <c r="J939" s="93">
        <v>1586.0</v>
      </c>
      <c r="K939" s="93">
        <v>6.289771794180988</v>
      </c>
    </row>
    <row r="940">
      <c r="A940" s="93">
        <v>122.0</v>
      </c>
      <c r="B940" s="96" t="s">
        <v>21</v>
      </c>
      <c r="C940" s="96" t="s">
        <v>144</v>
      </c>
      <c r="D940" s="96" t="s">
        <v>143</v>
      </c>
      <c r="E940" s="93">
        <v>108.0</v>
      </c>
      <c r="F940" s="93">
        <v>24.167066223318066</v>
      </c>
      <c r="G940" s="93">
        <v>25.63842911260823</v>
      </c>
      <c r="H940" s="93">
        <v>8.019965703233549</v>
      </c>
      <c r="I940" s="93">
        <v>817.0</v>
      </c>
      <c r="J940" s="93">
        <v>925.0</v>
      </c>
      <c r="K940" s="93">
        <v>8.102351449562038</v>
      </c>
    </row>
    <row r="941">
      <c r="A941" s="93">
        <v>122.0</v>
      </c>
      <c r="B941" s="96" t="s">
        <v>38</v>
      </c>
      <c r="C941" s="96" t="s">
        <v>144</v>
      </c>
      <c r="D941" s="96" t="s">
        <v>143</v>
      </c>
      <c r="E941" s="93">
        <v>67.0</v>
      </c>
      <c r="F941" s="93">
        <v>23.868026091426895</v>
      </c>
      <c r="G941" s="93">
        <v>24.79921588841088</v>
      </c>
      <c r="H941" s="93">
        <v>6.404483062843453</v>
      </c>
      <c r="I941" s="93">
        <v>966.0</v>
      </c>
      <c r="J941" s="93">
        <v>1033.0</v>
      </c>
      <c r="K941" s="93">
        <v>6.445418094452324</v>
      </c>
    </row>
    <row r="942">
      <c r="A942" s="93">
        <v>122.0</v>
      </c>
      <c r="B942" s="96" t="s">
        <v>71</v>
      </c>
      <c r="C942" s="96" t="s">
        <v>144</v>
      </c>
      <c r="D942" s="96" t="s">
        <v>143</v>
      </c>
      <c r="E942" s="93">
        <v>104.0</v>
      </c>
      <c r="F942" s="93">
        <v>23.801277881866508</v>
      </c>
      <c r="G942" s="93">
        <v>25.213512611729197</v>
      </c>
      <c r="H942" s="93">
        <v>7.860452365241113</v>
      </c>
      <c r="I942" s="93">
        <v>809.0</v>
      </c>
      <c r="J942" s="93">
        <v>913.0</v>
      </c>
      <c r="K942" s="93">
        <v>7.937856383686922</v>
      </c>
    </row>
    <row r="943">
      <c r="A943" s="93">
        <v>122.0</v>
      </c>
      <c r="B943" s="96" t="s">
        <v>47</v>
      </c>
      <c r="C943" s="96" t="s">
        <v>144</v>
      </c>
      <c r="D943" s="96" t="s">
        <v>143</v>
      </c>
      <c r="E943" s="93">
        <v>64.0</v>
      </c>
      <c r="F943" s="93">
        <v>22.51367688612169</v>
      </c>
      <c r="G943" s="93">
        <v>23.396162418566703</v>
      </c>
      <c r="H943" s="93">
        <v>6.236876468615677</v>
      </c>
      <c r="I943" s="93">
        <v>891.0</v>
      </c>
      <c r="J943" s="93">
        <v>955.0</v>
      </c>
      <c r="K943" s="93">
        <v>6.274554586886833</v>
      </c>
    </row>
    <row r="944">
      <c r="A944" s="93">
        <v>122.0</v>
      </c>
      <c r="B944" s="96" t="s">
        <v>146</v>
      </c>
      <c r="C944" s="96" t="s">
        <v>144</v>
      </c>
      <c r="D944" s="96" t="s">
        <v>146</v>
      </c>
      <c r="E944" s="93" t="s">
        <v>147</v>
      </c>
      <c r="F944" s="93" t="s">
        <v>147</v>
      </c>
      <c r="G944" s="93" t="s">
        <v>147</v>
      </c>
      <c r="H944" s="93" t="s">
        <v>147</v>
      </c>
      <c r="I944" s="93" t="s">
        <v>147</v>
      </c>
      <c r="J944" s="93" t="s">
        <v>147</v>
      </c>
      <c r="K944" s="93" t="s">
        <v>147</v>
      </c>
    </row>
    <row r="945">
      <c r="A945" s="93">
        <v>122.0</v>
      </c>
      <c r="B945" s="96" t="s">
        <v>32</v>
      </c>
      <c r="C945" s="96" t="s">
        <v>144</v>
      </c>
      <c r="D945" s="96" t="s">
        <v>143</v>
      </c>
      <c r="E945" s="93">
        <v>77.0</v>
      </c>
      <c r="F945" s="93">
        <v>30.673360493350014</v>
      </c>
      <c r="G945" s="93">
        <v>31.727644648428086</v>
      </c>
      <c r="H945" s="93">
        <v>6.8087655697678615</v>
      </c>
      <c r="I945" s="93">
        <v>1386.0</v>
      </c>
      <c r="J945" s="93">
        <v>1463.0</v>
      </c>
      <c r="K945" s="93">
        <v>6.858307164920484</v>
      </c>
    </row>
    <row r="946">
      <c r="A946" s="93">
        <v>122.0</v>
      </c>
      <c r="B946" s="96" t="s">
        <v>146</v>
      </c>
      <c r="C946" s="96" t="s">
        <v>144</v>
      </c>
      <c r="D946" s="96" t="s">
        <v>146</v>
      </c>
      <c r="E946" s="93" t="s">
        <v>147</v>
      </c>
      <c r="F946" s="93" t="s">
        <v>147</v>
      </c>
      <c r="G946" s="93" t="s">
        <v>147</v>
      </c>
      <c r="H946" s="93" t="s">
        <v>147</v>
      </c>
      <c r="I946" s="93" t="s">
        <v>147</v>
      </c>
      <c r="J946" s="93" t="s">
        <v>147</v>
      </c>
      <c r="K946" s="93" t="s">
        <v>147</v>
      </c>
    </row>
    <row r="947">
      <c r="A947" s="93">
        <v>121.0</v>
      </c>
      <c r="B947" s="96" t="s">
        <v>32</v>
      </c>
      <c r="C947" s="96" t="s">
        <v>142</v>
      </c>
      <c r="D947" s="96" t="s">
        <v>143</v>
      </c>
      <c r="E947" s="93">
        <v>45.0</v>
      </c>
      <c r="F947" s="93">
        <v>30.069781018675314</v>
      </c>
      <c r="G947" s="93">
        <v>30.673360493350014</v>
      </c>
      <c r="H947" s="93">
        <v>6.858307164920484</v>
      </c>
      <c r="I947" s="93">
        <v>1341.0</v>
      </c>
      <c r="J947" s="93">
        <v>1386.0</v>
      </c>
      <c r="K947" s="93">
        <v>6.897815092573746</v>
      </c>
    </row>
    <row r="948">
      <c r="A948" s="93">
        <v>121.0</v>
      </c>
      <c r="B948" s="96" t="s">
        <v>65</v>
      </c>
      <c r="C948" s="96" t="s">
        <v>142</v>
      </c>
      <c r="D948" s="96" t="s">
        <v>143</v>
      </c>
      <c r="E948" s="93">
        <v>67.0</v>
      </c>
      <c r="F948" s="93">
        <v>25.0</v>
      </c>
      <c r="G948" s="93">
        <v>25.880886878267464</v>
      </c>
      <c r="H948" s="93">
        <v>8.262902831409017</v>
      </c>
      <c r="I948" s="93">
        <v>850.0</v>
      </c>
      <c r="J948" s="93">
        <v>917.0</v>
      </c>
      <c r="K948" s="93">
        <v>8.333333333333334</v>
      </c>
    </row>
    <row r="949">
      <c r="A949" s="93">
        <v>121.0</v>
      </c>
      <c r="B949" s="96" t="s">
        <v>24</v>
      </c>
      <c r="C949" s="96" t="s">
        <v>142</v>
      </c>
      <c r="D949" s="96" t="s">
        <v>143</v>
      </c>
      <c r="E949" s="93">
        <v>45.0</v>
      </c>
      <c r="F949" s="93">
        <v>20.931125514590065</v>
      </c>
      <c r="G949" s="93">
        <v>21.53510351156565</v>
      </c>
      <c r="H949" s="93">
        <v>6.860544289788865</v>
      </c>
      <c r="I949" s="93">
        <v>720.0</v>
      </c>
      <c r="J949" s="93">
        <v>765.0</v>
      </c>
      <c r="K949" s="93">
        <v>6.900092387620854</v>
      </c>
    </row>
    <row r="950">
      <c r="A950" s="93">
        <v>121.0</v>
      </c>
      <c r="B950" s="96" t="s">
        <v>38</v>
      </c>
      <c r="C950" s="96" t="s">
        <v>144</v>
      </c>
      <c r="D950" s="96" t="s">
        <v>145</v>
      </c>
      <c r="E950" s="93">
        <v>-32.0</v>
      </c>
      <c r="F950" s="93">
        <v>24.400379642685085</v>
      </c>
      <c r="G950" s="93">
        <v>23.868026091426895</v>
      </c>
      <c r="H950" s="93">
        <v>6.445418094452324</v>
      </c>
      <c r="I950" s="93">
        <v>998.0</v>
      </c>
      <c r="J950" s="93">
        <v>966.0</v>
      </c>
      <c r="K950" s="93">
        <v>6.477960392757467</v>
      </c>
    </row>
    <row r="951">
      <c r="A951" s="93">
        <v>121.0</v>
      </c>
      <c r="B951" s="96" t="s">
        <v>28</v>
      </c>
      <c r="C951" s="96" t="s">
        <v>144</v>
      </c>
      <c r="D951" s="96" t="s">
        <v>145</v>
      </c>
      <c r="E951" s="93">
        <v>-41.0</v>
      </c>
      <c r="F951" s="93">
        <v>28.80618072323203</v>
      </c>
      <c r="G951" s="93">
        <v>28.13569403599515</v>
      </c>
      <c r="H951" s="93">
        <v>7.223727477985338</v>
      </c>
      <c r="I951" s="93">
        <v>1217.0</v>
      </c>
      <c r="J951" s="93">
        <v>1176.0</v>
      </c>
      <c r="K951" s="93">
        <v>7.270159695081096</v>
      </c>
    </row>
    <row r="952">
      <c r="A952" s="93">
        <v>121.0</v>
      </c>
      <c r="B952" s="96" t="s">
        <v>26</v>
      </c>
      <c r="C952" s="96" t="s">
        <v>144</v>
      </c>
      <c r="D952" s="96" t="s">
        <v>145</v>
      </c>
      <c r="E952" s="93">
        <v>-33.0</v>
      </c>
      <c r="F952" s="93">
        <v>28.605266931219113</v>
      </c>
      <c r="G952" s="93">
        <v>28.06160962869283</v>
      </c>
      <c r="H952" s="93">
        <v>6.512771443068228</v>
      </c>
      <c r="I952" s="93">
        <v>1277.0</v>
      </c>
      <c r="J952" s="93">
        <v>1244.0</v>
      </c>
      <c r="K952" s="93">
        <v>6.546390372230471</v>
      </c>
    </row>
    <row r="953">
      <c r="A953" s="93">
        <v>121.0</v>
      </c>
      <c r="B953" s="96" t="s">
        <v>47</v>
      </c>
      <c r="C953" s="96" t="s">
        <v>144</v>
      </c>
      <c r="D953" s="96" t="s">
        <v>145</v>
      </c>
      <c r="E953" s="93">
        <v>-31.0</v>
      </c>
      <c r="F953" s="93">
        <v>23.017903804164266</v>
      </c>
      <c r="G953" s="93">
        <v>22.51367688612169</v>
      </c>
      <c r="H953" s="93">
        <v>6.274554586886833</v>
      </c>
      <c r="I953" s="93">
        <v>922.0</v>
      </c>
      <c r="J953" s="93">
        <v>891.0</v>
      </c>
      <c r="K953" s="93">
        <v>6.304466442591074</v>
      </c>
    </row>
    <row r="954">
      <c r="A954" s="93">
        <v>121.0</v>
      </c>
      <c r="B954" s="96" t="s">
        <v>93</v>
      </c>
      <c r="C954" s="96" t="s">
        <v>144</v>
      </c>
      <c r="D954" s="96" t="s">
        <v>145</v>
      </c>
      <c r="E954" s="93">
        <v>-52.0</v>
      </c>
      <c r="F954" s="93">
        <v>24.345572436388494</v>
      </c>
      <c r="G954" s="93">
        <v>23.477389429873842</v>
      </c>
      <c r="H954" s="93">
        <v>8.204125236794864</v>
      </c>
      <c r="I954" s="93">
        <v>812.0</v>
      </c>
      <c r="J954" s="93">
        <v>760.0</v>
      </c>
      <c r="K954" s="93">
        <v>8.273016041890742</v>
      </c>
    </row>
    <row r="955">
      <c r="A955" s="93">
        <v>121.0</v>
      </c>
      <c r="B955" s="96" t="s">
        <v>146</v>
      </c>
      <c r="C955" s="96" t="s">
        <v>144</v>
      </c>
      <c r="D955" s="96" t="s">
        <v>146</v>
      </c>
      <c r="E955" s="93" t="s">
        <v>147</v>
      </c>
      <c r="F955" s="93" t="s">
        <v>147</v>
      </c>
      <c r="G955" s="93" t="s">
        <v>147</v>
      </c>
      <c r="H955" s="93" t="s">
        <v>147</v>
      </c>
      <c r="I955" s="93" t="s">
        <v>147</v>
      </c>
      <c r="J955" s="93" t="s">
        <v>147</v>
      </c>
      <c r="K955" s="93" t="s">
        <v>147</v>
      </c>
    </row>
    <row r="956">
      <c r="A956" s="93">
        <v>121.0</v>
      </c>
      <c r="B956" s="96" t="s">
        <v>22</v>
      </c>
      <c r="C956" s="96" t="s">
        <v>144</v>
      </c>
      <c r="D956" s="96" t="s">
        <v>145</v>
      </c>
      <c r="E956" s="93">
        <v>-34.0</v>
      </c>
      <c r="F956" s="93">
        <v>27.952798308981794</v>
      </c>
      <c r="G956" s="93">
        <v>27.410532407469</v>
      </c>
      <c r="H956" s="93">
        <v>6.504520038137736</v>
      </c>
      <c r="I956" s="93">
        <v>1234.0</v>
      </c>
      <c r="J956" s="93">
        <v>1200.0</v>
      </c>
      <c r="K956" s="93">
        <v>6.538005845964586</v>
      </c>
    </row>
    <row r="957">
      <c r="A957" s="93">
        <v>121.0</v>
      </c>
      <c r="B957" s="96" t="s">
        <v>33</v>
      </c>
      <c r="C957" s="96" t="s">
        <v>144</v>
      </c>
      <c r="D957" s="96" t="s">
        <v>145</v>
      </c>
      <c r="E957" s="93">
        <v>-50.0</v>
      </c>
      <c r="F957" s="93">
        <v>21.75374870890047</v>
      </c>
      <c r="G957" s="93">
        <v>20.915327644084922</v>
      </c>
      <c r="H957" s="93">
        <v>8.064628025390046</v>
      </c>
      <c r="I957" s="93">
        <v>650.0</v>
      </c>
      <c r="J957" s="93">
        <v>600.0</v>
      </c>
      <c r="K957" s="93">
        <v>8.129955910239456</v>
      </c>
    </row>
    <row r="958">
      <c r="A958" s="93">
        <v>121.0</v>
      </c>
      <c r="B958" s="96" t="s">
        <v>146</v>
      </c>
      <c r="C958" s="96" t="s">
        <v>144</v>
      </c>
      <c r="D958" s="96" t="s">
        <v>146</v>
      </c>
      <c r="E958" s="93" t="s">
        <v>147</v>
      </c>
      <c r="F958" s="93" t="s">
        <v>147</v>
      </c>
      <c r="G958" s="93" t="s">
        <v>147</v>
      </c>
      <c r="H958" s="93" t="s">
        <v>147</v>
      </c>
      <c r="I958" s="93" t="s">
        <v>147</v>
      </c>
      <c r="J958" s="93" t="s">
        <v>147</v>
      </c>
      <c r="K958" s="93" t="s">
        <v>147</v>
      </c>
    </row>
    <row r="959">
      <c r="A959" s="93">
        <v>121.0</v>
      </c>
      <c r="B959" s="96" t="s">
        <v>118</v>
      </c>
      <c r="C959" s="96" t="s">
        <v>144</v>
      </c>
      <c r="D959" s="96" t="s">
        <v>145</v>
      </c>
      <c r="E959" s="93">
        <v>-51.0</v>
      </c>
      <c r="F959" s="93">
        <v>23.244164291216272</v>
      </c>
      <c r="G959" s="93">
        <v>22.392275476783347</v>
      </c>
      <c r="H959" s="93">
        <v>8.128069800522475</v>
      </c>
      <c r="I959" s="93">
        <v>745.0</v>
      </c>
      <c r="J959" s="93">
        <v>694.0</v>
      </c>
      <c r="K959" s="93">
        <v>8.195002249191278</v>
      </c>
    </row>
    <row r="960">
      <c r="A960" s="93">
        <v>121.0</v>
      </c>
      <c r="B960" s="96" t="s">
        <v>106</v>
      </c>
      <c r="C960" s="96" t="s">
        <v>144</v>
      </c>
      <c r="D960" s="96" t="s">
        <v>145</v>
      </c>
      <c r="E960" s="93">
        <v>-53.0</v>
      </c>
      <c r="F960" s="93">
        <v>25.0</v>
      </c>
      <c r="G960" s="93">
        <v>24.119113121732532</v>
      </c>
      <c r="H960" s="93">
        <v>8.262902831409017</v>
      </c>
      <c r="I960" s="93">
        <v>850.0</v>
      </c>
      <c r="J960" s="93">
        <v>797.0</v>
      </c>
      <c r="K960" s="93">
        <v>8.333333333333334</v>
      </c>
    </row>
    <row r="961">
      <c r="A961" s="93">
        <v>121.0</v>
      </c>
      <c r="B961" s="96" t="s">
        <v>97</v>
      </c>
      <c r="C961" s="96" t="s">
        <v>144</v>
      </c>
      <c r="D961" s="96" t="s">
        <v>145</v>
      </c>
      <c r="E961" s="93">
        <v>-34.0</v>
      </c>
      <c r="F961" s="93">
        <v>27.63576818037192</v>
      </c>
      <c r="G961" s="93">
        <v>27.08802484116286</v>
      </c>
      <c r="H961" s="93">
        <v>6.5369400015774835</v>
      </c>
      <c r="I961" s="93">
        <v>1209.0</v>
      </c>
      <c r="J961" s="93">
        <v>1175.0</v>
      </c>
      <c r="K961" s="93">
        <v>6.570950823778773</v>
      </c>
    </row>
    <row r="962">
      <c r="A962" s="93">
        <v>120.0</v>
      </c>
      <c r="B962" s="96" t="s">
        <v>18</v>
      </c>
      <c r="C962" s="96" t="s">
        <v>142</v>
      </c>
      <c r="D962" s="96" t="s">
        <v>143</v>
      </c>
      <c r="E962" s="93">
        <v>45.0</v>
      </c>
      <c r="F962" s="93">
        <v>32.046356057017704</v>
      </c>
      <c r="G962" s="93">
        <v>32.659307390832744</v>
      </c>
      <c r="H962" s="93">
        <v>6.474185254715389</v>
      </c>
      <c r="I962" s="93">
        <v>1515.0</v>
      </c>
      <c r="J962" s="93">
        <v>1560.0</v>
      </c>
      <c r="K962" s="93">
        <v>6.5109423305934655</v>
      </c>
    </row>
    <row r="963">
      <c r="A963" s="93">
        <v>120.0</v>
      </c>
      <c r="B963" s="96" t="s">
        <v>38</v>
      </c>
      <c r="C963" s="96" t="s">
        <v>142</v>
      </c>
      <c r="D963" s="96" t="s">
        <v>143</v>
      </c>
      <c r="E963" s="93">
        <v>45.0</v>
      </c>
      <c r="F963" s="93">
        <v>23.786704848201946</v>
      </c>
      <c r="G963" s="93">
        <v>24.400379642685085</v>
      </c>
      <c r="H963" s="93">
        <v>6.477960392757467</v>
      </c>
      <c r="I963" s="93">
        <v>953.0</v>
      </c>
      <c r="J963" s="93">
        <v>998.0</v>
      </c>
      <c r="K963" s="93">
        <v>6.5147845051883815</v>
      </c>
    </row>
    <row r="964">
      <c r="A964" s="93">
        <v>120.0</v>
      </c>
      <c r="B964" s="96" t="s">
        <v>42</v>
      </c>
      <c r="C964" s="96" t="s">
        <v>142</v>
      </c>
      <c r="D964" s="96" t="s">
        <v>143</v>
      </c>
      <c r="E964" s="93">
        <v>59.0</v>
      </c>
      <c r="F964" s="93">
        <v>27.188858964461982</v>
      </c>
      <c r="G964" s="93">
        <v>27.97273433517879</v>
      </c>
      <c r="H964" s="93">
        <v>7.309547998011791</v>
      </c>
      <c r="I964" s="93">
        <v>1098.0</v>
      </c>
      <c r="J964" s="93">
        <v>1157.0</v>
      </c>
      <c r="K964" s="93">
        <v>7.363181909659226</v>
      </c>
    </row>
    <row r="965">
      <c r="A965" s="93">
        <v>120.0</v>
      </c>
      <c r="B965" s="96" t="s">
        <v>47</v>
      </c>
      <c r="C965" s="96" t="s">
        <v>144</v>
      </c>
      <c r="D965" s="96" t="s">
        <v>145</v>
      </c>
      <c r="E965" s="93">
        <v>-36.0</v>
      </c>
      <c r="F965" s="93">
        <v>23.598786377516646</v>
      </c>
      <c r="G965" s="93">
        <v>23.017903804164266</v>
      </c>
      <c r="H965" s="93">
        <v>6.304466442591074</v>
      </c>
      <c r="I965" s="93">
        <v>958.0</v>
      </c>
      <c r="J965" s="93">
        <v>922.0</v>
      </c>
      <c r="K965" s="93">
        <v>6.338291336223421</v>
      </c>
    </row>
    <row r="966">
      <c r="A966" s="93">
        <v>120.0</v>
      </c>
      <c r="B966" s="96" t="s">
        <v>28</v>
      </c>
      <c r="C966" s="96" t="s">
        <v>144</v>
      </c>
      <c r="D966" s="96" t="s">
        <v>145</v>
      </c>
      <c r="E966" s="93">
        <v>-48.0</v>
      </c>
      <c r="F966" s="93">
        <v>29.58150469681108</v>
      </c>
      <c r="G966" s="93">
        <v>28.80618072323203</v>
      </c>
      <c r="H966" s="93">
        <v>7.270159695081096</v>
      </c>
      <c r="I966" s="93">
        <v>1265.0</v>
      </c>
      <c r="J966" s="93">
        <v>1217.0</v>
      </c>
      <c r="K966" s="93">
        <v>7.322901374991643</v>
      </c>
    </row>
    <row r="967">
      <c r="A967" s="93">
        <v>120.0</v>
      </c>
      <c r="B967" s="96" t="s">
        <v>41</v>
      </c>
      <c r="C967" s="96" t="s">
        <v>144</v>
      </c>
      <c r="D967" s="96" t="s">
        <v>145</v>
      </c>
      <c r="E967" s="93">
        <v>-42.0</v>
      </c>
      <c r="F967" s="93">
        <v>26.018495524704722</v>
      </c>
      <c r="G967" s="93">
        <v>25.335347488020236</v>
      </c>
      <c r="H967" s="93">
        <v>6.830307123951774</v>
      </c>
      <c r="I967" s="93">
        <v>1068.0</v>
      </c>
      <c r="J967" s="93">
        <v>1026.0</v>
      </c>
      <c r="K967" s="93">
        <v>6.873746746112794</v>
      </c>
    </row>
    <row r="968">
      <c r="A968" s="93">
        <v>120.0</v>
      </c>
      <c r="B968" s="96" t="s">
        <v>16</v>
      </c>
      <c r="C968" s="96" t="s">
        <v>144</v>
      </c>
      <c r="D968" s="96" t="s">
        <v>145</v>
      </c>
      <c r="E968" s="93">
        <v>-35.0</v>
      </c>
      <c r="F968" s="93">
        <v>33.60353656858458</v>
      </c>
      <c r="G968" s="93">
        <v>33.04438513935759</v>
      </c>
      <c r="H968" s="93">
        <v>6.186689391683599</v>
      </c>
      <c r="I968" s="93">
        <v>1651.0</v>
      </c>
      <c r="J968" s="93">
        <v>1616.0</v>
      </c>
      <c r="K968" s="93">
        <v>6.2185716488938745</v>
      </c>
    </row>
    <row r="969">
      <c r="A969" s="93">
        <v>120.0</v>
      </c>
      <c r="B969" s="96" t="s">
        <v>26</v>
      </c>
      <c r="C969" s="96" t="s">
        <v>144</v>
      </c>
      <c r="D969" s="96" t="s">
        <v>145</v>
      </c>
      <c r="E969" s="93">
        <v>-39.0</v>
      </c>
      <c r="F969" s="93">
        <v>29.23213215223765</v>
      </c>
      <c r="G969" s="93">
        <v>28.605266931219113</v>
      </c>
      <c r="H969" s="93">
        <v>6.546390372230471</v>
      </c>
      <c r="I969" s="93">
        <v>1316.0</v>
      </c>
      <c r="J969" s="93">
        <v>1277.0</v>
      </c>
      <c r="K969" s="93">
        <v>6.584443511471872</v>
      </c>
    </row>
    <row r="970">
      <c r="A970" s="93">
        <v>120.0</v>
      </c>
      <c r="B970" s="96" t="s">
        <v>23</v>
      </c>
      <c r="C970" s="96" t="s">
        <v>144</v>
      </c>
      <c r="D970" s="96" t="s">
        <v>145</v>
      </c>
      <c r="E970" s="93">
        <v>-36.0</v>
      </c>
      <c r="F970" s="93">
        <v>32.394795278715684</v>
      </c>
      <c r="G970" s="93">
        <v>31.816647397743733</v>
      </c>
      <c r="H970" s="93">
        <v>6.289771794180988</v>
      </c>
      <c r="I970" s="93">
        <v>1558.0</v>
      </c>
      <c r="J970" s="93">
        <v>1522.0</v>
      </c>
      <c r="K970" s="93">
        <v>6.323350235188069</v>
      </c>
    </row>
    <row r="971">
      <c r="A971" s="93">
        <v>120.0</v>
      </c>
      <c r="B971" s="96" t="s">
        <v>50</v>
      </c>
      <c r="C971" s="96" t="s">
        <v>144</v>
      </c>
      <c r="D971" s="96" t="s">
        <v>145</v>
      </c>
      <c r="E971" s="93">
        <v>-55.0</v>
      </c>
      <c r="F971" s="93">
        <v>21.609822258712434</v>
      </c>
      <c r="G971" s="93">
        <v>20.704293654180365</v>
      </c>
      <c r="H971" s="93">
        <v>7.847202237406325</v>
      </c>
      <c r="I971" s="93">
        <v>662.0</v>
      </c>
      <c r="J971" s="93">
        <v>607.0</v>
      </c>
      <c r="K971" s="93">
        <v>7.914044500303416</v>
      </c>
    </row>
    <row r="972">
      <c r="A972" s="93">
        <v>120.0</v>
      </c>
      <c r="B972" s="96" t="s">
        <v>17</v>
      </c>
      <c r="C972" s="96" t="s">
        <v>144</v>
      </c>
      <c r="D972" s="96" t="s">
        <v>145</v>
      </c>
      <c r="E972" s="93">
        <v>-40.0</v>
      </c>
      <c r="F972" s="93">
        <v>34.22220456543022</v>
      </c>
      <c r="G972" s="93">
        <v>33.568032361488676</v>
      </c>
      <c r="H972" s="93">
        <v>6.685722236802062</v>
      </c>
      <c r="I972" s="93">
        <v>1641.0</v>
      </c>
      <c r="J972" s="93">
        <v>1601.0</v>
      </c>
      <c r="K972" s="93">
        <v>6.726360234925541</v>
      </c>
    </row>
    <row r="973">
      <c r="A973" s="93">
        <v>120.0</v>
      </c>
      <c r="B973" s="96" t="s">
        <v>97</v>
      </c>
      <c r="C973" s="96" t="s">
        <v>144</v>
      </c>
      <c r="D973" s="96" t="s">
        <v>148</v>
      </c>
      <c r="E973" s="93" t="s">
        <v>147</v>
      </c>
      <c r="F973" s="93" t="s">
        <v>147</v>
      </c>
      <c r="G973" s="93" t="s">
        <v>147</v>
      </c>
      <c r="H973" s="93" t="s">
        <v>147</v>
      </c>
      <c r="I973" s="93" t="s">
        <v>147</v>
      </c>
      <c r="J973" s="93" t="s">
        <v>147</v>
      </c>
      <c r="K973" s="93" t="s">
        <v>147</v>
      </c>
    </row>
    <row r="974">
      <c r="A974" s="93">
        <v>120.0</v>
      </c>
      <c r="B974" s="96" t="s">
        <v>118</v>
      </c>
      <c r="C974" s="96" t="s">
        <v>144</v>
      </c>
      <c r="D974" s="96" t="s">
        <v>145</v>
      </c>
      <c r="E974" s="93">
        <v>-59.0</v>
      </c>
      <c r="F974" s="93">
        <v>24.23331820472458</v>
      </c>
      <c r="G974" s="93">
        <v>23.244164291216272</v>
      </c>
      <c r="H974" s="93">
        <v>8.195002249191278</v>
      </c>
      <c r="I974" s="93">
        <v>804.0</v>
      </c>
      <c r="J974" s="93">
        <v>745.0</v>
      </c>
      <c r="K974" s="93">
        <v>8.271461811351754</v>
      </c>
    </row>
    <row r="975">
      <c r="A975" s="93">
        <v>120.0</v>
      </c>
      <c r="B975" s="96" t="s">
        <v>40</v>
      </c>
      <c r="C975" s="96" t="s">
        <v>144</v>
      </c>
      <c r="D975" s="96" t="s">
        <v>145</v>
      </c>
      <c r="E975" s="93">
        <v>-49.0</v>
      </c>
      <c r="F975" s="93">
        <v>29.950436043017227</v>
      </c>
      <c r="G975" s="93">
        <v>29.149145328130587</v>
      </c>
      <c r="H975" s="93">
        <v>7.389075355704353</v>
      </c>
      <c r="I975" s="93">
        <v>1277.0</v>
      </c>
      <c r="J975" s="93">
        <v>1228.0</v>
      </c>
      <c r="K975" s="93">
        <v>7.444541341994954</v>
      </c>
    </row>
    <row r="976">
      <c r="A976" s="93">
        <v>120.0</v>
      </c>
      <c r="B976" s="96" t="s">
        <v>34</v>
      </c>
      <c r="C976" s="96" t="s">
        <v>144</v>
      </c>
      <c r="D976" s="96" t="s">
        <v>148</v>
      </c>
      <c r="E976" s="93" t="s">
        <v>147</v>
      </c>
      <c r="F976" s="93" t="s">
        <v>147</v>
      </c>
      <c r="G976" s="93" t="s">
        <v>147</v>
      </c>
      <c r="H976" s="93" t="s">
        <v>147</v>
      </c>
      <c r="I976" s="93" t="s">
        <v>147</v>
      </c>
      <c r="J976" s="93" t="s">
        <v>147</v>
      </c>
      <c r="K976" s="93" t="s">
        <v>147</v>
      </c>
    </row>
    <row r="977">
      <c r="A977" s="93">
        <v>119.0</v>
      </c>
      <c r="B977" s="96" t="s">
        <v>47</v>
      </c>
      <c r="C977" s="96" t="s">
        <v>142</v>
      </c>
      <c r="D977" s="96" t="s">
        <v>143</v>
      </c>
      <c r="E977" s="93">
        <v>61.0</v>
      </c>
      <c r="F977" s="93">
        <v>22.764195413824893</v>
      </c>
      <c r="G977" s="93">
        <v>23.598786377516646</v>
      </c>
      <c r="H977" s="93">
        <v>6.338291336223421</v>
      </c>
      <c r="I977" s="93">
        <v>897.0</v>
      </c>
      <c r="J977" s="93">
        <v>958.0</v>
      </c>
      <c r="K977" s="93">
        <v>6.377989427929748</v>
      </c>
    </row>
    <row r="978">
      <c r="A978" s="93">
        <v>119.0</v>
      </c>
      <c r="B978" s="96" t="s">
        <v>42</v>
      </c>
      <c r="C978" s="96" t="s">
        <v>142</v>
      </c>
      <c r="D978" s="96" t="s">
        <v>143</v>
      </c>
      <c r="E978" s="93">
        <v>84.0</v>
      </c>
      <c r="F978" s="93">
        <v>26.057384978117874</v>
      </c>
      <c r="G978" s="93">
        <v>27.188858964461982</v>
      </c>
      <c r="H978" s="93">
        <v>7.363181909659226</v>
      </c>
      <c r="I978" s="93">
        <v>1014.0</v>
      </c>
      <c r="J978" s="93">
        <v>1098.0</v>
      </c>
      <c r="K978" s="93">
        <v>7.4264839823928765</v>
      </c>
    </row>
    <row r="979">
      <c r="A979" s="93">
        <v>119.0</v>
      </c>
      <c r="B979" s="96" t="s">
        <v>28</v>
      </c>
      <c r="C979" s="96" t="s">
        <v>142</v>
      </c>
      <c r="D979" s="96" t="s">
        <v>143</v>
      </c>
      <c r="E979" s="93">
        <v>83.0</v>
      </c>
      <c r="F979" s="93">
        <v>28.46259319568705</v>
      </c>
      <c r="G979" s="93">
        <v>29.58150469681108</v>
      </c>
      <c r="H979" s="93">
        <v>7.322901374991643</v>
      </c>
      <c r="I979" s="93">
        <v>1182.0</v>
      </c>
      <c r="J979" s="93">
        <v>1265.0</v>
      </c>
      <c r="K979" s="93">
        <v>7.3851341534061214</v>
      </c>
    </row>
    <row r="980">
      <c r="A980" s="93">
        <v>119.0</v>
      </c>
      <c r="B980" s="96" t="s">
        <v>17</v>
      </c>
      <c r="C980" s="96" t="s">
        <v>144</v>
      </c>
      <c r="D980" s="96" t="s">
        <v>145</v>
      </c>
      <c r="E980" s="93">
        <v>-59.0</v>
      </c>
      <c r="F980" s="93">
        <v>35.16366649119237</v>
      </c>
      <c r="G980" s="93">
        <v>34.22220456543022</v>
      </c>
      <c r="H980" s="93">
        <v>6.726360234925541</v>
      </c>
      <c r="I980" s="93">
        <v>1700.0</v>
      </c>
      <c r="J980" s="93">
        <v>1641.0</v>
      </c>
      <c r="K980" s="93">
        <v>6.774143558206089</v>
      </c>
    </row>
    <row r="981">
      <c r="A981" s="93">
        <v>119.0</v>
      </c>
      <c r="B981" s="96" t="s">
        <v>18</v>
      </c>
      <c r="C981" s="96" t="s">
        <v>144</v>
      </c>
      <c r="D981" s="96" t="s">
        <v>148</v>
      </c>
      <c r="E981" s="93" t="s">
        <v>147</v>
      </c>
      <c r="F981" s="93" t="s">
        <v>147</v>
      </c>
      <c r="G981" s="93" t="s">
        <v>147</v>
      </c>
      <c r="H981" s="93" t="s">
        <v>147</v>
      </c>
      <c r="I981" s="93" t="s">
        <v>147</v>
      </c>
      <c r="J981" s="93" t="s">
        <v>147</v>
      </c>
      <c r="K981" s="93" t="s">
        <v>147</v>
      </c>
    </row>
    <row r="982">
      <c r="A982" s="93">
        <v>119.0</v>
      </c>
      <c r="B982" s="96" t="s">
        <v>22</v>
      </c>
      <c r="C982" s="96" t="s">
        <v>144</v>
      </c>
      <c r="D982" s="96" t="s">
        <v>145</v>
      </c>
      <c r="E982" s="93">
        <v>-56.0</v>
      </c>
      <c r="F982" s="93">
        <v>28.841551582015406</v>
      </c>
      <c r="G982" s="93">
        <v>27.952798308981794</v>
      </c>
      <c r="H982" s="93">
        <v>6.538005845964586</v>
      </c>
      <c r="I982" s="93">
        <v>1290.0</v>
      </c>
      <c r="J982" s="93">
        <v>1234.0</v>
      </c>
      <c r="K982" s="93">
        <v>6.58174141467034</v>
      </c>
    </row>
    <row r="983">
      <c r="A983" s="93">
        <v>119.0</v>
      </c>
      <c r="B983" s="96" t="s">
        <v>36</v>
      </c>
      <c r="C983" s="96" t="s">
        <v>144</v>
      </c>
      <c r="D983" s="96" t="s">
        <v>145</v>
      </c>
      <c r="E983" s="93">
        <v>-75.0</v>
      </c>
      <c r="F983" s="93">
        <v>27.585951954299265</v>
      </c>
      <c r="G983" s="93">
        <v>26.37376608995592</v>
      </c>
      <c r="H983" s="93">
        <v>7.616533291325336</v>
      </c>
      <c r="I983" s="93">
        <v>1092.0</v>
      </c>
      <c r="J983" s="93">
        <v>1017.0</v>
      </c>
      <c r="K983" s="93">
        <v>7.686846188708221</v>
      </c>
    </row>
    <row r="984">
      <c r="A984" s="93">
        <v>119.0</v>
      </c>
      <c r="B984" s="96" t="s">
        <v>32</v>
      </c>
      <c r="C984" s="96" t="s">
        <v>144</v>
      </c>
      <c r="D984" s="96" t="s">
        <v>145</v>
      </c>
      <c r="E984" s="93">
        <v>-62.0</v>
      </c>
      <c r="F984" s="93">
        <v>31.060602521269374</v>
      </c>
      <c r="G984" s="93">
        <v>30.069781018675314</v>
      </c>
      <c r="H984" s="93">
        <v>6.897815092573746</v>
      </c>
      <c r="I984" s="93">
        <v>1403.0</v>
      </c>
      <c r="J984" s="93">
        <v>1341.0</v>
      </c>
      <c r="K984" s="93">
        <v>6.94949239907901</v>
      </c>
    </row>
    <row r="985">
      <c r="A985" s="93">
        <v>119.0</v>
      </c>
      <c r="B985" s="96" t="s">
        <v>67</v>
      </c>
      <c r="C985" s="96" t="s">
        <v>144</v>
      </c>
      <c r="D985" s="96" t="s">
        <v>145</v>
      </c>
      <c r="E985" s="93">
        <v>-61.0</v>
      </c>
      <c r="F985" s="93">
        <v>25.66978539770292</v>
      </c>
      <c r="G985" s="93">
        <v>24.699051744136206</v>
      </c>
      <c r="H985" s="93">
        <v>6.828589505794015</v>
      </c>
      <c r="I985" s="93">
        <v>1044.0</v>
      </c>
      <c r="J985" s="93">
        <v>983.0</v>
      </c>
      <c r="K985" s="93">
        <v>6.878670165395237</v>
      </c>
    </row>
    <row r="986">
      <c r="A986" s="93">
        <v>119.0</v>
      </c>
      <c r="B986" s="96" t="s">
        <v>83</v>
      </c>
      <c r="C986" s="96" t="s">
        <v>144</v>
      </c>
      <c r="D986" s="96" t="s">
        <v>145</v>
      </c>
      <c r="E986" s="93">
        <v>-72.0</v>
      </c>
      <c r="F986" s="93">
        <v>23.336373342477216</v>
      </c>
      <c r="G986" s="93">
        <v>22.177506885818914</v>
      </c>
      <c r="H986" s="93">
        <v>7.450204112256812</v>
      </c>
      <c r="I986" s="93">
        <v>820.0</v>
      </c>
      <c r="J986" s="93">
        <v>748.0</v>
      </c>
      <c r="K986" s="93">
        <v>7.51585839021608</v>
      </c>
    </row>
    <row r="987">
      <c r="A987" s="93">
        <v>119.0</v>
      </c>
      <c r="B987" s="96" t="s">
        <v>41</v>
      </c>
      <c r="C987" s="96" t="s">
        <v>144</v>
      </c>
      <c r="D987" s="96" t="s">
        <v>145</v>
      </c>
      <c r="E987" s="93">
        <v>-62.0</v>
      </c>
      <c r="F987" s="93">
        <v>27.002308476804764</v>
      </c>
      <c r="G987" s="93">
        <v>26.018495524704722</v>
      </c>
      <c r="H987" s="93">
        <v>6.873746746112794</v>
      </c>
      <c r="I987" s="93">
        <v>1130.0</v>
      </c>
      <c r="J987" s="93">
        <v>1068.0</v>
      </c>
      <c r="K987" s="93">
        <v>6.924865145328973</v>
      </c>
    </row>
    <row r="988">
      <c r="A988" s="93">
        <v>119.0</v>
      </c>
      <c r="B988" s="96" t="s">
        <v>97</v>
      </c>
      <c r="C988" s="96" t="s">
        <v>144</v>
      </c>
      <c r="D988" s="96" t="s">
        <v>145</v>
      </c>
      <c r="E988" s="93">
        <v>-57.0</v>
      </c>
      <c r="F988" s="93">
        <v>28.533626493102037</v>
      </c>
      <c r="G988" s="93">
        <v>27.63576818037192</v>
      </c>
      <c r="H988" s="93">
        <v>6.570950823778773</v>
      </c>
      <c r="I988" s="93">
        <v>1266.0</v>
      </c>
      <c r="J988" s="93">
        <v>1209.0</v>
      </c>
      <c r="K988" s="93">
        <v>6.615377339993262</v>
      </c>
    </row>
    <row r="989">
      <c r="A989" s="93">
        <v>119.0</v>
      </c>
      <c r="B989" s="96" t="s">
        <v>44</v>
      </c>
      <c r="C989" s="96" t="s">
        <v>144</v>
      </c>
      <c r="D989" s="96" t="s">
        <v>145</v>
      </c>
      <c r="E989" s="93">
        <v>-74.0</v>
      </c>
      <c r="F989" s="93">
        <v>26.780015624838068</v>
      </c>
      <c r="G989" s="93">
        <v>25.58160037343892</v>
      </c>
      <c r="H989" s="93">
        <v>7.57395249524154</v>
      </c>
      <c r="I989" s="93">
        <v>1041.0</v>
      </c>
      <c r="J989" s="93">
        <v>967.0</v>
      </c>
      <c r="K989" s="93">
        <v>7.643052184421829</v>
      </c>
    </row>
    <row r="990">
      <c r="A990" s="93">
        <v>119.0</v>
      </c>
      <c r="B990" s="96" t="s">
        <v>16</v>
      </c>
      <c r="C990" s="96" t="s">
        <v>144</v>
      </c>
      <c r="D990" s="96" t="s">
        <v>148</v>
      </c>
      <c r="E990" s="93" t="s">
        <v>147</v>
      </c>
      <c r="F990" s="93" t="s">
        <v>147</v>
      </c>
      <c r="G990" s="93" t="s">
        <v>147</v>
      </c>
      <c r="H990" s="93" t="s">
        <v>147</v>
      </c>
      <c r="I990" s="93" t="s">
        <v>147</v>
      </c>
      <c r="J990" s="93" t="s">
        <v>147</v>
      </c>
      <c r="K990" s="93" t="s">
        <v>147</v>
      </c>
    </row>
    <row r="991">
      <c r="A991" s="93">
        <v>119.0</v>
      </c>
      <c r="B991" s="96" t="s">
        <v>23</v>
      </c>
      <c r="C991" s="96" t="s">
        <v>144</v>
      </c>
      <c r="D991" s="96" t="s">
        <v>145</v>
      </c>
      <c r="E991" s="93">
        <v>-52.0</v>
      </c>
      <c r="F991" s="93">
        <v>33.22540538814243</v>
      </c>
      <c r="G991" s="93">
        <v>32.394795278715684</v>
      </c>
      <c r="H991" s="93">
        <v>6.323350235188069</v>
      </c>
      <c r="I991" s="93">
        <v>1610.0</v>
      </c>
      <c r="J991" s="93">
        <v>1558.0</v>
      </c>
      <c r="K991" s="93">
        <v>6.362756545758783</v>
      </c>
    </row>
    <row r="992">
      <c r="A992" s="93">
        <v>118.0</v>
      </c>
      <c r="B992" s="96" t="s">
        <v>50</v>
      </c>
      <c r="C992" s="96" t="s">
        <v>142</v>
      </c>
      <c r="D992" s="96" t="s">
        <v>145</v>
      </c>
      <c r="E992" s="93">
        <v>-60.0</v>
      </c>
      <c r="F992" s="93">
        <v>22.65711127</v>
      </c>
      <c r="G992" s="93">
        <v>21.69298921091877</v>
      </c>
      <c r="H992" s="93">
        <v>7.928040374326788</v>
      </c>
      <c r="I992" s="93">
        <v>726.0</v>
      </c>
      <c r="J992" s="93">
        <v>666.0</v>
      </c>
      <c r="K992" s="93">
        <v>7.989692407</v>
      </c>
    </row>
    <row r="993">
      <c r="A993" s="93">
        <v>118.0</v>
      </c>
      <c r="B993" s="96" t="s">
        <v>41</v>
      </c>
      <c r="C993" s="96" t="s">
        <v>142</v>
      </c>
      <c r="D993" s="96" t="s">
        <v>145</v>
      </c>
      <c r="E993" s="93">
        <v>-48.0</v>
      </c>
      <c r="F993" s="93">
        <v>27.29651852</v>
      </c>
      <c r="G993" s="93">
        <v>26.522417809841897</v>
      </c>
      <c r="H993" s="93">
        <v>7.114961619167686</v>
      </c>
      <c r="I993" s="93">
        <v>1126.0</v>
      </c>
      <c r="J993" s="93">
        <v>1078.0</v>
      </c>
      <c r="K993" s="93">
        <v>7.159034125</v>
      </c>
    </row>
    <row r="994">
      <c r="A994" s="93">
        <v>118.0</v>
      </c>
      <c r="B994" s="96" t="s">
        <v>115</v>
      </c>
      <c r="C994" s="96" t="s">
        <v>142</v>
      </c>
      <c r="D994" s="96" t="s">
        <v>145</v>
      </c>
      <c r="E994" s="93">
        <v>-61.0</v>
      </c>
      <c r="F994" s="93">
        <v>25.58944672</v>
      </c>
      <c r="G994" s="93">
        <v>24.603522012994084</v>
      </c>
      <c r="H994" s="93">
        <v>8.01575164413308</v>
      </c>
      <c r="I994" s="93">
        <v>916.0</v>
      </c>
      <c r="J994" s="93">
        <v>855.0</v>
      </c>
      <c r="K994" s="93">
        <v>8.07954078</v>
      </c>
    </row>
    <row r="995">
      <c r="A995" s="93">
        <v>118.0</v>
      </c>
      <c r="B995" s="96" t="s">
        <v>23</v>
      </c>
      <c r="C995" s="96" t="s">
        <v>144</v>
      </c>
      <c r="D995" s="96" t="s">
        <v>143</v>
      </c>
      <c r="E995" s="93">
        <v>49.0</v>
      </c>
      <c r="F995" s="93">
        <v>32.46543075</v>
      </c>
      <c r="G995" s="93">
        <v>33.136218688281346</v>
      </c>
      <c r="H995" s="93">
        <v>6.628755713963075</v>
      </c>
      <c r="I995" s="93">
        <v>1528.0</v>
      </c>
      <c r="J995" s="93">
        <v>1577.0</v>
      </c>
      <c r="K995" s="93">
        <v>6.664104466</v>
      </c>
    </row>
    <row r="996">
      <c r="A996" s="93">
        <v>118.0</v>
      </c>
      <c r="B996" s="96" t="s">
        <v>22</v>
      </c>
      <c r="C996" s="96" t="s">
        <v>144</v>
      </c>
      <c r="D996" s="96" t="s">
        <v>143</v>
      </c>
      <c r="E996" s="93">
        <v>52.0</v>
      </c>
      <c r="F996" s="93">
        <v>28.05599405</v>
      </c>
      <c r="G996" s="93">
        <v>28.76074151609876</v>
      </c>
      <c r="H996" s="93">
        <v>6.7926002793904265</v>
      </c>
      <c r="I996" s="93">
        <v>1211.0</v>
      </c>
      <c r="J996" s="93">
        <v>1263.0</v>
      </c>
      <c r="K996" s="93">
        <v>6.830748441</v>
      </c>
    </row>
    <row r="997">
      <c r="A997" s="93">
        <v>118.0</v>
      </c>
      <c r="B997" s="96" t="s">
        <v>38</v>
      </c>
      <c r="C997" s="96" t="s">
        <v>144</v>
      </c>
      <c r="D997" s="96" t="s">
        <v>143</v>
      </c>
      <c r="E997" s="93">
        <v>51.0</v>
      </c>
      <c r="F997" s="93">
        <v>22.90530377</v>
      </c>
      <c r="G997" s="93">
        <v>23.60224650138018</v>
      </c>
      <c r="H997" s="93">
        <v>6.755312594444106</v>
      </c>
      <c r="I997" s="93">
        <v>865.0</v>
      </c>
      <c r="J997" s="93">
        <v>916.0</v>
      </c>
      <c r="K997" s="93">
        <v>6.792811381</v>
      </c>
    </row>
    <row r="998">
      <c r="A998" s="93">
        <v>118.0</v>
      </c>
      <c r="B998" s="96" t="s">
        <v>28</v>
      </c>
      <c r="C998" s="96" t="s">
        <v>144</v>
      </c>
      <c r="D998" s="96" t="s">
        <v>143</v>
      </c>
      <c r="E998" s="93">
        <v>64.0</v>
      </c>
      <c r="F998" s="93">
        <v>27.34316987</v>
      </c>
      <c r="G998" s="93">
        <v>28.204777096107176</v>
      </c>
      <c r="H998" s="93">
        <v>7.500986410462303</v>
      </c>
      <c r="I998" s="93">
        <v>1089.0</v>
      </c>
      <c r="J998" s="93">
        <v>1153.0</v>
      </c>
      <c r="K998" s="93">
        <v>7.552916248</v>
      </c>
    </row>
    <row r="999">
      <c r="A999" s="93">
        <v>118.0</v>
      </c>
      <c r="B999" s="96" t="s">
        <v>34</v>
      </c>
      <c r="C999" s="96" t="s">
        <v>144</v>
      </c>
      <c r="D999" s="96" t="s">
        <v>143</v>
      </c>
      <c r="E999" s="93">
        <v>68.0</v>
      </c>
      <c r="F999" s="93">
        <v>22.50445633</v>
      </c>
      <c r="G999" s="93">
        <v>23.41273449911041</v>
      </c>
      <c r="H999" s="93">
        <v>7.698525820689223</v>
      </c>
      <c r="I999" s="93">
        <v>739.0</v>
      </c>
      <c r="J999" s="93">
        <v>807.0</v>
      </c>
      <c r="K999" s="93">
        <v>7.754814193</v>
      </c>
    </row>
    <row r="1000">
      <c r="A1000" s="93">
        <v>118.0</v>
      </c>
      <c r="B1000" s="96" t="s">
        <v>35</v>
      </c>
      <c r="C1000" s="96" t="s">
        <v>144</v>
      </c>
      <c r="D1000" s="96" t="s">
        <v>143</v>
      </c>
      <c r="E1000" s="93">
        <v>67.0</v>
      </c>
      <c r="F1000" s="93">
        <v>26.61812778</v>
      </c>
      <c r="G1000" s="93">
        <v>27.52759195277873</v>
      </c>
      <c r="H1000" s="93">
        <v>7.7034757728684955</v>
      </c>
      <c r="I1000" s="93">
        <v>1019.0</v>
      </c>
      <c r="J1000" s="93">
        <v>1086.0</v>
      </c>
      <c r="K1000" s="93">
        <v>7.75987639</v>
      </c>
    </row>
    <row r="1001">
      <c r="A1001" s="93">
        <v>118.0</v>
      </c>
      <c r="B1001" s="96" t="s">
        <v>16</v>
      </c>
      <c r="C1001" s="96" t="s">
        <v>144</v>
      </c>
      <c r="D1001" s="96" t="s">
        <v>143</v>
      </c>
      <c r="E1001" s="93">
        <v>47.0</v>
      </c>
      <c r="F1001" s="93">
        <v>32.96047614</v>
      </c>
      <c r="G1001" s="93">
        <v>33.60232102345972</v>
      </c>
      <c r="H1001" s="93">
        <v>6.485698205995687</v>
      </c>
      <c r="I1001" s="93">
        <v>1576.0</v>
      </c>
      <c r="J1001" s="93">
        <v>1623.0</v>
      </c>
      <c r="K1001" s="93">
        <v>6.518715254</v>
      </c>
    </row>
    <row r="1002">
      <c r="A1002" s="93">
        <v>118.0</v>
      </c>
      <c r="B1002" s="96" t="s">
        <v>17</v>
      </c>
      <c r="C1002" s="96" t="s">
        <v>144</v>
      </c>
      <c r="D1002" s="96" t="s">
        <v>148</v>
      </c>
      <c r="E1002" s="93">
        <v>0.0</v>
      </c>
      <c r="F1002" s="93" t="s">
        <v>147</v>
      </c>
      <c r="G1002" s="93" t="s">
        <v>147</v>
      </c>
      <c r="H1002" s="93" t="s">
        <v>147</v>
      </c>
      <c r="I1002" s="93" t="s">
        <v>147</v>
      </c>
      <c r="J1002" s="93" t="s">
        <v>147</v>
      </c>
      <c r="K1002" s="93" t="s">
        <v>147</v>
      </c>
    </row>
    <row r="1003">
      <c r="A1003" s="93">
        <v>118.0</v>
      </c>
      <c r="B1003" s="96" t="s">
        <v>25</v>
      </c>
      <c r="C1003" s="96" t="s">
        <v>144</v>
      </c>
      <c r="D1003" s="96" t="s">
        <v>143</v>
      </c>
      <c r="E1003" s="93">
        <v>74.0</v>
      </c>
      <c r="F1003" s="93">
        <v>27.59333519</v>
      </c>
      <c r="G1003" s="93">
        <v>28.589579483237994</v>
      </c>
      <c r="H1003" s="93">
        <v>8.056912100091331</v>
      </c>
      <c r="I1003" s="93">
        <v>1048.0</v>
      </c>
      <c r="J1003" s="93">
        <v>1122.0</v>
      </c>
      <c r="K1003" s="93">
        <v>8.121721071</v>
      </c>
    </row>
    <row r="1004">
      <c r="A1004" s="93">
        <v>118.0</v>
      </c>
      <c r="B1004" s="96" t="s">
        <v>47</v>
      </c>
      <c r="C1004" s="96" t="s">
        <v>144</v>
      </c>
      <c r="D1004" s="96" t="s">
        <v>143</v>
      </c>
      <c r="E1004" s="93">
        <v>49.0</v>
      </c>
      <c r="F1004" s="93">
        <v>21.89326188</v>
      </c>
      <c r="G1004" s="93">
        <v>22.566723471686238</v>
      </c>
      <c r="H1004" s="93">
        <v>6.641808590763947</v>
      </c>
      <c r="I1004" s="93">
        <v>808.0</v>
      </c>
      <c r="J1004" s="93">
        <v>857.0</v>
      </c>
      <c r="K1004" s="93">
        <v>6.67737527</v>
      </c>
    </row>
    <row r="1005">
      <c r="A1005" s="93">
        <v>118.0</v>
      </c>
      <c r="B1005" s="96" t="s">
        <v>97</v>
      </c>
      <c r="C1005" s="96" t="s">
        <v>144</v>
      </c>
      <c r="D1005" s="96" t="s">
        <v>143</v>
      </c>
      <c r="E1005" s="93">
        <v>52.0</v>
      </c>
      <c r="F1005" s="93">
        <v>27.62247538</v>
      </c>
      <c r="G1005" s="93">
        <v>28.337538105372012</v>
      </c>
      <c r="H1005" s="93">
        <v>6.841555822074655</v>
      </c>
      <c r="I1005" s="93">
        <v>1177.0</v>
      </c>
      <c r="J1005" s="93">
        <v>1229.0</v>
      </c>
      <c r="K1005" s="93">
        <v>6.880567685</v>
      </c>
    </row>
    <row r="1006">
      <c r="A1006" s="93">
        <v>118.0</v>
      </c>
      <c r="B1006" s="96" t="s">
        <v>27</v>
      </c>
      <c r="C1006" s="96" t="s">
        <v>144</v>
      </c>
      <c r="D1006" s="96" t="s">
        <v>143</v>
      </c>
      <c r="E1006" s="93">
        <v>58.0</v>
      </c>
      <c r="F1006" s="93">
        <v>29.36804456</v>
      </c>
      <c r="G1006" s="93">
        <v>30.157400715609455</v>
      </c>
      <c r="H1006" s="93">
        <v>7.183834134942781</v>
      </c>
      <c r="I1006" s="93">
        <v>1260.0</v>
      </c>
      <c r="J1006" s="93">
        <v>1318.0</v>
      </c>
      <c r="K1006" s="93">
        <v>7.229246252</v>
      </c>
    </row>
    <row r="1007">
      <c r="A1007" s="93">
        <v>117.0</v>
      </c>
      <c r="B1007" s="96" t="s">
        <v>22</v>
      </c>
      <c r="C1007" s="96" t="s">
        <v>142</v>
      </c>
      <c r="D1007" s="96" t="s">
        <v>143</v>
      </c>
      <c r="E1007" s="93">
        <v>36.0</v>
      </c>
      <c r="F1007" s="93">
        <v>27.57472336</v>
      </c>
      <c r="G1007" s="93">
        <v>28.055994054743547</v>
      </c>
      <c r="H1007" s="93">
        <v>6.830748440723752</v>
      </c>
      <c r="I1007" s="93">
        <v>1175.0</v>
      </c>
      <c r="J1007" s="93">
        <v>1211.0</v>
      </c>
      <c r="K1007" s="93">
        <v>6.866251057</v>
      </c>
    </row>
    <row r="1008">
      <c r="A1008" s="93">
        <v>117.0</v>
      </c>
      <c r="B1008" s="96" t="s">
        <v>16</v>
      </c>
      <c r="C1008" s="96" t="s">
        <v>142</v>
      </c>
      <c r="D1008" s="96" t="s">
        <v>143</v>
      </c>
      <c r="E1008" s="93">
        <v>33.0</v>
      </c>
      <c r="F1008" s="93">
        <v>32.52259056</v>
      </c>
      <c r="G1008" s="93">
        <v>32.96047613810239</v>
      </c>
      <c r="H1008" s="93">
        <v>6.518715254475143</v>
      </c>
      <c r="I1008" s="93">
        <v>1543.0</v>
      </c>
      <c r="J1008" s="93">
        <v>1576.0</v>
      </c>
      <c r="K1008" s="93">
        <v>6.549388116</v>
      </c>
    </row>
    <row r="1009">
      <c r="A1009" s="93">
        <v>117.0</v>
      </c>
      <c r="B1009" s="96" t="s">
        <v>97</v>
      </c>
      <c r="C1009" s="96" t="s">
        <v>142</v>
      </c>
      <c r="D1009" s="96" t="s">
        <v>143</v>
      </c>
      <c r="E1009" s="93">
        <v>37.0</v>
      </c>
      <c r="F1009" s="93">
        <v>27.13408202</v>
      </c>
      <c r="G1009" s="93">
        <v>27.622475375068014</v>
      </c>
      <c r="H1009" s="93">
        <v>6.880567684789471</v>
      </c>
      <c r="I1009" s="93">
        <v>1140.0</v>
      </c>
      <c r="J1009" s="93">
        <v>1177.0</v>
      </c>
      <c r="K1009" s="93">
        <v>6.91688436</v>
      </c>
    </row>
    <row r="1010">
      <c r="A1010" s="93">
        <v>117.0</v>
      </c>
      <c r="B1010" s="96" t="s">
        <v>38</v>
      </c>
      <c r="C1010" s="96" t="s">
        <v>144</v>
      </c>
      <c r="D1010" s="96" t="s">
        <v>148</v>
      </c>
      <c r="E1010" s="93">
        <v>0.0</v>
      </c>
      <c r="F1010" s="93" t="s">
        <v>147</v>
      </c>
      <c r="G1010" s="93" t="s">
        <v>147</v>
      </c>
      <c r="H1010" s="93" t="s">
        <v>147</v>
      </c>
      <c r="I1010" s="93" t="s">
        <v>147</v>
      </c>
      <c r="J1010" s="93" t="s">
        <v>147</v>
      </c>
      <c r="K1010" s="93" t="s">
        <v>147</v>
      </c>
    </row>
    <row r="1011">
      <c r="A1011" s="93">
        <v>117.0</v>
      </c>
      <c r="B1011" s="96" t="s">
        <v>56</v>
      </c>
      <c r="C1011" s="96" t="s">
        <v>144</v>
      </c>
      <c r="D1011" s="96" t="s">
        <v>145</v>
      </c>
      <c r="E1011" s="93">
        <v>-37.0</v>
      </c>
      <c r="F1011" s="93">
        <v>24.04852056</v>
      </c>
      <c r="G1011" s="93">
        <v>23.41893681881812</v>
      </c>
      <c r="H1011" s="93">
        <v>7.799870734941172</v>
      </c>
      <c r="I1011" s="93">
        <v>834.0</v>
      </c>
      <c r="J1011" s="93">
        <v>797.0</v>
      </c>
      <c r="K1011" s="93">
        <v>7.853487775</v>
      </c>
    </row>
    <row r="1012">
      <c r="A1012" s="93">
        <v>117.0</v>
      </c>
      <c r="B1012" s="96" t="s">
        <v>28</v>
      </c>
      <c r="C1012" s="96" t="s">
        <v>144</v>
      </c>
      <c r="D1012" s="96" t="s">
        <v>148</v>
      </c>
      <c r="E1012" s="93">
        <v>0.0</v>
      </c>
      <c r="F1012" s="93" t="s">
        <v>147</v>
      </c>
      <c r="G1012" s="93" t="s">
        <v>147</v>
      </c>
      <c r="H1012" s="93" t="s">
        <v>147</v>
      </c>
      <c r="I1012" s="93" t="s">
        <v>147</v>
      </c>
      <c r="J1012" s="93" t="s">
        <v>147</v>
      </c>
      <c r="K1012" s="93" t="s">
        <v>147</v>
      </c>
    </row>
    <row r="1013">
      <c r="A1013" s="93">
        <v>117.0</v>
      </c>
      <c r="B1013" s="96" t="s">
        <v>21</v>
      </c>
      <c r="C1013" s="96" t="s">
        <v>144</v>
      </c>
      <c r="D1013" s="96" t="s">
        <v>145</v>
      </c>
      <c r="E1013" s="93">
        <v>-41.0</v>
      </c>
      <c r="F1013" s="93">
        <v>24.81482757</v>
      </c>
      <c r="G1013" s="93">
        <v>24.13119970100697</v>
      </c>
      <c r="H1013" s="93">
        <v>8.122882365176329</v>
      </c>
      <c r="I1013" s="93">
        <v>853.0</v>
      </c>
      <c r="J1013" s="93">
        <v>812.0</v>
      </c>
      <c r="K1013" s="93">
        <v>8.183677054</v>
      </c>
    </row>
    <row r="1014">
      <c r="A1014" s="93">
        <v>117.0</v>
      </c>
      <c r="B1014" s="96" t="s">
        <v>17</v>
      </c>
      <c r="C1014" s="96" t="s">
        <v>144</v>
      </c>
      <c r="D1014" s="96" t="s">
        <v>145</v>
      </c>
      <c r="E1014" s="93">
        <v>-31.0</v>
      </c>
      <c r="F1014" s="93">
        <v>35.29949039</v>
      </c>
      <c r="G1014" s="93">
        <v>34.794442487045615</v>
      </c>
      <c r="H1014" s="93">
        <v>6.9956122748220695</v>
      </c>
      <c r="I1014" s="93">
        <v>1683.0</v>
      </c>
      <c r="J1014" s="93">
        <v>1652.0</v>
      </c>
      <c r="K1014" s="93">
        <v>7.033855215</v>
      </c>
    </row>
    <row r="1015">
      <c r="A1015" s="93">
        <v>117.0</v>
      </c>
      <c r="B1015" s="96" t="s">
        <v>115</v>
      </c>
      <c r="C1015" s="96" t="s">
        <v>144</v>
      </c>
      <c r="D1015" s="96" t="s">
        <v>145</v>
      </c>
      <c r="E1015" s="93">
        <v>-40.0</v>
      </c>
      <c r="F1015" s="93">
        <v>26.26568784</v>
      </c>
      <c r="G1015" s="93">
        <v>25.589446721001018</v>
      </c>
      <c r="H1015" s="93">
        <v>8.079540780169113</v>
      </c>
      <c r="I1015" s="93">
        <v>956.0</v>
      </c>
      <c r="J1015" s="93">
        <v>916.0</v>
      </c>
      <c r="K1015" s="93">
        <v>8.139337115</v>
      </c>
    </row>
    <row r="1016">
      <c r="A1016" s="93">
        <v>117.0</v>
      </c>
      <c r="B1016" s="96" t="s">
        <v>19</v>
      </c>
      <c r="C1016" s="96" t="s">
        <v>144</v>
      </c>
      <c r="D1016" s="96" t="s">
        <v>145</v>
      </c>
      <c r="E1016" s="93">
        <v>-32.0</v>
      </c>
      <c r="F1016" s="93">
        <v>36.84298125</v>
      </c>
      <c r="G1016" s="93">
        <v>36.313279067919105</v>
      </c>
      <c r="H1016" s="93">
        <v>7.16237267512103</v>
      </c>
      <c r="I1016" s="93">
        <v>1771.0</v>
      </c>
      <c r="J1016" s="93">
        <v>1739.0</v>
      </c>
      <c r="K1016" s="93">
        <v>7.203524909</v>
      </c>
    </row>
    <row r="1017">
      <c r="A1017" s="93">
        <v>117.0</v>
      </c>
      <c r="B1017" s="96" t="s">
        <v>36</v>
      </c>
      <c r="C1017" s="96" t="s">
        <v>144</v>
      </c>
      <c r="D1017" s="96" t="s">
        <v>145</v>
      </c>
      <c r="E1017" s="93">
        <v>-38.0</v>
      </c>
      <c r="F1017" s="93">
        <v>28.0062905</v>
      </c>
      <c r="G1017" s="93">
        <v>27.38169597032208</v>
      </c>
      <c r="H1017" s="93">
        <v>7.769333469445436</v>
      </c>
      <c r="I1017" s="93">
        <v>1107.0</v>
      </c>
      <c r="J1017" s="93">
        <v>1069.0</v>
      </c>
      <c r="K1017" s="93">
        <v>7.822302864</v>
      </c>
    </row>
    <row r="1018">
      <c r="A1018" s="93">
        <v>117.0</v>
      </c>
      <c r="B1018" s="96" t="s">
        <v>47</v>
      </c>
      <c r="C1018" s="96" t="s">
        <v>144</v>
      </c>
      <c r="D1018" s="96" t="s">
        <v>145</v>
      </c>
      <c r="E1018" s="93">
        <v>-28.0</v>
      </c>
      <c r="F1018" s="93">
        <v>22.35294361</v>
      </c>
      <c r="G1018" s="93">
        <v>21.893261883484914</v>
      </c>
      <c r="H1018" s="93">
        <v>6.67737527001739</v>
      </c>
      <c r="I1018" s="93">
        <v>836.0</v>
      </c>
      <c r="J1018" s="93">
        <v>808.0</v>
      </c>
      <c r="K1018" s="93">
        <v>6.710446632</v>
      </c>
    </row>
    <row r="1019">
      <c r="A1019" s="93">
        <v>117.0</v>
      </c>
      <c r="B1019" s="96" t="s">
        <v>29</v>
      </c>
      <c r="C1019" s="96" t="s">
        <v>144</v>
      </c>
      <c r="D1019" s="96" t="s">
        <v>145</v>
      </c>
      <c r="E1019" s="93">
        <v>-28.0</v>
      </c>
      <c r="F1019" s="93">
        <v>32.29970166</v>
      </c>
      <c r="G1019" s="93">
        <v>31.82998645180699</v>
      </c>
      <c r="H1019" s="93">
        <v>6.749107441399563</v>
      </c>
      <c r="I1019" s="93">
        <v>1504.0</v>
      </c>
      <c r="J1019" s="93">
        <v>1476.0</v>
      </c>
      <c r="K1019" s="93">
        <v>6.783301923</v>
      </c>
    </row>
    <row r="1020">
      <c r="A1020" s="93">
        <v>117.0</v>
      </c>
      <c r="B1020" s="96" t="s">
        <v>34</v>
      </c>
      <c r="C1020" s="96" t="s">
        <v>144</v>
      </c>
      <c r="D1020" s="96" t="s">
        <v>145</v>
      </c>
      <c r="E1020" s="93">
        <v>-37.0</v>
      </c>
      <c r="F1020" s="93">
        <v>23.12668594</v>
      </c>
      <c r="G1020" s="93">
        <v>22.50445632937263</v>
      </c>
      <c r="H1020" s="93">
        <v>7.75481419328457</v>
      </c>
      <c r="I1020" s="93">
        <v>776.0</v>
      </c>
      <c r="J1020" s="93">
        <v>739.0</v>
      </c>
      <c r="K1020" s="93">
        <v>7.807477497</v>
      </c>
    </row>
    <row r="1021">
      <c r="A1021" s="93">
        <v>117.0</v>
      </c>
      <c r="B1021" s="96" t="s">
        <v>26</v>
      </c>
      <c r="C1021" s="96" t="s">
        <v>144</v>
      </c>
      <c r="D1021" s="96" t="s">
        <v>145</v>
      </c>
      <c r="E1021" s="93">
        <v>-29.0</v>
      </c>
      <c r="F1021" s="93">
        <v>29.41241465</v>
      </c>
      <c r="G1021" s="93">
        <v>28.93313804075843</v>
      </c>
      <c r="H1021" s="93">
        <v>6.81673277394339</v>
      </c>
      <c r="I1021" s="93">
        <v>1301.0</v>
      </c>
      <c r="J1021" s="93">
        <v>1272.0</v>
      </c>
      <c r="K1021" s="93">
        <v>6.852008538</v>
      </c>
    </row>
    <row r="1022">
      <c r="A1022" s="93">
        <v>116.0</v>
      </c>
      <c r="B1022" s="96" t="s">
        <v>22</v>
      </c>
      <c r="C1022" s="96" t="s">
        <v>142</v>
      </c>
      <c r="D1022" s="96" t="s">
        <v>143</v>
      </c>
      <c r="E1022" s="93">
        <v>34.0</v>
      </c>
      <c r="F1022" s="93">
        <v>27.13302897</v>
      </c>
      <c r="G1022" s="93">
        <v>27.574723364690847</v>
      </c>
      <c r="H1022" s="93">
        <v>6.866251056880359</v>
      </c>
      <c r="I1022" s="93">
        <v>1141.0</v>
      </c>
      <c r="J1022" s="93">
        <v>1175.0</v>
      </c>
      <c r="K1022" s="93">
        <v>6.899342535</v>
      </c>
    </row>
    <row r="1023">
      <c r="A1023" s="93">
        <v>116.0</v>
      </c>
      <c r="B1023" s="96" t="s">
        <v>16</v>
      </c>
      <c r="C1023" s="96" t="s">
        <v>142</v>
      </c>
      <c r="D1023" s="96" t="s">
        <v>143</v>
      </c>
      <c r="E1023" s="93">
        <v>30.0</v>
      </c>
      <c r="F1023" s="93">
        <v>32.12108275</v>
      </c>
      <c r="G1023" s="93">
        <v>32.52259055973157</v>
      </c>
      <c r="H1023" s="93">
        <v>6.549388116115545</v>
      </c>
      <c r="I1023" s="93">
        <v>1513.0</v>
      </c>
      <c r="J1023" s="93">
        <v>1543.0</v>
      </c>
      <c r="K1023" s="93">
        <v>6.577929216</v>
      </c>
    </row>
    <row r="1024">
      <c r="A1024" s="93">
        <v>116.0</v>
      </c>
      <c r="B1024" s="96" t="s">
        <v>115</v>
      </c>
      <c r="C1024" s="96" t="s">
        <v>142</v>
      </c>
      <c r="D1024" s="96" t="s">
        <v>143</v>
      </c>
      <c r="E1024" s="93">
        <v>48.0</v>
      </c>
      <c r="F1024" s="93">
        <v>25.64248938</v>
      </c>
      <c r="G1024" s="93">
        <v>26.265687841061855</v>
      </c>
      <c r="H1024" s="93">
        <v>8.139337114619622</v>
      </c>
      <c r="I1024" s="93">
        <v>908.0</v>
      </c>
      <c r="J1024" s="93">
        <v>956.0</v>
      </c>
      <c r="K1024" s="93">
        <v>8.195458114</v>
      </c>
    </row>
    <row r="1025">
      <c r="A1025" s="93">
        <v>116.0</v>
      </c>
      <c r="B1025" s="96" t="s">
        <v>50</v>
      </c>
      <c r="C1025" s="96" t="s">
        <v>144</v>
      </c>
      <c r="D1025" s="96" t="s">
        <v>145</v>
      </c>
      <c r="E1025" s="93">
        <v>-35.0</v>
      </c>
      <c r="F1025" s="93">
        <v>23.25729486</v>
      </c>
      <c r="G1025" s="93">
        <v>22.65711126544773</v>
      </c>
      <c r="H1025" s="93">
        <v>7.989692407467423</v>
      </c>
      <c r="I1025" s="93">
        <v>761.0</v>
      </c>
      <c r="J1025" s="93">
        <v>726.0</v>
      </c>
      <c r="K1025" s="93">
        <v>8.042681478</v>
      </c>
    </row>
    <row r="1026">
      <c r="A1026" s="93">
        <v>116.0</v>
      </c>
      <c r="B1026" s="96" t="s">
        <v>28</v>
      </c>
      <c r="C1026" s="96" t="s">
        <v>144</v>
      </c>
      <c r="D1026" s="96" t="s">
        <v>145</v>
      </c>
      <c r="E1026" s="93">
        <v>-32.0</v>
      </c>
      <c r="F1026" s="93">
        <v>27.87874986</v>
      </c>
      <c r="G1026" s="93">
        <v>27.34316987193093</v>
      </c>
      <c r="H1026" s="93">
        <v>7.552916248060966</v>
      </c>
      <c r="I1026" s="93">
        <v>1121.0</v>
      </c>
      <c r="J1026" s="93">
        <v>1089.0</v>
      </c>
      <c r="K1026" s="93">
        <v>7.597433902</v>
      </c>
    </row>
    <row r="1027">
      <c r="A1027" s="93">
        <v>116.0</v>
      </c>
      <c r="B1027" s="96" t="s">
        <v>17</v>
      </c>
      <c r="C1027" s="96" t="s">
        <v>144</v>
      </c>
      <c r="D1027" s="96" t="s">
        <v>145</v>
      </c>
      <c r="E1027" s="93">
        <v>-28.0</v>
      </c>
      <c r="F1027" s="93">
        <v>35.76324</v>
      </c>
      <c r="G1027" s="93">
        <v>35.299490385663596</v>
      </c>
      <c r="H1027" s="93">
        <v>7.033855214823972</v>
      </c>
      <c r="I1027" s="93">
        <v>1711.0</v>
      </c>
      <c r="J1027" s="93">
        <v>1683.0</v>
      </c>
      <c r="K1027" s="93">
        <v>7.069532794</v>
      </c>
    </row>
    <row r="1028">
      <c r="A1028" s="93">
        <v>116.0</v>
      </c>
      <c r="B1028" s="96" t="s">
        <v>24</v>
      </c>
      <c r="C1028" s="96" t="s">
        <v>144</v>
      </c>
      <c r="D1028" s="96" t="s">
        <v>145</v>
      </c>
      <c r="E1028" s="93">
        <v>-28.0</v>
      </c>
      <c r="F1028" s="93">
        <v>21.16663929</v>
      </c>
      <c r="G1028" s="93">
        <v>20.69392277284325</v>
      </c>
      <c r="H1028" s="93">
        <v>7.100819573695104</v>
      </c>
      <c r="I1028" s="93">
        <v>711.0</v>
      </c>
      <c r="J1028" s="93">
        <v>683.0</v>
      </c>
      <c r="K1028" s="93">
        <v>7.137566137</v>
      </c>
    </row>
    <row r="1029">
      <c r="A1029" s="93">
        <v>116.0</v>
      </c>
      <c r="B1029" s="96" t="s">
        <v>23</v>
      </c>
      <c r="C1029" s="96" t="s">
        <v>144</v>
      </c>
      <c r="D1029" s="96" t="s">
        <v>148</v>
      </c>
      <c r="E1029" s="93">
        <v>0.0</v>
      </c>
      <c r="F1029" s="93" t="s">
        <v>147</v>
      </c>
      <c r="G1029" s="93" t="s">
        <v>147</v>
      </c>
      <c r="H1029" s="93" t="s">
        <v>147</v>
      </c>
      <c r="I1029" s="93" t="s">
        <v>147</v>
      </c>
      <c r="J1029" s="93" t="s">
        <v>147</v>
      </c>
      <c r="K1029" s="93" t="s">
        <v>147</v>
      </c>
    </row>
    <row r="1030">
      <c r="A1030" s="93">
        <v>116.0</v>
      </c>
      <c r="B1030" s="96" t="s">
        <v>122</v>
      </c>
      <c r="C1030" s="96" t="s">
        <v>144</v>
      </c>
      <c r="D1030" s="96" t="s">
        <v>145</v>
      </c>
      <c r="E1030" s="93">
        <v>-35.0</v>
      </c>
      <c r="F1030" s="93">
        <v>22.79037708</v>
      </c>
      <c r="G1030" s="93">
        <v>22.206484113941837</v>
      </c>
      <c r="H1030" s="93">
        <v>7.881955331780274</v>
      </c>
      <c r="I1030" s="93">
        <v>741.0</v>
      </c>
      <c r="J1030" s="93">
        <v>706.0</v>
      </c>
      <c r="K1030" s="93">
        <v>7.932763271</v>
      </c>
    </row>
    <row r="1031">
      <c r="A1031" s="93">
        <v>116.0</v>
      </c>
      <c r="B1031" s="96" t="s">
        <v>35</v>
      </c>
      <c r="C1031" s="96" t="s">
        <v>144</v>
      </c>
      <c r="D1031" s="96" t="s">
        <v>145</v>
      </c>
      <c r="E1031" s="93">
        <v>-33.0</v>
      </c>
      <c r="F1031" s="93">
        <v>27.18384305</v>
      </c>
      <c r="G1031" s="93">
        <v>26.61812778031283</v>
      </c>
      <c r="H1031" s="93">
        <v>7.759876390247502</v>
      </c>
      <c r="I1031" s="93">
        <v>1052.0</v>
      </c>
      <c r="J1031" s="93">
        <v>1019.0</v>
      </c>
      <c r="K1031" s="93">
        <v>7.80828604</v>
      </c>
    </row>
    <row r="1032">
      <c r="A1032" s="93">
        <v>116.0</v>
      </c>
      <c r="B1032" s="96" t="s">
        <v>31</v>
      </c>
      <c r="C1032" s="96" t="s">
        <v>144</v>
      </c>
      <c r="D1032" s="96" t="s">
        <v>145</v>
      </c>
      <c r="E1032" s="93">
        <v>-29.0</v>
      </c>
      <c r="F1032" s="93">
        <v>30.64359134</v>
      </c>
      <c r="G1032" s="93">
        <v>30.147960496370743</v>
      </c>
      <c r="H1032" s="93">
        <v>7.269020786504049</v>
      </c>
      <c r="I1032" s="93">
        <v>1338.0</v>
      </c>
      <c r="J1032" s="93">
        <v>1309.0</v>
      </c>
      <c r="K1032" s="93">
        <v>7.308544406</v>
      </c>
    </row>
    <row r="1033">
      <c r="A1033" s="93">
        <v>116.0</v>
      </c>
      <c r="B1033" s="96" t="s">
        <v>92</v>
      </c>
      <c r="C1033" s="96" t="s">
        <v>144</v>
      </c>
      <c r="D1033" s="96" t="s">
        <v>145</v>
      </c>
      <c r="E1033" s="93">
        <v>-37.0</v>
      </c>
      <c r="F1033" s="93">
        <v>26.64213612</v>
      </c>
      <c r="G1033" s="93">
        <v>26.02041277791819</v>
      </c>
      <c r="H1033" s="93">
        <v>8.129833038837498</v>
      </c>
      <c r="I1033" s="93">
        <v>977.0</v>
      </c>
      <c r="J1033" s="93">
        <v>940.0</v>
      </c>
      <c r="K1033" s="93">
        <v>8.185751543</v>
      </c>
    </row>
    <row r="1034">
      <c r="A1034" s="93">
        <v>116.0</v>
      </c>
      <c r="B1034" s="96" t="s">
        <v>40</v>
      </c>
      <c r="C1034" s="96" t="s">
        <v>144</v>
      </c>
      <c r="D1034" s="96" t="s">
        <v>145</v>
      </c>
      <c r="E1034" s="93">
        <v>-32.0</v>
      </c>
      <c r="F1034" s="93">
        <v>30.1752216</v>
      </c>
      <c r="G1034" s="93">
        <v>29.638276674481972</v>
      </c>
      <c r="H1034" s="93">
        <v>7.562418887323187</v>
      </c>
      <c r="I1034" s="93">
        <v>1276.0</v>
      </c>
      <c r="J1034" s="93">
        <v>1244.0</v>
      </c>
      <c r="K1034" s="93">
        <v>7.607110531</v>
      </c>
    </row>
    <row r="1035">
      <c r="A1035" s="93">
        <v>116.0</v>
      </c>
      <c r="B1035" s="96" t="s">
        <v>93</v>
      </c>
      <c r="C1035" s="96" t="s">
        <v>144</v>
      </c>
      <c r="D1035" s="96" t="s">
        <v>145</v>
      </c>
      <c r="E1035" s="93">
        <v>-38.0</v>
      </c>
      <c r="F1035" s="93">
        <v>25.0</v>
      </c>
      <c r="G1035" s="93">
        <v>24.355659709640708</v>
      </c>
      <c r="H1035" s="93">
        <v>8.274283962272293</v>
      </c>
      <c r="I1035" s="93">
        <v>850.0</v>
      </c>
      <c r="J1035" s="93">
        <v>812.0</v>
      </c>
      <c r="K1035" s="93">
        <v>8.333333333</v>
      </c>
    </row>
    <row r="1036">
      <c r="A1036" s="93">
        <v>116.0</v>
      </c>
      <c r="B1036" s="96" t="s">
        <v>146</v>
      </c>
      <c r="C1036" s="96" t="s">
        <v>144</v>
      </c>
      <c r="D1036" s="96" t="s">
        <v>146</v>
      </c>
      <c r="E1036" s="93">
        <v>0.0</v>
      </c>
      <c r="F1036" s="93" t="s">
        <v>147</v>
      </c>
      <c r="G1036" s="93" t="s">
        <v>147</v>
      </c>
      <c r="H1036" s="93" t="s">
        <v>147</v>
      </c>
      <c r="I1036" s="93" t="s">
        <v>147</v>
      </c>
      <c r="J1036" s="93" t="s">
        <v>147</v>
      </c>
      <c r="K1036" s="93" t="s">
        <v>147</v>
      </c>
    </row>
    <row r="1037">
      <c r="A1037" s="93">
        <v>115.0</v>
      </c>
      <c r="B1037" s="96" t="s">
        <v>16</v>
      </c>
      <c r="C1037" s="96" t="s">
        <v>142</v>
      </c>
      <c r="D1037" s="96" t="s">
        <v>143</v>
      </c>
      <c r="E1037" s="93">
        <v>18.0</v>
      </c>
      <c r="F1037" s="93">
        <v>31.88018861</v>
      </c>
      <c r="G1037" s="93">
        <v>32.12108274662356</v>
      </c>
      <c r="H1037" s="93">
        <v>6.577929216389421</v>
      </c>
      <c r="I1037" s="93">
        <v>1495.0</v>
      </c>
      <c r="J1037" s="93">
        <v>1513.0</v>
      </c>
      <c r="K1037" s="93">
        <v>6.59935341</v>
      </c>
    </row>
    <row r="1038">
      <c r="A1038" s="93">
        <v>115.0</v>
      </c>
      <c r="B1038" s="96" t="s">
        <v>31</v>
      </c>
      <c r="C1038" s="96" t="s">
        <v>142</v>
      </c>
      <c r="D1038" s="96" t="s">
        <v>143</v>
      </c>
      <c r="E1038" s="93">
        <v>23.0</v>
      </c>
      <c r="F1038" s="93">
        <v>30.34573701</v>
      </c>
      <c r="G1038" s="93">
        <v>30.643591338435826</v>
      </c>
      <c r="H1038" s="93">
        <v>7.308544405788554</v>
      </c>
      <c r="I1038" s="93">
        <v>1315.0</v>
      </c>
      <c r="J1038" s="93">
        <v>1338.0</v>
      </c>
      <c r="K1038" s="93">
        <v>7.338372691</v>
      </c>
    </row>
    <row r="1039">
      <c r="A1039" s="93">
        <v>115.0</v>
      </c>
      <c r="B1039" s="96" t="s">
        <v>22</v>
      </c>
      <c r="C1039" s="96" t="s">
        <v>142</v>
      </c>
      <c r="D1039" s="96" t="s">
        <v>143</v>
      </c>
      <c r="E1039" s="93">
        <v>20.0</v>
      </c>
      <c r="F1039" s="93">
        <v>26.86783767</v>
      </c>
      <c r="G1039" s="93">
        <v>27.133028973929488</v>
      </c>
      <c r="H1039" s="93">
        <v>6.899342535204003</v>
      </c>
      <c r="I1039" s="93">
        <v>1121.0</v>
      </c>
      <c r="J1039" s="93">
        <v>1141.0</v>
      </c>
      <c r="K1039" s="93">
        <v>6.924245848</v>
      </c>
    </row>
    <row r="1040">
      <c r="A1040" s="93">
        <v>115.0</v>
      </c>
      <c r="B1040" s="96" t="s">
        <v>33</v>
      </c>
      <c r="C1040" s="96" t="s">
        <v>144</v>
      </c>
      <c r="D1040" s="96" t="s">
        <v>145</v>
      </c>
      <c r="E1040" s="93">
        <v>-21.0</v>
      </c>
      <c r="F1040" s="93">
        <v>22.20212374</v>
      </c>
      <c r="G1040" s="93">
        <v>21.83166176097263</v>
      </c>
      <c r="H1040" s="93">
        <v>8.142493742603758</v>
      </c>
      <c r="I1040" s="93">
        <v>675.0</v>
      </c>
      <c r="J1040" s="93">
        <v>654.0</v>
      </c>
      <c r="K1040" s="93">
        <v>8.184224437</v>
      </c>
    </row>
    <row r="1041">
      <c r="A1041" s="93">
        <v>115.0</v>
      </c>
      <c r="B1041" s="96" t="s">
        <v>115</v>
      </c>
      <c r="C1041" s="96" t="s">
        <v>144</v>
      </c>
      <c r="D1041" s="96" t="s">
        <v>148</v>
      </c>
      <c r="E1041" s="93">
        <v>0.0</v>
      </c>
      <c r="F1041" s="93" t="s">
        <v>147</v>
      </c>
      <c r="G1041" s="93" t="s">
        <v>147</v>
      </c>
      <c r="H1041" s="93" t="s">
        <v>147</v>
      </c>
      <c r="I1041" s="93" t="s">
        <v>147</v>
      </c>
      <c r="J1041" s="93" t="s">
        <v>147</v>
      </c>
      <c r="K1041" s="93" t="s">
        <v>147</v>
      </c>
    </row>
    <row r="1042">
      <c r="A1042" s="93">
        <v>115.0</v>
      </c>
      <c r="B1042" s="96" t="s">
        <v>122</v>
      </c>
      <c r="C1042" s="96" t="s">
        <v>144</v>
      </c>
      <c r="D1042" s="96" t="s">
        <v>145</v>
      </c>
      <c r="E1042" s="93">
        <v>-20.0</v>
      </c>
      <c r="F1042" s="93">
        <v>23.14181227</v>
      </c>
      <c r="G1042" s="93">
        <v>22.79037708059465</v>
      </c>
      <c r="H1042" s="93">
        <v>7.932763270554828</v>
      </c>
      <c r="I1042" s="93">
        <v>761.0</v>
      </c>
      <c r="J1042" s="93">
        <v>741.0</v>
      </c>
      <c r="K1042" s="93">
        <v>7.971252697</v>
      </c>
    </row>
    <row r="1043">
      <c r="A1043" s="93">
        <v>115.0</v>
      </c>
      <c r="B1043" s="96" t="s">
        <v>23</v>
      </c>
      <c r="C1043" s="96" t="s">
        <v>144</v>
      </c>
      <c r="D1043" s="96" t="s">
        <v>145</v>
      </c>
      <c r="E1043" s="93">
        <v>-14.0</v>
      </c>
      <c r="F1043" s="93">
        <v>32.71272234</v>
      </c>
      <c r="G1043" s="93">
        <v>32.465430745427405</v>
      </c>
      <c r="H1043" s="93">
        <v>6.664104465714347</v>
      </c>
      <c r="I1043" s="93">
        <v>1542.0</v>
      </c>
      <c r="J1043" s="93">
        <v>1528.0</v>
      </c>
      <c r="K1043" s="93">
        <v>6.686429026</v>
      </c>
    </row>
    <row r="1044">
      <c r="A1044" s="93">
        <v>115.0</v>
      </c>
      <c r="B1044" s="96" t="s">
        <v>50</v>
      </c>
      <c r="C1044" s="96" t="s">
        <v>144</v>
      </c>
      <c r="D1044" s="96" t="s">
        <v>145</v>
      </c>
      <c r="E1044" s="93">
        <v>-21.0</v>
      </c>
      <c r="F1044" s="93">
        <v>23.61863737</v>
      </c>
      <c r="G1044" s="93">
        <v>23.25729486317293</v>
      </c>
      <c r="H1044" s="93">
        <v>8.04268147808462</v>
      </c>
      <c r="I1044" s="93">
        <v>782.0</v>
      </c>
      <c r="J1044" s="93">
        <v>761.0</v>
      </c>
      <c r="K1044" s="93">
        <v>8.08284811</v>
      </c>
    </row>
    <row r="1045">
      <c r="A1045" s="93">
        <v>115.0</v>
      </c>
      <c r="B1045" s="96" t="s">
        <v>21</v>
      </c>
      <c r="C1045" s="96" t="s">
        <v>144</v>
      </c>
      <c r="D1045" s="96" t="s">
        <v>145</v>
      </c>
      <c r="E1045" s="93">
        <v>-21.0</v>
      </c>
      <c r="F1045" s="93">
        <v>25.18908649</v>
      </c>
      <c r="G1045" s="93">
        <v>24.814827572727488</v>
      </c>
      <c r="H1045" s="93">
        <v>8.18367705447293</v>
      </c>
      <c r="I1045" s="93">
        <v>874.0</v>
      </c>
      <c r="J1045" s="93">
        <v>853.0</v>
      </c>
      <c r="K1045" s="93">
        <v>8.226064618</v>
      </c>
    </row>
    <row r="1046">
      <c r="A1046" s="93">
        <v>115.0</v>
      </c>
      <c r="B1046" s="96" t="s">
        <v>28</v>
      </c>
      <c r="C1046" s="96" t="s">
        <v>144</v>
      </c>
      <c r="D1046" s="96" t="s">
        <v>145</v>
      </c>
      <c r="E1046" s="93">
        <v>-18.0</v>
      </c>
      <c r="F1046" s="93">
        <v>28.20083575</v>
      </c>
      <c r="G1046" s="93">
        <v>27.87874986265528</v>
      </c>
      <c r="H1046" s="93">
        <v>7.597433901637796</v>
      </c>
      <c r="I1046" s="93">
        <v>1139.0</v>
      </c>
      <c r="J1046" s="93">
        <v>1121.0</v>
      </c>
      <c r="K1046" s="93">
        <v>7.631091977</v>
      </c>
    </row>
    <row r="1047">
      <c r="A1047" s="93">
        <v>115.0</v>
      </c>
      <c r="B1047" s="96" t="s">
        <v>24</v>
      </c>
      <c r="C1047" s="96" t="s">
        <v>144</v>
      </c>
      <c r="D1047" s="96" t="s">
        <v>145</v>
      </c>
      <c r="E1047" s="93">
        <v>-17.0</v>
      </c>
      <c r="F1047" s="93">
        <v>21.4506097</v>
      </c>
      <c r="G1047" s="93">
        <v>21.16663928858883</v>
      </c>
      <c r="H1047" s="93">
        <v>7.137566136633383</v>
      </c>
      <c r="I1047" s="93">
        <v>728.0</v>
      </c>
      <c r="J1047" s="93">
        <v>711.0</v>
      </c>
      <c r="K1047" s="93">
        <v>7.165267035</v>
      </c>
    </row>
    <row r="1048">
      <c r="A1048" s="93">
        <v>115.0</v>
      </c>
      <c r="B1048" s="96" t="s">
        <v>26</v>
      </c>
      <c r="C1048" s="96" t="s">
        <v>144</v>
      </c>
      <c r="D1048" s="96" t="s">
        <v>145</v>
      </c>
      <c r="E1048" s="93">
        <v>-15.0</v>
      </c>
      <c r="F1048" s="93">
        <v>29.67395285</v>
      </c>
      <c r="G1048" s="93">
        <v>29.412414647511568</v>
      </c>
      <c r="H1048" s="93">
        <v>6.8520085378929805</v>
      </c>
      <c r="I1048" s="93">
        <v>1316.0</v>
      </c>
      <c r="J1048" s="93">
        <v>1301.0</v>
      </c>
      <c r="K1048" s="93">
        <v>6.876378513</v>
      </c>
    </row>
    <row r="1049">
      <c r="A1049" s="93">
        <v>115.0</v>
      </c>
      <c r="B1049" s="96" t="s">
        <v>35</v>
      </c>
      <c r="C1049" s="96" t="s">
        <v>144</v>
      </c>
      <c r="D1049" s="96" t="s">
        <v>148</v>
      </c>
      <c r="E1049" s="93">
        <v>0.0</v>
      </c>
      <c r="F1049" s="93" t="s">
        <v>147</v>
      </c>
      <c r="G1049" s="93" t="s">
        <v>147</v>
      </c>
      <c r="H1049" s="93" t="s">
        <v>147</v>
      </c>
      <c r="I1049" s="93" t="s">
        <v>147</v>
      </c>
      <c r="J1049" s="93" t="s">
        <v>147</v>
      </c>
      <c r="K1049" s="93" t="s">
        <v>147</v>
      </c>
    </row>
    <row r="1050">
      <c r="A1050" s="93">
        <v>115.0</v>
      </c>
      <c r="B1050" s="96" t="s">
        <v>40</v>
      </c>
      <c r="C1050" s="96" t="s">
        <v>144</v>
      </c>
      <c r="D1050" s="96" t="s">
        <v>145</v>
      </c>
      <c r="E1050" s="93">
        <v>-19.0</v>
      </c>
      <c r="F1050" s="93">
        <v>30.49813599</v>
      </c>
      <c r="G1050" s="93">
        <v>30.175221597467036</v>
      </c>
      <c r="H1050" s="93">
        <v>7.607110530731436</v>
      </c>
      <c r="I1050" s="93">
        <v>1295.0</v>
      </c>
      <c r="J1050" s="93">
        <v>1276.0</v>
      </c>
      <c r="K1050" s="93">
        <v>7.640902129</v>
      </c>
    </row>
    <row r="1051">
      <c r="A1051" s="93">
        <v>115.0</v>
      </c>
      <c r="B1051" s="96" t="s">
        <v>97</v>
      </c>
      <c r="C1051" s="96" t="s">
        <v>144</v>
      </c>
      <c r="D1051" s="96" t="s">
        <v>145</v>
      </c>
      <c r="E1051" s="93">
        <v>-15.0</v>
      </c>
      <c r="F1051" s="93">
        <v>27.40063373</v>
      </c>
      <c r="G1051" s="93">
        <v>27.134082018763724</v>
      </c>
      <c r="H1051" s="93">
        <v>6.916884359597687</v>
      </c>
      <c r="I1051" s="93">
        <v>1155.0</v>
      </c>
      <c r="J1051" s="93">
        <v>1140.0</v>
      </c>
      <c r="K1051" s="93">
        <v>6.9419872</v>
      </c>
    </row>
    <row r="1052">
      <c r="A1052" s="93">
        <v>114.0</v>
      </c>
      <c r="B1052" s="96" t="s">
        <v>23</v>
      </c>
      <c r="C1052" s="96" t="s">
        <v>142</v>
      </c>
      <c r="D1052" s="96" t="s">
        <v>143</v>
      </c>
      <c r="E1052" s="93">
        <v>23.0</v>
      </c>
      <c r="F1052" s="93">
        <v>32.4001278</v>
      </c>
      <c r="G1052" s="93">
        <v>32.71272233615558</v>
      </c>
      <c r="H1052" s="93">
        <v>6.68642902602405</v>
      </c>
      <c r="I1052" s="93">
        <v>1519.0</v>
      </c>
      <c r="J1052" s="93">
        <v>1542.0</v>
      </c>
      <c r="K1052" s="93">
        <v>6.710909102</v>
      </c>
    </row>
    <row r="1053">
      <c r="A1053" s="93">
        <v>114.0</v>
      </c>
      <c r="B1053" s="96" t="s">
        <v>42</v>
      </c>
      <c r="C1053" s="96" t="s">
        <v>142</v>
      </c>
      <c r="D1053" s="96" t="s">
        <v>143</v>
      </c>
      <c r="E1053" s="93">
        <v>31.0</v>
      </c>
      <c r="F1053" s="93">
        <v>25.44560915</v>
      </c>
      <c r="G1053" s="93">
        <v>25.84528499712781</v>
      </c>
      <c r="H1053" s="93">
        <v>7.552656530695034</v>
      </c>
      <c r="I1053" s="93">
        <v>956.0</v>
      </c>
      <c r="J1053" s="93">
        <v>987.0</v>
      </c>
      <c r="K1053" s="93">
        <v>7.588485737</v>
      </c>
    </row>
    <row r="1054">
      <c r="A1054" s="93">
        <v>114.0</v>
      </c>
      <c r="B1054" s="96" t="s">
        <v>26</v>
      </c>
      <c r="C1054" s="96" t="s">
        <v>142</v>
      </c>
      <c r="D1054" s="96" t="s">
        <v>143</v>
      </c>
      <c r="E1054" s="93">
        <v>25.0</v>
      </c>
      <c r="F1054" s="93">
        <v>29.3432003</v>
      </c>
      <c r="G1054" s="93">
        <v>29.67395284827463</v>
      </c>
      <c r="H1054" s="93">
        <v>6.87637851322255</v>
      </c>
      <c r="I1054" s="93">
        <v>1291.0</v>
      </c>
      <c r="J1054" s="93">
        <v>1316.0</v>
      </c>
      <c r="K1054" s="93">
        <v>6.90311187</v>
      </c>
    </row>
    <row r="1055">
      <c r="A1055" s="93">
        <v>114.0</v>
      </c>
      <c r="B1055" s="96" t="s">
        <v>128</v>
      </c>
      <c r="C1055" s="96" t="s">
        <v>144</v>
      </c>
      <c r="D1055" s="96" t="s">
        <v>145</v>
      </c>
      <c r="E1055" s="93">
        <v>-28.0</v>
      </c>
      <c r="F1055" s="93">
        <v>25.0</v>
      </c>
      <c r="G1055" s="93">
        <v>24.51802746566872</v>
      </c>
      <c r="H1055" s="93">
        <v>8.285589748525995</v>
      </c>
      <c r="I1055" s="93">
        <v>850.0</v>
      </c>
      <c r="J1055" s="93">
        <v>822.0</v>
      </c>
      <c r="K1055" s="93">
        <v>8.333333333</v>
      </c>
    </row>
    <row r="1056">
      <c r="A1056" s="93">
        <v>114.0</v>
      </c>
      <c r="B1056" s="96" t="s">
        <v>28</v>
      </c>
      <c r="C1056" s="96" t="s">
        <v>144</v>
      </c>
      <c r="D1056" s="96" t="s">
        <v>145</v>
      </c>
      <c r="E1056" s="93">
        <v>-24.0</v>
      </c>
      <c r="F1056" s="93">
        <v>28.60893944</v>
      </c>
      <c r="G1056" s="93">
        <v>28.20083575227713</v>
      </c>
      <c r="H1056" s="93">
        <v>7.6310919767118</v>
      </c>
      <c r="I1056" s="93">
        <v>1163.0</v>
      </c>
      <c r="J1056" s="93">
        <v>1139.0</v>
      </c>
      <c r="K1056" s="93">
        <v>7.668090122</v>
      </c>
    </row>
    <row r="1057">
      <c r="A1057" s="93">
        <v>114.0</v>
      </c>
      <c r="B1057" s="96" t="s">
        <v>32</v>
      </c>
      <c r="C1057" s="96" t="s">
        <v>144</v>
      </c>
      <c r="D1057" s="96" t="s">
        <v>148</v>
      </c>
      <c r="E1057" s="93">
        <v>0.0</v>
      </c>
      <c r="F1057" s="93" t="s">
        <v>147</v>
      </c>
      <c r="G1057" s="93" t="s">
        <v>147</v>
      </c>
      <c r="H1057" s="93" t="s">
        <v>147</v>
      </c>
      <c r="I1057" s="93" t="s">
        <v>147</v>
      </c>
      <c r="J1057" s="93" t="s">
        <v>147</v>
      </c>
      <c r="K1057" s="93" t="s">
        <v>147</v>
      </c>
    </row>
    <row r="1058">
      <c r="A1058" s="93">
        <v>114.0</v>
      </c>
      <c r="B1058" s="96" t="s">
        <v>18</v>
      </c>
      <c r="C1058" s="96" t="s">
        <v>144</v>
      </c>
      <c r="D1058" s="96" t="s">
        <v>145</v>
      </c>
      <c r="E1058" s="93">
        <v>-19.0</v>
      </c>
      <c r="F1058" s="93">
        <v>32.12419894</v>
      </c>
      <c r="G1058" s="93">
        <v>31.80360730405829</v>
      </c>
      <c r="H1058" s="93">
        <v>6.770763479386593</v>
      </c>
      <c r="I1058" s="93">
        <v>1491.0</v>
      </c>
      <c r="J1058" s="93">
        <v>1472.0</v>
      </c>
      <c r="K1058" s="93">
        <v>6.796228336</v>
      </c>
    </row>
    <row r="1059">
      <c r="A1059" s="93">
        <v>114.0</v>
      </c>
      <c r="B1059" s="96" t="s">
        <v>34</v>
      </c>
      <c r="C1059" s="96" t="s">
        <v>144</v>
      </c>
      <c r="D1059" s="96" t="s">
        <v>145</v>
      </c>
      <c r="E1059" s="93">
        <v>-25.0</v>
      </c>
      <c r="F1059" s="93">
        <v>23.55407329</v>
      </c>
      <c r="G1059" s="93">
        <v>23.126685936625606</v>
      </c>
      <c r="H1059" s="93">
        <v>7.807477496989091</v>
      </c>
      <c r="I1059" s="93">
        <v>801.0</v>
      </c>
      <c r="J1059" s="93">
        <v>776.0</v>
      </c>
      <c r="K1059" s="93">
        <v>7.847195069</v>
      </c>
    </row>
    <row r="1060">
      <c r="A1060" s="93">
        <v>114.0</v>
      </c>
      <c r="B1060" s="96" t="s">
        <v>50</v>
      </c>
      <c r="C1060" s="96" t="s">
        <v>144</v>
      </c>
      <c r="D1060" s="96" t="s">
        <v>145</v>
      </c>
      <c r="E1060" s="93">
        <v>-26.0</v>
      </c>
      <c r="F1060" s="93">
        <v>24.07704927</v>
      </c>
      <c r="G1060" s="93">
        <v>23.61863736966964</v>
      </c>
      <c r="H1060" s="93">
        <v>8.082848109617089</v>
      </c>
      <c r="I1060" s="93">
        <v>808.0</v>
      </c>
      <c r="J1060" s="93">
        <v>782.0</v>
      </c>
      <c r="K1060" s="93">
        <v>8.127068932</v>
      </c>
    </row>
    <row r="1061">
      <c r="A1061" s="93">
        <v>114.0</v>
      </c>
      <c r="B1061" s="96" t="s">
        <v>22</v>
      </c>
      <c r="C1061" s="96" t="s">
        <v>144</v>
      </c>
      <c r="D1061" s="96" t="s">
        <v>145</v>
      </c>
      <c r="E1061" s="93">
        <v>-20.0</v>
      </c>
      <c r="F1061" s="93">
        <v>27.20324887</v>
      </c>
      <c r="G1061" s="93">
        <v>26.867837670643365</v>
      </c>
      <c r="H1061" s="93">
        <v>6.924245847511604</v>
      </c>
      <c r="I1061" s="93">
        <v>1141.0</v>
      </c>
      <c r="J1061" s="93">
        <v>1121.0</v>
      </c>
      <c r="K1061" s="93">
        <v>6.95156719</v>
      </c>
    </row>
    <row r="1062">
      <c r="A1062" s="93">
        <v>114.0</v>
      </c>
      <c r="B1062" s="96" t="s">
        <v>47</v>
      </c>
      <c r="C1062" s="96" t="s">
        <v>144</v>
      </c>
      <c r="D1062" s="96" t="s">
        <v>145</v>
      </c>
      <c r="E1062" s="93">
        <v>-18.0</v>
      </c>
      <c r="F1062" s="93">
        <v>22.66780512</v>
      </c>
      <c r="G1062" s="93">
        <v>22.35294361472932</v>
      </c>
      <c r="H1062" s="93">
        <v>6.710446631542526</v>
      </c>
      <c r="I1062" s="93">
        <v>854.0</v>
      </c>
      <c r="J1062" s="93">
        <v>836.0</v>
      </c>
      <c r="K1062" s="93">
        <v>6.735204643</v>
      </c>
    </row>
    <row r="1063">
      <c r="A1063" s="93">
        <v>114.0</v>
      </c>
      <c r="B1063" s="96" t="s">
        <v>41</v>
      </c>
      <c r="C1063" s="96" t="s">
        <v>144</v>
      </c>
      <c r="D1063" s="96" t="s">
        <v>145</v>
      </c>
      <c r="E1063" s="93">
        <v>-21.0</v>
      </c>
      <c r="F1063" s="93">
        <v>27.65526425</v>
      </c>
      <c r="G1063" s="93">
        <v>27.29651852034112</v>
      </c>
      <c r="H1063" s="93">
        <v>7.159034125332803</v>
      </c>
      <c r="I1063" s="93">
        <v>1147.0</v>
      </c>
      <c r="J1063" s="93">
        <v>1126.0</v>
      </c>
      <c r="K1063" s="93">
        <v>7.189360113</v>
      </c>
    </row>
    <row r="1064">
      <c r="A1064" s="93">
        <v>114.0</v>
      </c>
      <c r="B1064" s="96" t="s">
        <v>38</v>
      </c>
      <c r="C1064" s="96" t="s">
        <v>144</v>
      </c>
      <c r="D1064" s="96" t="s">
        <v>145</v>
      </c>
      <c r="E1064" s="93">
        <v>-19.0</v>
      </c>
      <c r="F1064" s="93">
        <v>23.22800317</v>
      </c>
      <c r="G1064" s="93">
        <v>22.90530377281579</v>
      </c>
      <c r="H1064" s="93">
        <v>6.79281138098806</v>
      </c>
      <c r="I1064" s="93">
        <v>884.0</v>
      </c>
      <c r="J1064" s="93">
        <v>865.0</v>
      </c>
      <c r="K1064" s="93">
        <v>6.818537792</v>
      </c>
    </row>
    <row r="1065">
      <c r="A1065" s="93">
        <v>114.0</v>
      </c>
      <c r="B1065" s="96" t="s">
        <v>29</v>
      </c>
      <c r="C1065" s="96" t="s">
        <v>144</v>
      </c>
      <c r="D1065" s="96" t="s">
        <v>145</v>
      </c>
      <c r="E1065" s="93">
        <v>-20.0</v>
      </c>
      <c r="F1065" s="93">
        <v>32.62149109</v>
      </c>
      <c r="G1065" s="93">
        <v>32.29970165610434</v>
      </c>
      <c r="H1065" s="93">
        <v>6.783301923253238</v>
      </c>
      <c r="I1065" s="93">
        <v>1524.0</v>
      </c>
      <c r="J1065" s="93">
        <v>1504.0</v>
      </c>
      <c r="K1065" s="93">
        <v>6.808915314</v>
      </c>
    </row>
    <row r="1066">
      <c r="A1066" s="93">
        <v>114.0</v>
      </c>
      <c r="B1066" s="96" t="s">
        <v>27</v>
      </c>
      <c r="C1066" s="96" t="s">
        <v>144</v>
      </c>
      <c r="D1066" s="96" t="s">
        <v>145</v>
      </c>
      <c r="E1066" s="93">
        <v>-21.0</v>
      </c>
      <c r="F1066" s="93">
        <v>29.73392478</v>
      </c>
      <c r="G1066" s="93">
        <v>29.36804455993622</v>
      </c>
      <c r="H1066" s="93">
        <v>7.2292462518680045</v>
      </c>
      <c r="I1066" s="93">
        <v>1281.0</v>
      </c>
      <c r="J1066" s="93">
        <v>1260.0</v>
      </c>
      <c r="K1066" s="93">
        <v>7.260510416</v>
      </c>
    </row>
    <row r="1067">
      <c r="A1067" s="93">
        <v>113.0</v>
      </c>
      <c r="B1067" s="96" t="s">
        <v>47</v>
      </c>
      <c r="C1067" s="96" t="s">
        <v>142</v>
      </c>
      <c r="D1067" s="96" t="s">
        <v>143</v>
      </c>
      <c r="E1067" s="93">
        <v>31.0</v>
      </c>
      <c r="F1067" s="93">
        <v>22.24906097</v>
      </c>
      <c r="G1067" s="93">
        <v>22.66780511584306</v>
      </c>
      <c r="H1067" s="93">
        <v>6.735204642783896</v>
      </c>
      <c r="I1067" s="93">
        <v>823.0</v>
      </c>
      <c r="J1067" s="93">
        <v>854.0</v>
      </c>
      <c r="K1067" s="93">
        <v>6.767087456</v>
      </c>
    </row>
    <row r="1068">
      <c r="A1068" s="93">
        <v>113.0</v>
      </c>
      <c r="B1068" s="96" t="s">
        <v>18</v>
      </c>
      <c r="C1068" s="96" t="s">
        <v>142</v>
      </c>
      <c r="D1068" s="96" t="s">
        <v>143</v>
      </c>
      <c r="E1068" s="93">
        <v>32.0</v>
      </c>
      <c r="F1068" s="93">
        <v>31.69775631</v>
      </c>
      <c r="G1068" s="93">
        <v>32.12419894491593</v>
      </c>
      <c r="H1068" s="93">
        <v>6.7962283356521205</v>
      </c>
      <c r="I1068" s="93">
        <v>1459.0</v>
      </c>
      <c r="J1068" s="93">
        <v>1491.0</v>
      </c>
      <c r="K1068" s="93">
        <v>6.829023073</v>
      </c>
    </row>
    <row r="1069">
      <c r="A1069" s="93">
        <v>113.0</v>
      </c>
      <c r="B1069" s="96" t="s">
        <v>23</v>
      </c>
      <c r="C1069" s="96" t="s">
        <v>142</v>
      </c>
      <c r="D1069" s="96" t="s">
        <v>143</v>
      </c>
      <c r="E1069" s="93">
        <v>32.0</v>
      </c>
      <c r="F1069" s="93">
        <v>31.98442858</v>
      </c>
      <c r="G1069" s="93">
        <v>32.400127795842806</v>
      </c>
      <c r="H1069" s="93">
        <v>6.710909101762287</v>
      </c>
      <c r="I1069" s="93">
        <v>1487.0</v>
      </c>
      <c r="J1069" s="93">
        <v>1519.0</v>
      </c>
      <c r="K1069" s="93">
        <v>6.742433477</v>
      </c>
    </row>
    <row r="1070">
      <c r="A1070" s="93">
        <v>113.0</v>
      </c>
      <c r="B1070" s="96" t="s">
        <v>44</v>
      </c>
      <c r="C1070" s="96" t="s">
        <v>144</v>
      </c>
      <c r="D1070" s="96" t="s">
        <v>145</v>
      </c>
      <c r="E1070" s="93">
        <v>-33.0</v>
      </c>
      <c r="F1070" s="93">
        <v>27.25740522</v>
      </c>
      <c r="G1070" s="93">
        <v>26.702210932887397</v>
      </c>
      <c r="H1070" s="93">
        <v>7.743026298805506</v>
      </c>
      <c r="I1070" s="93">
        <v>1059.0</v>
      </c>
      <c r="J1070" s="93">
        <v>1026.0</v>
      </c>
      <c r="K1070" s="93">
        <v>7.792226414</v>
      </c>
    </row>
    <row r="1071">
      <c r="A1071" s="93">
        <v>113.0</v>
      </c>
      <c r="B1071" s="96" t="s">
        <v>67</v>
      </c>
      <c r="C1071" s="96" t="s">
        <v>144</v>
      </c>
      <c r="D1071" s="96" t="s">
        <v>148</v>
      </c>
      <c r="E1071" s="93">
        <v>0.0</v>
      </c>
      <c r="F1071" s="93" t="s">
        <v>147</v>
      </c>
      <c r="G1071" s="93" t="s">
        <v>147</v>
      </c>
      <c r="H1071" s="93" t="s">
        <v>147</v>
      </c>
      <c r="I1071" s="93" t="s">
        <v>147</v>
      </c>
      <c r="J1071" s="93" t="s">
        <v>147</v>
      </c>
      <c r="K1071" s="93" t="s">
        <v>147</v>
      </c>
    </row>
    <row r="1072">
      <c r="A1072" s="93">
        <v>113.0</v>
      </c>
      <c r="B1072" s="96" t="s">
        <v>34</v>
      </c>
      <c r="C1072" s="96" t="s">
        <v>144</v>
      </c>
      <c r="D1072" s="96" t="s">
        <v>145</v>
      </c>
      <c r="E1072" s="93">
        <v>-34.0</v>
      </c>
      <c r="F1072" s="93">
        <v>24.12450863</v>
      </c>
      <c r="G1072" s="93">
        <v>23.554073289391706</v>
      </c>
      <c r="H1072" s="93">
        <v>7.847195068926422</v>
      </c>
      <c r="I1072" s="93">
        <v>835.0</v>
      </c>
      <c r="J1072" s="93">
        <v>801.0</v>
      </c>
      <c r="K1072" s="93">
        <v>7.898474788</v>
      </c>
    </row>
    <row r="1073">
      <c r="A1073" s="93">
        <v>113.0</v>
      </c>
      <c r="B1073" s="96" t="s">
        <v>41</v>
      </c>
      <c r="C1073" s="96" t="s">
        <v>144</v>
      </c>
      <c r="D1073" s="96" t="s">
        <v>145</v>
      </c>
      <c r="E1073" s="93">
        <v>-29.0</v>
      </c>
      <c r="F1073" s="93">
        <v>28.13303827</v>
      </c>
      <c r="G1073" s="93">
        <v>27.65526425317961</v>
      </c>
      <c r="H1073" s="93">
        <v>7.18936011312753</v>
      </c>
      <c r="I1073" s="93">
        <v>1176.0</v>
      </c>
      <c r="J1073" s="93">
        <v>1147.0</v>
      </c>
      <c r="K1073" s="93">
        <v>7.228439281</v>
      </c>
    </row>
    <row r="1074">
      <c r="A1074" s="93">
        <v>113.0</v>
      </c>
      <c r="B1074" s="96" t="s">
        <v>32</v>
      </c>
      <c r="C1074" s="96" t="s">
        <v>144</v>
      </c>
      <c r="D1074" s="96" t="s">
        <v>145</v>
      </c>
      <c r="E1074" s="93">
        <v>-28.0</v>
      </c>
      <c r="F1074" s="93">
        <v>31.1717758</v>
      </c>
      <c r="G1074" s="93">
        <v>30.69972880544431</v>
      </c>
      <c r="H1074" s="93">
        <v>7.14661634822915</v>
      </c>
      <c r="I1074" s="93">
        <v>1387.0</v>
      </c>
      <c r="J1074" s="93">
        <v>1359.0</v>
      </c>
      <c r="K1074" s="93">
        <v>7.184977092</v>
      </c>
    </row>
    <row r="1075">
      <c r="A1075" s="93">
        <v>113.0</v>
      </c>
      <c r="B1075" s="96" t="s">
        <v>22</v>
      </c>
      <c r="C1075" s="96" t="s">
        <v>144</v>
      </c>
      <c r="D1075" s="96" t="s">
        <v>145</v>
      </c>
      <c r="E1075" s="93">
        <v>-27.0</v>
      </c>
      <c r="F1075" s="93">
        <v>27.64961463</v>
      </c>
      <c r="G1075" s="93">
        <v>27.203248871543355</v>
      </c>
      <c r="H1075" s="93">
        <v>6.951567189706636</v>
      </c>
      <c r="I1075" s="93">
        <v>1168.0</v>
      </c>
      <c r="J1075" s="93">
        <v>1141.0</v>
      </c>
      <c r="K1075" s="93">
        <v>6.986759355</v>
      </c>
    </row>
    <row r="1076">
      <c r="A1076" s="93">
        <v>113.0</v>
      </c>
      <c r="B1076" s="96" t="s">
        <v>16</v>
      </c>
      <c r="C1076" s="96" t="s">
        <v>144</v>
      </c>
      <c r="D1076" s="96" t="s">
        <v>145</v>
      </c>
      <c r="E1076" s="93">
        <v>-24.0</v>
      </c>
      <c r="F1076" s="93">
        <v>32.28205341</v>
      </c>
      <c r="G1076" s="93">
        <v>31.880188605978773</v>
      </c>
      <c r="H1076" s="93">
        <v>6.599353410220025</v>
      </c>
      <c r="I1076" s="93">
        <v>1519.0</v>
      </c>
      <c r="J1076" s="93">
        <v>1495.0</v>
      </c>
      <c r="K1076" s="93">
        <v>6.629265444</v>
      </c>
    </row>
    <row r="1077">
      <c r="A1077" s="93">
        <v>113.0</v>
      </c>
      <c r="B1077" s="96" t="s">
        <v>42</v>
      </c>
      <c r="C1077" s="96" t="s">
        <v>144</v>
      </c>
      <c r="D1077" s="96" t="s">
        <v>145</v>
      </c>
      <c r="E1077" s="93">
        <v>-32.0</v>
      </c>
      <c r="F1077" s="93">
        <v>25.97858726</v>
      </c>
      <c r="G1077" s="93">
        <v>25.445609148342378</v>
      </c>
      <c r="H1077" s="93">
        <v>7.588485736801269</v>
      </c>
      <c r="I1077" s="93">
        <v>988.0</v>
      </c>
      <c r="J1077" s="93">
        <v>956.0</v>
      </c>
      <c r="K1077" s="93">
        <v>7.634705072</v>
      </c>
    </row>
    <row r="1078">
      <c r="A1078" s="93">
        <v>113.0</v>
      </c>
      <c r="B1078" s="96" t="s">
        <v>50</v>
      </c>
      <c r="C1078" s="96" t="s">
        <v>144</v>
      </c>
      <c r="D1078" s="96" t="s">
        <v>145</v>
      </c>
      <c r="E1078" s="93">
        <v>-36.0</v>
      </c>
      <c r="F1078" s="93">
        <v>24.6894987</v>
      </c>
      <c r="G1078" s="93">
        <v>24.077049266787107</v>
      </c>
      <c r="H1078" s="93">
        <v>8.127068931631516</v>
      </c>
      <c r="I1078" s="93">
        <v>844.0</v>
      </c>
      <c r="J1078" s="93">
        <v>808.0</v>
      </c>
      <c r="K1078" s="93">
        <v>8.184224437</v>
      </c>
    </row>
    <row r="1079">
      <c r="A1079" s="93">
        <v>113.0</v>
      </c>
      <c r="B1079" s="96" t="s">
        <v>115</v>
      </c>
      <c r="C1079" s="96" t="s">
        <v>144</v>
      </c>
      <c r="D1079" s="96" t="s">
        <v>145</v>
      </c>
      <c r="E1079" s="93">
        <v>-36.0</v>
      </c>
      <c r="F1079" s="93">
        <v>26.2654421</v>
      </c>
      <c r="G1079" s="93">
        <v>25.642489376423676</v>
      </c>
      <c r="H1079" s="93">
        <v>8.19545811375914</v>
      </c>
      <c r="I1079" s="93">
        <v>944.0</v>
      </c>
      <c r="J1079" s="93">
        <v>908.0</v>
      </c>
      <c r="K1079" s="93">
        <v>8.254114767</v>
      </c>
    </row>
    <row r="1080">
      <c r="A1080" s="93">
        <v>113.0</v>
      </c>
      <c r="B1080" s="96" t="s">
        <v>38</v>
      </c>
      <c r="C1080" s="96" t="s">
        <v>144</v>
      </c>
      <c r="D1080" s="96" t="s">
        <v>145</v>
      </c>
      <c r="E1080" s="93">
        <v>-26.0</v>
      </c>
      <c r="F1080" s="93">
        <v>23.6572783</v>
      </c>
      <c r="G1080" s="93">
        <v>23.22800316763004</v>
      </c>
      <c r="H1080" s="93">
        <v>6.818537792229959</v>
      </c>
      <c r="I1080" s="93">
        <v>910.0</v>
      </c>
      <c r="J1080" s="93">
        <v>884.0</v>
      </c>
      <c r="K1080" s="93">
        <v>6.851670094</v>
      </c>
    </row>
    <row r="1081">
      <c r="A1081" s="93">
        <v>113.0</v>
      </c>
      <c r="B1081" s="96" t="s">
        <v>28</v>
      </c>
      <c r="C1081" s="96" t="s">
        <v>144</v>
      </c>
      <c r="D1081" s="96" t="s">
        <v>148</v>
      </c>
      <c r="E1081" s="93">
        <v>0.0</v>
      </c>
      <c r="F1081" s="93" t="s">
        <v>147</v>
      </c>
      <c r="G1081" s="93" t="s">
        <v>147</v>
      </c>
      <c r="H1081" s="93" t="s">
        <v>147</v>
      </c>
      <c r="I1081" s="93" t="s">
        <v>147</v>
      </c>
      <c r="J1081" s="93" t="s">
        <v>147</v>
      </c>
      <c r="K1081" s="93" t="s">
        <v>147</v>
      </c>
    </row>
    <row r="1082">
      <c r="A1082" s="93">
        <v>112.0</v>
      </c>
      <c r="B1082" s="96" t="s">
        <v>34</v>
      </c>
      <c r="C1082" s="96" t="s">
        <v>142</v>
      </c>
      <c r="D1082" s="96" t="s">
        <v>145</v>
      </c>
      <c r="E1082" s="93">
        <v>-71.0</v>
      </c>
      <c r="F1082" s="93">
        <v>25.28132346</v>
      </c>
      <c r="G1082" s="93">
        <v>24.12450863350166</v>
      </c>
      <c r="H1082" s="93">
        <v>7.898474788433145</v>
      </c>
      <c r="I1082" s="93">
        <v>906.0</v>
      </c>
      <c r="J1082" s="93">
        <v>835.0</v>
      </c>
      <c r="K1082" s="93">
        <v>7.967583107</v>
      </c>
    </row>
    <row r="1083">
      <c r="A1083" s="93">
        <v>112.0</v>
      </c>
      <c r="B1083" s="96" t="s">
        <v>33</v>
      </c>
      <c r="C1083" s="96" t="s">
        <v>142</v>
      </c>
      <c r="D1083" s="96" t="s">
        <v>145</v>
      </c>
      <c r="E1083" s="93">
        <v>-77.0</v>
      </c>
      <c r="F1083" s="93">
        <v>23.44581122</v>
      </c>
      <c r="G1083" s="93">
        <v>22.2021237417016</v>
      </c>
      <c r="H1083" s="93">
        <v>8.184224437443893</v>
      </c>
      <c r="I1083" s="93">
        <v>752.0</v>
      </c>
      <c r="J1083" s="93">
        <v>675.0</v>
      </c>
      <c r="K1083" s="93">
        <v>8.261381908</v>
      </c>
    </row>
    <row r="1084">
      <c r="A1084" s="93">
        <v>112.0</v>
      </c>
      <c r="B1084" s="96" t="s">
        <v>78</v>
      </c>
      <c r="C1084" s="96" t="s">
        <v>142</v>
      </c>
      <c r="D1084" s="96" t="s">
        <v>145</v>
      </c>
      <c r="E1084" s="93">
        <v>-75.0</v>
      </c>
      <c r="F1084" s="93">
        <v>28.359012</v>
      </c>
      <c r="G1084" s="93">
        <v>27.145654459597264</v>
      </c>
      <c r="H1084" s="93">
        <v>8.085695523903198</v>
      </c>
      <c r="I1084" s="93">
        <v>1096.0</v>
      </c>
      <c r="J1084" s="93">
        <v>1021.0</v>
      </c>
      <c r="K1084" s="93">
        <v>8.160009601</v>
      </c>
    </row>
    <row r="1085">
      <c r="A1085" s="93">
        <v>112.0</v>
      </c>
      <c r="B1085" s="96" t="s">
        <v>26</v>
      </c>
      <c r="C1085" s="96" t="s">
        <v>144</v>
      </c>
      <c r="D1085" s="96" t="s">
        <v>143</v>
      </c>
      <c r="E1085" s="93">
        <v>64.0</v>
      </c>
      <c r="F1085" s="93">
        <v>28.46331273</v>
      </c>
      <c r="G1085" s="93">
        <v>29.343200296280358</v>
      </c>
      <c r="H1085" s="93">
        <v>6.903111869784544</v>
      </c>
      <c r="I1085" s="93">
        <v>1227.0</v>
      </c>
      <c r="J1085" s="93">
        <v>1291.0</v>
      </c>
      <c r="K1085" s="93">
        <v>6.948603064</v>
      </c>
    </row>
    <row r="1086">
      <c r="A1086" s="93">
        <v>112.0</v>
      </c>
      <c r="B1086" s="96" t="s">
        <v>22</v>
      </c>
      <c r="C1086" s="96" t="s">
        <v>144</v>
      </c>
      <c r="D1086" s="96" t="s">
        <v>143</v>
      </c>
      <c r="E1086" s="93">
        <v>67.0</v>
      </c>
      <c r="F1086" s="93">
        <v>26.74797461</v>
      </c>
      <c r="G1086" s="93">
        <v>27.649614626380238</v>
      </c>
      <c r="H1086" s="93">
        <v>6.986759355476588</v>
      </c>
      <c r="I1086" s="93">
        <v>1101.0</v>
      </c>
      <c r="J1086" s="93">
        <v>1168.0</v>
      </c>
      <c r="K1086" s="93">
        <v>7.03398742</v>
      </c>
    </row>
    <row r="1087">
      <c r="A1087" s="93">
        <v>112.0</v>
      </c>
      <c r="B1087" s="96" t="s">
        <v>97</v>
      </c>
      <c r="C1087" s="96" t="s">
        <v>144</v>
      </c>
      <c r="D1087" s="96" t="s">
        <v>143</v>
      </c>
      <c r="E1087" s="93">
        <v>65.0</v>
      </c>
      <c r="F1087" s="93">
        <v>26.51067108</v>
      </c>
      <c r="G1087" s="93">
        <v>27.400633731536896</v>
      </c>
      <c r="H1087" s="93">
        <v>6.941987199932832</v>
      </c>
      <c r="I1087" s="93">
        <v>1090.0</v>
      </c>
      <c r="J1087" s="93">
        <v>1155.0</v>
      </c>
      <c r="K1087" s="93">
        <v>6.988280247</v>
      </c>
    </row>
    <row r="1088">
      <c r="A1088" s="93">
        <v>112.0</v>
      </c>
      <c r="B1088" s="96" t="s">
        <v>29</v>
      </c>
      <c r="C1088" s="96" t="s">
        <v>144</v>
      </c>
      <c r="D1088" s="96" t="s">
        <v>143</v>
      </c>
      <c r="E1088" s="93">
        <v>63.0</v>
      </c>
      <c r="F1088" s="93">
        <v>31.76576843</v>
      </c>
      <c r="G1088" s="93">
        <v>32.62149108677024</v>
      </c>
      <c r="H1088" s="93">
        <v>6.808915313697682</v>
      </c>
      <c r="I1088" s="93">
        <v>1461.0</v>
      </c>
      <c r="J1088" s="93">
        <v>1524.0</v>
      </c>
      <c r="K1088" s="93">
        <v>6.852501804</v>
      </c>
    </row>
    <row r="1089">
      <c r="A1089" s="93">
        <v>112.0</v>
      </c>
      <c r="B1089" s="96" t="s">
        <v>38</v>
      </c>
      <c r="C1089" s="96" t="s">
        <v>144</v>
      </c>
      <c r="D1089" s="96" t="s">
        <v>143</v>
      </c>
      <c r="E1089" s="93">
        <v>64.0</v>
      </c>
      <c r="F1089" s="93">
        <v>22.79063084</v>
      </c>
      <c r="G1089" s="93">
        <v>23.65727829770407</v>
      </c>
      <c r="H1089" s="93">
        <v>6.851670093889201</v>
      </c>
      <c r="I1089" s="93">
        <v>846.0</v>
      </c>
      <c r="J1089" s="93">
        <v>910.0</v>
      </c>
      <c r="K1089" s="93">
        <v>6.896114437</v>
      </c>
    </row>
    <row r="1090">
      <c r="A1090" s="93">
        <v>112.0</v>
      </c>
      <c r="B1090" s="96" t="s">
        <v>50</v>
      </c>
      <c r="C1090" s="96" t="s">
        <v>144</v>
      </c>
      <c r="D1090" s="96" t="s">
        <v>143</v>
      </c>
      <c r="E1090" s="93">
        <v>92.0</v>
      </c>
      <c r="F1090" s="93">
        <v>23.44581122</v>
      </c>
      <c r="G1090" s="93">
        <v>24.6894986982984</v>
      </c>
      <c r="H1090" s="93">
        <v>8.184224437443893</v>
      </c>
      <c r="I1090" s="93">
        <v>752.0</v>
      </c>
      <c r="J1090" s="93">
        <v>844.0</v>
      </c>
      <c r="K1090" s="93">
        <v>8.261381908</v>
      </c>
    </row>
    <row r="1091">
      <c r="A1091" s="93">
        <v>112.0</v>
      </c>
      <c r="B1091" s="96" t="s">
        <v>36</v>
      </c>
      <c r="C1091" s="96" t="s">
        <v>144</v>
      </c>
      <c r="D1091" s="96" t="s">
        <v>143</v>
      </c>
      <c r="E1091" s="93">
        <v>84.0</v>
      </c>
      <c r="F1091" s="93">
        <v>26.87207341</v>
      </c>
      <c r="G1091" s="93">
        <v>28.0062904998785</v>
      </c>
      <c r="H1091" s="93">
        <v>7.822302864248509</v>
      </c>
      <c r="I1091" s="93">
        <v>1023.0</v>
      </c>
      <c r="J1091" s="93">
        <v>1107.0</v>
      </c>
      <c r="K1091" s="93">
        <v>7.88936576</v>
      </c>
    </row>
    <row r="1092">
      <c r="A1092" s="93">
        <v>112.0</v>
      </c>
      <c r="B1092" s="96" t="s">
        <v>115</v>
      </c>
      <c r="C1092" s="96" t="s">
        <v>144</v>
      </c>
      <c r="D1092" s="96" t="s">
        <v>143</v>
      </c>
      <c r="E1092" s="93">
        <v>94.0</v>
      </c>
      <c r="F1092" s="93">
        <v>25.0</v>
      </c>
      <c r="G1092" s="93">
        <v>26.26544209518792</v>
      </c>
      <c r="H1092" s="93">
        <v>8.254114766921422</v>
      </c>
      <c r="I1092" s="93">
        <v>850.0</v>
      </c>
      <c r="J1092" s="93">
        <v>944.0</v>
      </c>
      <c r="K1092" s="93">
        <v>8.333333333</v>
      </c>
    </row>
    <row r="1093">
      <c r="A1093" s="93">
        <v>112.0</v>
      </c>
      <c r="B1093" s="96" t="s">
        <v>16</v>
      </c>
      <c r="C1093" s="96" t="s">
        <v>144</v>
      </c>
      <c r="D1093" s="96" t="s">
        <v>143</v>
      </c>
      <c r="E1093" s="93">
        <v>59.0</v>
      </c>
      <c r="F1093" s="93">
        <v>31.47144884</v>
      </c>
      <c r="G1093" s="93">
        <v>32.28205341083158</v>
      </c>
      <c r="H1093" s="93">
        <v>6.6292654435416</v>
      </c>
      <c r="I1093" s="93">
        <v>1460.0</v>
      </c>
      <c r="J1093" s="93">
        <v>1519.0</v>
      </c>
      <c r="K1093" s="93">
        <v>6.669366647</v>
      </c>
    </row>
    <row r="1094">
      <c r="A1094" s="93">
        <v>112.0</v>
      </c>
      <c r="B1094" s="96" t="s">
        <v>82</v>
      </c>
      <c r="C1094" s="96" t="s">
        <v>144</v>
      </c>
      <c r="D1094" s="96" t="s">
        <v>143</v>
      </c>
      <c r="E1094" s="93">
        <v>93.0</v>
      </c>
      <c r="F1094" s="93">
        <v>24.14087881</v>
      </c>
      <c r="G1094" s="93">
        <v>25.38954478307352</v>
      </c>
      <c r="H1094" s="93">
        <v>8.200275452637543</v>
      </c>
      <c r="I1094" s="93">
        <v>797.0</v>
      </c>
      <c r="J1094" s="93">
        <v>890.0</v>
      </c>
      <c r="K1094" s="93">
        <v>8.277903013</v>
      </c>
    </row>
    <row r="1095">
      <c r="A1095" s="93">
        <v>112.0</v>
      </c>
      <c r="B1095" s="96" t="s">
        <v>146</v>
      </c>
      <c r="C1095" s="96" t="s">
        <v>144</v>
      </c>
      <c r="D1095" s="96" t="s">
        <v>146</v>
      </c>
      <c r="E1095" s="93">
        <v>0.0</v>
      </c>
      <c r="F1095" s="93" t="s">
        <v>147</v>
      </c>
      <c r="G1095" s="93" t="s">
        <v>147</v>
      </c>
      <c r="H1095" s="93" t="s">
        <v>147</v>
      </c>
      <c r="I1095" s="93" t="s">
        <v>147</v>
      </c>
      <c r="J1095" s="93" t="s">
        <v>147</v>
      </c>
      <c r="K1095" s="93" t="s">
        <v>147</v>
      </c>
    </row>
    <row r="1096">
      <c r="A1096" s="93">
        <v>112.0</v>
      </c>
      <c r="B1096" s="96" t="s">
        <v>146</v>
      </c>
      <c r="C1096" s="96" t="s">
        <v>144</v>
      </c>
      <c r="D1096" s="96" t="s">
        <v>146</v>
      </c>
      <c r="E1096" s="93">
        <v>0.0</v>
      </c>
      <c r="F1096" s="93" t="s">
        <v>147</v>
      </c>
      <c r="G1096" s="93" t="s">
        <v>147</v>
      </c>
      <c r="H1096" s="93" t="s">
        <v>147</v>
      </c>
      <c r="I1096" s="93" t="s">
        <v>147</v>
      </c>
      <c r="J1096" s="93" t="s">
        <v>147</v>
      </c>
      <c r="K1096" s="93" t="s">
        <v>147</v>
      </c>
    </row>
    <row r="1097">
      <c r="A1097" s="92">
        <v>111.0</v>
      </c>
      <c r="B1097" s="91" t="s">
        <v>17</v>
      </c>
      <c r="C1097" s="91" t="s">
        <v>142</v>
      </c>
      <c r="D1097" s="91" t="s">
        <v>143</v>
      </c>
      <c r="E1097" s="92">
        <v>13.0</v>
      </c>
      <c r="F1097" s="92">
        <v>35.5931685924184</v>
      </c>
      <c r="G1097" s="92">
        <v>35.763240002118</v>
      </c>
      <c r="H1097" s="92">
        <v>7.0695327944491</v>
      </c>
      <c r="I1097" s="92">
        <v>1698.0</v>
      </c>
      <c r="J1097" s="92">
        <v>1711.0</v>
      </c>
      <c r="K1097" s="92">
        <v>7.08196083701618</v>
      </c>
    </row>
    <row r="1098">
      <c r="A1098" s="92">
        <v>111.0</v>
      </c>
      <c r="B1098" s="91" t="s">
        <v>22</v>
      </c>
      <c r="C1098" s="91" t="s">
        <v>142</v>
      </c>
      <c r="D1098" s="91" t="s">
        <v>143</v>
      </c>
      <c r="E1098" s="92">
        <v>12.0</v>
      </c>
      <c r="F1098" s="92">
        <v>26.5796181636822</v>
      </c>
      <c r="G1098" s="92">
        <v>26.7479746148675</v>
      </c>
      <c r="H1098" s="92">
        <v>7.03398741984134</v>
      </c>
      <c r="I1098" s="92">
        <v>1089.0</v>
      </c>
      <c r="J1098" s="92">
        <v>1101.0</v>
      </c>
      <c r="K1098" s="92">
        <v>7.04609958616402</v>
      </c>
    </row>
    <row r="1099">
      <c r="A1099" s="92">
        <v>111.0</v>
      </c>
      <c r="B1099" s="91" t="s">
        <v>29</v>
      </c>
      <c r="C1099" s="91" t="s">
        <v>142</v>
      </c>
      <c r="D1099" s="91" t="s">
        <v>143</v>
      </c>
      <c r="E1099" s="92">
        <v>12.0</v>
      </c>
      <c r="F1099" s="92">
        <v>31.6060305785317</v>
      </c>
      <c r="G1099" s="92">
        <v>31.7657684327874</v>
      </c>
      <c r="H1099" s="92">
        <v>6.85250180403768</v>
      </c>
      <c r="I1099" s="92">
        <v>1449.0</v>
      </c>
      <c r="J1099" s="92">
        <v>1461.0</v>
      </c>
      <c r="K1099" s="92">
        <v>6.8630407742627</v>
      </c>
    </row>
    <row r="1100">
      <c r="A1100" s="92">
        <v>111.0</v>
      </c>
      <c r="B1100" s="91" t="s">
        <v>42</v>
      </c>
      <c r="C1100" s="91" t="s">
        <v>144</v>
      </c>
      <c r="D1100" s="91" t="s">
        <v>145</v>
      </c>
      <c r="E1100" s="92">
        <v>-11.0</v>
      </c>
      <c r="F1100" s="92">
        <v>26.1771149843244</v>
      </c>
      <c r="G1100" s="92">
        <v>25.9785872634746</v>
      </c>
      <c r="H1100" s="92">
        <v>7.63470507178909</v>
      </c>
      <c r="I1100" s="92">
        <v>999.0</v>
      </c>
      <c r="J1100" s="92">
        <v>988.0</v>
      </c>
      <c r="K1100" s="92">
        <v>7.6525167583762</v>
      </c>
    </row>
    <row r="1101">
      <c r="A1101" s="92">
        <v>111.0</v>
      </c>
      <c r="B1101" s="91" t="s">
        <v>28</v>
      </c>
      <c r="C1101" s="91" t="s">
        <v>144</v>
      </c>
      <c r="D1101" s="91" t="s">
        <v>145</v>
      </c>
      <c r="E1101" s="92">
        <v>-12.0</v>
      </c>
      <c r="F1101" s="92">
        <v>28.8092181845864</v>
      </c>
      <c r="G1101" s="92">
        <v>28.6089394435688</v>
      </c>
      <c r="H1101" s="92">
        <v>7.66809012201938</v>
      </c>
      <c r="I1101" s="92">
        <v>1175.0</v>
      </c>
      <c r="J1101" s="92">
        <v>1163.0</v>
      </c>
      <c r="K1101" s="92">
        <v>7.68624201704942</v>
      </c>
    </row>
    <row r="1102">
      <c r="A1102" s="92">
        <v>111.0</v>
      </c>
      <c r="B1102" s="91" t="s">
        <v>26</v>
      </c>
      <c r="C1102" s="91" t="s">
        <v>144</v>
      </c>
      <c r="D1102" s="91" t="s">
        <v>145</v>
      </c>
      <c r="E1102" s="92">
        <v>-10.0</v>
      </c>
      <c r="F1102" s="92">
        <v>28.6275857076204</v>
      </c>
      <c r="G1102" s="92">
        <v>28.4633127301398</v>
      </c>
      <c r="H1102" s="92">
        <v>6.9486030639154</v>
      </c>
      <c r="I1102" s="92">
        <v>1237.0</v>
      </c>
      <c r="J1102" s="92">
        <v>1227.0</v>
      </c>
      <c r="K1102" s="92">
        <v>6.95996691057896</v>
      </c>
    </row>
    <row r="1103">
      <c r="A1103" s="92">
        <v>111.0</v>
      </c>
      <c r="B1103" s="91" t="s">
        <v>67</v>
      </c>
      <c r="C1103" s="91" t="s">
        <v>144</v>
      </c>
      <c r="D1103" s="91" t="s">
        <v>145</v>
      </c>
      <c r="E1103" s="92">
        <v>-10.0</v>
      </c>
      <c r="F1103" s="92">
        <v>25.69694469582</v>
      </c>
      <c r="G1103" s="92">
        <v>25.5254907656901</v>
      </c>
      <c r="H1103" s="92">
        <v>7.09805547446562</v>
      </c>
      <c r="I1103" s="92">
        <v>1022.0</v>
      </c>
      <c r="J1103" s="92">
        <v>1012.0</v>
      </c>
      <c r="K1103" s="92">
        <v>7.11073885655125</v>
      </c>
    </row>
    <row r="1104">
      <c r="A1104" s="92">
        <v>111.0</v>
      </c>
      <c r="B1104" s="91" t="s">
        <v>83</v>
      </c>
      <c r="C1104" s="91" t="s">
        <v>144</v>
      </c>
      <c r="D1104" s="91" t="s">
        <v>145</v>
      </c>
      <c r="E1104" s="92">
        <v>-12.0</v>
      </c>
      <c r="F1104" s="92">
        <v>23.5187448629755</v>
      </c>
      <c r="G1104" s="92">
        <v>23.3197172659771</v>
      </c>
      <c r="H1104" s="92">
        <v>7.64425098548211</v>
      </c>
      <c r="I1104" s="92">
        <v>818.0</v>
      </c>
      <c r="J1104" s="92">
        <v>806.0</v>
      </c>
      <c r="K1104" s="92">
        <v>7.6621596869086</v>
      </c>
    </row>
    <row r="1105">
      <c r="A1105" s="92">
        <v>111.0</v>
      </c>
      <c r="B1105" s="91" t="s">
        <v>47</v>
      </c>
      <c r="C1105" s="91" t="s">
        <v>144</v>
      </c>
      <c r="D1105" s="91" t="s">
        <v>145</v>
      </c>
      <c r="E1105" s="92">
        <v>-9.0</v>
      </c>
      <c r="F1105" s="92">
        <v>22.404822107258</v>
      </c>
      <c r="G1105" s="92">
        <v>22.2490609712581</v>
      </c>
      <c r="H1105" s="92">
        <v>6.76708745554218</v>
      </c>
      <c r="I1105" s="92">
        <v>832.0</v>
      </c>
      <c r="J1105" s="92">
        <v>823.0</v>
      </c>
      <c r="K1105" s="92">
        <v>6.77690839782674</v>
      </c>
    </row>
    <row r="1106">
      <c r="A1106" s="92">
        <v>111.0</v>
      </c>
      <c r="B1106" s="91" t="s">
        <v>18</v>
      </c>
      <c r="C1106" s="91" t="s">
        <v>144</v>
      </c>
      <c r="D1106" s="91" t="s">
        <v>145</v>
      </c>
      <c r="E1106" s="92">
        <v>-10.0</v>
      </c>
      <c r="F1106" s="92">
        <v>31.8563959694159</v>
      </c>
      <c r="G1106" s="92">
        <v>31.6977563074339</v>
      </c>
      <c r="H1106" s="92">
        <v>6.82902307331226</v>
      </c>
      <c r="I1106" s="92">
        <v>1469.0</v>
      </c>
      <c r="J1106" s="92">
        <v>1459.0</v>
      </c>
      <c r="K1106" s="92">
        <v>6.83936326728512</v>
      </c>
    </row>
    <row r="1107">
      <c r="A1107" s="92">
        <v>111.0</v>
      </c>
      <c r="B1107" s="91" t="s">
        <v>97</v>
      </c>
      <c r="C1107" s="91" t="s">
        <v>144</v>
      </c>
      <c r="D1107" s="91" t="s">
        <v>145</v>
      </c>
      <c r="E1107" s="92">
        <v>-10.0</v>
      </c>
      <c r="F1107" s="92">
        <v>26.6768352745463</v>
      </c>
      <c r="G1107" s="92">
        <v>26.5106710843218</v>
      </c>
      <c r="H1107" s="92">
        <v>6.98828024741945</v>
      </c>
      <c r="I1107" s="92">
        <v>1100.0</v>
      </c>
      <c r="J1107" s="92">
        <v>1090.0</v>
      </c>
      <c r="K1107" s="92">
        <v>6.99999000528039</v>
      </c>
    </row>
    <row r="1108">
      <c r="A1108" s="92">
        <v>111.0</v>
      </c>
      <c r="B1108" s="91" t="s">
        <v>38</v>
      </c>
      <c r="C1108" s="91" t="s">
        <v>144</v>
      </c>
      <c r="D1108" s="91" t="s">
        <v>145</v>
      </c>
      <c r="E1108" s="92">
        <v>-10.0</v>
      </c>
      <c r="F1108" s="92">
        <v>22.9524188368907</v>
      </c>
      <c r="G1108" s="92">
        <v>22.7906308425753</v>
      </c>
      <c r="H1108" s="92">
        <v>6.89611443704668</v>
      </c>
      <c r="I1108" s="92">
        <v>856.0</v>
      </c>
      <c r="J1108" s="92">
        <v>846.0</v>
      </c>
      <c r="K1108" s="92">
        <v>6.90702549715181</v>
      </c>
    </row>
    <row r="1109">
      <c r="A1109" s="92">
        <v>111.0</v>
      </c>
      <c r="B1109" s="91" t="s">
        <v>56</v>
      </c>
      <c r="C1109" s="91" t="s">
        <v>144</v>
      </c>
      <c r="D1109" s="91" t="s">
        <v>145</v>
      </c>
      <c r="E1109" s="92">
        <v>-12.0</v>
      </c>
      <c r="F1109" s="92">
        <v>24.2586658999607</v>
      </c>
      <c r="G1109" s="92">
        <v>24.0485205608682</v>
      </c>
      <c r="H1109" s="92">
        <v>7.85348777497193</v>
      </c>
      <c r="I1109" s="92">
        <v>846.0</v>
      </c>
      <c r="J1109" s="92">
        <v>834.0</v>
      </c>
      <c r="K1109" s="92">
        <v>7.87357630507495</v>
      </c>
    </row>
    <row r="1110">
      <c r="A1110" s="92">
        <v>110.0</v>
      </c>
      <c r="B1110" s="91" t="s">
        <v>47</v>
      </c>
      <c r="C1110" s="91" t="s">
        <v>142</v>
      </c>
      <c r="D1110" s="91" t="s">
        <v>143</v>
      </c>
      <c r="E1110" s="92">
        <v>73.0</v>
      </c>
      <c r="F1110" s="92">
        <v>21.3857450504804</v>
      </c>
      <c r="G1110" s="92">
        <v>22.404822107258</v>
      </c>
      <c r="H1110" s="92">
        <v>6.77690839782674</v>
      </c>
      <c r="I1110" s="92">
        <v>759.0</v>
      </c>
      <c r="J1110" s="92">
        <v>832.0</v>
      </c>
      <c r="K1110" s="92">
        <v>6.81237769143709</v>
      </c>
    </row>
    <row r="1111">
      <c r="A1111" s="92">
        <v>110.0</v>
      </c>
      <c r="B1111" s="91" t="s">
        <v>97</v>
      </c>
      <c r="C1111" s="91" t="s">
        <v>142</v>
      </c>
      <c r="D1111" s="91" t="s">
        <v>143</v>
      </c>
      <c r="E1111" s="92">
        <v>78.0</v>
      </c>
      <c r="F1111" s="92">
        <v>25.5886430068494</v>
      </c>
      <c r="G1111" s="92">
        <v>26.6768352745463</v>
      </c>
      <c r="H1111" s="92">
        <v>6.99999000528039</v>
      </c>
      <c r="I1111" s="92">
        <v>1022.0</v>
      </c>
      <c r="J1111" s="92">
        <v>1100.0</v>
      </c>
      <c r="K1111" s="92">
        <v>7.04003419692691</v>
      </c>
    </row>
    <row r="1112">
      <c r="A1112" s="92">
        <v>110.0</v>
      </c>
      <c r="B1112" s="91" t="s">
        <v>58</v>
      </c>
      <c r="C1112" s="91" t="s">
        <v>142</v>
      </c>
      <c r="D1112" s="91" t="s">
        <v>143</v>
      </c>
      <c r="E1112" s="92">
        <v>100.0</v>
      </c>
      <c r="F1112" s="92">
        <v>25.3540755117415</v>
      </c>
      <c r="G1112" s="92">
        <v>26.7425910880397</v>
      </c>
      <c r="H1112" s="92">
        <v>7.89261310685728</v>
      </c>
      <c r="I1112" s="92">
        <v>913.0</v>
      </c>
      <c r="J1112" s="92">
        <v>1013.0</v>
      </c>
      <c r="K1112" s="92">
        <v>7.95394529502071</v>
      </c>
    </row>
    <row r="1113">
      <c r="A1113" s="92">
        <v>110.0</v>
      </c>
      <c r="B1113" s="91" t="s">
        <v>80</v>
      </c>
      <c r="C1113" s="91" t="s">
        <v>144</v>
      </c>
      <c r="D1113" s="91" t="s">
        <v>145</v>
      </c>
      <c r="E1113" s="92">
        <v>-80.0</v>
      </c>
      <c r="F1113" s="92">
        <v>23.4074588987119</v>
      </c>
      <c r="G1113" s="92">
        <v>22.1488539021564</v>
      </c>
      <c r="H1113" s="92">
        <v>7.52031821163347</v>
      </c>
      <c r="I1113" s="92">
        <v>819.0</v>
      </c>
      <c r="J1113" s="92">
        <v>739.0</v>
      </c>
      <c r="K1113" s="92">
        <v>7.5721648481063</v>
      </c>
    </row>
    <row r="1114">
      <c r="A1114" s="92">
        <v>110.0</v>
      </c>
      <c r="B1114" s="91" t="s">
        <v>67</v>
      </c>
      <c r="C1114" s="91" t="s">
        <v>144</v>
      </c>
      <c r="D1114" s="91" t="s">
        <v>145</v>
      </c>
      <c r="E1114" s="92">
        <v>-72.0</v>
      </c>
      <c r="F1114" s="92">
        <v>26.8203260945177</v>
      </c>
      <c r="G1114" s="92">
        <v>25.69694469582</v>
      </c>
      <c r="H1114" s="92">
        <v>7.11073885655125</v>
      </c>
      <c r="I1114" s="92">
        <v>1094.0</v>
      </c>
      <c r="J1114" s="92">
        <v>1022.0</v>
      </c>
      <c r="K1114" s="92">
        <v>7.15315962416583</v>
      </c>
    </row>
    <row r="1115">
      <c r="A1115" s="92">
        <v>110.0</v>
      </c>
      <c r="B1115" s="91" t="s">
        <v>28</v>
      </c>
      <c r="C1115" s="91" t="s">
        <v>144</v>
      </c>
      <c r="D1115" s="91" t="s">
        <v>145</v>
      </c>
      <c r="E1115" s="92">
        <v>-84.0</v>
      </c>
      <c r="F1115" s="92">
        <v>30.1248944592355</v>
      </c>
      <c r="G1115" s="92">
        <v>28.8092181845864</v>
      </c>
      <c r="H1115" s="92">
        <v>7.68624201704942</v>
      </c>
      <c r="I1115" s="92">
        <v>1259.0</v>
      </c>
      <c r="J1115" s="92">
        <v>1175.0</v>
      </c>
      <c r="K1115" s="92">
        <v>7.74220453800234</v>
      </c>
    </row>
    <row r="1116">
      <c r="A1116" s="92">
        <v>110.0</v>
      </c>
      <c r="B1116" s="91" t="s">
        <v>83</v>
      </c>
      <c r="C1116" s="91" t="s">
        <v>144</v>
      </c>
      <c r="D1116" s="91" t="s">
        <v>145</v>
      </c>
      <c r="E1116" s="92">
        <v>-83.0</v>
      </c>
      <c r="F1116" s="92">
        <v>24.8260554203697</v>
      </c>
      <c r="G1116" s="92">
        <v>23.5187448629755</v>
      </c>
      <c r="H1116" s="92">
        <v>7.6621596869086</v>
      </c>
      <c r="I1116" s="92">
        <v>901.0</v>
      </c>
      <c r="J1116" s="92">
        <v>818.0</v>
      </c>
      <c r="K1116" s="92">
        <v>7.71751383657266</v>
      </c>
    </row>
    <row r="1117">
      <c r="A1117" s="92">
        <v>110.0</v>
      </c>
      <c r="B1117" s="91" t="s">
        <v>42</v>
      </c>
      <c r="C1117" s="91" t="s">
        <v>144</v>
      </c>
      <c r="D1117" s="91" t="s">
        <v>145</v>
      </c>
      <c r="E1117" s="92">
        <v>-84.0</v>
      </c>
      <c r="F1117" s="92">
        <v>27.4810836304563</v>
      </c>
      <c r="G1117" s="92">
        <v>26.1771149843244</v>
      </c>
      <c r="H1117" s="92">
        <v>7.6525167583762</v>
      </c>
      <c r="I1117" s="92">
        <v>1083.0</v>
      </c>
      <c r="J1117" s="92">
        <v>999.0</v>
      </c>
      <c r="K1117" s="92">
        <v>7.70762836113201</v>
      </c>
    </row>
    <row r="1118">
      <c r="A1118" s="92">
        <v>110.0</v>
      </c>
      <c r="B1118" s="91" t="s">
        <v>18</v>
      </c>
      <c r="C1118" s="91" t="s">
        <v>144</v>
      </c>
      <c r="D1118" s="91" t="s">
        <v>145</v>
      </c>
      <c r="E1118" s="92">
        <v>-66.0</v>
      </c>
      <c r="F1118" s="92">
        <v>32.8945853736316</v>
      </c>
      <c r="G1118" s="92">
        <v>31.8563959694159</v>
      </c>
      <c r="H1118" s="92">
        <v>6.83936326728512</v>
      </c>
      <c r="I1118" s="92">
        <v>1535.0</v>
      </c>
      <c r="J1118" s="92">
        <v>1469.0</v>
      </c>
      <c r="K1118" s="92">
        <v>6.87608528050969</v>
      </c>
    </row>
    <row r="1119">
      <c r="A1119" s="92">
        <v>110.0</v>
      </c>
      <c r="B1119" s="91" t="s">
        <v>17</v>
      </c>
      <c r="C1119" s="91" t="s">
        <v>144</v>
      </c>
      <c r="D1119" s="91" t="s">
        <v>145</v>
      </c>
      <c r="E1119" s="92">
        <v>-71.0</v>
      </c>
      <c r="F1119" s="92">
        <v>36.7073500343037</v>
      </c>
      <c r="G1119" s="92">
        <v>35.5931685924184</v>
      </c>
      <c r="H1119" s="92">
        <v>7.08196083701618</v>
      </c>
      <c r="I1119" s="92">
        <v>1769.0</v>
      </c>
      <c r="J1119" s="92">
        <v>1698.0</v>
      </c>
      <c r="K1119" s="92">
        <v>7.12375719697261</v>
      </c>
    </row>
    <row r="1120">
      <c r="A1120" s="92">
        <v>110.0</v>
      </c>
      <c r="B1120" s="91" t="s">
        <v>22</v>
      </c>
      <c r="C1120" s="91" t="s">
        <v>144</v>
      </c>
      <c r="D1120" s="91" t="s">
        <v>145</v>
      </c>
      <c r="E1120" s="92">
        <v>-71.0</v>
      </c>
      <c r="F1120" s="92">
        <v>27.6823903627996</v>
      </c>
      <c r="G1120" s="92">
        <v>26.5796181636822</v>
      </c>
      <c r="H1120" s="92">
        <v>7.04609958616402</v>
      </c>
      <c r="I1120" s="92">
        <v>1160.0</v>
      </c>
      <c r="J1120" s="92">
        <v>1089.0</v>
      </c>
      <c r="K1120" s="92">
        <v>7.08712460760398</v>
      </c>
    </row>
    <row r="1121">
      <c r="A1121" s="92">
        <v>110.0</v>
      </c>
      <c r="B1121" s="91" t="s">
        <v>29</v>
      </c>
      <c r="C1121" s="91" t="s">
        <v>144</v>
      </c>
      <c r="D1121" s="91" t="s">
        <v>145</v>
      </c>
      <c r="E1121" s="92">
        <v>-67.0</v>
      </c>
      <c r="F1121" s="92">
        <v>32.6515139573173</v>
      </c>
      <c r="G1121" s="92">
        <v>31.6060305785317</v>
      </c>
      <c r="H1121" s="92">
        <v>6.8630407742627</v>
      </c>
      <c r="I1121" s="92">
        <v>1516.0</v>
      </c>
      <c r="J1121" s="92">
        <v>1449.0</v>
      </c>
      <c r="K1121" s="92">
        <v>6.9002433693427</v>
      </c>
    </row>
    <row r="1122">
      <c r="A1122" s="92">
        <v>110.0</v>
      </c>
      <c r="B1122" s="91" t="s">
        <v>38</v>
      </c>
      <c r="C1122" s="91" t="s">
        <v>144</v>
      </c>
      <c r="D1122" s="91" t="s">
        <v>145</v>
      </c>
      <c r="E1122" s="92">
        <v>-68.0</v>
      </c>
      <c r="F1122" s="92">
        <v>24.0115223652838</v>
      </c>
      <c r="G1122" s="92">
        <v>22.9524188368907</v>
      </c>
      <c r="H1122" s="92">
        <v>6.90702549715181</v>
      </c>
      <c r="I1122" s="92">
        <v>924.0</v>
      </c>
      <c r="J1122" s="92">
        <v>856.0</v>
      </c>
      <c r="K1122" s="92">
        <v>6.94512917820639</v>
      </c>
    </row>
    <row r="1123">
      <c r="A1123" s="92">
        <v>110.0</v>
      </c>
      <c r="B1123" s="91" t="s">
        <v>56</v>
      </c>
      <c r="C1123" s="91" t="s">
        <v>144</v>
      </c>
      <c r="D1123" s="91" t="s">
        <v>145</v>
      </c>
      <c r="E1123" s="92">
        <v>-88.0</v>
      </c>
      <c r="F1123" s="92">
        <v>25.6403759750655</v>
      </c>
      <c r="G1123" s="92">
        <v>24.2586658999607</v>
      </c>
      <c r="H1123" s="92">
        <v>7.87357630507495</v>
      </c>
      <c r="I1123" s="92">
        <v>934.0</v>
      </c>
      <c r="J1123" s="92">
        <v>846.0</v>
      </c>
      <c r="K1123" s="92">
        <v>7.9344013049601</v>
      </c>
    </row>
    <row r="1124">
      <c r="A1124" s="92">
        <v>109.0</v>
      </c>
      <c r="B1124" s="91" t="s">
        <v>35</v>
      </c>
      <c r="C1124" s="91" t="s">
        <v>142</v>
      </c>
      <c r="D1124" s="91" t="s">
        <v>143</v>
      </c>
      <c r="E1124" s="92">
        <v>63.0</v>
      </c>
      <c r="F1124" s="92">
        <v>26.3292606504654</v>
      </c>
      <c r="G1124" s="92">
        <v>27.1838430500247</v>
      </c>
      <c r="H1124" s="92">
        <v>7.80828603986902</v>
      </c>
      <c r="I1124" s="92">
        <v>989.0</v>
      </c>
      <c r="J1124" s="92">
        <v>1052.0</v>
      </c>
      <c r="K1124" s="92">
        <v>7.85997560911317</v>
      </c>
    </row>
    <row r="1125">
      <c r="A1125" s="92">
        <v>109.0</v>
      </c>
      <c r="B1125" s="91" t="s">
        <v>27</v>
      </c>
      <c r="C1125" s="91" t="s">
        <v>142</v>
      </c>
      <c r="D1125" s="91" t="s">
        <v>143</v>
      </c>
      <c r="E1125" s="92">
        <v>54.0</v>
      </c>
      <c r="F1125" s="92">
        <v>28.9965323193939</v>
      </c>
      <c r="G1125" s="92">
        <v>29.7339247811585</v>
      </c>
      <c r="H1125" s="92">
        <v>7.26051041550796</v>
      </c>
      <c r="I1125" s="92">
        <v>1227.0</v>
      </c>
      <c r="J1125" s="92">
        <v>1281.0</v>
      </c>
      <c r="K1125" s="92">
        <v>7.30034346095458</v>
      </c>
    </row>
    <row r="1126">
      <c r="A1126" s="92">
        <v>109.0</v>
      </c>
      <c r="B1126" s="91" t="s">
        <v>22</v>
      </c>
      <c r="C1126" s="91" t="s">
        <v>142</v>
      </c>
      <c r="D1126" s="91" t="s">
        <v>143</v>
      </c>
      <c r="E1126" s="92">
        <v>52.0</v>
      </c>
      <c r="F1126" s="92">
        <v>26.9802225348656</v>
      </c>
      <c r="G1126" s="92">
        <v>27.6823903627996</v>
      </c>
      <c r="H1126" s="92">
        <v>7.08712460760398</v>
      </c>
      <c r="I1126" s="92">
        <v>1108.0</v>
      </c>
      <c r="J1126" s="92">
        <v>1160.0</v>
      </c>
      <c r="K1126" s="92">
        <v>7.12354239342231</v>
      </c>
    </row>
    <row r="1127">
      <c r="A1127" s="92">
        <v>109.0</v>
      </c>
      <c r="B1127" s="91" t="s">
        <v>17</v>
      </c>
      <c r="C1127" s="91" t="s">
        <v>144</v>
      </c>
      <c r="D1127" s="91" t="s">
        <v>145</v>
      </c>
      <c r="E1127" s="92">
        <v>-45.0</v>
      </c>
      <c r="F1127" s="92">
        <v>37.4168855334204</v>
      </c>
      <c r="G1127" s="92">
        <v>36.7073500343037</v>
      </c>
      <c r="H1127" s="92">
        <v>7.12375719697261</v>
      </c>
      <c r="I1127" s="92">
        <v>1814.0</v>
      </c>
      <c r="J1127" s="92">
        <v>1769.0</v>
      </c>
      <c r="K1127" s="92">
        <v>7.16088358007098</v>
      </c>
    </row>
    <row r="1128">
      <c r="A1128" s="92">
        <v>109.0</v>
      </c>
      <c r="B1128" s="91" t="s">
        <v>38</v>
      </c>
      <c r="C1128" s="91" t="s">
        <v>144</v>
      </c>
      <c r="D1128" s="91" t="s">
        <v>145</v>
      </c>
      <c r="E1128" s="92">
        <v>-43.0</v>
      </c>
      <c r="F1128" s="92">
        <v>24.685508036378</v>
      </c>
      <c r="G1128" s="92">
        <v>24.0115223652838</v>
      </c>
      <c r="H1128" s="92">
        <v>6.94512917820639</v>
      </c>
      <c r="I1128" s="92">
        <v>967.0</v>
      </c>
      <c r="J1128" s="92">
        <v>924.0</v>
      </c>
      <c r="K1128" s="92">
        <v>6.97886467420359</v>
      </c>
    </row>
    <row r="1129">
      <c r="A1129" s="92">
        <v>109.0</v>
      </c>
      <c r="B1129" s="91" t="s">
        <v>122</v>
      </c>
      <c r="C1129" s="91" t="s">
        <v>144</v>
      </c>
      <c r="D1129" s="91" t="s">
        <v>145</v>
      </c>
      <c r="E1129" s="92">
        <v>-55.0</v>
      </c>
      <c r="F1129" s="92">
        <v>24.0330023454109</v>
      </c>
      <c r="G1129" s="92">
        <v>23.1418122687135</v>
      </c>
      <c r="H1129" s="92">
        <v>7.97125269666753</v>
      </c>
      <c r="I1129" s="92">
        <v>816.0</v>
      </c>
      <c r="J1129" s="92">
        <v>761.0</v>
      </c>
      <c r="K1129" s="92">
        <v>8.0267990633139</v>
      </c>
    </row>
    <row r="1130">
      <c r="A1130" s="92">
        <v>109.0</v>
      </c>
      <c r="B1130" s="91" t="s">
        <v>26</v>
      </c>
      <c r="C1130" s="91" t="s">
        <v>144</v>
      </c>
      <c r="D1130" s="91" t="s">
        <v>145</v>
      </c>
      <c r="E1130" s="92">
        <v>-42.0</v>
      </c>
      <c r="F1130" s="92">
        <v>29.3044882869705</v>
      </c>
      <c r="G1130" s="92">
        <v>28.6275857076204</v>
      </c>
      <c r="H1130" s="92">
        <v>6.95996691057896</v>
      </c>
      <c r="I1130" s="92">
        <v>1279.0</v>
      </c>
      <c r="J1130" s="92">
        <v>1237.0</v>
      </c>
      <c r="K1130" s="92">
        <v>6.99397795232901</v>
      </c>
    </row>
    <row r="1131">
      <c r="A1131" s="92">
        <v>109.0</v>
      </c>
      <c r="B1131" s="91" t="s">
        <v>29</v>
      </c>
      <c r="C1131" s="91" t="s">
        <v>144</v>
      </c>
      <c r="D1131" s="91" t="s">
        <v>145</v>
      </c>
      <c r="E1131" s="92">
        <v>-42.0</v>
      </c>
      <c r="F1131" s="92">
        <v>33.3167153432455</v>
      </c>
      <c r="G1131" s="92">
        <v>32.6515139573173</v>
      </c>
      <c r="H1131" s="92">
        <v>6.9002433693427</v>
      </c>
      <c r="I1131" s="92">
        <v>1558.0</v>
      </c>
      <c r="J1131" s="92">
        <v>1516.0</v>
      </c>
      <c r="K1131" s="92">
        <v>6.93315195979868</v>
      </c>
    </row>
    <row r="1132">
      <c r="A1132" s="92">
        <v>109.0</v>
      </c>
      <c r="B1132" s="91" t="s">
        <v>16</v>
      </c>
      <c r="C1132" s="91" t="s">
        <v>144</v>
      </c>
      <c r="D1132" s="91" t="s">
        <v>145</v>
      </c>
      <c r="E1132" s="92">
        <v>-39.0</v>
      </c>
      <c r="F1132" s="92">
        <v>32.0924077634054</v>
      </c>
      <c r="G1132" s="92">
        <v>31.4714488434495</v>
      </c>
      <c r="H1132" s="92">
        <v>6.66936664667058</v>
      </c>
      <c r="I1132" s="92">
        <v>1499.0</v>
      </c>
      <c r="J1132" s="92">
        <v>1460.0</v>
      </c>
      <c r="K1132" s="92">
        <v>6.69817688129159</v>
      </c>
    </row>
    <row r="1133">
      <c r="A1133" s="92">
        <v>109.0</v>
      </c>
      <c r="B1133" s="91" t="s">
        <v>47</v>
      </c>
      <c r="C1133" s="91" t="s">
        <v>144</v>
      </c>
      <c r="D1133" s="91" t="s">
        <v>145</v>
      </c>
      <c r="E1133" s="92">
        <v>-41.0</v>
      </c>
      <c r="F1133" s="92">
        <v>22.0339233894254</v>
      </c>
      <c r="G1133" s="92">
        <v>21.3857450504804</v>
      </c>
      <c r="H1133" s="92">
        <v>6.81237769143709</v>
      </c>
      <c r="I1133" s="92">
        <v>800.0</v>
      </c>
      <c r="J1133" s="92">
        <v>759.0</v>
      </c>
      <c r="K1133" s="92">
        <v>6.84369624358728</v>
      </c>
    </row>
    <row r="1134">
      <c r="A1134" s="92">
        <v>109.0</v>
      </c>
      <c r="B1134" s="91" t="s">
        <v>28</v>
      </c>
      <c r="C1134" s="91" t="s">
        <v>144</v>
      </c>
      <c r="D1134" s="91" t="s">
        <v>145</v>
      </c>
      <c r="E1134" s="92">
        <v>-52.0</v>
      </c>
      <c r="F1134" s="92">
        <v>30.9648613793266</v>
      </c>
      <c r="G1134" s="92">
        <v>30.1248944592355</v>
      </c>
      <c r="H1134" s="92">
        <v>7.74220453800234</v>
      </c>
      <c r="I1134" s="92">
        <v>1311.0</v>
      </c>
      <c r="J1134" s="92">
        <v>1259.0</v>
      </c>
      <c r="K1134" s="92">
        <v>7.79237444295228</v>
      </c>
    </row>
    <row r="1135">
      <c r="A1135" s="92">
        <v>109.0</v>
      </c>
      <c r="B1135" s="91" t="s">
        <v>110</v>
      </c>
      <c r="C1135" s="91" t="s">
        <v>144</v>
      </c>
      <c r="D1135" s="91" t="s">
        <v>145</v>
      </c>
      <c r="E1135" s="92">
        <v>-59.0</v>
      </c>
      <c r="F1135" s="92">
        <v>25.0</v>
      </c>
      <c r="G1135" s="92">
        <v>24.0395399251175</v>
      </c>
      <c r="H1135" s="92">
        <v>8.27029411647145</v>
      </c>
      <c r="I1135" s="92">
        <v>850.0</v>
      </c>
      <c r="J1135" s="92">
        <v>791.0</v>
      </c>
      <c r="K1135" s="92">
        <v>8.33333333333333</v>
      </c>
    </row>
    <row r="1136">
      <c r="A1136" s="92">
        <v>109.0</v>
      </c>
      <c r="B1136" s="91" t="s">
        <v>83</v>
      </c>
      <c r="C1136" s="91" t="s">
        <v>144</v>
      </c>
      <c r="D1136" s="91" t="s">
        <v>145</v>
      </c>
      <c r="E1136" s="92">
        <v>-52.0</v>
      </c>
      <c r="F1136" s="92">
        <v>25.660595193869</v>
      </c>
      <c r="G1136" s="92">
        <v>24.8260554203697</v>
      </c>
      <c r="H1136" s="92">
        <v>7.71751383657266</v>
      </c>
      <c r="I1136" s="92">
        <v>953.0</v>
      </c>
      <c r="J1136" s="92">
        <v>901.0</v>
      </c>
      <c r="K1136" s="92">
        <v>7.76712239086529</v>
      </c>
    </row>
    <row r="1137">
      <c r="A1137" s="92">
        <v>108.0</v>
      </c>
      <c r="B1137" s="91" t="s">
        <v>18</v>
      </c>
      <c r="C1137" s="91" t="s">
        <v>142</v>
      </c>
      <c r="D1137" s="91" t="s">
        <v>143</v>
      </c>
      <c r="E1137" s="92">
        <v>26.0</v>
      </c>
      <c r="F1137" s="92">
        <v>32.5378829734426</v>
      </c>
      <c r="G1137" s="92">
        <v>32.8945853736316</v>
      </c>
      <c r="H1137" s="92">
        <v>6.87608528050969</v>
      </c>
      <c r="I1137" s="92">
        <v>1509.0</v>
      </c>
      <c r="J1137" s="92">
        <v>1535.0</v>
      </c>
      <c r="K1137" s="92">
        <v>6.89796561129628</v>
      </c>
    </row>
    <row r="1138">
      <c r="A1138" s="92">
        <v>108.0</v>
      </c>
      <c r="B1138" s="91" t="s">
        <v>92</v>
      </c>
      <c r="C1138" s="91" t="s">
        <v>142</v>
      </c>
      <c r="D1138" s="91" t="s">
        <v>143</v>
      </c>
      <c r="E1138" s="92">
        <v>39.0</v>
      </c>
      <c r="F1138" s="92">
        <v>26.1348405738553</v>
      </c>
      <c r="G1138" s="92">
        <v>26.6421361198769</v>
      </c>
      <c r="H1138" s="92">
        <v>8.18575154310704</v>
      </c>
      <c r="I1138" s="92">
        <v>938.0</v>
      </c>
      <c r="J1138" s="92">
        <v>977.0</v>
      </c>
      <c r="K1138" s="92">
        <v>8.2284953162748</v>
      </c>
    </row>
    <row r="1139">
      <c r="A1139" s="92">
        <v>108.0</v>
      </c>
      <c r="B1139" s="91" t="s">
        <v>16</v>
      </c>
      <c r="C1139" s="91" t="s">
        <v>142</v>
      </c>
      <c r="D1139" s="91" t="s">
        <v>143</v>
      </c>
      <c r="E1139" s="92">
        <v>25.0</v>
      </c>
      <c r="F1139" s="92">
        <v>31.7540690385849</v>
      </c>
      <c r="G1139" s="92">
        <v>32.0924077634054</v>
      </c>
      <c r="H1139" s="92">
        <v>6.69817688129159</v>
      </c>
      <c r="I1139" s="92">
        <v>1474.0</v>
      </c>
      <c r="J1139" s="92">
        <v>1499.0</v>
      </c>
      <c r="K1139" s="92">
        <v>6.71771491408632</v>
      </c>
    </row>
    <row r="1140">
      <c r="A1140" s="92">
        <v>108.0</v>
      </c>
      <c r="B1140" s="91" t="s">
        <v>35</v>
      </c>
      <c r="C1140" s="91" t="s">
        <v>144</v>
      </c>
      <c r="D1140" s="91" t="s">
        <v>145</v>
      </c>
      <c r="E1140" s="92">
        <v>-28.0</v>
      </c>
      <c r="F1140" s="92">
        <v>26.7965456689131</v>
      </c>
      <c r="G1140" s="92">
        <v>26.3292606504654</v>
      </c>
      <c r="H1140" s="92">
        <v>7.85997560911317</v>
      </c>
      <c r="I1140" s="92">
        <v>1017.0</v>
      </c>
      <c r="J1140" s="92">
        <v>989.0</v>
      </c>
      <c r="K1140" s="92">
        <v>7.89689047418101</v>
      </c>
    </row>
    <row r="1141">
      <c r="A1141" s="92">
        <v>108.0</v>
      </c>
      <c r="B1141" s="91" t="s">
        <v>17</v>
      </c>
      <c r="C1141" s="91" t="s">
        <v>144</v>
      </c>
      <c r="D1141" s="91" t="s">
        <v>145</v>
      </c>
      <c r="E1141" s="92">
        <v>-24.0</v>
      </c>
      <c r="F1141" s="92">
        <v>37.8040215546592</v>
      </c>
      <c r="G1141" s="92">
        <v>37.4168855334204</v>
      </c>
      <c r="H1141" s="92">
        <v>7.16088358007098</v>
      </c>
      <c r="I1141" s="92">
        <v>1838.0</v>
      </c>
      <c r="J1141" s="92">
        <v>1814.0</v>
      </c>
      <c r="K1141" s="92">
        <v>7.18674252844041</v>
      </c>
    </row>
    <row r="1142">
      <c r="A1142" s="92">
        <v>108.0</v>
      </c>
      <c r="B1142" s="91" t="s">
        <v>36</v>
      </c>
      <c r="C1142" s="91" t="s">
        <v>144</v>
      </c>
      <c r="D1142" s="91" t="s">
        <v>145</v>
      </c>
      <c r="E1142" s="92">
        <v>-28.0</v>
      </c>
      <c r="F1142" s="92">
        <v>27.3428982976127</v>
      </c>
      <c r="G1142" s="92">
        <v>26.8720734089907</v>
      </c>
      <c r="H1142" s="92">
        <v>7.88936576013598</v>
      </c>
      <c r="I1142" s="92">
        <v>1051.0</v>
      </c>
      <c r="J1142" s="92">
        <v>1023.0</v>
      </c>
      <c r="K1142" s="92">
        <v>7.92678809167778</v>
      </c>
    </row>
    <row r="1143">
      <c r="A1143" s="92">
        <v>108.0</v>
      </c>
      <c r="B1143" s="91" t="s">
        <v>23</v>
      </c>
      <c r="C1143" s="91" t="s">
        <v>144</v>
      </c>
      <c r="D1143" s="91" t="s">
        <v>145</v>
      </c>
      <c r="E1143" s="92">
        <v>-21.0</v>
      </c>
      <c r="F1143" s="92">
        <v>32.3272890226922</v>
      </c>
      <c r="G1143" s="92">
        <v>31.9844285813383</v>
      </c>
      <c r="H1143" s="92">
        <v>6.74243347726727</v>
      </c>
      <c r="I1143" s="92">
        <v>1508.0</v>
      </c>
      <c r="J1143" s="92">
        <v>1487.0</v>
      </c>
      <c r="K1143" s="92">
        <v>6.76254419700748</v>
      </c>
    </row>
    <row r="1144">
      <c r="A1144" s="92">
        <v>108.0</v>
      </c>
      <c r="B1144" s="91" t="s">
        <v>29</v>
      </c>
      <c r="C1144" s="91" t="s">
        <v>144</v>
      </c>
      <c r="D1144" s="91" t="s">
        <v>145</v>
      </c>
      <c r="E1144" s="92">
        <v>-23.0</v>
      </c>
      <c r="F1144" s="92">
        <v>33.6794135378687</v>
      </c>
      <c r="G1144" s="92">
        <v>33.3167153432455</v>
      </c>
      <c r="H1144" s="92">
        <v>6.93315195979868</v>
      </c>
      <c r="I1144" s="92">
        <v>1581.0</v>
      </c>
      <c r="J1144" s="92">
        <v>1558.0</v>
      </c>
      <c r="K1144" s="92">
        <v>6.95580655800343</v>
      </c>
    </row>
    <row r="1145">
      <c r="A1145" s="92">
        <v>108.0</v>
      </c>
      <c r="B1145" s="91" t="s">
        <v>47</v>
      </c>
      <c r="C1145" s="91" t="s">
        <v>144</v>
      </c>
      <c r="D1145" s="91" t="s">
        <v>145</v>
      </c>
      <c r="E1145" s="92">
        <v>-22.0</v>
      </c>
      <c r="F1145" s="92">
        <v>22.3872455741463</v>
      </c>
      <c r="G1145" s="92">
        <v>22.0339233894254</v>
      </c>
      <c r="H1145" s="92">
        <v>6.84369624358728</v>
      </c>
      <c r="I1145" s="92">
        <v>822.0</v>
      </c>
      <c r="J1145" s="92">
        <v>800.0</v>
      </c>
      <c r="K1145" s="92">
        <v>6.86514213504678</v>
      </c>
    </row>
    <row r="1146">
      <c r="A1146" s="92">
        <v>108.0</v>
      </c>
      <c r="B1146" s="91" t="s">
        <v>38</v>
      </c>
      <c r="C1146" s="91" t="s">
        <v>144</v>
      </c>
      <c r="D1146" s="91" t="s">
        <v>145</v>
      </c>
      <c r="E1146" s="92">
        <v>-22.0</v>
      </c>
      <c r="F1146" s="92">
        <v>25.053046078624</v>
      </c>
      <c r="G1146" s="92">
        <v>24.685508036378</v>
      </c>
      <c r="H1146" s="92">
        <v>6.97886467420359</v>
      </c>
      <c r="I1146" s="92">
        <v>989.0</v>
      </c>
      <c r="J1146" s="92">
        <v>967.0</v>
      </c>
      <c r="K1146" s="92">
        <v>7.00214768777006</v>
      </c>
    </row>
    <row r="1147">
      <c r="A1147" s="92">
        <v>108.0</v>
      </c>
      <c r="B1147" s="91" t="s">
        <v>122</v>
      </c>
      <c r="C1147" s="91" t="s">
        <v>144</v>
      </c>
      <c r="D1147" s="91" t="s">
        <v>145</v>
      </c>
      <c r="E1147" s="92">
        <v>-29.0</v>
      </c>
      <c r="F1147" s="92">
        <v>24.5205635833159</v>
      </c>
      <c r="G1147" s="92">
        <v>24.0330023454109</v>
      </c>
      <c r="H1147" s="92">
        <v>8.0267990633139</v>
      </c>
      <c r="I1147" s="92">
        <v>845.0</v>
      </c>
      <c r="J1147" s="92">
        <v>816.0</v>
      </c>
      <c r="K1147" s="92">
        <v>8.06664238505219</v>
      </c>
    </row>
    <row r="1148">
      <c r="A1148" s="92">
        <v>108.0</v>
      </c>
      <c r="B1148" s="91" t="s">
        <v>80</v>
      </c>
      <c r="C1148" s="91" t="s">
        <v>144</v>
      </c>
      <c r="D1148" s="91" t="s">
        <v>145</v>
      </c>
      <c r="E1148" s="92">
        <v>-27.0</v>
      </c>
      <c r="F1148" s="92">
        <v>23.8408069046933</v>
      </c>
      <c r="G1148" s="92">
        <v>23.4074588987119</v>
      </c>
      <c r="H1148" s="92">
        <v>7.5721648481063</v>
      </c>
      <c r="I1148" s="92">
        <v>846.0</v>
      </c>
      <c r="J1148" s="92">
        <v>819.0</v>
      </c>
      <c r="K1148" s="92">
        <v>7.60429651742204</v>
      </c>
    </row>
    <row r="1149">
      <c r="A1149" s="92">
        <v>108.0</v>
      </c>
      <c r="B1149" s="91" t="s">
        <v>97</v>
      </c>
      <c r="C1149" s="91" t="s">
        <v>144</v>
      </c>
      <c r="D1149" s="91" t="s">
        <v>145</v>
      </c>
      <c r="E1149" s="92">
        <v>-23.0</v>
      </c>
      <c r="F1149" s="92">
        <v>25.9627088841332</v>
      </c>
      <c r="G1149" s="92">
        <v>25.5886430068494</v>
      </c>
      <c r="H1149" s="92">
        <v>7.04003419692691</v>
      </c>
      <c r="I1149" s="92">
        <v>1045.0</v>
      </c>
      <c r="J1149" s="92">
        <v>1022.0</v>
      </c>
      <c r="K1149" s="92">
        <v>7.06416964390076</v>
      </c>
    </row>
    <row r="1150">
      <c r="A1150" s="2">
        <v>107.0</v>
      </c>
      <c r="B1150" s="2" t="s">
        <v>23</v>
      </c>
      <c r="C1150" s="2" t="s">
        <v>142</v>
      </c>
      <c r="D1150" s="2" t="s">
        <v>143</v>
      </c>
      <c r="E1150" s="2">
        <v>16.0</v>
      </c>
      <c r="F1150" s="2">
        <v>32.0995145141319</v>
      </c>
      <c r="G1150" s="2">
        <v>32.3272890226922</v>
      </c>
      <c r="H1150" s="2">
        <v>6.76254419700748</v>
      </c>
      <c r="I1150" s="2">
        <v>1492.0</v>
      </c>
      <c r="J1150" s="2">
        <v>1508.0</v>
      </c>
      <c r="K1150" s="2">
        <v>6.77545004273566</v>
      </c>
    </row>
    <row r="1151">
      <c r="A1151" s="2">
        <v>107.0</v>
      </c>
      <c r="B1151" s="2" t="s">
        <v>17</v>
      </c>
      <c r="C1151" s="2" t="s">
        <v>142</v>
      </c>
      <c r="D1151" s="2" t="s">
        <v>143</v>
      </c>
      <c r="E1151" s="2">
        <v>20.0</v>
      </c>
      <c r="F1151" s="2">
        <v>37.5465812160765</v>
      </c>
      <c r="G1151" s="2">
        <v>37.8040215546592</v>
      </c>
      <c r="H1151" s="2">
        <v>7.18674252844041</v>
      </c>
      <c r="I1151" s="2">
        <v>1818.0</v>
      </c>
      <c r="J1151" s="2">
        <v>1838.0</v>
      </c>
      <c r="K1151" s="2">
        <v>7.203987302498</v>
      </c>
    </row>
    <row r="1152">
      <c r="A1152" s="2">
        <v>107.0</v>
      </c>
      <c r="B1152" s="2" t="s">
        <v>34</v>
      </c>
      <c r="C1152" s="2" t="s">
        <v>142</v>
      </c>
      <c r="D1152" s="2" t="s">
        <v>143</v>
      </c>
      <c r="E1152" s="2">
        <v>24.0</v>
      </c>
      <c r="F1152" s="2">
        <v>24.9644230020072</v>
      </c>
      <c r="G1152" s="2">
        <v>25.2813234649405</v>
      </c>
      <c r="H1152" s="2">
        <v>7.9675831067298</v>
      </c>
      <c r="I1152" s="2">
        <v>882.0</v>
      </c>
      <c r="J1152" s="2">
        <v>906.0</v>
      </c>
      <c r="K1152" s="2">
        <v>7.99404745094464</v>
      </c>
    </row>
    <row r="1153">
      <c r="A1153" s="2">
        <v>107.0</v>
      </c>
      <c r="B1153" s="2" t="s">
        <v>41</v>
      </c>
      <c r="C1153" s="2" t="s">
        <v>144</v>
      </c>
      <c r="D1153" s="2" t="s">
        <v>145</v>
      </c>
      <c r="E1153" s="2">
        <v>-16.0</v>
      </c>
      <c r="F1153" s="2">
        <v>28.3934945424123</v>
      </c>
      <c r="G1153" s="2">
        <v>28.1330382746739</v>
      </c>
      <c r="H1153" s="2">
        <v>7.22843928116933</v>
      </c>
      <c r="I1153" s="2">
        <v>1192.0</v>
      </c>
      <c r="J1153" s="2">
        <v>1176.0</v>
      </c>
      <c r="K1153" s="2">
        <v>7.24613476143319</v>
      </c>
    </row>
    <row r="1154">
      <c r="A1154" s="2">
        <v>107.0</v>
      </c>
      <c r="B1154" s="2" t="s">
        <v>42</v>
      </c>
      <c r="C1154" s="2" t="s">
        <v>144</v>
      </c>
      <c r="D1154" s="2" t="s">
        <v>145</v>
      </c>
      <c r="E1154" s="2">
        <v>-17.0</v>
      </c>
      <c r="F1154" s="2">
        <v>27.7774879543191</v>
      </c>
      <c r="G1154" s="2">
        <v>27.4810836304563</v>
      </c>
      <c r="H1154" s="2">
        <v>7.70762836113201</v>
      </c>
      <c r="I1154" s="2">
        <v>1100.0</v>
      </c>
      <c r="J1154" s="2">
        <v>1083.0</v>
      </c>
      <c r="K1154" s="2">
        <v>7.73083500089447</v>
      </c>
    </row>
    <row r="1155">
      <c r="A1155" s="2">
        <v>107.0</v>
      </c>
      <c r="B1155" s="2" t="s">
        <v>124</v>
      </c>
      <c r="C1155" s="2" t="s">
        <v>144</v>
      </c>
      <c r="D1155" s="2" t="s">
        <v>145</v>
      </c>
      <c r="E1155" s="2">
        <v>-18.0</v>
      </c>
      <c r="F1155" s="2">
        <v>23.5519211384049</v>
      </c>
      <c r="G1155" s="2">
        <v>23.2541034122005</v>
      </c>
      <c r="H1155" s="2">
        <v>7.72584439776206</v>
      </c>
      <c r="I1155" s="2">
        <v>811.0</v>
      </c>
      <c r="J1155" s="2">
        <v>793.0</v>
      </c>
      <c r="K1155" s="2">
        <v>7.74927299180517</v>
      </c>
    </row>
    <row r="1156">
      <c r="A1156" s="2">
        <v>107.0</v>
      </c>
      <c r="B1156" s="2" t="s">
        <v>97</v>
      </c>
      <c r="C1156" s="2" t="s">
        <v>144</v>
      </c>
      <c r="D1156" s="2" t="s">
        <v>145</v>
      </c>
      <c r="E1156" s="2">
        <v>-15.0</v>
      </c>
      <c r="F1156" s="2">
        <v>26.2113871891975</v>
      </c>
      <c r="G1156" s="2">
        <v>25.9627088841332</v>
      </c>
      <c r="H1156" s="2">
        <v>7.06416964390076</v>
      </c>
      <c r="I1156" s="2">
        <v>1060.0</v>
      </c>
      <c r="J1156" s="2">
        <v>1045.0</v>
      </c>
      <c r="K1156" s="2">
        <v>7.08011513688177</v>
      </c>
    </row>
    <row r="1157">
      <c r="A1157" s="2">
        <v>107.0</v>
      </c>
      <c r="B1157" s="2" t="s">
        <v>83</v>
      </c>
      <c r="C1157" s="2" t="s">
        <v>144</v>
      </c>
      <c r="D1157" s="2" t="s">
        <v>145</v>
      </c>
      <c r="E1157" s="2">
        <v>-18.0</v>
      </c>
      <c r="F1157" s="2">
        <v>25.9616284532288</v>
      </c>
      <c r="G1157" s="2">
        <v>25.660595193869</v>
      </c>
      <c r="H1157" s="2">
        <v>7.76712239086529</v>
      </c>
      <c r="I1157" s="2">
        <v>971.0</v>
      </c>
      <c r="J1157" s="2">
        <v>953.0</v>
      </c>
      <c r="K1157" s="2">
        <v>7.79105742541496</v>
      </c>
    </row>
    <row r="1158">
      <c r="A1158" s="2">
        <v>107.0</v>
      </c>
      <c r="B1158" s="2" t="s">
        <v>92</v>
      </c>
      <c r="C1158" s="2" t="s">
        <v>144</v>
      </c>
      <c r="D1158" s="2" t="s">
        <v>145</v>
      </c>
      <c r="E1158" s="2">
        <v>-20.0</v>
      </c>
      <c r="F1158" s="2">
        <v>26.4730190483417</v>
      </c>
      <c r="G1158" s="2">
        <v>26.1348405738553</v>
      </c>
      <c r="H1158" s="2">
        <v>8.2284953162748</v>
      </c>
      <c r="I1158" s="2">
        <v>958.0</v>
      </c>
      <c r="J1158" s="2">
        <v>938.0</v>
      </c>
      <c r="K1158" s="2">
        <v>8.25843027485851</v>
      </c>
    </row>
    <row r="1159">
      <c r="A1159" s="2">
        <v>107.0</v>
      </c>
      <c r="B1159" s="2" t="s">
        <v>18</v>
      </c>
      <c r="C1159" s="2" t="s">
        <v>144</v>
      </c>
      <c r="D1159" s="2" t="s">
        <v>145</v>
      </c>
      <c r="E1159" s="2">
        <v>-15.0</v>
      </c>
      <c r="F1159" s="2">
        <v>32.7749271305145</v>
      </c>
      <c r="G1159" s="2">
        <v>32.5378829734426</v>
      </c>
      <c r="H1159" s="2">
        <v>6.89796561129628</v>
      </c>
      <c r="I1159" s="2">
        <v>1524.0</v>
      </c>
      <c r="J1159" s="2">
        <v>1509.0</v>
      </c>
      <c r="K1159" s="2">
        <v>6.91220902609857</v>
      </c>
    </row>
    <row r="1160">
      <c r="A1160" s="2">
        <v>107.0</v>
      </c>
      <c r="B1160" s="2" t="s">
        <v>38</v>
      </c>
      <c r="C1160" s="2" t="s">
        <v>144</v>
      </c>
      <c r="D1160" s="2" t="s">
        <v>145</v>
      </c>
      <c r="E1160" s="2">
        <v>-15.0</v>
      </c>
      <c r="F1160" s="2">
        <v>25.2973496893504</v>
      </c>
      <c r="G1160" s="2">
        <v>25.053046078624</v>
      </c>
      <c r="H1160" s="2">
        <v>7.00214768777006</v>
      </c>
      <c r="I1160" s="2">
        <v>1004.0</v>
      </c>
      <c r="J1160" s="2">
        <v>989.0</v>
      </c>
      <c r="K1160" s="2">
        <v>7.01745008874774</v>
      </c>
    </row>
    <row r="1161">
      <c r="A1161" s="2">
        <v>107.0</v>
      </c>
      <c r="B1161" s="2" t="s">
        <v>29</v>
      </c>
      <c r="C1161" s="2" t="s">
        <v>144</v>
      </c>
      <c r="D1161" s="2" t="s">
        <v>145</v>
      </c>
      <c r="E1161" s="2">
        <v>-15.0</v>
      </c>
      <c r="F1161" s="2">
        <v>33.9204743080385</v>
      </c>
      <c r="G1161" s="2">
        <v>33.6794135378687</v>
      </c>
      <c r="H1161" s="2">
        <v>6.95580655800343</v>
      </c>
      <c r="I1161" s="2">
        <v>1596.0</v>
      </c>
      <c r="J1161" s="2">
        <v>1581.0</v>
      </c>
      <c r="K1161" s="2">
        <v>6.97063464787663</v>
      </c>
    </row>
    <row r="1162">
      <c r="A1162" s="2">
        <v>107.0</v>
      </c>
      <c r="B1162" s="2" t="s">
        <v>22</v>
      </c>
      <c r="C1162" s="2" t="s">
        <v>144</v>
      </c>
      <c r="D1162" s="2" t="s">
        <v>145</v>
      </c>
      <c r="E1162" s="2">
        <v>-16.0</v>
      </c>
      <c r="F1162" s="2">
        <v>27.2331257448254</v>
      </c>
      <c r="G1162" s="2">
        <v>26.9802225348656</v>
      </c>
      <c r="H1162" s="2">
        <v>7.12354239342231</v>
      </c>
      <c r="I1162" s="2">
        <v>1124.0</v>
      </c>
      <c r="J1162" s="2">
        <v>1108.0</v>
      </c>
      <c r="K1162" s="2">
        <v>7.14011250016973</v>
      </c>
    </row>
    <row r="1163">
      <c r="A1163" s="2">
        <v>107.0</v>
      </c>
      <c r="B1163" s="2" t="s">
        <v>26</v>
      </c>
      <c r="C1163" s="2" t="s">
        <v>144</v>
      </c>
      <c r="D1163" s="2" t="s">
        <v>145</v>
      </c>
      <c r="E1163" s="2">
        <v>-15.0</v>
      </c>
      <c r="F1163" s="2">
        <v>29.5482185967066</v>
      </c>
      <c r="G1163" s="2">
        <v>29.3044882869705</v>
      </c>
      <c r="H1163" s="2">
        <v>6.99397795232901</v>
      </c>
      <c r="I1163" s="2">
        <v>1294.0</v>
      </c>
      <c r="J1163" s="2">
        <v>1279.0</v>
      </c>
      <c r="K1163" s="2">
        <v>7.00919635190398</v>
      </c>
    </row>
    <row r="1164">
      <c r="A1164" s="2">
        <v>106.0</v>
      </c>
      <c r="B1164" s="2" t="s">
        <v>47</v>
      </c>
      <c r="C1164" s="2" t="s">
        <v>142</v>
      </c>
      <c r="D1164" s="2" t="s">
        <v>145</v>
      </c>
      <c r="E1164" s="2">
        <v>-61.0</v>
      </c>
      <c r="F1164" s="2">
        <v>23.3474089626705</v>
      </c>
      <c r="G1164" s="2">
        <v>22.3872455741463</v>
      </c>
      <c r="H1164" s="2">
        <v>6.86514213504678</v>
      </c>
      <c r="I1164" s="2">
        <v>883.0</v>
      </c>
      <c r="J1164" s="2">
        <v>822.0</v>
      </c>
      <c r="K1164" s="2">
        <v>6.90504140690387</v>
      </c>
    </row>
    <row r="1165">
      <c r="A1165" s="2">
        <v>106.0</v>
      </c>
      <c r="B1165" s="2" t="s">
        <v>67</v>
      </c>
      <c r="C1165" s="2" t="s">
        <v>142</v>
      </c>
      <c r="D1165" s="2" t="s">
        <v>145</v>
      </c>
      <c r="E1165" s="2">
        <v>-66.0</v>
      </c>
      <c r="F1165" s="2">
        <v>27.8639752555552</v>
      </c>
      <c r="G1165" s="2">
        <v>26.8203260945177</v>
      </c>
      <c r="H1165" s="2">
        <v>7.15315962416583</v>
      </c>
      <c r="I1165" s="2">
        <v>1160.0</v>
      </c>
      <c r="J1165" s="2">
        <v>1094.0</v>
      </c>
      <c r="K1165" s="2">
        <v>7.19952371184639</v>
      </c>
    </row>
    <row r="1166">
      <c r="A1166" s="2">
        <v>106.0</v>
      </c>
      <c r="B1166" s="2" t="s">
        <v>16</v>
      </c>
      <c r="C1166" s="2" t="s">
        <v>142</v>
      </c>
      <c r="D1166" s="2" t="s">
        <v>145</v>
      </c>
      <c r="E1166" s="2">
        <v>-59.0</v>
      </c>
      <c r="F1166" s="2">
        <v>32.6729000589901</v>
      </c>
      <c r="G1166" s="2">
        <v>31.7540690385849</v>
      </c>
      <c r="H1166" s="2">
        <v>6.71771491408632</v>
      </c>
      <c r="I1166" s="2">
        <v>1533.0</v>
      </c>
      <c r="J1166" s="2">
        <v>1474.0</v>
      </c>
      <c r="K1166" s="2">
        <v>6.75449837611689</v>
      </c>
    </row>
    <row r="1167">
      <c r="A1167" s="2">
        <v>106.0</v>
      </c>
      <c r="B1167" s="2" t="s">
        <v>29</v>
      </c>
      <c r="C1167" s="2" t="s">
        <v>144</v>
      </c>
      <c r="D1167" s="2" t="s">
        <v>143</v>
      </c>
      <c r="E1167" s="2">
        <v>72.0</v>
      </c>
      <c r="F1167" s="2">
        <v>32.9301536953872</v>
      </c>
      <c r="G1167" s="2">
        <v>33.9204743080385</v>
      </c>
      <c r="H1167" s="2">
        <v>6.97063464787663</v>
      </c>
      <c r="I1167" s="2">
        <v>1524.0</v>
      </c>
      <c r="J1167" s="2">
        <v>1596.0</v>
      </c>
      <c r="K1167" s="2">
        <v>7.01284285057578</v>
      </c>
    </row>
    <row r="1168">
      <c r="A1168" s="2">
        <v>106.0</v>
      </c>
      <c r="B1168" s="2" t="s">
        <v>22</v>
      </c>
      <c r="C1168" s="2" t="s">
        <v>144</v>
      </c>
      <c r="D1168" s="2" t="s">
        <v>143</v>
      </c>
      <c r="E1168" s="2">
        <v>76.0</v>
      </c>
      <c r="F1168" s="2">
        <v>26.1933370600096</v>
      </c>
      <c r="G1168" s="2">
        <v>27.2331257448254</v>
      </c>
      <c r="H1168" s="2">
        <v>7.14011250016973</v>
      </c>
      <c r="I1168" s="2">
        <v>1048.0</v>
      </c>
      <c r="J1168" s="2">
        <v>1124.0</v>
      </c>
      <c r="K1168" s="2">
        <v>7.18617263096945</v>
      </c>
    </row>
    <row r="1169">
      <c r="A1169" s="2">
        <v>106.0</v>
      </c>
      <c r="B1169" s="2" t="s">
        <v>18</v>
      </c>
      <c r="C1169" s="2" t="s">
        <v>144</v>
      </c>
      <c r="D1169" s="2" t="s">
        <v>143</v>
      </c>
      <c r="E1169" s="2">
        <v>71.0</v>
      </c>
      <c r="F1169" s="2">
        <v>31.8013687298984</v>
      </c>
      <c r="G1169" s="2">
        <v>32.7749271305145</v>
      </c>
      <c r="H1169" s="2">
        <v>6.91220902609857</v>
      </c>
      <c r="I1169" s="2">
        <v>1453.0</v>
      </c>
      <c r="J1169" s="2">
        <v>1524.0</v>
      </c>
      <c r="K1169" s="2">
        <v>6.95313017035256</v>
      </c>
    </row>
    <row r="1170">
      <c r="A1170" s="2">
        <v>106.0</v>
      </c>
      <c r="B1170" s="2" t="s">
        <v>44</v>
      </c>
      <c r="C1170" s="2" t="s">
        <v>144</v>
      </c>
      <c r="D1170" s="2" t="s">
        <v>143</v>
      </c>
      <c r="E1170" s="2">
        <v>91.0</v>
      </c>
      <c r="F1170" s="2">
        <v>26.015461778287</v>
      </c>
      <c r="G1170" s="2">
        <v>27.2574052234926</v>
      </c>
      <c r="H1170" s="2">
        <v>7.79222641409953</v>
      </c>
      <c r="I1170" s="2">
        <v>968.0</v>
      </c>
      <c r="J1170" s="2">
        <v>1059.0</v>
      </c>
      <c r="K1170" s="2">
        <v>7.85484471776827</v>
      </c>
    </row>
    <row r="1171">
      <c r="A1171" s="2">
        <v>106.0</v>
      </c>
      <c r="B1171" s="2" t="s">
        <v>38</v>
      </c>
      <c r="C1171" s="2" t="s">
        <v>144</v>
      </c>
      <c r="D1171" s="2" t="s">
        <v>143</v>
      </c>
      <c r="E1171" s="2">
        <v>72.0</v>
      </c>
      <c r="F1171" s="2">
        <v>24.2934901078957</v>
      </c>
      <c r="G1171" s="2">
        <v>25.2973496893504</v>
      </c>
      <c r="H1171" s="2">
        <v>7.01745008874774</v>
      </c>
      <c r="I1171" s="2">
        <v>932.0</v>
      </c>
      <c r="J1171" s="2">
        <v>1004.0</v>
      </c>
      <c r="K1171" s="2">
        <v>7.06070458581951</v>
      </c>
    </row>
    <row r="1172">
      <c r="A1172" s="2">
        <v>106.0</v>
      </c>
      <c r="B1172" s="2" t="s">
        <v>124</v>
      </c>
      <c r="C1172" s="2" t="s">
        <v>144</v>
      </c>
      <c r="D1172" s="2" t="s">
        <v>143</v>
      </c>
      <c r="E1172" s="2">
        <v>90.0</v>
      </c>
      <c r="F1172" s="2">
        <v>22.3238740898036</v>
      </c>
      <c r="G1172" s="2">
        <v>23.5519211384049</v>
      </c>
      <c r="H1172" s="2">
        <v>7.74927299180517</v>
      </c>
      <c r="I1172" s="2">
        <v>721.0</v>
      </c>
      <c r="J1172" s="2">
        <v>811.0</v>
      </c>
      <c r="K1172" s="2">
        <v>7.81071178313819</v>
      </c>
    </row>
    <row r="1173">
      <c r="A1173" s="2">
        <v>106.0</v>
      </c>
      <c r="B1173" s="2" t="s">
        <v>36</v>
      </c>
      <c r="C1173" s="2" t="s">
        <v>144</v>
      </c>
      <c r="D1173" s="2" t="s">
        <v>143</v>
      </c>
      <c r="E1173" s="2">
        <v>94.0</v>
      </c>
      <c r="F1173" s="2">
        <v>26.0568870058605</v>
      </c>
      <c r="G1173" s="2">
        <v>27.3428982976127</v>
      </c>
      <c r="H1173" s="2">
        <v>7.92678809167778</v>
      </c>
      <c r="I1173" s="2">
        <v>957.0</v>
      </c>
      <c r="J1173" s="2">
        <v>1051.0</v>
      </c>
      <c r="K1173" s="2">
        <v>7.99318636672037</v>
      </c>
    </row>
    <row r="1174">
      <c r="A1174" s="2">
        <v>106.0</v>
      </c>
      <c r="B1174" s="2" t="s">
        <v>32</v>
      </c>
      <c r="C1174" s="2" t="s">
        <v>144</v>
      </c>
      <c r="D1174" s="2" t="s">
        <v>143</v>
      </c>
      <c r="E1174" s="2">
        <v>77.0</v>
      </c>
      <c r="F1174" s="2">
        <v>30.1186809064339</v>
      </c>
      <c r="G1174" s="2">
        <v>31.1717758020445</v>
      </c>
      <c r="H1174" s="2">
        <v>7.18497709181729</v>
      </c>
      <c r="I1174" s="2">
        <v>1310.0</v>
      </c>
      <c r="J1174" s="2">
        <v>1387.0</v>
      </c>
      <c r="K1174" s="2">
        <v>7.23208693369884</v>
      </c>
    </row>
    <row r="1175">
      <c r="A1175" s="2">
        <v>106.0</v>
      </c>
      <c r="B1175" s="2" t="s">
        <v>17</v>
      </c>
      <c r="C1175" s="2" t="s">
        <v>144</v>
      </c>
      <c r="D1175" s="2" t="s">
        <v>143</v>
      </c>
      <c r="E1175" s="2">
        <v>76.0</v>
      </c>
      <c r="F1175" s="2">
        <v>36.4878214742018</v>
      </c>
      <c r="G1175" s="2">
        <v>37.5465812160765</v>
      </c>
      <c r="H1175" s="2">
        <v>7.203987302498</v>
      </c>
      <c r="I1175" s="2">
        <v>1742.0</v>
      </c>
      <c r="J1175" s="2">
        <v>1818.0</v>
      </c>
      <c r="K1175" s="2">
        <v>7.25154577870965</v>
      </c>
    </row>
    <row r="1176">
      <c r="A1176" s="2">
        <v>106.0</v>
      </c>
      <c r="B1176" s="2" t="s">
        <v>83</v>
      </c>
      <c r="C1176" s="2" t="s">
        <v>144</v>
      </c>
      <c r="D1176" s="2" t="s">
        <v>143</v>
      </c>
      <c r="E1176" s="2">
        <v>91.0</v>
      </c>
      <c r="F1176" s="2">
        <v>24.7200642929349</v>
      </c>
      <c r="G1176" s="2">
        <v>25.9616284532288</v>
      </c>
      <c r="H1176" s="2">
        <v>7.79105742541496</v>
      </c>
      <c r="I1176" s="2">
        <v>880.0</v>
      </c>
      <c r="J1176" s="2">
        <v>971.0</v>
      </c>
      <c r="K1176" s="2">
        <v>7.85364345612335</v>
      </c>
    </row>
    <row r="1177">
      <c r="A1177" s="2">
        <v>105.0</v>
      </c>
      <c r="B1177" s="2" t="s">
        <v>20</v>
      </c>
      <c r="C1177" s="2" t="s">
        <v>142</v>
      </c>
      <c r="D1177" s="2" t="s">
        <v>145</v>
      </c>
      <c r="E1177" s="2">
        <v>-70.0</v>
      </c>
      <c r="F1177" s="2">
        <v>33.6018512854743</v>
      </c>
      <c r="G1177" s="2">
        <v>32.5050487880584</v>
      </c>
      <c r="H1177" s="2">
        <v>7.14395376251625</v>
      </c>
      <c r="I1177" s="2">
        <v>1552.0</v>
      </c>
      <c r="J1177" s="2">
        <v>1482.0</v>
      </c>
      <c r="K1177" s="2">
        <v>7.18922763269666</v>
      </c>
    </row>
    <row r="1178">
      <c r="A1178" s="2">
        <v>105.0</v>
      </c>
      <c r="B1178" s="2" t="s">
        <v>123</v>
      </c>
      <c r="C1178" s="2" t="s">
        <v>142</v>
      </c>
      <c r="D1178" s="2" t="s">
        <v>145</v>
      </c>
      <c r="E1178" s="2">
        <v>-87.0</v>
      </c>
      <c r="F1178" s="2">
        <v>24.7892788748503</v>
      </c>
      <c r="G1178" s="2">
        <v>23.4002127742023</v>
      </c>
      <c r="H1178" s="2">
        <v>8.02410300775955</v>
      </c>
      <c r="I1178" s="2">
        <v>860.0</v>
      </c>
      <c r="J1178" s="2">
        <v>773.0</v>
      </c>
      <c r="K1178" s="2">
        <v>8.09205860562787</v>
      </c>
    </row>
    <row r="1179">
      <c r="A1179" s="2">
        <v>105.0</v>
      </c>
      <c r="B1179" s="2" t="s">
        <v>44</v>
      </c>
      <c r="C1179" s="2" t="s">
        <v>142</v>
      </c>
      <c r="D1179" s="2" t="s">
        <v>145</v>
      </c>
      <c r="E1179" s="2">
        <v>-84.0</v>
      </c>
      <c r="F1179" s="2">
        <v>27.3455044551673</v>
      </c>
      <c r="G1179" s="2">
        <v>26.015461778287</v>
      </c>
      <c r="H1179" s="2">
        <v>7.85484471776827</v>
      </c>
      <c r="I1179" s="2">
        <v>1052.0</v>
      </c>
      <c r="J1179" s="2">
        <v>968.0</v>
      </c>
      <c r="K1179" s="2">
        <v>7.91802933227837</v>
      </c>
    </row>
    <row r="1180">
      <c r="A1180" s="2">
        <v>105.0</v>
      </c>
      <c r="B1180" s="2" t="s">
        <v>32</v>
      </c>
      <c r="C1180" s="2" t="s">
        <v>144</v>
      </c>
      <c r="D1180" s="2" t="s">
        <v>143</v>
      </c>
      <c r="E1180" s="2">
        <v>81.0</v>
      </c>
      <c r="F1180" s="2">
        <v>28.9942392709132</v>
      </c>
      <c r="G1180" s="2">
        <v>30.1186809064339</v>
      </c>
      <c r="H1180" s="2">
        <v>7.23208693369884</v>
      </c>
      <c r="I1180" s="2">
        <v>1229.0</v>
      </c>
      <c r="J1180" s="2">
        <v>1310.0</v>
      </c>
      <c r="K1180" s="2">
        <v>7.2794031593856</v>
      </c>
    </row>
    <row r="1181">
      <c r="A1181" s="2">
        <v>105.0</v>
      </c>
      <c r="B1181" s="2" t="s">
        <v>28</v>
      </c>
      <c r="C1181" s="2" t="s">
        <v>144</v>
      </c>
      <c r="D1181" s="2" t="s">
        <v>143</v>
      </c>
      <c r="E1181" s="2">
        <v>95.0</v>
      </c>
      <c r="F1181" s="2">
        <v>29.656262029216</v>
      </c>
      <c r="G1181" s="2">
        <v>30.9648613793266</v>
      </c>
      <c r="H1181" s="2">
        <v>7.79237444295228</v>
      </c>
      <c r="I1181" s="2">
        <v>1216.0</v>
      </c>
      <c r="J1181" s="2">
        <v>1311.0</v>
      </c>
      <c r="K1181" s="2">
        <v>7.85384923585063</v>
      </c>
    </row>
    <row r="1182">
      <c r="A1182" s="2">
        <v>105.0</v>
      </c>
      <c r="B1182" s="2" t="s">
        <v>46</v>
      </c>
      <c r="C1182" s="2" t="s">
        <v>144</v>
      </c>
      <c r="D1182" s="2" t="s">
        <v>143</v>
      </c>
      <c r="E1182" s="2">
        <v>93.0</v>
      </c>
      <c r="F1182" s="2">
        <v>27.2465047767679</v>
      </c>
      <c r="G1182" s="2">
        <v>28.5276521785124</v>
      </c>
      <c r="H1182" s="2">
        <v>7.71160736269896</v>
      </c>
      <c r="I1182" s="2">
        <v>1060.0</v>
      </c>
      <c r="J1182" s="2">
        <v>1153.0</v>
      </c>
      <c r="K1182" s="2">
        <v>7.77091164424637</v>
      </c>
    </row>
    <row r="1183">
      <c r="A1183" s="2">
        <v>105.0</v>
      </c>
      <c r="B1183" s="2" t="s">
        <v>47</v>
      </c>
      <c r="C1183" s="2" t="s">
        <v>144</v>
      </c>
      <c r="D1183" s="2" t="s">
        <v>143</v>
      </c>
      <c r="E1183" s="2">
        <v>73.0</v>
      </c>
      <c r="F1183" s="2">
        <v>22.3237277343649</v>
      </c>
      <c r="G1183" s="2">
        <v>23.3474089626705</v>
      </c>
      <c r="H1183" s="2">
        <v>6.90504140690387</v>
      </c>
      <c r="I1183" s="2">
        <v>810.0</v>
      </c>
      <c r="J1183" s="2">
        <v>883.0</v>
      </c>
      <c r="K1183" s="2">
        <v>6.94501804473266</v>
      </c>
    </row>
    <row r="1184">
      <c r="A1184" s="2">
        <v>105.0</v>
      </c>
      <c r="B1184" s="2" t="s">
        <v>92</v>
      </c>
      <c r="C1184" s="2" t="s">
        <v>144</v>
      </c>
      <c r="D1184" s="2" t="s">
        <v>143</v>
      </c>
      <c r="E1184" s="2">
        <v>108.0</v>
      </c>
      <c r="F1184" s="2">
        <v>25.0</v>
      </c>
      <c r="G1184" s="2">
        <v>26.4730190483417</v>
      </c>
      <c r="H1184" s="2">
        <v>8.25843027485851</v>
      </c>
      <c r="I1184" s="2">
        <v>850.0</v>
      </c>
      <c r="J1184" s="2">
        <v>958.0</v>
      </c>
      <c r="K1184" s="2">
        <v>8.33333333333333</v>
      </c>
    </row>
    <row r="1185">
      <c r="A1185" s="2">
        <v>105.0</v>
      </c>
      <c r="B1185" s="2" t="s">
        <v>31</v>
      </c>
      <c r="C1185" s="2" t="s">
        <v>144</v>
      </c>
      <c r="D1185" s="2" t="s">
        <v>143</v>
      </c>
      <c r="E1185" s="2">
        <v>84.0</v>
      </c>
      <c r="F1185" s="2">
        <v>29.187484854017</v>
      </c>
      <c r="G1185" s="2">
        <v>30.3457370109036</v>
      </c>
      <c r="H1185" s="2">
        <v>7.3383726906919</v>
      </c>
      <c r="I1185" s="2">
        <v>1231.0</v>
      </c>
      <c r="J1185" s="2">
        <v>1315.0</v>
      </c>
      <c r="K1185" s="2">
        <v>7.38821692541257</v>
      </c>
    </row>
    <row r="1186">
      <c r="A1186" s="2">
        <v>105.0</v>
      </c>
      <c r="B1186" s="2" t="s">
        <v>29</v>
      </c>
      <c r="C1186" s="2" t="s">
        <v>144</v>
      </c>
      <c r="D1186" s="2" t="s">
        <v>143</v>
      </c>
      <c r="E1186" s="2">
        <v>76.0</v>
      </c>
      <c r="F1186" s="2">
        <v>31.8738044618632</v>
      </c>
      <c r="G1186" s="2">
        <v>32.9301536953872</v>
      </c>
      <c r="H1186" s="2">
        <v>7.01284285057578</v>
      </c>
      <c r="I1186" s="2">
        <v>1448.0</v>
      </c>
      <c r="J1186" s="2">
        <v>1524.0</v>
      </c>
      <c r="K1186" s="2">
        <v>7.05516702119288</v>
      </c>
    </row>
    <row r="1187">
      <c r="A1187" s="2">
        <v>105.0</v>
      </c>
      <c r="B1187" s="2" t="s">
        <v>27</v>
      </c>
      <c r="C1187" s="2" t="s">
        <v>144</v>
      </c>
      <c r="D1187" s="2" t="s">
        <v>143</v>
      </c>
      <c r="E1187" s="2">
        <v>83.0</v>
      </c>
      <c r="F1187" s="2">
        <v>27.8504378280324</v>
      </c>
      <c r="G1187" s="2">
        <v>28.9965323193939</v>
      </c>
      <c r="H1187" s="2">
        <v>7.30034346095458</v>
      </c>
      <c r="I1187" s="2">
        <v>1144.0</v>
      </c>
      <c r="J1187" s="2">
        <v>1227.0</v>
      </c>
      <c r="K1187" s="2">
        <v>7.34927492658728</v>
      </c>
    </row>
    <row r="1188">
      <c r="A1188" s="2">
        <v>105.0</v>
      </c>
      <c r="B1188" s="2" t="s">
        <v>26</v>
      </c>
      <c r="C1188" s="2" t="s">
        <v>144</v>
      </c>
      <c r="D1188" s="2" t="s">
        <v>143</v>
      </c>
      <c r="E1188" s="2">
        <v>76.0</v>
      </c>
      <c r="F1188" s="2">
        <v>28.4929831328102</v>
      </c>
      <c r="G1188" s="2">
        <v>29.5482185967066</v>
      </c>
      <c r="H1188" s="2">
        <v>7.00919635190398</v>
      </c>
      <c r="I1188" s="2">
        <v>1218.0</v>
      </c>
      <c r="J1188" s="2">
        <v>1294.0</v>
      </c>
      <c r="K1188" s="2">
        <v>7.05143997796945</v>
      </c>
    </row>
    <row r="1189">
      <c r="A1189" s="2">
        <v>105.0</v>
      </c>
      <c r="B1189" s="2" t="s">
        <v>18</v>
      </c>
      <c r="C1189" s="2" t="s">
        <v>144</v>
      </c>
      <c r="D1189" s="2" t="s">
        <v>143</v>
      </c>
      <c r="E1189" s="2">
        <v>75.0</v>
      </c>
      <c r="F1189" s="2">
        <v>30.7631807929307</v>
      </c>
      <c r="G1189" s="2">
        <v>31.8013687298984</v>
      </c>
      <c r="H1189" s="2">
        <v>6.95313017035256</v>
      </c>
      <c r="I1189" s="2">
        <v>1378.0</v>
      </c>
      <c r="J1189" s="2">
        <v>1453.0</v>
      </c>
      <c r="K1189" s="2">
        <v>6.99414544735045</v>
      </c>
    </row>
    <row r="1190">
      <c r="A1190" s="2">
        <v>104.0</v>
      </c>
      <c r="B1190" s="2" t="s">
        <v>31</v>
      </c>
      <c r="C1190" s="2" t="s">
        <v>142</v>
      </c>
      <c r="D1190" s="2" t="s">
        <v>143</v>
      </c>
      <c r="E1190" s="2">
        <v>67.0</v>
      </c>
      <c r="F1190" s="2">
        <v>28.2600914507848</v>
      </c>
      <c r="G1190" s="2">
        <v>29.187484854017</v>
      </c>
      <c r="H1190" s="2">
        <v>7.38821692541257</v>
      </c>
      <c r="I1190" s="2">
        <v>1164.0</v>
      </c>
      <c r="J1190" s="2">
        <v>1231.0</v>
      </c>
      <c r="K1190" s="2">
        <v>7.43083814164166</v>
      </c>
    </row>
    <row r="1191">
      <c r="A1191" s="2">
        <v>104.0</v>
      </c>
      <c r="B1191" s="2" t="s">
        <v>18</v>
      </c>
      <c r="C1191" s="2" t="s">
        <v>142</v>
      </c>
      <c r="D1191" s="2" t="s">
        <v>143</v>
      </c>
      <c r="E1191" s="2">
        <v>59.0</v>
      </c>
      <c r="F1191" s="2">
        <v>29.9332321677673</v>
      </c>
      <c r="G1191" s="2">
        <v>30.7631807929307</v>
      </c>
      <c r="H1191" s="2">
        <v>6.99414544735045</v>
      </c>
      <c r="I1191" s="2">
        <v>1319.0</v>
      </c>
      <c r="J1191" s="2">
        <v>1378.0</v>
      </c>
      <c r="K1191" s="2">
        <v>7.02894015787932</v>
      </c>
    </row>
    <row r="1192">
      <c r="A1192" s="2">
        <v>104.0</v>
      </c>
      <c r="B1192" s="2" t="s">
        <v>124</v>
      </c>
      <c r="C1192" s="2" t="s">
        <v>142</v>
      </c>
      <c r="D1192" s="2" t="s">
        <v>143</v>
      </c>
      <c r="E1192" s="2">
        <v>76.0</v>
      </c>
      <c r="F1192" s="2">
        <v>21.2857433851605</v>
      </c>
      <c r="G1192" s="2">
        <v>22.3238740898036</v>
      </c>
      <c r="H1192" s="2">
        <v>7.81071178313819</v>
      </c>
      <c r="I1192" s="2">
        <v>645.0</v>
      </c>
      <c r="J1192" s="2">
        <v>721.0</v>
      </c>
      <c r="K1192" s="2">
        <v>7.86266132483699</v>
      </c>
    </row>
    <row r="1193">
      <c r="A1193" s="2">
        <v>104.0</v>
      </c>
      <c r="B1193" s="2" t="s">
        <v>40</v>
      </c>
      <c r="C1193" s="2" t="s">
        <v>144</v>
      </c>
      <c r="D1193" s="2" t="s">
        <v>145</v>
      </c>
      <c r="E1193" s="2">
        <v>-62.0</v>
      </c>
      <c r="F1193" s="2">
        <v>31.4909761884041</v>
      </c>
      <c r="G1193" s="2">
        <v>30.4981359926235</v>
      </c>
      <c r="H1193" s="2">
        <v>7.64090212863287</v>
      </c>
      <c r="I1193" s="2">
        <v>1357.0</v>
      </c>
      <c r="J1193" s="2">
        <v>1295.0</v>
      </c>
      <c r="K1193" s="2">
        <v>7.68898131984185</v>
      </c>
    </row>
    <row r="1194">
      <c r="A1194" s="2">
        <v>104.0</v>
      </c>
      <c r="B1194" s="2" t="s">
        <v>123</v>
      </c>
      <c r="C1194" s="2" t="s">
        <v>144</v>
      </c>
      <c r="D1194" s="2" t="s">
        <v>145</v>
      </c>
      <c r="E1194" s="2">
        <v>-70.0</v>
      </c>
      <c r="F1194" s="2">
        <v>25.9047769684274</v>
      </c>
      <c r="G1194" s="2">
        <v>24.7892788748503</v>
      </c>
      <c r="H1194" s="2">
        <v>8.09205860562787</v>
      </c>
      <c r="I1194" s="2">
        <v>930.0</v>
      </c>
      <c r="J1194" s="2">
        <v>860.0</v>
      </c>
      <c r="K1194" s="2">
        <v>8.15079352234379</v>
      </c>
    </row>
    <row r="1195">
      <c r="A1195" s="2">
        <v>104.0</v>
      </c>
      <c r="B1195" s="2" t="s">
        <v>20</v>
      </c>
      <c r="C1195" s="2" t="s">
        <v>144</v>
      </c>
      <c r="D1195" s="2" t="s">
        <v>145</v>
      </c>
      <c r="E1195" s="2">
        <v>-55.0</v>
      </c>
      <c r="F1195" s="2">
        <v>34.4793375851163</v>
      </c>
      <c r="G1195" s="2">
        <v>33.6018512854743</v>
      </c>
      <c r="H1195" s="2">
        <v>7.18922763269666</v>
      </c>
      <c r="I1195" s="2">
        <v>1607.0</v>
      </c>
      <c r="J1195" s="2">
        <v>1552.0</v>
      </c>
      <c r="K1195" s="2">
        <v>7.22779525778608</v>
      </c>
    </row>
    <row r="1196">
      <c r="A1196" s="2">
        <v>104.0</v>
      </c>
      <c r="B1196" s="2" t="s">
        <v>67</v>
      </c>
      <c r="C1196" s="2" t="s">
        <v>144</v>
      </c>
      <c r="D1196" s="2" t="s">
        <v>145</v>
      </c>
      <c r="E1196" s="2">
        <v>-56.0</v>
      </c>
      <c r="F1196" s="2">
        <v>28.7440086753637</v>
      </c>
      <c r="G1196" s="2">
        <v>27.8639752555552</v>
      </c>
      <c r="H1196" s="2">
        <v>7.19952371184639</v>
      </c>
      <c r="I1196" s="2">
        <v>1216.0</v>
      </c>
      <c r="J1196" s="2">
        <v>1160.0</v>
      </c>
      <c r="K1196" s="2">
        <v>7.23829593060414</v>
      </c>
    </row>
    <row r="1197">
      <c r="A1197" s="2">
        <v>104.0</v>
      </c>
      <c r="B1197" s="2" t="s">
        <v>47</v>
      </c>
      <c r="C1197" s="2" t="s">
        <v>144</v>
      </c>
      <c r="D1197" s="2" t="s">
        <v>145</v>
      </c>
      <c r="E1197" s="2">
        <v>-52.0</v>
      </c>
      <c r="F1197" s="2">
        <v>23.1419211527064</v>
      </c>
      <c r="G1197" s="2">
        <v>22.3237277343649</v>
      </c>
      <c r="H1197" s="2">
        <v>6.94501804473266</v>
      </c>
      <c r="I1197" s="2">
        <v>862.0</v>
      </c>
      <c r="J1197" s="2">
        <v>810.0</v>
      </c>
      <c r="K1197" s="2">
        <v>6.97889314044332</v>
      </c>
    </row>
    <row r="1198">
      <c r="A1198" s="2">
        <v>104.0</v>
      </c>
      <c r="B1198" s="2" t="s">
        <v>44</v>
      </c>
      <c r="C1198" s="2" t="s">
        <v>144</v>
      </c>
      <c r="D1198" s="2" t="s">
        <v>145</v>
      </c>
      <c r="E1198" s="2">
        <v>-67.0</v>
      </c>
      <c r="F1198" s="2">
        <v>28.4128029988644</v>
      </c>
      <c r="G1198" s="2">
        <v>27.3455044551673</v>
      </c>
      <c r="H1198" s="2">
        <v>7.91802933227837</v>
      </c>
      <c r="I1198" s="2">
        <v>1119.0</v>
      </c>
      <c r="J1198" s="2">
        <v>1052.0</v>
      </c>
      <c r="K1198" s="2">
        <v>7.97251139561193</v>
      </c>
    </row>
    <row r="1199">
      <c r="A1199" s="2">
        <v>104.0</v>
      </c>
      <c r="B1199" s="2" t="s">
        <v>32</v>
      </c>
      <c r="C1199" s="2" t="s">
        <v>144</v>
      </c>
      <c r="D1199" s="2" t="s">
        <v>145</v>
      </c>
      <c r="E1199" s="2">
        <v>-57.0</v>
      </c>
      <c r="F1199" s="2">
        <v>29.89416414238</v>
      </c>
      <c r="G1199" s="2">
        <v>28.9942392709132</v>
      </c>
      <c r="H1199" s="2">
        <v>7.2794031593856</v>
      </c>
      <c r="I1199" s="2">
        <v>1286.0</v>
      </c>
      <c r="J1199" s="2">
        <v>1229.0</v>
      </c>
      <c r="K1199" s="2">
        <v>7.31978161941504</v>
      </c>
    </row>
    <row r="1200">
      <c r="A1200" s="2">
        <v>104.0</v>
      </c>
      <c r="B1200" s="2" t="s">
        <v>42</v>
      </c>
      <c r="C1200" s="2" t="s">
        <v>144</v>
      </c>
      <c r="D1200" s="2" t="s">
        <v>145</v>
      </c>
      <c r="E1200" s="2">
        <v>-64.0</v>
      </c>
      <c r="F1200" s="2">
        <v>28.7941830492663</v>
      </c>
      <c r="G1200" s="2">
        <v>27.7774879543191</v>
      </c>
      <c r="H1200" s="2">
        <v>7.73083500089447</v>
      </c>
      <c r="I1200" s="2">
        <v>1164.0</v>
      </c>
      <c r="J1200" s="2">
        <v>1100.0</v>
      </c>
      <c r="K1200" s="2">
        <v>7.78094329251975</v>
      </c>
    </row>
    <row r="1201">
      <c r="A1201" s="2">
        <v>104.0</v>
      </c>
      <c r="B1201" s="2" t="s">
        <v>16</v>
      </c>
      <c r="C1201" s="2" t="s">
        <v>144</v>
      </c>
      <c r="D1201" s="2" t="s">
        <v>145</v>
      </c>
      <c r="E1201" s="2">
        <v>-49.0</v>
      </c>
      <c r="F1201" s="2">
        <v>33.4463261249828</v>
      </c>
      <c r="G1201" s="2">
        <v>32.6729000589901</v>
      </c>
      <c r="H1201" s="2">
        <v>6.75449837611689</v>
      </c>
      <c r="I1201" s="2">
        <v>1582.0</v>
      </c>
      <c r="J1201" s="2">
        <v>1533.0</v>
      </c>
      <c r="K1201" s="2">
        <v>6.78492002910923</v>
      </c>
    </row>
    <row r="1202">
      <c r="A1202" s="2">
        <v>104.0</v>
      </c>
      <c r="B1202" s="2" t="s">
        <v>83</v>
      </c>
      <c r="C1202" s="2" t="s">
        <v>144</v>
      </c>
      <c r="D1202" s="2" t="s">
        <v>145</v>
      </c>
      <c r="E1202" s="2">
        <v>-66.0</v>
      </c>
      <c r="F1202" s="2">
        <v>25.7698126770745</v>
      </c>
      <c r="G1202" s="2">
        <v>24.7200642929349</v>
      </c>
      <c r="H1202" s="2">
        <v>7.85364345612335</v>
      </c>
      <c r="I1202" s="2">
        <v>946.0</v>
      </c>
      <c r="J1202" s="2">
        <v>880.0</v>
      </c>
      <c r="K1202" s="2">
        <v>7.90659797958121</v>
      </c>
    </row>
    <row r="1203">
      <c r="A1203" s="2">
        <v>104.0</v>
      </c>
      <c r="B1203" s="2" t="s">
        <v>97</v>
      </c>
      <c r="C1203" s="2" t="s">
        <v>144</v>
      </c>
      <c r="D1203" s="2" t="s">
        <v>145</v>
      </c>
      <c r="E1203" s="2">
        <v>-54.0</v>
      </c>
      <c r="F1203" s="2">
        <v>27.062115752949</v>
      </c>
      <c r="G1203" s="2">
        <v>26.2113871891975</v>
      </c>
      <c r="H1203" s="2">
        <v>7.08011513688177</v>
      </c>
      <c r="I1203" s="2">
        <v>1114.0</v>
      </c>
      <c r="J1203" s="2">
        <v>1060.0</v>
      </c>
      <c r="K1203" s="2">
        <v>7.11654844665173</v>
      </c>
    </row>
    <row r="1204">
      <c r="A1204" s="2">
        <v>103.0</v>
      </c>
      <c r="B1204" s="2" t="s">
        <v>118</v>
      </c>
      <c r="C1204" s="2" t="s">
        <v>142</v>
      </c>
      <c r="D1204" s="2" t="s">
        <v>145</v>
      </c>
      <c r="E1204" s="2">
        <v>-46.0</v>
      </c>
      <c r="F1204" s="2">
        <v>25.0</v>
      </c>
      <c r="G1204" s="2">
        <v>24.2412055622899</v>
      </c>
      <c r="H1204" s="2">
        <v>8.2817778535573</v>
      </c>
      <c r="I1204" s="2">
        <v>850.0</v>
      </c>
      <c r="J1204" s="2">
        <v>804.0</v>
      </c>
      <c r="K1204" s="2">
        <v>8.33333333333333</v>
      </c>
    </row>
    <row r="1205">
      <c r="A1205" s="2">
        <v>103.0</v>
      </c>
      <c r="B1205" s="2" t="s">
        <v>47</v>
      </c>
      <c r="C1205" s="2" t="s">
        <v>142</v>
      </c>
      <c r="D1205" s="2" t="s">
        <v>145</v>
      </c>
      <c r="E1205" s="2">
        <v>-33.0</v>
      </c>
      <c r="F1205" s="2">
        <v>23.6785808041285</v>
      </c>
      <c r="G1205" s="2">
        <v>23.1419211527064</v>
      </c>
      <c r="H1205" s="2">
        <v>6.97889314044332</v>
      </c>
      <c r="I1205" s="2">
        <v>895.0</v>
      </c>
      <c r="J1205" s="2">
        <v>862.0</v>
      </c>
      <c r="K1205" s="2">
        <v>7.0063146702466</v>
      </c>
    </row>
    <row r="1206">
      <c r="A1206" s="2">
        <v>103.0</v>
      </c>
      <c r="B1206" s="2" t="s">
        <v>97</v>
      </c>
      <c r="C1206" s="2" t="s">
        <v>142</v>
      </c>
      <c r="D1206" s="2" t="s">
        <v>145</v>
      </c>
      <c r="E1206" s="2">
        <v>-35.0</v>
      </c>
      <c r="F1206" s="2">
        <v>27.6203733207825</v>
      </c>
      <c r="G1206" s="2">
        <v>27.062115752949</v>
      </c>
      <c r="H1206" s="2">
        <v>7.11654844665173</v>
      </c>
      <c r="I1206" s="2">
        <v>1149.0</v>
      </c>
      <c r="J1206" s="2">
        <v>1114.0</v>
      </c>
      <c r="K1206" s="2">
        <v>7.14616234452897</v>
      </c>
    </row>
    <row r="1207">
      <c r="A1207" s="2">
        <v>103.0</v>
      </c>
      <c r="B1207" s="2" t="s">
        <v>31</v>
      </c>
      <c r="C1207" s="2" t="s">
        <v>144</v>
      </c>
      <c r="D1207" s="2" t="s">
        <v>143</v>
      </c>
      <c r="E1207" s="2">
        <v>45.0</v>
      </c>
      <c r="F1207" s="2">
        <v>27.6508735342679</v>
      </c>
      <c r="G1207" s="2">
        <v>28.2600914507848</v>
      </c>
      <c r="H1207" s="2">
        <v>7.43083814164166</v>
      </c>
      <c r="I1207" s="2">
        <v>1119.0</v>
      </c>
      <c r="J1207" s="2">
        <v>1164.0</v>
      </c>
      <c r="K1207" s="2">
        <v>7.46575805644639</v>
      </c>
    </row>
    <row r="1208">
      <c r="A1208" s="2">
        <v>103.0</v>
      </c>
      <c r="B1208" s="2" t="s">
        <v>18</v>
      </c>
      <c r="C1208" s="2" t="s">
        <v>144</v>
      </c>
      <c r="D1208" s="2" t="s">
        <v>143</v>
      </c>
      <c r="E1208" s="2">
        <v>40.0</v>
      </c>
      <c r="F1208" s="2">
        <v>29.3887709870713</v>
      </c>
      <c r="G1208" s="2">
        <v>29.9332321677673</v>
      </c>
      <c r="H1208" s="2">
        <v>7.02894015787932</v>
      </c>
      <c r="I1208" s="2">
        <v>1279.0</v>
      </c>
      <c r="J1208" s="2">
        <v>1319.0</v>
      </c>
      <c r="K1208" s="2">
        <v>7.05714972258064</v>
      </c>
    </row>
    <row r="1209">
      <c r="A1209" s="2">
        <v>103.0</v>
      </c>
      <c r="B1209" s="2" t="s">
        <v>124</v>
      </c>
      <c r="C1209" s="2" t="s">
        <v>144</v>
      </c>
      <c r="D1209" s="2" t="s">
        <v>143</v>
      </c>
      <c r="E1209" s="2">
        <v>50.0</v>
      </c>
      <c r="F1209" s="2">
        <v>20.6027479690432</v>
      </c>
      <c r="G1209" s="2">
        <v>21.2857433851605</v>
      </c>
      <c r="H1209" s="2">
        <v>7.86266132483699</v>
      </c>
      <c r="I1209" s="2">
        <v>595.0</v>
      </c>
      <c r="J1209" s="2">
        <v>645.0</v>
      </c>
      <c r="K1209" s="2">
        <v>7.90559104253341</v>
      </c>
    </row>
    <row r="1210">
      <c r="A1210" s="2">
        <v>103.0</v>
      </c>
      <c r="B1210" s="2" t="s">
        <v>26</v>
      </c>
      <c r="C1210" s="2" t="s">
        <v>144</v>
      </c>
      <c r="D1210" s="2" t="s">
        <v>143</v>
      </c>
      <c r="E1210" s="2">
        <v>40.0</v>
      </c>
      <c r="F1210" s="2">
        <v>27.9449956946451</v>
      </c>
      <c r="G1210" s="2">
        <v>28.4929831328102</v>
      </c>
      <c r="H1210" s="2">
        <v>7.05143997796945</v>
      </c>
      <c r="I1210" s="2">
        <v>1178.0</v>
      </c>
      <c r="J1210" s="2">
        <v>1218.0</v>
      </c>
      <c r="K1210" s="2">
        <v>7.0800071732771</v>
      </c>
    </row>
    <row r="1211">
      <c r="A1211" s="2">
        <v>103.0</v>
      </c>
      <c r="B1211" s="2" t="s">
        <v>23</v>
      </c>
      <c r="C1211" s="2" t="s">
        <v>144</v>
      </c>
      <c r="D1211" s="2" t="s">
        <v>143</v>
      </c>
      <c r="E1211" s="2">
        <v>37.0</v>
      </c>
      <c r="F1211" s="2">
        <v>31.5939723315849</v>
      </c>
      <c r="G1211" s="2">
        <v>32.0995145141319</v>
      </c>
      <c r="H1211" s="2">
        <v>6.77545004273566</v>
      </c>
      <c r="I1211" s="2">
        <v>1455.0</v>
      </c>
      <c r="J1211" s="2">
        <v>1492.0</v>
      </c>
      <c r="K1211" s="2">
        <v>6.79977212964873</v>
      </c>
    </row>
    <row r="1212">
      <c r="A1212" s="2">
        <v>103.0</v>
      </c>
      <c r="B1212" s="2" t="s">
        <v>17</v>
      </c>
      <c r="C1212" s="2" t="s">
        <v>144</v>
      </c>
      <c r="D1212" s="2" t="s">
        <v>143</v>
      </c>
      <c r="E1212" s="2">
        <v>43.0</v>
      </c>
      <c r="F1212" s="2">
        <v>35.907956228929</v>
      </c>
      <c r="G1212" s="2">
        <v>36.4878214742018</v>
      </c>
      <c r="H1212" s="2">
        <v>7.25154577870965</v>
      </c>
      <c r="I1212" s="2">
        <v>1699.0</v>
      </c>
      <c r="J1212" s="2">
        <v>1742.0</v>
      </c>
      <c r="K1212" s="2">
        <v>7.28338669382671</v>
      </c>
    </row>
    <row r="1213">
      <c r="A1213" s="2">
        <v>103.0</v>
      </c>
      <c r="B1213" s="2" t="s">
        <v>29</v>
      </c>
      <c r="C1213" s="2" t="s">
        <v>144</v>
      </c>
      <c r="D1213" s="2" t="s">
        <v>143</v>
      </c>
      <c r="E1213" s="2">
        <v>40.0</v>
      </c>
      <c r="F1213" s="2">
        <v>31.3252317752545</v>
      </c>
      <c r="G1213" s="2">
        <v>31.8738044618632</v>
      </c>
      <c r="H1213" s="2">
        <v>7.05516702119288</v>
      </c>
      <c r="I1213" s="2">
        <v>1408.0</v>
      </c>
      <c r="J1213" s="2">
        <v>1448.0</v>
      </c>
      <c r="K1213" s="2">
        <v>7.08379365885181</v>
      </c>
    </row>
    <row r="1214">
      <c r="A1214" s="2">
        <v>103.0</v>
      </c>
      <c r="B1214" s="2" t="s">
        <v>22</v>
      </c>
      <c r="C1214" s="2" t="s">
        <v>144</v>
      </c>
      <c r="D1214" s="2" t="s">
        <v>143</v>
      </c>
      <c r="E1214" s="2">
        <v>42.0</v>
      </c>
      <c r="F1214" s="2">
        <v>25.6239882832927</v>
      </c>
      <c r="G1214" s="2">
        <v>26.1933370600096</v>
      </c>
      <c r="H1214" s="2">
        <v>7.18617263096945</v>
      </c>
      <c r="I1214" s="2">
        <v>1006.0</v>
      </c>
      <c r="J1214" s="2">
        <v>1048.0</v>
      </c>
      <c r="K1214" s="2">
        <v>7.21692545584423</v>
      </c>
    </row>
    <row r="1215">
      <c r="A1215" s="2">
        <v>103.0</v>
      </c>
      <c r="B1215" s="2" t="s">
        <v>67</v>
      </c>
      <c r="C1215" s="2" t="s">
        <v>144</v>
      </c>
      <c r="D1215" s="2" t="s">
        <v>143</v>
      </c>
      <c r="E1215" s="2">
        <v>42.0</v>
      </c>
      <c r="F1215" s="2">
        <v>28.1662829343406</v>
      </c>
      <c r="G1215" s="2">
        <v>28.7440086753637</v>
      </c>
      <c r="H1215" s="2">
        <v>7.23829593060414</v>
      </c>
      <c r="I1215" s="2">
        <v>1174.0</v>
      </c>
      <c r="J1215" s="2">
        <v>1216.0</v>
      </c>
      <c r="K1215" s="2">
        <v>7.26991483645214</v>
      </c>
    </row>
    <row r="1216">
      <c r="A1216" s="2">
        <v>103.0</v>
      </c>
      <c r="B1216" s="2" t="s">
        <v>27</v>
      </c>
      <c r="C1216" s="2" t="s">
        <v>144</v>
      </c>
      <c r="D1216" s="2" t="s">
        <v>143</v>
      </c>
      <c r="E1216" s="2">
        <v>44.0</v>
      </c>
      <c r="F1216" s="2">
        <v>27.2546657539044</v>
      </c>
      <c r="G1216" s="2">
        <v>27.8504378280324</v>
      </c>
      <c r="H1216" s="2">
        <v>7.34927492658728</v>
      </c>
      <c r="I1216" s="2">
        <v>1100.0</v>
      </c>
      <c r="J1216" s="2">
        <v>1144.0</v>
      </c>
      <c r="K1216" s="2">
        <v>7.38277675051757</v>
      </c>
    </row>
    <row r="1217">
      <c r="A1217" s="2">
        <v>103.0</v>
      </c>
      <c r="B1217" s="2" t="s">
        <v>20</v>
      </c>
      <c r="C1217" s="2" t="s">
        <v>144</v>
      </c>
      <c r="D1217" s="2" t="s">
        <v>143</v>
      </c>
      <c r="E1217" s="2">
        <v>42.0</v>
      </c>
      <c r="F1217" s="2">
        <v>33.9033045302671</v>
      </c>
      <c r="G1217" s="2">
        <v>34.4793375851163</v>
      </c>
      <c r="H1217" s="2">
        <v>7.22779525778608</v>
      </c>
      <c r="I1217" s="2">
        <v>1565.0</v>
      </c>
      <c r="J1217" s="2">
        <v>1607.0</v>
      </c>
      <c r="K1217" s="2">
        <v>7.25923875244236</v>
      </c>
    </row>
    <row r="1218">
      <c r="A1218" s="2">
        <v>102.0</v>
      </c>
      <c r="B1218" s="2" t="s">
        <v>36</v>
      </c>
      <c r="C1218" s="2" t="s">
        <v>142</v>
      </c>
      <c r="D1218" s="2" t="s">
        <v>143</v>
      </c>
      <c r="E1218" s="2">
        <v>38.0</v>
      </c>
      <c r="F1218" s="2">
        <v>25.5623100236408</v>
      </c>
      <c r="G1218" s="2">
        <v>26.0568870058605</v>
      </c>
      <c r="H1218" s="2">
        <v>7.99318636672037</v>
      </c>
      <c r="I1218" s="2">
        <v>919.0</v>
      </c>
      <c r="J1218" s="2">
        <v>957.0</v>
      </c>
      <c r="K1218" s="2">
        <v>8.03229159153489</v>
      </c>
    </row>
    <row r="1219">
      <c r="A1219" s="2">
        <v>102.0</v>
      </c>
      <c r="B1219" s="2" t="s">
        <v>17</v>
      </c>
      <c r="C1219" s="2" t="s">
        <v>142</v>
      </c>
      <c r="D1219" s="2" t="s">
        <v>143</v>
      </c>
      <c r="E1219" s="2">
        <v>31.0</v>
      </c>
      <c r="F1219" s="2">
        <v>35.4981042660538</v>
      </c>
      <c r="G1219" s="2">
        <v>35.907956228929</v>
      </c>
      <c r="H1219" s="2">
        <v>7.28338669382671</v>
      </c>
      <c r="I1219" s="2">
        <v>1668.0</v>
      </c>
      <c r="J1219" s="2">
        <v>1699.0</v>
      </c>
      <c r="K1219" s="2">
        <v>7.31094300205166</v>
      </c>
    </row>
    <row r="1220">
      <c r="A1220" s="2">
        <v>102.0</v>
      </c>
      <c r="B1220" s="2" t="s">
        <v>67</v>
      </c>
      <c r="C1220" s="2" t="s">
        <v>142</v>
      </c>
      <c r="D1220" s="2" t="s">
        <v>143</v>
      </c>
      <c r="E1220" s="2">
        <v>31.0</v>
      </c>
      <c r="F1220" s="2">
        <v>27.75795988251</v>
      </c>
      <c r="G1220" s="2">
        <v>28.1662829343406</v>
      </c>
      <c r="H1220" s="2">
        <v>7.26991483645214</v>
      </c>
      <c r="I1220" s="2">
        <v>1143.0</v>
      </c>
      <c r="J1220" s="2">
        <v>1174.0</v>
      </c>
      <c r="K1220" s="2">
        <v>7.29727089235345</v>
      </c>
    </row>
    <row r="1221">
      <c r="A1221" s="2">
        <v>102.0</v>
      </c>
      <c r="B1221" s="2" t="s">
        <v>47</v>
      </c>
      <c r="C1221" s="2" t="s">
        <v>144</v>
      </c>
      <c r="D1221" s="2" t="s">
        <v>145</v>
      </c>
      <c r="E1221" s="2">
        <v>-24.0</v>
      </c>
      <c r="F1221" s="2">
        <v>24.0575782929007</v>
      </c>
      <c r="G1221" s="2">
        <v>23.6785808041285</v>
      </c>
      <c r="H1221" s="2">
        <v>7.0063146702466</v>
      </c>
      <c r="I1221" s="2">
        <v>919.0</v>
      </c>
      <c r="J1221" s="2">
        <v>895.0</v>
      </c>
      <c r="K1221" s="2">
        <v>7.0298860546225</v>
      </c>
    </row>
    <row r="1222">
      <c r="A1222" s="2">
        <v>102.0</v>
      </c>
      <c r="B1222" s="2" t="s">
        <v>28</v>
      </c>
      <c r="C1222" s="2" t="s">
        <v>144</v>
      </c>
      <c r="D1222" s="2" t="s">
        <v>145</v>
      </c>
      <c r="E1222" s="2">
        <v>-28.0</v>
      </c>
      <c r="F1222" s="2">
        <v>30.1335593223077</v>
      </c>
      <c r="G1222" s="2">
        <v>29.656262029216</v>
      </c>
      <c r="H1222" s="2">
        <v>7.85384923585063</v>
      </c>
      <c r="I1222" s="2">
        <v>1244.0</v>
      </c>
      <c r="J1222" s="2">
        <v>1216.0</v>
      </c>
      <c r="K1222" s="2">
        <v>7.89052744711707</v>
      </c>
    </row>
    <row r="1223">
      <c r="A1223" s="2">
        <v>102.0</v>
      </c>
      <c r="B1223" s="2" t="s">
        <v>38</v>
      </c>
      <c r="C1223" s="2" t="s">
        <v>144</v>
      </c>
      <c r="D1223" s="2" t="s">
        <v>145</v>
      </c>
      <c r="E1223" s="2">
        <v>-23.0</v>
      </c>
      <c r="F1223" s="2">
        <v>24.6784466323859</v>
      </c>
      <c r="G1223" s="2">
        <v>24.2934901078957</v>
      </c>
      <c r="H1223" s="2">
        <v>7.06070458581951</v>
      </c>
      <c r="I1223" s="2">
        <v>955.0</v>
      </c>
      <c r="J1223" s="2">
        <v>932.0</v>
      </c>
      <c r="K1223" s="2">
        <v>7.08503636092013</v>
      </c>
    </row>
    <row r="1224">
      <c r="A1224" s="2">
        <v>102.0</v>
      </c>
      <c r="B1224" s="2" t="s">
        <v>97</v>
      </c>
      <c r="C1224" s="2" t="s">
        <v>144</v>
      </c>
      <c r="D1224" s="2" t="s">
        <v>145</v>
      </c>
      <c r="E1224" s="2">
        <v>-24.0</v>
      </c>
      <c r="F1224" s="2">
        <v>28.0147891270738</v>
      </c>
      <c r="G1224" s="2">
        <v>27.6203733207825</v>
      </c>
      <c r="H1224" s="2">
        <v>7.14616234452897</v>
      </c>
      <c r="I1224" s="2">
        <v>1173.0</v>
      </c>
      <c r="J1224" s="2">
        <v>1149.0</v>
      </c>
      <c r="K1224" s="2">
        <v>7.17171022709768</v>
      </c>
    </row>
    <row r="1225">
      <c r="A1225" s="2">
        <v>102.0</v>
      </c>
      <c r="B1225" s="2" t="s">
        <v>29</v>
      </c>
      <c r="C1225" s="2" t="s">
        <v>144</v>
      </c>
      <c r="D1225" s="2" t="s">
        <v>145</v>
      </c>
      <c r="E1225" s="2">
        <v>-23.0</v>
      </c>
      <c r="F1225" s="2">
        <v>31.71273239779</v>
      </c>
      <c r="G1225" s="2">
        <v>31.3252317752545</v>
      </c>
      <c r="H1225" s="2">
        <v>7.08379365885181</v>
      </c>
      <c r="I1225" s="2">
        <v>1431.0</v>
      </c>
      <c r="J1225" s="2">
        <v>1408.0</v>
      </c>
      <c r="K1225" s="2">
        <v>7.10845141428</v>
      </c>
    </row>
    <row r="1226">
      <c r="A1226" s="2">
        <v>102.0</v>
      </c>
      <c r="B1226" s="2" t="s">
        <v>109</v>
      </c>
      <c r="C1226" s="2" t="s">
        <v>144</v>
      </c>
      <c r="D1226" s="2" t="s">
        <v>145</v>
      </c>
      <c r="E1226" s="2">
        <v>-32.0</v>
      </c>
      <c r="F1226" s="2">
        <v>25.0</v>
      </c>
      <c r="G1226" s="2">
        <v>24.4677084724765</v>
      </c>
      <c r="H1226" s="2">
        <v>8.28880537243289</v>
      </c>
      <c r="I1226" s="2">
        <v>850.0</v>
      </c>
      <c r="J1226" s="2">
        <v>818.0</v>
      </c>
      <c r="K1226" s="2">
        <v>8.33333333333333</v>
      </c>
    </row>
    <row r="1227">
      <c r="A1227" s="2">
        <v>102.0</v>
      </c>
      <c r="B1227" s="2" t="s">
        <v>71</v>
      </c>
      <c r="C1227" s="2" t="s">
        <v>144</v>
      </c>
      <c r="D1227" s="2" t="s">
        <v>145</v>
      </c>
      <c r="E1227" s="2">
        <v>-30.0</v>
      </c>
      <c r="F1227" s="2">
        <v>24.1047147059603</v>
      </c>
      <c r="G1227" s="2">
        <v>23.6093524469671</v>
      </c>
      <c r="H1227" s="2">
        <v>7.99945830119231</v>
      </c>
      <c r="I1227" s="2">
        <v>819.0</v>
      </c>
      <c r="J1227" s="2">
        <v>789.0</v>
      </c>
      <c r="K1227" s="2">
        <v>8.03867468491876</v>
      </c>
    </row>
    <row r="1228">
      <c r="A1228" s="2">
        <v>102.0</v>
      </c>
      <c r="B1228" s="2" t="s">
        <v>31</v>
      </c>
      <c r="C1228" s="2" t="s">
        <v>144</v>
      </c>
      <c r="D1228" s="2" t="s">
        <v>145</v>
      </c>
      <c r="E1228" s="2">
        <v>-26.0</v>
      </c>
      <c r="F1228" s="2">
        <v>28.0817120045405</v>
      </c>
      <c r="G1228" s="2">
        <v>27.6508735342679</v>
      </c>
      <c r="H1228" s="2">
        <v>7.46575805644639</v>
      </c>
      <c r="I1228" s="2">
        <v>1145.0</v>
      </c>
      <c r="J1228" s="2">
        <v>1119.0</v>
      </c>
      <c r="K1228" s="2">
        <v>7.49609247805352</v>
      </c>
    </row>
    <row r="1229">
      <c r="A1229" s="2">
        <v>102.0</v>
      </c>
      <c r="B1229" s="2" t="s">
        <v>41</v>
      </c>
      <c r="C1229" s="2" t="s">
        <v>144</v>
      </c>
      <c r="D1229" s="2" t="s">
        <v>145</v>
      </c>
      <c r="E1229" s="2">
        <v>-24.0</v>
      </c>
      <c r="F1229" s="2">
        <v>28.7991259788689</v>
      </c>
      <c r="G1229" s="2">
        <v>28.3934945424123</v>
      </c>
      <c r="H1229" s="2">
        <v>7.24613476143319</v>
      </c>
      <c r="I1229" s="2">
        <v>1216.0</v>
      </c>
      <c r="J1229" s="2">
        <v>1192.0</v>
      </c>
      <c r="K1229" s="2">
        <v>7.273138984025</v>
      </c>
    </row>
    <row r="1230">
      <c r="A1230" s="2">
        <v>102.0</v>
      </c>
      <c r="B1230" s="2" t="s">
        <v>18</v>
      </c>
      <c r="C1230" s="2" t="s">
        <v>144</v>
      </c>
      <c r="D1230" s="2" t="s">
        <v>145</v>
      </c>
      <c r="E1230" s="2">
        <v>-23.0</v>
      </c>
      <c r="F1230" s="2">
        <v>29.7733365785891</v>
      </c>
      <c r="G1230" s="2">
        <v>29.3887709870713</v>
      </c>
      <c r="H1230" s="2">
        <v>7.05714972258064</v>
      </c>
      <c r="I1230" s="2">
        <v>1302.0</v>
      </c>
      <c r="J1230" s="2">
        <v>1279.0</v>
      </c>
      <c r="K1230" s="2">
        <v>7.08143147805901</v>
      </c>
    </row>
    <row r="1231">
      <c r="A1231" s="2">
        <v>101.0</v>
      </c>
      <c r="B1231" s="2" t="s">
        <v>18</v>
      </c>
      <c r="C1231" s="2" t="s">
        <v>142</v>
      </c>
      <c r="D1231" s="2" t="s">
        <v>145</v>
      </c>
      <c r="E1231" s="2">
        <v>-42.0</v>
      </c>
      <c r="F1231" s="2">
        <v>30.4327631467925</v>
      </c>
      <c r="G1231" s="2">
        <v>29.7733365785891</v>
      </c>
      <c r="H1231" s="2">
        <v>7.08143147805901</v>
      </c>
      <c r="I1231" s="2">
        <v>1344.0</v>
      </c>
      <c r="J1231" s="2">
        <v>1302.0</v>
      </c>
      <c r="K1231" s="2">
        <v>7.11379893772543</v>
      </c>
    </row>
    <row r="1232">
      <c r="A1232" s="2">
        <v>101.0</v>
      </c>
      <c r="B1232" s="2" t="s">
        <v>26</v>
      </c>
      <c r="C1232" s="2" t="s">
        <v>142</v>
      </c>
      <c r="D1232" s="2" t="s">
        <v>145</v>
      </c>
      <c r="E1232" s="2">
        <v>-42.0</v>
      </c>
      <c r="F1232" s="2">
        <v>28.6041540882984</v>
      </c>
      <c r="G1232" s="2">
        <v>27.9449956946451</v>
      </c>
      <c r="H1232" s="2">
        <v>7.0800071732771</v>
      </c>
      <c r="I1232" s="2">
        <v>1220.0</v>
      </c>
      <c r="J1232" s="2">
        <v>1178.0</v>
      </c>
      <c r="K1232" s="2">
        <v>7.11234970333581</v>
      </c>
    </row>
    <row r="1233">
      <c r="A1233" s="2">
        <v>101.0</v>
      </c>
      <c r="B1233" s="2" t="s">
        <v>124</v>
      </c>
      <c r="C1233" s="2" t="s">
        <v>142</v>
      </c>
      <c r="D1233" s="2" t="s">
        <v>145</v>
      </c>
      <c r="E1233" s="2">
        <v>-51.0</v>
      </c>
      <c r="F1233" s="2">
        <v>21.4268538624493</v>
      </c>
      <c r="G1233" s="2">
        <v>20.6027479690432</v>
      </c>
      <c r="H1233" s="2">
        <v>7.90559104253341</v>
      </c>
      <c r="I1233" s="2">
        <v>646.0</v>
      </c>
      <c r="J1233" s="2">
        <v>595.0</v>
      </c>
      <c r="K1233" s="2">
        <v>7.95402647685152</v>
      </c>
    </row>
    <row r="1234">
      <c r="A1234" s="2">
        <v>101.0</v>
      </c>
      <c r="B1234" s="2" t="s">
        <v>31</v>
      </c>
      <c r="C1234" s="2" t="s">
        <v>144</v>
      </c>
      <c r="D1234" s="2" t="s">
        <v>143</v>
      </c>
      <c r="E1234" s="2">
        <v>54.0</v>
      </c>
      <c r="F1234" s="2">
        <v>27.3418080721006</v>
      </c>
      <c r="G1234" s="2">
        <v>28.0817120045405</v>
      </c>
      <c r="H1234" s="2">
        <v>7.49609247805352</v>
      </c>
      <c r="I1234" s="2">
        <v>1091.0</v>
      </c>
      <c r="J1234" s="2">
        <v>1145.0</v>
      </c>
      <c r="K1234" s="2">
        <v>7.53612396381332</v>
      </c>
    </row>
    <row r="1235">
      <c r="A1235" s="2">
        <v>101.0</v>
      </c>
      <c r="B1235" s="2" t="s">
        <v>17</v>
      </c>
      <c r="C1235" s="2" t="s">
        <v>144</v>
      </c>
      <c r="D1235" s="2" t="s">
        <v>143</v>
      </c>
      <c r="E1235" s="2">
        <v>51.0</v>
      </c>
      <c r="F1235" s="2">
        <v>34.7947268809743</v>
      </c>
      <c r="G1235" s="2">
        <v>35.4981042660538</v>
      </c>
      <c r="H1235" s="2">
        <v>7.31094300205166</v>
      </c>
      <c r="I1235" s="2">
        <v>1617.0</v>
      </c>
      <c r="J1235" s="2">
        <v>1668.0</v>
      </c>
      <c r="K1235" s="2">
        <v>7.34745095401405</v>
      </c>
    </row>
    <row r="1236">
      <c r="A1236" s="2">
        <v>101.0</v>
      </c>
      <c r="B1236" s="2" t="s">
        <v>29</v>
      </c>
      <c r="C1236" s="2" t="s">
        <v>144</v>
      </c>
      <c r="D1236" s="2" t="s">
        <v>143</v>
      </c>
      <c r="E1236" s="2">
        <v>48.0</v>
      </c>
      <c r="F1236" s="2">
        <v>31.0482077156275</v>
      </c>
      <c r="G1236" s="2">
        <v>31.71273239779</v>
      </c>
      <c r="H1236" s="2">
        <v>7.10845141428</v>
      </c>
      <c r="I1236" s="2">
        <v>1383.0</v>
      </c>
      <c r="J1236" s="2">
        <v>1431.0</v>
      </c>
      <c r="K1236" s="2">
        <v>7.14129356975377</v>
      </c>
    </row>
    <row r="1237">
      <c r="A1237" s="2">
        <v>101.0</v>
      </c>
      <c r="B1237" s="2" t="s">
        <v>23</v>
      </c>
      <c r="C1237" s="2" t="s">
        <v>144</v>
      </c>
      <c r="D1237" s="2" t="s">
        <v>143</v>
      </c>
      <c r="E1237" s="2">
        <v>44.0</v>
      </c>
      <c r="F1237" s="2">
        <v>30.9864833445789</v>
      </c>
      <c r="G1237" s="2">
        <v>31.5939723315849</v>
      </c>
      <c r="H1237" s="2">
        <v>6.79977212964873</v>
      </c>
      <c r="I1237" s="2">
        <v>1411.0</v>
      </c>
      <c r="J1237" s="2">
        <v>1455.0</v>
      </c>
      <c r="K1237" s="2">
        <v>6.82738747293923</v>
      </c>
    </row>
    <row r="1238">
      <c r="A1238" s="2">
        <v>101.0</v>
      </c>
      <c r="B1238" s="2" t="s">
        <v>16</v>
      </c>
      <c r="C1238" s="2" t="s">
        <v>144</v>
      </c>
      <c r="D1238" s="2" t="s">
        <v>143</v>
      </c>
      <c r="E1238" s="2">
        <v>44.0</v>
      </c>
      <c r="F1238" s="2">
        <v>32.8415148887296</v>
      </c>
      <c r="G1238" s="2">
        <v>33.4463261249828</v>
      </c>
      <c r="H1238" s="2">
        <v>6.78492002910923</v>
      </c>
      <c r="I1238" s="2">
        <v>1538.0</v>
      </c>
      <c r="J1238" s="2">
        <v>1582.0</v>
      </c>
      <c r="K1238" s="2">
        <v>6.81229451652684</v>
      </c>
    </row>
    <row r="1239">
      <c r="A1239" s="2">
        <v>101.0</v>
      </c>
      <c r="B1239" s="2" t="s">
        <v>28</v>
      </c>
      <c r="C1239" s="2" t="s">
        <v>144</v>
      </c>
      <c r="D1239" s="2" t="s">
        <v>143</v>
      </c>
      <c r="E1239" s="2">
        <v>60.0</v>
      </c>
      <c r="F1239" s="2">
        <v>29.3126345093456</v>
      </c>
      <c r="G1239" s="2">
        <v>30.1335593223077</v>
      </c>
      <c r="H1239" s="2">
        <v>7.89052744711707</v>
      </c>
      <c r="I1239" s="2">
        <v>1184.0</v>
      </c>
      <c r="J1239" s="2">
        <v>1244.0</v>
      </c>
      <c r="K1239" s="2">
        <v>7.93863832934605</v>
      </c>
    </row>
    <row r="1240">
      <c r="A1240" s="2">
        <v>101.0</v>
      </c>
      <c r="B1240" s="2" t="s">
        <v>20</v>
      </c>
      <c r="C1240" s="2" t="s">
        <v>144</v>
      </c>
      <c r="D1240" s="2" t="s">
        <v>143</v>
      </c>
      <c r="E1240" s="2">
        <v>51.0</v>
      </c>
      <c r="F1240" s="2">
        <v>33.2099564069511</v>
      </c>
      <c r="G1240" s="2">
        <v>33.9033045302671</v>
      </c>
      <c r="H1240" s="2">
        <v>7.25923875244236</v>
      </c>
      <c r="I1240" s="2">
        <v>1514.0</v>
      </c>
      <c r="J1240" s="2">
        <v>1565.0</v>
      </c>
      <c r="K1240" s="2">
        <v>7.29479229909405</v>
      </c>
    </row>
    <row r="1241">
      <c r="A1241" s="2">
        <v>101.0</v>
      </c>
      <c r="B1241" s="2" t="s">
        <v>22</v>
      </c>
      <c r="C1241" s="2" t="s">
        <v>144</v>
      </c>
      <c r="D1241" s="2" t="s">
        <v>143</v>
      </c>
      <c r="E1241" s="2">
        <v>50.0</v>
      </c>
      <c r="F1241" s="2">
        <v>24.9387923690789</v>
      </c>
      <c r="G1241" s="2">
        <v>25.6239882832927</v>
      </c>
      <c r="H1241" s="2">
        <v>7.21692545584423</v>
      </c>
      <c r="I1241" s="2">
        <v>956.0</v>
      </c>
      <c r="J1241" s="2">
        <v>1006.0</v>
      </c>
      <c r="K1241" s="2">
        <v>7.25170738598864</v>
      </c>
    </row>
    <row r="1242">
      <c r="A1242" s="2">
        <v>101.0</v>
      </c>
      <c r="B1242" s="2" t="s">
        <v>47</v>
      </c>
      <c r="C1242" s="2" t="s">
        <v>144</v>
      </c>
      <c r="D1242" s="2" t="s">
        <v>143</v>
      </c>
      <c r="E1242" s="2">
        <v>48.0</v>
      </c>
      <c r="F1242" s="2">
        <v>23.4078210537905</v>
      </c>
      <c r="G1242" s="2">
        <v>24.0575782929007</v>
      </c>
      <c r="H1242" s="2">
        <v>7.0298860546225</v>
      </c>
      <c r="I1242" s="2">
        <v>871.0</v>
      </c>
      <c r="J1242" s="2">
        <v>919.0</v>
      </c>
      <c r="K1242" s="2">
        <v>7.0613572207613</v>
      </c>
    </row>
    <row r="1243">
      <c r="A1243" s="2">
        <v>101.0</v>
      </c>
      <c r="B1243" s="2" t="s">
        <v>27</v>
      </c>
      <c r="C1243" s="2" t="s">
        <v>144</v>
      </c>
      <c r="D1243" s="2" t="s">
        <v>143</v>
      </c>
      <c r="E1243" s="2">
        <v>52.0</v>
      </c>
      <c r="F1243" s="2">
        <v>26.537230675979</v>
      </c>
      <c r="G1243" s="2">
        <v>27.2546657539044</v>
      </c>
      <c r="H1243" s="2">
        <v>7.38277675051757</v>
      </c>
      <c r="I1243" s="2">
        <v>1048.0</v>
      </c>
      <c r="J1243" s="2">
        <v>1100.0</v>
      </c>
      <c r="K1243" s="2">
        <v>7.42063195418134</v>
      </c>
    </row>
    <row r="1244">
      <c r="A1244" s="2">
        <v>101.0</v>
      </c>
      <c r="B1244" s="2" t="s">
        <v>41</v>
      </c>
      <c r="C1244" s="2" t="s">
        <v>144</v>
      </c>
      <c r="D1244" s="2" t="s">
        <v>143</v>
      </c>
      <c r="E1244" s="2">
        <v>51.0</v>
      </c>
      <c r="F1244" s="2">
        <v>28.1030889048039</v>
      </c>
      <c r="G1244" s="2">
        <v>28.7991259788689</v>
      </c>
      <c r="H1244" s="2">
        <v>7.273138984025</v>
      </c>
      <c r="I1244" s="2">
        <v>1165.0</v>
      </c>
      <c r="J1244" s="2">
        <v>1216.0</v>
      </c>
      <c r="K1244" s="2">
        <v>7.30894786262255</v>
      </c>
    </row>
    <row r="1245">
      <c r="A1245" s="2">
        <v>100.0</v>
      </c>
      <c r="B1245" s="2" t="s">
        <v>16</v>
      </c>
      <c r="C1245" s="2" t="s">
        <v>142</v>
      </c>
      <c r="D1245" s="2" t="s">
        <v>145</v>
      </c>
      <c r="E1245" s="2">
        <v>-96.0</v>
      </c>
      <c r="F1245" s="2">
        <v>34.3193713726367</v>
      </c>
      <c r="G1245" s="2">
        <v>32.8415148887296</v>
      </c>
      <c r="H1245" s="2">
        <v>6.81229451652684</v>
      </c>
      <c r="I1245" s="2">
        <v>1634.0</v>
      </c>
      <c r="J1245" s="2">
        <v>1538.0</v>
      </c>
      <c r="K1245" s="2">
        <v>6.85717295230943</v>
      </c>
    </row>
    <row r="1246">
      <c r="A1246" s="2">
        <v>100.0</v>
      </c>
      <c r="B1246" s="2" t="s">
        <v>41</v>
      </c>
      <c r="C1246" s="2" t="s">
        <v>142</v>
      </c>
      <c r="D1246" s="2" t="s">
        <v>145</v>
      </c>
      <c r="E1246" s="2">
        <v>-111.0</v>
      </c>
      <c r="F1246" s="2">
        <v>29.8082638783276</v>
      </c>
      <c r="G1246" s="2">
        <v>28.1030889048039</v>
      </c>
      <c r="H1246" s="2">
        <v>7.30894786262255</v>
      </c>
      <c r="I1246" s="2">
        <v>1276.0</v>
      </c>
      <c r="J1246" s="2">
        <v>1165.0</v>
      </c>
      <c r="K1246" s="2">
        <v>7.36662985333114</v>
      </c>
    </row>
    <row r="1247">
      <c r="A1247" s="2">
        <v>100.0</v>
      </c>
      <c r="B1247" s="2" t="s">
        <v>39</v>
      </c>
      <c r="C1247" s="2" t="s">
        <v>142</v>
      </c>
      <c r="D1247" s="2" t="s">
        <v>145</v>
      </c>
      <c r="E1247" s="2">
        <v>-127.0</v>
      </c>
      <c r="F1247" s="2">
        <v>28.3113562837672</v>
      </c>
      <c r="G1247" s="2">
        <v>26.3213541090629</v>
      </c>
      <c r="H1247" s="2">
        <v>7.88424943066576</v>
      </c>
      <c r="I1247" s="2">
        <v>1113.0</v>
      </c>
      <c r="J1247" s="2">
        <v>986.0</v>
      </c>
      <c r="K1247" s="2">
        <v>7.95907666695574</v>
      </c>
    </row>
    <row r="1248">
      <c r="A1248" s="2">
        <v>100.0</v>
      </c>
      <c r="B1248" s="2" t="s">
        <v>67</v>
      </c>
      <c r="C1248" s="2" t="s">
        <v>144</v>
      </c>
      <c r="D1248" s="2" t="s">
        <v>143</v>
      </c>
      <c r="E1248" s="2">
        <v>121.0</v>
      </c>
      <c r="F1248" s="2">
        <v>26.0583258451043</v>
      </c>
      <c r="G1248" s="2">
        <v>27.75795988251</v>
      </c>
      <c r="H1248" s="2">
        <v>7.29727089235345</v>
      </c>
      <c r="I1248" s="2">
        <v>1022.0</v>
      </c>
      <c r="J1248" s="2">
        <v>1143.0</v>
      </c>
      <c r="K1248" s="2">
        <v>7.3546313649686</v>
      </c>
    </row>
    <row r="1249">
      <c r="A1249" s="2">
        <v>100.0</v>
      </c>
      <c r="B1249" s="2" t="s">
        <v>40</v>
      </c>
      <c r="C1249" s="2" t="s">
        <v>144</v>
      </c>
      <c r="D1249" s="2" t="s">
        <v>143</v>
      </c>
      <c r="E1249" s="2">
        <v>135.0</v>
      </c>
      <c r="F1249" s="2">
        <v>29.6002612297281</v>
      </c>
      <c r="G1249" s="2">
        <v>31.4909761884041</v>
      </c>
      <c r="H1249" s="2">
        <v>7.68898131984185</v>
      </c>
      <c r="I1249" s="2">
        <v>1222.0</v>
      </c>
      <c r="J1249" s="2">
        <v>1357.0</v>
      </c>
      <c r="K1249" s="2">
        <v>7.75769571929476</v>
      </c>
    </row>
    <row r="1250">
      <c r="A1250" s="2">
        <v>100.0</v>
      </c>
      <c r="B1250" s="2" t="s">
        <v>29</v>
      </c>
      <c r="C1250" s="2" t="s">
        <v>144</v>
      </c>
      <c r="D1250" s="2" t="s">
        <v>143</v>
      </c>
      <c r="E1250" s="2">
        <v>116.0</v>
      </c>
      <c r="F1250" s="2">
        <v>29.4216780578896</v>
      </c>
      <c r="G1250" s="2">
        <v>31.0482077156275</v>
      </c>
      <c r="H1250" s="2">
        <v>7.14129356975377</v>
      </c>
      <c r="I1250" s="2">
        <v>1267.0</v>
      </c>
      <c r="J1250" s="2">
        <v>1383.0</v>
      </c>
      <c r="K1250" s="2">
        <v>7.19445587592532</v>
      </c>
    </row>
    <row r="1251">
      <c r="A1251" s="2">
        <v>100.0</v>
      </c>
      <c r="B1251" s="2" t="s">
        <v>18</v>
      </c>
      <c r="C1251" s="2" t="s">
        <v>144</v>
      </c>
      <c r="D1251" s="2" t="s">
        <v>143</v>
      </c>
      <c r="E1251" s="2">
        <v>115.0</v>
      </c>
      <c r="F1251" s="2">
        <v>28.8189446841703</v>
      </c>
      <c r="G1251" s="2">
        <v>30.4327631467925</v>
      </c>
      <c r="H1251" s="2">
        <v>7.11379893772543</v>
      </c>
      <c r="I1251" s="2">
        <v>1229.0</v>
      </c>
      <c r="J1251" s="2">
        <v>1344.0</v>
      </c>
      <c r="K1251" s="2">
        <v>7.16623962414601</v>
      </c>
    </row>
    <row r="1252">
      <c r="A1252" s="2">
        <v>100.0</v>
      </c>
      <c r="B1252" s="2" t="s">
        <v>47</v>
      </c>
      <c r="C1252" s="2" t="s">
        <v>144</v>
      </c>
      <c r="D1252" s="2" t="s">
        <v>143</v>
      </c>
      <c r="E1252" s="2">
        <v>113.0</v>
      </c>
      <c r="F1252" s="2">
        <v>21.8181019908755</v>
      </c>
      <c r="G1252" s="2">
        <v>23.4078210537905</v>
      </c>
      <c r="H1252" s="2">
        <v>7.0613572207613</v>
      </c>
      <c r="I1252" s="2">
        <v>758.0</v>
      </c>
      <c r="J1252" s="2">
        <v>871.0</v>
      </c>
      <c r="K1252" s="2">
        <v>7.11243659970328</v>
      </c>
    </row>
    <row r="1253">
      <c r="A1253" s="2">
        <v>100.0</v>
      </c>
      <c r="B1253" s="2" t="s">
        <v>124</v>
      </c>
      <c r="C1253" s="2" t="s">
        <v>144</v>
      </c>
      <c r="D1253" s="2" t="s">
        <v>143</v>
      </c>
      <c r="E1253" s="2">
        <v>146.0</v>
      </c>
      <c r="F1253" s="2">
        <v>19.4007171330119</v>
      </c>
      <c r="G1253" s="2">
        <v>21.4268538624493</v>
      </c>
      <c r="H1253" s="2">
        <v>7.95402647685152</v>
      </c>
      <c r="I1253" s="2">
        <v>500.0</v>
      </c>
      <c r="J1253" s="2">
        <v>646.0</v>
      </c>
      <c r="K1253" s="2">
        <v>8.03111397516713</v>
      </c>
    </row>
    <row r="1254">
      <c r="A1254" s="2">
        <v>100.0</v>
      </c>
      <c r="B1254" s="2" t="s">
        <v>17</v>
      </c>
      <c r="C1254" s="2" t="s">
        <v>144</v>
      </c>
      <c r="D1254" s="2" t="s">
        <v>143</v>
      </c>
      <c r="E1254" s="2">
        <v>124.0</v>
      </c>
      <c r="F1254" s="2">
        <v>33.0712141353798</v>
      </c>
      <c r="G1254" s="2">
        <v>34.7947268809743</v>
      </c>
      <c r="H1254" s="2">
        <v>7.34745095401405</v>
      </c>
      <c r="I1254" s="2">
        <v>1493.0</v>
      </c>
      <c r="J1254" s="2">
        <v>1617.0</v>
      </c>
      <c r="K1254" s="2">
        <v>7.40620032940396</v>
      </c>
    </row>
    <row r="1255">
      <c r="A1255" s="2">
        <v>100.0</v>
      </c>
      <c r="B1255" s="2" t="s">
        <v>97</v>
      </c>
      <c r="C1255" s="2" t="s">
        <v>144</v>
      </c>
      <c r="D1255" s="2" t="s">
        <v>143</v>
      </c>
      <c r="E1255" s="2">
        <v>117.0</v>
      </c>
      <c r="F1255" s="2">
        <v>26.3741362904795</v>
      </c>
      <c r="G1255" s="2">
        <v>28.0147891270738</v>
      </c>
      <c r="H1255" s="2">
        <v>7.17171022709768</v>
      </c>
      <c r="I1255" s="2">
        <v>1056.0</v>
      </c>
      <c r="J1255" s="2">
        <v>1173.0</v>
      </c>
      <c r="K1255" s="2">
        <v>7.22567722037341</v>
      </c>
    </row>
    <row r="1256">
      <c r="A1256" s="2">
        <v>100.0</v>
      </c>
      <c r="B1256" s="2" t="s">
        <v>20</v>
      </c>
      <c r="C1256" s="2" t="s">
        <v>144</v>
      </c>
      <c r="D1256" s="2" t="s">
        <v>143</v>
      </c>
      <c r="E1256" s="2">
        <v>121.0</v>
      </c>
      <c r="F1256" s="2">
        <v>31.5114972849975</v>
      </c>
      <c r="G1256" s="2">
        <v>33.2099564069511</v>
      </c>
      <c r="H1256" s="2">
        <v>7.29479229909405</v>
      </c>
      <c r="I1256" s="2">
        <v>1393.0</v>
      </c>
      <c r="J1256" s="2">
        <v>1514.0</v>
      </c>
      <c r="K1256" s="2">
        <v>7.35208465598964</v>
      </c>
    </row>
    <row r="1257">
      <c r="A1257" s="2">
        <v>100.0</v>
      </c>
      <c r="B1257" s="2" t="s">
        <v>31</v>
      </c>
      <c r="C1257" s="2" t="s">
        <v>144</v>
      </c>
      <c r="D1257" s="2" t="s">
        <v>143</v>
      </c>
      <c r="E1257" s="2">
        <v>130.0</v>
      </c>
      <c r="F1257" s="2">
        <v>25.526938787554</v>
      </c>
      <c r="G1257" s="2">
        <v>27.3418080721006</v>
      </c>
      <c r="H1257" s="2">
        <v>7.53612396381332</v>
      </c>
      <c r="I1257" s="2">
        <v>961.0</v>
      </c>
      <c r="J1257" s="2">
        <v>1091.0</v>
      </c>
      <c r="K1257" s="2">
        <v>7.60026639393427</v>
      </c>
    </row>
    <row r="1258">
      <c r="A1258" s="2">
        <v>99.0</v>
      </c>
      <c r="B1258" s="2" t="s">
        <v>28</v>
      </c>
      <c r="C1258" s="2" t="s">
        <v>142</v>
      </c>
      <c r="D1258" s="2" t="s">
        <v>143</v>
      </c>
      <c r="E1258" s="2">
        <v>56.0</v>
      </c>
      <c r="F1258" s="2">
        <v>28.5665311384349</v>
      </c>
      <c r="G1258" s="2">
        <v>29.3126345093456</v>
      </c>
      <c r="H1258" s="2">
        <v>7.93863832934605</v>
      </c>
      <c r="I1258" s="2">
        <v>1128.0</v>
      </c>
      <c r="J1258" s="2">
        <v>1184.0</v>
      </c>
      <c r="K1258" s="2">
        <v>7.98410699352233</v>
      </c>
    </row>
    <row r="1259">
      <c r="A1259" s="2">
        <v>99.0</v>
      </c>
      <c r="B1259" s="2" t="s">
        <v>31</v>
      </c>
      <c r="C1259" s="2" t="s">
        <v>142</v>
      </c>
      <c r="D1259" s="2" t="s">
        <v>143</v>
      </c>
      <c r="E1259" s="2">
        <v>51.0</v>
      </c>
      <c r="F1259" s="2">
        <v>24.8438277995123</v>
      </c>
      <c r="G1259" s="2">
        <v>25.526938787554</v>
      </c>
      <c r="H1259" s="2">
        <v>7.60026639393427</v>
      </c>
      <c r="I1259" s="2">
        <v>910.0</v>
      </c>
      <c r="J1259" s="2">
        <v>961.0</v>
      </c>
      <c r="K1259" s="2">
        <v>7.63913543761054</v>
      </c>
    </row>
    <row r="1260">
      <c r="A1260" s="2">
        <v>99.0</v>
      </c>
      <c r="B1260" s="2" t="s">
        <v>29</v>
      </c>
      <c r="C1260" s="2" t="s">
        <v>142</v>
      </c>
      <c r="D1260" s="2" t="s">
        <v>143</v>
      </c>
      <c r="E1260" s="2">
        <v>45.0</v>
      </c>
      <c r="F1260" s="2">
        <v>28.8103265717412</v>
      </c>
      <c r="G1260" s="2">
        <v>29.4216780578896</v>
      </c>
      <c r="H1260" s="2">
        <v>7.19445587592532</v>
      </c>
      <c r="I1260" s="2">
        <v>1222.0</v>
      </c>
      <c r="J1260" s="2">
        <v>1267.0</v>
      </c>
      <c r="K1260" s="2">
        <v>7.22611298002722</v>
      </c>
    </row>
    <row r="1261">
      <c r="A1261" s="2">
        <v>99.0</v>
      </c>
      <c r="B1261" s="2" t="s">
        <v>17</v>
      </c>
      <c r="C1261" s="2" t="s">
        <v>144</v>
      </c>
      <c r="D1261" s="2" t="s">
        <v>145</v>
      </c>
      <c r="E1261" s="2">
        <v>-41.0</v>
      </c>
      <c r="F1261" s="2">
        <v>33.7194947815184</v>
      </c>
      <c r="G1261" s="2">
        <v>33.0712141353798</v>
      </c>
      <c r="H1261" s="2">
        <v>7.40620032940396</v>
      </c>
      <c r="I1261" s="2">
        <v>1534.0</v>
      </c>
      <c r="J1261" s="2">
        <v>1493.0</v>
      </c>
      <c r="K1261" s="2">
        <v>7.44152780380707</v>
      </c>
    </row>
    <row r="1262">
      <c r="A1262" s="2">
        <v>99.0</v>
      </c>
      <c r="B1262" s="2" t="s">
        <v>41</v>
      </c>
      <c r="C1262" s="2" t="s">
        <v>144</v>
      </c>
      <c r="D1262" s="2" t="s">
        <v>145</v>
      </c>
      <c r="E1262" s="2">
        <v>-40.0</v>
      </c>
      <c r="F1262" s="2">
        <v>30.4495582252037</v>
      </c>
      <c r="G1262" s="2">
        <v>29.8082638783276</v>
      </c>
      <c r="H1262" s="2">
        <v>7.36662985333114</v>
      </c>
      <c r="I1262" s="2">
        <v>1316.0</v>
      </c>
      <c r="J1262" s="2">
        <v>1276.0</v>
      </c>
      <c r="K1262" s="2">
        <v>7.40125626377478</v>
      </c>
    </row>
    <row r="1263">
      <c r="A1263" s="2">
        <v>99.0</v>
      </c>
      <c r="B1263" s="2" t="s">
        <v>18</v>
      </c>
      <c r="C1263" s="2" t="s">
        <v>144</v>
      </c>
      <c r="D1263" s="2" t="s">
        <v>145</v>
      </c>
      <c r="E1263" s="2">
        <v>-38.0</v>
      </c>
      <c r="F1263" s="2">
        <v>29.4254595376514</v>
      </c>
      <c r="G1263" s="2">
        <v>28.8189446841703</v>
      </c>
      <c r="H1263" s="2">
        <v>7.16623962414601</v>
      </c>
      <c r="I1263" s="2">
        <v>1267.0</v>
      </c>
      <c r="J1263" s="2">
        <v>1229.0</v>
      </c>
      <c r="K1263" s="2">
        <v>7.19742250097056</v>
      </c>
    </row>
    <row r="1264">
      <c r="A1264" s="2">
        <v>99.0</v>
      </c>
      <c r="B1264" s="2" t="s">
        <v>20</v>
      </c>
      <c r="C1264" s="2" t="s">
        <v>144</v>
      </c>
      <c r="D1264" s="2" t="s">
        <v>145</v>
      </c>
      <c r="E1264" s="2">
        <v>-40.0</v>
      </c>
      <c r="F1264" s="2">
        <v>32.1502334626395</v>
      </c>
      <c r="G1264" s="2">
        <v>31.5114972849975</v>
      </c>
      <c r="H1264" s="2">
        <v>7.35208465598964</v>
      </c>
      <c r="I1264" s="2">
        <v>1433.0</v>
      </c>
      <c r="J1264" s="2">
        <v>1393.0</v>
      </c>
      <c r="K1264" s="2">
        <v>7.38645513873415</v>
      </c>
    </row>
    <row r="1265">
      <c r="A1265" s="2">
        <v>99.0</v>
      </c>
      <c r="B1265" s="2" t="s">
        <v>24</v>
      </c>
      <c r="C1265" s="2" t="s">
        <v>144</v>
      </c>
      <c r="D1265" s="2" t="s">
        <v>145</v>
      </c>
      <c r="E1265" s="2">
        <v>-38.0</v>
      </c>
      <c r="F1265" s="2">
        <v>22.0569581879741</v>
      </c>
      <c r="G1265" s="2">
        <v>21.4506096955145</v>
      </c>
      <c r="H1265" s="2">
        <v>7.16526703517476</v>
      </c>
      <c r="I1265" s="2">
        <v>766.0</v>
      </c>
      <c r="J1265" s="2">
        <v>728.0</v>
      </c>
      <c r="K1265" s="2">
        <v>7.19643362723281</v>
      </c>
    </row>
    <row r="1266">
      <c r="A1266" s="2">
        <v>99.0</v>
      </c>
      <c r="B1266" s="2" t="s">
        <v>34</v>
      </c>
      <c r="C1266" s="2" t="s">
        <v>144</v>
      </c>
      <c r="D1266" s="2" t="s">
        <v>145</v>
      </c>
      <c r="E1266" s="2">
        <v>-47.0</v>
      </c>
      <c r="F1266" s="2">
        <v>25.7211165626143</v>
      </c>
      <c r="G1266" s="2">
        <v>24.9644230020072</v>
      </c>
      <c r="H1266" s="2">
        <v>7.99404745094464</v>
      </c>
      <c r="I1266" s="2">
        <v>929.0</v>
      </c>
      <c r="J1266" s="2">
        <v>882.0</v>
      </c>
      <c r="K1266" s="2">
        <v>8.04064997567093</v>
      </c>
    </row>
    <row r="1267">
      <c r="A1267" s="2">
        <v>99.0</v>
      </c>
      <c r="B1267" s="2" t="s">
        <v>47</v>
      </c>
      <c r="C1267" s="2" t="s">
        <v>144</v>
      </c>
      <c r="D1267" s="2" t="s">
        <v>145</v>
      </c>
      <c r="E1267" s="2">
        <v>-38.0</v>
      </c>
      <c r="F1267" s="2">
        <v>22.4154492201079</v>
      </c>
      <c r="G1267" s="2">
        <v>21.8181019908755</v>
      </c>
      <c r="H1267" s="2">
        <v>7.11243659970328</v>
      </c>
      <c r="I1267" s="2">
        <v>796.0</v>
      </c>
      <c r="J1267" s="2">
        <v>758.0</v>
      </c>
      <c r="K1267" s="2">
        <v>7.14272473148799</v>
      </c>
    </row>
    <row r="1268">
      <c r="A1268" s="2">
        <v>99.0</v>
      </c>
      <c r="B1268" s="2" t="s">
        <v>103</v>
      </c>
      <c r="C1268" s="2" t="s">
        <v>144</v>
      </c>
      <c r="D1268" s="2" t="s">
        <v>145</v>
      </c>
      <c r="E1268" s="2">
        <v>-50.0</v>
      </c>
      <c r="F1268" s="2">
        <v>25.0</v>
      </c>
      <c r="G1268" s="2">
        <v>24.187293811353</v>
      </c>
      <c r="H1268" s="2">
        <v>8.28061875821588</v>
      </c>
      <c r="I1268" s="2">
        <v>850.0</v>
      </c>
      <c r="J1268" s="2">
        <v>800.0</v>
      </c>
      <c r="K1268" s="2">
        <v>8.33333333333333</v>
      </c>
    </row>
    <row r="1269">
      <c r="A1269" s="2">
        <v>99.0</v>
      </c>
      <c r="B1269" s="2" t="s">
        <v>38</v>
      </c>
      <c r="C1269" s="2" t="s">
        <v>144</v>
      </c>
      <c r="D1269" s="2" t="s">
        <v>145</v>
      </c>
      <c r="E1269" s="2">
        <v>-38.0</v>
      </c>
      <c r="F1269" s="2">
        <v>25.2711527401558</v>
      </c>
      <c r="G1269" s="2">
        <v>24.6784466323859</v>
      </c>
      <c r="H1269" s="2">
        <v>7.08503636092013</v>
      </c>
      <c r="I1269" s="2">
        <v>993.0</v>
      </c>
      <c r="J1269" s="2">
        <v>955.0</v>
      </c>
      <c r="K1269" s="2">
        <v>7.11487359115804</v>
      </c>
    </row>
    <row r="1270">
      <c r="A1270" s="2">
        <v>99.0</v>
      </c>
      <c r="B1270" s="2" t="s">
        <v>26</v>
      </c>
      <c r="C1270" s="2" t="s">
        <v>144</v>
      </c>
      <c r="D1270" s="2" t="s">
        <v>145</v>
      </c>
      <c r="E1270" s="2">
        <v>-37.0</v>
      </c>
      <c r="F1270" s="2">
        <v>29.2014865692988</v>
      </c>
      <c r="G1270" s="2">
        <v>28.6041540882984</v>
      </c>
      <c r="H1270" s="2">
        <v>7.11234970333581</v>
      </c>
      <c r="I1270" s="2">
        <v>1257.0</v>
      </c>
      <c r="J1270" s="2">
        <v>1220.0</v>
      </c>
      <c r="K1270" s="2">
        <v>7.14263640007849</v>
      </c>
    </row>
    <row r="1271">
      <c r="A1271" s="2">
        <v>99.0</v>
      </c>
      <c r="B1271" s="2" t="s">
        <v>32</v>
      </c>
      <c r="C1271" s="2" t="s">
        <v>144</v>
      </c>
      <c r="D1271" s="2" t="s">
        <v>145</v>
      </c>
      <c r="E1271" s="2">
        <v>-40.0</v>
      </c>
      <c r="F1271" s="2">
        <v>30.5272378475303</v>
      </c>
      <c r="G1271" s="2">
        <v>29.89416414238</v>
      </c>
      <c r="H1271" s="2">
        <v>7.31978161941504</v>
      </c>
      <c r="I1271" s="2">
        <v>1326.0</v>
      </c>
      <c r="J1271" s="2">
        <v>1286.0</v>
      </c>
      <c r="K1271" s="2">
        <v>7.3535870992892</v>
      </c>
    </row>
    <row r="1272">
      <c r="A1272" s="2">
        <v>98.0</v>
      </c>
      <c r="B1272" s="2" t="s">
        <v>64</v>
      </c>
      <c r="C1272" s="2" t="s">
        <v>142</v>
      </c>
      <c r="D1272" s="2" t="s">
        <v>145</v>
      </c>
      <c r="E1272" s="2">
        <v>-50.0</v>
      </c>
      <c r="F1272" s="2">
        <v>23.6723192935523</v>
      </c>
      <c r="G1272" s="2">
        <v>22.8872199988325</v>
      </c>
      <c r="H1272" s="2">
        <v>6.94411618914661</v>
      </c>
      <c r="I1272" s="2">
        <v>898.0</v>
      </c>
      <c r="J1272" s="2">
        <v>848.0</v>
      </c>
      <c r="K1272" s="2">
        <v>6.98028866462985</v>
      </c>
    </row>
    <row r="1273">
      <c r="A1273" s="2">
        <v>98.0</v>
      </c>
      <c r="B1273" s="2" t="s">
        <v>67</v>
      </c>
      <c r="C1273" s="2" t="s">
        <v>142</v>
      </c>
      <c r="D1273" s="2" t="s">
        <v>145</v>
      </c>
      <c r="E1273" s="2">
        <v>-55.0</v>
      </c>
      <c r="F1273" s="2">
        <v>26.9403347141942</v>
      </c>
      <c r="G1273" s="2">
        <v>26.0583258451043</v>
      </c>
      <c r="H1273" s="2">
        <v>7.3546313649686</v>
      </c>
      <c r="I1273" s="2">
        <v>1077.0</v>
      </c>
      <c r="J1273" s="2">
        <v>1022.0</v>
      </c>
      <c r="K1273" s="2">
        <v>7.39931695489105</v>
      </c>
    </row>
    <row r="1274">
      <c r="A1274" s="2">
        <v>98.0</v>
      </c>
      <c r="B1274" s="2" t="s">
        <v>36</v>
      </c>
      <c r="C1274" s="2" t="s">
        <v>142</v>
      </c>
      <c r="D1274" s="2" t="s">
        <v>145</v>
      </c>
      <c r="E1274" s="2">
        <v>-65.0</v>
      </c>
      <c r="F1274" s="2">
        <v>26.6172091398916</v>
      </c>
      <c r="G1274" s="2">
        <v>25.5623100236408</v>
      </c>
      <c r="H1274" s="2">
        <v>8.03229159153489</v>
      </c>
      <c r="I1274" s="2">
        <v>984.0</v>
      </c>
      <c r="J1274" s="2">
        <v>919.0</v>
      </c>
      <c r="K1274" s="2">
        <v>8.09317839711323</v>
      </c>
    </row>
    <row r="1275">
      <c r="A1275" s="2">
        <v>98.0</v>
      </c>
      <c r="B1275" s="2" t="s">
        <v>41</v>
      </c>
      <c r="C1275" s="2" t="s">
        <v>144</v>
      </c>
      <c r="D1275" s="2" t="s">
        <v>143</v>
      </c>
      <c r="E1275" s="2">
        <v>66.0</v>
      </c>
      <c r="F1275" s="2">
        <v>29.5561712182176</v>
      </c>
      <c r="G1275" s="2">
        <v>30.4495582252037</v>
      </c>
      <c r="H1275" s="2">
        <v>7.40125626377478</v>
      </c>
      <c r="I1275" s="2">
        <v>1250.0</v>
      </c>
      <c r="J1275" s="2">
        <v>1316.0</v>
      </c>
      <c r="K1275" s="2">
        <v>7.44696850358681</v>
      </c>
    </row>
    <row r="1276">
      <c r="A1276" s="2">
        <v>98.0</v>
      </c>
      <c r="B1276" s="2" t="s">
        <v>97</v>
      </c>
      <c r="C1276" s="2" t="s">
        <v>144</v>
      </c>
      <c r="D1276" s="2" t="s">
        <v>143</v>
      </c>
      <c r="E1276" s="2">
        <v>62.0</v>
      </c>
      <c r="F1276" s="2">
        <v>25.5232013662736</v>
      </c>
      <c r="G1276" s="2">
        <v>26.3741362904795</v>
      </c>
      <c r="H1276" s="2">
        <v>7.22567722037341</v>
      </c>
      <c r="I1276" s="2">
        <v>994.0</v>
      </c>
      <c r="J1276" s="2">
        <v>1056.0</v>
      </c>
      <c r="K1276" s="2">
        <v>7.26758790786233</v>
      </c>
    </row>
    <row r="1277">
      <c r="A1277" s="2">
        <v>98.0</v>
      </c>
      <c r="B1277" s="2" t="s">
        <v>20</v>
      </c>
      <c r="C1277" s="2" t="s">
        <v>144</v>
      </c>
      <c r="D1277" s="2" t="s">
        <v>143</v>
      </c>
      <c r="E1277" s="2">
        <v>65.0</v>
      </c>
      <c r="F1277" s="2">
        <v>31.260466695274</v>
      </c>
      <c r="G1277" s="2">
        <v>32.1502334626395</v>
      </c>
      <c r="H1277" s="2">
        <v>7.38645513873415</v>
      </c>
      <c r="I1277" s="2">
        <v>1368.0</v>
      </c>
      <c r="J1277" s="2">
        <v>1433.0</v>
      </c>
      <c r="K1277" s="2">
        <v>7.43184011074387</v>
      </c>
    </row>
    <row r="1278">
      <c r="A1278" s="2">
        <v>98.0</v>
      </c>
      <c r="B1278" s="2" t="s">
        <v>29</v>
      </c>
      <c r="C1278" s="2" t="s">
        <v>144</v>
      </c>
      <c r="D1278" s="2" t="s">
        <v>143</v>
      </c>
      <c r="E1278" s="2">
        <v>62.0</v>
      </c>
      <c r="F1278" s="2">
        <v>27.9592876198379</v>
      </c>
      <c r="G1278" s="2">
        <v>28.8103265717412</v>
      </c>
      <c r="H1278" s="2">
        <v>7.22611298002722</v>
      </c>
      <c r="I1278" s="2">
        <v>1160.0</v>
      </c>
      <c r="J1278" s="2">
        <v>1222.0</v>
      </c>
      <c r="K1278" s="2">
        <v>7.26803288637003</v>
      </c>
    </row>
    <row r="1279">
      <c r="A1279" s="2">
        <v>98.0</v>
      </c>
      <c r="B1279" s="2" t="s">
        <v>31</v>
      </c>
      <c r="C1279" s="2" t="s">
        <v>144</v>
      </c>
      <c r="D1279" s="2" t="s">
        <v>143</v>
      </c>
      <c r="E1279" s="2">
        <v>70.0</v>
      </c>
      <c r="F1279" s="2">
        <v>23.8912038950995</v>
      </c>
      <c r="G1279" s="2">
        <v>24.8438277995123</v>
      </c>
      <c r="H1279" s="2">
        <v>7.63913543761054</v>
      </c>
      <c r="I1279" s="2">
        <v>840.0</v>
      </c>
      <c r="J1279" s="2">
        <v>910.0</v>
      </c>
      <c r="K1279" s="2">
        <v>7.69028351091023</v>
      </c>
    </row>
    <row r="1280">
      <c r="A1280" s="2">
        <v>98.0</v>
      </c>
      <c r="B1280" s="2" t="s">
        <v>66</v>
      </c>
      <c r="C1280" s="2" t="s">
        <v>144</v>
      </c>
      <c r="D1280" s="2" t="s">
        <v>143</v>
      </c>
      <c r="E1280" s="2">
        <v>77.0</v>
      </c>
      <c r="F1280" s="2">
        <v>25.5560097923949</v>
      </c>
      <c r="G1280" s="2">
        <v>26.5957678621264</v>
      </c>
      <c r="H1280" s="2">
        <v>7.97538989065839</v>
      </c>
      <c r="I1280" s="2">
        <v>918.0</v>
      </c>
      <c r="J1280" s="2">
        <v>995.0</v>
      </c>
      <c r="K1280" s="2">
        <v>8.03480709201619</v>
      </c>
    </row>
    <row r="1281">
      <c r="A1281" s="2">
        <v>98.0</v>
      </c>
      <c r="B1281" s="2" t="s">
        <v>17</v>
      </c>
      <c r="C1281" s="2" t="s">
        <v>144</v>
      </c>
      <c r="D1281" s="2" t="s">
        <v>143</v>
      </c>
      <c r="E1281" s="2">
        <v>66.0</v>
      </c>
      <c r="F1281" s="2">
        <v>32.8162188580881</v>
      </c>
      <c r="G1281" s="2">
        <v>33.7194947815184</v>
      </c>
      <c r="H1281" s="2">
        <v>7.44152780380707</v>
      </c>
      <c r="I1281" s="2">
        <v>1468.0</v>
      </c>
      <c r="J1281" s="2">
        <v>1534.0</v>
      </c>
      <c r="K1281" s="2">
        <v>7.48813690931306</v>
      </c>
    </row>
    <row r="1282">
      <c r="A1282" s="2">
        <v>98.0</v>
      </c>
      <c r="B1282" s="2" t="s">
        <v>44</v>
      </c>
      <c r="C1282" s="2" t="s">
        <v>144</v>
      </c>
      <c r="D1282" s="2" t="s">
        <v>143</v>
      </c>
      <c r="E1282" s="2">
        <v>77.0</v>
      </c>
      <c r="F1282" s="2">
        <v>27.3738078169263</v>
      </c>
      <c r="G1282" s="2">
        <v>28.4128029988644</v>
      </c>
      <c r="H1282" s="2">
        <v>7.97251139561193</v>
      </c>
      <c r="I1282" s="2">
        <v>1042.0</v>
      </c>
      <c r="J1282" s="2">
        <v>1119.0</v>
      </c>
      <c r="K1282" s="2">
        <v>8.03185480453263</v>
      </c>
    </row>
    <row r="1283">
      <c r="A1283" s="2">
        <v>98.0</v>
      </c>
      <c r="B1283" s="2" t="s">
        <v>47</v>
      </c>
      <c r="C1283" s="2" t="s">
        <v>144</v>
      </c>
      <c r="D1283" s="2" t="s">
        <v>143</v>
      </c>
      <c r="E1283" s="2">
        <v>61.0</v>
      </c>
      <c r="F1283" s="2">
        <v>21.5841968525315</v>
      </c>
      <c r="G1283" s="2">
        <v>22.4154492201079</v>
      </c>
      <c r="H1283" s="2">
        <v>7.14272473148799</v>
      </c>
      <c r="I1283" s="2">
        <v>735.0</v>
      </c>
      <c r="J1283" s="2">
        <v>796.0</v>
      </c>
      <c r="K1283" s="2">
        <v>7.18289975904159</v>
      </c>
    </row>
    <row r="1284">
      <c r="A1284" s="2">
        <v>98.0</v>
      </c>
      <c r="B1284" s="2" t="s">
        <v>18</v>
      </c>
      <c r="C1284" s="2" t="s">
        <v>144</v>
      </c>
      <c r="D1284" s="2" t="s">
        <v>143</v>
      </c>
      <c r="E1284" s="2">
        <v>62.0</v>
      </c>
      <c r="F1284" s="2">
        <v>28.5812556616179</v>
      </c>
      <c r="G1284" s="2">
        <v>29.4254595376514</v>
      </c>
      <c r="H1284" s="2">
        <v>7.19742250097056</v>
      </c>
      <c r="I1284" s="2">
        <v>1205.0</v>
      </c>
      <c r="J1284" s="2">
        <v>1267.0</v>
      </c>
      <c r="K1284" s="2">
        <v>7.23873770235447</v>
      </c>
    </row>
    <row r="1285">
      <c r="A1285" s="2">
        <v>97.0</v>
      </c>
      <c r="B1285" s="2" t="s">
        <v>64</v>
      </c>
      <c r="C1285" s="2" t="s">
        <v>142</v>
      </c>
      <c r="D1285" s="2" t="s">
        <v>145</v>
      </c>
      <c r="E1285" s="2">
        <v>-70.0</v>
      </c>
      <c r="F1285" s="2">
        <v>24.7679312758144</v>
      </c>
      <c r="G1285" s="2">
        <v>23.6723192935523</v>
      </c>
      <c r="H1285" s="2">
        <v>6.98028866462985</v>
      </c>
      <c r="I1285" s="2">
        <v>968.0</v>
      </c>
      <c r="J1285" s="2">
        <v>898.0</v>
      </c>
      <c r="K1285" s="2">
        <v>7.02273589359553</v>
      </c>
    </row>
    <row r="1286">
      <c r="A1286" s="2">
        <v>97.0</v>
      </c>
      <c r="B1286" s="2" t="s">
        <v>111</v>
      </c>
      <c r="C1286" s="2" t="s">
        <v>142</v>
      </c>
      <c r="D1286" s="2" t="s">
        <v>145</v>
      </c>
      <c r="E1286" s="2">
        <v>-84.0</v>
      </c>
      <c r="F1286" s="2">
        <v>24.4432305953534</v>
      </c>
      <c r="G1286" s="2">
        <v>23.1267067169927</v>
      </c>
      <c r="H1286" s="2">
        <v>7.64088206625299</v>
      </c>
      <c r="I1286" s="2">
        <v>877.0</v>
      </c>
      <c r="J1286" s="2">
        <v>793.0</v>
      </c>
      <c r="K1286" s="2">
        <v>7.69943403066515</v>
      </c>
    </row>
    <row r="1287">
      <c r="A1287" s="2">
        <v>97.0</v>
      </c>
      <c r="B1287" s="2" t="s">
        <v>44</v>
      </c>
      <c r="C1287" s="2" t="s">
        <v>142</v>
      </c>
      <c r="D1287" s="2" t="s">
        <v>145</v>
      </c>
      <c r="E1287" s="2">
        <v>-92.0</v>
      </c>
      <c r="F1287" s="2">
        <v>28.8311462313025</v>
      </c>
      <c r="G1287" s="2">
        <v>27.3738078169263</v>
      </c>
      <c r="H1287" s="2">
        <v>8.03185480453263</v>
      </c>
      <c r="I1287" s="2">
        <v>1134.0</v>
      </c>
      <c r="J1287" s="2">
        <v>1042.0</v>
      </c>
      <c r="K1287" s="2">
        <v>8.10133311729199</v>
      </c>
    </row>
    <row r="1288">
      <c r="A1288" s="2">
        <v>97.0</v>
      </c>
      <c r="B1288" s="2" t="s">
        <v>36</v>
      </c>
      <c r="C1288" s="2" t="s">
        <v>144</v>
      </c>
      <c r="D1288" s="2" t="s">
        <v>143</v>
      </c>
      <c r="E1288" s="2">
        <v>107.0</v>
      </c>
      <c r="F1288" s="2">
        <v>25.1370979362667</v>
      </c>
      <c r="G1288" s="2">
        <v>26.6172091398916</v>
      </c>
      <c r="H1288" s="2">
        <v>8.09317839711323</v>
      </c>
      <c r="I1288" s="2">
        <v>877.0</v>
      </c>
      <c r="J1288" s="2">
        <v>984.0</v>
      </c>
      <c r="K1288" s="2">
        <v>8.1644707652137</v>
      </c>
    </row>
    <row r="1289">
      <c r="A1289" s="2">
        <v>97.0</v>
      </c>
      <c r="B1289" s="2" t="s">
        <v>97</v>
      </c>
      <c r="C1289" s="2" t="s">
        <v>144</v>
      </c>
      <c r="D1289" s="2" t="s">
        <v>143</v>
      </c>
      <c r="E1289" s="2">
        <v>86.0</v>
      </c>
      <c r="F1289" s="2">
        <v>24.3341206871969</v>
      </c>
      <c r="G1289" s="2">
        <v>25.5232013662736</v>
      </c>
      <c r="H1289" s="2">
        <v>7.26758790786233</v>
      </c>
      <c r="I1289" s="2">
        <v>908.0</v>
      </c>
      <c r="J1289" s="2">
        <v>994.0</v>
      </c>
      <c r="K1289" s="2">
        <v>7.31669172180843</v>
      </c>
    </row>
    <row r="1290">
      <c r="A1290" s="2">
        <v>97.0</v>
      </c>
      <c r="B1290" s="2" t="s">
        <v>41</v>
      </c>
      <c r="C1290" s="2" t="s">
        <v>144</v>
      </c>
      <c r="D1290" s="2" t="s">
        <v>143</v>
      </c>
      <c r="E1290" s="2">
        <v>90.0</v>
      </c>
      <c r="F1290" s="2">
        <v>28.30669915344</v>
      </c>
      <c r="G1290" s="2">
        <v>29.5561712182176</v>
      </c>
      <c r="H1290" s="2">
        <v>7.44696850358681</v>
      </c>
      <c r="I1290" s="2">
        <v>1160.0</v>
      </c>
      <c r="J1290" s="2">
        <v>1250.0</v>
      </c>
      <c r="K1290" s="2">
        <v>7.50049654331875</v>
      </c>
    </row>
    <row r="1291">
      <c r="A1291" s="2">
        <v>97.0</v>
      </c>
      <c r="B1291" s="2" t="s">
        <v>28</v>
      </c>
      <c r="C1291" s="2" t="s">
        <v>144</v>
      </c>
      <c r="D1291" s="2" t="s">
        <v>143</v>
      </c>
      <c r="E1291" s="2">
        <v>105.0</v>
      </c>
      <c r="F1291" s="2">
        <v>27.1267948180285</v>
      </c>
      <c r="G1291" s="2">
        <v>28.5665311384349</v>
      </c>
      <c r="H1291" s="2">
        <v>7.98410699352233</v>
      </c>
      <c r="I1291" s="2">
        <v>1023.0</v>
      </c>
      <c r="J1291" s="2">
        <v>1128.0</v>
      </c>
      <c r="K1291" s="2">
        <v>8.05219203393175</v>
      </c>
    </row>
    <row r="1292">
      <c r="A1292" s="2">
        <v>97.0</v>
      </c>
      <c r="B1292" s="2" t="s">
        <v>26</v>
      </c>
      <c r="C1292" s="2" t="s">
        <v>144</v>
      </c>
      <c r="D1292" s="2" t="s">
        <v>143</v>
      </c>
      <c r="E1292" s="2">
        <v>83.0</v>
      </c>
      <c r="F1292" s="2">
        <v>28.0535483029944</v>
      </c>
      <c r="G1292" s="2">
        <v>29.2014865692988</v>
      </c>
      <c r="H1292" s="2">
        <v>7.14263640007849</v>
      </c>
      <c r="I1292" s="2">
        <v>1174.0</v>
      </c>
      <c r="J1292" s="2">
        <v>1257.0</v>
      </c>
      <c r="K1292" s="2">
        <v>7.18878140875526</v>
      </c>
    </row>
    <row r="1293">
      <c r="A1293" s="2">
        <v>97.0</v>
      </c>
      <c r="B1293" s="2" t="s">
        <v>38</v>
      </c>
      <c r="C1293" s="2" t="s">
        <v>144</v>
      </c>
      <c r="D1293" s="2" t="s">
        <v>143</v>
      </c>
      <c r="E1293" s="2">
        <v>82.0</v>
      </c>
      <c r="F1293" s="2">
        <v>24.1322530657818</v>
      </c>
      <c r="G1293" s="2">
        <v>25.2711527401558</v>
      </c>
      <c r="H1293" s="2">
        <v>7.11487359115804</v>
      </c>
      <c r="I1293" s="2">
        <v>911.0</v>
      </c>
      <c r="J1293" s="2">
        <v>993.0</v>
      </c>
      <c r="K1293" s="2">
        <v>7.16037462107801</v>
      </c>
    </row>
    <row r="1294">
      <c r="A1294" s="2">
        <v>97.0</v>
      </c>
      <c r="B1294" s="2" t="s">
        <v>24</v>
      </c>
      <c r="C1294" s="2" t="s">
        <v>144</v>
      </c>
      <c r="D1294" s="2" t="s">
        <v>143</v>
      </c>
      <c r="E1294" s="2">
        <v>84.0</v>
      </c>
      <c r="F1294" s="2">
        <v>20.8913991334843</v>
      </c>
      <c r="G1294" s="2">
        <v>22.0569581879741</v>
      </c>
      <c r="H1294" s="2">
        <v>7.19643362723281</v>
      </c>
      <c r="I1294" s="2">
        <v>682.0</v>
      </c>
      <c r="J1294" s="2">
        <v>766.0</v>
      </c>
      <c r="K1294" s="2">
        <v>7.24384034349369</v>
      </c>
    </row>
    <row r="1295">
      <c r="A1295" s="2">
        <v>97.0</v>
      </c>
      <c r="B1295" s="2" t="s">
        <v>67</v>
      </c>
      <c r="C1295" s="2" t="s">
        <v>144</v>
      </c>
      <c r="D1295" s="2" t="s">
        <v>143</v>
      </c>
      <c r="E1295" s="2">
        <v>89.0</v>
      </c>
      <c r="F1295" s="2">
        <v>25.7070582717819</v>
      </c>
      <c r="G1295" s="2">
        <v>26.9403347141942</v>
      </c>
      <c r="H1295" s="2">
        <v>7.39931695489105</v>
      </c>
      <c r="I1295" s="2">
        <v>988.0</v>
      </c>
      <c r="J1295" s="2">
        <v>1077.0</v>
      </c>
      <c r="K1295" s="2">
        <v>7.45164910122568</v>
      </c>
    </row>
    <row r="1296">
      <c r="A1296" s="2">
        <v>97.0</v>
      </c>
      <c r="B1296" s="2" t="s">
        <v>46</v>
      </c>
      <c r="C1296" s="2" t="s">
        <v>144</v>
      </c>
      <c r="D1296" s="2" t="s">
        <v>143</v>
      </c>
      <c r="E1296" s="2">
        <v>99.0</v>
      </c>
      <c r="F1296" s="2">
        <v>25.8839857207317</v>
      </c>
      <c r="G1296" s="2">
        <v>27.2465047767679</v>
      </c>
      <c r="H1296" s="2">
        <v>7.77091164424637</v>
      </c>
      <c r="I1296" s="2">
        <v>961.0</v>
      </c>
      <c r="J1296" s="2">
        <v>1060.0</v>
      </c>
      <c r="K1296" s="2">
        <v>7.8329770308934</v>
      </c>
    </row>
    <row r="1297">
      <c r="A1297" s="2">
        <v>97.0</v>
      </c>
      <c r="B1297" s="2" t="s">
        <v>22</v>
      </c>
      <c r="C1297" s="2" t="s">
        <v>144</v>
      </c>
      <c r="D1297" s="2" t="s">
        <v>143</v>
      </c>
      <c r="E1297" s="2">
        <v>85.0</v>
      </c>
      <c r="F1297" s="2">
        <v>23.7549826634201</v>
      </c>
      <c r="G1297" s="2">
        <v>24.9387923690789</v>
      </c>
      <c r="H1297" s="2">
        <v>7.25170738598864</v>
      </c>
      <c r="I1297" s="2">
        <v>871.0</v>
      </c>
      <c r="J1297" s="2">
        <v>956.0</v>
      </c>
      <c r="K1297" s="2">
        <v>7.30042961992813</v>
      </c>
    </row>
    <row r="1298">
      <c r="A1298" s="2">
        <v>96.0</v>
      </c>
      <c r="B1298" s="2" t="s">
        <v>24</v>
      </c>
      <c r="C1298" s="2" t="s">
        <v>142</v>
      </c>
      <c r="D1298" s="2" t="s">
        <v>145</v>
      </c>
      <c r="E1298" s="2">
        <v>-41.0</v>
      </c>
      <c r="F1298" s="2">
        <v>21.5464713059098</v>
      </c>
      <c r="G1298" s="2">
        <v>20.8913991334843</v>
      </c>
      <c r="H1298" s="2">
        <v>7.24384034349369</v>
      </c>
      <c r="I1298" s="2">
        <v>723.0</v>
      </c>
      <c r="J1298" s="2">
        <v>682.0</v>
      </c>
      <c r="K1298" s="2">
        <v>7.28031967133537</v>
      </c>
    </row>
    <row r="1299">
      <c r="A1299" s="2">
        <v>96.0</v>
      </c>
      <c r="B1299" s="2" t="s">
        <v>105</v>
      </c>
      <c r="C1299" s="2" t="s">
        <v>142</v>
      </c>
      <c r="D1299" s="2" t="s">
        <v>145</v>
      </c>
      <c r="E1299" s="2">
        <v>-52.0</v>
      </c>
      <c r="F1299" s="2">
        <v>25.0</v>
      </c>
      <c r="G1299" s="2">
        <v>24.1420708415601</v>
      </c>
      <c r="H1299" s="2">
        <v>8.27473778040787</v>
      </c>
      <c r="I1299" s="2">
        <v>850.0</v>
      </c>
      <c r="J1299" s="2">
        <v>798.0</v>
      </c>
      <c r="K1299" s="2">
        <v>8.33333333333333</v>
      </c>
    </row>
    <row r="1300">
      <c r="A1300" s="2">
        <v>96.0</v>
      </c>
      <c r="B1300" s="2" t="s">
        <v>23</v>
      </c>
      <c r="C1300" s="2" t="s">
        <v>142</v>
      </c>
      <c r="D1300" s="2" t="s">
        <v>145</v>
      </c>
      <c r="E1300" s="2">
        <v>-36.0</v>
      </c>
      <c r="F1300" s="2">
        <v>31.5676248976147</v>
      </c>
      <c r="G1300" s="2">
        <v>30.9864833445789</v>
      </c>
      <c r="H1300" s="2">
        <v>6.82738747293923</v>
      </c>
      <c r="I1300" s="2">
        <v>1447.0</v>
      </c>
      <c r="J1300" s="2">
        <v>1411.0</v>
      </c>
      <c r="K1300" s="2">
        <v>6.8564596790095</v>
      </c>
    </row>
    <row r="1301">
      <c r="A1301" s="2">
        <v>96.0</v>
      </c>
      <c r="B1301" s="2" t="s">
        <v>32</v>
      </c>
      <c r="C1301" s="2" t="s">
        <v>144</v>
      </c>
      <c r="D1301" s="2" t="s">
        <v>143</v>
      </c>
      <c r="E1301" s="2">
        <v>50.0</v>
      </c>
      <c r="F1301" s="2">
        <v>29.8519196170166</v>
      </c>
      <c r="G1301" s="2">
        <v>30.5272378475303</v>
      </c>
      <c r="H1301" s="2">
        <v>7.3535870992892</v>
      </c>
      <c r="I1301" s="2">
        <v>1276.0</v>
      </c>
      <c r="J1301" s="2">
        <v>1326.0</v>
      </c>
      <c r="K1301" s="2">
        <v>7.3921567001093</v>
      </c>
    </row>
    <row r="1302">
      <c r="A1302" s="2">
        <v>96.0</v>
      </c>
      <c r="B1302" s="2" t="s">
        <v>20</v>
      </c>
      <c r="C1302" s="2" t="s">
        <v>144</v>
      </c>
      <c r="D1302" s="2" t="s">
        <v>143</v>
      </c>
      <c r="E1302" s="2">
        <v>51.0</v>
      </c>
      <c r="F1302" s="2">
        <v>30.5705171286058</v>
      </c>
      <c r="G1302" s="2">
        <v>31.260466695274</v>
      </c>
      <c r="H1302" s="2">
        <v>7.43184011074387</v>
      </c>
      <c r="I1302" s="2">
        <v>1317.0</v>
      </c>
      <c r="J1302" s="2">
        <v>1368.0</v>
      </c>
      <c r="K1302" s="2">
        <v>7.4719367168205</v>
      </c>
    </row>
    <row r="1303">
      <c r="A1303" s="2">
        <v>96.0</v>
      </c>
      <c r="B1303" s="2" t="s">
        <v>28</v>
      </c>
      <c r="C1303" s="2" t="s">
        <v>144</v>
      </c>
      <c r="D1303" s="2" t="s">
        <v>143</v>
      </c>
      <c r="E1303" s="2">
        <v>60.0</v>
      </c>
      <c r="F1303" s="2">
        <v>26.3150712208534</v>
      </c>
      <c r="G1303" s="2">
        <v>27.1267948180285</v>
      </c>
      <c r="H1303" s="2">
        <v>8.05219203393175</v>
      </c>
      <c r="I1303" s="2">
        <v>963.0</v>
      </c>
      <c r="J1303" s="2">
        <v>1023.0</v>
      </c>
      <c r="K1303" s="2">
        <v>8.10552417488552</v>
      </c>
    </row>
    <row r="1304">
      <c r="A1304" s="2">
        <v>96.0</v>
      </c>
      <c r="B1304" s="2" t="s">
        <v>16</v>
      </c>
      <c r="C1304" s="2" t="s">
        <v>144</v>
      </c>
      <c r="D1304" s="2" t="s">
        <v>143</v>
      </c>
      <c r="E1304" s="2">
        <v>43.0</v>
      </c>
      <c r="F1304" s="2">
        <v>33.7330939046546</v>
      </c>
      <c r="G1304" s="2">
        <v>34.3193713726367</v>
      </c>
      <c r="H1304" s="2">
        <v>6.85717295230943</v>
      </c>
      <c r="I1304" s="2">
        <v>1591.0</v>
      </c>
      <c r="J1304" s="2">
        <v>1634.0</v>
      </c>
      <c r="K1304" s="2">
        <v>6.88674821398994</v>
      </c>
    </row>
    <row r="1305">
      <c r="A1305" s="2">
        <v>96.0</v>
      </c>
      <c r="B1305" s="2" t="s">
        <v>17</v>
      </c>
      <c r="C1305" s="2" t="s">
        <v>144</v>
      </c>
      <c r="D1305" s="2" t="s">
        <v>143</v>
      </c>
      <c r="E1305" s="2">
        <v>52.0</v>
      </c>
      <c r="F1305" s="2">
        <v>32.1156425205012</v>
      </c>
      <c r="G1305" s="2">
        <v>32.8162188580881</v>
      </c>
      <c r="H1305" s="2">
        <v>7.48813690931306</v>
      </c>
      <c r="I1305" s="2">
        <v>1416.0</v>
      </c>
      <c r="J1305" s="2">
        <v>1468.0</v>
      </c>
      <c r="K1305" s="2">
        <v>7.52935118327169</v>
      </c>
    </row>
    <row r="1306">
      <c r="A1306" s="2">
        <v>96.0</v>
      </c>
      <c r="B1306" s="2" t="s">
        <v>27</v>
      </c>
      <c r="C1306" s="2" t="s">
        <v>144</v>
      </c>
      <c r="D1306" s="2" t="s">
        <v>143</v>
      </c>
      <c r="E1306" s="2">
        <v>51.0</v>
      </c>
      <c r="F1306" s="2">
        <v>25.8493867359185</v>
      </c>
      <c r="G1306" s="2">
        <v>26.537230675979</v>
      </c>
      <c r="H1306" s="2">
        <v>7.42063195418134</v>
      </c>
      <c r="I1306" s="2">
        <v>997.0</v>
      </c>
      <c r="J1306" s="2">
        <v>1048.0</v>
      </c>
      <c r="K1306" s="2">
        <v>7.46050795962477</v>
      </c>
    </row>
    <row r="1307">
      <c r="A1307" s="2">
        <v>96.0</v>
      </c>
      <c r="B1307" s="2" t="s">
        <v>19</v>
      </c>
      <c r="C1307" s="2" t="s">
        <v>144</v>
      </c>
      <c r="D1307" s="2" t="s">
        <v>143</v>
      </c>
      <c r="E1307" s="2">
        <v>48.0</v>
      </c>
      <c r="F1307" s="2">
        <v>36.1952662992344</v>
      </c>
      <c r="G1307" s="2">
        <v>36.8429812527665</v>
      </c>
      <c r="H1307" s="2">
        <v>7.2035249093957</v>
      </c>
      <c r="I1307" s="2">
        <v>1723.0</v>
      </c>
      <c r="J1307" s="2">
        <v>1771.0</v>
      </c>
      <c r="K1307" s="2">
        <v>7.23925120762865</v>
      </c>
    </row>
    <row r="1308">
      <c r="A1308" s="2">
        <v>96.0</v>
      </c>
      <c r="B1308" s="2" t="s">
        <v>31</v>
      </c>
      <c r="C1308" s="2" t="s">
        <v>144</v>
      </c>
      <c r="D1308" s="2" t="s">
        <v>143</v>
      </c>
      <c r="E1308" s="2">
        <v>55.0</v>
      </c>
      <c r="F1308" s="2">
        <v>23.1517735902369</v>
      </c>
      <c r="G1308" s="2">
        <v>23.8912038950995</v>
      </c>
      <c r="H1308" s="2">
        <v>7.69028351091023</v>
      </c>
      <c r="I1308" s="2">
        <v>785.0</v>
      </c>
      <c r="J1308" s="2">
        <v>840.0</v>
      </c>
      <c r="K1308" s="2">
        <v>7.73564547791381</v>
      </c>
    </row>
    <row r="1309">
      <c r="A1309" s="2">
        <v>96.0</v>
      </c>
      <c r="B1309" s="2" t="s">
        <v>123</v>
      </c>
      <c r="C1309" s="2" t="s">
        <v>144</v>
      </c>
      <c r="D1309" s="2" t="s">
        <v>143</v>
      </c>
      <c r="E1309" s="2">
        <v>62.0</v>
      </c>
      <c r="F1309" s="2">
        <v>25.0727465291538</v>
      </c>
      <c r="G1309" s="2">
        <v>25.9047769684274</v>
      </c>
      <c r="H1309" s="2">
        <v>8.15079352234379</v>
      </c>
      <c r="I1309" s="2">
        <v>868.0</v>
      </c>
      <c r="J1309" s="2">
        <v>930.0</v>
      </c>
      <c r="K1309" s="2">
        <v>8.20642277763351</v>
      </c>
    </row>
    <row r="1310">
      <c r="A1310" s="2">
        <v>96.0</v>
      </c>
      <c r="B1310" s="2" t="s">
        <v>44</v>
      </c>
      <c r="C1310" s="2" t="s">
        <v>144</v>
      </c>
      <c r="D1310" s="2" t="s">
        <v>143</v>
      </c>
      <c r="E1310" s="2">
        <v>61.0</v>
      </c>
      <c r="F1310" s="2">
        <v>28.0093348810827</v>
      </c>
      <c r="G1310" s="2">
        <v>28.8311462313025</v>
      </c>
      <c r="H1310" s="2">
        <v>8.10133311729199</v>
      </c>
      <c r="I1310" s="2">
        <v>1073.0</v>
      </c>
      <c r="J1310" s="2">
        <v>1134.0</v>
      </c>
      <c r="K1310" s="2">
        <v>8.15580321858843</v>
      </c>
    </row>
    <row r="1311">
      <c r="A1311" s="2">
        <v>95.0</v>
      </c>
      <c r="B1311" s="2" t="s">
        <v>80</v>
      </c>
      <c r="C1311" s="2" t="s">
        <v>142</v>
      </c>
      <c r="D1311" s="2" t="s">
        <v>145</v>
      </c>
      <c r="E1311" s="2">
        <v>-69.0</v>
      </c>
      <c r="F1311" s="2">
        <v>24.9371296233494</v>
      </c>
      <c r="G1311" s="2">
        <v>23.8408069046933</v>
      </c>
      <c r="H1311" s="2">
        <v>7.60429651742204</v>
      </c>
      <c r="I1311" s="2">
        <v>915.0</v>
      </c>
      <c r="J1311" s="2">
        <v>846.0</v>
      </c>
      <c r="K1311" s="2">
        <v>7.6579609493728</v>
      </c>
    </row>
    <row r="1312">
      <c r="A1312" s="2">
        <v>95.0</v>
      </c>
      <c r="B1312" s="2" t="s">
        <v>64</v>
      </c>
      <c r="C1312" s="2" t="s">
        <v>142</v>
      </c>
      <c r="D1312" s="2" t="s">
        <v>145</v>
      </c>
      <c r="E1312" s="2">
        <v>-59.0</v>
      </c>
      <c r="F1312" s="2">
        <v>25.7007907573744</v>
      </c>
      <c r="G1312" s="2">
        <v>24.7679312758144</v>
      </c>
      <c r="H1312" s="2">
        <v>7.02273589359553</v>
      </c>
      <c r="I1312" s="2">
        <v>1027.0</v>
      </c>
      <c r="J1312" s="2">
        <v>968.0</v>
      </c>
      <c r="K1312" s="2">
        <v>7.06307231503153</v>
      </c>
    </row>
    <row r="1313">
      <c r="A1313" s="2">
        <v>95.0</v>
      </c>
      <c r="B1313" s="2" t="s">
        <v>43</v>
      </c>
      <c r="C1313" s="2" t="s">
        <v>142</v>
      </c>
      <c r="D1313" s="2" t="s">
        <v>145</v>
      </c>
      <c r="E1313" s="2">
        <v>-70.0</v>
      </c>
      <c r="F1313" s="2">
        <v>30.3546515570659</v>
      </c>
      <c r="G1313" s="2">
        <v>29.2398177698895</v>
      </c>
      <c r="H1313" s="2">
        <v>7.66720810707197</v>
      </c>
      <c r="I1313" s="2">
        <v>1276.0</v>
      </c>
      <c r="J1313" s="2">
        <v>1206.0</v>
      </c>
      <c r="K1313" s="2">
        <v>7.72243986211173</v>
      </c>
    </row>
    <row r="1314">
      <c r="A1314" s="2">
        <v>95.0</v>
      </c>
      <c r="B1314" s="2" t="s">
        <v>23</v>
      </c>
      <c r="C1314" s="2" t="s">
        <v>144</v>
      </c>
      <c r="D1314" s="2" t="s">
        <v>143</v>
      </c>
      <c r="E1314" s="2">
        <v>64.0</v>
      </c>
      <c r="F1314" s="2">
        <v>30.6789788700282</v>
      </c>
      <c r="G1314" s="2">
        <v>31.5676248976147</v>
      </c>
      <c r="H1314" s="2">
        <v>6.8564596790095</v>
      </c>
      <c r="I1314" s="2">
        <v>1383.0</v>
      </c>
      <c r="J1314" s="2">
        <v>1447.0</v>
      </c>
      <c r="K1314" s="2">
        <v>6.89335187338471</v>
      </c>
    </row>
    <row r="1315">
      <c r="A1315" s="2">
        <v>95.0</v>
      </c>
      <c r="B1315" s="2" t="s">
        <v>19</v>
      </c>
      <c r="C1315" s="2" t="s">
        <v>144</v>
      </c>
      <c r="D1315" s="2" t="s">
        <v>143</v>
      </c>
      <c r="E1315" s="2">
        <v>72.0</v>
      </c>
      <c r="F1315" s="2">
        <v>35.2031579241616</v>
      </c>
      <c r="G1315" s="2">
        <v>36.1952662992344</v>
      </c>
      <c r="H1315" s="2">
        <v>7.23925120762865</v>
      </c>
      <c r="I1315" s="2">
        <v>1651.0</v>
      </c>
      <c r="J1315" s="2">
        <v>1723.0</v>
      </c>
      <c r="K1315" s="2">
        <v>7.28431117307348</v>
      </c>
    </row>
    <row r="1316">
      <c r="A1316" s="2">
        <v>95.0</v>
      </c>
      <c r="B1316" s="2" t="s">
        <v>25</v>
      </c>
      <c r="C1316" s="2" t="s">
        <v>144</v>
      </c>
      <c r="D1316" s="2" t="s">
        <v>143</v>
      </c>
      <c r="E1316" s="2">
        <v>92.0</v>
      </c>
      <c r="F1316" s="2">
        <v>26.3399173443596</v>
      </c>
      <c r="G1316" s="2">
        <v>27.5933351943538</v>
      </c>
      <c r="H1316" s="2">
        <v>8.12172107068742</v>
      </c>
      <c r="I1316" s="2">
        <v>956.0</v>
      </c>
      <c r="J1316" s="2">
        <v>1048.0</v>
      </c>
      <c r="K1316" s="2">
        <v>8.18905223687787</v>
      </c>
    </row>
    <row r="1317">
      <c r="A1317" s="2">
        <v>95.0</v>
      </c>
      <c r="B1317" s="2" t="s">
        <v>16</v>
      </c>
      <c r="C1317" s="2" t="s">
        <v>144</v>
      </c>
      <c r="D1317" s="2" t="s">
        <v>143</v>
      </c>
      <c r="E1317" s="2">
        <v>64.0</v>
      </c>
      <c r="F1317" s="2">
        <v>32.8364771416939</v>
      </c>
      <c r="G1317" s="2">
        <v>33.7330939046546</v>
      </c>
      <c r="H1317" s="2">
        <v>6.88674821398994</v>
      </c>
      <c r="I1317" s="2">
        <v>1527.0</v>
      </c>
      <c r="J1317" s="2">
        <v>1591.0</v>
      </c>
      <c r="K1317" s="2">
        <v>6.92425620755211</v>
      </c>
    </row>
    <row r="1318">
      <c r="A1318" s="2">
        <v>95.0</v>
      </c>
      <c r="B1318" s="2" t="s">
        <v>67</v>
      </c>
      <c r="C1318" s="2" t="s">
        <v>144</v>
      </c>
      <c r="D1318" s="2" t="s">
        <v>143</v>
      </c>
      <c r="E1318" s="2">
        <v>77.0</v>
      </c>
      <c r="F1318" s="2">
        <v>24.6549760042297</v>
      </c>
      <c r="G1318" s="2">
        <v>25.7070582717819</v>
      </c>
      <c r="H1318" s="2">
        <v>7.45164910122568</v>
      </c>
      <c r="I1318" s="2">
        <v>911.0</v>
      </c>
      <c r="J1318" s="2">
        <v>988.0</v>
      </c>
      <c r="K1318" s="2">
        <v>7.50161509819491</v>
      </c>
    </row>
    <row r="1319">
      <c r="A1319" s="2">
        <v>95.0</v>
      </c>
      <c r="B1319" s="2" t="s">
        <v>40</v>
      </c>
      <c r="C1319" s="2" t="s">
        <v>144</v>
      </c>
      <c r="D1319" s="2" t="s">
        <v>143</v>
      </c>
      <c r="E1319" s="2">
        <v>84.0</v>
      </c>
      <c r="F1319" s="2">
        <v>28.45851716702</v>
      </c>
      <c r="G1319" s="2">
        <v>29.6002612297281</v>
      </c>
      <c r="H1319" s="2">
        <v>7.75769571929476</v>
      </c>
      <c r="I1319" s="2">
        <v>1138.0</v>
      </c>
      <c r="J1319" s="2">
        <v>1222.0</v>
      </c>
      <c r="K1319" s="2">
        <v>7.81522666670921</v>
      </c>
    </row>
    <row r="1320">
      <c r="A1320" s="2">
        <v>95.0</v>
      </c>
      <c r="B1320" s="2" t="s">
        <v>46</v>
      </c>
      <c r="C1320" s="2" t="s">
        <v>144</v>
      </c>
      <c r="D1320" s="2" t="s">
        <v>143</v>
      </c>
      <c r="E1320" s="2">
        <v>85.0</v>
      </c>
      <c r="F1320" s="2">
        <v>24.7195966477362</v>
      </c>
      <c r="G1320" s="2">
        <v>25.8839857207317</v>
      </c>
      <c r="H1320" s="2">
        <v>7.8329770308934</v>
      </c>
      <c r="I1320" s="2">
        <v>876.0</v>
      </c>
      <c r="J1320" s="2">
        <v>961.0</v>
      </c>
      <c r="K1320" s="2">
        <v>7.89246166076594</v>
      </c>
    </row>
    <row r="1321">
      <c r="A1321" s="2">
        <v>95.0</v>
      </c>
      <c r="B1321" s="2" t="s">
        <v>34</v>
      </c>
      <c r="C1321" s="2" t="s">
        <v>144</v>
      </c>
      <c r="D1321" s="2" t="s">
        <v>143</v>
      </c>
      <c r="E1321" s="2">
        <v>90.0</v>
      </c>
      <c r="F1321" s="2">
        <v>24.4930444150816</v>
      </c>
      <c r="G1321" s="2">
        <v>25.7211165626143</v>
      </c>
      <c r="H1321" s="2">
        <v>8.04064997567093</v>
      </c>
      <c r="I1321" s="2">
        <v>839.0</v>
      </c>
      <c r="J1321" s="2">
        <v>929.0</v>
      </c>
      <c r="K1321" s="2">
        <v>8.10572060391466</v>
      </c>
    </row>
    <row r="1322">
      <c r="A1322" s="2">
        <v>95.0</v>
      </c>
      <c r="B1322" s="2" t="s">
        <v>38</v>
      </c>
      <c r="C1322" s="2" t="s">
        <v>144</v>
      </c>
      <c r="D1322" s="2" t="s">
        <v>143</v>
      </c>
      <c r="E1322" s="2">
        <v>71.0</v>
      </c>
      <c r="F1322" s="2">
        <v>23.1619492318698</v>
      </c>
      <c r="G1322" s="2">
        <v>24.1322530657818</v>
      </c>
      <c r="H1322" s="2">
        <v>7.16037462107801</v>
      </c>
      <c r="I1322" s="2">
        <v>840.0</v>
      </c>
      <c r="J1322" s="2">
        <v>911.0</v>
      </c>
      <c r="K1322" s="2">
        <v>7.20368192825773</v>
      </c>
    </row>
    <row r="1323">
      <c r="A1323" s="2">
        <v>95.0</v>
      </c>
      <c r="B1323" s="2" t="s">
        <v>51</v>
      </c>
      <c r="C1323" s="2" t="s">
        <v>144</v>
      </c>
      <c r="D1323" s="2" t="s">
        <v>143</v>
      </c>
      <c r="E1323" s="2">
        <v>92.0</v>
      </c>
      <c r="F1323" s="2">
        <v>25.4037738845899</v>
      </c>
      <c r="G1323" s="2">
        <v>26.6643483086627</v>
      </c>
      <c r="H1323" s="2">
        <v>8.1444552832683</v>
      </c>
      <c r="I1323" s="2">
        <v>890.0</v>
      </c>
      <c r="J1323" s="2">
        <v>982.0</v>
      </c>
      <c r="K1323" s="2">
        <v>8.21242854818002</v>
      </c>
    </row>
    <row r="1324">
      <c r="A1324" s="2">
        <v>94.0</v>
      </c>
      <c r="B1324" s="2" t="s">
        <v>43</v>
      </c>
      <c r="C1324" s="2" t="s">
        <v>142</v>
      </c>
      <c r="D1324" s="2" t="s">
        <v>143</v>
      </c>
      <c r="E1324" s="2">
        <v>37.0</v>
      </c>
      <c r="F1324" s="2">
        <v>29.8605733450268</v>
      </c>
      <c r="G1324" s="2">
        <v>30.3546515570659</v>
      </c>
      <c r="H1324" s="2">
        <v>7.72243986211173</v>
      </c>
      <c r="I1324" s="2">
        <v>1239.0</v>
      </c>
      <c r="J1324" s="2">
        <v>1276.0</v>
      </c>
      <c r="K1324" s="2">
        <v>7.75787274861442</v>
      </c>
    </row>
    <row r="1325">
      <c r="A1325" s="2">
        <v>94.0</v>
      </c>
      <c r="B1325" s="2" t="s">
        <v>44</v>
      </c>
      <c r="C1325" s="2" t="s">
        <v>142</v>
      </c>
      <c r="D1325" s="2" t="s">
        <v>143</v>
      </c>
      <c r="E1325" s="2">
        <v>42.0</v>
      </c>
      <c r="F1325" s="2">
        <v>27.4575580408254</v>
      </c>
      <c r="G1325" s="2">
        <v>28.0093348810827</v>
      </c>
      <c r="H1325" s="2">
        <v>8.15580321858843</v>
      </c>
      <c r="I1325" s="2">
        <v>1031.0</v>
      </c>
      <c r="J1325" s="2">
        <v>1073.0</v>
      </c>
      <c r="K1325" s="2">
        <v>8.19899246599335</v>
      </c>
    </row>
    <row r="1326">
      <c r="A1326" s="2">
        <v>94.0</v>
      </c>
      <c r="B1326" s="2" t="s">
        <v>20</v>
      </c>
      <c r="C1326" s="2" t="s">
        <v>142</v>
      </c>
      <c r="D1326" s="2" t="s">
        <v>143</v>
      </c>
      <c r="E1326" s="2">
        <v>35.0</v>
      </c>
      <c r="F1326" s="2">
        <v>30.1082922408524</v>
      </c>
      <c r="G1326" s="2">
        <v>30.5705171286058</v>
      </c>
      <c r="H1326" s="2">
        <v>7.4719367168205</v>
      </c>
      <c r="I1326" s="2">
        <v>1282.0</v>
      </c>
      <c r="J1326" s="2">
        <v>1317.0</v>
      </c>
      <c r="K1326" s="2">
        <v>7.50324425533825</v>
      </c>
    </row>
    <row r="1327">
      <c r="A1327" s="2">
        <v>94.0</v>
      </c>
      <c r="B1327" s="2" t="s">
        <v>31</v>
      </c>
      <c r="C1327" s="2" t="s">
        <v>144</v>
      </c>
      <c r="D1327" s="2" t="s">
        <v>145</v>
      </c>
      <c r="E1327" s="2">
        <v>-30.0</v>
      </c>
      <c r="F1327" s="2">
        <v>23.6475613933269</v>
      </c>
      <c r="G1327" s="2">
        <v>23.1517735902369</v>
      </c>
      <c r="H1327" s="2">
        <v>7.73564547791381</v>
      </c>
      <c r="I1327" s="2">
        <v>815.0</v>
      </c>
      <c r="J1327" s="2">
        <v>785.0</v>
      </c>
      <c r="K1327" s="2">
        <v>7.77130294587144</v>
      </c>
    </row>
    <row r="1328">
      <c r="A1328" s="2">
        <v>94.0</v>
      </c>
      <c r="B1328" s="2" t="s">
        <v>22</v>
      </c>
      <c r="C1328" s="2" t="s">
        <v>144</v>
      </c>
      <c r="D1328" s="2" t="s">
        <v>145</v>
      </c>
      <c r="E1328" s="2">
        <v>-27.0</v>
      </c>
      <c r="F1328" s="2">
        <v>24.1960294505334</v>
      </c>
      <c r="G1328" s="2">
        <v>23.7549826634201</v>
      </c>
      <c r="H1328" s="2">
        <v>7.30042961992813</v>
      </c>
      <c r="I1328" s="2">
        <v>898.0</v>
      </c>
      <c r="J1328" s="2">
        <v>871.0</v>
      </c>
      <c r="K1328" s="2">
        <v>7.32905673490832</v>
      </c>
    </row>
    <row r="1329">
      <c r="A1329" s="2">
        <v>94.0</v>
      </c>
      <c r="B1329" s="2" t="s">
        <v>26</v>
      </c>
      <c r="C1329" s="2" t="s">
        <v>144</v>
      </c>
      <c r="D1329" s="2" t="s">
        <v>145</v>
      </c>
      <c r="E1329" s="2">
        <v>-27.0</v>
      </c>
      <c r="F1329" s="2">
        <v>28.4810830142426</v>
      </c>
      <c r="G1329" s="2">
        <v>28.0535483029944</v>
      </c>
      <c r="H1329" s="2">
        <v>7.18878140875526</v>
      </c>
      <c r="I1329" s="2">
        <v>1201.0</v>
      </c>
      <c r="J1329" s="2">
        <v>1174.0</v>
      </c>
      <c r="K1329" s="2">
        <v>7.21572450327838</v>
      </c>
    </row>
    <row r="1330">
      <c r="A1330" s="2">
        <v>94.0</v>
      </c>
      <c r="B1330" s="2" t="s">
        <v>36</v>
      </c>
      <c r="C1330" s="2" t="s">
        <v>144</v>
      </c>
      <c r="D1330" s="2" t="s">
        <v>145</v>
      </c>
      <c r="E1330" s="2">
        <v>-33.0</v>
      </c>
      <c r="F1330" s="2">
        <v>25.6900624464298</v>
      </c>
      <c r="G1330" s="2">
        <v>25.1370979362667</v>
      </c>
      <c r="H1330" s="2">
        <v>8.1644707652137</v>
      </c>
      <c r="I1330" s="2">
        <v>910.0</v>
      </c>
      <c r="J1330" s="2">
        <v>877.0</v>
      </c>
      <c r="K1330" s="2">
        <v>8.20782346844701</v>
      </c>
    </row>
    <row r="1331">
      <c r="A1331" s="2">
        <v>94.0</v>
      </c>
      <c r="B1331" s="2" t="s">
        <v>23</v>
      </c>
      <c r="C1331" s="2" t="s">
        <v>144</v>
      </c>
      <c r="D1331" s="2" t="s">
        <v>145</v>
      </c>
      <c r="E1331" s="2">
        <v>-24.0</v>
      </c>
      <c r="F1331" s="2">
        <v>31.0718007051315</v>
      </c>
      <c r="G1331" s="2">
        <v>30.6789788700282</v>
      </c>
      <c r="H1331" s="2">
        <v>6.89335187338471</v>
      </c>
      <c r="I1331" s="2">
        <v>1407.0</v>
      </c>
      <c r="J1331" s="2">
        <v>1383.0</v>
      </c>
      <c r="K1331" s="2">
        <v>6.9160622205673</v>
      </c>
    </row>
    <row r="1332">
      <c r="A1332" s="2">
        <v>94.0</v>
      </c>
      <c r="B1332" s="2" t="s">
        <v>17</v>
      </c>
      <c r="C1332" s="2" t="s">
        <v>144</v>
      </c>
      <c r="D1332" s="2" t="s">
        <v>145</v>
      </c>
      <c r="E1332" s="2">
        <v>-29.0</v>
      </c>
      <c r="F1332" s="2">
        <v>32.5850714182667</v>
      </c>
      <c r="G1332" s="2">
        <v>32.1156425205012</v>
      </c>
      <c r="H1332" s="2">
        <v>7.52935118327169</v>
      </c>
      <c r="I1332" s="2">
        <v>1445.0</v>
      </c>
      <c r="J1332" s="2">
        <v>1416.0</v>
      </c>
      <c r="K1332" s="2">
        <v>7.56158188015765</v>
      </c>
    </row>
    <row r="1333">
      <c r="A1333" s="2">
        <v>94.0</v>
      </c>
      <c r="B1333" s="2" t="s">
        <v>41</v>
      </c>
      <c r="C1333" s="2" t="s">
        <v>144</v>
      </c>
      <c r="D1333" s="2" t="s">
        <v>145</v>
      </c>
      <c r="E1333" s="2">
        <v>-28.0</v>
      </c>
      <c r="F1333" s="2">
        <v>28.7725003738841</v>
      </c>
      <c r="G1333" s="2">
        <v>28.30669915344</v>
      </c>
      <c r="H1333" s="2">
        <v>7.50049654331875</v>
      </c>
      <c r="I1333" s="2">
        <v>1188.0</v>
      </c>
      <c r="J1333" s="2">
        <v>1160.0</v>
      </c>
      <c r="K1333" s="2">
        <v>7.53226165064104</v>
      </c>
    </row>
    <row r="1334">
      <c r="A1334" s="2">
        <v>94.0</v>
      </c>
      <c r="B1334" s="2" t="s">
        <v>18</v>
      </c>
      <c r="C1334" s="2" t="s">
        <v>144</v>
      </c>
      <c r="D1334" s="2" t="s">
        <v>145</v>
      </c>
      <c r="E1334" s="2">
        <v>-27.0</v>
      </c>
      <c r="F1334" s="2">
        <v>29.0148095392245</v>
      </c>
      <c r="G1334" s="2">
        <v>28.5812556616179</v>
      </c>
      <c r="H1334" s="2">
        <v>7.23873770235447</v>
      </c>
      <c r="I1334" s="2">
        <v>1232.0</v>
      </c>
      <c r="J1334" s="2">
        <v>1205.0</v>
      </c>
      <c r="K1334" s="2">
        <v>7.26642845119757</v>
      </c>
    </row>
    <row r="1335">
      <c r="A1335" s="2">
        <v>94.0</v>
      </c>
      <c r="B1335" s="2" t="s">
        <v>34</v>
      </c>
      <c r="C1335" s="2" t="s">
        <v>144</v>
      </c>
      <c r="D1335" s="2" t="s">
        <v>145</v>
      </c>
      <c r="E1335" s="2">
        <v>-32.0</v>
      </c>
      <c r="F1335" s="2">
        <v>25.037984597754</v>
      </c>
      <c r="G1335" s="2">
        <v>24.4930444150816</v>
      </c>
      <c r="H1335" s="2">
        <v>8.10572060391466</v>
      </c>
      <c r="I1335" s="2">
        <v>871.0</v>
      </c>
      <c r="J1335" s="2">
        <v>839.0</v>
      </c>
      <c r="K1335" s="2">
        <v>8.14797190001314</v>
      </c>
    </row>
    <row r="1336">
      <c r="A1336" s="2">
        <v>94.0</v>
      </c>
      <c r="B1336" s="2" t="s">
        <v>27</v>
      </c>
      <c r="C1336" s="2" t="s">
        <v>144</v>
      </c>
      <c r="D1336" s="2" t="s">
        <v>145</v>
      </c>
      <c r="E1336" s="2">
        <v>-28.0</v>
      </c>
      <c r="F1336" s="2">
        <v>26.3101844647108</v>
      </c>
      <c r="G1336" s="2">
        <v>25.8493867359185</v>
      </c>
      <c r="H1336" s="2">
        <v>7.46050795962477</v>
      </c>
      <c r="I1336" s="2">
        <v>1025.0</v>
      </c>
      <c r="J1336" s="2">
        <v>997.0</v>
      </c>
      <c r="K1336" s="2">
        <v>7.49163329920556</v>
      </c>
    </row>
    <row r="1337">
      <c r="A1337" s="2">
        <v>93.0</v>
      </c>
      <c r="B1337" s="2" t="s">
        <v>73</v>
      </c>
      <c r="C1337" s="2" t="s">
        <v>142</v>
      </c>
      <c r="D1337" s="2" t="s">
        <v>145</v>
      </c>
      <c r="E1337" s="2">
        <v>-86.0</v>
      </c>
      <c r="F1337" s="2">
        <v>27.2371032188984</v>
      </c>
      <c r="G1337" s="2">
        <v>25.877722162986</v>
      </c>
      <c r="H1337" s="2">
        <v>7.8237556636899</v>
      </c>
      <c r="I1337" s="2">
        <v>1048.0</v>
      </c>
      <c r="J1337" s="2">
        <v>962.0</v>
      </c>
      <c r="K1337" s="2">
        <v>7.88598485285256</v>
      </c>
    </row>
    <row r="1338">
      <c r="A1338" s="2">
        <v>93.0</v>
      </c>
      <c r="B1338" s="2" t="s">
        <v>80</v>
      </c>
      <c r="C1338" s="2" t="s">
        <v>142</v>
      </c>
      <c r="D1338" s="2" t="s">
        <v>145</v>
      </c>
      <c r="E1338" s="2">
        <v>-82.0</v>
      </c>
      <c r="F1338" s="2">
        <v>26.2385393409417</v>
      </c>
      <c r="G1338" s="2">
        <v>24.9371296233494</v>
      </c>
      <c r="H1338" s="2">
        <v>7.6579609493728</v>
      </c>
      <c r="I1338" s="2">
        <v>997.0</v>
      </c>
      <c r="J1338" s="2">
        <v>915.0</v>
      </c>
      <c r="K1338" s="2">
        <v>7.71575369457116</v>
      </c>
    </row>
    <row r="1339">
      <c r="A1339" s="2">
        <v>93.0</v>
      </c>
      <c r="B1339" s="2" t="s">
        <v>29</v>
      </c>
      <c r="C1339" s="2" t="s">
        <v>142</v>
      </c>
      <c r="D1339" s="2" t="s">
        <v>145</v>
      </c>
      <c r="E1339" s="2">
        <v>-75.0</v>
      </c>
      <c r="F1339" s="2">
        <v>29.1295736831749</v>
      </c>
      <c r="G1339" s="2">
        <v>27.9592876198379</v>
      </c>
      <c r="H1339" s="2">
        <v>7.26803288637003</v>
      </c>
      <c r="I1339" s="2">
        <v>1235.0</v>
      </c>
      <c r="J1339" s="2">
        <v>1160.0</v>
      </c>
      <c r="K1339" s="2">
        <v>7.31611569747379</v>
      </c>
    </row>
    <row r="1340">
      <c r="A1340" s="2">
        <v>93.0</v>
      </c>
      <c r="B1340" s="2" t="s">
        <v>18</v>
      </c>
      <c r="C1340" s="2" t="s">
        <v>144</v>
      </c>
      <c r="D1340" s="2" t="s">
        <v>143</v>
      </c>
      <c r="E1340" s="2">
        <v>85.0</v>
      </c>
      <c r="F1340" s="2">
        <v>27.845047958218</v>
      </c>
      <c r="G1340" s="2">
        <v>29.0148095392245</v>
      </c>
      <c r="H1340" s="2">
        <v>7.26642845119757</v>
      </c>
      <c r="I1340" s="2">
        <v>1147.0</v>
      </c>
      <c r="J1340" s="2">
        <v>1232.0</v>
      </c>
      <c r="K1340" s="2">
        <v>7.3144733396881</v>
      </c>
    </row>
    <row r="1341">
      <c r="A1341" s="2">
        <v>93.0</v>
      </c>
      <c r="B1341" s="2" t="s">
        <v>36</v>
      </c>
      <c r="C1341" s="2" t="s">
        <v>144</v>
      </c>
      <c r="D1341" s="2" t="s">
        <v>143</v>
      </c>
      <c r="E1341" s="2">
        <v>110.0</v>
      </c>
      <c r="F1341" s="2">
        <v>24.1912605302774</v>
      </c>
      <c r="G1341" s="2">
        <v>25.6900624464298</v>
      </c>
      <c r="H1341" s="2">
        <v>8.20782346844701</v>
      </c>
      <c r="I1341" s="2">
        <v>800.0</v>
      </c>
      <c r="J1341" s="2">
        <v>910.0</v>
      </c>
      <c r="K1341" s="2">
        <v>8.28107432154204</v>
      </c>
    </row>
    <row r="1342">
      <c r="A1342" s="2">
        <v>93.0</v>
      </c>
      <c r="B1342" s="2" t="s">
        <v>58</v>
      </c>
      <c r="C1342" s="2" t="s">
        <v>144</v>
      </c>
      <c r="D1342" s="2" t="s">
        <v>143</v>
      </c>
      <c r="E1342" s="2">
        <v>103.0</v>
      </c>
      <c r="F1342" s="2">
        <v>23.948239097352</v>
      </c>
      <c r="G1342" s="2">
        <v>25.3540755117415</v>
      </c>
      <c r="H1342" s="2">
        <v>7.95394529502071</v>
      </c>
      <c r="I1342" s="2">
        <v>810.0</v>
      </c>
      <c r="J1342" s="2">
        <v>913.0</v>
      </c>
      <c r="K1342" s="2">
        <v>8.01979210461109</v>
      </c>
    </row>
    <row r="1343">
      <c r="A1343" s="2">
        <v>93.0</v>
      </c>
      <c r="B1343" s="2" t="s">
        <v>78</v>
      </c>
      <c r="C1343" s="2" t="s">
        <v>144</v>
      </c>
      <c r="D1343" s="2" t="s">
        <v>143</v>
      </c>
      <c r="E1343" s="2">
        <v>108.0</v>
      </c>
      <c r="F1343" s="2">
        <v>26.8779593469079</v>
      </c>
      <c r="G1343" s="2">
        <v>28.3590119958728</v>
      </c>
      <c r="H1343" s="2">
        <v>8.16000960117626</v>
      </c>
      <c r="I1343" s="2">
        <v>988.0</v>
      </c>
      <c r="J1343" s="2">
        <v>1096.0</v>
      </c>
      <c r="K1343" s="2">
        <v>8.23183005373322</v>
      </c>
    </row>
    <row r="1344">
      <c r="A1344" s="2">
        <v>93.0</v>
      </c>
      <c r="B1344" s="2" t="s">
        <v>43</v>
      </c>
      <c r="C1344" s="2" t="s">
        <v>144</v>
      </c>
      <c r="D1344" s="2" t="s">
        <v>143</v>
      </c>
      <c r="E1344" s="2">
        <v>97.0</v>
      </c>
      <c r="F1344" s="2">
        <v>28.5243879255435</v>
      </c>
      <c r="G1344" s="2">
        <v>29.8605733450268</v>
      </c>
      <c r="H1344" s="2">
        <v>7.75787274861442</v>
      </c>
      <c r="I1344" s="2">
        <v>1142.0</v>
      </c>
      <c r="J1344" s="2">
        <v>1239.0</v>
      </c>
      <c r="K1344" s="2">
        <v>7.81831637627554</v>
      </c>
    </row>
    <row r="1345">
      <c r="A1345" s="2">
        <v>93.0</v>
      </c>
      <c r="B1345" s="2" t="s">
        <v>20</v>
      </c>
      <c r="C1345" s="2" t="s">
        <v>144</v>
      </c>
      <c r="D1345" s="2" t="s">
        <v>143</v>
      </c>
      <c r="E1345" s="2">
        <v>90.0</v>
      </c>
      <c r="F1345" s="2">
        <v>28.8597838542369</v>
      </c>
      <c r="G1345" s="2">
        <v>30.1082922408524</v>
      </c>
      <c r="H1345" s="2">
        <v>7.50324425533825</v>
      </c>
      <c r="I1345" s="2">
        <v>1192.0</v>
      </c>
      <c r="J1345" s="2">
        <v>1282.0</v>
      </c>
      <c r="K1345" s="2">
        <v>7.55706494886399</v>
      </c>
    </row>
    <row r="1346">
      <c r="A1346" s="2">
        <v>93.0</v>
      </c>
      <c r="B1346" s="2" t="s">
        <v>19</v>
      </c>
      <c r="C1346" s="2" t="s">
        <v>144</v>
      </c>
      <c r="D1346" s="2" t="s">
        <v>143</v>
      </c>
      <c r="E1346" s="2">
        <v>85.0</v>
      </c>
      <c r="F1346" s="2">
        <v>34.0275436129147</v>
      </c>
      <c r="G1346" s="2">
        <v>35.2031579241616</v>
      </c>
      <c r="H1346" s="2">
        <v>7.28431117307348</v>
      </c>
      <c r="I1346" s="2">
        <v>1566.0</v>
      </c>
      <c r="J1346" s="2">
        <v>1651.0</v>
      </c>
      <c r="K1346" s="2">
        <v>7.33277965960253</v>
      </c>
    </row>
    <row r="1347">
      <c r="A1347" s="2">
        <v>93.0</v>
      </c>
      <c r="B1347" s="2" t="s">
        <v>32</v>
      </c>
      <c r="C1347" s="2" t="s">
        <v>144</v>
      </c>
      <c r="D1347" s="2" t="s">
        <v>143</v>
      </c>
      <c r="E1347" s="2">
        <v>88.0</v>
      </c>
      <c r="F1347" s="2">
        <v>28.6406850019562</v>
      </c>
      <c r="G1347" s="2">
        <v>29.8519196170166</v>
      </c>
      <c r="H1347" s="2">
        <v>7.3921567001093</v>
      </c>
      <c r="I1347" s="2">
        <v>1188.0</v>
      </c>
      <c r="J1347" s="2">
        <v>1276.0</v>
      </c>
      <c r="K1347" s="2">
        <v>7.44322296176981</v>
      </c>
    </row>
    <row r="1348">
      <c r="A1348" s="2">
        <v>93.0</v>
      </c>
      <c r="B1348" s="2" t="s">
        <v>47</v>
      </c>
      <c r="C1348" s="2" t="s">
        <v>144</v>
      </c>
      <c r="D1348" s="2" t="s">
        <v>143</v>
      </c>
      <c r="E1348" s="2">
        <v>82.0</v>
      </c>
      <c r="F1348" s="2">
        <v>20.4415707212058</v>
      </c>
      <c r="G1348" s="2">
        <v>21.5841968525315</v>
      </c>
      <c r="H1348" s="2">
        <v>7.18289975904159</v>
      </c>
      <c r="I1348" s="2">
        <v>653.0</v>
      </c>
      <c r="J1348" s="2">
        <v>735.0</v>
      </c>
      <c r="K1348" s="2">
        <v>7.22899268778662</v>
      </c>
    </row>
    <row r="1349">
      <c r="A1349" s="2">
        <v>93.0</v>
      </c>
      <c r="B1349" s="2" t="s">
        <v>44</v>
      </c>
      <c r="C1349" s="2" t="s">
        <v>144</v>
      </c>
      <c r="D1349" s="2" t="s">
        <v>143</v>
      </c>
      <c r="E1349" s="2">
        <v>109.0</v>
      </c>
      <c r="F1349" s="2">
        <v>25.962042763537</v>
      </c>
      <c r="G1349" s="2">
        <v>27.4575580408254</v>
      </c>
      <c r="H1349" s="2">
        <v>8.19899246599335</v>
      </c>
      <c r="I1349" s="2">
        <v>922.0</v>
      </c>
      <c r="J1349" s="2">
        <v>1031.0</v>
      </c>
      <c r="K1349" s="2">
        <v>8.27197785710959</v>
      </c>
    </row>
    <row r="1350">
      <c r="A1350" s="2">
        <v>92.0</v>
      </c>
      <c r="B1350" s="2" t="s">
        <v>111</v>
      </c>
      <c r="C1350" s="2" t="s">
        <v>142</v>
      </c>
      <c r="D1350" s="2" t="s">
        <v>145</v>
      </c>
      <c r="E1350" s="2">
        <v>-43.0</v>
      </c>
      <c r="F1350" s="2">
        <v>25.141014724058</v>
      </c>
      <c r="G1350" s="2">
        <v>24.4432305953534</v>
      </c>
      <c r="H1350" s="2">
        <v>7.69943403066515</v>
      </c>
      <c r="I1350" s="2">
        <v>920.0</v>
      </c>
      <c r="J1350" s="2">
        <v>877.0</v>
      </c>
      <c r="K1350" s="2">
        <v>7.73980865470864</v>
      </c>
    </row>
    <row r="1351">
      <c r="A1351" s="2">
        <v>92.0</v>
      </c>
      <c r="B1351" s="2" t="s">
        <v>24</v>
      </c>
      <c r="C1351" s="2" t="s">
        <v>142</v>
      </c>
      <c r="D1351" s="2" t="s">
        <v>145</v>
      </c>
      <c r="E1351" s="2">
        <v>-39.0</v>
      </c>
      <c r="F1351" s="2">
        <v>22.1695533886968</v>
      </c>
      <c r="G1351" s="2">
        <v>21.5464713059098</v>
      </c>
      <c r="H1351" s="2">
        <v>7.28031967133537</v>
      </c>
      <c r="I1351" s="2">
        <v>762.0</v>
      </c>
      <c r="J1351" s="2">
        <v>723.0</v>
      </c>
      <c r="K1351" s="2">
        <v>7.31312834413453</v>
      </c>
    </row>
    <row r="1352">
      <c r="A1352" s="2">
        <v>92.0</v>
      </c>
      <c r="B1352" s="2" t="s">
        <v>36</v>
      </c>
      <c r="C1352" s="2" t="s">
        <v>142</v>
      </c>
      <c r="D1352" s="2" t="s">
        <v>145</v>
      </c>
      <c r="E1352" s="2">
        <v>-50.0</v>
      </c>
      <c r="F1352" s="2">
        <v>25.0</v>
      </c>
      <c r="G1352" s="2">
        <v>24.1912605302774</v>
      </c>
      <c r="H1352" s="2">
        <v>8.28107432154204</v>
      </c>
      <c r="I1352" s="2">
        <v>850.0</v>
      </c>
      <c r="J1352" s="2">
        <v>800.0</v>
      </c>
      <c r="K1352" s="2">
        <v>8.33333333333333</v>
      </c>
    </row>
    <row r="1353">
      <c r="A1353" s="2">
        <v>92.0</v>
      </c>
      <c r="B1353" s="2" t="s">
        <v>17</v>
      </c>
      <c r="C1353" s="2" t="s">
        <v>144</v>
      </c>
      <c r="D1353" s="2" t="s">
        <v>143</v>
      </c>
      <c r="E1353" s="2">
        <v>50.0</v>
      </c>
      <c r="F1353" s="2">
        <v>31.9123407843912</v>
      </c>
      <c r="G1353" s="2">
        <v>32.5850714182667</v>
      </c>
      <c r="H1353" s="2">
        <v>7.56158188015765</v>
      </c>
      <c r="I1353" s="2">
        <v>1395.0</v>
      </c>
      <c r="J1353" s="2">
        <v>1445.0</v>
      </c>
      <c r="K1353" s="2">
        <v>7.59937949671645</v>
      </c>
    </row>
    <row r="1354">
      <c r="A1354" s="2">
        <v>92.0</v>
      </c>
      <c r="B1354" s="2" t="s">
        <v>19</v>
      </c>
      <c r="C1354" s="2" t="s">
        <v>144</v>
      </c>
      <c r="D1354" s="2" t="s">
        <v>143</v>
      </c>
      <c r="E1354" s="2">
        <v>46.0</v>
      </c>
      <c r="F1354" s="2">
        <v>33.3953504573542</v>
      </c>
      <c r="G1354" s="2">
        <v>34.0275436129147</v>
      </c>
      <c r="H1354" s="2">
        <v>7.33277965960253</v>
      </c>
      <c r="I1354" s="2">
        <v>1520.0</v>
      </c>
      <c r="J1354" s="2">
        <v>1566.0</v>
      </c>
      <c r="K1354" s="2">
        <v>7.36649205720659</v>
      </c>
    </row>
    <row r="1355">
      <c r="A1355" s="2">
        <v>92.0</v>
      </c>
      <c r="B1355" s="2" t="s">
        <v>47</v>
      </c>
      <c r="C1355" s="2" t="s">
        <v>144</v>
      </c>
      <c r="D1355" s="2" t="s">
        <v>143</v>
      </c>
      <c r="E1355" s="2">
        <v>45.0</v>
      </c>
      <c r="F1355" s="2">
        <v>19.8273368555686</v>
      </c>
      <c r="G1355" s="2">
        <v>20.4415707212058</v>
      </c>
      <c r="H1355" s="2">
        <v>7.22899268778662</v>
      </c>
      <c r="I1355" s="2">
        <v>608.0</v>
      </c>
      <c r="J1355" s="2">
        <v>653.0</v>
      </c>
      <c r="K1355" s="2">
        <v>7.26092880671994</v>
      </c>
    </row>
    <row r="1356">
      <c r="A1356" s="2">
        <v>92.0</v>
      </c>
      <c r="B1356" s="2" t="s">
        <v>23</v>
      </c>
      <c r="C1356" s="2" t="s">
        <v>144</v>
      </c>
      <c r="D1356" s="2" t="s">
        <v>143</v>
      </c>
      <c r="E1356" s="2">
        <v>40.0</v>
      </c>
      <c r="F1356" s="2">
        <v>30.5101022205283</v>
      </c>
      <c r="G1356" s="2">
        <v>31.0718007051315</v>
      </c>
      <c r="H1356" s="2">
        <v>6.9160622205673</v>
      </c>
      <c r="I1356" s="2">
        <v>1367.0</v>
      </c>
      <c r="J1356" s="2">
        <v>1407.0</v>
      </c>
      <c r="K1356" s="2">
        <v>6.94292146153818</v>
      </c>
    </row>
    <row r="1357">
      <c r="A1357" s="2">
        <v>92.0</v>
      </c>
      <c r="B1357" s="2" t="s">
        <v>80</v>
      </c>
      <c r="C1357" s="2" t="s">
        <v>144</v>
      </c>
      <c r="D1357" s="2" t="s">
        <v>143</v>
      </c>
      <c r="E1357" s="2">
        <v>52.0</v>
      </c>
      <c r="F1357" s="2">
        <v>25.53775781738</v>
      </c>
      <c r="G1357" s="2">
        <v>26.2385393409417</v>
      </c>
      <c r="H1357" s="2">
        <v>7.71575369457116</v>
      </c>
      <c r="I1357" s="2">
        <v>945.0</v>
      </c>
      <c r="J1357" s="2">
        <v>997.0</v>
      </c>
      <c r="K1357" s="2">
        <v>7.75643928662628</v>
      </c>
    </row>
    <row r="1358">
      <c r="A1358" s="2">
        <v>92.0</v>
      </c>
      <c r="B1358" s="2" t="s">
        <v>29</v>
      </c>
      <c r="C1358" s="2" t="s">
        <v>144</v>
      </c>
      <c r="D1358" s="2" t="s">
        <v>143</v>
      </c>
      <c r="E1358" s="2">
        <v>47.0</v>
      </c>
      <c r="F1358" s="2">
        <v>28.5002820711863</v>
      </c>
      <c r="G1358" s="2">
        <v>29.1295736831749</v>
      </c>
      <c r="H1358" s="2">
        <v>7.31611569747379</v>
      </c>
      <c r="I1358" s="2">
        <v>1188.0</v>
      </c>
      <c r="J1358" s="2">
        <v>1235.0</v>
      </c>
      <c r="K1358" s="2">
        <v>7.34953971424114</v>
      </c>
    </row>
    <row r="1359">
      <c r="A1359" s="2">
        <v>92.0</v>
      </c>
      <c r="B1359" s="2" t="s">
        <v>64</v>
      </c>
      <c r="C1359" s="2" t="s">
        <v>144</v>
      </c>
      <c r="D1359" s="2" t="s">
        <v>143</v>
      </c>
      <c r="E1359" s="2">
        <v>43.0</v>
      </c>
      <c r="F1359" s="2">
        <v>25.1147133639252</v>
      </c>
      <c r="G1359" s="2">
        <v>25.7007907573744</v>
      </c>
      <c r="H1359" s="2">
        <v>7.06307231503153</v>
      </c>
      <c r="I1359" s="2">
        <v>984.0</v>
      </c>
      <c r="J1359" s="2">
        <v>1027.0</v>
      </c>
      <c r="K1359" s="2">
        <v>7.09226533683332</v>
      </c>
    </row>
    <row r="1360">
      <c r="A1360" s="2">
        <v>92.0</v>
      </c>
      <c r="B1360" s="2" t="s">
        <v>22</v>
      </c>
      <c r="C1360" s="2" t="s">
        <v>144</v>
      </c>
      <c r="D1360" s="2" t="s">
        <v>143</v>
      </c>
      <c r="E1360" s="2">
        <v>47.0</v>
      </c>
      <c r="F1360" s="2">
        <v>23.5644851319738</v>
      </c>
      <c r="G1360" s="2">
        <v>24.1960294505334</v>
      </c>
      <c r="H1360" s="2">
        <v>7.32905673490832</v>
      </c>
      <c r="I1360" s="2">
        <v>851.0</v>
      </c>
      <c r="J1360" s="2">
        <v>898.0</v>
      </c>
      <c r="K1360" s="2">
        <v>7.36270459857692</v>
      </c>
    </row>
    <row r="1361">
      <c r="A1361" s="2">
        <v>92.0</v>
      </c>
      <c r="B1361" s="2" t="s">
        <v>35</v>
      </c>
      <c r="C1361" s="2" t="s">
        <v>144</v>
      </c>
      <c r="D1361" s="2" t="s">
        <v>143</v>
      </c>
      <c r="E1361" s="2">
        <v>55.0</v>
      </c>
      <c r="F1361" s="2">
        <v>26.0620474147993</v>
      </c>
      <c r="G1361" s="2">
        <v>26.7965456689131</v>
      </c>
      <c r="H1361" s="2">
        <v>7.89689047418101</v>
      </c>
      <c r="I1361" s="2">
        <v>962.0</v>
      </c>
      <c r="J1361" s="2">
        <v>1017.0</v>
      </c>
      <c r="K1361" s="2">
        <v>7.94111290972543</v>
      </c>
    </row>
    <row r="1362">
      <c r="A1362" s="2">
        <v>92.0</v>
      </c>
      <c r="B1362" s="2" t="s">
        <v>67</v>
      </c>
      <c r="C1362" s="2" t="s">
        <v>144</v>
      </c>
      <c r="D1362" s="2" t="s">
        <v>143</v>
      </c>
      <c r="E1362" s="2">
        <v>48.0</v>
      </c>
      <c r="F1362" s="2">
        <v>23.992995854159</v>
      </c>
      <c r="G1362" s="2">
        <v>24.6549760042297</v>
      </c>
      <c r="H1362" s="2">
        <v>7.50161509819491</v>
      </c>
      <c r="I1362" s="2">
        <v>863.0</v>
      </c>
      <c r="J1362" s="2">
        <v>911.0</v>
      </c>
      <c r="K1362" s="2">
        <v>7.53831911637455</v>
      </c>
    </row>
    <row r="1363">
      <c r="A1363" s="2">
        <v>92.0</v>
      </c>
      <c r="B1363" s="2" t="s">
        <v>16</v>
      </c>
      <c r="C1363" s="2" t="s">
        <v>144</v>
      </c>
      <c r="D1363" s="2" t="s">
        <v>143</v>
      </c>
      <c r="E1363" s="2">
        <v>41.0</v>
      </c>
      <c r="F1363" s="2">
        <v>32.2734338674755</v>
      </c>
      <c r="G1363" s="2">
        <v>32.8364771416939</v>
      </c>
      <c r="H1363" s="2">
        <v>6.92425620755211</v>
      </c>
      <c r="I1363" s="2">
        <v>1486.0</v>
      </c>
      <c r="J1363" s="2">
        <v>1527.0</v>
      </c>
      <c r="K1363" s="2">
        <v>6.95124318454542</v>
      </c>
    </row>
    <row r="1364">
      <c r="A1364" s="2">
        <v>91.0</v>
      </c>
      <c r="B1364" s="2" t="s">
        <v>18</v>
      </c>
      <c r="C1364" s="2" t="s">
        <v>142</v>
      </c>
      <c r="D1364" s="2" t="s">
        <v>145</v>
      </c>
      <c r="E1364" s="2">
        <v>-93.0</v>
      </c>
      <c r="F1364" s="2">
        <v>29.2921260673106</v>
      </c>
      <c r="G1364" s="2">
        <v>27.845047958218</v>
      </c>
      <c r="H1364" s="2">
        <v>7.3144733396881</v>
      </c>
      <c r="I1364" s="2">
        <v>1240.0</v>
      </c>
      <c r="J1364" s="2">
        <v>1147.0</v>
      </c>
      <c r="K1364" s="2">
        <v>7.36815691818042</v>
      </c>
    </row>
    <row r="1365">
      <c r="A1365" s="2">
        <v>91.0</v>
      </c>
      <c r="B1365" s="2" t="s">
        <v>31</v>
      </c>
      <c r="C1365" s="2" t="s">
        <v>142</v>
      </c>
      <c r="D1365" s="2" t="s">
        <v>145</v>
      </c>
      <c r="E1365" s="2">
        <v>-105.0</v>
      </c>
      <c r="F1365" s="2">
        <v>25.2845671017344</v>
      </c>
      <c r="G1365" s="2">
        <v>23.6475613933269</v>
      </c>
      <c r="H1365" s="2">
        <v>7.77130294587144</v>
      </c>
      <c r="I1365" s="2">
        <v>920.0</v>
      </c>
      <c r="J1365" s="2">
        <v>815.0</v>
      </c>
      <c r="K1365" s="2">
        <v>7.83753941393265</v>
      </c>
    </row>
    <row r="1366">
      <c r="A1366" s="2">
        <v>91.0</v>
      </c>
      <c r="B1366" s="2" t="s">
        <v>41</v>
      </c>
      <c r="C1366" s="2" t="s">
        <v>142</v>
      </c>
      <c r="D1366" s="2" t="s">
        <v>145</v>
      </c>
      <c r="E1366" s="2">
        <v>-99.0</v>
      </c>
      <c r="F1366" s="2">
        <v>30.3085857393074</v>
      </c>
      <c r="G1366" s="2">
        <v>28.7725003738841</v>
      </c>
      <c r="H1366" s="2">
        <v>7.53226165064104</v>
      </c>
      <c r="I1366" s="2">
        <v>1287.0</v>
      </c>
      <c r="J1366" s="2">
        <v>1188.0</v>
      </c>
      <c r="K1366" s="2">
        <v>7.59174152123287</v>
      </c>
    </row>
    <row r="1367">
      <c r="A1367" s="2">
        <v>91.0</v>
      </c>
      <c r="B1367" s="2" t="s">
        <v>42</v>
      </c>
      <c r="C1367" s="2" t="s">
        <v>144</v>
      </c>
      <c r="D1367" s="2" t="s">
        <v>143</v>
      </c>
      <c r="E1367" s="2">
        <v>118.0</v>
      </c>
      <c r="F1367" s="2">
        <v>27.1530361314925</v>
      </c>
      <c r="G1367" s="2">
        <v>28.7941830492663</v>
      </c>
      <c r="H1367" s="2">
        <v>7.78094329251975</v>
      </c>
      <c r="I1367" s="2">
        <v>1046.0</v>
      </c>
      <c r="J1367" s="2">
        <v>1164.0</v>
      </c>
      <c r="K1367" s="2">
        <v>7.84746115235337</v>
      </c>
    </row>
    <row r="1368">
      <c r="A1368" s="2">
        <v>91.0</v>
      </c>
      <c r="B1368" s="2" t="s">
        <v>20</v>
      </c>
      <c r="C1368" s="2" t="s">
        <v>144</v>
      </c>
      <c r="D1368" s="2" t="s">
        <v>143</v>
      </c>
      <c r="E1368" s="2">
        <v>112.0</v>
      </c>
      <c r="F1368" s="2">
        <v>27.3133842438394</v>
      </c>
      <c r="G1368" s="2">
        <v>28.8597838542369</v>
      </c>
      <c r="H1368" s="2">
        <v>7.55706494886399</v>
      </c>
      <c r="I1368" s="2">
        <v>1080.0</v>
      </c>
      <c r="J1368" s="2">
        <v>1192.0</v>
      </c>
      <c r="K1368" s="2">
        <v>7.61722641466968</v>
      </c>
    </row>
    <row r="1369">
      <c r="A1369" s="2">
        <v>91.0</v>
      </c>
      <c r="B1369" s="2" t="s">
        <v>43</v>
      </c>
      <c r="C1369" s="2" t="s">
        <v>144</v>
      </c>
      <c r="D1369" s="2" t="s">
        <v>143</v>
      </c>
      <c r="E1369" s="2">
        <v>119.0</v>
      </c>
      <c r="F1369" s="2">
        <v>26.8671343210585</v>
      </c>
      <c r="G1369" s="2">
        <v>28.5243879255435</v>
      </c>
      <c r="H1369" s="2">
        <v>7.81831637627554</v>
      </c>
      <c r="I1369" s="2">
        <v>1023.0</v>
      </c>
      <c r="J1369" s="2">
        <v>1142.0</v>
      </c>
      <c r="K1369" s="2">
        <v>7.88593175124312</v>
      </c>
    </row>
    <row r="1370">
      <c r="A1370" s="2">
        <v>91.0</v>
      </c>
      <c r="B1370" s="2" t="s">
        <v>73</v>
      </c>
      <c r="C1370" s="2" t="s">
        <v>144</v>
      </c>
      <c r="D1370" s="2" t="s">
        <v>143</v>
      </c>
      <c r="E1370" s="2">
        <v>122.0</v>
      </c>
      <c r="F1370" s="2">
        <v>25.5504746579025</v>
      </c>
      <c r="G1370" s="2">
        <v>27.2371032188984</v>
      </c>
      <c r="H1370" s="2">
        <v>7.88598485285256</v>
      </c>
      <c r="I1370" s="2">
        <v>926.0</v>
      </c>
      <c r="J1370" s="2">
        <v>1048.0</v>
      </c>
      <c r="K1370" s="2">
        <v>7.95561442219366</v>
      </c>
    </row>
    <row r="1371">
      <c r="A1371" s="2">
        <v>91.0</v>
      </c>
      <c r="B1371" s="2" t="s">
        <v>27</v>
      </c>
      <c r="C1371" s="2" t="s">
        <v>144</v>
      </c>
      <c r="D1371" s="2" t="s">
        <v>143</v>
      </c>
      <c r="E1371" s="2">
        <v>109.0</v>
      </c>
      <c r="F1371" s="2">
        <v>24.7909155262818</v>
      </c>
      <c r="G1371" s="2">
        <v>26.3101844647108</v>
      </c>
      <c r="H1371" s="2">
        <v>7.49163329920556</v>
      </c>
      <c r="I1371" s="2">
        <v>916.0</v>
      </c>
      <c r="J1371" s="2">
        <v>1025.0</v>
      </c>
      <c r="K1371" s="2">
        <v>7.55000628830007</v>
      </c>
    </row>
    <row r="1372">
      <c r="A1372" s="2">
        <v>91.0</v>
      </c>
      <c r="B1372" s="2" t="s">
        <v>23</v>
      </c>
      <c r="C1372" s="2" t="s">
        <v>144</v>
      </c>
      <c r="D1372" s="2" t="s">
        <v>143</v>
      </c>
      <c r="E1372" s="2">
        <v>94.0</v>
      </c>
      <c r="F1372" s="2">
        <v>29.2084513380642</v>
      </c>
      <c r="G1372" s="2">
        <v>30.5101022205283</v>
      </c>
      <c r="H1372" s="2">
        <v>6.94292146153818</v>
      </c>
      <c r="I1372" s="2">
        <v>1273.0</v>
      </c>
      <c r="J1372" s="2">
        <v>1367.0</v>
      </c>
      <c r="K1372" s="2">
        <v>6.98746934279047</v>
      </c>
    </row>
    <row r="1373">
      <c r="A1373" s="2">
        <v>91.0</v>
      </c>
      <c r="B1373" s="2" t="s">
        <v>47</v>
      </c>
      <c r="C1373" s="2" t="s">
        <v>144</v>
      </c>
      <c r="D1373" s="2" t="s">
        <v>143</v>
      </c>
      <c r="E1373" s="2">
        <v>103.0</v>
      </c>
      <c r="F1373" s="2">
        <v>18.4017144170395</v>
      </c>
      <c r="G1373" s="2">
        <v>19.8273368555686</v>
      </c>
      <c r="H1373" s="2">
        <v>7.26092880671994</v>
      </c>
      <c r="I1373" s="2">
        <v>505.0</v>
      </c>
      <c r="J1373" s="2">
        <v>608.0</v>
      </c>
      <c r="K1373" s="2">
        <v>7.31323826380122</v>
      </c>
    </row>
    <row r="1374">
      <c r="A1374" s="2">
        <v>91.0</v>
      </c>
      <c r="B1374" s="2" t="s">
        <v>26</v>
      </c>
      <c r="C1374" s="2" t="s">
        <v>144</v>
      </c>
      <c r="D1374" s="2" t="s">
        <v>143</v>
      </c>
      <c r="E1374" s="2">
        <v>101.0</v>
      </c>
      <c r="F1374" s="2">
        <v>27.0734433597807</v>
      </c>
      <c r="G1374" s="2">
        <v>28.4810830142426</v>
      </c>
      <c r="H1374" s="2">
        <v>7.21572450327838</v>
      </c>
      <c r="I1374" s="2">
        <v>1100.0</v>
      </c>
      <c r="J1374" s="2">
        <v>1201.0</v>
      </c>
      <c r="K1374" s="2">
        <v>7.26688922500059</v>
      </c>
    </row>
    <row r="1375">
      <c r="A1375" s="2">
        <v>91.0</v>
      </c>
      <c r="B1375" s="2" t="s">
        <v>16</v>
      </c>
      <c r="C1375" s="2" t="s">
        <v>144</v>
      </c>
      <c r="D1375" s="2" t="s">
        <v>143</v>
      </c>
      <c r="E1375" s="2">
        <v>94.0</v>
      </c>
      <c r="F1375" s="2">
        <v>30.9686139937351</v>
      </c>
      <c r="G1375" s="2">
        <v>32.2734338674755</v>
      </c>
      <c r="H1375" s="2">
        <v>6.95124318454542</v>
      </c>
      <c r="I1375" s="2">
        <v>1392.0</v>
      </c>
      <c r="J1375" s="2">
        <v>1486.0</v>
      </c>
      <c r="K1375" s="2">
        <v>6.99598565704401</v>
      </c>
    </row>
    <row r="1376">
      <c r="A1376" s="2">
        <v>91.0</v>
      </c>
      <c r="B1376" s="2" t="s">
        <v>34</v>
      </c>
      <c r="C1376" s="2" t="s">
        <v>144</v>
      </c>
      <c r="D1376" s="2" t="s">
        <v>143</v>
      </c>
      <c r="E1376" s="2">
        <v>130.0</v>
      </c>
      <c r="F1376" s="2">
        <v>23.2350434115681</v>
      </c>
      <c r="G1376" s="2">
        <v>25.037984597754</v>
      </c>
      <c r="H1376" s="2">
        <v>8.14797190001314</v>
      </c>
      <c r="I1376" s="2">
        <v>741.0</v>
      </c>
      <c r="J1376" s="2">
        <v>871.0</v>
      </c>
      <c r="K1376" s="2">
        <v>8.225734740489</v>
      </c>
    </row>
    <row r="1377">
      <c r="A1377" s="2">
        <v>90.0</v>
      </c>
      <c r="B1377" s="2" t="s">
        <v>113</v>
      </c>
      <c r="C1377" s="2" t="s">
        <v>142</v>
      </c>
      <c r="D1377" s="2" t="s">
        <v>145</v>
      </c>
      <c r="E1377" s="2">
        <v>-95.0</v>
      </c>
      <c r="F1377" s="2">
        <v>25.0</v>
      </c>
      <c r="G1377" s="2">
        <v>23.4996524972193</v>
      </c>
      <c r="H1377" s="2">
        <v>8.26619296951159</v>
      </c>
      <c r="I1377" s="2">
        <v>850.0</v>
      </c>
      <c r="J1377" s="2">
        <v>755.0</v>
      </c>
      <c r="K1377" s="2">
        <v>8.33333333333333</v>
      </c>
    </row>
    <row r="1378">
      <c r="A1378" s="2">
        <v>90.0</v>
      </c>
      <c r="B1378" s="2" t="s">
        <v>73</v>
      </c>
      <c r="C1378" s="2" t="s">
        <v>142</v>
      </c>
      <c r="D1378" s="2" t="s">
        <v>145</v>
      </c>
      <c r="E1378" s="2">
        <v>-88.0</v>
      </c>
      <c r="F1378" s="2">
        <v>26.9383638310195</v>
      </c>
      <c r="G1378" s="2">
        <v>25.5504746579025</v>
      </c>
      <c r="H1378" s="2">
        <v>7.95561442219366</v>
      </c>
      <c r="I1378" s="2">
        <v>1014.0</v>
      </c>
      <c r="J1378" s="2">
        <v>926.0</v>
      </c>
      <c r="K1378" s="2">
        <v>8.01451809137464</v>
      </c>
    </row>
    <row r="1379">
      <c r="A1379" s="2">
        <v>90.0</v>
      </c>
      <c r="B1379" s="2" t="s">
        <v>31</v>
      </c>
      <c r="C1379" s="2" t="s">
        <v>142</v>
      </c>
      <c r="D1379" s="2" t="s">
        <v>145</v>
      </c>
      <c r="E1379" s="2">
        <v>-86.0</v>
      </c>
      <c r="F1379" s="2">
        <v>26.6309083185317</v>
      </c>
      <c r="G1379" s="2">
        <v>25.2845671017344</v>
      </c>
      <c r="H1379" s="2">
        <v>7.83753941393265</v>
      </c>
      <c r="I1379" s="2">
        <v>1006.0</v>
      </c>
      <c r="J1379" s="2">
        <v>920.0</v>
      </c>
      <c r="K1379" s="2">
        <v>7.89347432729781</v>
      </c>
    </row>
    <row r="1380">
      <c r="A1380" s="2">
        <v>90.0</v>
      </c>
      <c r="B1380" s="2" t="s">
        <v>18</v>
      </c>
      <c r="C1380" s="2" t="s">
        <v>144</v>
      </c>
      <c r="D1380" s="2" t="s">
        <v>143</v>
      </c>
      <c r="E1380" s="2">
        <v>85.0</v>
      </c>
      <c r="F1380" s="2">
        <v>28.104427788032</v>
      </c>
      <c r="G1380" s="2">
        <v>29.2921260673106</v>
      </c>
      <c r="H1380" s="2">
        <v>7.36815691818042</v>
      </c>
      <c r="I1380" s="2">
        <v>1155.0</v>
      </c>
      <c r="J1380" s="2">
        <v>1240.0</v>
      </c>
      <c r="K1380" s="2">
        <v>7.41313302574619</v>
      </c>
    </row>
    <row r="1381">
      <c r="A1381" s="2">
        <v>90.0</v>
      </c>
      <c r="B1381" s="2" t="s">
        <v>20</v>
      </c>
      <c r="C1381" s="2" t="s">
        <v>144</v>
      </c>
      <c r="D1381" s="2" t="s">
        <v>143</v>
      </c>
      <c r="E1381" s="2">
        <v>91.0</v>
      </c>
      <c r="F1381" s="2">
        <v>26.0427992714323</v>
      </c>
      <c r="G1381" s="2">
        <v>27.3133842438394</v>
      </c>
      <c r="H1381" s="2">
        <v>7.61722641466968</v>
      </c>
      <c r="I1381" s="2">
        <v>989.0</v>
      </c>
      <c r="J1381" s="2">
        <v>1080.0</v>
      </c>
      <c r="K1381" s="2">
        <v>7.66785311704989</v>
      </c>
    </row>
    <row r="1382">
      <c r="A1382" s="2">
        <v>90.0</v>
      </c>
      <c r="B1382" s="2" t="s">
        <v>43</v>
      </c>
      <c r="C1382" s="2" t="s">
        <v>144</v>
      </c>
      <c r="D1382" s="2" t="s">
        <v>143</v>
      </c>
      <c r="E1382" s="2">
        <v>99.0</v>
      </c>
      <c r="F1382" s="2">
        <v>25.5038450247309</v>
      </c>
      <c r="G1382" s="2">
        <v>26.8671343210585</v>
      </c>
      <c r="H1382" s="2">
        <v>7.88593175124312</v>
      </c>
      <c r="I1382" s="2">
        <v>924.0</v>
      </c>
      <c r="J1382" s="2">
        <v>1023.0</v>
      </c>
      <c r="K1382" s="2">
        <v>7.94307277971238</v>
      </c>
    </row>
    <row r="1383">
      <c r="A1383" s="2">
        <v>90.0</v>
      </c>
      <c r="B1383" s="2" t="s">
        <v>74</v>
      </c>
      <c r="C1383" s="2" t="s">
        <v>144</v>
      </c>
      <c r="D1383" s="2" t="s">
        <v>143</v>
      </c>
      <c r="E1383" s="2">
        <v>109.0</v>
      </c>
      <c r="F1383" s="2">
        <v>25.0</v>
      </c>
      <c r="G1383" s="2">
        <v>26.5003475027806</v>
      </c>
      <c r="H1383" s="2">
        <v>8.26619296951159</v>
      </c>
      <c r="I1383" s="2">
        <v>850.0</v>
      </c>
      <c r="J1383" s="2">
        <v>959.0</v>
      </c>
      <c r="K1383" s="2">
        <v>8.33333333333333</v>
      </c>
    </row>
    <row r="1384">
      <c r="A1384" s="2">
        <v>90.0</v>
      </c>
      <c r="B1384" s="2" t="s">
        <v>29</v>
      </c>
      <c r="C1384" s="2" t="s">
        <v>144</v>
      </c>
      <c r="D1384" s="2" t="s">
        <v>143</v>
      </c>
      <c r="E1384" s="2">
        <v>85.0</v>
      </c>
      <c r="F1384" s="2">
        <v>27.3186622278256</v>
      </c>
      <c r="G1384" s="2">
        <v>28.5002820711863</v>
      </c>
      <c r="H1384" s="2">
        <v>7.34953971424114</v>
      </c>
      <c r="I1384" s="2">
        <v>1103.0</v>
      </c>
      <c r="J1384" s="2">
        <v>1188.0</v>
      </c>
      <c r="K1384" s="2">
        <v>7.39410797486605</v>
      </c>
    </row>
    <row r="1385">
      <c r="A1385" s="2">
        <v>90.0</v>
      </c>
      <c r="B1385" s="2" t="s">
        <v>87</v>
      </c>
      <c r="C1385" s="2" t="s">
        <v>144</v>
      </c>
      <c r="D1385" s="2" t="s">
        <v>143</v>
      </c>
      <c r="E1385" s="2">
        <v>101.0</v>
      </c>
      <c r="F1385" s="2">
        <v>23.4090695614222</v>
      </c>
      <c r="G1385" s="2">
        <v>24.7930390718625</v>
      </c>
      <c r="H1385" s="2">
        <v>7.94455508104567</v>
      </c>
      <c r="I1385" s="2">
        <v>775.0</v>
      </c>
      <c r="J1385" s="2">
        <v>876.0</v>
      </c>
      <c r="K1385" s="2">
        <v>8.00317694901299</v>
      </c>
    </row>
    <row r="1386">
      <c r="A1386" s="2">
        <v>90.0</v>
      </c>
      <c r="B1386" s="2" t="s">
        <v>67</v>
      </c>
      <c r="C1386" s="2" t="s">
        <v>144</v>
      </c>
      <c r="D1386" s="2" t="s">
        <v>143</v>
      </c>
      <c r="E1386" s="2">
        <v>90.0</v>
      </c>
      <c r="F1386" s="2">
        <v>22.7489860401398</v>
      </c>
      <c r="G1386" s="2">
        <v>23.992995854159</v>
      </c>
      <c r="H1386" s="2">
        <v>7.53831911637455</v>
      </c>
      <c r="I1386" s="2">
        <v>773.0</v>
      </c>
      <c r="J1386" s="2">
        <v>863.0</v>
      </c>
      <c r="K1386" s="2">
        <v>7.58711610828853</v>
      </c>
    </row>
    <row r="1387">
      <c r="A1387" s="2">
        <v>90.0</v>
      </c>
      <c r="B1387" s="2" t="s">
        <v>37</v>
      </c>
      <c r="C1387" s="2" t="s">
        <v>144</v>
      </c>
      <c r="D1387" s="2" t="s">
        <v>143</v>
      </c>
      <c r="E1387" s="2">
        <v>106.0</v>
      </c>
      <c r="F1387" s="2">
        <v>25.3516719040561</v>
      </c>
      <c r="G1387" s="2">
        <v>26.8086156286882</v>
      </c>
      <c r="H1387" s="2">
        <v>8.14782523180799</v>
      </c>
      <c r="I1387" s="2">
        <v>886.0</v>
      </c>
      <c r="J1387" s="2">
        <v>992.0</v>
      </c>
      <c r="K1387" s="2">
        <v>8.21175207018624</v>
      </c>
    </row>
    <row r="1388">
      <c r="A1388" s="2">
        <v>90.0</v>
      </c>
      <c r="B1388" s="2" t="s">
        <v>16</v>
      </c>
      <c r="C1388" s="2" t="s">
        <v>144</v>
      </c>
      <c r="D1388" s="2" t="s">
        <v>143</v>
      </c>
      <c r="E1388" s="2">
        <v>76.0</v>
      </c>
      <c r="F1388" s="2">
        <v>29.8993510367166</v>
      </c>
      <c r="G1388" s="2">
        <v>30.9686139937351</v>
      </c>
      <c r="H1388" s="2">
        <v>6.99598565704401</v>
      </c>
      <c r="I1388" s="2">
        <v>1316.0</v>
      </c>
      <c r="J1388" s="2">
        <v>1392.0</v>
      </c>
      <c r="K1388" s="2">
        <v>7.03317780124973</v>
      </c>
    </row>
    <row r="1389">
      <c r="A1389" s="2">
        <v>90.0</v>
      </c>
      <c r="B1389" s="2" t="s">
        <v>97</v>
      </c>
      <c r="C1389" s="2" t="s">
        <v>144</v>
      </c>
      <c r="D1389" s="2" t="s">
        <v>143</v>
      </c>
      <c r="E1389" s="2">
        <v>84.0</v>
      </c>
      <c r="F1389" s="2">
        <v>23.1631859414717</v>
      </c>
      <c r="G1389" s="2">
        <v>24.3341206871969</v>
      </c>
      <c r="H1389" s="2">
        <v>7.31669172180843</v>
      </c>
      <c r="I1389" s="2">
        <v>824.0</v>
      </c>
      <c r="J1389" s="2">
        <v>908.0</v>
      </c>
      <c r="K1389" s="2">
        <v>7.36054521865484</v>
      </c>
    </row>
    <row r="1390">
      <c r="A1390" s="2">
        <v>90.0</v>
      </c>
      <c r="B1390" s="2" t="s">
        <v>38</v>
      </c>
      <c r="C1390" s="2" t="s">
        <v>144</v>
      </c>
      <c r="D1390" s="2" t="s">
        <v>143</v>
      </c>
      <c r="E1390" s="2">
        <v>81.0</v>
      </c>
      <c r="F1390" s="2">
        <v>22.0273894453791</v>
      </c>
      <c r="G1390" s="2">
        <v>23.1619492318698</v>
      </c>
      <c r="H1390" s="2">
        <v>7.20368192825773</v>
      </c>
      <c r="I1390" s="2">
        <v>759.0</v>
      </c>
      <c r="J1390" s="2">
        <v>840.0</v>
      </c>
      <c r="K1390" s="2">
        <v>7.24512305476916</v>
      </c>
    </row>
    <row r="1391">
      <c r="A1391" s="2">
        <v>89.0</v>
      </c>
      <c r="B1391" s="2" t="s">
        <v>64</v>
      </c>
      <c r="C1391" s="2" t="s">
        <v>142</v>
      </c>
      <c r="D1391" s="2" t="s">
        <v>145</v>
      </c>
      <c r="E1391" s="2">
        <v>-96.0</v>
      </c>
      <c r="F1391" s="2">
        <v>26.5942072819605</v>
      </c>
      <c r="G1391" s="2">
        <v>25.1147133639252</v>
      </c>
      <c r="H1391" s="2">
        <v>7.09226533683332</v>
      </c>
      <c r="I1391" s="2">
        <v>1080.0</v>
      </c>
      <c r="J1391" s="2">
        <v>984.0</v>
      </c>
      <c r="K1391" s="2">
        <v>7.14316079590191</v>
      </c>
    </row>
    <row r="1392">
      <c r="A1392" s="2">
        <v>89.0</v>
      </c>
      <c r="B1392" s="2" t="s">
        <v>16</v>
      </c>
      <c r="C1392" s="2" t="s">
        <v>142</v>
      </c>
      <c r="D1392" s="2" t="s">
        <v>145</v>
      </c>
      <c r="E1392" s="2">
        <v>-94.0</v>
      </c>
      <c r="F1392" s="2">
        <v>31.3538983854378</v>
      </c>
      <c r="G1392" s="2">
        <v>29.8993510367166</v>
      </c>
      <c r="H1392" s="2">
        <v>7.03317780124973</v>
      </c>
      <c r="I1392" s="2">
        <v>1410.0</v>
      </c>
      <c r="J1392" s="2">
        <v>1316.0</v>
      </c>
      <c r="K1392" s="2">
        <v>7.0825752385374</v>
      </c>
    </row>
    <row r="1393">
      <c r="A1393" s="2">
        <v>89.0</v>
      </c>
      <c r="B1393" s="2" t="s">
        <v>38</v>
      </c>
      <c r="C1393" s="2" t="s">
        <v>142</v>
      </c>
      <c r="D1393" s="2" t="s">
        <v>145</v>
      </c>
      <c r="E1393" s="2">
        <v>-99.0</v>
      </c>
      <c r="F1393" s="2">
        <v>23.5724537486065</v>
      </c>
      <c r="G1393" s="2">
        <v>22.0273894453791</v>
      </c>
      <c r="H1393" s="2">
        <v>7.24512305476916</v>
      </c>
      <c r="I1393" s="2">
        <v>858.0</v>
      </c>
      <c r="J1393" s="2">
        <v>759.0</v>
      </c>
      <c r="K1393" s="2">
        <v>7.3000085326061</v>
      </c>
    </row>
    <row r="1394">
      <c r="A1394" s="2">
        <v>89.0</v>
      </c>
      <c r="B1394" s="2" t="s">
        <v>19</v>
      </c>
      <c r="C1394" s="2" t="s">
        <v>144</v>
      </c>
      <c r="D1394" s="2" t="s">
        <v>143</v>
      </c>
      <c r="E1394" s="2">
        <v>115.0</v>
      </c>
      <c r="F1394" s="2">
        <v>31.7971572782849</v>
      </c>
      <c r="G1394" s="2">
        <v>33.3953504573542</v>
      </c>
      <c r="H1394" s="2">
        <v>7.36649205720659</v>
      </c>
      <c r="I1394" s="2">
        <v>1405.0</v>
      </c>
      <c r="J1394" s="2">
        <v>1520.0</v>
      </c>
      <c r="K1394" s="2">
        <v>7.42466589966926</v>
      </c>
    </row>
    <row r="1395">
      <c r="A1395" s="2">
        <v>89.0</v>
      </c>
      <c r="B1395" s="2" t="s">
        <v>47</v>
      </c>
      <c r="C1395" s="2" t="s">
        <v>144</v>
      </c>
      <c r="D1395" s="2" t="s">
        <v>143</v>
      </c>
      <c r="E1395" s="2">
        <v>113.0</v>
      </c>
      <c r="F1395" s="2">
        <v>16.8269493379253</v>
      </c>
      <c r="G1395" s="2">
        <v>18.4017144170395</v>
      </c>
      <c r="H1395" s="2">
        <v>7.31323826380122</v>
      </c>
      <c r="I1395" s="2">
        <v>392.0</v>
      </c>
      <c r="J1395" s="2">
        <v>505.0</v>
      </c>
      <c r="K1395" s="2">
        <v>7.36995596161823</v>
      </c>
    </row>
    <row r="1396">
      <c r="A1396" s="2">
        <v>89.0</v>
      </c>
      <c r="B1396" s="2" t="s">
        <v>35</v>
      </c>
      <c r="C1396" s="2" t="s">
        <v>144</v>
      </c>
      <c r="D1396" s="2" t="s">
        <v>143</v>
      </c>
      <c r="E1396" s="2">
        <v>134.0</v>
      </c>
      <c r="F1396" s="2">
        <v>24.1993981427073</v>
      </c>
      <c r="G1396" s="2">
        <v>26.0620474147993</v>
      </c>
      <c r="H1396" s="2">
        <v>7.94111290972543</v>
      </c>
      <c r="I1396" s="2">
        <v>828.0</v>
      </c>
      <c r="J1396" s="2">
        <v>962.0</v>
      </c>
      <c r="K1396" s="2">
        <v>8.01637733533646</v>
      </c>
    </row>
    <row r="1397">
      <c r="A1397" s="2">
        <v>89.0</v>
      </c>
      <c r="B1397" s="2" t="s">
        <v>20</v>
      </c>
      <c r="C1397" s="2" t="s">
        <v>144</v>
      </c>
      <c r="D1397" s="2" t="s">
        <v>143</v>
      </c>
      <c r="E1397" s="2">
        <v>125.0</v>
      </c>
      <c r="F1397" s="2">
        <v>24.3085828801958</v>
      </c>
      <c r="G1397" s="2">
        <v>26.0427992714323</v>
      </c>
      <c r="H1397" s="2">
        <v>7.66785311704989</v>
      </c>
      <c r="I1397" s="2">
        <v>864.0</v>
      </c>
      <c r="J1397" s="2">
        <v>989.0</v>
      </c>
      <c r="K1397" s="2">
        <v>7.73466890619433</v>
      </c>
    </row>
    <row r="1398">
      <c r="A1398" s="2">
        <v>89.0</v>
      </c>
      <c r="B1398" s="2" t="s">
        <v>67</v>
      </c>
      <c r="C1398" s="2" t="s">
        <v>144</v>
      </c>
      <c r="D1398" s="2" t="s">
        <v>143</v>
      </c>
      <c r="E1398" s="2">
        <v>122.0</v>
      </c>
      <c r="F1398" s="2">
        <v>21.0517870551553</v>
      </c>
      <c r="G1398" s="2">
        <v>22.7489860401398</v>
      </c>
      <c r="H1398" s="2">
        <v>7.58711610828853</v>
      </c>
      <c r="I1398" s="2">
        <v>651.0</v>
      </c>
      <c r="J1398" s="2">
        <v>773.0</v>
      </c>
      <c r="K1398" s="2">
        <v>7.65154859856358</v>
      </c>
    </row>
    <row r="1399">
      <c r="A1399" s="2">
        <v>89.0</v>
      </c>
      <c r="B1399" s="2" t="s">
        <v>24</v>
      </c>
      <c r="C1399" s="2" t="s">
        <v>144</v>
      </c>
      <c r="D1399" s="2" t="s">
        <v>143</v>
      </c>
      <c r="E1399" s="2">
        <v>113.0</v>
      </c>
      <c r="F1399" s="2">
        <v>20.5948364784701</v>
      </c>
      <c r="G1399" s="2">
        <v>22.1695533886968</v>
      </c>
      <c r="H1399" s="2">
        <v>7.31312834413453</v>
      </c>
      <c r="I1399" s="2">
        <v>649.0</v>
      </c>
      <c r="J1399" s="2">
        <v>762.0</v>
      </c>
      <c r="K1399" s="2">
        <v>7.36984305794343</v>
      </c>
    </row>
    <row r="1400">
      <c r="A1400" s="2">
        <v>89.0</v>
      </c>
      <c r="B1400" s="2" t="s">
        <v>22</v>
      </c>
      <c r="C1400" s="2" t="s">
        <v>144</v>
      </c>
      <c r="D1400" s="2" t="s">
        <v>143</v>
      </c>
      <c r="E1400" s="2">
        <v>114.0</v>
      </c>
      <c r="F1400" s="2">
        <v>21.9679642012685</v>
      </c>
      <c r="G1400" s="2">
        <v>23.5644851319738</v>
      </c>
      <c r="H1400" s="2">
        <v>7.36270459857692</v>
      </c>
      <c r="I1400" s="2">
        <v>737.0</v>
      </c>
      <c r="J1400" s="2">
        <v>851.0</v>
      </c>
      <c r="K1400" s="2">
        <v>7.42077418736637</v>
      </c>
    </row>
    <row r="1401">
      <c r="A1401" s="2">
        <v>89.0</v>
      </c>
      <c r="B1401" s="2" t="s">
        <v>23</v>
      </c>
      <c r="C1401" s="2" t="s">
        <v>144</v>
      </c>
      <c r="D1401" s="2" t="s">
        <v>143</v>
      </c>
      <c r="E1401" s="2">
        <v>102.0</v>
      </c>
      <c r="F1401" s="2">
        <v>27.7730493953849</v>
      </c>
      <c r="G1401" s="2">
        <v>29.2084513380642</v>
      </c>
      <c r="H1401" s="2">
        <v>6.98746934279047</v>
      </c>
      <c r="I1401" s="2">
        <v>1171.0</v>
      </c>
      <c r="J1401" s="2">
        <v>1273.0</v>
      </c>
      <c r="K1401" s="2">
        <v>7.03572463352794</v>
      </c>
    </row>
    <row r="1402">
      <c r="A1402" s="2">
        <v>89.0</v>
      </c>
      <c r="B1402" s="2" t="s">
        <v>41</v>
      </c>
      <c r="C1402" s="2" t="s">
        <v>144</v>
      </c>
      <c r="D1402" s="2" t="s">
        <v>143</v>
      </c>
      <c r="E1402" s="2">
        <v>123.0</v>
      </c>
      <c r="F1402" s="2">
        <v>28.6092774362553</v>
      </c>
      <c r="G1402" s="2">
        <v>30.3085857393074</v>
      </c>
      <c r="H1402" s="2">
        <v>7.59174152123287</v>
      </c>
      <c r="I1402" s="2">
        <v>1164.0</v>
      </c>
      <c r="J1402" s="2">
        <v>1287.0</v>
      </c>
      <c r="K1402" s="2">
        <v>7.65630918744524</v>
      </c>
    </row>
    <row r="1403">
      <c r="A1403" s="2">
        <v>89.0</v>
      </c>
      <c r="B1403" s="2" t="s">
        <v>29</v>
      </c>
      <c r="C1403" s="2" t="s">
        <v>144</v>
      </c>
      <c r="D1403" s="2" t="s">
        <v>143</v>
      </c>
      <c r="E1403" s="2">
        <v>115.0</v>
      </c>
      <c r="F1403" s="2">
        <v>25.7082481084989</v>
      </c>
      <c r="G1403" s="2">
        <v>27.3186622278256</v>
      </c>
      <c r="H1403" s="2">
        <v>7.39410797486605</v>
      </c>
      <c r="I1403" s="2">
        <v>988.0</v>
      </c>
      <c r="J1403" s="2">
        <v>1103.0</v>
      </c>
      <c r="K1403" s="2">
        <v>7.45304518956247</v>
      </c>
    </row>
    <row r="1404">
      <c r="A1404" s="2">
        <v>88.0</v>
      </c>
      <c r="B1404" s="2" t="s">
        <v>27</v>
      </c>
      <c r="C1404" s="2" t="s">
        <v>142</v>
      </c>
      <c r="D1404" s="2" t="s">
        <v>145</v>
      </c>
      <c r="E1404" s="2">
        <v>-55.0</v>
      </c>
      <c r="F1404" s="2">
        <v>25.6786616780001</v>
      </c>
      <c r="G1404" s="2">
        <v>24.7909155262818</v>
      </c>
      <c r="H1404" s="2">
        <v>7.55000628830007</v>
      </c>
      <c r="I1404" s="2">
        <v>971.0</v>
      </c>
      <c r="J1404" s="2">
        <v>916.0</v>
      </c>
      <c r="K1404" s="2">
        <v>7.59727082208885</v>
      </c>
    </row>
    <row r="1405">
      <c r="A1405" s="2">
        <v>88.0</v>
      </c>
      <c r="B1405" s="2" t="s">
        <v>124</v>
      </c>
      <c r="C1405" s="2" t="s">
        <v>142</v>
      </c>
      <c r="D1405" s="2" t="s">
        <v>145</v>
      </c>
      <c r="E1405" s="2">
        <v>-63.0</v>
      </c>
      <c r="F1405" s="2">
        <v>20.4071091003487</v>
      </c>
      <c r="G1405" s="2">
        <v>19.4007171330119</v>
      </c>
      <c r="H1405" s="2">
        <v>8.03111397516713</v>
      </c>
      <c r="I1405" s="2">
        <v>563.0</v>
      </c>
      <c r="J1405" s="2">
        <v>500.0</v>
      </c>
      <c r="K1405" s="2">
        <v>8.08977986446807</v>
      </c>
    </row>
    <row r="1406">
      <c r="A1406" s="2">
        <v>88.0</v>
      </c>
      <c r="B1406" s="2" t="s">
        <v>20</v>
      </c>
      <c r="C1406" s="2" t="s">
        <v>142</v>
      </c>
      <c r="D1406" s="2" t="s">
        <v>145</v>
      </c>
      <c r="E1406" s="2">
        <v>-58.0</v>
      </c>
      <c r="F1406" s="2">
        <v>25.2409487281357</v>
      </c>
      <c r="G1406" s="2">
        <v>24.3085828801958</v>
      </c>
      <c r="H1406" s="2">
        <v>7.73466890619433</v>
      </c>
      <c r="I1406" s="2">
        <v>922.0</v>
      </c>
      <c r="J1406" s="2">
        <v>864.0</v>
      </c>
      <c r="K1406" s="2">
        <v>7.78614685805702</v>
      </c>
    </row>
    <row r="1407">
      <c r="A1407" s="2">
        <v>88.0</v>
      </c>
      <c r="B1407" s="2" t="s">
        <v>18</v>
      </c>
      <c r="C1407" s="2" t="s">
        <v>144</v>
      </c>
      <c r="D1407" s="2" t="s">
        <v>143</v>
      </c>
      <c r="E1407" s="2">
        <v>63.0</v>
      </c>
      <c r="F1407" s="2">
        <v>27.2490181188739</v>
      </c>
      <c r="G1407" s="2">
        <v>28.104427788032</v>
      </c>
      <c r="H1407" s="2">
        <v>7.41313302574619</v>
      </c>
      <c r="I1407" s="2">
        <v>1092.0</v>
      </c>
      <c r="J1407" s="2">
        <v>1155.0</v>
      </c>
      <c r="K1407" s="2">
        <v>7.45740082311671</v>
      </c>
    </row>
    <row r="1408">
      <c r="A1408" s="2">
        <v>88.0</v>
      </c>
      <c r="B1408" s="2" t="s">
        <v>26</v>
      </c>
      <c r="C1408" s="2" t="s">
        <v>144</v>
      </c>
      <c r="D1408" s="2" t="s">
        <v>143</v>
      </c>
      <c r="E1408" s="2">
        <v>60.0</v>
      </c>
      <c r="F1408" s="2">
        <v>26.25189405906</v>
      </c>
      <c r="G1408" s="2">
        <v>27.0734433597807</v>
      </c>
      <c r="H1408" s="2">
        <v>7.26688922500059</v>
      </c>
      <c r="I1408" s="2">
        <v>1040.0</v>
      </c>
      <c r="J1408" s="2">
        <v>1100.0</v>
      </c>
      <c r="K1408" s="2">
        <v>7.30807069376016</v>
      </c>
    </row>
    <row r="1409">
      <c r="A1409" s="2">
        <v>88.0</v>
      </c>
      <c r="B1409" s="2" t="s">
        <v>47</v>
      </c>
      <c r="C1409" s="2" t="s">
        <v>144</v>
      </c>
      <c r="D1409" s="2" t="s">
        <v>143</v>
      </c>
      <c r="E1409" s="2">
        <v>61.0</v>
      </c>
      <c r="F1409" s="2">
        <v>15.9816106658428</v>
      </c>
      <c r="G1409" s="2">
        <v>16.8269493379253</v>
      </c>
      <c r="H1409" s="2">
        <v>7.36995596161823</v>
      </c>
      <c r="I1409" s="2">
        <v>331.0</v>
      </c>
      <c r="J1409" s="2">
        <v>392.0</v>
      </c>
      <c r="K1409" s="2">
        <v>7.41330026274612</v>
      </c>
    </row>
    <row r="1410">
      <c r="A1410" s="2">
        <v>88.0</v>
      </c>
      <c r="B1410" s="2" t="s">
        <v>80</v>
      </c>
      <c r="C1410" s="2" t="s">
        <v>144</v>
      </c>
      <c r="D1410" s="2" t="s">
        <v>143</v>
      </c>
      <c r="E1410" s="2">
        <v>69.0</v>
      </c>
      <c r="F1410" s="2">
        <v>24.6000562770064</v>
      </c>
      <c r="G1410" s="2">
        <v>25.53775781738</v>
      </c>
      <c r="H1410" s="2">
        <v>7.75643928662628</v>
      </c>
      <c r="I1410" s="2">
        <v>876.0</v>
      </c>
      <c r="J1410" s="2">
        <v>945.0</v>
      </c>
      <c r="K1410" s="2">
        <v>7.80842712318893</v>
      </c>
    </row>
    <row r="1411">
      <c r="A1411" s="2">
        <v>88.0</v>
      </c>
      <c r="B1411" s="2" t="s">
        <v>64</v>
      </c>
      <c r="C1411" s="2" t="s">
        <v>144</v>
      </c>
      <c r="D1411" s="2" t="s">
        <v>143</v>
      </c>
      <c r="E1411" s="2">
        <v>58.0</v>
      </c>
      <c r="F1411" s="2">
        <v>25.8007503746783</v>
      </c>
      <c r="G1411" s="2">
        <v>26.5942072819605</v>
      </c>
      <c r="H1411" s="2">
        <v>7.14316079590191</v>
      </c>
      <c r="I1411" s="2">
        <v>1022.0</v>
      </c>
      <c r="J1411" s="2">
        <v>1080.0</v>
      </c>
      <c r="K1411" s="2">
        <v>7.18182206991114</v>
      </c>
    </row>
    <row r="1412">
      <c r="A1412" s="2">
        <v>88.0</v>
      </c>
      <c r="B1412" s="2" t="s">
        <v>24</v>
      </c>
      <c r="C1412" s="2" t="s">
        <v>144</v>
      </c>
      <c r="D1412" s="2" t="s">
        <v>143</v>
      </c>
      <c r="E1412" s="2">
        <v>62.0</v>
      </c>
      <c r="F1412" s="2">
        <v>19.7495240596368</v>
      </c>
      <c r="G1412" s="2">
        <v>20.5948364784701</v>
      </c>
      <c r="H1412" s="2">
        <v>7.36984305794343</v>
      </c>
      <c r="I1412" s="2">
        <v>587.0</v>
      </c>
      <c r="J1412" s="2">
        <v>649.0</v>
      </c>
      <c r="K1412" s="2">
        <v>7.41318495780117</v>
      </c>
    </row>
    <row r="1413">
      <c r="A1413" s="2">
        <v>88.0</v>
      </c>
      <c r="B1413" s="2" t="s">
        <v>19</v>
      </c>
      <c r="C1413" s="2" t="s">
        <v>144</v>
      </c>
      <c r="D1413" s="2" t="s">
        <v>143</v>
      </c>
      <c r="E1413" s="2">
        <v>63.0</v>
      </c>
      <c r="F1413" s="2">
        <v>30.9390470685914</v>
      </c>
      <c r="G1413" s="2">
        <v>31.797157278285</v>
      </c>
      <c r="H1413" s="2">
        <v>7.42466589966926</v>
      </c>
      <c r="I1413" s="2">
        <v>1342.0</v>
      </c>
      <c r="J1413" s="2">
        <v>1405.0</v>
      </c>
      <c r="K1413" s="2">
        <v>7.46918212769413</v>
      </c>
    </row>
    <row r="1414">
      <c r="A1414" s="2">
        <v>88.0</v>
      </c>
      <c r="B1414" s="2" t="s">
        <v>17</v>
      </c>
      <c r="C1414" s="2" t="s">
        <v>144</v>
      </c>
      <c r="D1414" s="2" t="s">
        <v>143</v>
      </c>
      <c r="E1414" s="2">
        <v>66.0</v>
      </c>
      <c r="F1414" s="2">
        <v>31.012776535812</v>
      </c>
      <c r="G1414" s="2">
        <v>31.9123407843912</v>
      </c>
      <c r="H1414" s="2">
        <v>7.59937949671645</v>
      </c>
      <c r="I1414" s="2">
        <v>1329.0</v>
      </c>
      <c r="J1414" s="2">
        <v>1395.0</v>
      </c>
      <c r="K1414" s="2">
        <v>7.64775119694698</v>
      </c>
    </row>
    <row r="1415">
      <c r="A1415" s="2">
        <v>88.0</v>
      </c>
      <c r="B1415" s="2" t="s">
        <v>41</v>
      </c>
      <c r="C1415" s="2" t="s">
        <v>144</v>
      </c>
      <c r="D1415" s="2" t="s">
        <v>143</v>
      </c>
      <c r="E1415" s="2">
        <v>67.0</v>
      </c>
      <c r="F1415" s="2">
        <v>27.6959850662305</v>
      </c>
      <c r="G1415" s="2">
        <v>28.6092774362553</v>
      </c>
      <c r="H1415" s="2">
        <v>7.65630918744524</v>
      </c>
      <c r="I1415" s="2">
        <v>1097.0</v>
      </c>
      <c r="J1415" s="2">
        <v>1164.0</v>
      </c>
      <c r="K1415" s="2">
        <v>7.70597497780445</v>
      </c>
    </row>
    <row r="1416">
      <c r="A1416" s="2">
        <v>88.0</v>
      </c>
      <c r="B1416" s="2" t="s">
        <v>23</v>
      </c>
      <c r="C1416" s="2" t="s">
        <v>144</v>
      </c>
      <c r="D1416" s="2" t="s">
        <v>143</v>
      </c>
      <c r="E1416" s="2">
        <v>56.0</v>
      </c>
      <c r="F1416" s="2">
        <v>27.0035743052017</v>
      </c>
      <c r="G1416" s="2">
        <v>27.7730493953849</v>
      </c>
      <c r="H1416" s="2">
        <v>7.03572463352794</v>
      </c>
      <c r="I1416" s="2">
        <v>1115.0</v>
      </c>
      <c r="J1416" s="2">
        <v>1171.0</v>
      </c>
      <c r="K1416" s="2">
        <v>7.07226363925792</v>
      </c>
    </row>
    <row r="1417">
      <c r="A1417" s="2">
        <v>87.0</v>
      </c>
      <c r="B1417" s="2" t="s">
        <v>48</v>
      </c>
      <c r="C1417" s="2" t="s">
        <v>142</v>
      </c>
      <c r="D1417" s="2" t="s">
        <v>143</v>
      </c>
      <c r="E1417" s="2">
        <v>58.0</v>
      </c>
      <c r="F1417" s="2">
        <v>26.349992847564</v>
      </c>
      <c r="G1417" s="2">
        <v>27.1195115794799</v>
      </c>
      <c r="H1417" s="2">
        <v>8.21037170507781</v>
      </c>
      <c r="I1417" s="2">
        <v>949.0</v>
      </c>
      <c r="J1417" s="2">
        <v>1007.0</v>
      </c>
      <c r="K1417" s="2">
        <v>8.26353587166485</v>
      </c>
    </row>
    <row r="1418">
      <c r="A1418" s="2">
        <v>87.0</v>
      </c>
      <c r="B1418" s="2" t="s">
        <v>56</v>
      </c>
      <c r="C1418" s="2" t="s">
        <v>142</v>
      </c>
      <c r="D1418" s="2" t="s">
        <v>143</v>
      </c>
      <c r="E1418" s="2">
        <v>53.0</v>
      </c>
      <c r="F1418" s="2">
        <v>24.9224077195873</v>
      </c>
      <c r="G1418" s="2">
        <v>25.6403759750655</v>
      </c>
      <c r="H1418" s="2">
        <v>7.9344013049601</v>
      </c>
      <c r="I1418" s="2">
        <v>881.0</v>
      </c>
      <c r="J1418" s="2">
        <v>934.0</v>
      </c>
      <c r="K1418" s="2">
        <v>7.98157115890323</v>
      </c>
    </row>
    <row r="1419">
      <c r="A1419" s="2">
        <v>87.0</v>
      </c>
      <c r="B1419" s="2" t="s">
        <v>18</v>
      </c>
      <c r="C1419" s="2" t="s">
        <v>142</v>
      </c>
      <c r="D1419" s="2" t="s">
        <v>143</v>
      </c>
      <c r="E1419" s="2">
        <v>47.0</v>
      </c>
      <c r="F1419" s="2">
        <v>26.6157786659421</v>
      </c>
      <c r="G1419" s="2">
        <v>27.2490181188739</v>
      </c>
      <c r="H1419" s="2">
        <v>7.45740082311671</v>
      </c>
      <c r="I1419" s="2">
        <v>1045.0</v>
      </c>
      <c r="J1419" s="2">
        <v>1092.0</v>
      </c>
      <c r="K1419" s="2">
        <v>7.49512189148809</v>
      </c>
    </row>
    <row r="1420">
      <c r="A1420" s="2">
        <v>87.0</v>
      </c>
      <c r="B1420" s="2" t="s">
        <v>31</v>
      </c>
      <c r="C1420" s="2" t="s">
        <v>144</v>
      </c>
      <c r="D1420" s="2" t="s">
        <v>145</v>
      </c>
      <c r="E1420" s="2">
        <v>-43.0</v>
      </c>
      <c r="F1420" s="2">
        <v>27.3413899337593</v>
      </c>
      <c r="G1420" s="2">
        <v>26.6309083185317</v>
      </c>
      <c r="H1420" s="2">
        <v>7.89347432729781</v>
      </c>
      <c r="I1420" s="2">
        <v>1049.0</v>
      </c>
      <c r="J1420" s="2">
        <v>1006.0</v>
      </c>
      <c r="K1420" s="2">
        <v>7.9397889444333</v>
      </c>
    </row>
    <row r="1421">
      <c r="A1421" s="2">
        <v>87.0</v>
      </c>
      <c r="B1421" s="2" t="s">
        <v>20</v>
      </c>
      <c r="C1421" s="2" t="s">
        <v>144</v>
      </c>
      <c r="D1421" s="2" t="s">
        <v>145</v>
      </c>
      <c r="E1421" s="2">
        <v>-43.0</v>
      </c>
      <c r="F1421" s="2">
        <v>25.9319910379407</v>
      </c>
      <c r="G1421" s="2">
        <v>25.2409487281357</v>
      </c>
      <c r="H1421" s="2">
        <v>7.78614685805702</v>
      </c>
      <c r="I1421" s="2">
        <v>965.0</v>
      </c>
      <c r="J1421" s="2">
        <v>922.0</v>
      </c>
      <c r="K1421" s="2">
        <v>7.83025912277053</v>
      </c>
    </row>
    <row r="1422">
      <c r="A1422" s="2">
        <v>87.0</v>
      </c>
      <c r="B1422" s="2" t="s">
        <v>80</v>
      </c>
      <c r="C1422" s="2" t="s">
        <v>144</v>
      </c>
      <c r="D1422" s="2" t="s">
        <v>145</v>
      </c>
      <c r="E1422" s="2">
        <v>-43.0</v>
      </c>
      <c r="F1422" s="2">
        <v>25.2951109658048</v>
      </c>
      <c r="G1422" s="2">
        <v>24.6000562770064</v>
      </c>
      <c r="H1422" s="2">
        <v>7.80842712318893</v>
      </c>
      <c r="I1422" s="2">
        <v>919.0</v>
      </c>
      <c r="J1422" s="2">
        <v>876.0</v>
      </c>
      <c r="K1422" s="2">
        <v>7.85299179611869</v>
      </c>
    </row>
    <row r="1423">
      <c r="A1423" s="2">
        <v>87.0</v>
      </c>
      <c r="B1423" s="2" t="s">
        <v>22</v>
      </c>
      <c r="C1423" s="2" t="s">
        <v>144</v>
      </c>
      <c r="D1423" s="2" t="s">
        <v>145</v>
      </c>
      <c r="E1423" s="2">
        <v>-39.0</v>
      </c>
      <c r="F1423" s="2">
        <v>22.5949255840378</v>
      </c>
      <c r="G1423" s="2">
        <v>21.9679642012685</v>
      </c>
      <c r="H1423" s="2">
        <v>7.42077418736637</v>
      </c>
      <c r="I1423" s="2">
        <v>776.0</v>
      </c>
      <c r="J1423" s="2">
        <v>737.0</v>
      </c>
      <c r="K1423" s="2">
        <v>7.45781540862516</v>
      </c>
    </row>
    <row r="1424">
      <c r="A1424" s="2">
        <v>87.0</v>
      </c>
      <c r="B1424" s="2" t="s">
        <v>16</v>
      </c>
      <c r="C1424" s="2" t="s">
        <v>144</v>
      </c>
      <c r="D1424" s="2" t="s">
        <v>145</v>
      </c>
      <c r="E1424" s="2">
        <v>-35.0</v>
      </c>
      <c r="F1424" s="2">
        <v>31.9244169750009</v>
      </c>
      <c r="G1424" s="2">
        <v>31.3538983854378</v>
      </c>
      <c r="H1424" s="2">
        <v>7.0825752385374</v>
      </c>
      <c r="I1424" s="2">
        <v>1445.0</v>
      </c>
      <c r="J1424" s="2">
        <v>1410.0</v>
      </c>
      <c r="K1424" s="2">
        <v>7.11363157179581</v>
      </c>
    </row>
    <row r="1425">
      <c r="A1425" s="2">
        <v>87.0</v>
      </c>
      <c r="B1425" s="2" t="s">
        <v>97</v>
      </c>
      <c r="C1425" s="2" t="s">
        <v>144</v>
      </c>
      <c r="D1425" s="2" t="s">
        <v>145</v>
      </c>
      <c r="E1425" s="2">
        <v>-39.0</v>
      </c>
      <c r="F1425" s="2">
        <v>23.7798940348253</v>
      </c>
      <c r="G1425" s="2">
        <v>23.1631859414717</v>
      </c>
      <c r="H1425" s="2">
        <v>7.36054521865484</v>
      </c>
      <c r="I1425" s="2">
        <v>863.0</v>
      </c>
      <c r="J1425" s="2">
        <v>824.0</v>
      </c>
      <c r="K1425" s="2">
        <v>7.39648219085895</v>
      </c>
    </row>
    <row r="1426">
      <c r="A1426" s="2">
        <v>87.0</v>
      </c>
      <c r="B1426" s="2" t="s">
        <v>42</v>
      </c>
      <c r="C1426" s="2" t="s">
        <v>144</v>
      </c>
      <c r="D1426" s="2" t="s">
        <v>145</v>
      </c>
      <c r="E1426" s="2">
        <v>-43.0</v>
      </c>
      <c r="F1426" s="2">
        <v>27.8551494393398</v>
      </c>
      <c r="G1426" s="2">
        <v>27.1530361314925</v>
      </c>
      <c r="H1426" s="2">
        <v>7.84746115235337</v>
      </c>
      <c r="I1426" s="2">
        <v>1089.0</v>
      </c>
      <c r="J1426" s="2">
        <v>1046.0</v>
      </c>
      <c r="K1426" s="2">
        <v>7.89282444786449</v>
      </c>
    </row>
    <row r="1427">
      <c r="A1427" s="2">
        <v>87.0</v>
      </c>
      <c r="B1427" s="2" t="s">
        <v>29</v>
      </c>
      <c r="C1427" s="2" t="s">
        <v>144</v>
      </c>
      <c r="D1427" s="2" t="s">
        <v>145</v>
      </c>
      <c r="E1427" s="2">
        <v>-39.0</v>
      </c>
      <c r="F1427" s="2">
        <v>26.3407392772384</v>
      </c>
      <c r="G1427" s="2">
        <v>25.7082481084989</v>
      </c>
      <c r="H1427" s="2">
        <v>7.45304518956247</v>
      </c>
      <c r="I1427" s="2">
        <v>1027.0</v>
      </c>
      <c r="J1427" s="2">
        <v>988.0</v>
      </c>
      <c r="K1427" s="2">
        <v>7.49068507883459</v>
      </c>
    </row>
    <row r="1428">
      <c r="A1428" s="2">
        <v>87.0</v>
      </c>
      <c r="B1428" s="2" t="s">
        <v>64</v>
      </c>
      <c r="C1428" s="2" t="s">
        <v>144</v>
      </c>
      <c r="D1428" s="2" t="s">
        <v>145</v>
      </c>
      <c r="E1428" s="2">
        <v>-36.0</v>
      </c>
      <c r="F1428" s="2">
        <v>26.3875473281807</v>
      </c>
      <c r="G1428" s="2">
        <v>25.8007503746783</v>
      </c>
      <c r="H1428" s="2">
        <v>7.18182206991114</v>
      </c>
      <c r="I1428" s="2">
        <v>1058.0</v>
      </c>
      <c r="J1428" s="2">
        <v>1022.0</v>
      </c>
      <c r="K1428" s="2">
        <v>7.21458089124145</v>
      </c>
    </row>
    <row r="1429">
      <c r="A1429" s="2">
        <v>87.0</v>
      </c>
      <c r="B1429" s="2" t="s">
        <v>67</v>
      </c>
      <c r="C1429" s="2" t="s">
        <v>144</v>
      </c>
      <c r="D1429" s="2" t="s">
        <v>145</v>
      </c>
      <c r="E1429" s="2">
        <v>-41.0</v>
      </c>
      <c r="F1429" s="2">
        <v>21.7188465005463</v>
      </c>
      <c r="G1429" s="2">
        <v>21.0517870551553</v>
      </c>
      <c r="H1429" s="2">
        <v>7.65154859856358</v>
      </c>
      <c r="I1429" s="2">
        <v>692.0</v>
      </c>
      <c r="J1429" s="2">
        <v>651.0</v>
      </c>
      <c r="K1429" s="2">
        <v>7.69298036237857</v>
      </c>
    </row>
    <row r="1430">
      <c r="A1430" s="2">
        <v>86.0</v>
      </c>
      <c r="B1430" s="2" t="s">
        <v>64</v>
      </c>
      <c r="C1430" s="2" t="s">
        <v>142</v>
      </c>
      <c r="D1430" s="2" t="s">
        <v>143</v>
      </c>
      <c r="E1430" s="2">
        <v>53.0</v>
      </c>
      <c r="F1430" s="2">
        <v>25.6586002013613</v>
      </c>
      <c r="G1430" s="2">
        <v>26.3875473281807</v>
      </c>
      <c r="H1430" s="2">
        <v>7.21458089124145</v>
      </c>
      <c r="I1430" s="2">
        <v>1005.0</v>
      </c>
      <c r="J1430" s="2">
        <v>1058.0</v>
      </c>
      <c r="K1430" s="2">
        <v>7.25236361354942</v>
      </c>
    </row>
    <row r="1431">
      <c r="A1431" s="2">
        <v>86.0</v>
      </c>
      <c r="B1431" s="2" t="s">
        <v>38</v>
      </c>
      <c r="C1431" s="2" t="s">
        <v>142</v>
      </c>
      <c r="D1431" s="2" t="s">
        <v>143</v>
      </c>
      <c r="E1431" s="2">
        <v>54.0</v>
      </c>
      <c r="F1431" s="2">
        <v>22.8259212673386</v>
      </c>
      <c r="G1431" s="2">
        <v>23.5724537486065</v>
      </c>
      <c r="H1431" s="2">
        <v>7.3000085326061</v>
      </c>
      <c r="I1431" s="2">
        <v>804.0</v>
      </c>
      <c r="J1431" s="2">
        <v>858.0</v>
      </c>
      <c r="K1431" s="2">
        <v>7.3394693762852</v>
      </c>
    </row>
    <row r="1432">
      <c r="A1432" s="2">
        <v>86.0</v>
      </c>
      <c r="B1432" s="2" t="s">
        <v>44</v>
      </c>
      <c r="C1432" s="2" t="s">
        <v>142</v>
      </c>
      <c r="D1432" s="2" t="s">
        <v>143</v>
      </c>
      <c r="E1432" s="2">
        <v>72.0</v>
      </c>
      <c r="F1432" s="2">
        <v>25.0</v>
      </c>
      <c r="G1432" s="2">
        <v>25.962042763537</v>
      </c>
      <c r="H1432" s="2">
        <v>8.27197785710959</v>
      </c>
      <c r="I1432" s="2">
        <v>850.0</v>
      </c>
      <c r="J1432" s="2">
        <v>922.0</v>
      </c>
      <c r="K1432" s="2">
        <v>8.33333333333333</v>
      </c>
    </row>
    <row r="1433">
      <c r="A1433" s="2">
        <v>86.0</v>
      </c>
      <c r="B1433" s="2" t="s">
        <v>23</v>
      </c>
      <c r="C1433" s="2" t="s">
        <v>144</v>
      </c>
      <c r="D1433" s="2" t="s">
        <v>145</v>
      </c>
      <c r="E1433" s="2">
        <v>-44.0</v>
      </c>
      <c r="F1433" s="2">
        <v>27.7037076960944</v>
      </c>
      <c r="G1433" s="2">
        <v>27.0035743052017</v>
      </c>
      <c r="H1433" s="2">
        <v>7.07226363925792</v>
      </c>
      <c r="I1433" s="2">
        <v>1159.0</v>
      </c>
      <c r="J1433" s="2">
        <v>1115.0</v>
      </c>
      <c r="K1433" s="2">
        <v>7.1073329207455</v>
      </c>
    </row>
    <row r="1434">
      <c r="A1434" s="2">
        <v>86.0</v>
      </c>
      <c r="B1434" s="2" t="s">
        <v>56</v>
      </c>
      <c r="C1434" s="2" t="s">
        <v>144</v>
      </c>
      <c r="D1434" s="2" t="s">
        <v>145</v>
      </c>
      <c r="E1434" s="2">
        <v>-55.0</v>
      </c>
      <c r="F1434" s="2">
        <v>25.8170714032686</v>
      </c>
      <c r="G1434" s="2">
        <v>24.9224077195873</v>
      </c>
      <c r="H1434" s="2">
        <v>7.98157115890323</v>
      </c>
      <c r="I1434" s="2">
        <v>936.0</v>
      </c>
      <c r="J1434" s="2">
        <v>881.0</v>
      </c>
      <c r="K1434" s="2">
        <v>8.03582136953118</v>
      </c>
    </row>
    <row r="1435">
      <c r="A1435" s="2">
        <v>86.0</v>
      </c>
      <c r="B1435" s="2" t="s">
        <v>27</v>
      </c>
      <c r="C1435" s="2" t="s">
        <v>144</v>
      </c>
      <c r="D1435" s="2" t="s">
        <v>145</v>
      </c>
      <c r="E1435" s="2">
        <v>-51.0</v>
      </c>
      <c r="F1435" s="2">
        <v>26.488085230254</v>
      </c>
      <c r="G1435" s="2">
        <v>25.6786616780001</v>
      </c>
      <c r="H1435" s="2">
        <v>7.59727082208885</v>
      </c>
      <c r="I1435" s="2">
        <v>1022.0</v>
      </c>
      <c r="J1435" s="2">
        <v>971.0</v>
      </c>
      <c r="K1435" s="2">
        <v>7.64286897481913</v>
      </c>
    </row>
    <row r="1436">
      <c r="A1436" s="2">
        <v>86.0</v>
      </c>
      <c r="B1436" s="2" t="s">
        <v>24</v>
      </c>
      <c r="C1436" s="2" t="s">
        <v>144</v>
      </c>
      <c r="D1436" s="2" t="s">
        <v>145</v>
      </c>
      <c r="E1436" s="2">
        <v>-48.0</v>
      </c>
      <c r="F1436" s="2">
        <v>20.5196893385163</v>
      </c>
      <c r="G1436" s="2">
        <v>19.7495240596368</v>
      </c>
      <c r="H1436" s="2">
        <v>7.41318495780117</v>
      </c>
      <c r="I1436" s="2">
        <v>635.0</v>
      </c>
      <c r="J1436" s="2">
        <v>587.0</v>
      </c>
      <c r="K1436" s="2">
        <v>7.45492723281502</v>
      </c>
    </row>
    <row r="1437">
      <c r="A1437" s="2">
        <v>86.0</v>
      </c>
      <c r="B1437" s="2" t="s">
        <v>35</v>
      </c>
      <c r="C1437" s="2" t="s">
        <v>144</v>
      </c>
      <c r="D1437" s="2" t="s">
        <v>145</v>
      </c>
      <c r="E1437" s="2">
        <v>-56.0</v>
      </c>
      <c r="F1437" s="2">
        <v>25.1020023585805</v>
      </c>
      <c r="G1437" s="2">
        <v>24.1993981427073</v>
      </c>
      <c r="H1437" s="2">
        <v>8.01637733533646</v>
      </c>
      <c r="I1437" s="2">
        <v>884.0</v>
      </c>
      <c r="J1437" s="2">
        <v>828.0</v>
      </c>
      <c r="K1437" s="2">
        <v>8.07145279293121</v>
      </c>
    </row>
    <row r="1438">
      <c r="A1438" s="2">
        <v>86.0</v>
      </c>
      <c r="B1438" s="2" t="s">
        <v>25</v>
      </c>
      <c r="C1438" s="2" t="s">
        <v>144</v>
      </c>
      <c r="D1438" s="2" t="s">
        <v>145</v>
      </c>
      <c r="E1438" s="2">
        <v>-58.0</v>
      </c>
      <c r="F1438" s="2">
        <v>27.2824584414901</v>
      </c>
      <c r="G1438" s="2">
        <v>26.3399173443596</v>
      </c>
      <c r="H1438" s="2">
        <v>8.18905223687787</v>
      </c>
      <c r="I1438" s="2">
        <v>1014.0</v>
      </c>
      <c r="J1438" s="2">
        <v>956.0</v>
      </c>
      <c r="K1438" s="2">
        <v>8.24832738624149</v>
      </c>
    </row>
    <row r="1439">
      <c r="A1439" s="2">
        <v>86.0</v>
      </c>
      <c r="B1439" s="2" t="s">
        <v>47</v>
      </c>
      <c r="C1439" s="2" t="s">
        <v>144</v>
      </c>
      <c r="D1439" s="2" t="s">
        <v>145</v>
      </c>
      <c r="E1439" s="2">
        <v>-48.0</v>
      </c>
      <c r="F1439" s="2">
        <v>16.7518002171428</v>
      </c>
      <c r="G1439" s="2">
        <v>15.9816106658428</v>
      </c>
      <c r="H1439" s="2">
        <v>7.41330026274612</v>
      </c>
      <c r="I1439" s="2">
        <v>379.0</v>
      </c>
      <c r="J1439" s="2">
        <v>331.0</v>
      </c>
      <c r="K1439" s="2">
        <v>7.45504489634308</v>
      </c>
    </row>
    <row r="1440">
      <c r="A1440" s="2">
        <v>86.0</v>
      </c>
      <c r="B1440" s="2" t="s">
        <v>41</v>
      </c>
      <c r="C1440" s="2" t="s">
        <v>144</v>
      </c>
      <c r="D1440" s="2" t="s">
        <v>145</v>
      </c>
      <c r="E1440" s="2">
        <v>-52.0</v>
      </c>
      <c r="F1440" s="2">
        <v>28.5290684654353</v>
      </c>
      <c r="G1440" s="2">
        <v>27.6959850662305</v>
      </c>
      <c r="H1440" s="2">
        <v>7.70597497780445</v>
      </c>
      <c r="I1440" s="2">
        <v>1149.0</v>
      </c>
      <c r="J1440" s="2">
        <v>1097.0</v>
      </c>
      <c r="K1440" s="2">
        <v>7.75393645558347</v>
      </c>
    </row>
    <row r="1441">
      <c r="A1441" s="2">
        <v>86.0</v>
      </c>
      <c r="B1441" s="2" t="s">
        <v>17</v>
      </c>
      <c r="C1441" s="2" t="s">
        <v>144</v>
      </c>
      <c r="D1441" s="2" t="s">
        <v>145</v>
      </c>
      <c r="E1441" s="2">
        <v>-51.0</v>
      </c>
      <c r="F1441" s="2">
        <v>31.8331431475713</v>
      </c>
      <c r="G1441" s="2">
        <v>31.012776535812</v>
      </c>
      <c r="H1441" s="2">
        <v>7.64775119694698</v>
      </c>
      <c r="I1441" s="2">
        <v>1380.0</v>
      </c>
      <c r="J1441" s="2">
        <v>1329.0</v>
      </c>
      <c r="K1441" s="2">
        <v>7.69443875040217</v>
      </c>
    </row>
    <row r="1442">
      <c r="A1442" s="2">
        <v>86.0</v>
      </c>
      <c r="B1442" s="2" t="s">
        <v>111</v>
      </c>
      <c r="C1442" s="2" t="s">
        <v>144</v>
      </c>
      <c r="D1442" s="2" t="s">
        <v>145</v>
      </c>
      <c r="E1442" s="2">
        <v>-52.0</v>
      </c>
      <c r="F1442" s="2">
        <v>25.9815346741449</v>
      </c>
      <c r="G1442" s="2">
        <v>25.141014724058</v>
      </c>
      <c r="H1442" s="2">
        <v>7.73980865470864</v>
      </c>
      <c r="I1442" s="2">
        <v>972.0</v>
      </c>
      <c r="J1442" s="2">
        <v>920.0</v>
      </c>
      <c r="K1442" s="2">
        <v>7.78851904695569</v>
      </c>
    </row>
    <row r="1443">
      <c r="A1443" s="2">
        <v>85.0</v>
      </c>
      <c r="B1443" s="2" t="s">
        <v>16</v>
      </c>
      <c r="C1443" s="2" t="s">
        <v>142</v>
      </c>
      <c r="D1443" s="2" t="s">
        <v>143</v>
      </c>
      <c r="E1443" s="2">
        <v>20.0</v>
      </c>
      <c r="F1443" s="2">
        <v>31.6573260111596</v>
      </c>
      <c r="G1443" s="2">
        <v>31.9244169750009</v>
      </c>
      <c r="H1443" s="2">
        <v>7.11363157179581</v>
      </c>
      <c r="I1443" s="2">
        <v>1425.0</v>
      </c>
      <c r="J1443" s="2">
        <v>1445.0</v>
      </c>
      <c r="K1443" s="2">
        <v>7.13226842149156</v>
      </c>
    </row>
    <row r="1444">
      <c r="A1444" s="2">
        <v>85.0</v>
      </c>
      <c r="B1444" s="2" t="s">
        <v>19</v>
      </c>
      <c r="C1444" s="2" t="s">
        <v>142</v>
      </c>
      <c r="D1444" s="2" t="s">
        <v>143</v>
      </c>
      <c r="E1444" s="2">
        <v>22.0</v>
      </c>
      <c r="F1444" s="2">
        <v>30.6443758488764</v>
      </c>
      <c r="G1444" s="2">
        <v>30.9390470685914</v>
      </c>
      <c r="H1444" s="2">
        <v>7.46918212769413</v>
      </c>
      <c r="I1444" s="2">
        <v>1320.0</v>
      </c>
      <c r="J1444" s="2">
        <v>1342.0</v>
      </c>
      <c r="K1444" s="2">
        <v>7.49208848023167</v>
      </c>
    </row>
    <row r="1445">
      <c r="A1445" s="2">
        <v>85.0</v>
      </c>
      <c r="B1445" s="2" t="s">
        <v>26</v>
      </c>
      <c r="C1445" s="2" t="s">
        <v>142</v>
      </c>
      <c r="D1445" s="2" t="s">
        <v>143</v>
      </c>
      <c r="E1445" s="2">
        <v>22.0</v>
      </c>
      <c r="F1445" s="2">
        <v>25.9698919859624</v>
      </c>
      <c r="G1445" s="2">
        <v>26.25189405906</v>
      </c>
      <c r="H1445" s="2">
        <v>7.30807069376016</v>
      </c>
      <c r="I1445" s="2">
        <v>1018.0</v>
      </c>
      <c r="J1445" s="2">
        <v>1040.0</v>
      </c>
      <c r="K1445" s="2">
        <v>7.32899702577914</v>
      </c>
    </row>
    <row r="1446">
      <c r="A1446" s="2">
        <v>85.0</v>
      </c>
      <c r="B1446" s="2" t="s">
        <v>17</v>
      </c>
      <c r="C1446" s="2" t="s">
        <v>144</v>
      </c>
      <c r="D1446" s="2" t="s">
        <v>145</v>
      </c>
      <c r="E1446" s="2">
        <v>-18.0</v>
      </c>
      <c r="F1446" s="2">
        <v>32.1460056506966</v>
      </c>
      <c r="G1446" s="2">
        <v>31.8331431475713</v>
      </c>
      <c r="H1446" s="2">
        <v>7.69443875040217</v>
      </c>
      <c r="I1446" s="2">
        <v>1398.0</v>
      </c>
      <c r="J1446" s="2">
        <v>1380.0</v>
      </c>
      <c r="K1446" s="2">
        <v>7.72024421092682</v>
      </c>
    </row>
    <row r="1447">
      <c r="A1447" s="2">
        <v>85.0</v>
      </c>
      <c r="B1447" s="2" t="s">
        <v>35</v>
      </c>
      <c r="C1447" s="2" t="s">
        <v>144</v>
      </c>
      <c r="D1447" s="2" t="s">
        <v>145</v>
      </c>
      <c r="E1447" s="2">
        <v>-20.0</v>
      </c>
      <c r="F1447" s="2">
        <v>25.4465630421212</v>
      </c>
      <c r="G1447" s="2">
        <v>25.1020023585805</v>
      </c>
      <c r="H1447" s="2">
        <v>8.07145279293121</v>
      </c>
      <c r="I1447" s="2">
        <v>904.0</v>
      </c>
      <c r="J1447" s="2">
        <v>884.0</v>
      </c>
      <c r="K1447" s="2">
        <v>8.10246761061209</v>
      </c>
    </row>
    <row r="1448">
      <c r="A1448" s="2">
        <v>85.0</v>
      </c>
      <c r="B1448" s="2" t="s">
        <v>22</v>
      </c>
      <c r="C1448" s="2" t="s">
        <v>144</v>
      </c>
      <c r="D1448" s="2" t="s">
        <v>145</v>
      </c>
      <c r="E1448" s="2">
        <v>-17.0</v>
      </c>
      <c r="F1448" s="2">
        <v>22.8886936318667</v>
      </c>
      <c r="G1448" s="2">
        <v>22.5949255840378</v>
      </c>
      <c r="H1448" s="2">
        <v>7.45781540862516</v>
      </c>
      <c r="I1448" s="2">
        <v>793.0</v>
      </c>
      <c r="J1448" s="2">
        <v>776.0</v>
      </c>
      <c r="K1448" s="2">
        <v>7.48057954697936</v>
      </c>
    </row>
    <row r="1449">
      <c r="A1449" s="2">
        <v>85.0</v>
      </c>
      <c r="B1449" s="2" t="s">
        <v>38</v>
      </c>
      <c r="C1449" s="2" t="s">
        <v>144</v>
      </c>
      <c r="D1449" s="2" t="s">
        <v>145</v>
      </c>
      <c r="E1449" s="2">
        <v>-17.0</v>
      </c>
      <c r="F1449" s="2">
        <v>23.1103700684951</v>
      </c>
      <c r="G1449" s="2">
        <v>22.8259212673386</v>
      </c>
      <c r="H1449" s="2">
        <v>7.3394693762852</v>
      </c>
      <c r="I1449" s="2">
        <v>821.0</v>
      </c>
      <c r="J1449" s="2">
        <v>804.0</v>
      </c>
      <c r="K1449" s="2">
        <v>7.36077560562397</v>
      </c>
    </row>
    <row r="1450">
      <c r="A1450" s="2">
        <v>85.0</v>
      </c>
      <c r="B1450" s="2" t="s">
        <v>47</v>
      </c>
      <c r="C1450" s="2" t="s">
        <v>144</v>
      </c>
      <c r="D1450" s="2" t="s">
        <v>145</v>
      </c>
      <c r="E1450" s="2">
        <v>-17.0</v>
      </c>
      <c r="F1450" s="2">
        <v>17.0453483418386</v>
      </c>
      <c r="G1450" s="2">
        <v>16.7518002171428</v>
      </c>
      <c r="H1450" s="2">
        <v>7.45504489634308</v>
      </c>
      <c r="I1450" s="2">
        <v>396.0</v>
      </c>
      <c r="J1450" s="2">
        <v>379.0</v>
      </c>
      <c r="K1450" s="2">
        <v>7.47777443008237</v>
      </c>
    </row>
    <row r="1451">
      <c r="A1451" s="2">
        <v>85.0</v>
      </c>
      <c r="B1451" s="2" t="s">
        <v>23</v>
      </c>
      <c r="C1451" s="2" t="s">
        <v>144</v>
      </c>
      <c r="D1451" s="2" t="s">
        <v>145</v>
      </c>
      <c r="E1451" s="2">
        <v>-16.0</v>
      </c>
      <c r="F1451" s="2">
        <v>27.9703225477129</v>
      </c>
      <c r="G1451" s="2">
        <v>27.7037076960944</v>
      </c>
      <c r="H1451" s="2">
        <v>7.1073329207455</v>
      </c>
      <c r="I1451" s="2">
        <v>1175.0</v>
      </c>
      <c r="J1451" s="2">
        <v>1159.0</v>
      </c>
      <c r="K1451" s="2">
        <v>7.12589739330714</v>
      </c>
    </row>
    <row r="1452">
      <c r="A1452" s="2">
        <v>85.0</v>
      </c>
      <c r="B1452" s="2" t="s">
        <v>39</v>
      </c>
      <c r="C1452" s="2" t="s">
        <v>144</v>
      </c>
      <c r="D1452" s="2" t="s">
        <v>145</v>
      </c>
      <c r="E1452" s="2">
        <v>-20.0</v>
      </c>
      <c r="F1452" s="2">
        <v>28.646304493453</v>
      </c>
      <c r="G1452" s="2">
        <v>28.3113562837672</v>
      </c>
      <c r="H1452" s="2">
        <v>7.95907666695574</v>
      </c>
      <c r="I1452" s="2">
        <v>1133.0</v>
      </c>
      <c r="J1452" s="2">
        <v>1113.0</v>
      </c>
      <c r="K1452" s="2">
        <v>7.98849063728291</v>
      </c>
    </row>
    <row r="1453">
      <c r="A1453" s="2">
        <v>85.0</v>
      </c>
      <c r="B1453" s="2" t="s">
        <v>41</v>
      </c>
      <c r="C1453" s="2" t="s">
        <v>144</v>
      </c>
      <c r="D1453" s="2" t="s">
        <v>145</v>
      </c>
      <c r="E1453" s="2">
        <v>-19.0</v>
      </c>
      <c r="F1453" s="2">
        <v>28.846829118706</v>
      </c>
      <c r="G1453" s="2">
        <v>28.5290684654353</v>
      </c>
      <c r="H1453" s="2">
        <v>7.75393645558347</v>
      </c>
      <c r="I1453" s="2">
        <v>1168.0</v>
      </c>
      <c r="J1453" s="2">
        <v>1149.0</v>
      </c>
      <c r="K1453" s="2">
        <v>7.78053381791921</v>
      </c>
    </row>
    <row r="1454">
      <c r="A1454" s="2">
        <v>85.0</v>
      </c>
      <c r="B1454" s="2" t="s">
        <v>56</v>
      </c>
      <c r="C1454" s="2" t="s">
        <v>144</v>
      </c>
      <c r="D1454" s="2" t="s">
        <v>145</v>
      </c>
      <c r="E1454" s="2">
        <v>-20.0</v>
      </c>
      <c r="F1454" s="2">
        <v>26.1585691071452</v>
      </c>
      <c r="G1454" s="2">
        <v>25.8170714032686</v>
      </c>
      <c r="H1454" s="2">
        <v>8.03582136953118</v>
      </c>
      <c r="I1454" s="2">
        <v>956.0</v>
      </c>
      <c r="J1454" s="2">
        <v>936.0</v>
      </c>
      <c r="K1454" s="2">
        <v>8.06632409414115</v>
      </c>
    </row>
    <row r="1455">
      <c r="A1455" s="2">
        <v>85.0</v>
      </c>
      <c r="B1455" s="2" t="s">
        <v>64</v>
      </c>
      <c r="C1455" s="2" t="s">
        <v>144</v>
      </c>
      <c r="D1455" s="2" t="s">
        <v>145</v>
      </c>
      <c r="E1455" s="2">
        <v>-17.0</v>
      </c>
      <c r="F1455" s="2">
        <v>25.9362879135757</v>
      </c>
      <c r="G1455" s="2">
        <v>25.6586002013613</v>
      </c>
      <c r="H1455" s="2">
        <v>7.25236361354942</v>
      </c>
      <c r="I1455" s="2">
        <v>1022.0</v>
      </c>
      <c r="J1455" s="2">
        <v>1005.0</v>
      </c>
      <c r="K1455" s="2">
        <v>7.27262296955073</v>
      </c>
    </row>
    <row r="1456">
      <c r="A1456" s="2">
        <v>84.0</v>
      </c>
      <c r="B1456" s="2" t="s">
        <v>24</v>
      </c>
      <c r="C1456" s="2" t="s">
        <v>142</v>
      </c>
      <c r="D1456" s="2" t="s">
        <v>143</v>
      </c>
      <c r="E1456" s="2">
        <v>68.0</v>
      </c>
      <c r="F1456" s="2">
        <v>19.5827254568042</v>
      </c>
      <c r="G1456" s="2">
        <v>20.5196893385163</v>
      </c>
      <c r="H1456" s="2">
        <v>7.45492723281502</v>
      </c>
      <c r="I1456" s="2">
        <v>567.0</v>
      </c>
      <c r="J1456" s="2">
        <v>635.0</v>
      </c>
      <c r="K1456" s="2">
        <v>7.49788870604136</v>
      </c>
    </row>
    <row r="1457">
      <c r="A1457" s="2">
        <v>84.0</v>
      </c>
      <c r="B1457" s="2" t="s">
        <v>80</v>
      </c>
      <c r="C1457" s="2" t="s">
        <v>142</v>
      </c>
      <c r="D1457" s="2" t="s">
        <v>143</v>
      </c>
      <c r="E1457" s="2">
        <v>76.0</v>
      </c>
      <c r="F1457" s="2">
        <v>24.2538882575916</v>
      </c>
      <c r="G1457" s="2">
        <v>25.2951109658048</v>
      </c>
      <c r="H1457" s="2">
        <v>7.85299179611869</v>
      </c>
      <c r="I1457" s="2">
        <v>843.0</v>
      </c>
      <c r="J1457" s="2">
        <v>919.0</v>
      </c>
      <c r="K1457" s="2">
        <v>7.90467805086192</v>
      </c>
    </row>
    <row r="1458">
      <c r="A1458" s="2">
        <v>84.0</v>
      </c>
      <c r="B1458" s="2" t="s">
        <v>41</v>
      </c>
      <c r="C1458" s="2" t="s">
        <v>142</v>
      </c>
      <c r="D1458" s="2" t="s">
        <v>143</v>
      </c>
      <c r="E1458" s="2">
        <v>75.0</v>
      </c>
      <c r="F1458" s="2">
        <v>27.825011365251</v>
      </c>
      <c r="G1458" s="2">
        <v>28.846829118706</v>
      </c>
      <c r="H1458" s="2">
        <v>7.78053381791921</v>
      </c>
      <c r="I1458" s="2">
        <v>1093.0</v>
      </c>
      <c r="J1458" s="2">
        <v>1168.0</v>
      </c>
      <c r="K1458" s="2">
        <v>7.83056597322649</v>
      </c>
    </row>
    <row r="1459">
      <c r="A1459" s="2">
        <v>84.0</v>
      </c>
      <c r="B1459" s="2" t="s">
        <v>38</v>
      </c>
      <c r="C1459" s="2" t="s">
        <v>144</v>
      </c>
      <c r="D1459" s="2" t="s">
        <v>145</v>
      </c>
      <c r="E1459" s="2">
        <v>-58.0</v>
      </c>
      <c r="F1459" s="2">
        <v>24.0235107565038</v>
      </c>
      <c r="G1459" s="2">
        <v>23.1103700684951</v>
      </c>
      <c r="H1459" s="2">
        <v>7.36077560562397</v>
      </c>
      <c r="I1459" s="2">
        <v>879.0</v>
      </c>
      <c r="J1459" s="2">
        <v>821.0</v>
      </c>
      <c r="K1459" s="2">
        <v>7.40179993807262</v>
      </c>
    </row>
    <row r="1460">
      <c r="A1460" s="2">
        <v>84.0</v>
      </c>
      <c r="B1460" s="2" t="s">
        <v>19</v>
      </c>
      <c r="C1460" s="2" t="s">
        <v>144</v>
      </c>
      <c r="D1460" s="2" t="s">
        <v>145</v>
      </c>
      <c r="E1460" s="2">
        <v>-60.0</v>
      </c>
      <c r="F1460" s="2">
        <v>31.5908304876302</v>
      </c>
      <c r="G1460" s="2">
        <v>30.6443758488764</v>
      </c>
      <c r="H1460" s="2">
        <v>7.49208848023167</v>
      </c>
      <c r="I1460" s="2">
        <v>1380.0</v>
      </c>
      <c r="J1460" s="2">
        <v>1320.0</v>
      </c>
      <c r="K1460" s="2">
        <v>7.53582757174387</v>
      </c>
    </row>
    <row r="1461">
      <c r="A1461" s="2">
        <v>84.0</v>
      </c>
      <c r="B1461" s="2" t="s">
        <v>22</v>
      </c>
      <c r="C1461" s="2" t="s">
        <v>144</v>
      </c>
      <c r="D1461" s="2" t="s">
        <v>145</v>
      </c>
      <c r="E1461" s="2">
        <v>-60.0</v>
      </c>
      <c r="F1461" s="2">
        <v>23.8322036396547</v>
      </c>
      <c r="G1461" s="2">
        <v>22.8886936318667</v>
      </c>
      <c r="H1461" s="2">
        <v>7.48057954697936</v>
      </c>
      <c r="I1461" s="2">
        <v>853.0</v>
      </c>
      <c r="J1461" s="2">
        <v>793.0</v>
      </c>
      <c r="K1461" s="2">
        <v>7.52407701373879</v>
      </c>
    </row>
    <row r="1462">
      <c r="A1462" s="2">
        <v>84.0</v>
      </c>
      <c r="B1462" s="2" t="s">
        <v>26</v>
      </c>
      <c r="C1462" s="2" t="s">
        <v>144</v>
      </c>
      <c r="D1462" s="2" t="s">
        <v>145</v>
      </c>
      <c r="E1462" s="2">
        <v>-58.0</v>
      </c>
      <c r="F1462" s="2">
        <v>26.8750636932898</v>
      </c>
      <c r="G1462" s="2">
        <v>25.9698919859624</v>
      </c>
      <c r="H1462" s="2">
        <v>7.32899702577914</v>
      </c>
      <c r="I1462" s="2">
        <v>1076.0</v>
      </c>
      <c r="J1462" s="2">
        <v>1018.0</v>
      </c>
      <c r="K1462" s="2">
        <v>7.36937811159739</v>
      </c>
    </row>
    <row r="1463">
      <c r="A1463" s="2">
        <v>84.0</v>
      </c>
      <c r="B1463" s="2" t="s">
        <v>64</v>
      </c>
      <c r="C1463" s="2" t="s">
        <v>144</v>
      </c>
      <c r="D1463" s="2" t="s">
        <v>145</v>
      </c>
      <c r="E1463" s="2">
        <v>-56.0</v>
      </c>
      <c r="F1463" s="2">
        <v>26.8274121742417</v>
      </c>
      <c r="G1463" s="2">
        <v>25.9362879135757</v>
      </c>
      <c r="H1463" s="2">
        <v>7.27262296955073</v>
      </c>
      <c r="I1463" s="2">
        <v>1078.0</v>
      </c>
      <c r="J1463" s="2">
        <v>1022.0</v>
      </c>
      <c r="K1463" s="2">
        <v>7.31187596291691</v>
      </c>
    </row>
    <row r="1464">
      <c r="A1464" s="2">
        <v>84.0</v>
      </c>
      <c r="B1464" s="2" t="s">
        <v>27</v>
      </c>
      <c r="C1464" s="2" t="s">
        <v>144</v>
      </c>
      <c r="D1464" s="2" t="s">
        <v>145</v>
      </c>
      <c r="E1464" s="2">
        <v>-62.0</v>
      </c>
      <c r="F1464" s="2">
        <v>27.4735594737815</v>
      </c>
      <c r="G1464" s="2">
        <v>26.488085230254</v>
      </c>
      <c r="H1464" s="2">
        <v>7.64286897481913</v>
      </c>
      <c r="I1464" s="2">
        <v>1084.0</v>
      </c>
      <c r="J1464" s="2">
        <v>1022.0</v>
      </c>
      <c r="K1464" s="2">
        <v>7.68984020735069</v>
      </c>
    </row>
    <row r="1465">
      <c r="A1465" s="2">
        <v>84.0</v>
      </c>
      <c r="B1465" s="2" t="s">
        <v>47</v>
      </c>
      <c r="C1465" s="2" t="s">
        <v>144</v>
      </c>
      <c r="D1465" s="2" t="s">
        <v>145</v>
      </c>
      <c r="E1465" s="2">
        <v>-60.0</v>
      </c>
      <c r="F1465" s="2">
        <v>17.9881413668735</v>
      </c>
      <c r="G1465" s="2">
        <v>17.0453483418386</v>
      </c>
      <c r="H1465" s="2">
        <v>7.47777443008237</v>
      </c>
      <c r="I1465" s="2">
        <v>456.0</v>
      </c>
      <c r="J1465" s="2">
        <v>396.0</v>
      </c>
      <c r="K1465" s="2">
        <v>7.52121311288985</v>
      </c>
    </row>
    <row r="1466">
      <c r="A1466" s="2">
        <v>84.0</v>
      </c>
      <c r="B1466" s="2" t="s">
        <v>16</v>
      </c>
      <c r="C1466" s="2" t="s">
        <v>144</v>
      </c>
      <c r="D1466" s="2" t="s">
        <v>145</v>
      </c>
      <c r="E1466" s="2">
        <v>-55.0</v>
      </c>
      <c r="F1466" s="2">
        <v>32.5139713554789</v>
      </c>
      <c r="G1466" s="2">
        <v>31.6573260111596</v>
      </c>
      <c r="H1466" s="2">
        <v>7.13226842149156</v>
      </c>
      <c r="I1466" s="2">
        <v>1480.0</v>
      </c>
      <c r="J1466" s="2">
        <v>1425.0</v>
      </c>
      <c r="K1466" s="2">
        <v>7.16878405088058</v>
      </c>
    </row>
    <row r="1467">
      <c r="A1467" s="2">
        <v>84.0</v>
      </c>
      <c r="B1467" s="2" t="s">
        <v>20</v>
      </c>
      <c r="C1467" s="2" t="s">
        <v>144</v>
      </c>
      <c r="D1467" s="2" t="s">
        <v>145</v>
      </c>
      <c r="E1467" s="2">
        <v>-65.0</v>
      </c>
      <c r="F1467" s="2">
        <v>26.96710518918</v>
      </c>
      <c r="G1467" s="2">
        <v>25.9319910379407</v>
      </c>
      <c r="H1467" s="2">
        <v>7.83025912277053</v>
      </c>
      <c r="I1467" s="2">
        <v>1030.0</v>
      </c>
      <c r="J1467" s="2">
        <v>965.0</v>
      </c>
      <c r="K1467" s="2">
        <v>7.88142319879989</v>
      </c>
    </row>
    <row r="1468">
      <c r="A1468" s="2">
        <v>84.0</v>
      </c>
      <c r="B1468" s="2" t="s">
        <v>97</v>
      </c>
      <c r="C1468" s="2" t="s">
        <v>144</v>
      </c>
      <c r="D1468" s="2" t="s">
        <v>145</v>
      </c>
      <c r="E1468" s="2">
        <v>-58.0</v>
      </c>
      <c r="F1468" s="2">
        <v>24.7020320216942</v>
      </c>
      <c r="G1468" s="2">
        <v>23.7798940348253</v>
      </c>
      <c r="H1468" s="2">
        <v>7.39648219085895</v>
      </c>
      <c r="I1468" s="2">
        <v>921.0</v>
      </c>
      <c r="J1468" s="2">
        <v>863.0</v>
      </c>
      <c r="K1468" s="2">
        <v>7.43823563163214</v>
      </c>
    </row>
    <row r="1469">
      <c r="A1469" s="2">
        <v>84.0</v>
      </c>
      <c r="B1469" s="2" t="s">
        <v>88</v>
      </c>
      <c r="C1469" s="2" t="s">
        <v>144</v>
      </c>
      <c r="D1469" s="2" t="s">
        <v>145</v>
      </c>
      <c r="E1469" s="2">
        <v>-71.0</v>
      </c>
      <c r="F1469" s="2">
        <v>26.3310233622301</v>
      </c>
      <c r="G1469" s="2">
        <v>25.1916258123676</v>
      </c>
      <c r="H1469" s="2">
        <v>8.20919326551869</v>
      </c>
      <c r="I1469" s="2">
        <v>947.0</v>
      </c>
      <c r="J1469" s="2">
        <v>876.0</v>
      </c>
      <c r="K1469" s="2">
        <v>8.26945635328887</v>
      </c>
    </row>
    <row r="1470">
      <c r="A1470" s="2">
        <v>83.0</v>
      </c>
      <c r="B1470" s="2" t="s">
        <v>32</v>
      </c>
      <c r="C1470" s="2" t="s">
        <v>142</v>
      </c>
      <c r="D1470" s="2" t="s">
        <v>145</v>
      </c>
      <c r="E1470" s="2">
        <v>-69.0</v>
      </c>
      <c r="F1470" s="2">
        <v>27.556589376702</v>
      </c>
      <c r="G1470" s="2">
        <v>26.4724937514478</v>
      </c>
      <c r="H1470" s="2">
        <v>7.44322296176981</v>
      </c>
      <c r="I1470" s="2">
        <v>1110.0</v>
      </c>
      <c r="J1470" s="2">
        <v>1041.0</v>
      </c>
      <c r="K1470" s="2">
        <v>7.48863009938874</v>
      </c>
    </row>
    <row r="1471">
      <c r="A1471" s="2">
        <v>83.0</v>
      </c>
      <c r="B1471" s="2" t="s">
        <v>18</v>
      </c>
      <c r="C1471" s="2" t="s">
        <v>142</v>
      </c>
      <c r="D1471" s="2" t="s">
        <v>145</v>
      </c>
      <c r="E1471" s="2">
        <v>-70.0</v>
      </c>
      <c r="F1471" s="2">
        <v>27.7152613520736</v>
      </c>
      <c r="G1471" s="2">
        <v>26.6157786659421</v>
      </c>
      <c r="H1471" s="2">
        <v>7.49512189148809</v>
      </c>
      <c r="I1471" s="2">
        <v>1115.0</v>
      </c>
      <c r="J1471" s="2">
        <v>1045.0</v>
      </c>
      <c r="K1471" s="2">
        <v>7.5416723012719</v>
      </c>
    </row>
    <row r="1472">
      <c r="A1472" s="2">
        <v>83.0</v>
      </c>
      <c r="B1472" s="2" t="s">
        <v>87</v>
      </c>
      <c r="C1472" s="2" t="s">
        <v>142</v>
      </c>
      <c r="D1472" s="2" t="s">
        <v>145</v>
      </c>
      <c r="E1472" s="2">
        <v>-80.0</v>
      </c>
      <c r="F1472" s="2">
        <v>24.6651766983339</v>
      </c>
      <c r="G1472" s="2">
        <v>23.4090695614222</v>
      </c>
      <c r="H1472" s="2">
        <v>8.00317694901299</v>
      </c>
      <c r="I1472" s="2">
        <v>855.0</v>
      </c>
      <c r="J1472" s="2">
        <v>775.0</v>
      </c>
      <c r="K1472" s="2">
        <v>8.06175586130218</v>
      </c>
    </row>
    <row r="1473">
      <c r="A1473" s="2">
        <v>83.0</v>
      </c>
      <c r="B1473" s="2" t="s">
        <v>23</v>
      </c>
      <c r="C1473" s="2" t="s">
        <v>144</v>
      </c>
      <c r="D1473" s="2" t="s">
        <v>143</v>
      </c>
      <c r="E1473" s="2">
        <v>71.0</v>
      </c>
      <c r="F1473" s="2">
        <v>26.9778554745936</v>
      </c>
      <c r="G1473" s="2">
        <v>27.9703225477129</v>
      </c>
      <c r="H1473" s="2">
        <v>7.12589739330714</v>
      </c>
      <c r="I1473" s="2">
        <v>1104.0</v>
      </c>
      <c r="J1473" s="2">
        <v>1175.0</v>
      </c>
      <c r="K1473" s="2">
        <v>7.16464143367764</v>
      </c>
    </row>
    <row r="1474">
      <c r="A1474" s="2">
        <v>83.0</v>
      </c>
      <c r="B1474" s="2" t="s">
        <v>64</v>
      </c>
      <c r="C1474" s="2" t="s">
        <v>144</v>
      </c>
      <c r="D1474" s="2" t="s">
        <v>143</v>
      </c>
      <c r="E1474" s="2">
        <v>75.0</v>
      </c>
      <c r="F1474" s="2">
        <v>25.781753948759</v>
      </c>
      <c r="G1474" s="2">
        <v>26.8274121742417</v>
      </c>
      <c r="H1474" s="2">
        <v>7.31187596291691</v>
      </c>
      <c r="I1474" s="2">
        <v>1003.0</v>
      </c>
      <c r="J1474" s="2">
        <v>1078.0</v>
      </c>
      <c r="K1474" s="2">
        <v>7.3544576536865</v>
      </c>
    </row>
    <row r="1475">
      <c r="A1475" s="2">
        <v>83.0</v>
      </c>
      <c r="B1475" s="2" t="s">
        <v>31</v>
      </c>
      <c r="C1475" s="2" t="s">
        <v>144</v>
      </c>
      <c r="D1475" s="2" t="s">
        <v>143</v>
      </c>
      <c r="E1475" s="2">
        <v>90.0</v>
      </c>
      <c r="F1475" s="2">
        <v>26.1054206019312</v>
      </c>
      <c r="G1475" s="2">
        <v>27.3413899337593</v>
      </c>
      <c r="H1475" s="2">
        <v>7.9397889444333</v>
      </c>
      <c r="I1475" s="2">
        <v>959.0</v>
      </c>
      <c r="J1475" s="2">
        <v>1049.0</v>
      </c>
      <c r="K1475" s="2">
        <v>7.99678184280088</v>
      </c>
    </row>
    <row r="1476">
      <c r="A1476" s="2">
        <v>83.0</v>
      </c>
      <c r="B1476" s="2" t="s">
        <v>20</v>
      </c>
      <c r="C1476" s="2" t="s">
        <v>144</v>
      </c>
      <c r="D1476" s="2" t="s">
        <v>143</v>
      </c>
      <c r="E1476" s="2">
        <v>89.0</v>
      </c>
      <c r="F1476" s="2">
        <v>25.7495273038706</v>
      </c>
      <c r="G1476" s="2">
        <v>26.96710518918</v>
      </c>
      <c r="H1476" s="2">
        <v>7.88142319879989</v>
      </c>
      <c r="I1476" s="2">
        <v>941.0</v>
      </c>
      <c r="J1476" s="2">
        <v>1030.0</v>
      </c>
      <c r="K1476" s="2">
        <v>7.93697770685696</v>
      </c>
    </row>
    <row r="1477">
      <c r="A1477" s="2">
        <v>83.0</v>
      </c>
      <c r="B1477" s="2" t="s">
        <v>16</v>
      </c>
      <c r="C1477" s="2" t="s">
        <v>144</v>
      </c>
      <c r="D1477" s="2" t="s">
        <v>143</v>
      </c>
      <c r="E1477" s="2">
        <v>73.0</v>
      </c>
      <c r="F1477" s="2">
        <v>31.5093664197857</v>
      </c>
      <c r="G1477" s="2">
        <v>32.5139713554789</v>
      </c>
      <c r="H1477" s="2">
        <v>7.16878405088058</v>
      </c>
      <c r="I1477" s="2">
        <v>1407.0</v>
      </c>
      <c r="J1477" s="2">
        <v>1480.0</v>
      </c>
      <c r="K1477" s="2">
        <v>7.20839638834309</v>
      </c>
    </row>
    <row r="1478">
      <c r="A1478" s="2">
        <v>83.0</v>
      </c>
      <c r="B1478" s="2" t="s">
        <v>32</v>
      </c>
      <c r="C1478" s="2" t="s">
        <v>144</v>
      </c>
      <c r="D1478" s="2" t="s">
        <v>143</v>
      </c>
      <c r="E1478" s="2">
        <v>78.0</v>
      </c>
      <c r="F1478" s="2">
        <v>27.556589376702</v>
      </c>
      <c r="G1478" s="2">
        <v>28.6406850019562</v>
      </c>
      <c r="H1478" s="2">
        <v>7.44322296176981</v>
      </c>
      <c r="I1478" s="2">
        <v>1110.0</v>
      </c>
      <c r="J1478" s="2">
        <v>1188.0</v>
      </c>
      <c r="K1478" s="2">
        <v>7.48863009938874</v>
      </c>
    </row>
    <row r="1479">
      <c r="A1479" s="2">
        <v>83.0</v>
      </c>
      <c r="B1479" s="2" t="s">
        <v>80</v>
      </c>
      <c r="C1479" s="2" t="s">
        <v>144</v>
      </c>
      <c r="D1479" s="2" t="s">
        <v>143</v>
      </c>
      <c r="E1479" s="2">
        <v>89.0</v>
      </c>
      <c r="F1479" s="2">
        <v>23.0289999253059</v>
      </c>
      <c r="G1479" s="2">
        <v>24.2538882575916</v>
      </c>
      <c r="H1479" s="2">
        <v>7.90467805086192</v>
      </c>
      <c r="I1479" s="2">
        <v>754.0</v>
      </c>
      <c r="J1479" s="2">
        <v>843.0</v>
      </c>
      <c r="K1479" s="2">
        <v>7.9608031515771</v>
      </c>
    </row>
    <row r="1480">
      <c r="A1480" s="2">
        <v>83.0</v>
      </c>
      <c r="B1480" s="2" t="s">
        <v>39</v>
      </c>
      <c r="C1480" s="2" t="s">
        <v>144</v>
      </c>
      <c r="D1480" s="2" t="s">
        <v>143</v>
      </c>
      <c r="E1480" s="2">
        <v>91.0</v>
      </c>
      <c r="F1480" s="2">
        <v>27.3948782618202</v>
      </c>
      <c r="G1480" s="2">
        <v>28.646304493453</v>
      </c>
      <c r="H1480" s="2">
        <v>7.98849063728291</v>
      </c>
      <c r="I1480" s="2">
        <v>1042.0</v>
      </c>
      <c r="J1480" s="2">
        <v>1133.0</v>
      </c>
      <c r="K1480" s="2">
        <v>8.04669986373925</v>
      </c>
    </row>
    <row r="1481">
      <c r="A1481" s="2">
        <v>83.0</v>
      </c>
      <c r="B1481" s="2" t="s">
        <v>17</v>
      </c>
      <c r="C1481" s="2" t="s">
        <v>144</v>
      </c>
      <c r="D1481" s="2" t="s">
        <v>143</v>
      </c>
      <c r="E1481" s="2">
        <v>84.0</v>
      </c>
      <c r="F1481" s="2">
        <v>30.9784670288199</v>
      </c>
      <c r="G1481" s="2">
        <v>32.1460056506966</v>
      </c>
      <c r="H1481" s="2">
        <v>7.72024421092682</v>
      </c>
      <c r="I1481" s="2">
        <v>1314.0</v>
      </c>
      <c r="J1481" s="2">
        <v>1398.0</v>
      </c>
      <c r="K1481" s="2">
        <v>7.77193421856369</v>
      </c>
    </row>
    <row r="1482">
      <c r="A1482" s="2">
        <v>83.0</v>
      </c>
      <c r="B1482" s="2" t="s">
        <v>75</v>
      </c>
      <c r="C1482" s="2" t="s">
        <v>144</v>
      </c>
      <c r="D1482" s="2" t="s">
        <v>143</v>
      </c>
      <c r="E1482" s="2">
        <v>98.0</v>
      </c>
      <c r="F1482" s="2">
        <v>25.0</v>
      </c>
      <c r="G1482" s="2">
        <v>26.3420428993666</v>
      </c>
      <c r="H1482" s="2">
        <v>8.26785780891913</v>
      </c>
      <c r="I1482" s="2">
        <v>850.0</v>
      </c>
      <c r="J1482" s="2">
        <v>948.0</v>
      </c>
      <c r="K1482" s="2">
        <v>8.33333333333333</v>
      </c>
    </row>
    <row r="1483">
      <c r="A1483" s="2">
        <v>83.0</v>
      </c>
      <c r="B1483" s="2" t="s">
        <v>97</v>
      </c>
      <c r="C1483" s="2" t="s">
        <v>144</v>
      </c>
      <c r="D1483" s="2" t="s">
        <v>143</v>
      </c>
      <c r="E1483" s="2">
        <v>78.0</v>
      </c>
      <c r="F1483" s="2">
        <v>23.6194090936105</v>
      </c>
      <c r="G1483" s="2">
        <v>24.7020320216942</v>
      </c>
      <c r="H1483" s="2">
        <v>7.43823563163214</v>
      </c>
      <c r="I1483" s="2">
        <v>843.0</v>
      </c>
      <c r="J1483" s="2">
        <v>921.0</v>
      </c>
      <c r="K1483" s="2">
        <v>7.4835337115246</v>
      </c>
    </row>
    <row r="1484">
      <c r="A1484" s="2">
        <v>82.0</v>
      </c>
      <c r="B1484" s="2" t="s">
        <v>22</v>
      </c>
      <c r="C1484" s="2" t="s">
        <v>142</v>
      </c>
      <c r="D1484" s="2" t="s">
        <v>145</v>
      </c>
      <c r="E1484" s="2">
        <v>-83.0</v>
      </c>
      <c r="F1484" s="2">
        <v>25.1311293931022</v>
      </c>
      <c r="G1484" s="2">
        <v>23.8322036396547</v>
      </c>
      <c r="H1484" s="2">
        <v>7.52407701373879</v>
      </c>
      <c r="I1484" s="2">
        <v>936.0</v>
      </c>
      <c r="J1484" s="2">
        <v>853.0</v>
      </c>
      <c r="K1484" s="2">
        <v>7.57965196770604</v>
      </c>
    </row>
    <row r="1485">
      <c r="A1485" s="2">
        <v>82.0</v>
      </c>
      <c r="B1485" s="2" t="s">
        <v>97</v>
      </c>
      <c r="C1485" s="2" t="s">
        <v>142</v>
      </c>
      <c r="D1485" s="2" t="s">
        <v>145</v>
      </c>
      <c r="E1485" s="2">
        <v>-82.0</v>
      </c>
      <c r="F1485" s="2">
        <v>24.9041436741701</v>
      </c>
      <c r="G1485" s="2">
        <v>23.6194090936105</v>
      </c>
      <c r="H1485" s="2">
        <v>7.4835337115246</v>
      </c>
      <c r="I1485" s="2">
        <v>925.0</v>
      </c>
      <c r="J1485" s="2">
        <v>843.0</v>
      </c>
      <c r="K1485" s="2">
        <v>7.53806799204491</v>
      </c>
    </row>
    <row r="1486">
      <c r="A1486" s="2">
        <v>82.0</v>
      </c>
      <c r="B1486" s="2" t="s">
        <v>32</v>
      </c>
      <c r="C1486" s="2" t="s">
        <v>142</v>
      </c>
      <c r="D1486" s="2" t="s">
        <v>145</v>
      </c>
      <c r="E1486" s="2">
        <v>-82.0</v>
      </c>
      <c r="F1486" s="2">
        <v>28.8431033237703</v>
      </c>
      <c r="G1486" s="2">
        <v>27.556589376702</v>
      </c>
      <c r="H1486" s="2">
        <v>7.48863009938874</v>
      </c>
      <c r="I1486" s="2">
        <v>1192.0</v>
      </c>
      <c r="J1486" s="2">
        <v>1110.0</v>
      </c>
      <c r="K1486" s="2">
        <v>7.54329458698913</v>
      </c>
    </row>
    <row r="1487">
      <c r="A1487" s="2">
        <v>82.0</v>
      </c>
      <c r="B1487" s="2" t="s">
        <v>38</v>
      </c>
      <c r="C1487" s="2" t="s">
        <v>144</v>
      </c>
      <c r="D1487" s="2" t="s">
        <v>143</v>
      </c>
      <c r="E1487" s="2">
        <v>91.0</v>
      </c>
      <c r="F1487" s="2">
        <v>22.7671364475332</v>
      </c>
      <c r="G1487" s="2">
        <v>24.0235107565038</v>
      </c>
      <c r="H1487" s="2">
        <v>7.40179993807262</v>
      </c>
      <c r="I1487" s="2">
        <v>788.0</v>
      </c>
      <c r="J1487" s="2">
        <v>879.0</v>
      </c>
      <c r="K1487" s="2">
        <v>7.45426972409612</v>
      </c>
    </row>
    <row r="1488">
      <c r="A1488" s="2">
        <v>82.0</v>
      </c>
      <c r="B1488" s="2" t="s">
        <v>111</v>
      </c>
      <c r="C1488" s="2" t="s">
        <v>144</v>
      </c>
      <c r="D1488" s="2" t="s">
        <v>143</v>
      </c>
      <c r="E1488" s="2">
        <v>101.0</v>
      </c>
      <c r="F1488" s="2">
        <v>24.5880343844589</v>
      </c>
      <c r="G1488" s="2">
        <v>25.9815346741449</v>
      </c>
      <c r="H1488" s="2">
        <v>7.78851904695569</v>
      </c>
      <c r="I1488" s="2">
        <v>871.0</v>
      </c>
      <c r="J1488" s="2">
        <v>972.0</v>
      </c>
      <c r="K1488" s="2">
        <v>7.85115801688328</v>
      </c>
    </row>
    <row r="1489">
      <c r="A1489" s="2">
        <v>82.0</v>
      </c>
      <c r="B1489" s="2" t="s">
        <v>23</v>
      </c>
      <c r="C1489" s="2" t="s">
        <v>144</v>
      </c>
      <c r="D1489" s="2" t="s">
        <v>143</v>
      </c>
      <c r="E1489" s="2">
        <v>85.0</v>
      </c>
      <c r="F1489" s="2">
        <v>25.8018960175316</v>
      </c>
      <c r="G1489" s="2">
        <v>26.9778554745936</v>
      </c>
      <c r="H1489" s="2">
        <v>7.16464143367764</v>
      </c>
      <c r="I1489" s="2">
        <v>1019.0</v>
      </c>
      <c r="J1489" s="2">
        <v>1104.0</v>
      </c>
      <c r="K1489" s="2">
        <v>7.21136872251019</v>
      </c>
    </row>
    <row r="1490">
      <c r="A1490" s="2">
        <v>82.0</v>
      </c>
      <c r="B1490" s="2" t="s">
        <v>29</v>
      </c>
      <c r="C1490" s="2" t="s">
        <v>144</v>
      </c>
      <c r="D1490" s="2" t="s">
        <v>143</v>
      </c>
      <c r="E1490" s="2">
        <v>93.0</v>
      </c>
      <c r="F1490" s="2">
        <v>25.0535074834149</v>
      </c>
      <c r="G1490" s="2">
        <v>26.3407392772384</v>
      </c>
      <c r="H1490" s="2">
        <v>7.49068507883459</v>
      </c>
      <c r="I1490" s="2">
        <v>934.0</v>
      </c>
      <c r="J1490" s="2">
        <v>1027.0</v>
      </c>
      <c r="K1490" s="2">
        <v>7.54540211825307</v>
      </c>
    </row>
    <row r="1491">
      <c r="A1491" s="2">
        <v>82.0</v>
      </c>
      <c r="B1491" s="2" t="s">
        <v>24</v>
      </c>
      <c r="C1491" s="2" t="s">
        <v>144</v>
      </c>
      <c r="D1491" s="2" t="s">
        <v>143</v>
      </c>
      <c r="E1491" s="2">
        <v>93.0</v>
      </c>
      <c r="F1491" s="2">
        <v>18.2929756272224</v>
      </c>
      <c r="G1491" s="2">
        <v>19.5827254568042</v>
      </c>
      <c r="H1491" s="2">
        <v>7.49788870604136</v>
      </c>
      <c r="I1491" s="2">
        <v>474.0</v>
      </c>
      <c r="J1491" s="2">
        <v>567.0</v>
      </c>
      <c r="K1491" s="2">
        <v>7.5527901874377</v>
      </c>
    </row>
    <row r="1492">
      <c r="A1492" s="2">
        <v>82.0</v>
      </c>
      <c r="B1492" s="2" t="s">
        <v>59</v>
      </c>
      <c r="C1492" s="2" t="s">
        <v>144</v>
      </c>
      <c r="D1492" s="2" t="s">
        <v>143</v>
      </c>
      <c r="E1492" s="2">
        <v>110.0</v>
      </c>
      <c r="F1492" s="2">
        <v>26.484095910154</v>
      </c>
      <c r="G1492" s="2">
        <v>28.0035338195264</v>
      </c>
      <c r="H1492" s="2">
        <v>8.12636845709006</v>
      </c>
      <c r="I1492" s="2">
        <v>965.0</v>
      </c>
      <c r="J1492" s="2">
        <v>1075.0</v>
      </c>
      <c r="K1492" s="2">
        <v>8.19875563631318</v>
      </c>
    </row>
    <row r="1493">
      <c r="A1493" s="2">
        <v>82.0</v>
      </c>
      <c r="B1493" s="2" t="s">
        <v>17</v>
      </c>
      <c r="C1493" s="2" t="s">
        <v>144</v>
      </c>
      <c r="D1493" s="2" t="s">
        <v>143</v>
      </c>
      <c r="E1493" s="2">
        <v>101.0</v>
      </c>
      <c r="F1493" s="2">
        <v>29.5910009866765</v>
      </c>
      <c r="G1493" s="2">
        <v>30.9784670288199</v>
      </c>
      <c r="H1493" s="2">
        <v>7.77193421856369</v>
      </c>
      <c r="I1493" s="2">
        <v>1213.0</v>
      </c>
      <c r="J1493" s="2">
        <v>1314.0</v>
      </c>
      <c r="K1493" s="2">
        <v>7.83411584152503</v>
      </c>
    </row>
    <row r="1494">
      <c r="A1494" s="2">
        <v>82.0</v>
      </c>
      <c r="B1494" s="2" t="s">
        <v>16</v>
      </c>
      <c r="C1494" s="2" t="s">
        <v>144</v>
      </c>
      <c r="D1494" s="2" t="s">
        <v>143</v>
      </c>
      <c r="E1494" s="2">
        <v>85.0</v>
      </c>
      <c r="F1494" s="2">
        <v>30.3187800151955</v>
      </c>
      <c r="G1494" s="2">
        <v>31.5093664197857</v>
      </c>
      <c r="H1494" s="2">
        <v>7.20839638834309</v>
      </c>
      <c r="I1494" s="2">
        <v>1322.0</v>
      </c>
      <c r="J1494" s="2">
        <v>1407.0</v>
      </c>
      <c r="K1494" s="2">
        <v>7.25615587867791</v>
      </c>
    </row>
    <row r="1495">
      <c r="A1495" s="2">
        <v>82.0</v>
      </c>
      <c r="B1495" s="2" t="s">
        <v>73</v>
      </c>
      <c r="C1495" s="2" t="s">
        <v>144</v>
      </c>
      <c r="D1495" s="2" t="s">
        <v>143</v>
      </c>
      <c r="E1495" s="2">
        <v>107.0</v>
      </c>
      <c r="F1495" s="2">
        <v>25.4612572851595</v>
      </c>
      <c r="G1495" s="2">
        <v>26.9383638310195</v>
      </c>
      <c r="H1495" s="2">
        <v>8.01451809137464</v>
      </c>
      <c r="I1495" s="2">
        <v>907.0</v>
      </c>
      <c r="J1495" s="2">
        <v>1014.0</v>
      </c>
      <c r="K1495" s="2">
        <v>8.08358562277166</v>
      </c>
    </row>
    <row r="1496">
      <c r="A1496" s="2">
        <v>82.0</v>
      </c>
      <c r="B1496" s="2" t="s">
        <v>27</v>
      </c>
      <c r="C1496" s="2" t="s">
        <v>144</v>
      </c>
      <c r="D1496" s="2" t="s">
        <v>143</v>
      </c>
      <c r="E1496" s="2">
        <v>99.0</v>
      </c>
      <c r="F1496" s="2">
        <v>26.1157595723792</v>
      </c>
      <c r="G1496" s="2">
        <v>27.4735594737815</v>
      </c>
      <c r="H1496" s="2">
        <v>7.68984020735069</v>
      </c>
      <c r="I1496" s="2">
        <v>985.0</v>
      </c>
      <c r="J1496" s="2">
        <v>1084.0</v>
      </c>
      <c r="K1496" s="2">
        <v>7.74978647290902</v>
      </c>
    </row>
    <row r="1497">
      <c r="A1497" s="2">
        <v>81.0</v>
      </c>
      <c r="B1497" s="2" t="s">
        <v>23</v>
      </c>
      <c r="C1497" s="2" t="s">
        <v>142</v>
      </c>
      <c r="D1497" s="2" t="s">
        <v>145</v>
      </c>
      <c r="E1497" s="2">
        <v>-113.0</v>
      </c>
      <c r="F1497" s="2">
        <v>27.5373719860472</v>
      </c>
      <c r="G1497" s="2">
        <v>25.8018960175316</v>
      </c>
      <c r="H1497" s="2">
        <v>7.21136872251019</v>
      </c>
      <c r="I1497" s="2">
        <v>1132.0</v>
      </c>
      <c r="J1497" s="2">
        <v>1019.0</v>
      </c>
      <c r="K1497" s="2">
        <v>7.26503817255854</v>
      </c>
    </row>
    <row r="1498">
      <c r="A1498" s="2">
        <v>81.0</v>
      </c>
      <c r="B1498" s="2" t="s">
        <v>29</v>
      </c>
      <c r="C1498" s="2" t="s">
        <v>142</v>
      </c>
      <c r="D1498" s="2" t="s">
        <v>145</v>
      </c>
      <c r="E1498" s="2">
        <v>-123.0</v>
      </c>
      <c r="F1498" s="2">
        <v>26.9565459824112</v>
      </c>
      <c r="G1498" s="2">
        <v>25.0535074834149</v>
      </c>
      <c r="H1498" s="2">
        <v>7.54540211825307</v>
      </c>
      <c r="I1498" s="2">
        <v>1057.0</v>
      </c>
      <c r="J1498" s="2">
        <v>934.0</v>
      </c>
      <c r="K1498" s="2">
        <v>7.60825369426058</v>
      </c>
    </row>
    <row r="1499">
      <c r="A1499" s="2">
        <v>81.0</v>
      </c>
      <c r="B1499" s="2" t="s">
        <v>17</v>
      </c>
      <c r="C1499" s="2" t="s">
        <v>142</v>
      </c>
      <c r="D1499" s="2" t="s">
        <v>145</v>
      </c>
      <c r="E1499" s="2">
        <v>-133.0</v>
      </c>
      <c r="F1499" s="2">
        <v>31.6454525778591</v>
      </c>
      <c r="G1499" s="2">
        <v>29.5910009866765</v>
      </c>
      <c r="H1499" s="2">
        <v>7.83411584152503</v>
      </c>
      <c r="I1499" s="2">
        <v>1346.0</v>
      </c>
      <c r="J1499" s="2">
        <v>1213.0</v>
      </c>
      <c r="K1499" s="2">
        <v>7.90558542292168</v>
      </c>
    </row>
    <row r="1500">
      <c r="A1500" s="2">
        <v>81.0</v>
      </c>
      <c r="B1500" s="2" t="s">
        <v>38</v>
      </c>
      <c r="C1500" s="2" t="s">
        <v>144</v>
      </c>
      <c r="D1500" s="2" t="s">
        <v>143</v>
      </c>
      <c r="E1500" s="2">
        <v>133.0</v>
      </c>
      <c r="F1500" s="2">
        <v>20.9106206455048</v>
      </c>
      <c r="G1500" s="2">
        <v>22.7671364475332</v>
      </c>
      <c r="H1500" s="2">
        <v>7.45426972409612</v>
      </c>
      <c r="I1500" s="2">
        <v>655.0</v>
      </c>
      <c r="J1500" s="2">
        <v>788.0</v>
      </c>
      <c r="K1500" s="2">
        <v>7.51453415736022</v>
      </c>
    </row>
    <row r="1501">
      <c r="A1501" s="2">
        <v>81.0</v>
      </c>
      <c r="B1501" s="2" t="s">
        <v>25</v>
      </c>
      <c r="C1501" s="2" t="s">
        <v>144</v>
      </c>
      <c r="D1501" s="2" t="s">
        <v>143</v>
      </c>
      <c r="E1501" s="2">
        <v>164.0</v>
      </c>
      <c r="F1501" s="2">
        <v>25.0</v>
      </c>
      <c r="G1501" s="2">
        <v>27.2824584414901</v>
      </c>
      <c r="H1501" s="2">
        <v>8.24832738624149</v>
      </c>
      <c r="I1501" s="2">
        <v>850.0</v>
      </c>
      <c r="J1501" s="2">
        <v>1014.0</v>
      </c>
      <c r="K1501" s="2">
        <v>8.33333333333333</v>
      </c>
    </row>
    <row r="1502">
      <c r="A1502" s="2">
        <v>81.0</v>
      </c>
      <c r="B1502" s="2" t="s">
        <v>41</v>
      </c>
      <c r="C1502" s="2" t="s">
        <v>144</v>
      </c>
      <c r="D1502" s="2" t="s">
        <v>143</v>
      </c>
      <c r="E1502" s="2">
        <v>146.0</v>
      </c>
      <c r="F1502" s="2">
        <v>25.7724587738101</v>
      </c>
      <c r="G1502" s="2">
        <v>27.825011365251</v>
      </c>
      <c r="H1502" s="2">
        <v>7.83056597322649</v>
      </c>
      <c r="I1502" s="2">
        <v>947.0</v>
      </c>
      <c r="J1502" s="2">
        <v>1093.0</v>
      </c>
      <c r="K1502" s="2">
        <v>7.90192561306565</v>
      </c>
    </row>
    <row r="1503">
      <c r="A1503" s="2">
        <v>81.0</v>
      </c>
      <c r="B1503" s="2" t="s">
        <v>16</v>
      </c>
      <c r="C1503" s="2" t="s">
        <v>144</v>
      </c>
      <c r="D1503" s="2" t="s">
        <v>143</v>
      </c>
      <c r="E1503" s="2">
        <v>126.0</v>
      </c>
      <c r="F1503" s="2">
        <v>28.5613089809368</v>
      </c>
      <c r="G1503" s="2">
        <v>30.3187800151955</v>
      </c>
      <c r="H1503" s="2">
        <v>7.25615587867791</v>
      </c>
      <c r="I1503" s="2">
        <v>1196.0</v>
      </c>
      <c r="J1503" s="2">
        <v>1322.0</v>
      </c>
      <c r="K1503" s="2">
        <v>7.31100903048211</v>
      </c>
    </row>
    <row r="1504">
      <c r="A1504" s="2">
        <v>81.0</v>
      </c>
      <c r="B1504" s="2" t="s">
        <v>56</v>
      </c>
      <c r="C1504" s="2" t="s">
        <v>144</v>
      </c>
      <c r="D1504" s="2" t="s">
        <v>143</v>
      </c>
      <c r="E1504" s="2">
        <v>156.0</v>
      </c>
      <c r="F1504" s="2">
        <v>23.9778692896909</v>
      </c>
      <c r="G1504" s="2">
        <v>26.1585691071452</v>
      </c>
      <c r="H1504" s="2">
        <v>8.06632409414115</v>
      </c>
      <c r="I1504" s="2">
        <v>800.0</v>
      </c>
      <c r="J1504" s="2">
        <v>956.0</v>
      </c>
      <c r="K1504" s="2">
        <v>8.14520699737923</v>
      </c>
    </row>
    <row r="1505">
      <c r="A1505" s="2">
        <v>81.0</v>
      </c>
      <c r="B1505" s="2" t="s">
        <v>59</v>
      </c>
      <c r="C1505" s="2" t="s">
        <v>144</v>
      </c>
      <c r="D1505" s="2" t="s">
        <v>143</v>
      </c>
      <c r="E1505" s="2">
        <v>162.0</v>
      </c>
      <c r="F1505" s="2">
        <v>24.229598525434</v>
      </c>
      <c r="G1505" s="2">
        <v>26.484095910154</v>
      </c>
      <c r="H1505" s="2">
        <v>8.19875563631318</v>
      </c>
      <c r="I1505" s="2">
        <v>803.0</v>
      </c>
      <c r="J1505" s="2">
        <v>965.0</v>
      </c>
      <c r="K1505" s="2">
        <v>8.28206609711067</v>
      </c>
    </row>
    <row r="1506">
      <c r="A1506" s="2">
        <v>81.0</v>
      </c>
      <c r="B1506" s="2" t="s">
        <v>22</v>
      </c>
      <c r="C1506" s="2" t="s">
        <v>144</v>
      </c>
      <c r="D1506" s="2" t="s">
        <v>143</v>
      </c>
      <c r="E1506" s="2">
        <v>137.0</v>
      </c>
      <c r="F1506" s="2">
        <v>23.210449251454</v>
      </c>
      <c r="G1506" s="2">
        <v>25.1311293931022</v>
      </c>
      <c r="H1506" s="2">
        <v>7.57965196770604</v>
      </c>
      <c r="I1506" s="2">
        <v>799.0</v>
      </c>
      <c r="J1506" s="2">
        <v>936.0</v>
      </c>
      <c r="K1506" s="2">
        <v>7.6434921260083</v>
      </c>
    </row>
    <row r="1507">
      <c r="A1507" s="2">
        <v>81.0</v>
      </c>
      <c r="B1507" s="2" t="s">
        <v>71</v>
      </c>
      <c r="C1507" s="2" t="s">
        <v>144</v>
      </c>
      <c r="D1507" s="2" t="s">
        <v>143</v>
      </c>
      <c r="E1507" s="2">
        <v>155.0</v>
      </c>
      <c r="F1507" s="2">
        <v>21.9392575143165</v>
      </c>
      <c r="G1507" s="2">
        <v>24.1047147059603</v>
      </c>
      <c r="H1507" s="2">
        <v>8.03867468491876</v>
      </c>
      <c r="I1507" s="2">
        <v>664.0</v>
      </c>
      <c r="J1507" s="2">
        <v>819.0</v>
      </c>
      <c r="K1507" s="2">
        <v>8.11665169813504</v>
      </c>
    </row>
    <row r="1508">
      <c r="A1508" s="2">
        <v>81.0</v>
      </c>
      <c r="B1508" s="2" t="s">
        <v>32</v>
      </c>
      <c r="C1508" s="2" t="s">
        <v>144</v>
      </c>
      <c r="D1508" s="2" t="s">
        <v>143</v>
      </c>
      <c r="E1508" s="2">
        <v>136.0</v>
      </c>
      <c r="F1508" s="2">
        <v>26.9411475779516</v>
      </c>
      <c r="G1508" s="2">
        <v>28.8431033237703</v>
      </c>
      <c r="H1508" s="2">
        <v>7.54329458698913</v>
      </c>
      <c r="I1508" s="2">
        <v>1056.0</v>
      </c>
      <c r="J1508" s="2">
        <v>1192.0</v>
      </c>
      <c r="K1508" s="2">
        <v>7.60608562336487</v>
      </c>
    </row>
    <row r="1509">
      <c r="A1509" s="2">
        <v>81.0</v>
      </c>
      <c r="B1509" s="2" t="s">
        <v>111</v>
      </c>
      <c r="C1509" s="2" t="s">
        <v>144</v>
      </c>
      <c r="D1509" s="2" t="s">
        <v>143</v>
      </c>
      <c r="E1509" s="2">
        <v>147.0</v>
      </c>
      <c r="F1509" s="2">
        <v>22.5244531185106</v>
      </c>
      <c r="G1509" s="2">
        <v>24.5880343844589</v>
      </c>
      <c r="H1509" s="2">
        <v>7.85115801688328</v>
      </c>
      <c r="I1509" s="2">
        <v>724.0</v>
      </c>
      <c r="J1509" s="2">
        <v>871.0</v>
      </c>
      <c r="K1509" s="2">
        <v>7.92315680855755</v>
      </c>
    </row>
    <row r="1510">
      <c r="A1510" s="2">
        <v>80.0</v>
      </c>
      <c r="B1510" s="2" t="s">
        <v>56</v>
      </c>
      <c r="C1510" s="2" t="s">
        <v>142</v>
      </c>
      <c r="D1510" s="2" t="s">
        <v>143</v>
      </c>
      <c r="E1510" s="2">
        <v>81.0</v>
      </c>
      <c r="F1510" s="2">
        <v>22.8799349172307</v>
      </c>
      <c r="G1510" s="2">
        <v>23.9778692896909</v>
      </c>
      <c r="H1510" s="2">
        <v>8.14520699737923</v>
      </c>
      <c r="I1510" s="2">
        <v>719.0</v>
      </c>
      <c r="J1510" s="2">
        <v>800.0</v>
      </c>
      <c r="K1510" s="2">
        <v>8.20714726708244</v>
      </c>
    </row>
    <row r="1511">
      <c r="A1511" s="2">
        <v>80.0</v>
      </c>
      <c r="B1511" s="2" t="s">
        <v>17</v>
      </c>
      <c r="C1511" s="2" t="s">
        <v>142</v>
      </c>
      <c r="D1511" s="2" t="s">
        <v>143</v>
      </c>
      <c r="E1511" s="2">
        <v>76.0</v>
      </c>
      <c r="F1511" s="2">
        <v>30.6121792185004</v>
      </c>
      <c r="G1511" s="2">
        <v>31.6454525778591</v>
      </c>
      <c r="H1511" s="2">
        <v>7.90558542292168</v>
      </c>
      <c r="I1511" s="2">
        <v>1270.0</v>
      </c>
      <c r="J1511" s="2">
        <v>1346.0</v>
      </c>
      <c r="K1511" s="2">
        <v>7.96147423811732</v>
      </c>
    </row>
    <row r="1512">
      <c r="A1512" s="2">
        <v>80.0</v>
      </c>
      <c r="B1512" s="2" t="s">
        <v>38</v>
      </c>
      <c r="C1512" s="2" t="s">
        <v>142</v>
      </c>
      <c r="D1512" s="2" t="s">
        <v>143</v>
      </c>
      <c r="E1512" s="2">
        <v>68.0</v>
      </c>
      <c r="F1512" s="2">
        <v>19.9784669327697</v>
      </c>
      <c r="G1512" s="2">
        <v>20.9106206455048</v>
      </c>
      <c r="H1512" s="2">
        <v>7.51453415736022</v>
      </c>
      <c r="I1512" s="2">
        <v>587.0</v>
      </c>
      <c r="J1512" s="2">
        <v>655.0</v>
      </c>
      <c r="K1512" s="2">
        <v>7.56129522781849</v>
      </c>
    </row>
    <row r="1513">
      <c r="A1513" s="2">
        <v>80.0</v>
      </c>
      <c r="B1513" s="2" t="s">
        <v>18</v>
      </c>
      <c r="C1513" s="2" t="s">
        <v>144</v>
      </c>
      <c r="D1513" s="2" t="s">
        <v>145</v>
      </c>
      <c r="E1513" s="2">
        <v>-59.0</v>
      </c>
      <c r="F1513" s="2">
        <v>28.6542570493792</v>
      </c>
      <c r="G1513" s="2">
        <v>27.7152613520736</v>
      </c>
      <c r="H1513" s="2">
        <v>7.5416723012719</v>
      </c>
      <c r="I1513" s="2">
        <v>1174.0</v>
      </c>
      <c r="J1513" s="2">
        <v>1115.0</v>
      </c>
      <c r="K1513" s="2">
        <v>7.58903787375045</v>
      </c>
    </row>
    <row r="1514">
      <c r="A1514" s="2">
        <v>80.0</v>
      </c>
      <c r="B1514" s="2" t="s">
        <v>23</v>
      </c>
      <c r="C1514" s="2" t="s">
        <v>144</v>
      </c>
      <c r="D1514" s="2" t="s">
        <v>145</v>
      </c>
      <c r="E1514" s="2">
        <v>-54.0</v>
      </c>
      <c r="F1514" s="2">
        <v>28.4078440262187</v>
      </c>
      <c r="G1514" s="2">
        <v>27.5373719860472</v>
      </c>
      <c r="H1514" s="2">
        <v>7.26503817255854</v>
      </c>
      <c r="I1514" s="2">
        <v>1186.0</v>
      </c>
      <c r="J1514" s="2">
        <v>1132.0</v>
      </c>
      <c r="K1514" s="2">
        <v>7.30643656879345</v>
      </c>
    </row>
    <row r="1515">
      <c r="A1515" s="2">
        <v>80.0</v>
      </c>
      <c r="B1515" s="2" t="s">
        <v>47</v>
      </c>
      <c r="C1515" s="2" t="s">
        <v>144</v>
      </c>
      <c r="D1515" s="2" t="s">
        <v>145</v>
      </c>
      <c r="E1515" s="2">
        <v>-59.0</v>
      </c>
      <c r="F1515" s="2">
        <v>18.9219765360581</v>
      </c>
      <c r="G1515" s="2">
        <v>17.9881413668735</v>
      </c>
      <c r="H1515" s="2">
        <v>7.52121311288985</v>
      </c>
      <c r="I1515" s="2">
        <v>515.0</v>
      </c>
      <c r="J1515" s="2">
        <v>456.0</v>
      </c>
      <c r="K1515" s="2">
        <v>7.568122565406</v>
      </c>
    </row>
    <row r="1516">
      <c r="A1516" s="2">
        <v>80.0</v>
      </c>
      <c r="B1516" s="2" t="s">
        <v>29</v>
      </c>
      <c r="C1516" s="2" t="s">
        <v>144</v>
      </c>
      <c r="D1516" s="2" t="s">
        <v>145</v>
      </c>
      <c r="E1516" s="2">
        <v>-60.0</v>
      </c>
      <c r="F1516" s="2">
        <v>27.9124386075397</v>
      </c>
      <c r="G1516" s="2">
        <v>26.9565459824112</v>
      </c>
      <c r="H1516" s="2">
        <v>7.60825369426058</v>
      </c>
      <c r="I1516" s="2">
        <v>1117.0</v>
      </c>
      <c r="J1516" s="2">
        <v>1057.0</v>
      </c>
      <c r="K1516" s="2">
        <v>7.65712034273061</v>
      </c>
    </row>
    <row r="1517">
      <c r="A1517" s="2">
        <v>80.0</v>
      </c>
      <c r="B1517" s="2" t="s">
        <v>27</v>
      </c>
      <c r="C1517" s="2" t="s">
        <v>144</v>
      </c>
      <c r="D1517" s="2" t="s">
        <v>145</v>
      </c>
      <c r="E1517" s="2">
        <v>-63.0</v>
      </c>
      <c r="F1517" s="2">
        <v>27.1080933702826</v>
      </c>
      <c r="G1517" s="2">
        <v>26.1157595723792</v>
      </c>
      <c r="H1517" s="2">
        <v>7.74978647290902</v>
      </c>
      <c r="I1517" s="2">
        <v>1048.0</v>
      </c>
      <c r="J1517" s="2">
        <v>985.0</v>
      </c>
      <c r="K1517" s="2">
        <v>7.8019299928645</v>
      </c>
    </row>
    <row r="1518">
      <c r="A1518" s="2">
        <v>80.0</v>
      </c>
      <c r="B1518" s="2" t="s">
        <v>122</v>
      </c>
      <c r="C1518" s="2" t="s">
        <v>144</v>
      </c>
      <c r="D1518" s="2" t="s">
        <v>145</v>
      </c>
      <c r="E1518" s="2">
        <v>-67.0</v>
      </c>
      <c r="F1518" s="2">
        <v>25.597070602119</v>
      </c>
      <c r="G1518" s="2">
        <v>24.5205635833159</v>
      </c>
      <c r="H1518" s="2">
        <v>8.06664238505219</v>
      </c>
      <c r="I1518" s="2">
        <v>912.0</v>
      </c>
      <c r="J1518" s="2">
        <v>845.0</v>
      </c>
      <c r="K1518" s="2">
        <v>8.12655900941122</v>
      </c>
    </row>
    <row r="1519">
      <c r="A1519" s="2">
        <v>80.0</v>
      </c>
      <c r="B1519" s="2" t="s">
        <v>73</v>
      </c>
      <c r="C1519" s="2" t="s">
        <v>144</v>
      </c>
      <c r="D1519" s="2" t="s">
        <v>145</v>
      </c>
      <c r="E1519" s="2">
        <v>-67.0</v>
      </c>
      <c r="F1519" s="2">
        <v>26.5423665689025</v>
      </c>
      <c r="G1519" s="2">
        <v>25.4612572851595</v>
      </c>
      <c r="H1519" s="2">
        <v>8.08358562277166</v>
      </c>
      <c r="I1519" s="2">
        <v>974.0</v>
      </c>
      <c r="J1519" s="2">
        <v>907.0</v>
      </c>
      <c r="K1519" s="2">
        <v>8.14393537067644</v>
      </c>
    </row>
    <row r="1520">
      <c r="A1520" s="2">
        <v>80.0</v>
      </c>
      <c r="B1520" s="2" t="s">
        <v>20</v>
      </c>
      <c r="C1520" s="2" t="s">
        <v>144</v>
      </c>
      <c r="D1520" s="2" t="s">
        <v>145</v>
      </c>
      <c r="E1520" s="2">
        <v>-65.0</v>
      </c>
      <c r="F1520" s="2">
        <v>26.7911546253506</v>
      </c>
      <c r="G1520" s="2">
        <v>25.7495273038706</v>
      </c>
      <c r="H1520" s="2">
        <v>7.93697770685696</v>
      </c>
      <c r="I1520" s="2">
        <v>1006.0</v>
      </c>
      <c r="J1520" s="2">
        <v>941.0</v>
      </c>
      <c r="K1520" s="2">
        <v>7.993639017776</v>
      </c>
    </row>
    <row r="1521">
      <c r="A1521" s="2">
        <v>80.0</v>
      </c>
      <c r="B1521" s="2" t="s">
        <v>16</v>
      </c>
      <c r="C1521" s="2" t="s">
        <v>144</v>
      </c>
      <c r="D1521" s="2" t="s">
        <v>145</v>
      </c>
      <c r="E1521" s="2">
        <v>-56.0</v>
      </c>
      <c r="F1521" s="2">
        <v>29.4429810126983</v>
      </c>
      <c r="G1521" s="2">
        <v>28.5613089809368</v>
      </c>
      <c r="H1521" s="2">
        <v>7.31100903048211</v>
      </c>
      <c r="I1521" s="2">
        <v>1252.0</v>
      </c>
      <c r="J1521" s="2">
        <v>1196.0</v>
      </c>
      <c r="K1521" s="2">
        <v>7.35336947443026</v>
      </c>
    </row>
    <row r="1522">
      <c r="A1522" s="2">
        <v>80.0</v>
      </c>
      <c r="B1522" s="2" t="s">
        <v>86</v>
      </c>
      <c r="C1522" s="2" t="s">
        <v>144</v>
      </c>
      <c r="D1522" s="2" t="s">
        <v>145</v>
      </c>
      <c r="E1522" s="2">
        <v>-70.0</v>
      </c>
      <c r="F1522" s="2">
        <v>25.0</v>
      </c>
      <c r="G1522" s="2">
        <v>23.8680896816909</v>
      </c>
      <c r="H1522" s="2">
        <v>8.2681474209644</v>
      </c>
      <c r="I1522" s="2">
        <v>850.0</v>
      </c>
      <c r="J1522" s="2">
        <v>780.0</v>
      </c>
      <c r="K1522" s="2">
        <v>8.33333333333333</v>
      </c>
    </row>
    <row r="1523">
      <c r="A1523" s="2">
        <v>79.0</v>
      </c>
      <c r="B1523" s="2" t="s">
        <v>32</v>
      </c>
      <c r="C1523" s="2" t="s">
        <v>142</v>
      </c>
      <c r="D1523" s="2" t="s">
        <v>143</v>
      </c>
      <c r="E1523" s="2">
        <v>59.0</v>
      </c>
      <c r="F1523" s="2">
        <v>26.135195698034</v>
      </c>
      <c r="G1523" s="2">
        <v>26.9411475779516</v>
      </c>
      <c r="H1523" s="2">
        <v>7.60608562336487</v>
      </c>
      <c r="I1523" s="2">
        <v>997.0</v>
      </c>
      <c r="J1523" s="2">
        <v>1056.0</v>
      </c>
      <c r="K1523" s="2">
        <v>7.65061526272819</v>
      </c>
    </row>
    <row r="1524">
      <c r="A1524" s="2">
        <v>79.0</v>
      </c>
      <c r="B1524" s="2" t="s">
        <v>80</v>
      </c>
      <c r="C1524" s="2" t="s">
        <v>142</v>
      </c>
      <c r="D1524" s="2" t="s">
        <v>143</v>
      </c>
      <c r="E1524" s="2">
        <v>65.0</v>
      </c>
      <c r="F1524" s="2">
        <v>22.1449836694538</v>
      </c>
      <c r="G1524" s="2">
        <v>23.0289999253059</v>
      </c>
      <c r="H1524" s="2">
        <v>7.9608031515771</v>
      </c>
      <c r="I1524" s="2">
        <v>689.0</v>
      </c>
      <c r="J1524" s="2">
        <v>754.0</v>
      </c>
      <c r="K1524" s="2">
        <v>8.01311571866318</v>
      </c>
    </row>
    <row r="1525">
      <c r="A1525" s="2">
        <v>79.0</v>
      </c>
      <c r="B1525" s="2" t="s">
        <v>42</v>
      </c>
      <c r="C1525" s="2" t="s">
        <v>142</v>
      </c>
      <c r="D1525" s="2" t="s">
        <v>143</v>
      </c>
      <c r="E1525" s="2">
        <v>64.0</v>
      </c>
      <c r="F1525" s="2">
        <v>26.9863851900467</v>
      </c>
      <c r="G1525" s="2">
        <v>27.8551494393398</v>
      </c>
      <c r="H1525" s="2">
        <v>7.89282444786449</v>
      </c>
      <c r="I1525" s="2">
        <v>1025.0</v>
      </c>
      <c r="J1525" s="2">
        <v>1089.0</v>
      </c>
      <c r="K1525" s="2">
        <v>7.94359174588969</v>
      </c>
    </row>
    <row r="1526">
      <c r="A1526" s="2">
        <v>79.0</v>
      </c>
      <c r="B1526" s="2" t="s">
        <v>29</v>
      </c>
      <c r="C1526" s="2" t="s">
        <v>144</v>
      </c>
      <c r="D1526" s="2" t="s">
        <v>145</v>
      </c>
      <c r="E1526" s="2">
        <v>-51.0</v>
      </c>
      <c r="F1526" s="2">
        <v>28.7293904821666</v>
      </c>
      <c r="G1526" s="2">
        <v>27.9124386075397</v>
      </c>
      <c r="H1526" s="2">
        <v>7.65712034273061</v>
      </c>
      <c r="I1526" s="2">
        <v>1168.0</v>
      </c>
      <c r="J1526" s="2">
        <v>1117.0</v>
      </c>
      <c r="K1526" s="2">
        <v>7.70272758283178</v>
      </c>
    </row>
    <row r="1527">
      <c r="A1527" s="2">
        <v>79.0</v>
      </c>
      <c r="B1527" s="2" t="s">
        <v>73</v>
      </c>
      <c r="C1527" s="2" t="s">
        <v>144</v>
      </c>
      <c r="D1527" s="2" t="s">
        <v>145</v>
      </c>
      <c r="E1527" s="2">
        <v>-57.0</v>
      </c>
      <c r="F1527" s="2">
        <v>27.4681619431869</v>
      </c>
      <c r="G1527" s="2">
        <v>26.5423665689025</v>
      </c>
      <c r="H1527" s="2">
        <v>8.14393537067644</v>
      </c>
      <c r="I1527" s="2">
        <v>1031.0</v>
      </c>
      <c r="J1527" s="2">
        <v>974.0</v>
      </c>
      <c r="K1527" s="2">
        <v>8.20054142974164</v>
      </c>
    </row>
    <row r="1528">
      <c r="A1528" s="2">
        <v>79.0</v>
      </c>
      <c r="B1528" s="2" t="s">
        <v>87</v>
      </c>
      <c r="C1528" s="2" t="s">
        <v>144</v>
      </c>
      <c r="D1528" s="2" t="s">
        <v>145</v>
      </c>
      <c r="E1528" s="2">
        <v>-56.0</v>
      </c>
      <c r="F1528" s="2">
        <v>25.572099161776</v>
      </c>
      <c r="G1528" s="2">
        <v>24.6651766983339</v>
      </c>
      <c r="H1528" s="2">
        <v>8.06175586130218</v>
      </c>
      <c r="I1528" s="2">
        <v>911.0</v>
      </c>
      <c r="J1528" s="2">
        <v>855.0</v>
      </c>
      <c r="K1528" s="2">
        <v>8.11641146457352</v>
      </c>
    </row>
    <row r="1529">
      <c r="A1529" s="2">
        <v>79.0</v>
      </c>
      <c r="B1529" s="2" t="s">
        <v>51</v>
      </c>
      <c r="C1529" s="2" t="s">
        <v>144</v>
      </c>
      <c r="D1529" s="2" t="s">
        <v>145</v>
      </c>
      <c r="E1529" s="2">
        <v>-58.0</v>
      </c>
      <c r="F1529" s="2">
        <v>26.3454545550118</v>
      </c>
      <c r="G1529" s="2">
        <v>25.4037738845899</v>
      </c>
      <c r="H1529" s="2">
        <v>8.21242854818002</v>
      </c>
      <c r="I1529" s="2">
        <v>948.0</v>
      </c>
      <c r="J1529" s="2">
        <v>890.0</v>
      </c>
      <c r="K1529" s="2">
        <v>8.2706902095633</v>
      </c>
    </row>
    <row r="1530">
      <c r="A1530" s="2">
        <v>79.0</v>
      </c>
      <c r="B1530" s="2" t="s">
        <v>31</v>
      </c>
      <c r="C1530" s="2" t="s">
        <v>144</v>
      </c>
      <c r="D1530" s="2" t="s">
        <v>145</v>
      </c>
      <c r="E1530" s="2">
        <v>-56.0</v>
      </c>
      <c r="F1530" s="2">
        <v>26.9975653168343</v>
      </c>
      <c r="G1530" s="2">
        <v>26.1054206019312</v>
      </c>
      <c r="H1530" s="2">
        <v>7.99678184280088</v>
      </c>
      <c r="I1530" s="2">
        <v>1015.0</v>
      </c>
      <c r="J1530" s="2">
        <v>959.0</v>
      </c>
      <c r="K1530" s="2">
        <v>8.04992280178893</v>
      </c>
    </row>
    <row r="1531">
      <c r="A1531" s="2">
        <v>79.0</v>
      </c>
      <c r="B1531" s="2" t="s">
        <v>35</v>
      </c>
      <c r="C1531" s="2" t="s">
        <v>144</v>
      </c>
      <c r="D1531" s="2" t="s">
        <v>145</v>
      </c>
      <c r="E1531" s="2">
        <v>-57.0</v>
      </c>
      <c r="F1531" s="2">
        <v>26.3628097315735</v>
      </c>
      <c r="G1531" s="2">
        <v>25.4465630421212</v>
      </c>
      <c r="H1531" s="2">
        <v>8.10246761061209</v>
      </c>
      <c r="I1531" s="2">
        <v>961.0</v>
      </c>
      <c r="J1531" s="2">
        <v>904.0</v>
      </c>
      <c r="K1531" s="2">
        <v>8.15808459477958</v>
      </c>
    </row>
    <row r="1532">
      <c r="A1532" s="2">
        <v>79.0</v>
      </c>
      <c r="B1532" s="2" t="s">
        <v>20</v>
      </c>
      <c r="C1532" s="2" t="s">
        <v>144</v>
      </c>
      <c r="D1532" s="2" t="s">
        <v>145</v>
      </c>
      <c r="E1532" s="2">
        <v>-56.0</v>
      </c>
      <c r="F1532" s="2">
        <v>27.6825877502955</v>
      </c>
      <c r="G1532" s="2">
        <v>26.7911546253506</v>
      </c>
      <c r="H1532" s="2">
        <v>7.993639017776</v>
      </c>
      <c r="I1532" s="2">
        <v>1062.0</v>
      </c>
      <c r="J1532" s="2">
        <v>1006.0</v>
      </c>
      <c r="K1532" s="2">
        <v>8.04670732242578</v>
      </c>
    </row>
    <row r="1533">
      <c r="A1533" s="2">
        <v>79.0</v>
      </c>
      <c r="B1533" s="2" t="s">
        <v>47</v>
      </c>
      <c r="C1533" s="2" t="s">
        <v>144</v>
      </c>
      <c r="D1533" s="2" t="s">
        <v>145</v>
      </c>
      <c r="E1533" s="2">
        <v>-50.0</v>
      </c>
      <c r="F1533" s="2">
        <v>19.7197961935323</v>
      </c>
      <c r="G1533" s="2">
        <v>18.9219765360581</v>
      </c>
      <c r="H1533" s="2">
        <v>7.568122565406</v>
      </c>
      <c r="I1533" s="2">
        <v>565.0</v>
      </c>
      <c r="J1533" s="2">
        <v>515.0</v>
      </c>
      <c r="K1533" s="2">
        <v>7.61185959993887</v>
      </c>
    </row>
    <row r="1534">
      <c r="A1534" s="2">
        <v>79.0</v>
      </c>
      <c r="B1534" s="2" t="s">
        <v>66</v>
      </c>
      <c r="C1534" s="2" t="s">
        <v>144</v>
      </c>
      <c r="D1534" s="2" t="s">
        <v>145</v>
      </c>
      <c r="E1534" s="2">
        <v>-56.0</v>
      </c>
      <c r="F1534" s="2">
        <v>26.4567876003317</v>
      </c>
      <c r="G1534" s="2">
        <v>25.5560097923949</v>
      </c>
      <c r="H1534" s="2">
        <v>8.03480709201619</v>
      </c>
      <c r="I1534" s="2">
        <v>974.0</v>
      </c>
      <c r="J1534" s="2">
        <v>918.0</v>
      </c>
      <c r="K1534" s="2">
        <v>8.0888315528357</v>
      </c>
    </row>
    <row r="1535">
      <c r="A1535" s="2">
        <v>79.0</v>
      </c>
      <c r="B1535" s="2" t="s">
        <v>64</v>
      </c>
      <c r="C1535" s="2" t="s">
        <v>144</v>
      </c>
      <c r="D1535" s="2" t="s">
        <v>145</v>
      </c>
      <c r="E1535" s="2">
        <v>-47.0</v>
      </c>
      <c r="F1535" s="2">
        <v>26.534602486974</v>
      </c>
      <c r="G1535" s="2">
        <v>25.781753948759</v>
      </c>
      <c r="H1535" s="2">
        <v>7.3544576536865</v>
      </c>
      <c r="I1535" s="2">
        <v>1050.0</v>
      </c>
      <c r="J1535" s="2">
        <v>1003.0</v>
      </c>
      <c r="K1535" s="2">
        <v>7.39387423430932</v>
      </c>
    </row>
    <row r="1536">
      <c r="A1536" s="2">
        <v>78.0</v>
      </c>
      <c r="B1536" s="2" t="s">
        <v>38</v>
      </c>
      <c r="C1536" s="2" t="s">
        <v>142</v>
      </c>
      <c r="D1536" s="2" t="s">
        <v>143</v>
      </c>
      <c r="E1536" s="2">
        <v>67.0</v>
      </c>
      <c r="F1536" s="2">
        <v>19.0556655353261</v>
      </c>
      <c r="G1536" s="2">
        <v>19.9784669327697</v>
      </c>
      <c r="H1536" s="2">
        <v>7.56129522781849</v>
      </c>
      <c r="I1536" s="2">
        <v>520.0</v>
      </c>
      <c r="J1536" s="2">
        <v>587.0</v>
      </c>
      <c r="K1536" s="2">
        <v>7.6093137120397</v>
      </c>
    </row>
    <row r="1537">
      <c r="A1537" s="2">
        <v>78.0</v>
      </c>
      <c r="B1537" s="2" t="s">
        <v>23</v>
      </c>
      <c r="C1537" s="2" t="s">
        <v>142</v>
      </c>
      <c r="D1537" s="2" t="s">
        <v>143</v>
      </c>
      <c r="E1537" s="2">
        <v>62.0</v>
      </c>
      <c r="F1537" s="2">
        <v>27.5470293419324</v>
      </c>
      <c r="G1537" s="2">
        <v>28.4078440262187</v>
      </c>
      <c r="H1537" s="2">
        <v>7.30643656879345</v>
      </c>
      <c r="I1537" s="2">
        <v>1124.0</v>
      </c>
      <c r="J1537" s="2">
        <v>1186.0</v>
      </c>
      <c r="K1537" s="2">
        <v>7.3488925015702</v>
      </c>
    </row>
    <row r="1538">
      <c r="A1538" s="2">
        <v>78.0</v>
      </c>
      <c r="B1538" s="2" t="s">
        <v>22</v>
      </c>
      <c r="C1538" s="2" t="s">
        <v>142</v>
      </c>
      <c r="D1538" s="2" t="s">
        <v>143</v>
      </c>
      <c r="E1538" s="2">
        <v>70.0</v>
      </c>
      <c r="F1538" s="2">
        <v>22.2671761634392</v>
      </c>
      <c r="G1538" s="2">
        <v>23.210449251454</v>
      </c>
      <c r="H1538" s="2">
        <v>7.6434921260083</v>
      </c>
      <c r="I1538" s="2">
        <v>729.0</v>
      </c>
      <c r="J1538" s="2">
        <v>799.0</v>
      </c>
      <c r="K1538" s="2">
        <v>7.69338408376466</v>
      </c>
    </row>
    <row r="1539">
      <c r="A1539" s="2">
        <v>78.0</v>
      </c>
      <c r="B1539" s="2" t="s">
        <v>56</v>
      </c>
      <c r="C1539" s="2" t="s">
        <v>144</v>
      </c>
      <c r="D1539" s="2" t="s">
        <v>145</v>
      </c>
      <c r="E1539" s="2">
        <v>-67.0</v>
      </c>
      <c r="F1539" s="2">
        <v>23.9699393580033</v>
      </c>
      <c r="G1539" s="2">
        <v>22.8799349172307</v>
      </c>
      <c r="H1539" s="2">
        <v>8.20714726708244</v>
      </c>
      <c r="I1539" s="2">
        <v>786.0</v>
      </c>
      <c r="J1539" s="2">
        <v>719.0</v>
      </c>
      <c r="K1539" s="2">
        <v>8.27098570466846</v>
      </c>
    </row>
    <row r="1540">
      <c r="A1540" s="2">
        <v>78.0</v>
      </c>
      <c r="B1540" s="2" t="s">
        <v>41</v>
      </c>
      <c r="C1540" s="2" t="s">
        <v>144</v>
      </c>
      <c r="D1540" s="2" t="s">
        <v>145</v>
      </c>
      <c r="E1540" s="2">
        <v>-62.0</v>
      </c>
      <c r="F1540" s="2">
        <v>26.7816280120383</v>
      </c>
      <c r="G1540" s="2">
        <v>25.7724587738101</v>
      </c>
      <c r="H1540" s="2">
        <v>7.90192561306565</v>
      </c>
      <c r="I1540" s="2">
        <v>1009.0</v>
      </c>
      <c r="J1540" s="2">
        <v>947.0</v>
      </c>
      <c r="K1540" s="2">
        <v>7.9579691995342</v>
      </c>
    </row>
    <row r="1541">
      <c r="A1541" s="2">
        <v>78.0</v>
      </c>
      <c r="B1541" s="2" t="s">
        <v>58</v>
      </c>
      <c r="C1541" s="2" t="s">
        <v>144</v>
      </c>
      <c r="D1541" s="2" t="s">
        <v>145</v>
      </c>
      <c r="E1541" s="2">
        <v>-65.0</v>
      </c>
      <c r="F1541" s="2">
        <v>24.9882367991866</v>
      </c>
      <c r="G1541" s="2">
        <v>23.948239097352</v>
      </c>
      <c r="H1541" s="2">
        <v>8.01979210461109</v>
      </c>
      <c r="I1541" s="2">
        <v>875.0</v>
      </c>
      <c r="J1541" s="2">
        <v>810.0</v>
      </c>
      <c r="K1541" s="2">
        <v>8.07877642267585</v>
      </c>
    </row>
    <row r="1542">
      <c r="A1542" s="2">
        <v>78.0</v>
      </c>
      <c r="B1542" s="2" t="s">
        <v>24</v>
      </c>
      <c r="C1542" s="2" t="s">
        <v>144</v>
      </c>
      <c r="D1542" s="2" t="s">
        <v>145</v>
      </c>
      <c r="E1542" s="2">
        <v>-57.0</v>
      </c>
      <c r="F1542" s="2">
        <v>19.213672171309</v>
      </c>
      <c r="G1542" s="2">
        <v>18.2929756272224</v>
      </c>
      <c r="H1542" s="2">
        <v>7.5527901874377</v>
      </c>
      <c r="I1542" s="2">
        <v>531.0</v>
      </c>
      <c r="J1542" s="2">
        <v>474.0</v>
      </c>
      <c r="K1542" s="2">
        <v>7.60061706453016</v>
      </c>
    </row>
    <row r="1543">
      <c r="A1543" s="2">
        <v>78.0</v>
      </c>
      <c r="B1543" s="2" t="s">
        <v>80</v>
      </c>
      <c r="C1543" s="2" t="s">
        <v>144</v>
      </c>
      <c r="D1543" s="2" t="s">
        <v>145</v>
      </c>
      <c r="E1543" s="2">
        <v>-64.0</v>
      </c>
      <c r="F1543" s="2">
        <v>23.1832221328226</v>
      </c>
      <c r="G1543" s="2">
        <v>22.1449836694538</v>
      </c>
      <c r="H1543" s="2">
        <v>8.01311571866318</v>
      </c>
      <c r="I1543" s="2">
        <v>753.0</v>
      </c>
      <c r="J1543" s="2">
        <v>689.0</v>
      </c>
      <c r="K1543" s="2">
        <v>8.07193115525502</v>
      </c>
    </row>
    <row r="1544">
      <c r="A1544" s="2">
        <v>78.0</v>
      </c>
      <c r="B1544" s="2" t="s">
        <v>67</v>
      </c>
      <c r="C1544" s="2" t="s">
        <v>144</v>
      </c>
      <c r="D1544" s="2" t="s">
        <v>145</v>
      </c>
      <c r="E1544" s="2">
        <v>-60.0</v>
      </c>
      <c r="F1544" s="2">
        <v>22.6745581588065</v>
      </c>
      <c r="G1544" s="2">
        <v>21.7188465005463</v>
      </c>
      <c r="H1544" s="2">
        <v>7.69298036237857</v>
      </c>
      <c r="I1544" s="2">
        <v>752.0</v>
      </c>
      <c r="J1544" s="2">
        <v>692.0</v>
      </c>
      <c r="K1544" s="2">
        <v>7.74401939325331</v>
      </c>
    </row>
    <row r="1545">
      <c r="A1545" s="2">
        <v>78.0</v>
      </c>
      <c r="B1545" s="2" t="s">
        <v>64</v>
      </c>
      <c r="C1545" s="2" t="s">
        <v>144</v>
      </c>
      <c r="D1545" s="2" t="s">
        <v>145</v>
      </c>
      <c r="E1545" s="2">
        <v>-56.0</v>
      </c>
      <c r="F1545" s="2">
        <v>27.4164307427997</v>
      </c>
      <c r="G1545" s="2">
        <v>26.534602486974</v>
      </c>
      <c r="H1545" s="2">
        <v>7.39387423430932</v>
      </c>
      <c r="I1545" s="2">
        <v>1106.0</v>
      </c>
      <c r="J1545" s="2">
        <v>1050.0</v>
      </c>
      <c r="K1545" s="2">
        <v>7.43819722412492</v>
      </c>
    </row>
    <row r="1546">
      <c r="A1546" s="2">
        <v>78.0</v>
      </c>
      <c r="B1546" s="2" t="s">
        <v>27</v>
      </c>
      <c r="C1546" s="2" t="s">
        <v>144</v>
      </c>
      <c r="D1546" s="2" t="s">
        <v>145</v>
      </c>
      <c r="E1546" s="2">
        <v>-61.0</v>
      </c>
      <c r="F1546" s="2">
        <v>28.0914892553634</v>
      </c>
      <c r="G1546" s="2">
        <v>27.1080933702826</v>
      </c>
      <c r="H1546" s="2">
        <v>7.8019299928645</v>
      </c>
      <c r="I1546" s="2">
        <v>1109.0</v>
      </c>
      <c r="J1546" s="2">
        <v>1048.0</v>
      </c>
      <c r="K1546" s="2">
        <v>7.85554566135549</v>
      </c>
    </row>
    <row r="1547">
      <c r="A1547" s="2">
        <v>78.0</v>
      </c>
      <c r="B1547" s="2" t="s">
        <v>46</v>
      </c>
      <c r="C1547" s="2" t="s">
        <v>144</v>
      </c>
      <c r="D1547" s="2" t="s">
        <v>145</v>
      </c>
      <c r="E1547" s="2">
        <v>-63.0</v>
      </c>
      <c r="F1547" s="2">
        <v>25.7263116361508</v>
      </c>
      <c r="G1547" s="2">
        <v>24.7195966477362</v>
      </c>
      <c r="H1547" s="2">
        <v>7.89246166076594</v>
      </c>
      <c r="I1547" s="2">
        <v>939.0</v>
      </c>
      <c r="J1547" s="2">
        <v>876.0</v>
      </c>
      <c r="K1547" s="2">
        <v>7.94827284602368</v>
      </c>
    </row>
    <row r="1548">
      <c r="A1548" s="2">
        <v>78.0</v>
      </c>
      <c r="B1548" s="2" t="s">
        <v>97</v>
      </c>
      <c r="C1548" s="2" t="s">
        <v>144</v>
      </c>
      <c r="D1548" s="2" t="s">
        <v>145</v>
      </c>
      <c r="E1548" s="2">
        <v>-57.0</v>
      </c>
      <c r="F1548" s="2">
        <v>25.8212026524394</v>
      </c>
      <c r="G1548" s="2">
        <v>24.9041436741701</v>
      </c>
      <c r="H1548" s="2">
        <v>7.53806799204491</v>
      </c>
      <c r="I1548" s="2">
        <v>982.0</v>
      </c>
      <c r="J1548" s="2">
        <v>925.0</v>
      </c>
      <c r="K1548" s="2">
        <v>7.58556418652648</v>
      </c>
    </row>
    <row r="1549">
      <c r="A1549" s="2">
        <v>77.0</v>
      </c>
      <c r="B1549" s="2" t="s">
        <v>22</v>
      </c>
      <c r="C1549" s="2" t="s">
        <v>142</v>
      </c>
      <c r="D1549" s="2" t="s">
        <v>143</v>
      </c>
      <c r="E1549" s="2">
        <v>65.0</v>
      </c>
      <c r="F1549" s="2">
        <v>21.3779598721867</v>
      </c>
      <c r="G1549" s="2">
        <v>22.2671761634392</v>
      </c>
      <c r="H1549" s="2">
        <v>7.69338408376466</v>
      </c>
      <c r="I1549" s="2">
        <v>664.0</v>
      </c>
      <c r="J1549" s="2">
        <v>729.0</v>
      </c>
      <c r="K1549" s="2">
        <v>7.74188084966337</v>
      </c>
    </row>
    <row r="1550">
      <c r="A1550" s="2">
        <v>77.0</v>
      </c>
      <c r="B1550" s="2" t="s">
        <v>41</v>
      </c>
      <c r="C1550" s="2" t="s">
        <v>142</v>
      </c>
      <c r="D1550" s="2" t="s">
        <v>143</v>
      </c>
      <c r="E1550" s="2">
        <v>70.0</v>
      </c>
      <c r="F1550" s="2">
        <v>25.8292388694536</v>
      </c>
      <c r="G1550" s="2">
        <v>26.7816280120383</v>
      </c>
      <c r="H1550" s="2">
        <v>7.9579691995342</v>
      </c>
      <c r="I1550" s="2">
        <v>939.0</v>
      </c>
      <c r="J1550" s="2">
        <v>1009.0</v>
      </c>
      <c r="K1550" s="2">
        <v>8.01256605182621</v>
      </c>
    </row>
    <row r="1551">
      <c r="A1551" s="2">
        <v>77.0</v>
      </c>
      <c r="B1551" s="2" t="s">
        <v>58</v>
      </c>
      <c r="C1551" s="2" t="s">
        <v>142</v>
      </c>
      <c r="D1551" s="2" t="s">
        <v>143</v>
      </c>
      <c r="E1551" s="2">
        <v>72.0</v>
      </c>
      <c r="F1551" s="2">
        <v>24.0062488204456</v>
      </c>
      <c r="G1551" s="2">
        <v>24.9882367991866</v>
      </c>
      <c r="H1551" s="2">
        <v>8.07877642267585</v>
      </c>
      <c r="I1551" s="2">
        <v>803.0</v>
      </c>
      <c r="J1551" s="2">
        <v>875.0</v>
      </c>
      <c r="K1551" s="2">
        <v>8.1362946074847</v>
      </c>
    </row>
    <row r="1552">
      <c r="A1552" s="2">
        <v>77.0</v>
      </c>
      <c r="B1552" s="2" t="s">
        <v>67</v>
      </c>
      <c r="C1552" s="2" t="s">
        <v>144</v>
      </c>
      <c r="D1552" s="2" t="s">
        <v>145</v>
      </c>
      <c r="E1552" s="2">
        <v>-56.0</v>
      </c>
      <c r="F1552" s="2">
        <v>23.5756890894152</v>
      </c>
      <c r="G1552" s="2">
        <v>22.6745581588065</v>
      </c>
      <c r="H1552" s="2">
        <v>7.74401939325331</v>
      </c>
      <c r="I1552" s="2">
        <v>808.0</v>
      </c>
      <c r="J1552" s="2">
        <v>752.0</v>
      </c>
      <c r="K1552" s="2">
        <v>7.79365249051067</v>
      </c>
    </row>
    <row r="1553">
      <c r="A1553" s="2">
        <v>77.0</v>
      </c>
      <c r="B1553" s="2" t="s">
        <v>38</v>
      </c>
      <c r="C1553" s="2" t="s">
        <v>144</v>
      </c>
      <c r="D1553" s="2" t="s">
        <v>145</v>
      </c>
      <c r="E1553" s="2">
        <v>-54.0</v>
      </c>
      <c r="F1553" s="2">
        <v>19.9252824181018</v>
      </c>
      <c r="G1553" s="2">
        <v>19.0556655353261</v>
      </c>
      <c r="H1553" s="2">
        <v>7.6093137120397</v>
      </c>
      <c r="I1553" s="2">
        <v>574.0</v>
      </c>
      <c r="J1553" s="2">
        <v>520.0</v>
      </c>
      <c r="K1553" s="2">
        <v>7.6559556686494</v>
      </c>
    </row>
    <row r="1554">
      <c r="A1554" s="2">
        <v>77.0</v>
      </c>
      <c r="B1554" s="2" t="s">
        <v>56</v>
      </c>
      <c r="C1554" s="2" t="s">
        <v>144</v>
      </c>
      <c r="D1554" s="2" t="s">
        <v>145</v>
      </c>
      <c r="E1554" s="2">
        <v>-64.0</v>
      </c>
      <c r="F1554" s="2">
        <v>25.0</v>
      </c>
      <c r="G1554" s="2">
        <v>23.9699393580033</v>
      </c>
      <c r="H1554" s="2">
        <v>8.27098570466846</v>
      </c>
      <c r="I1554" s="2">
        <v>850.0</v>
      </c>
      <c r="J1554" s="2">
        <v>786.0</v>
      </c>
      <c r="K1554" s="2">
        <v>8.33333333333333</v>
      </c>
    </row>
    <row r="1555">
      <c r="A1555" s="2">
        <v>77.0</v>
      </c>
      <c r="B1555" s="2" t="s">
        <v>16</v>
      </c>
      <c r="C1555" s="2" t="s">
        <v>144</v>
      </c>
      <c r="D1555" s="2" t="s">
        <v>145</v>
      </c>
      <c r="E1555" s="2">
        <v>-51.0</v>
      </c>
      <c r="F1555" s="2">
        <v>30.2543284629045</v>
      </c>
      <c r="G1555" s="2">
        <v>29.4429810126983</v>
      </c>
      <c r="H1555" s="2">
        <v>7.35336947443026</v>
      </c>
      <c r="I1555" s="2">
        <v>1303.0</v>
      </c>
      <c r="J1555" s="2">
        <v>1252.0</v>
      </c>
      <c r="K1555" s="2">
        <v>7.39460396473747</v>
      </c>
    </row>
    <row r="1556">
      <c r="A1556" s="2">
        <v>77.0</v>
      </c>
      <c r="B1556" s="2" t="s">
        <v>23</v>
      </c>
      <c r="C1556" s="2" t="s">
        <v>144</v>
      </c>
      <c r="D1556" s="2" t="s">
        <v>145</v>
      </c>
      <c r="E1556" s="2">
        <v>-51.0</v>
      </c>
      <c r="F1556" s="2">
        <v>28.3573762407258</v>
      </c>
      <c r="G1556" s="2">
        <v>27.5470293419324</v>
      </c>
      <c r="H1556" s="2">
        <v>7.3488925015702</v>
      </c>
      <c r="I1556" s="2">
        <v>1175.0</v>
      </c>
      <c r="J1556" s="2">
        <v>1124.0</v>
      </c>
      <c r="K1556" s="2">
        <v>7.39003554640535</v>
      </c>
    </row>
    <row r="1557">
      <c r="A1557" s="2">
        <v>77.0</v>
      </c>
      <c r="B1557" s="2" t="s">
        <v>24</v>
      </c>
      <c r="C1557" s="2" t="s">
        <v>144</v>
      </c>
      <c r="D1557" s="2" t="s">
        <v>145</v>
      </c>
      <c r="E1557" s="2">
        <v>-55.0</v>
      </c>
      <c r="F1557" s="2">
        <v>20.0812745902848</v>
      </c>
      <c r="G1557" s="2">
        <v>19.213672171309</v>
      </c>
      <c r="H1557" s="2">
        <v>7.60061706453016</v>
      </c>
      <c r="I1557" s="2">
        <v>586.0</v>
      </c>
      <c r="J1557" s="2">
        <v>531.0</v>
      </c>
      <c r="K1557" s="2">
        <v>7.64706940133333</v>
      </c>
    </row>
    <row r="1558">
      <c r="A1558" s="2">
        <v>77.0</v>
      </c>
      <c r="B1558" s="2" t="s">
        <v>80</v>
      </c>
      <c r="C1558" s="2" t="s">
        <v>144</v>
      </c>
      <c r="D1558" s="2" t="s">
        <v>145</v>
      </c>
      <c r="E1558" s="2">
        <v>-61.0</v>
      </c>
      <c r="F1558" s="2">
        <v>24.1635202781339</v>
      </c>
      <c r="G1558" s="2">
        <v>23.1832221328226</v>
      </c>
      <c r="H1558" s="2">
        <v>8.07193115525502</v>
      </c>
      <c r="I1558" s="2">
        <v>814.0</v>
      </c>
      <c r="J1558" s="2">
        <v>753.0</v>
      </c>
      <c r="K1558" s="2">
        <v>8.12928148145266</v>
      </c>
    </row>
    <row r="1559">
      <c r="A1559" s="2">
        <v>77.0</v>
      </c>
      <c r="B1559" s="2" t="s">
        <v>64</v>
      </c>
      <c r="C1559" s="2" t="s">
        <v>144</v>
      </c>
      <c r="D1559" s="2" t="s">
        <v>145</v>
      </c>
      <c r="E1559" s="2">
        <v>-52.0</v>
      </c>
      <c r="F1559" s="2">
        <v>28.2468575405948</v>
      </c>
      <c r="G1559" s="2">
        <v>27.4164307427997</v>
      </c>
      <c r="H1559" s="2">
        <v>7.43819722412492</v>
      </c>
      <c r="I1559" s="2">
        <v>1158.0</v>
      </c>
      <c r="J1559" s="2">
        <v>1106.0</v>
      </c>
      <c r="K1559" s="2">
        <v>7.48118459027419</v>
      </c>
    </row>
    <row r="1560">
      <c r="A1560" s="2">
        <v>77.0</v>
      </c>
      <c r="B1560" s="2" t="s">
        <v>97</v>
      </c>
      <c r="C1560" s="2" t="s">
        <v>144</v>
      </c>
      <c r="D1560" s="2" t="s">
        <v>145</v>
      </c>
      <c r="E1560" s="2">
        <v>-54.0</v>
      </c>
      <c r="F1560" s="2">
        <v>26.6853240240092</v>
      </c>
      <c r="G1560" s="2">
        <v>25.8212026524394</v>
      </c>
      <c r="H1560" s="2">
        <v>7.58556418652648</v>
      </c>
      <c r="I1560" s="2">
        <v>1036.0</v>
      </c>
      <c r="J1560" s="2">
        <v>982.0</v>
      </c>
      <c r="K1560" s="2">
        <v>7.63168930480287</v>
      </c>
    </row>
    <row r="1561">
      <c r="A1561" s="2">
        <v>77.0</v>
      </c>
      <c r="B1561" s="2" t="s">
        <v>46</v>
      </c>
      <c r="C1561" s="2" t="s">
        <v>144</v>
      </c>
      <c r="D1561" s="2" t="s">
        <v>145</v>
      </c>
      <c r="E1561" s="2">
        <v>-59.0</v>
      </c>
      <c r="F1561" s="2">
        <v>26.676345638742</v>
      </c>
      <c r="G1561" s="2">
        <v>25.7263116361508</v>
      </c>
      <c r="H1561" s="2">
        <v>7.94827284602368</v>
      </c>
      <c r="I1561" s="2">
        <v>998.0</v>
      </c>
      <c r="J1561" s="2">
        <v>939.0</v>
      </c>
      <c r="K1561" s="2">
        <v>8.00263897414385</v>
      </c>
    </row>
    <row r="1562">
      <c r="A1562" s="2">
        <v>76.0</v>
      </c>
      <c r="B1562" s="2" t="s">
        <v>18</v>
      </c>
      <c r="C1562" s="2" t="s">
        <v>142</v>
      </c>
      <c r="D1562" s="2" t="s">
        <v>143</v>
      </c>
      <c r="E1562" s="2">
        <v>58.0</v>
      </c>
      <c r="F1562" s="2">
        <v>27.8645303492597</v>
      </c>
      <c r="G1562" s="2">
        <v>28.6542570493792</v>
      </c>
      <c r="H1562" s="2">
        <v>7.58903787375045</v>
      </c>
      <c r="I1562" s="2">
        <v>1116.0</v>
      </c>
      <c r="J1562" s="2">
        <v>1174.0</v>
      </c>
      <c r="K1562" s="2">
        <v>7.63320461214531</v>
      </c>
    </row>
    <row r="1563">
      <c r="A1563" s="2">
        <v>76.0</v>
      </c>
      <c r="B1563" s="2" t="s">
        <v>42</v>
      </c>
      <c r="C1563" s="2" t="s">
        <v>142</v>
      </c>
      <c r="D1563" s="2" t="s">
        <v>143</v>
      </c>
      <c r="E1563" s="2">
        <v>64.0</v>
      </c>
      <c r="F1563" s="2">
        <v>26.1200312838426</v>
      </c>
      <c r="G1563" s="2">
        <v>26.9863851900467</v>
      </c>
      <c r="H1563" s="2">
        <v>7.94359174588969</v>
      </c>
      <c r="I1563" s="2">
        <v>961.0</v>
      </c>
      <c r="J1563" s="2">
        <v>1025.0</v>
      </c>
      <c r="K1563" s="2">
        <v>7.99550367102215</v>
      </c>
    </row>
    <row r="1564">
      <c r="A1564" s="2">
        <v>76.0</v>
      </c>
      <c r="B1564" s="2" t="s">
        <v>58</v>
      </c>
      <c r="C1564" s="2" t="s">
        <v>142</v>
      </c>
      <c r="D1564" s="2" t="s">
        <v>143</v>
      </c>
      <c r="E1564" s="2">
        <v>68.0</v>
      </c>
      <c r="F1564" s="2">
        <v>23.096692013764</v>
      </c>
      <c r="G1564" s="2">
        <v>24.0062488204456</v>
      </c>
      <c r="H1564" s="2">
        <v>8.1362946074847</v>
      </c>
      <c r="I1564" s="2">
        <v>735.0</v>
      </c>
      <c r="J1564" s="2">
        <v>803.0</v>
      </c>
      <c r="K1564" s="2">
        <v>8.19271019188869</v>
      </c>
    </row>
    <row r="1565">
      <c r="A1565" s="2">
        <v>76.0</v>
      </c>
      <c r="B1565" s="2" t="s">
        <v>16</v>
      </c>
      <c r="C1565" s="2" t="s">
        <v>144</v>
      </c>
      <c r="D1565" s="2" t="s">
        <v>145</v>
      </c>
      <c r="E1565" s="2">
        <v>-47.0</v>
      </c>
      <c r="F1565" s="2">
        <v>31.0035993231175</v>
      </c>
      <c r="G1565" s="2">
        <v>30.2543284629045</v>
      </c>
      <c r="H1565" s="2">
        <v>7.39460396473747</v>
      </c>
      <c r="I1565" s="2">
        <v>1350.0</v>
      </c>
      <c r="J1565" s="2">
        <v>1303.0</v>
      </c>
      <c r="K1565" s="2">
        <v>7.43480878925205</v>
      </c>
    </row>
    <row r="1566">
      <c r="A1566" s="2">
        <v>76.0</v>
      </c>
      <c r="B1566" s="2" t="s">
        <v>23</v>
      </c>
      <c r="C1566" s="2" t="s">
        <v>144</v>
      </c>
      <c r="D1566" s="2" t="s">
        <v>145</v>
      </c>
      <c r="E1566" s="2">
        <v>-46.0</v>
      </c>
      <c r="F1566" s="2">
        <v>29.1057098337522</v>
      </c>
      <c r="G1566" s="2">
        <v>28.3573762407258</v>
      </c>
      <c r="H1566" s="2">
        <v>7.39003554640535</v>
      </c>
      <c r="I1566" s="2">
        <v>1221.0</v>
      </c>
      <c r="J1566" s="2">
        <v>1175.0</v>
      </c>
      <c r="K1566" s="2">
        <v>7.43014963580688</v>
      </c>
    </row>
    <row r="1567">
      <c r="A1567" s="2">
        <v>76.0</v>
      </c>
      <c r="B1567" s="2" t="s">
        <v>19</v>
      </c>
      <c r="C1567" s="2" t="s">
        <v>144</v>
      </c>
      <c r="D1567" s="2" t="s">
        <v>145</v>
      </c>
      <c r="E1567" s="2">
        <v>-48.0</v>
      </c>
      <c r="F1567" s="2">
        <v>32.3693758201352</v>
      </c>
      <c r="G1567" s="2">
        <v>31.5908304876302</v>
      </c>
      <c r="H1567" s="2">
        <v>7.53582757174387</v>
      </c>
      <c r="I1567" s="2">
        <v>1428.0</v>
      </c>
      <c r="J1567" s="2">
        <v>1380.0</v>
      </c>
      <c r="K1567" s="2">
        <v>7.57889043608138</v>
      </c>
    </row>
    <row r="1568">
      <c r="A1568" s="2">
        <v>76.0</v>
      </c>
      <c r="B1568" s="2" t="s">
        <v>26</v>
      </c>
      <c r="C1568" s="2" t="s">
        <v>144</v>
      </c>
      <c r="D1568" s="2" t="s">
        <v>145</v>
      </c>
      <c r="E1568" s="2">
        <v>-46.0</v>
      </c>
      <c r="F1568" s="2">
        <v>27.6191667615975</v>
      </c>
      <c r="G1568" s="2">
        <v>26.8750636932898</v>
      </c>
      <c r="H1568" s="2">
        <v>7.36937811159739</v>
      </c>
      <c r="I1568" s="2">
        <v>1122.0</v>
      </c>
      <c r="J1568" s="2">
        <v>1076.0</v>
      </c>
      <c r="K1568" s="2">
        <v>7.40908324744377</v>
      </c>
    </row>
    <row r="1569">
      <c r="A1569" s="2">
        <v>76.0</v>
      </c>
      <c r="B1569" s="2" t="s">
        <v>83</v>
      </c>
      <c r="C1569" s="2" t="s">
        <v>144</v>
      </c>
      <c r="D1569" s="2" t="s">
        <v>145</v>
      </c>
      <c r="E1569" s="2">
        <v>-53.0</v>
      </c>
      <c r="F1569" s="2">
        <v>26.6279984139294</v>
      </c>
      <c r="G1569" s="2">
        <v>25.7698126770745</v>
      </c>
      <c r="H1569" s="2">
        <v>7.90659797958121</v>
      </c>
      <c r="I1569" s="2">
        <v>999.0</v>
      </c>
      <c r="J1569" s="2">
        <v>946.0</v>
      </c>
      <c r="K1569" s="2">
        <v>7.95766943616028</v>
      </c>
    </row>
    <row r="1570">
      <c r="A1570" s="2">
        <v>76.0</v>
      </c>
      <c r="B1570" s="2" t="s">
        <v>67</v>
      </c>
      <c r="C1570" s="2" t="s">
        <v>144</v>
      </c>
      <c r="D1570" s="2" t="s">
        <v>145</v>
      </c>
      <c r="E1570" s="2">
        <v>-52.0</v>
      </c>
      <c r="F1570" s="2">
        <v>24.4091863498499</v>
      </c>
      <c r="G1570" s="2">
        <v>23.5756890894152</v>
      </c>
      <c r="H1570" s="2">
        <v>7.79365249051067</v>
      </c>
      <c r="I1570" s="2">
        <v>860.0</v>
      </c>
      <c r="J1570" s="2">
        <v>808.0</v>
      </c>
      <c r="K1570" s="2">
        <v>7.84220507642051</v>
      </c>
    </row>
    <row r="1571">
      <c r="A1571" s="2">
        <v>76.0</v>
      </c>
      <c r="B1571" s="2" t="s">
        <v>27</v>
      </c>
      <c r="C1571" s="2" t="s">
        <v>144</v>
      </c>
      <c r="D1571" s="2" t="s">
        <v>145</v>
      </c>
      <c r="E1571" s="2">
        <v>-52.0</v>
      </c>
      <c r="F1571" s="2">
        <v>28.938469028206</v>
      </c>
      <c r="G1571" s="2">
        <v>28.0914892553634</v>
      </c>
      <c r="H1571" s="2">
        <v>7.85554566135549</v>
      </c>
      <c r="I1571" s="2">
        <v>1161.0</v>
      </c>
      <c r="J1571" s="2">
        <v>1109.0</v>
      </c>
      <c r="K1571" s="2">
        <v>7.90546981071238</v>
      </c>
    </row>
    <row r="1572">
      <c r="A1572" s="2">
        <v>76.0</v>
      </c>
      <c r="B1572" s="2" t="s">
        <v>71</v>
      </c>
      <c r="C1572" s="2" t="s">
        <v>144</v>
      </c>
      <c r="D1572" s="2" t="s">
        <v>145</v>
      </c>
      <c r="E1572" s="2">
        <v>-56.0</v>
      </c>
      <c r="F1572" s="2">
        <v>22.8443601532957</v>
      </c>
      <c r="G1572" s="2">
        <v>21.9392575143165</v>
      </c>
      <c r="H1572" s="2">
        <v>8.11665169813504</v>
      </c>
      <c r="I1572" s="2">
        <v>720.0</v>
      </c>
      <c r="J1572" s="2">
        <v>664.0</v>
      </c>
      <c r="K1572" s="2">
        <v>8.17259845105056</v>
      </c>
    </row>
    <row r="1573">
      <c r="A1573" s="2">
        <v>76.0</v>
      </c>
      <c r="B1573" s="2" t="s">
        <v>111</v>
      </c>
      <c r="C1573" s="2" t="s">
        <v>144</v>
      </c>
      <c r="D1573" s="2" t="s">
        <v>145</v>
      </c>
      <c r="E1573" s="2">
        <v>-53.0</v>
      </c>
      <c r="F1573" s="2">
        <v>23.3862900259719</v>
      </c>
      <c r="G1573" s="2">
        <v>22.5244531185106</v>
      </c>
      <c r="H1573" s="2">
        <v>7.92315680855755</v>
      </c>
      <c r="I1573" s="2">
        <v>777.0</v>
      </c>
      <c r="J1573" s="2">
        <v>724.0</v>
      </c>
      <c r="K1573" s="2">
        <v>7.97460351931805</v>
      </c>
    </row>
    <row r="1574">
      <c r="A1574" s="2">
        <v>76.0</v>
      </c>
      <c r="B1574" s="2" t="s">
        <v>47</v>
      </c>
      <c r="C1574" s="2" t="s">
        <v>144</v>
      </c>
      <c r="D1574" s="2" t="s">
        <v>145</v>
      </c>
      <c r="E1574" s="2">
        <v>-49.0</v>
      </c>
      <c r="F1574" s="2">
        <v>20.5143439636826</v>
      </c>
      <c r="G1574" s="2">
        <v>19.7197961935323</v>
      </c>
      <c r="H1574" s="2">
        <v>7.61185959993887</v>
      </c>
      <c r="I1574" s="2">
        <v>614.0</v>
      </c>
      <c r="J1574" s="2">
        <v>565.0</v>
      </c>
      <c r="K1574" s="2">
        <v>7.65650437605546</v>
      </c>
    </row>
    <row r="1575">
      <c r="A1575" s="2">
        <v>75.0</v>
      </c>
      <c r="B1575" s="2" t="s">
        <v>42</v>
      </c>
      <c r="C1575" s="2" t="s">
        <v>142</v>
      </c>
      <c r="D1575" s="2" t="s">
        <v>143</v>
      </c>
      <c r="E1575" s="2">
        <v>53.0</v>
      </c>
      <c r="F1575" s="2">
        <v>25.4155970102869</v>
      </c>
      <c r="G1575" s="2">
        <v>26.1200312838426</v>
      </c>
      <c r="H1575" s="2">
        <v>7.99550367102215</v>
      </c>
      <c r="I1575" s="2">
        <v>908.0</v>
      </c>
      <c r="J1575" s="2">
        <v>961.0</v>
      </c>
      <c r="K1575" s="2">
        <v>8.04248823559305</v>
      </c>
    </row>
    <row r="1576">
      <c r="A1576" s="2">
        <v>75.0</v>
      </c>
      <c r="B1576" s="2" t="s">
        <v>67</v>
      </c>
      <c r="C1576" s="2" t="s">
        <v>142</v>
      </c>
      <c r="D1576" s="2" t="s">
        <v>143</v>
      </c>
      <c r="E1576" s="2">
        <v>51.0</v>
      </c>
      <c r="F1576" s="2">
        <v>23.7318492959031</v>
      </c>
      <c r="G1576" s="2">
        <v>24.4091863498499</v>
      </c>
      <c r="H1576" s="2">
        <v>7.84220507642051</v>
      </c>
      <c r="I1576" s="2">
        <v>809.0</v>
      </c>
      <c r="J1576" s="2">
        <v>860.0</v>
      </c>
      <c r="K1576" s="2">
        <v>7.8860681296275</v>
      </c>
    </row>
    <row r="1577">
      <c r="A1577" s="2">
        <v>75.0</v>
      </c>
      <c r="B1577" s="2" t="s">
        <v>19</v>
      </c>
      <c r="C1577" s="2" t="s">
        <v>142</v>
      </c>
      <c r="D1577" s="2" t="s">
        <v>143</v>
      </c>
      <c r="E1577" s="2">
        <v>47.0</v>
      </c>
      <c r="F1577" s="2">
        <v>31.7372960703762</v>
      </c>
      <c r="G1577" s="2">
        <v>32.3693758201352</v>
      </c>
      <c r="H1577" s="2">
        <v>7.57889043608138</v>
      </c>
      <c r="I1577" s="2">
        <v>1381.0</v>
      </c>
      <c r="J1577" s="2">
        <v>1428.0</v>
      </c>
      <c r="K1577" s="2">
        <v>7.61765928768926</v>
      </c>
    </row>
    <row r="1578">
      <c r="A1578" s="2">
        <v>75.0</v>
      </c>
      <c r="B1578" s="2" t="s">
        <v>23</v>
      </c>
      <c r="C1578" s="2" t="s">
        <v>144</v>
      </c>
      <c r="D1578" s="2" t="s">
        <v>145</v>
      </c>
      <c r="E1578" s="2">
        <v>-38.0</v>
      </c>
      <c r="F1578" s="2">
        <v>29.7129408068881</v>
      </c>
      <c r="G1578" s="2">
        <v>29.1057098337522</v>
      </c>
      <c r="H1578" s="2">
        <v>7.43014963580688</v>
      </c>
      <c r="I1578" s="2">
        <v>1259.0</v>
      </c>
      <c r="J1578" s="2">
        <v>1221.0</v>
      </c>
      <c r="K1578" s="2">
        <v>7.46618559401416</v>
      </c>
    </row>
    <row r="1579">
      <c r="A1579" s="2">
        <v>75.0</v>
      </c>
      <c r="B1579" s="2" t="s">
        <v>66</v>
      </c>
      <c r="C1579" s="2" t="s">
        <v>144</v>
      </c>
      <c r="D1579" s="2" t="s">
        <v>145</v>
      </c>
      <c r="E1579" s="2">
        <v>-44.0</v>
      </c>
      <c r="F1579" s="2">
        <v>27.1779894507669</v>
      </c>
      <c r="G1579" s="2">
        <v>26.4567876003317</v>
      </c>
      <c r="H1579" s="2">
        <v>8.0888315528357</v>
      </c>
      <c r="I1579" s="2">
        <v>1018.0</v>
      </c>
      <c r="J1579" s="2">
        <v>974.0</v>
      </c>
      <c r="K1579" s="2">
        <v>8.13777421577659</v>
      </c>
    </row>
    <row r="1580">
      <c r="A1580" s="2">
        <v>75.0</v>
      </c>
      <c r="B1580" s="2" t="s">
        <v>97</v>
      </c>
      <c r="C1580" s="2" t="s">
        <v>144</v>
      </c>
      <c r="D1580" s="2" t="s">
        <v>145</v>
      </c>
      <c r="E1580" s="2">
        <v>-40.0</v>
      </c>
      <c r="F1580" s="2">
        <v>27.3263485637268</v>
      </c>
      <c r="G1580" s="2">
        <v>26.6853240240092</v>
      </c>
      <c r="H1580" s="2">
        <v>7.63168930480287</v>
      </c>
      <c r="I1580" s="2">
        <v>1076.0</v>
      </c>
      <c r="J1580" s="2">
        <v>1036.0</v>
      </c>
      <c r="K1580" s="2">
        <v>7.67145307677264</v>
      </c>
    </row>
    <row r="1581">
      <c r="A1581" s="2">
        <v>75.0</v>
      </c>
      <c r="B1581" s="2" t="s">
        <v>111</v>
      </c>
      <c r="C1581" s="2" t="s">
        <v>144</v>
      </c>
      <c r="D1581" s="2" t="s">
        <v>145</v>
      </c>
      <c r="E1581" s="2">
        <v>-43.0</v>
      </c>
      <c r="F1581" s="2">
        <v>24.0869974309484</v>
      </c>
      <c r="G1581" s="2">
        <v>23.3862900259719</v>
      </c>
      <c r="H1581" s="2">
        <v>7.97460351931805</v>
      </c>
      <c r="I1581" s="2">
        <v>820.0</v>
      </c>
      <c r="J1581" s="2">
        <v>777.0</v>
      </c>
      <c r="K1581" s="2">
        <v>8.02115561186763</v>
      </c>
    </row>
    <row r="1582">
      <c r="A1582" s="2">
        <v>75.0</v>
      </c>
      <c r="B1582" s="2" t="s">
        <v>31</v>
      </c>
      <c r="C1582" s="2" t="s">
        <v>144</v>
      </c>
      <c r="D1582" s="2" t="s">
        <v>145</v>
      </c>
      <c r="E1582" s="2">
        <v>-43.0</v>
      </c>
      <c r="F1582" s="2">
        <v>27.7117517499523</v>
      </c>
      <c r="G1582" s="2">
        <v>26.9975653168343</v>
      </c>
      <c r="H1582" s="2">
        <v>8.04992280178893</v>
      </c>
      <c r="I1582" s="2">
        <v>1058.0</v>
      </c>
      <c r="J1582" s="2">
        <v>1015.0</v>
      </c>
      <c r="K1582" s="2">
        <v>8.09804375532942</v>
      </c>
    </row>
    <row r="1583">
      <c r="A1583" s="2">
        <v>75.0</v>
      </c>
      <c r="B1583" s="2" t="s">
        <v>18</v>
      </c>
      <c r="C1583" s="2" t="s">
        <v>144</v>
      </c>
      <c r="D1583" s="2" t="s">
        <v>145</v>
      </c>
      <c r="E1583" s="2">
        <v>-40.0</v>
      </c>
      <c r="F1583" s="2">
        <v>28.5058125625951</v>
      </c>
      <c r="G1583" s="2">
        <v>27.8645303492597</v>
      </c>
      <c r="H1583" s="2">
        <v>7.63320461214531</v>
      </c>
      <c r="I1583" s="2">
        <v>1156.0</v>
      </c>
      <c r="J1583" s="2">
        <v>1116.0</v>
      </c>
      <c r="K1583" s="2">
        <v>7.6729971321923</v>
      </c>
    </row>
    <row r="1584">
      <c r="A1584" s="2">
        <v>75.0</v>
      </c>
      <c r="B1584" s="2" t="s">
        <v>58</v>
      </c>
      <c r="C1584" s="2" t="s">
        <v>144</v>
      </c>
      <c r="D1584" s="2" t="s">
        <v>145</v>
      </c>
      <c r="E1584" s="2">
        <v>-45.0</v>
      </c>
      <c r="F1584" s="2">
        <v>23.8367986528872</v>
      </c>
      <c r="G1584" s="2">
        <v>23.096692013764</v>
      </c>
      <c r="H1584" s="2">
        <v>8.19271019188869</v>
      </c>
      <c r="I1584" s="2">
        <v>780.0</v>
      </c>
      <c r="J1584" s="2">
        <v>735.0</v>
      </c>
      <c r="K1584" s="2">
        <v>8.2438846788964</v>
      </c>
    </row>
    <row r="1585">
      <c r="A1585" s="2">
        <v>75.0</v>
      </c>
      <c r="B1585" s="2" t="s">
        <v>102</v>
      </c>
      <c r="C1585" s="2" t="s">
        <v>144</v>
      </c>
      <c r="D1585" s="2" t="s">
        <v>145</v>
      </c>
      <c r="E1585" s="2">
        <v>-46.0</v>
      </c>
      <c r="F1585" s="2">
        <v>25.0</v>
      </c>
      <c r="G1585" s="2">
        <v>24.2437668208212</v>
      </c>
      <c r="H1585" s="2">
        <v>8.28023491094376</v>
      </c>
      <c r="I1585" s="2">
        <v>850.0</v>
      </c>
      <c r="J1585" s="2">
        <v>804.0</v>
      </c>
      <c r="K1585" s="2">
        <v>8.33333333333333</v>
      </c>
    </row>
    <row r="1586">
      <c r="A1586" s="2">
        <v>75.0</v>
      </c>
      <c r="B1586" s="2" t="s">
        <v>47</v>
      </c>
      <c r="C1586" s="2" t="s">
        <v>144</v>
      </c>
      <c r="D1586" s="2" t="s">
        <v>145</v>
      </c>
      <c r="E1586" s="2">
        <v>-40.0</v>
      </c>
      <c r="F1586" s="2">
        <v>21.1595949927626</v>
      </c>
      <c r="G1586" s="2">
        <v>20.5143439636826</v>
      </c>
      <c r="H1586" s="2">
        <v>7.65650437605546</v>
      </c>
      <c r="I1586" s="2">
        <v>654.0</v>
      </c>
      <c r="J1586" s="2">
        <v>614.0</v>
      </c>
      <c r="K1586" s="2">
        <v>7.6967403048033</v>
      </c>
    </row>
    <row r="1587">
      <c r="A1587" s="2">
        <v>75.0</v>
      </c>
      <c r="B1587" s="2" t="s">
        <v>16</v>
      </c>
      <c r="C1587" s="2" t="s">
        <v>144</v>
      </c>
      <c r="D1587" s="2" t="s">
        <v>145</v>
      </c>
      <c r="E1587" s="2">
        <v>-38.0</v>
      </c>
      <c r="F1587" s="2">
        <v>31.6116008357066</v>
      </c>
      <c r="G1587" s="2">
        <v>31.0035993231175</v>
      </c>
      <c r="H1587" s="2">
        <v>7.43480878925205</v>
      </c>
      <c r="I1587" s="2">
        <v>1388.0</v>
      </c>
      <c r="J1587" s="2">
        <v>1350.0</v>
      </c>
      <c r="K1587" s="2">
        <v>7.47092880490549</v>
      </c>
    </row>
    <row r="1588">
      <c r="A1588" s="2">
        <v>74.0</v>
      </c>
      <c r="B1588" s="2" t="s">
        <v>23</v>
      </c>
      <c r="C1588" s="2" t="s">
        <v>142</v>
      </c>
      <c r="D1588" s="2" t="s">
        <v>143</v>
      </c>
      <c r="E1588" s="2">
        <v>43.0</v>
      </c>
      <c r="F1588" s="2">
        <v>29.1371113822304</v>
      </c>
      <c r="G1588" s="2">
        <v>29.7129408068881</v>
      </c>
      <c r="H1588" s="2">
        <v>7.46618559401416</v>
      </c>
      <c r="I1588" s="2">
        <v>1216.0</v>
      </c>
      <c r="J1588" s="2">
        <v>1259.0</v>
      </c>
      <c r="K1588" s="2">
        <v>7.50159813411994</v>
      </c>
    </row>
    <row r="1589">
      <c r="A1589" s="2">
        <v>74.0</v>
      </c>
      <c r="B1589" s="2" t="s">
        <v>46</v>
      </c>
      <c r="C1589" s="2" t="s">
        <v>142</v>
      </c>
      <c r="D1589" s="2" t="s">
        <v>143</v>
      </c>
      <c r="E1589" s="2">
        <v>50.0</v>
      </c>
      <c r="F1589" s="2">
        <v>26.0136840467542</v>
      </c>
      <c r="G1589" s="2">
        <v>26.676345638742</v>
      </c>
      <c r="H1589" s="2">
        <v>8.00263897414385</v>
      </c>
      <c r="I1589" s="2">
        <v>948.0</v>
      </c>
      <c r="J1589" s="2">
        <v>998.0</v>
      </c>
      <c r="K1589" s="2">
        <v>8.04819092091439</v>
      </c>
    </row>
    <row r="1590">
      <c r="A1590" s="2">
        <v>74.0</v>
      </c>
      <c r="B1590" s="2" t="s">
        <v>99</v>
      </c>
      <c r="C1590" s="2" t="s">
        <v>142</v>
      </c>
      <c r="D1590" s="2" t="s">
        <v>143</v>
      </c>
      <c r="E1590" s="2">
        <v>50.0</v>
      </c>
      <c r="F1590" s="2">
        <v>23.3571560353407</v>
      </c>
      <c r="G1590" s="2">
        <v>24.0149840083332</v>
      </c>
      <c r="H1590" s="2">
        <v>7.97377178625316</v>
      </c>
      <c r="I1590" s="2">
        <v>770.0</v>
      </c>
      <c r="J1590" s="2">
        <v>820.0</v>
      </c>
      <c r="K1590" s="2">
        <v>8.0187435077201</v>
      </c>
    </row>
    <row r="1591">
      <c r="A1591" s="2">
        <v>74.0</v>
      </c>
      <c r="B1591" s="2" t="s">
        <v>16</v>
      </c>
      <c r="C1591" s="2" t="s">
        <v>144</v>
      </c>
      <c r="D1591" s="2" t="s">
        <v>145</v>
      </c>
      <c r="E1591" s="2">
        <v>-35.0</v>
      </c>
      <c r="F1591" s="2">
        <v>32.1881703758559</v>
      </c>
      <c r="G1591" s="2">
        <v>31.6116008357066</v>
      </c>
      <c r="H1591" s="2">
        <v>7.47092880490549</v>
      </c>
      <c r="I1591" s="2">
        <v>1423.0</v>
      </c>
      <c r="J1591" s="2">
        <v>1388.0</v>
      </c>
      <c r="K1591" s="2">
        <v>7.50642520587893</v>
      </c>
    </row>
    <row r="1592">
      <c r="A1592" s="2">
        <v>74.0</v>
      </c>
      <c r="B1592" s="2" t="s">
        <v>41</v>
      </c>
      <c r="C1592" s="2" t="s">
        <v>144</v>
      </c>
      <c r="D1592" s="2" t="s">
        <v>145</v>
      </c>
      <c r="E1592" s="2">
        <v>-41.0</v>
      </c>
      <c r="F1592" s="2">
        <v>26.4935669332477</v>
      </c>
      <c r="G1592" s="2">
        <v>25.8292388694536</v>
      </c>
      <c r="H1592" s="2">
        <v>8.01256605182621</v>
      </c>
      <c r="I1592" s="2">
        <v>980.0</v>
      </c>
      <c r="J1592" s="2">
        <v>939.0</v>
      </c>
      <c r="K1592" s="2">
        <v>8.05831846861365</v>
      </c>
    </row>
    <row r="1593">
      <c r="A1593" s="2">
        <v>74.0</v>
      </c>
      <c r="B1593" s="2" t="s">
        <v>38</v>
      </c>
      <c r="C1593" s="2" t="s">
        <v>144</v>
      </c>
      <c r="D1593" s="2" t="s">
        <v>145</v>
      </c>
      <c r="E1593" s="2">
        <v>-37.0</v>
      </c>
      <c r="F1593" s="2">
        <v>20.5311068955784</v>
      </c>
      <c r="G1593" s="2">
        <v>19.9252824181018</v>
      </c>
      <c r="H1593" s="2">
        <v>7.6559556686494</v>
      </c>
      <c r="I1593" s="2">
        <v>611.0</v>
      </c>
      <c r="J1593" s="2">
        <v>574.0</v>
      </c>
      <c r="K1593" s="2">
        <v>7.69480237577087</v>
      </c>
    </row>
    <row r="1594">
      <c r="A1594" s="2">
        <v>74.0</v>
      </c>
      <c r="B1594" s="2" t="s">
        <v>64</v>
      </c>
      <c r="C1594" s="2" t="s">
        <v>144</v>
      </c>
      <c r="D1594" s="2" t="s">
        <v>145</v>
      </c>
      <c r="E1594" s="2">
        <v>-35.0</v>
      </c>
      <c r="F1594" s="2">
        <v>28.8250290409667</v>
      </c>
      <c r="G1594" s="2">
        <v>28.2468575405948</v>
      </c>
      <c r="H1594" s="2">
        <v>7.48118459027419</v>
      </c>
      <c r="I1594" s="2">
        <v>1193.0</v>
      </c>
      <c r="J1594" s="2">
        <v>1158.0</v>
      </c>
      <c r="K1594" s="2">
        <v>7.51686265799533</v>
      </c>
    </row>
    <row r="1595">
      <c r="A1595" s="2">
        <v>74.0</v>
      </c>
      <c r="B1595" s="2" t="s">
        <v>22</v>
      </c>
      <c r="C1595" s="2" t="s">
        <v>144</v>
      </c>
      <c r="D1595" s="2" t="s">
        <v>145</v>
      </c>
      <c r="E1595" s="2">
        <v>-38.0</v>
      </c>
      <c r="F1595" s="2">
        <v>21.997625144505</v>
      </c>
      <c r="G1595" s="2">
        <v>21.3779598721867</v>
      </c>
      <c r="H1595" s="2">
        <v>7.74188084966337</v>
      </c>
      <c r="I1595" s="2">
        <v>702.0</v>
      </c>
      <c r="J1595" s="2">
        <v>664.0</v>
      </c>
      <c r="K1595" s="2">
        <v>7.78233664382065</v>
      </c>
    </row>
    <row r="1596">
      <c r="A1596" s="2">
        <v>74.0</v>
      </c>
      <c r="B1596" s="2" t="s">
        <v>47</v>
      </c>
      <c r="C1596" s="2" t="s">
        <v>144</v>
      </c>
      <c r="D1596" s="2" t="s">
        <v>145</v>
      </c>
      <c r="E1596" s="2">
        <v>-37.0</v>
      </c>
      <c r="F1596" s="2">
        <v>21.7719688499718</v>
      </c>
      <c r="G1596" s="2">
        <v>21.1595949927626</v>
      </c>
      <c r="H1596" s="2">
        <v>7.6967403048033</v>
      </c>
      <c r="I1596" s="2">
        <v>691.0</v>
      </c>
      <c r="J1596" s="2">
        <v>654.0</v>
      </c>
      <c r="K1596" s="2">
        <v>7.73634650561867</v>
      </c>
    </row>
    <row r="1597">
      <c r="A1597" s="2">
        <v>74.0</v>
      </c>
      <c r="B1597" s="2" t="s">
        <v>58</v>
      </c>
      <c r="C1597" s="2" t="s">
        <v>144</v>
      </c>
      <c r="D1597" s="2" t="s">
        <v>145</v>
      </c>
      <c r="E1597" s="2">
        <v>-43.0</v>
      </c>
      <c r="F1597" s="2">
        <v>24.5405752194385</v>
      </c>
      <c r="G1597" s="2">
        <v>23.8367986528872</v>
      </c>
      <c r="H1597" s="2">
        <v>8.2438846788964</v>
      </c>
      <c r="I1597" s="2">
        <v>823.0</v>
      </c>
      <c r="J1597" s="2">
        <v>780.0</v>
      </c>
      <c r="K1597" s="2">
        <v>8.29444625351232</v>
      </c>
    </row>
    <row r="1598">
      <c r="A1598" s="2">
        <v>74.0</v>
      </c>
      <c r="B1598" s="2" t="s">
        <v>122</v>
      </c>
      <c r="C1598" s="2" t="s">
        <v>144</v>
      </c>
      <c r="D1598" s="2" t="s">
        <v>145</v>
      </c>
      <c r="E1598" s="2">
        <v>-41.0</v>
      </c>
      <c r="F1598" s="2">
        <v>26.2806908104175</v>
      </c>
      <c r="G1598" s="2">
        <v>25.597070602119</v>
      </c>
      <c r="H1598" s="2">
        <v>8.12655900941122</v>
      </c>
      <c r="I1598" s="2">
        <v>953.0</v>
      </c>
      <c r="J1598" s="2">
        <v>912.0</v>
      </c>
      <c r="K1598" s="2">
        <v>8.17464810450977</v>
      </c>
    </row>
    <row r="1599">
      <c r="A1599" s="2">
        <v>74.0</v>
      </c>
      <c r="B1599" s="2" t="s">
        <v>26</v>
      </c>
      <c r="C1599" s="2" t="s">
        <v>144</v>
      </c>
      <c r="D1599" s="2" t="s">
        <v>145</v>
      </c>
      <c r="E1599" s="2">
        <v>-35.0</v>
      </c>
      <c r="F1599" s="2">
        <v>28.1861246751984</v>
      </c>
      <c r="G1599" s="2">
        <v>27.6191667615975</v>
      </c>
      <c r="H1599" s="2">
        <v>7.40908324744377</v>
      </c>
      <c r="I1599" s="2">
        <v>1157.0</v>
      </c>
      <c r="J1599" s="2">
        <v>1122.0</v>
      </c>
      <c r="K1599" s="2">
        <v>7.44349403698124</v>
      </c>
    </row>
    <row r="1600">
      <c r="A1600" s="2">
        <v>74.0</v>
      </c>
      <c r="B1600" s="2" t="s">
        <v>111</v>
      </c>
      <c r="C1600" s="2" t="s">
        <v>144</v>
      </c>
      <c r="D1600" s="2" t="s">
        <v>145</v>
      </c>
      <c r="E1600" s="2">
        <v>-40.0</v>
      </c>
      <c r="F1600" s="2">
        <v>24.7527691908446</v>
      </c>
      <c r="G1600" s="2">
        <v>24.0869974309484</v>
      </c>
      <c r="H1600" s="2">
        <v>8.02115561186763</v>
      </c>
      <c r="I1600" s="2">
        <v>860.0</v>
      </c>
      <c r="J1600" s="2">
        <v>820.0</v>
      </c>
      <c r="K1600" s="2">
        <v>8.06708187668279</v>
      </c>
    </row>
    <row r="1601">
      <c r="A1601" s="2">
        <v>73.0</v>
      </c>
      <c r="B1601" s="2" t="s">
        <v>122</v>
      </c>
      <c r="C1601" s="2" t="s">
        <v>142</v>
      </c>
      <c r="D1601" s="2" t="s">
        <v>143</v>
      </c>
      <c r="E1601" s="2">
        <v>34.0</v>
      </c>
      <c r="F1601" s="2">
        <v>25.8345797138221</v>
      </c>
      <c r="G1601" s="2">
        <v>26.2806908104175</v>
      </c>
      <c r="H1601" s="2">
        <v>8.17464810450977</v>
      </c>
      <c r="I1601" s="2">
        <v>919.0</v>
      </c>
      <c r="J1601" s="2">
        <v>953.0</v>
      </c>
      <c r="K1601" s="2">
        <v>8.21154088910618</v>
      </c>
    </row>
    <row r="1602">
      <c r="A1602" s="2">
        <v>73.0</v>
      </c>
      <c r="B1602" s="2" t="s">
        <v>16</v>
      </c>
      <c r="C1602" s="2" t="s">
        <v>142</v>
      </c>
      <c r="D1602" s="2" t="s">
        <v>143</v>
      </c>
      <c r="E1602" s="2">
        <v>28.0</v>
      </c>
      <c r="F1602" s="2">
        <v>31.8126290142706</v>
      </c>
      <c r="G1602" s="2">
        <v>32.1881703758559</v>
      </c>
      <c r="H1602" s="2">
        <v>7.50642520587893</v>
      </c>
      <c r="I1602" s="2">
        <v>1395.0</v>
      </c>
      <c r="J1602" s="2">
        <v>1423.0</v>
      </c>
      <c r="K1602" s="2">
        <v>7.53316646420079</v>
      </c>
    </row>
    <row r="1603">
      <c r="A1603" s="2">
        <v>73.0</v>
      </c>
      <c r="B1603" s="2" t="s">
        <v>46</v>
      </c>
      <c r="C1603" s="2" t="s">
        <v>142</v>
      </c>
      <c r="D1603" s="2" t="s">
        <v>143</v>
      </c>
      <c r="E1603" s="2">
        <v>33.0</v>
      </c>
      <c r="F1603" s="2">
        <v>25.5814076968071</v>
      </c>
      <c r="G1603" s="2">
        <v>26.0136840467542</v>
      </c>
      <c r="H1603" s="2">
        <v>8.04819092091439</v>
      </c>
      <c r="I1603" s="2">
        <v>915.0</v>
      </c>
      <c r="J1603" s="2">
        <v>948.0</v>
      </c>
      <c r="K1603" s="2">
        <v>8.08303777635649</v>
      </c>
    </row>
    <row r="1604">
      <c r="A1604" s="2">
        <v>73.0</v>
      </c>
      <c r="B1604" s="2" t="s">
        <v>38</v>
      </c>
      <c r="C1604" s="2" t="s">
        <v>144</v>
      </c>
      <c r="D1604" s="2" t="s">
        <v>145</v>
      </c>
      <c r="E1604" s="2">
        <v>-24.0</v>
      </c>
      <c r="F1604" s="2">
        <v>20.925910412411</v>
      </c>
      <c r="G1604" s="2">
        <v>20.5311068955784</v>
      </c>
      <c r="H1604" s="2">
        <v>7.69480237577087</v>
      </c>
      <c r="I1604" s="2">
        <v>635.0</v>
      </c>
      <c r="J1604" s="2">
        <v>611.0</v>
      </c>
      <c r="K1604" s="2">
        <v>7.72424399544438</v>
      </c>
    </row>
    <row r="1605">
      <c r="A1605" s="2">
        <v>73.0</v>
      </c>
      <c r="B1605" s="2" t="s">
        <v>26</v>
      </c>
      <c r="C1605" s="2" t="s">
        <v>144</v>
      </c>
      <c r="D1605" s="2" t="s">
        <v>145</v>
      </c>
      <c r="E1605" s="2">
        <v>-23.0</v>
      </c>
      <c r="F1605" s="2">
        <v>28.555341309348</v>
      </c>
      <c r="G1605" s="2">
        <v>28.1861246751984</v>
      </c>
      <c r="H1605" s="2">
        <v>7.44349403698124</v>
      </c>
      <c r="I1605" s="2">
        <v>1180.0</v>
      </c>
      <c r="J1605" s="2">
        <v>1157.0</v>
      </c>
      <c r="K1605" s="2">
        <v>7.46936024990602</v>
      </c>
    </row>
    <row r="1606">
      <c r="A1606" s="2">
        <v>73.0</v>
      </c>
      <c r="B1606" s="2" t="s">
        <v>24</v>
      </c>
      <c r="C1606" s="2" t="s">
        <v>144</v>
      </c>
      <c r="D1606" s="2" t="s">
        <v>145</v>
      </c>
      <c r="E1606" s="2">
        <v>-23.0</v>
      </c>
      <c r="F1606" s="2">
        <v>20.4711504445411</v>
      </c>
      <c r="G1606" s="2">
        <v>20.0812745902848</v>
      </c>
      <c r="H1606" s="2">
        <v>7.64706940133333</v>
      </c>
      <c r="I1606" s="2">
        <v>609.0</v>
      </c>
      <c r="J1606" s="2">
        <v>586.0</v>
      </c>
      <c r="K1606" s="2">
        <v>7.67581514664543</v>
      </c>
    </row>
    <row r="1607">
      <c r="A1607" s="2">
        <v>73.0</v>
      </c>
      <c r="B1607" s="2" t="s">
        <v>39</v>
      </c>
      <c r="C1607" s="2" t="s">
        <v>144</v>
      </c>
      <c r="D1607" s="2" t="s">
        <v>145</v>
      </c>
      <c r="E1607" s="2">
        <v>-26.0</v>
      </c>
      <c r="F1607" s="2">
        <v>27.8269928260633</v>
      </c>
      <c r="G1607" s="2">
        <v>27.3948782618202</v>
      </c>
      <c r="H1607" s="2">
        <v>8.04669986373925</v>
      </c>
      <c r="I1607" s="2">
        <v>1068.0</v>
      </c>
      <c r="J1607" s="2">
        <v>1042.0</v>
      </c>
      <c r="K1607" s="2">
        <v>8.08152295364271</v>
      </c>
    </row>
    <row r="1608">
      <c r="A1608" s="2">
        <v>73.0</v>
      </c>
      <c r="B1608" s="2" t="s">
        <v>99</v>
      </c>
      <c r="C1608" s="2" t="s">
        <v>144</v>
      </c>
      <c r="D1608" s="2" t="s">
        <v>145</v>
      </c>
      <c r="E1608" s="2">
        <v>-26.0</v>
      </c>
      <c r="F1608" s="2">
        <v>23.7862429995345</v>
      </c>
      <c r="G1608" s="2">
        <v>23.3571560353407</v>
      </c>
      <c r="H1608" s="2">
        <v>8.0187435077201</v>
      </c>
      <c r="I1608" s="2">
        <v>796.0</v>
      </c>
      <c r="J1608" s="2">
        <v>770.0</v>
      </c>
      <c r="K1608" s="2">
        <v>8.05312254110559</v>
      </c>
    </row>
    <row r="1609">
      <c r="A1609" s="2">
        <v>73.0</v>
      </c>
      <c r="B1609" s="2" t="s">
        <v>41</v>
      </c>
      <c r="C1609" s="2" t="s">
        <v>144</v>
      </c>
      <c r="D1609" s="2" t="s">
        <v>145</v>
      </c>
      <c r="E1609" s="2">
        <v>-26.0</v>
      </c>
      <c r="F1609" s="2">
        <v>26.9269429887758</v>
      </c>
      <c r="G1609" s="2">
        <v>26.4935669332477</v>
      </c>
      <c r="H1609" s="2">
        <v>8.05831846861365</v>
      </c>
      <c r="I1609" s="2">
        <v>1006.0</v>
      </c>
      <c r="J1609" s="2">
        <v>980.0</v>
      </c>
      <c r="K1609" s="2">
        <v>8.09332696360888</v>
      </c>
    </row>
    <row r="1610">
      <c r="A1610" s="2">
        <v>73.0</v>
      </c>
      <c r="B1610" s="2" t="s">
        <v>47</v>
      </c>
      <c r="C1610" s="2" t="s">
        <v>144</v>
      </c>
      <c r="D1610" s="2" t="s">
        <v>145</v>
      </c>
      <c r="E1610" s="2">
        <v>-24.0</v>
      </c>
      <c r="F1610" s="2">
        <v>22.1710870241484</v>
      </c>
      <c r="G1610" s="2">
        <v>21.7719688499718</v>
      </c>
      <c r="H1610" s="2">
        <v>7.73634650561867</v>
      </c>
      <c r="I1610" s="2">
        <v>715.0</v>
      </c>
      <c r="J1610" s="2">
        <v>691.0</v>
      </c>
      <c r="K1610" s="2">
        <v>7.7664002873</v>
      </c>
    </row>
    <row r="1611">
      <c r="A1611" s="2">
        <v>73.0</v>
      </c>
      <c r="B1611" s="2" t="s">
        <v>23</v>
      </c>
      <c r="C1611" s="2" t="s">
        <v>144</v>
      </c>
      <c r="D1611" s="2" t="s">
        <v>145</v>
      </c>
      <c r="E1611" s="2">
        <v>-23.0</v>
      </c>
      <c r="F1611" s="2">
        <v>29.5121656597708</v>
      </c>
      <c r="G1611" s="2">
        <v>29.1371113822304</v>
      </c>
      <c r="H1611" s="2">
        <v>7.50159813411994</v>
      </c>
      <c r="I1611" s="2">
        <v>1239.0</v>
      </c>
      <c r="J1611" s="2">
        <v>1216.0</v>
      </c>
      <c r="K1611" s="2">
        <v>7.52827179855461</v>
      </c>
    </row>
    <row r="1612">
      <c r="A1612" s="2">
        <v>73.0</v>
      </c>
      <c r="B1612" s="2" t="s">
        <v>58</v>
      </c>
      <c r="C1612" s="2" t="s">
        <v>144</v>
      </c>
      <c r="D1612" s="2" t="s">
        <v>145</v>
      </c>
      <c r="E1612" s="2">
        <v>-27.0</v>
      </c>
      <c r="F1612" s="2">
        <v>25.0</v>
      </c>
      <c r="G1612" s="2">
        <v>24.5405752194385</v>
      </c>
      <c r="H1612" s="2">
        <v>8.29444625351232</v>
      </c>
      <c r="I1612" s="2">
        <v>850.0</v>
      </c>
      <c r="J1612" s="2">
        <v>823.0</v>
      </c>
      <c r="K1612" s="2">
        <v>8.33333333333333</v>
      </c>
    </row>
    <row r="1613">
      <c r="A1613" s="2">
        <v>73.0</v>
      </c>
      <c r="B1613" s="2" t="s">
        <v>111</v>
      </c>
      <c r="C1613" s="2" t="s">
        <v>144</v>
      </c>
      <c r="D1613" s="2" t="s">
        <v>145</v>
      </c>
      <c r="E1613" s="2">
        <v>-26.0</v>
      </c>
      <c r="F1613" s="2">
        <v>25.187097988162</v>
      </c>
      <c r="G1613" s="2">
        <v>24.7527691908446</v>
      </c>
      <c r="H1613" s="2">
        <v>8.06708187668279</v>
      </c>
      <c r="I1613" s="2">
        <v>886.0</v>
      </c>
      <c r="J1613" s="2">
        <v>860.0</v>
      </c>
      <c r="K1613" s="2">
        <v>8.10223054810624</v>
      </c>
    </row>
    <row r="1614">
      <c r="A1614" s="2">
        <v>72.0</v>
      </c>
      <c r="B1614" s="2" t="s">
        <v>73</v>
      </c>
      <c r="C1614" s="2" t="s">
        <v>142</v>
      </c>
      <c r="D1614" s="2" t="s">
        <v>143</v>
      </c>
      <c r="E1614" s="2">
        <v>82.0</v>
      </c>
      <c r="F1614" s="2">
        <v>26.349992847564</v>
      </c>
      <c r="G1614" s="2">
        <v>27.4681619431869</v>
      </c>
      <c r="H1614" s="2">
        <v>8.20054142974164</v>
      </c>
      <c r="I1614" s="2">
        <v>949.0</v>
      </c>
      <c r="J1614" s="2">
        <v>1031.0</v>
      </c>
      <c r="K1614" s="2">
        <v>8.26353587166485</v>
      </c>
    </row>
    <row r="1615">
      <c r="A1615" s="2">
        <v>72.0</v>
      </c>
      <c r="B1615" s="2" t="s">
        <v>32</v>
      </c>
      <c r="C1615" s="2" t="s">
        <v>142</v>
      </c>
      <c r="D1615" s="2" t="s">
        <v>143</v>
      </c>
      <c r="E1615" s="2">
        <v>71.0</v>
      </c>
      <c r="F1615" s="2">
        <v>25.1641073693027</v>
      </c>
      <c r="G1615" s="2">
        <v>26.135195698034</v>
      </c>
      <c r="H1615" s="2">
        <v>7.65061526272819</v>
      </c>
      <c r="I1615" s="2">
        <v>926.0</v>
      </c>
      <c r="J1615" s="2">
        <v>997.0</v>
      </c>
      <c r="K1615" s="2">
        <v>7.7001323490199</v>
      </c>
    </row>
    <row r="1616">
      <c r="A1616" s="2">
        <v>72.0</v>
      </c>
      <c r="B1616" s="2" t="s">
        <v>67</v>
      </c>
      <c r="C1616" s="2" t="s">
        <v>142</v>
      </c>
      <c r="D1616" s="2" t="s">
        <v>143</v>
      </c>
      <c r="E1616" s="2">
        <v>75.0</v>
      </c>
      <c r="F1616" s="2">
        <v>22.6991172516359</v>
      </c>
      <c r="G1616" s="2">
        <v>23.7318492959031</v>
      </c>
      <c r="H1616" s="2">
        <v>7.8860681296275</v>
      </c>
      <c r="I1616" s="2">
        <v>734.0</v>
      </c>
      <c r="J1616" s="2">
        <v>809.0</v>
      </c>
      <c r="K1616" s="2">
        <v>7.9411303077882</v>
      </c>
    </row>
    <row r="1617">
      <c r="A1617" s="2">
        <v>72.0</v>
      </c>
      <c r="B1617" s="2" t="s">
        <v>83</v>
      </c>
      <c r="C1617" s="2" t="s">
        <v>144</v>
      </c>
      <c r="D1617" s="2" t="s">
        <v>145</v>
      </c>
      <c r="E1617" s="2">
        <v>-66.0</v>
      </c>
      <c r="F1617" s="2">
        <v>27.6798703019774</v>
      </c>
      <c r="G1617" s="2">
        <v>26.6279984139294</v>
      </c>
      <c r="H1617" s="2">
        <v>7.95766943616028</v>
      </c>
      <c r="I1617" s="2">
        <v>1065.0</v>
      </c>
      <c r="J1617" s="2">
        <v>999.0</v>
      </c>
      <c r="K1617" s="2">
        <v>8.01448387321874</v>
      </c>
    </row>
    <row r="1618">
      <c r="A1618" s="2">
        <v>72.0</v>
      </c>
      <c r="B1618" s="2" t="s">
        <v>23</v>
      </c>
      <c r="C1618" s="2" t="s">
        <v>144</v>
      </c>
      <c r="D1618" s="2" t="s">
        <v>145</v>
      </c>
      <c r="E1618" s="2">
        <v>-59.0</v>
      </c>
      <c r="F1618" s="2">
        <v>30.4520050844756</v>
      </c>
      <c r="G1618" s="2">
        <v>29.5121656597708</v>
      </c>
      <c r="H1618" s="2">
        <v>7.52827179855461</v>
      </c>
      <c r="I1618" s="2">
        <v>1298.0</v>
      </c>
      <c r="J1618" s="2">
        <v>1239.0</v>
      </c>
      <c r="K1618" s="2">
        <v>7.57503585028238</v>
      </c>
    </row>
    <row r="1619">
      <c r="A1619" s="2">
        <v>72.0</v>
      </c>
      <c r="B1619" s="2" t="s">
        <v>47</v>
      </c>
      <c r="C1619" s="2" t="s">
        <v>144</v>
      </c>
      <c r="D1619" s="2" t="s">
        <v>145</v>
      </c>
      <c r="E1619" s="2">
        <v>-63.0</v>
      </c>
      <c r="F1619" s="2">
        <v>23.1722410257107</v>
      </c>
      <c r="G1619" s="2">
        <v>22.1710870241484</v>
      </c>
      <c r="H1619" s="2">
        <v>7.7664002873</v>
      </c>
      <c r="I1619" s="2">
        <v>778.0</v>
      </c>
      <c r="J1619" s="2">
        <v>715.0</v>
      </c>
      <c r="K1619" s="2">
        <v>7.81860305170693</v>
      </c>
    </row>
    <row r="1620">
      <c r="A1620" s="2">
        <v>72.0</v>
      </c>
      <c r="B1620" s="2" t="s">
        <v>80</v>
      </c>
      <c r="C1620" s="2" t="s">
        <v>144</v>
      </c>
      <c r="D1620" s="2" t="s">
        <v>145</v>
      </c>
      <c r="E1620" s="2">
        <v>-68.0</v>
      </c>
      <c r="F1620" s="2">
        <v>25.2620168536771</v>
      </c>
      <c r="G1620" s="2">
        <v>24.1635202781339</v>
      </c>
      <c r="H1620" s="2">
        <v>8.12928148145266</v>
      </c>
      <c r="I1620" s="2">
        <v>882.0</v>
      </c>
      <c r="J1620" s="2">
        <v>814.0</v>
      </c>
      <c r="K1620" s="2">
        <v>8.19042433363424</v>
      </c>
    </row>
    <row r="1621">
      <c r="A1621" s="2">
        <v>72.0</v>
      </c>
      <c r="B1621" s="2" t="s">
        <v>64</v>
      </c>
      <c r="C1621" s="2" t="s">
        <v>144</v>
      </c>
      <c r="D1621" s="2" t="s">
        <v>145</v>
      </c>
      <c r="E1621" s="2">
        <v>-59.0</v>
      </c>
      <c r="F1621" s="2">
        <v>29.761981522352</v>
      </c>
      <c r="G1621" s="2">
        <v>28.8250290409667</v>
      </c>
      <c r="H1621" s="2">
        <v>7.51686265799533</v>
      </c>
      <c r="I1621" s="2">
        <v>1252.0</v>
      </c>
      <c r="J1621" s="2">
        <v>1193.0</v>
      </c>
      <c r="K1621" s="2">
        <v>7.56337435197073</v>
      </c>
    </row>
    <row r="1622">
      <c r="A1622" s="2">
        <v>72.0</v>
      </c>
      <c r="B1622" s="2" t="s">
        <v>39</v>
      </c>
      <c r="C1622" s="2" t="s">
        <v>144</v>
      </c>
      <c r="D1622" s="2" t="s">
        <v>145</v>
      </c>
      <c r="E1622" s="2">
        <v>-68.0</v>
      </c>
      <c r="F1622" s="2">
        <v>28.9124074730134</v>
      </c>
      <c r="G1622" s="2">
        <v>27.8269928260633</v>
      </c>
      <c r="H1622" s="2">
        <v>8.08152295364271</v>
      </c>
      <c r="I1622" s="2">
        <v>1136.0</v>
      </c>
      <c r="J1622" s="2">
        <v>1068.0</v>
      </c>
      <c r="K1622" s="2">
        <v>8.14144280874864</v>
      </c>
    </row>
    <row r="1623">
      <c r="A1623" s="2">
        <v>72.0</v>
      </c>
      <c r="B1623" s="2" t="s">
        <v>16</v>
      </c>
      <c r="C1623" s="2" t="s">
        <v>144</v>
      </c>
      <c r="D1623" s="2" t="s">
        <v>145</v>
      </c>
      <c r="E1623" s="2">
        <v>-59.0</v>
      </c>
      <c r="F1623" s="2">
        <v>32.7537083939213</v>
      </c>
      <c r="G1623" s="2">
        <v>31.8126290142706</v>
      </c>
      <c r="H1623" s="2">
        <v>7.53316646420079</v>
      </c>
      <c r="I1623" s="2">
        <v>1454.0</v>
      </c>
      <c r="J1623" s="2">
        <v>1395.0</v>
      </c>
      <c r="K1623" s="2">
        <v>7.58003900789882</v>
      </c>
    </row>
    <row r="1624">
      <c r="A1624" s="2">
        <v>72.0</v>
      </c>
      <c r="B1624" s="2" t="s">
        <v>24</v>
      </c>
      <c r="C1624" s="2" t="s">
        <v>144</v>
      </c>
      <c r="D1624" s="2" t="s">
        <v>145</v>
      </c>
      <c r="E1624" s="2">
        <v>-61.0</v>
      </c>
      <c r="F1624" s="2">
        <v>21.4487416037157</v>
      </c>
      <c r="G1624" s="2">
        <v>20.4711504445411</v>
      </c>
      <c r="H1624" s="2">
        <v>7.67581514664543</v>
      </c>
      <c r="I1624" s="2">
        <v>670.0</v>
      </c>
      <c r="J1624" s="2">
        <v>609.0</v>
      </c>
      <c r="K1624" s="2">
        <v>7.7259100555368</v>
      </c>
    </row>
    <row r="1625">
      <c r="A1625" s="2">
        <v>72.0</v>
      </c>
      <c r="B1625" s="2" t="s">
        <v>117</v>
      </c>
      <c r="C1625" s="2" t="s">
        <v>144</v>
      </c>
      <c r="D1625" s="2" t="s">
        <v>145</v>
      </c>
      <c r="E1625" s="2">
        <v>-68.0</v>
      </c>
      <c r="F1625" s="2">
        <v>23.8073462607483</v>
      </c>
      <c r="G1625" s="2">
        <v>22.7199450624699</v>
      </c>
      <c r="H1625" s="2">
        <v>8.08879469391374</v>
      </c>
      <c r="I1625" s="2">
        <v>788.0</v>
      </c>
      <c r="J1625" s="2">
        <v>720.0</v>
      </c>
      <c r="K1625" s="2">
        <v>8.1488998395509</v>
      </c>
    </row>
    <row r="1626">
      <c r="A1626" s="2">
        <v>72.0</v>
      </c>
      <c r="B1626" s="2" t="s">
        <v>87</v>
      </c>
      <c r="C1626" s="2" t="s">
        <v>144</v>
      </c>
      <c r="D1626" s="2" t="s">
        <v>145</v>
      </c>
      <c r="E1626" s="2">
        <v>-68.0</v>
      </c>
      <c r="F1626" s="2">
        <v>26.6670623047574</v>
      </c>
      <c r="G1626" s="2">
        <v>25.572099161776</v>
      </c>
      <c r="H1626" s="2">
        <v>8.11641146457352</v>
      </c>
      <c r="I1626" s="2">
        <v>979.0</v>
      </c>
      <c r="J1626" s="2">
        <v>911.0</v>
      </c>
      <c r="K1626" s="2">
        <v>8.1772233313965</v>
      </c>
    </row>
    <row r="1627">
      <c r="A1627" s="2">
        <v>71.0</v>
      </c>
      <c r="B1627" s="2" t="s">
        <v>23</v>
      </c>
      <c r="C1627" s="2" t="s">
        <v>142</v>
      </c>
      <c r="D1627" s="2" t="s">
        <v>145</v>
      </c>
      <c r="E1627" s="2">
        <v>-72.0</v>
      </c>
      <c r="F1627" s="2">
        <v>31.5830588603322</v>
      </c>
      <c r="G1627" s="2">
        <v>30.4520050844756</v>
      </c>
      <c r="H1627" s="2">
        <v>7.57503585028238</v>
      </c>
      <c r="I1627" s="2">
        <v>1370.0</v>
      </c>
      <c r="J1627" s="2">
        <v>1298.0</v>
      </c>
      <c r="K1627" s="2">
        <v>7.62676149047269</v>
      </c>
    </row>
    <row r="1628">
      <c r="A1628" s="2">
        <v>71.0</v>
      </c>
      <c r="B1628" s="2" t="s">
        <v>32</v>
      </c>
      <c r="C1628" s="2" t="s">
        <v>142</v>
      </c>
      <c r="D1628" s="2" t="s">
        <v>145</v>
      </c>
      <c r="E1628" s="2">
        <v>-74.0</v>
      </c>
      <c r="F1628" s="2">
        <v>26.3334309875674</v>
      </c>
      <c r="G1628" s="2">
        <v>25.1641073693027</v>
      </c>
      <c r="H1628" s="2">
        <v>7.7001323490199</v>
      </c>
      <c r="I1628" s="2">
        <v>1000.0</v>
      </c>
      <c r="J1628" s="2">
        <v>926.0</v>
      </c>
      <c r="K1628" s="2">
        <v>7.75491237161758</v>
      </c>
    </row>
    <row r="1629">
      <c r="A1629" s="2">
        <v>71.0</v>
      </c>
      <c r="B1629" s="2" t="s">
        <v>124</v>
      </c>
      <c r="C1629" s="2" t="s">
        <v>142</v>
      </c>
      <c r="D1629" s="2" t="s">
        <v>145</v>
      </c>
      <c r="E1629" s="2">
        <v>-81.0</v>
      </c>
      <c r="F1629" s="2">
        <v>21.6999256255512</v>
      </c>
      <c r="G1629" s="2">
        <v>20.4071091003487</v>
      </c>
      <c r="H1629" s="2">
        <v>8.08977986446807</v>
      </c>
      <c r="I1629" s="2">
        <v>644.0</v>
      </c>
      <c r="J1629" s="2">
        <v>563.0</v>
      </c>
      <c r="K1629" s="2">
        <v>8.15471938456334</v>
      </c>
    </row>
    <row r="1630">
      <c r="A1630" s="2">
        <v>71.0</v>
      </c>
      <c r="B1630" s="2" t="s">
        <v>66</v>
      </c>
      <c r="C1630" s="2" t="s">
        <v>144</v>
      </c>
      <c r="D1630" s="2" t="s">
        <v>143</v>
      </c>
      <c r="E1630" s="2">
        <v>96.0</v>
      </c>
      <c r="F1630" s="2">
        <v>25.8695102727901</v>
      </c>
      <c r="G1630" s="2">
        <v>27.1779894507669</v>
      </c>
      <c r="H1630" s="2">
        <v>8.13777421577659</v>
      </c>
      <c r="I1630" s="2">
        <v>922.0</v>
      </c>
      <c r="J1630" s="2">
        <v>1018.0</v>
      </c>
      <c r="K1630" s="2">
        <v>8.20403490406742</v>
      </c>
    </row>
    <row r="1631">
      <c r="A1631" s="2">
        <v>71.0</v>
      </c>
      <c r="B1631" s="2" t="s">
        <v>73</v>
      </c>
      <c r="C1631" s="2" t="s">
        <v>144</v>
      </c>
      <c r="D1631" s="2" t="s">
        <v>143</v>
      </c>
      <c r="E1631" s="2">
        <v>99.0</v>
      </c>
      <c r="F1631" s="2">
        <v>25.0</v>
      </c>
      <c r="G1631" s="2">
        <v>26.349992847564</v>
      </c>
      <c r="H1631" s="2">
        <v>8.26353587166485</v>
      </c>
      <c r="I1631" s="2">
        <v>850.0</v>
      </c>
      <c r="J1631" s="2">
        <v>949.0</v>
      </c>
      <c r="K1631" s="2">
        <v>8.33333333333333</v>
      </c>
    </row>
    <row r="1632">
      <c r="A1632" s="2">
        <v>71.0</v>
      </c>
      <c r="B1632" s="2" t="s">
        <v>48</v>
      </c>
      <c r="C1632" s="2" t="s">
        <v>144</v>
      </c>
      <c r="D1632" s="2" t="s">
        <v>143</v>
      </c>
      <c r="E1632" s="2">
        <v>99.0</v>
      </c>
      <c r="F1632" s="2">
        <v>25.0</v>
      </c>
      <c r="G1632" s="2">
        <v>26.349992847564</v>
      </c>
      <c r="H1632" s="2">
        <v>8.26353587166485</v>
      </c>
      <c r="I1632" s="2">
        <v>850.0</v>
      </c>
      <c r="J1632" s="2">
        <v>949.0</v>
      </c>
      <c r="K1632" s="2">
        <v>8.33333333333333</v>
      </c>
    </row>
    <row r="1633">
      <c r="A1633" s="2">
        <v>71.0</v>
      </c>
      <c r="B1633" s="2" t="s">
        <v>19</v>
      </c>
      <c r="C1633" s="2" t="s">
        <v>144</v>
      </c>
      <c r="D1633" s="2" t="s">
        <v>143</v>
      </c>
      <c r="E1633" s="2">
        <v>83.0</v>
      </c>
      <c r="F1633" s="2">
        <v>30.5932777260055</v>
      </c>
      <c r="G1633" s="2">
        <v>31.7372960703762</v>
      </c>
      <c r="H1633" s="2">
        <v>7.61765928768926</v>
      </c>
      <c r="I1633" s="2">
        <v>1298.0</v>
      </c>
      <c r="J1633" s="2">
        <v>1381.0</v>
      </c>
      <c r="K1633" s="2">
        <v>7.67041461379865</v>
      </c>
    </row>
    <row r="1634">
      <c r="A1634" s="2">
        <v>71.0</v>
      </c>
      <c r="B1634" s="2" t="s">
        <v>49</v>
      </c>
      <c r="C1634" s="2" t="s">
        <v>144</v>
      </c>
      <c r="D1634" s="2" t="s">
        <v>143</v>
      </c>
      <c r="E1634" s="2">
        <v>96.0</v>
      </c>
      <c r="F1634" s="2">
        <v>27.9437291444881</v>
      </c>
      <c r="G1634" s="2">
        <v>29.2491084306628</v>
      </c>
      <c r="H1634" s="2">
        <v>8.12829949317133</v>
      </c>
      <c r="I1634" s="2">
        <v>1064.0</v>
      </c>
      <c r="J1634" s="2">
        <v>1160.0</v>
      </c>
      <c r="K1634" s="2">
        <v>8.19429812411861</v>
      </c>
    </row>
    <row r="1635">
      <c r="A1635" s="2">
        <v>71.0</v>
      </c>
      <c r="B1635" s="2" t="s">
        <v>42</v>
      </c>
      <c r="C1635" s="2" t="s">
        <v>144</v>
      </c>
      <c r="D1635" s="2" t="s">
        <v>143</v>
      </c>
      <c r="E1635" s="2">
        <v>93.0</v>
      </c>
      <c r="F1635" s="2">
        <v>24.1381166373808</v>
      </c>
      <c r="G1635" s="2">
        <v>25.4155970102869</v>
      </c>
      <c r="H1635" s="2">
        <v>8.04248823559305</v>
      </c>
      <c r="I1635" s="2">
        <v>815.0</v>
      </c>
      <c r="J1635" s="2">
        <v>908.0</v>
      </c>
      <c r="K1635" s="2">
        <v>8.10614118570996</v>
      </c>
    </row>
    <row r="1636">
      <c r="A1636" s="2">
        <v>71.0</v>
      </c>
      <c r="B1636" s="2" t="s">
        <v>26</v>
      </c>
      <c r="C1636" s="2" t="s">
        <v>144</v>
      </c>
      <c r="D1636" s="2" t="s">
        <v>143</v>
      </c>
      <c r="E1636" s="2">
        <v>80.0</v>
      </c>
      <c r="F1636" s="2">
        <v>27.4560970935198</v>
      </c>
      <c r="G1636" s="2">
        <v>28.555341309348</v>
      </c>
      <c r="H1636" s="2">
        <v>7.46936024990602</v>
      </c>
      <c r="I1636" s="2">
        <v>1100.0</v>
      </c>
      <c r="J1636" s="2">
        <v>1180.0</v>
      </c>
      <c r="K1636" s="2">
        <v>7.51858146690891</v>
      </c>
    </row>
    <row r="1637">
      <c r="A1637" s="2">
        <v>71.0</v>
      </c>
      <c r="B1637" s="2" t="s">
        <v>97</v>
      </c>
      <c r="C1637" s="2" t="s">
        <v>144</v>
      </c>
      <c r="D1637" s="2" t="s">
        <v>143</v>
      </c>
      <c r="E1637" s="2">
        <v>85.0</v>
      </c>
      <c r="F1637" s="2">
        <v>26.1658575285833</v>
      </c>
      <c r="G1637" s="2">
        <v>27.3263485637268</v>
      </c>
      <c r="H1637" s="2">
        <v>7.67145307677264</v>
      </c>
      <c r="I1637" s="2">
        <v>991.0</v>
      </c>
      <c r="J1637" s="2">
        <v>1076.0</v>
      </c>
      <c r="K1637" s="2">
        <v>7.72552416724334</v>
      </c>
    </row>
    <row r="1638">
      <c r="A1638" s="2">
        <v>71.0</v>
      </c>
      <c r="B1638" s="2" t="s">
        <v>18</v>
      </c>
      <c r="C1638" s="2" t="s">
        <v>144</v>
      </c>
      <c r="D1638" s="2" t="s">
        <v>143</v>
      </c>
      <c r="E1638" s="2">
        <v>85.0</v>
      </c>
      <c r="F1638" s="2">
        <v>27.3448468863479</v>
      </c>
      <c r="G1638" s="2">
        <v>28.5058125625951</v>
      </c>
      <c r="H1638" s="2">
        <v>7.6729971321923</v>
      </c>
      <c r="I1638" s="2">
        <v>1071.0</v>
      </c>
      <c r="J1638" s="2">
        <v>1156.0</v>
      </c>
      <c r="K1638" s="2">
        <v>7.72710625820324</v>
      </c>
    </row>
    <row r="1639">
      <c r="A1639" s="2">
        <v>71.0</v>
      </c>
      <c r="B1639" s="2" t="s">
        <v>41</v>
      </c>
      <c r="C1639" s="2" t="s">
        <v>144</v>
      </c>
      <c r="D1639" s="2" t="s">
        <v>143</v>
      </c>
      <c r="E1639" s="2">
        <v>95.0</v>
      </c>
      <c r="F1639" s="2">
        <v>25.6329722914931</v>
      </c>
      <c r="G1639" s="2">
        <v>26.9269429887758</v>
      </c>
      <c r="H1639" s="2">
        <v>8.09332696360888</v>
      </c>
      <c r="I1639" s="2">
        <v>911.0</v>
      </c>
      <c r="J1639" s="2">
        <v>1006.0</v>
      </c>
      <c r="K1639" s="2">
        <v>8.15836359158669</v>
      </c>
    </row>
    <row r="1640">
      <c r="A1640" s="2">
        <v>70.0</v>
      </c>
      <c r="B1640" s="2" t="s">
        <v>16</v>
      </c>
      <c r="C1640" s="2" t="s">
        <v>142</v>
      </c>
      <c r="D1640" s="2" t="s">
        <v>143</v>
      </c>
      <c r="E1640" s="2">
        <v>21.0</v>
      </c>
      <c r="F1640" s="2">
        <v>32.4795377756982</v>
      </c>
      <c r="G1640" s="2">
        <v>32.7537083939213</v>
      </c>
      <c r="H1640" s="2">
        <v>7.58003900789882</v>
      </c>
      <c r="I1640" s="2">
        <v>1433.0</v>
      </c>
      <c r="J1640" s="2">
        <v>1454.0</v>
      </c>
      <c r="K1640" s="2">
        <v>7.60138385086704</v>
      </c>
    </row>
    <row r="1641">
      <c r="A1641" s="2">
        <v>70.0</v>
      </c>
      <c r="B1641" s="2" t="s">
        <v>78</v>
      </c>
      <c r="C1641" s="2" t="s">
        <v>142</v>
      </c>
      <c r="D1641" s="2" t="s">
        <v>143</v>
      </c>
      <c r="E1641" s="2">
        <v>25.0</v>
      </c>
      <c r="F1641" s="2">
        <v>26.5541887808928</v>
      </c>
      <c r="G1641" s="2">
        <v>26.8779593469079</v>
      </c>
      <c r="H1641" s="2">
        <v>8.23183005373322</v>
      </c>
      <c r="I1641" s="2">
        <v>963.0</v>
      </c>
      <c r="J1641" s="2">
        <v>988.0</v>
      </c>
      <c r="K1641" s="2">
        <v>8.26138190836253</v>
      </c>
    </row>
    <row r="1642">
      <c r="A1642" s="2">
        <v>70.0</v>
      </c>
      <c r="B1642" s="2" t="s">
        <v>27</v>
      </c>
      <c r="C1642" s="2" t="s">
        <v>142</v>
      </c>
      <c r="D1642" s="2" t="s">
        <v>143</v>
      </c>
      <c r="E1642" s="2">
        <v>22.0</v>
      </c>
      <c r="F1642" s="2">
        <v>28.6400612427242</v>
      </c>
      <c r="G1642" s="2">
        <v>28.938469028206</v>
      </c>
      <c r="H1642" s="2">
        <v>7.90546981071238</v>
      </c>
      <c r="I1642" s="2">
        <v>1139.0</v>
      </c>
      <c r="J1642" s="2">
        <v>1161.0</v>
      </c>
      <c r="K1642" s="2">
        <v>7.93075900274757</v>
      </c>
    </row>
    <row r="1643">
      <c r="A1643" s="2">
        <v>70.0</v>
      </c>
      <c r="B1643" s="2" t="s">
        <v>99</v>
      </c>
      <c r="C1643" s="2" t="s">
        <v>144</v>
      </c>
      <c r="D1643" s="2" t="s">
        <v>145</v>
      </c>
      <c r="E1643" s="2">
        <v>-18.0</v>
      </c>
      <c r="F1643" s="2">
        <v>24.0959941873115</v>
      </c>
      <c r="G1643" s="2">
        <v>23.7862429995345</v>
      </c>
      <c r="H1643" s="2">
        <v>8.05312254110559</v>
      </c>
      <c r="I1643" s="2">
        <v>814.0</v>
      </c>
      <c r="J1643" s="2">
        <v>796.0</v>
      </c>
      <c r="K1643" s="2">
        <v>8.08030114397574</v>
      </c>
    </row>
    <row r="1644">
      <c r="A1644" s="2">
        <v>70.0</v>
      </c>
      <c r="B1644" s="2" t="s">
        <v>64</v>
      </c>
      <c r="C1644" s="2" t="s">
        <v>144</v>
      </c>
      <c r="D1644" s="2" t="s">
        <v>145</v>
      </c>
      <c r="E1644" s="2">
        <v>-17.0</v>
      </c>
      <c r="F1644" s="2">
        <v>30.0349392401571</v>
      </c>
      <c r="G1644" s="2">
        <v>29.761981522352</v>
      </c>
      <c r="H1644" s="2">
        <v>7.56337435197073</v>
      </c>
      <c r="I1644" s="2">
        <v>1269.0</v>
      </c>
      <c r="J1644" s="2">
        <v>1252.0</v>
      </c>
      <c r="K1644" s="2">
        <v>7.58452512680093</v>
      </c>
    </row>
    <row r="1645">
      <c r="A1645" s="2">
        <v>70.0</v>
      </c>
      <c r="B1645" s="2" t="s">
        <v>77</v>
      </c>
      <c r="C1645" s="2" t="s">
        <v>144</v>
      </c>
      <c r="D1645" s="2" t="s">
        <v>145</v>
      </c>
      <c r="E1645" s="2">
        <v>-18.0</v>
      </c>
      <c r="F1645" s="2">
        <v>26.0878108185139</v>
      </c>
      <c r="G1645" s="2">
        <v>25.7768023827674</v>
      </c>
      <c r="H1645" s="2">
        <v>8.0693159324522</v>
      </c>
      <c r="I1645" s="2">
        <v>948.0</v>
      </c>
      <c r="J1645" s="2">
        <v>930.0</v>
      </c>
      <c r="K1645" s="2">
        <v>8.09670564874784</v>
      </c>
    </row>
    <row r="1646">
      <c r="A1646" s="2">
        <v>70.0</v>
      </c>
      <c r="B1646" s="2" t="s">
        <v>47</v>
      </c>
      <c r="C1646" s="2" t="s">
        <v>144</v>
      </c>
      <c r="D1646" s="2" t="s">
        <v>145</v>
      </c>
      <c r="E1646" s="2">
        <v>-18.0</v>
      </c>
      <c r="F1646" s="2">
        <v>23.464076476517</v>
      </c>
      <c r="G1646" s="2">
        <v>23.1722410257107</v>
      </c>
      <c r="H1646" s="2">
        <v>7.81860305170693</v>
      </c>
      <c r="I1646" s="2">
        <v>796.0</v>
      </c>
      <c r="J1646" s="2">
        <v>778.0</v>
      </c>
      <c r="K1646" s="2">
        <v>7.84281017712862</v>
      </c>
    </row>
    <row r="1647">
      <c r="A1647" s="2">
        <v>70.0</v>
      </c>
      <c r="B1647" s="2" t="s">
        <v>41</v>
      </c>
      <c r="C1647" s="2" t="s">
        <v>144</v>
      </c>
      <c r="D1647" s="2" t="s">
        <v>145</v>
      </c>
      <c r="E1647" s="2">
        <v>-19.0</v>
      </c>
      <c r="F1647" s="2">
        <v>25.950940995953</v>
      </c>
      <c r="G1647" s="2">
        <v>25.6329722914931</v>
      </c>
      <c r="H1647" s="2">
        <v>8.15836359158669</v>
      </c>
      <c r="I1647" s="2">
        <v>930.0</v>
      </c>
      <c r="J1647" s="2">
        <v>911.0</v>
      </c>
      <c r="K1647" s="2">
        <v>8.18692818426243</v>
      </c>
    </row>
    <row r="1648">
      <c r="A1648" s="2">
        <v>70.0</v>
      </c>
      <c r="B1648" s="2" t="s">
        <v>71</v>
      </c>
      <c r="C1648" s="2" t="s">
        <v>144</v>
      </c>
      <c r="D1648" s="2" t="s">
        <v>145</v>
      </c>
      <c r="E1648" s="2">
        <v>-19.0</v>
      </c>
      <c r="F1648" s="2">
        <v>23.1634488245399</v>
      </c>
      <c r="G1648" s="2">
        <v>22.8443601532957</v>
      </c>
      <c r="H1648" s="2">
        <v>8.17259845105056</v>
      </c>
      <c r="I1648" s="2">
        <v>739.0</v>
      </c>
      <c r="J1648" s="2">
        <v>720.0</v>
      </c>
      <c r="K1648" s="2">
        <v>8.20135306009255</v>
      </c>
    </row>
    <row r="1649">
      <c r="A1649" s="2">
        <v>70.0</v>
      </c>
      <c r="B1649" s="2" t="s">
        <v>24</v>
      </c>
      <c r="C1649" s="2" t="s">
        <v>144</v>
      </c>
      <c r="D1649" s="2" t="s">
        <v>145</v>
      </c>
      <c r="E1649" s="2">
        <v>-17.0</v>
      </c>
      <c r="F1649" s="2">
        <v>21.733646473391</v>
      </c>
      <c r="G1649" s="2">
        <v>21.4487416037157</v>
      </c>
      <c r="H1649" s="2">
        <v>7.7259100555368</v>
      </c>
      <c r="I1649" s="2">
        <v>687.0</v>
      </c>
      <c r="J1649" s="2">
        <v>670.0</v>
      </c>
      <c r="K1649" s="2">
        <v>7.74898619822986</v>
      </c>
    </row>
    <row r="1650">
      <c r="A1650" s="2">
        <v>70.0</v>
      </c>
      <c r="B1650" s="2" t="s">
        <v>80</v>
      </c>
      <c r="C1650" s="2" t="s">
        <v>144</v>
      </c>
      <c r="D1650" s="2" t="s">
        <v>145</v>
      </c>
      <c r="E1650" s="2">
        <v>-19.0</v>
      </c>
      <c r="F1650" s="2">
        <v>25.5825108728911</v>
      </c>
      <c r="G1650" s="2">
        <v>25.2620168536771</v>
      </c>
      <c r="H1650" s="2">
        <v>8.19042433363424</v>
      </c>
      <c r="I1650" s="2">
        <v>901.0</v>
      </c>
      <c r="J1650" s="2">
        <v>882.0</v>
      </c>
      <c r="K1650" s="2">
        <v>8.21941775703089</v>
      </c>
    </row>
    <row r="1651">
      <c r="A1651" s="2">
        <v>70.0</v>
      </c>
      <c r="B1651" s="2" t="s">
        <v>30</v>
      </c>
      <c r="C1651" s="2" t="s">
        <v>144</v>
      </c>
      <c r="D1651" s="2" t="s">
        <v>145</v>
      </c>
      <c r="E1651" s="2">
        <v>-19.0</v>
      </c>
      <c r="F1651" s="2">
        <v>24.0554241585169</v>
      </c>
      <c r="G1651" s="2">
        <v>23.7305146821809</v>
      </c>
      <c r="H1651" s="2">
        <v>8.24617208997083</v>
      </c>
      <c r="I1651" s="2">
        <v>792.0</v>
      </c>
      <c r="J1651" s="2">
        <v>773.0</v>
      </c>
      <c r="K1651" s="2">
        <v>8.27591858934685</v>
      </c>
    </row>
    <row r="1652">
      <c r="A1652" s="2">
        <v>70.0</v>
      </c>
      <c r="B1652" s="2" t="s">
        <v>26</v>
      </c>
      <c r="C1652" s="2" t="s">
        <v>144</v>
      </c>
      <c r="D1652" s="2" t="s">
        <v>145</v>
      </c>
      <c r="E1652" s="2">
        <v>-16.0</v>
      </c>
      <c r="F1652" s="2">
        <v>27.7258082736363</v>
      </c>
      <c r="G1652" s="2">
        <v>27.4560970935198</v>
      </c>
      <c r="H1652" s="2">
        <v>7.51858146690891</v>
      </c>
      <c r="I1652" s="2">
        <v>1116.0</v>
      </c>
      <c r="J1652" s="2">
        <v>1100.0</v>
      </c>
      <c r="K1652" s="2">
        <v>7.53921433924414</v>
      </c>
    </row>
    <row r="1653">
      <c r="A1653" s="2">
        <v>69.0</v>
      </c>
      <c r="B1653" s="2" t="s">
        <v>16</v>
      </c>
      <c r="C1653" s="2" t="s">
        <v>142</v>
      </c>
      <c r="D1653" s="2" t="s">
        <v>145</v>
      </c>
      <c r="E1653" s="2">
        <v>-72.0</v>
      </c>
      <c r="F1653" s="2">
        <v>33.6012188404456</v>
      </c>
      <c r="G1653" s="2">
        <v>32.4795377756982</v>
      </c>
      <c r="H1653" s="2">
        <v>7.60138385086704</v>
      </c>
      <c r="I1653" s="2">
        <v>1505.0</v>
      </c>
      <c r="J1653" s="2">
        <v>1433.0</v>
      </c>
      <c r="K1653" s="2">
        <v>7.64906021924261</v>
      </c>
    </row>
    <row r="1654">
      <c r="A1654" s="2">
        <v>69.0</v>
      </c>
      <c r="B1654" s="2" t="s">
        <v>99</v>
      </c>
      <c r="C1654" s="2" t="s">
        <v>142</v>
      </c>
      <c r="D1654" s="2" t="s">
        <v>145</v>
      </c>
      <c r="E1654" s="2">
        <v>-81.0</v>
      </c>
      <c r="F1654" s="2">
        <v>25.3658404404358</v>
      </c>
      <c r="G1654" s="2">
        <v>24.0959941873115</v>
      </c>
      <c r="H1654" s="2">
        <v>8.08030114397574</v>
      </c>
      <c r="I1654" s="2">
        <v>895.0</v>
      </c>
      <c r="J1654" s="2">
        <v>814.0</v>
      </c>
      <c r="K1654" s="2">
        <v>8.13931632679654</v>
      </c>
    </row>
    <row r="1655">
      <c r="A1655" s="2">
        <v>69.0</v>
      </c>
      <c r="B1655" s="2" t="s">
        <v>38</v>
      </c>
      <c r="C1655" s="2" t="s">
        <v>142</v>
      </c>
      <c r="D1655" s="2" t="s">
        <v>145</v>
      </c>
      <c r="E1655" s="2">
        <v>-74.0</v>
      </c>
      <c r="F1655" s="2">
        <v>22.0846855604377</v>
      </c>
      <c r="G1655" s="2">
        <v>20.925910412411</v>
      </c>
      <c r="H1655" s="2">
        <v>7.72424399544438</v>
      </c>
      <c r="I1655" s="2">
        <v>709.0</v>
      </c>
      <c r="J1655" s="2">
        <v>635.0</v>
      </c>
      <c r="K1655" s="2">
        <v>7.77470043578346</v>
      </c>
    </row>
    <row r="1656">
      <c r="A1656" s="2">
        <v>69.0</v>
      </c>
      <c r="B1656" s="2" t="s">
        <v>39</v>
      </c>
      <c r="C1656" s="2" t="s">
        <v>144</v>
      </c>
      <c r="D1656" s="2" t="s">
        <v>143</v>
      </c>
      <c r="E1656" s="2">
        <v>94.0</v>
      </c>
      <c r="F1656" s="2">
        <v>27.6229519114694</v>
      </c>
      <c r="G1656" s="2">
        <v>28.9124074730134</v>
      </c>
      <c r="H1656" s="2">
        <v>8.14144280874864</v>
      </c>
      <c r="I1656" s="2">
        <v>1042.0</v>
      </c>
      <c r="J1656" s="2">
        <v>1136.0</v>
      </c>
      <c r="K1656" s="2">
        <v>8.20200504890779</v>
      </c>
    </row>
    <row r="1657">
      <c r="A1657" s="2">
        <v>69.0</v>
      </c>
      <c r="B1657" s="2" t="s">
        <v>23</v>
      </c>
      <c r="C1657" s="2" t="s">
        <v>144</v>
      </c>
      <c r="D1657" s="2" t="s">
        <v>143</v>
      </c>
      <c r="E1657" s="2">
        <v>82.0</v>
      </c>
      <c r="F1657" s="2">
        <v>30.4537673551028</v>
      </c>
      <c r="G1657" s="2">
        <v>31.5830588603322</v>
      </c>
      <c r="H1657" s="2">
        <v>7.62676149047269</v>
      </c>
      <c r="I1657" s="2">
        <v>1288.0</v>
      </c>
      <c r="J1657" s="2">
        <v>1370.0</v>
      </c>
      <c r="K1657" s="2">
        <v>7.67500500643665</v>
      </c>
    </row>
    <row r="1658">
      <c r="A1658" s="2">
        <v>69.0</v>
      </c>
      <c r="B1658" s="2" t="s">
        <v>41</v>
      </c>
      <c r="C1658" s="2" t="s">
        <v>144</v>
      </c>
      <c r="D1658" s="2" t="s">
        <v>143</v>
      </c>
      <c r="E1658" s="2">
        <v>95.0</v>
      </c>
      <c r="F1658" s="2">
        <v>24.6467950410632</v>
      </c>
      <c r="G1658" s="2">
        <v>25.950940995953</v>
      </c>
      <c r="H1658" s="2">
        <v>8.18692818426243</v>
      </c>
      <c r="I1658" s="2">
        <v>835.0</v>
      </c>
      <c r="J1658" s="2">
        <v>930.0</v>
      </c>
      <c r="K1658" s="2">
        <v>8.24865641547571</v>
      </c>
    </row>
    <row r="1659">
      <c r="A1659" s="2">
        <v>69.0</v>
      </c>
      <c r="B1659" s="2" t="s">
        <v>64</v>
      </c>
      <c r="C1659" s="2" t="s">
        <v>144</v>
      </c>
      <c r="D1659" s="2" t="s">
        <v>143</v>
      </c>
      <c r="E1659" s="2">
        <v>81.0</v>
      </c>
      <c r="F1659" s="2">
        <v>28.9182990603794</v>
      </c>
      <c r="G1659" s="2">
        <v>30.0349392401571</v>
      </c>
      <c r="H1659" s="2">
        <v>7.58452512680093</v>
      </c>
      <c r="I1659" s="2">
        <v>1188.0</v>
      </c>
      <c r="J1659" s="2">
        <v>1269.0</v>
      </c>
      <c r="K1659" s="2">
        <v>7.63182675709886</v>
      </c>
    </row>
    <row r="1660">
      <c r="A1660" s="2">
        <v>69.0</v>
      </c>
      <c r="B1660" s="2" t="s">
        <v>97</v>
      </c>
      <c r="C1660" s="2" t="s">
        <v>144</v>
      </c>
      <c r="D1660" s="2" t="s">
        <v>143</v>
      </c>
      <c r="E1660" s="2">
        <v>84.0</v>
      </c>
      <c r="F1660" s="2">
        <v>25.0066925517834</v>
      </c>
      <c r="G1660" s="2">
        <v>26.1658575285833</v>
      </c>
      <c r="H1660" s="2">
        <v>7.72552416724334</v>
      </c>
      <c r="I1660" s="2">
        <v>907.0</v>
      </c>
      <c r="J1660" s="2">
        <v>991.0</v>
      </c>
      <c r="K1660" s="2">
        <v>7.77601003367273</v>
      </c>
    </row>
    <row r="1661">
      <c r="A1661" s="2">
        <v>69.0</v>
      </c>
      <c r="B1661" s="2" t="s">
        <v>27</v>
      </c>
      <c r="C1661" s="2" t="s">
        <v>144</v>
      </c>
      <c r="D1661" s="2" t="s">
        <v>143</v>
      </c>
      <c r="E1661" s="2">
        <v>89.0</v>
      </c>
      <c r="F1661" s="2">
        <v>27.4175124945964</v>
      </c>
      <c r="G1661" s="2">
        <v>28.6400612427242</v>
      </c>
      <c r="H1661" s="2">
        <v>7.93075900274757</v>
      </c>
      <c r="I1661" s="2">
        <v>1050.0</v>
      </c>
      <c r="J1661" s="2">
        <v>1139.0</v>
      </c>
      <c r="K1661" s="2">
        <v>7.98608697753111</v>
      </c>
    </row>
    <row r="1662">
      <c r="A1662" s="2">
        <v>69.0</v>
      </c>
      <c r="B1662" s="2" t="s">
        <v>88</v>
      </c>
      <c r="C1662" s="2" t="s">
        <v>144</v>
      </c>
      <c r="D1662" s="2" t="s">
        <v>143</v>
      </c>
      <c r="E1662" s="2">
        <v>97.0</v>
      </c>
      <c r="F1662" s="2">
        <v>25.0</v>
      </c>
      <c r="G1662" s="2">
        <v>26.3310233622301</v>
      </c>
      <c r="H1662" s="2">
        <v>8.26945635328887</v>
      </c>
      <c r="I1662" s="2">
        <v>850.0</v>
      </c>
      <c r="J1662" s="2">
        <v>947.0</v>
      </c>
      <c r="K1662" s="2">
        <v>8.33333333333333</v>
      </c>
    </row>
    <row r="1663">
      <c r="A1663" s="2">
        <v>69.0</v>
      </c>
      <c r="B1663" s="2" t="s">
        <v>19</v>
      </c>
      <c r="C1663" s="2" t="s">
        <v>144</v>
      </c>
      <c r="D1663" s="2" t="s">
        <v>143</v>
      </c>
      <c r="E1663" s="2">
        <v>83.0</v>
      </c>
      <c r="F1663" s="2">
        <v>29.4508323524781</v>
      </c>
      <c r="G1663" s="2">
        <v>30.5932777260055</v>
      </c>
      <c r="H1663" s="2">
        <v>7.67041461379865</v>
      </c>
      <c r="I1663" s="2">
        <v>1215.0</v>
      </c>
      <c r="J1663" s="2">
        <v>1298.0</v>
      </c>
      <c r="K1663" s="2">
        <v>7.71964232067458</v>
      </c>
    </row>
    <row r="1664">
      <c r="A1664" s="2">
        <v>69.0</v>
      </c>
      <c r="B1664" s="2" t="s">
        <v>80</v>
      </c>
      <c r="C1664" s="2" t="s">
        <v>144</v>
      </c>
      <c r="D1664" s="2" t="s">
        <v>143</v>
      </c>
      <c r="E1664" s="2">
        <v>96.0</v>
      </c>
      <c r="F1664" s="2">
        <v>24.267818245546</v>
      </c>
      <c r="G1664" s="2">
        <v>25.5825108728911</v>
      </c>
      <c r="H1664" s="2">
        <v>8.21941775703089</v>
      </c>
      <c r="I1664" s="2">
        <v>805.0</v>
      </c>
      <c r="J1664" s="2">
        <v>901.0</v>
      </c>
      <c r="K1664" s="2">
        <v>8.28198677646767</v>
      </c>
    </row>
    <row r="1665">
      <c r="A1665" s="2">
        <v>69.0</v>
      </c>
      <c r="B1665" s="2" t="s">
        <v>26</v>
      </c>
      <c r="C1665" s="2" t="s">
        <v>144</v>
      </c>
      <c r="D1665" s="2" t="s">
        <v>143</v>
      </c>
      <c r="E1665" s="2">
        <v>79.0</v>
      </c>
      <c r="F1665" s="2">
        <v>26.6226576977234</v>
      </c>
      <c r="G1665" s="2">
        <v>27.7258082736363</v>
      </c>
      <c r="H1665" s="2">
        <v>7.53921433924414</v>
      </c>
      <c r="I1665" s="2">
        <v>1037.0</v>
      </c>
      <c r="J1665" s="2">
        <v>1116.0</v>
      </c>
      <c r="K1665" s="2">
        <v>7.58551676974223</v>
      </c>
    </row>
    <row r="1666">
      <c r="A1666" s="2">
        <v>69.0</v>
      </c>
      <c r="B1666" s="2" t="s">
        <v>77</v>
      </c>
      <c r="C1666" s="2" t="s">
        <v>144</v>
      </c>
      <c r="D1666" s="2" t="s">
        <v>143</v>
      </c>
      <c r="E1666" s="2">
        <v>93.0</v>
      </c>
      <c r="F1666" s="2">
        <v>24.8127188022083</v>
      </c>
      <c r="G1666" s="2">
        <v>26.0878108185139</v>
      </c>
      <c r="H1666" s="2">
        <v>8.09670564874784</v>
      </c>
      <c r="I1666" s="2">
        <v>855.0</v>
      </c>
      <c r="J1666" s="2">
        <v>948.0</v>
      </c>
      <c r="K1666" s="2">
        <v>8.1561336408411</v>
      </c>
    </row>
    <row r="1667">
      <c r="A1667" s="2">
        <v>68.0</v>
      </c>
      <c r="B1667" s="2" t="s">
        <v>53</v>
      </c>
      <c r="C1667" s="2" t="s">
        <v>142</v>
      </c>
      <c r="D1667" s="2" t="s">
        <v>143</v>
      </c>
      <c r="E1667" s="2">
        <v>67.0</v>
      </c>
      <c r="F1667" s="2">
        <v>27.4855968488769</v>
      </c>
      <c r="G1667" s="2">
        <v>28.3976313450147</v>
      </c>
      <c r="H1667" s="2">
        <v>7.99674546475772</v>
      </c>
      <c r="I1667" s="2">
        <v>1048.0</v>
      </c>
      <c r="J1667" s="2">
        <v>1115.0</v>
      </c>
      <c r="K1667" s="2">
        <v>8.05046137568482</v>
      </c>
    </row>
    <row r="1668">
      <c r="A1668" s="2">
        <v>68.0</v>
      </c>
      <c r="B1668" s="2" t="s">
        <v>27</v>
      </c>
      <c r="C1668" s="2" t="s">
        <v>142</v>
      </c>
      <c r="D1668" s="2" t="s">
        <v>143</v>
      </c>
      <c r="E1668" s="2">
        <v>67.0</v>
      </c>
      <c r="F1668" s="2">
        <v>26.5079442094009</v>
      </c>
      <c r="G1668" s="2">
        <v>27.4175124945964</v>
      </c>
      <c r="H1668" s="2">
        <v>7.98608697753111</v>
      </c>
      <c r="I1668" s="2">
        <v>983.0</v>
      </c>
      <c r="J1668" s="2">
        <v>1050.0</v>
      </c>
      <c r="K1668" s="2">
        <v>8.0395543407447</v>
      </c>
    </row>
    <row r="1669">
      <c r="A1669" s="2">
        <v>68.0</v>
      </c>
      <c r="B1669" s="2" t="s">
        <v>97</v>
      </c>
      <c r="C1669" s="2" t="s">
        <v>142</v>
      </c>
      <c r="D1669" s="2" t="s">
        <v>143</v>
      </c>
      <c r="E1669" s="2">
        <v>63.0</v>
      </c>
      <c r="F1669" s="2">
        <v>24.1450215674304</v>
      </c>
      <c r="G1669" s="2">
        <v>25.0066925517834</v>
      </c>
      <c r="H1669" s="2">
        <v>7.77601003367273</v>
      </c>
      <c r="I1669" s="2">
        <v>844.0</v>
      </c>
      <c r="J1669" s="2">
        <v>907.0</v>
      </c>
      <c r="K1669" s="2">
        <v>7.82470993152922</v>
      </c>
    </row>
    <row r="1670">
      <c r="A1670" s="2">
        <v>68.0</v>
      </c>
      <c r="B1670" s="2" t="s">
        <v>83</v>
      </c>
      <c r="C1670" s="2" t="s">
        <v>144</v>
      </c>
      <c r="D1670" s="2" t="s">
        <v>145</v>
      </c>
      <c r="E1670" s="2">
        <v>-57.0</v>
      </c>
      <c r="F1670" s="2">
        <v>28.5960169350924</v>
      </c>
      <c r="G1670" s="2">
        <v>27.6798703019774</v>
      </c>
      <c r="H1670" s="2">
        <v>8.01448387321874</v>
      </c>
      <c r="I1670" s="2">
        <v>1122.0</v>
      </c>
      <c r="J1670" s="2">
        <v>1065.0</v>
      </c>
      <c r="K1670" s="2">
        <v>8.06861487592853</v>
      </c>
    </row>
    <row r="1671">
      <c r="A1671" s="2">
        <v>68.0</v>
      </c>
      <c r="B1671" s="2" t="s">
        <v>23</v>
      </c>
      <c r="C1671" s="2" t="s">
        <v>144</v>
      </c>
      <c r="D1671" s="2" t="s">
        <v>145</v>
      </c>
      <c r="E1671" s="2">
        <v>-52.0</v>
      </c>
      <c r="F1671" s="2">
        <v>31.2928901087864</v>
      </c>
      <c r="G1671" s="2">
        <v>30.4537673551028</v>
      </c>
      <c r="H1671" s="2">
        <v>7.67500500643665</v>
      </c>
      <c r="I1671" s="2">
        <v>1340.0</v>
      </c>
      <c r="J1671" s="2">
        <v>1288.0</v>
      </c>
      <c r="K1671" s="2">
        <v>7.72150014272364</v>
      </c>
    </row>
    <row r="1672">
      <c r="A1672" s="2">
        <v>68.0</v>
      </c>
      <c r="B1672" s="2" t="s">
        <v>24</v>
      </c>
      <c r="C1672" s="2" t="s">
        <v>144</v>
      </c>
      <c r="D1672" s="2" t="s">
        <v>145</v>
      </c>
      <c r="E1672" s="2">
        <v>-54.0</v>
      </c>
      <c r="F1672" s="2">
        <v>22.5892541535788</v>
      </c>
      <c r="G1672" s="2">
        <v>21.733646473391</v>
      </c>
      <c r="H1672" s="2">
        <v>7.74898619822986</v>
      </c>
      <c r="I1672" s="2">
        <v>741.0</v>
      </c>
      <c r="J1672" s="2">
        <v>687.0</v>
      </c>
      <c r="K1672" s="2">
        <v>7.79709072383951</v>
      </c>
    </row>
    <row r="1673">
      <c r="A1673" s="2">
        <v>68.0</v>
      </c>
      <c r="B1673" s="2" t="s">
        <v>19</v>
      </c>
      <c r="C1673" s="2" t="s">
        <v>144</v>
      </c>
      <c r="D1673" s="2" t="s">
        <v>145</v>
      </c>
      <c r="E1673" s="2">
        <v>-53.0</v>
      </c>
      <c r="F1673" s="2">
        <v>30.2998814572283</v>
      </c>
      <c r="G1673" s="2">
        <v>29.4508323524781</v>
      </c>
      <c r="H1673" s="2">
        <v>7.71964232067458</v>
      </c>
      <c r="I1673" s="2">
        <v>1268.0</v>
      </c>
      <c r="J1673" s="2">
        <v>1215.0</v>
      </c>
      <c r="K1673" s="2">
        <v>7.76710491352165</v>
      </c>
    </row>
    <row r="1674">
      <c r="A1674" s="2">
        <v>68.0</v>
      </c>
      <c r="B1674" s="2" t="s">
        <v>67</v>
      </c>
      <c r="C1674" s="2" t="s">
        <v>144</v>
      </c>
      <c r="D1674" s="2" t="s">
        <v>145</v>
      </c>
      <c r="E1674" s="2">
        <v>-55.0</v>
      </c>
      <c r="F1674" s="2">
        <v>23.5983216507644</v>
      </c>
      <c r="G1674" s="2">
        <v>22.6991172516359</v>
      </c>
      <c r="H1674" s="2">
        <v>7.9411303077882</v>
      </c>
      <c r="I1674" s="2">
        <v>789.0</v>
      </c>
      <c r="J1674" s="2">
        <v>734.0</v>
      </c>
      <c r="K1674" s="2">
        <v>7.99355646366102</v>
      </c>
    </row>
    <row r="1675">
      <c r="A1675" s="2">
        <v>68.0</v>
      </c>
      <c r="B1675" s="2" t="s">
        <v>124</v>
      </c>
      <c r="C1675" s="2" t="s">
        <v>144</v>
      </c>
      <c r="D1675" s="2" t="s">
        <v>145</v>
      </c>
      <c r="E1675" s="2">
        <v>-58.0</v>
      </c>
      <c r="F1675" s="2">
        <v>22.6489226804138</v>
      </c>
      <c r="G1675" s="2">
        <v>21.6999256255512</v>
      </c>
      <c r="H1675" s="2">
        <v>8.15471938456334</v>
      </c>
      <c r="I1675" s="2">
        <v>702.0</v>
      </c>
      <c r="J1675" s="2">
        <v>644.0</v>
      </c>
      <c r="K1675" s="2">
        <v>8.21219617090273</v>
      </c>
    </row>
    <row r="1676">
      <c r="A1676" s="2">
        <v>68.0</v>
      </c>
      <c r="B1676" s="2" t="s">
        <v>18</v>
      </c>
      <c r="C1676" s="2" t="s">
        <v>144</v>
      </c>
      <c r="D1676" s="2" t="s">
        <v>145</v>
      </c>
      <c r="E1676" s="2">
        <v>-53.0</v>
      </c>
      <c r="F1676" s="2">
        <v>28.195561742326</v>
      </c>
      <c r="G1676" s="2">
        <v>27.3448468863479</v>
      </c>
      <c r="H1676" s="2">
        <v>7.72710625820324</v>
      </c>
      <c r="I1676" s="2">
        <v>1124.0</v>
      </c>
      <c r="J1676" s="2">
        <v>1071.0</v>
      </c>
      <c r="K1676" s="2">
        <v>7.77473168538647</v>
      </c>
    </row>
    <row r="1677">
      <c r="A1677" s="2">
        <v>68.0</v>
      </c>
      <c r="B1677" s="2" t="s">
        <v>47</v>
      </c>
      <c r="C1677" s="2" t="s">
        <v>144</v>
      </c>
      <c r="D1677" s="2" t="s">
        <v>145</v>
      </c>
      <c r="E1677" s="2">
        <v>-54.0</v>
      </c>
      <c r="F1677" s="2">
        <v>24.3408311793184</v>
      </c>
      <c r="G1677" s="2">
        <v>23.464076476517</v>
      </c>
      <c r="H1677" s="2">
        <v>7.84281017712862</v>
      </c>
      <c r="I1677" s="2">
        <v>850.0</v>
      </c>
      <c r="J1677" s="2">
        <v>796.0</v>
      </c>
      <c r="K1677" s="2">
        <v>7.89299914701772</v>
      </c>
    </row>
    <row r="1678">
      <c r="A1678" s="2">
        <v>68.0</v>
      </c>
      <c r="B1678" s="2" t="s">
        <v>16</v>
      </c>
      <c r="C1678" s="2" t="s">
        <v>144</v>
      </c>
      <c r="D1678" s="2" t="s">
        <v>145</v>
      </c>
      <c r="E1678" s="2">
        <v>-52.0</v>
      </c>
      <c r="F1678" s="2">
        <v>34.4345999872136</v>
      </c>
      <c r="G1678" s="2">
        <v>33.6012188404456</v>
      </c>
      <c r="H1678" s="2">
        <v>7.64906021924261</v>
      </c>
      <c r="I1678" s="2">
        <v>1557.0</v>
      </c>
      <c r="J1678" s="2">
        <v>1505.0</v>
      </c>
      <c r="K1678" s="2">
        <v>7.69499801924069</v>
      </c>
    </row>
    <row r="1679">
      <c r="A1679" s="2">
        <v>68.0</v>
      </c>
      <c r="B1679" s="2" t="s">
        <v>32</v>
      </c>
      <c r="C1679" s="2" t="s">
        <v>144</v>
      </c>
      <c r="D1679" s="2" t="s">
        <v>145</v>
      </c>
      <c r="E1679" s="2">
        <v>-53.0</v>
      </c>
      <c r="F1679" s="2">
        <v>27.190366404947</v>
      </c>
      <c r="G1679" s="2">
        <v>26.3334309875674</v>
      </c>
      <c r="H1679" s="2">
        <v>7.75491237161758</v>
      </c>
      <c r="I1679" s="2">
        <v>1053.0</v>
      </c>
      <c r="J1679" s="2">
        <v>1000.0</v>
      </c>
      <c r="K1679" s="2">
        <v>7.80314711411403</v>
      </c>
    </row>
    <row r="1680">
      <c r="A1680" s="2">
        <v>67.0</v>
      </c>
      <c r="B1680" s="2" t="s">
        <v>23</v>
      </c>
      <c r="C1680" s="2" t="s">
        <v>142</v>
      </c>
      <c r="D1680" s="2" t="s">
        <v>145</v>
      </c>
      <c r="E1680" s="2">
        <v>-79.0</v>
      </c>
      <c r="F1680" s="2">
        <v>32.5338601385527</v>
      </c>
      <c r="G1680" s="2">
        <v>31.2928901087864</v>
      </c>
      <c r="H1680" s="2">
        <v>7.72150014272364</v>
      </c>
      <c r="I1680" s="2">
        <v>1419.0</v>
      </c>
      <c r="J1680" s="2">
        <v>1340.0</v>
      </c>
      <c r="K1680" s="2">
        <v>7.77300049411759</v>
      </c>
    </row>
    <row r="1681">
      <c r="A1681" s="2">
        <v>67.0</v>
      </c>
      <c r="B1681" s="2" t="s">
        <v>124</v>
      </c>
      <c r="C1681" s="2" t="s">
        <v>142</v>
      </c>
      <c r="D1681" s="2" t="s">
        <v>145</v>
      </c>
      <c r="E1681" s="2">
        <v>-90.0</v>
      </c>
      <c r="F1681" s="2">
        <v>24.0554241585169</v>
      </c>
      <c r="G1681" s="2">
        <v>22.6489226804138</v>
      </c>
      <c r="H1681" s="2">
        <v>8.21219617090273</v>
      </c>
      <c r="I1681" s="2">
        <v>792.0</v>
      </c>
      <c r="J1681" s="2">
        <v>702.0</v>
      </c>
      <c r="K1681" s="2">
        <v>8.27591858934685</v>
      </c>
    </row>
    <row r="1682">
      <c r="A1682" s="2">
        <v>67.0</v>
      </c>
      <c r="B1682" s="2" t="s">
        <v>97</v>
      </c>
      <c r="C1682" s="2" t="s">
        <v>142</v>
      </c>
      <c r="D1682" s="2" t="s">
        <v>145</v>
      </c>
      <c r="E1682" s="2">
        <v>-81.0</v>
      </c>
      <c r="F1682" s="2">
        <v>25.4199072073494</v>
      </c>
      <c r="G1682" s="2">
        <v>24.1450215674304</v>
      </c>
      <c r="H1682" s="2">
        <v>7.82470993152922</v>
      </c>
      <c r="I1682" s="2">
        <v>925.0</v>
      </c>
      <c r="J1682" s="2">
        <v>844.0</v>
      </c>
      <c r="K1682" s="2">
        <v>7.87865835063158</v>
      </c>
    </row>
    <row r="1683">
      <c r="A1683" s="2">
        <v>67.0</v>
      </c>
      <c r="B1683" s="2" t="s">
        <v>18</v>
      </c>
      <c r="C1683" s="2" t="s">
        <v>144</v>
      </c>
      <c r="D1683" s="2" t="s">
        <v>143</v>
      </c>
      <c r="E1683" s="2">
        <v>91.0</v>
      </c>
      <c r="F1683" s="2">
        <v>26.937159113893</v>
      </c>
      <c r="G1683" s="2">
        <v>28.195561742326</v>
      </c>
      <c r="H1683" s="2">
        <v>7.77473168538647</v>
      </c>
      <c r="I1683" s="2">
        <v>1033.0</v>
      </c>
      <c r="J1683" s="2">
        <v>1124.0</v>
      </c>
      <c r="K1683" s="2">
        <v>7.8274866922439</v>
      </c>
    </row>
    <row r="1684">
      <c r="A1684" s="2">
        <v>67.0</v>
      </c>
      <c r="B1684" s="2" t="s">
        <v>47</v>
      </c>
      <c r="C1684" s="2" t="s">
        <v>144</v>
      </c>
      <c r="D1684" s="2" t="s">
        <v>143</v>
      </c>
      <c r="E1684" s="2">
        <v>94.0</v>
      </c>
      <c r="F1684" s="2">
        <v>23.0432419051791</v>
      </c>
      <c r="G1684" s="2">
        <v>24.3408311793184</v>
      </c>
      <c r="H1684" s="2">
        <v>7.89299914701772</v>
      </c>
      <c r="I1684" s="2">
        <v>756.0</v>
      </c>
      <c r="J1684" s="2">
        <v>850.0</v>
      </c>
      <c r="K1684" s="2">
        <v>7.94860262230463</v>
      </c>
    </row>
    <row r="1685">
      <c r="A1685" s="2">
        <v>67.0</v>
      </c>
      <c r="B1685" s="2" t="s">
        <v>53</v>
      </c>
      <c r="C1685" s="2" t="s">
        <v>144</v>
      </c>
      <c r="D1685" s="2" t="s">
        <v>143</v>
      </c>
      <c r="E1685" s="2">
        <v>98.0</v>
      </c>
      <c r="F1685" s="2">
        <v>26.1348561423519</v>
      </c>
      <c r="G1685" s="2">
        <v>27.4855968488769</v>
      </c>
      <c r="H1685" s="2">
        <v>8.05046137568482</v>
      </c>
      <c r="I1685" s="2">
        <v>950.0</v>
      </c>
      <c r="J1685" s="2">
        <v>1048.0</v>
      </c>
      <c r="K1685" s="2">
        <v>8.10999016973352</v>
      </c>
    </row>
    <row r="1686">
      <c r="A1686" s="2">
        <v>67.0</v>
      </c>
      <c r="B1686" s="2" t="s">
        <v>19</v>
      </c>
      <c r="C1686" s="2" t="s">
        <v>144</v>
      </c>
      <c r="D1686" s="2" t="s">
        <v>143</v>
      </c>
      <c r="E1686" s="2">
        <v>91.0</v>
      </c>
      <c r="F1686" s="2">
        <v>29.0439842980178</v>
      </c>
      <c r="G1686" s="2">
        <v>30.2998814572283</v>
      </c>
      <c r="H1686" s="2">
        <v>7.76710491352165</v>
      </c>
      <c r="I1686" s="2">
        <v>1177.0</v>
      </c>
      <c r="J1686" s="2">
        <v>1268.0</v>
      </c>
      <c r="K1686" s="2">
        <v>7.81967912161225</v>
      </c>
    </row>
    <row r="1687">
      <c r="A1687" s="2">
        <v>67.0</v>
      </c>
      <c r="B1687" s="2" t="s">
        <v>60</v>
      </c>
      <c r="C1687" s="2" t="s">
        <v>144</v>
      </c>
      <c r="D1687" s="2" t="s">
        <v>143</v>
      </c>
      <c r="E1687" s="2">
        <v>104.0</v>
      </c>
      <c r="F1687" s="2">
        <v>25.0</v>
      </c>
      <c r="G1687" s="2">
        <v>26.4260588714491</v>
      </c>
      <c r="H1687" s="2">
        <v>8.26812188715467</v>
      </c>
      <c r="I1687" s="2">
        <v>850.0</v>
      </c>
      <c r="J1687" s="2">
        <v>954.0</v>
      </c>
      <c r="K1687" s="2">
        <v>8.33333333333333</v>
      </c>
    </row>
    <row r="1688">
      <c r="A1688" s="2">
        <v>67.0</v>
      </c>
      <c r="B1688" s="2" t="s">
        <v>16</v>
      </c>
      <c r="C1688" s="2" t="s">
        <v>144</v>
      </c>
      <c r="D1688" s="2" t="s">
        <v>143</v>
      </c>
      <c r="E1688" s="2">
        <v>89.0</v>
      </c>
      <c r="F1688" s="2">
        <v>33.2022616402093</v>
      </c>
      <c r="G1688" s="2">
        <v>34.4345999872136</v>
      </c>
      <c r="H1688" s="2">
        <v>7.69499801924069</v>
      </c>
      <c r="I1688" s="2">
        <v>1468.0</v>
      </c>
      <c r="J1688" s="2">
        <v>1557.0</v>
      </c>
      <c r="K1688" s="2">
        <v>7.74587999885548</v>
      </c>
    </row>
    <row r="1689">
      <c r="A1689" s="2">
        <v>67.0</v>
      </c>
      <c r="B1689" s="2" t="s">
        <v>55</v>
      </c>
      <c r="C1689" s="2" t="s">
        <v>144</v>
      </c>
      <c r="D1689" s="2" t="s">
        <v>143</v>
      </c>
      <c r="E1689" s="2">
        <v>93.0</v>
      </c>
      <c r="F1689" s="2">
        <v>26.7529225971842</v>
      </c>
      <c r="G1689" s="2">
        <v>28.0459811454124</v>
      </c>
      <c r="H1689" s="2">
        <v>7.87942166758777</v>
      </c>
      <c r="I1689" s="2">
        <v>1010.0</v>
      </c>
      <c r="J1689" s="2">
        <v>1103.0</v>
      </c>
      <c r="K1689" s="2">
        <v>7.93469382164342</v>
      </c>
    </row>
    <row r="1690">
      <c r="A1690" s="2">
        <v>67.0</v>
      </c>
      <c r="B1690" s="2" t="s">
        <v>32</v>
      </c>
      <c r="C1690" s="2" t="s">
        <v>144</v>
      </c>
      <c r="D1690" s="2" t="s">
        <v>143</v>
      </c>
      <c r="E1690" s="2">
        <v>92.0</v>
      </c>
      <c r="F1690" s="2">
        <v>25.922606029312</v>
      </c>
      <c r="G1690" s="2">
        <v>27.190366404947</v>
      </c>
      <c r="H1690" s="2">
        <v>7.80314711411403</v>
      </c>
      <c r="I1690" s="2">
        <v>961.0</v>
      </c>
      <c r="J1690" s="2">
        <v>1053.0</v>
      </c>
      <c r="K1690" s="2">
        <v>7.85657880056369</v>
      </c>
    </row>
    <row r="1691">
      <c r="A1691" s="2">
        <v>67.0</v>
      </c>
      <c r="B1691" s="2" t="s">
        <v>31</v>
      </c>
      <c r="C1691" s="2" t="s">
        <v>144</v>
      </c>
      <c r="D1691" s="2" t="s">
        <v>143</v>
      </c>
      <c r="E1691" s="2">
        <v>99.0</v>
      </c>
      <c r="F1691" s="2">
        <v>26.3447292311311</v>
      </c>
      <c r="G1691" s="2">
        <v>27.7117517499523</v>
      </c>
      <c r="H1691" s="2">
        <v>8.09804375532942</v>
      </c>
      <c r="I1691" s="2">
        <v>959.0</v>
      </c>
      <c r="J1691" s="2">
        <v>1058.0</v>
      </c>
      <c r="K1691" s="2">
        <v>8.15878910106481</v>
      </c>
    </row>
    <row r="1692">
      <c r="A1692" s="2">
        <v>67.0</v>
      </c>
      <c r="B1692" s="2" t="s">
        <v>26</v>
      </c>
      <c r="C1692" s="2" t="s">
        <v>144</v>
      </c>
      <c r="D1692" s="2" t="s">
        <v>143</v>
      </c>
      <c r="E1692" s="2">
        <v>87.0</v>
      </c>
      <c r="F1692" s="2">
        <v>25.4256437112752</v>
      </c>
      <c r="G1692" s="2">
        <v>26.6226576977234</v>
      </c>
      <c r="H1692" s="2">
        <v>7.58551676974223</v>
      </c>
      <c r="I1692" s="2">
        <v>950.0</v>
      </c>
      <c r="J1692" s="2">
        <v>1037.0</v>
      </c>
      <c r="K1692" s="2">
        <v>7.63388798361939</v>
      </c>
    </row>
    <row r="1693">
      <c r="A1693" s="2">
        <v>67.0</v>
      </c>
      <c r="B1693" s="2" t="s">
        <v>87</v>
      </c>
      <c r="C1693" s="2" t="s">
        <v>144</v>
      </c>
      <c r="D1693" s="2" t="s">
        <v>143</v>
      </c>
      <c r="E1693" s="2">
        <v>101.0</v>
      </c>
      <c r="F1693" s="2">
        <v>25.2727187611963</v>
      </c>
      <c r="G1693" s="2">
        <v>26.6670623047574</v>
      </c>
      <c r="H1693" s="2">
        <v>8.1772233313965</v>
      </c>
      <c r="I1693" s="2">
        <v>878.0</v>
      </c>
      <c r="J1693" s="2">
        <v>979.0</v>
      </c>
      <c r="K1693" s="2">
        <v>8.24002482982114</v>
      </c>
    </row>
    <row r="1694">
      <c r="A1694" s="2">
        <v>66.0</v>
      </c>
      <c r="B1694" s="2" t="s">
        <v>23</v>
      </c>
      <c r="C1694" s="2" t="s">
        <v>142</v>
      </c>
      <c r="D1694" s="2" t="s">
        <v>143</v>
      </c>
      <c r="E1694" s="2">
        <v>25.0</v>
      </c>
      <c r="F1694" s="2">
        <v>32.1976879915869</v>
      </c>
      <c r="G1694" s="2">
        <v>32.5338601385527</v>
      </c>
      <c r="H1694" s="2">
        <v>7.77300049411759</v>
      </c>
      <c r="I1694" s="2">
        <v>1394.0</v>
      </c>
      <c r="J1694" s="2">
        <v>1419.0</v>
      </c>
      <c r="K1694" s="2">
        <v>7.7996085170221</v>
      </c>
    </row>
    <row r="1695">
      <c r="A1695" s="2">
        <v>66.0</v>
      </c>
      <c r="B1695" s="2" t="s">
        <v>41</v>
      </c>
      <c r="C1695" s="2" t="s">
        <v>142</v>
      </c>
      <c r="D1695" s="2" t="s">
        <v>143</v>
      </c>
      <c r="E1695" s="2">
        <v>30.0</v>
      </c>
      <c r="F1695" s="2">
        <v>24.267818245546</v>
      </c>
      <c r="G1695" s="2">
        <v>24.6467950410632</v>
      </c>
      <c r="H1695" s="2">
        <v>8.24865641547571</v>
      </c>
      <c r="I1695" s="2">
        <v>805.0</v>
      </c>
      <c r="J1695" s="2">
        <v>835.0</v>
      </c>
      <c r="K1695" s="2">
        <v>8.28198677646767</v>
      </c>
    </row>
    <row r="1696">
      <c r="A1696" s="2">
        <v>66.0</v>
      </c>
      <c r="B1696" s="2" t="s">
        <v>83</v>
      </c>
      <c r="C1696" s="2" t="s">
        <v>142</v>
      </c>
      <c r="D1696" s="2" t="s">
        <v>143</v>
      </c>
      <c r="E1696" s="2">
        <v>28.0</v>
      </c>
      <c r="F1696" s="2">
        <v>28.23355204466</v>
      </c>
      <c r="G1696" s="2">
        <v>28.5960169350924</v>
      </c>
      <c r="H1696" s="2">
        <v>8.06861487592853</v>
      </c>
      <c r="I1696" s="2">
        <v>1094.0</v>
      </c>
      <c r="J1696" s="2">
        <v>1122.0</v>
      </c>
      <c r="K1696" s="2">
        <v>8.09931362211655</v>
      </c>
    </row>
    <row r="1697">
      <c r="A1697" s="2">
        <v>66.0</v>
      </c>
      <c r="B1697" s="2" t="s">
        <v>22</v>
      </c>
      <c r="C1697" s="2" t="s">
        <v>144</v>
      </c>
      <c r="D1697" s="2" t="s">
        <v>145</v>
      </c>
      <c r="E1697" s="2">
        <v>-20.0</v>
      </c>
      <c r="F1697" s="2">
        <v>22.3346121476319</v>
      </c>
      <c r="G1697" s="2">
        <v>21.997625144505</v>
      </c>
      <c r="H1697" s="2">
        <v>7.78233664382065</v>
      </c>
      <c r="I1697" s="2">
        <v>722.0</v>
      </c>
      <c r="J1697" s="2">
        <v>702.0</v>
      </c>
      <c r="K1697" s="2">
        <v>7.80906959774633</v>
      </c>
    </row>
    <row r="1698">
      <c r="A1698" s="2">
        <v>66.0</v>
      </c>
      <c r="B1698" s="2" t="s">
        <v>99</v>
      </c>
      <c r="C1698" s="2" t="s">
        <v>144</v>
      </c>
      <c r="D1698" s="2" t="s">
        <v>145</v>
      </c>
      <c r="E1698" s="2">
        <v>-22.0</v>
      </c>
      <c r="F1698" s="2">
        <v>25.7347444005578</v>
      </c>
      <c r="G1698" s="2">
        <v>25.3658404404358</v>
      </c>
      <c r="H1698" s="2">
        <v>8.13931632679654</v>
      </c>
      <c r="I1698" s="2">
        <v>917.0</v>
      </c>
      <c r="J1698" s="2">
        <v>895.0</v>
      </c>
      <c r="K1698" s="2">
        <v>8.17103558557489</v>
      </c>
    </row>
    <row r="1699">
      <c r="A1699" s="2">
        <v>66.0</v>
      </c>
      <c r="B1699" s="2" t="s">
        <v>71</v>
      </c>
      <c r="C1699" s="2" t="s">
        <v>144</v>
      </c>
      <c r="D1699" s="2" t="s">
        <v>145</v>
      </c>
      <c r="E1699" s="2">
        <v>-22.0</v>
      </c>
      <c r="F1699" s="2">
        <v>23.5380507287392</v>
      </c>
      <c r="G1699" s="2">
        <v>23.1634488245399</v>
      </c>
      <c r="H1699" s="2">
        <v>8.20135306009255</v>
      </c>
      <c r="I1699" s="2">
        <v>761.0</v>
      </c>
      <c r="J1699" s="2">
        <v>739.0</v>
      </c>
      <c r="K1699" s="2">
        <v>8.23398148087694</v>
      </c>
    </row>
    <row r="1700">
      <c r="A1700" s="2">
        <v>66.0</v>
      </c>
      <c r="B1700" s="2" t="s">
        <v>26</v>
      </c>
      <c r="C1700" s="2" t="s">
        <v>144</v>
      </c>
      <c r="D1700" s="2" t="s">
        <v>145</v>
      </c>
      <c r="E1700" s="2">
        <v>-20.0</v>
      </c>
      <c r="F1700" s="2">
        <v>25.7497938985702</v>
      </c>
      <c r="G1700" s="2">
        <v>25.4256437112752</v>
      </c>
      <c r="H1700" s="2">
        <v>7.63388798361939</v>
      </c>
      <c r="I1700" s="2">
        <v>970.0</v>
      </c>
      <c r="J1700" s="2">
        <v>950.0</v>
      </c>
      <c r="K1700" s="2">
        <v>7.6586666068129</v>
      </c>
    </row>
    <row r="1701">
      <c r="A1701" s="2">
        <v>66.0</v>
      </c>
      <c r="B1701" s="2" t="s">
        <v>64</v>
      </c>
      <c r="C1701" s="2" t="s">
        <v>144</v>
      </c>
      <c r="D1701" s="2" t="s">
        <v>145</v>
      </c>
      <c r="E1701" s="2">
        <v>-20.0</v>
      </c>
      <c r="F1701" s="2">
        <v>29.2422728046845</v>
      </c>
      <c r="G1701" s="2">
        <v>28.9182990603794</v>
      </c>
      <c r="H1701" s="2">
        <v>7.63182675709886</v>
      </c>
      <c r="I1701" s="2">
        <v>1208.0</v>
      </c>
      <c r="J1701" s="2">
        <v>1188.0</v>
      </c>
      <c r="K1701" s="2">
        <v>7.6565787227973</v>
      </c>
    </row>
    <row r="1702">
      <c r="A1702" s="2">
        <v>66.0</v>
      </c>
      <c r="B1702" s="2" t="s">
        <v>24</v>
      </c>
      <c r="C1702" s="2" t="s">
        <v>144</v>
      </c>
      <c r="D1702" s="2" t="s">
        <v>145</v>
      </c>
      <c r="E1702" s="2">
        <v>-20.0</v>
      </c>
      <c r="F1702" s="2">
        <v>22.9275309503503</v>
      </c>
      <c r="G1702" s="2">
        <v>22.5892541535788</v>
      </c>
      <c r="H1702" s="2">
        <v>7.79709072383951</v>
      </c>
      <c r="I1702" s="2">
        <v>761.0</v>
      </c>
      <c r="J1702" s="2">
        <v>741.0</v>
      </c>
      <c r="K1702" s="2">
        <v>7.82402166660461</v>
      </c>
    </row>
    <row r="1703">
      <c r="A1703" s="2">
        <v>66.0</v>
      </c>
      <c r="B1703" s="2" t="s">
        <v>38</v>
      </c>
      <c r="C1703" s="2" t="s">
        <v>144</v>
      </c>
      <c r="D1703" s="2" t="s">
        <v>145</v>
      </c>
      <c r="E1703" s="2">
        <v>-20.0</v>
      </c>
      <c r="F1703" s="2">
        <v>22.4210060024575</v>
      </c>
      <c r="G1703" s="2">
        <v>22.0846855604377</v>
      </c>
      <c r="H1703" s="2">
        <v>7.77470043578346</v>
      </c>
      <c r="I1703" s="2">
        <v>729.0</v>
      </c>
      <c r="J1703" s="2">
        <v>709.0</v>
      </c>
      <c r="K1703" s="2">
        <v>7.80133118597678</v>
      </c>
    </row>
    <row r="1704">
      <c r="A1704" s="2">
        <v>66.0</v>
      </c>
      <c r="B1704" s="2" t="s">
        <v>97</v>
      </c>
      <c r="C1704" s="2" t="s">
        <v>144</v>
      </c>
      <c r="D1704" s="2" t="s">
        <v>145</v>
      </c>
      <c r="E1704" s="2">
        <v>-21.0</v>
      </c>
      <c r="F1704" s="2">
        <v>25.7653602088458</v>
      </c>
      <c r="G1704" s="2">
        <v>25.4199072073494</v>
      </c>
      <c r="H1704" s="2">
        <v>7.87865835063158</v>
      </c>
      <c r="I1704" s="2">
        <v>946.0</v>
      </c>
      <c r="J1704" s="2">
        <v>925.0</v>
      </c>
      <c r="K1704" s="2">
        <v>7.90669628417275</v>
      </c>
    </row>
    <row r="1705">
      <c r="A1705" s="2">
        <v>66.0</v>
      </c>
      <c r="B1705" s="2" t="s">
        <v>32</v>
      </c>
      <c r="C1705" s="2" t="s">
        <v>144</v>
      </c>
      <c r="D1705" s="2" t="s">
        <v>145</v>
      </c>
      <c r="E1705" s="2">
        <v>-21.0</v>
      </c>
      <c r="F1705" s="2">
        <v>26.2661088761511</v>
      </c>
      <c r="G1705" s="2">
        <v>25.922606029312</v>
      </c>
      <c r="H1705" s="2">
        <v>7.85657880056369</v>
      </c>
      <c r="I1705" s="2">
        <v>982.0</v>
      </c>
      <c r="J1705" s="2">
        <v>961.0</v>
      </c>
      <c r="K1705" s="2">
        <v>7.88431499854336</v>
      </c>
    </row>
    <row r="1706">
      <c r="A1706" s="2">
        <v>66.0</v>
      </c>
      <c r="B1706" s="2" t="s">
        <v>47</v>
      </c>
      <c r="C1706" s="2" t="s">
        <v>144</v>
      </c>
      <c r="D1706" s="2" t="s">
        <v>145</v>
      </c>
      <c r="E1706" s="2">
        <v>-21.0</v>
      </c>
      <c r="F1706" s="2">
        <v>23.3949100664963</v>
      </c>
      <c r="G1706" s="2">
        <v>23.0432419051791</v>
      </c>
      <c r="H1706" s="2">
        <v>7.94860262230463</v>
      </c>
      <c r="I1706" s="2">
        <v>777.0</v>
      </c>
      <c r="J1706" s="2">
        <v>756.0</v>
      </c>
      <c r="K1706" s="2">
        <v>7.97760670412844</v>
      </c>
    </row>
    <row r="1707">
      <c r="A1707" s="2">
        <v>65.0</v>
      </c>
      <c r="B1707" s="2" t="s">
        <v>24</v>
      </c>
      <c r="C1707" s="2" t="s">
        <v>142</v>
      </c>
      <c r="D1707" s="2" t="s">
        <v>145</v>
      </c>
      <c r="E1707" s="2">
        <v>-49.0</v>
      </c>
      <c r="F1707" s="2">
        <v>23.7191302596023</v>
      </c>
      <c r="G1707" s="2">
        <v>22.9275309503503</v>
      </c>
      <c r="H1707" s="2">
        <v>7.82402166660461</v>
      </c>
      <c r="I1707" s="2">
        <v>810.0</v>
      </c>
      <c r="J1707" s="2">
        <v>761.0</v>
      </c>
      <c r="K1707" s="2">
        <v>7.87135877728593</v>
      </c>
    </row>
    <row r="1708">
      <c r="A1708" s="2">
        <v>65.0</v>
      </c>
      <c r="B1708" s="2" t="s">
        <v>22</v>
      </c>
      <c r="C1708" s="2" t="s">
        <v>142</v>
      </c>
      <c r="D1708" s="2" t="s">
        <v>145</v>
      </c>
      <c r="E1708" s="2">
        <v>-49.0</v>
      </c>
      <c r="F1708" s="2">
        <v>23.1231472476224</v>
      </c>
      <c r="G1708" s="2">
        <v>22.3346121476319</v>
      </c>
      <c r="H1708" s="2">
        <v>7.80906959774633</v>
      </c>
      <c r="I1708" s="2">
        <v>771.0</v>
      </c>
      <c r="J1708" s="2">
        <v>722.0</v>
      </c>
      <c r="K1708" s="2">
        <v>7.85608717437302</v>
      </c>
    </row>
    <row r="1709">
      <c r="A1709" s="2">
        <v>65.0</v>
      </c>
      <c r="B1709" s="2" t="s">
        <v>97</v>
      </c>
      <c r="C1709" s="2" t="s">
        <v>142</v>
      </c>
      <c r="D1709" s="2" t="s">
        <v>145</v>
      </c>
      <c r="E1709" s="2">
        <v>-50.0</v>
      </c>
      <c r="F1709" s="2">
        <v>26.5740142655903</v>
      </c>
      <c r="G1709" s="2">
        <v>25.7653602088458</v>
      </c>
      <c r="H1709" s="2">
        <v>7.90669628417275</v>
      </c>
      <c r="I1709" s="2">
        <v>996.0</v>
      </c>
      <c r="J1709" s="2">
        <v>946.0</v>
      </c>
      <c r="K1709" s="2">
        <v>7.95582170721179</v>
      </c>
    </row>
    <row r="1710">
      <c r="A1710" s="2">
        <v>65.0</v>
      </c>
      <c r="B1710" s="2" t="s">
        <v>38</v>
      </c>
      <c r="C1710" s="2" t="s">
        <v>144</v>
      </c>
      <c r="D1710" s="2" t="s">
        <v>143</v>
      </c>
      <c r="E1710" s="2">
        <v>58.0</v>
      </c>
      <c r="F1710" s="2">
        <v>21.6340543474784</v>
      </c>
      <c r="G1710" s="2">
        <v>22.4210060024575</v>
      </c>
      <c r="H1710" s="2">
        <v>7.80133118597678</v>
      </c>
      <c r="I1710" s="2">
        <v>671.0</v>
      </c>
      <c r="J1710" s="2">
        <v>729.0</v>
      </c>
      <c r="K1710" s="2">
        <v>7.84818385361965</v>
      </c>
    </row>
    <row r="1711">
      <c r="A1711" s="2">
        <v>65.0</v>
      </c>
      <c r="B1711" s="2" t="s">
        <v>23</v>
      </c>
      <c r="C1711" s="2" t="s">
        <v>144</v>
      </c>
      <c r="D1711" s="2" t="s">
        <v>143</v>
      </c>
      <c r="E1711" s="2">
        <v>58.0</v>
      </c>
      <c r="F1711" s="2">
        <v>31.4110886061014</v>
      </c>
      <c r="G1711" s="2">
        <v>32.1976879915869</v>
      </c>
      <c r="H1711" s="2">
        <v>7.7996085170221</v>
      </c>
      <c r="I1711" s="2">
        <v>1336.0</v>
      </c>
      <c r="J1711" s="2">
        <v>1394.0</v>
      </c>
      <c r="K1711" s="2">
        <v>7.84642451694702</v>
      </c>
    </row>
    <row r="1712">
      <c r="A1712" s="2">
        <v>65.0</v>
      </c>
      <c r="B1712" s="2" t="s">
        <v>19</v>
      </c>
      <c r="C1712" s="2" t="s">
        <v>144</v>
      </c>
      <c r="D1712" s="2" t="s">
        <v>143</v>
      </c>
      <c r="E1712" s="2">
        <v>58.0</v>
      </c>
      <c r="F1712" s="2">
        <v>28.2532755679642</v>
      </c>
      <c r="G1712" s="2">
        <v>29.0439842980178</v>
      </c>
      <c r="H1712" s="2">
        <v>7.81967912161225</v>
      </c>
      <c r="I1712" s="2">
        <v>1119.0</v>
      </c>
      <c r="J1712" s="2">
        <v>1177.0</v>
      </c>
      <c r="K1712" s="2">
        <v>7.8669233074972</v>
      </c>
    </row>
    <row r="1713">
      <c r="A1713" s="2">
        <v>65.0</v>
      </c>
      <c r="B1713" s="2" t="s">
        <v>39</v>
      </c>
      <c r="C1713" s="2" t="s">
        <v>144</v>
      </c>
      <c r="D1713" s="2" t="s">
        <v>143</v>
      </c>
      <c r="E1713" s="2">
        <v>65.0</v>
      </c>
      <c r="F1713" s="2">
        <v>26.7518289517197</v>
      </c>
      <c r="G1713" s="2">
        <v>27.6229519114694</v>
      </c>
      <c r="H1713" s="2">
        <v>8.20200504890779</v>
      </c>
      <c r="I1713" s="2">
        <v>977.0</v>
      </c>
      <c r="J1713" s="2">
        <v>1042.0</v>
      </c>
      <c r="K1713" s="2">
        <v>8.25782220065589</v>
      </c>
    </row>
    <row r="1714">
      <c r="A1714" s="2">
        <v>65.0</v>
      </c>
      <c r="B1714" s="2" t="s">
        <v>17</v>
      </c>
      <c r="C1714" s="2" t="s">
        <v>144</v>
      </c>
      <c r="D1714" s="2" t="s">
        <v>143</v>
      </c>
      <c r="E1714" s="2">
        <v>61.0</v>
      </c>
      <c r="F1714" s="2">
        <v>29.7921207542803</v>
      </c>
      <c r="G1714" s="2">
        <v>30.6121792185004</v>
      </c>
      <c r="H1714" s="2">
        <v>7.96147423811732</v>
      </c>
      <c r="I1714" s="2">
        <v>1209.0</v>
      </c>
      <c r="J1714" s="2">
        <v>1270.0</v>
      </c>
      <c r="K1714" s="2">
        <v>8.01180478416055</v>
      </c>
    </row>
    <row r="1715">
      <c r="A1715" s="2">
        <v>65.0</v>
      </c>
      <c r="B1715" s="2" t="s">
        <v>99</v>
      </c>
      <c r="C1715" s="2" t="s">
        <v>144</v>
      </c>
      <c r="D1715" s="2" t="s">
        <v>143</v>
      </c>
      <c r="E1715" s="2">
        <v>65.0</v>
      </c>
      <c r="F1715" s="2">
        <v>24.8702866424351</v>
      </c>
      <c r="G1715" s="2">
        <v>25.7347444005578</v>
      </c>
      <c r="H1715" s="2">
        <v>8.17103558557489</v>
      </c>
      <c r="I1715" s="2">
        <v>852.0</v>
      </c>
      <c r="J1715" s="2">
        <v>917.0</v>
      </c>
      <c r="K1715" s="2">
        <v>8.22612824872403</v>
      </c>
    </row>
    <row r="1716">
      <c r="A1716" s="2">
        <v>65.0</v>
      </c>
      <c r="B1716" s="2" t="s">
        <v>26</v>
      </c>
      <c r="C1716" s="2" t="s">
        <v>144</v>
      </c>
      <c r="D1716" s="2" t="s">
        <v>143</v>
      </c>
      <c r="E1716" s="2">
        <v>56.0</v>
      </c>
      <c r="F1716" s="2">
        <v>24.9917378691638</v>
      </c>
      <c r="G1716" s="2">
        <v>25.7497938985702</v>
      </c>
      <c r="H1716" s="2">
        <v>7.6586666068129</v>
      </c>
      <c r="I1716" s="2">
        <v>914.0</v>
      </c>
      <c r="J1716" s="2">
        <v>970.0</v>
      </c>
      <c r="K1716" s="2">
        <v>7.70253535060898</v>
      </c>
    </row>
    <row r="1717">
      <c r="A1717" s="2">
        <v>65.0</v>
      </c>
      <c r="B1717" s="2" t="s">
        <v>64</v>
      </c>
      <c r="C1717" s="2" t="s">
        <v>144</v>
      </c>
      <c r="D1717" s="2" t="s">
        <v>143</v>
      </c>
      <c r="E1717" s="2">
        <v>56.0</v>
      </c>
      <c r="F1717" s="2">
        <v>28.4846354870632</v>
      </c>
      <c r="G1717" s="2">
        <v>29.2422728046845</v>
      </c>
      <c r="H1717" s="2">
        <v>7.6565787227973</v>
      </c>
      <c r="I1717" s="2">
        <v>1152.0</v>
      </c>
      <c r="J1717" s="2">
        <v>1208.0</v>
      </c>
      <c r="K1717" s="2">
        <v>7.70040458358712</v>
      </c>
    </row>
    <row r="1718">
      <c r="A1718" s="2">
        <v>65.0</v>
      </c>
      <c r="B1718" s="2" t="s">
        <v>27</v>
      </c>
      <c r="C1718" s="2" t="s">
        <v>144</v>
      </c>
      <c r="D1718" s="2" t="s">
        <v>143</v>
      </c>
      <c r="E1718" s="2">
        <v>63.0</v>
      </c>
      <c r="F1718" s="2">
        <v>25.6714859287472</v>
      </c>
      <c r="G1718" s="2">
        <v>26.5079442094009</v>
      </c>
      <c r="H1718" s="2">
        <v>8.0395543407447</v>
      </c>
      <c r="I1718" s="2">
        <v>920.0</v>
      </c>
      <c r="J1718" s="2">
        <v>983.0</v>
      </c>
      <c r="K1718" s="2">
        <v>8.09163087247352</v>
      </c>
    </row>
    <row r="1719">
      <c r="A1719" s="2">
        <v>65.0</v>
      </c>
      <c r="B1719" s="2" t="s">
        <v>16</v>
      </c>
      <c r="C1719" s="2" t="s">
        <v>144</v>
      </c>
      <c r="D1719" s="2" t="s">
        <v>143</v>
      </c>
      <c r="E1719" s="2">
        <v>58.0</v>
      </c>
      <c r="F1719" s="2">
        <v>32.4266080218</v>
      </c>
      <c r="G1719" s="2">
        <v>33.2022616402093</v>
      </c>
      <c r="H1719" s="2">
        <v>7.74587999885548</v>
      </c>
      <c r="I1719" s="2">
        <v>1410.0</v>
      </c>
      <c r="J1719" s="2">
        <v>1468.0</v>
      </c>
      <c r="K1719" s="2">
        <v>7.79156021967353</v>
      </c>
    </row>
    <row r="1720">
      <c r="A1720" s="2">
        <v>64.0</v>
      </c>
      <c r="B1720" s="2" t="s">
        <v>18</v>
      </c>
      <c r="C1720" s="2" t="s">
        <v>142</v>
      </c>
      <c r="D1720" s="2" t="s">
        <v>143</v>
      </c>
      <c r="E1720" s="2">
        <v>55.0</v>
      </c>
      <c r="F1720" s="2">
        <v>26.1882780258417</v>
      </c>
      <c r="G1720" s="2">
        <v>26.937159113893</v>
      </c>
      <c r="H1720" s="2">
        <v>7.8274866922439</v>
      </c>
      <c r="I1720" s="2">
        <v>978.0</v>
      </c>
      <c r="J1720" s="2">
        <v>1033.0</v>
      </c>
      <c r="K1720" s="2">
        <v>7.86920889105519</v>
      </c>
    </row>
    <row r="1721">
      <c r="A1721" s="2">
        <v>64.0</v>
      </c>
      <c r="B1721" s="2" t="s">
        <v>61</v>
      </c>
      <c r="C1721" s="2" t="s">
        <v>142</v>
      </c>
      <c r="D1721" s="2" t="s">
        <v>143</v>
      </c>
      <c r="E1721" s="2">
        <v>61.0</v>
      </c>
      <c r="F1721" s="2">
        <v>26.7518289517197</v>
      </c>
      <c r="G1721" s="2">
        <v>27.5763919474829</v>
      </c>
      <c r="H1721" s="2">
        <v>8.20844441987655</v>
      </c>
      <c r="I1721" s="2">
        <v>977.0</v>
      </c>
      <c r="J1721" s="2">
        <v>1038.0</v>
      </c>
      <c r="K1721" s="2">
        <v>8.25782220065589</v>
      </c>
    </row>
    <row r="1722">
      <c r="A1722" s="2">
        <v>64.0</v>
      </c>
      <c r="B1722" s="2" t="s">
        <v>87</v>
      </c>
      <c r="C1722" s="2" t="s">
        <v>142</v>
      </c>
      <c r="D1722" s="2" t="s">
        <v>143</v>
      </c>
      <c r="E1722" s="2">
        <v>62.0</v>
      </c>
      <c r="F1722" s="2">
        <v>24.4417118231725</v>
      </c>
      <c r="G1722" s="2">
        <v>25.2727187611963</v>
      </c>
      <c r="H1722" s="2">
        <v>8.24002482982114</v>
      </c>
      <c r="I1722" s="2">
        <v>816.0</v>
      </c>
      <c r="J1722" s="2">
        <v>878.0</v>
      </c>
      <c r="K1722" s="2">
        <v>8.29006917722233</v>
      </c>
    </row>
    <row r="1723">
      <c r="A1723" s="2">
        <v>64.0</v>
      </c>
      <c r="B1723" s="2" t="s">
        <v>42</v>
      </c>
      <c r="C1723" s="2" t="s">
        <v>144</v>
      </c>
      <c r="D1723" s="2" t="s">
        <v>145</v>
      </c>
      <c r="E1723" s="2">
        <v>-49.0</v>
      </c>
      <c r="F1723" s="2">
        <v>24.9419839562726</v>
      </c>
      <c r="G1723" s="2">
        <v>24.1381166373808</v>
      </c>
      <c r="H1723" s="2">
        <v>8.10614118570996</v>
      </c>
      <c r="I1723" s="2">
        <v>864.0</v>
      </c>
      <c r="J1723" s="2">
        <v>815.0</v>
      </c>
      <c r="K1723" s="2">
        <v>8.15339373472349</v>
      </c>
    </row>
    <row r="1724">
      <c r="A1724" s="2">
        <v>64.0</v>
      </c>
      <c r="B1724" s="2" t="s">
        <v>117</v>
      </c>
      <c r="C1724" s="2" t="s">
        <v>144</v>
      </c>
      <c r="D1724" s="2" t="s">
        <v>145</v>
      </c>
      <c r="E1724" s="2">
        <v>-50.0</v>
      </c>
      <c r="F1724" s="2">
        <v>24.6198302589352</v>
      </c>
      <c r="G1724" s="2">
        <v>23.8073462607483</v>
      </c>
      <c r="H1724" s="2">
        <v>8.1488998395509</v>
      </c>
      <c r="I1724" s="2">
        <v>838.0</v>
      </c>
      <c r="J1724" s="2">
        <v>788.0</v>
      </c>
      <c r="K1724" s="2">
        <v>8.19703434594873</v>
      </c>
    </row>
    <row r="1725">
      <c r="A1725" s="2">
        <v>64.0</v>
      </c>
      <c r="B1725" s="2" t="s">
        <v>32</v>
      </c>
      <c r="C1725" s="2" t="s">
        <v>144</v>
      </c>
      <c r="D1725" s="2" t="s">
        <v>145</v>
      </c>
      <c r="E1725" s="2">
        <v>-47.0</v>
      </c>
      <c r="F1725" s="2">
        <v>27.0260396561482</v>
      </c>
      <c r="G1725" s="2">
        <v>26.2661088761511</v>
      </c>
      <c r="H1725" s="2">
        <v>7.88431499854336</v>
      </c>
      <c r="I1725" s="2">
        <v>1029.0</v>
      </c>
      <c r="J1725" s="2">
        <v>982.0</v>
      </c>
      <c r="K1725" s="2">
        <v>7.92713490125981</v>
      </c>
    </row>
    <row r="1726">
      <c r="A1726" s="2">
        <v>64.0</v>
      </c>
      <c r="B1726" s="2" t="s">
        <v>23</v>
      </c>
      <c r="C1726" s="2" t="s">
        <v>144</v>
      </c>
      <c r="D1726" s="2" t="s">
        <v>145</v>
      </c>
      <c r="E1726" s="2">
        <v>-46.0</v>
      </c>
      <c r="F1726" s="2">
        <v>32.1636426379805</v>
      </c>
      <c r="G1726" s="2">
        <v>31.4110886061014</v>
      </c>
      <c r="H1726" s="2">
        <v>7.84642451694702</v>
      </c>
      <c r="I1726" s="2">
        <v>1382.0</v>
      </c>
      <c r="J1726" s="2">
        <v>1336.0</v>
      </c>
      <c r="K1726" s="2">
        <v>7.88851083002429</v>
      </c>
    </row>
    <row r="1727">
      <c r="A1727" s="2">
        <v>64.0</v>
      </c>
      <c r="B1727" s="2" t="s">
        <v>19</v>
      </c>
      <c r="C1727" s="2" t="s">
        <v>144</v>
      </c>
      <c r="D1727" s="2" t="s">
        <v>145</v>
      </c>
      <c r="E1727" s="2">
        <v>-47.0</v>
      </c>
      <c r="F1727" s="2">
        <v>29.0098157939873</v>
      </c>
      <c r="G1727" s="2">
        <v>28.2532755679642</v>
      </c>
      <c r="H1727" s="2">
        <v>7.8669233074972</v>
      </c>
      <c r="I1727" s="2">
        <v>1166.0</v>
      </c>
      <c r="J1727" s="2">
        <v>1119.0</v>
      </c>
      <c r="K1727" s="2">
        <v>7.90940565109072</v>
      </c>
    </row>
    <row r="1728">
      <c r="A1728" s="2">
        <v>64.0</v>
      </c>
      <c r="B1728" s="2" t="s">
        <v>26</v>
      </c>
      <c r="C1728" s="2" t="s">
        <v>144</v>
      </c>
      <c r="D1728" s="2" t="s">
        <v>145</v>
      </c>
      <c r="E1728" s="2">
        <v>-45.0</v>
      </c>
      <c r="F1728" s="2">
        <v>25.7166183447375</v>
      </c>
      <c r="G1728" s="2">
        <v>24.9917378691638</v>
      </c>
      <c r="H1728" s="2">
        <v>7.70253535060898</v>
      </c>
      <c r="I1728" s="2">
        <v>959.0</v>
      </c>
      <c r="J1728" s="2">
        <v>914.0</v>
      </c>
      <c r="K1728" s="2">
        <v>7.74189708595571</v>
      </c>
    </row>
    <row r="1729">
      <c r="A1729" s="2">
        <v>64.0</v>
      </c>
      <c r="B1729" s="2" t="s">
        <v>22</v>
      </c>
      <c r="C1729" s="2" t="s">
        <v>144</v>
      </c>
      <c r="D1729" s="2" t="s">
        <v>145</v>
      </c>
      <c r="E1729" s="2">
        <v>-47.0</v>
      </c>
      <c r="F1729" s="2">
        <v>23.8775789186895</v>
      </c>
      <c r="G1729" s="2">
        <v>23.1231472476224</v>
      </c>
      <c r="H1729" s="2">
        <v>7.85608717437302</v>
      </c>
      <c r="I1729" s="2">
        <v>818.0</v>
      </c>
      <c r="J1729" s="2">
        <v>771.0</v>
      </c>
      <c r="K1729" s="2">
        <v>7.89835992012786</v>
      </c>
    </row>
    <row r="1730">
      <c r="A1730" s="2">
        <v>64.0</v>
      </c>
      <c r="B1730" s="2" t="s">
        <v>47</v>
      </c>
      <c r="C1730" s="2" t="s">
        <v>144</v>
      </c>
      <c r="D1730" s="2" t="s">
        <v>145</v>
      </c>
      <c r="E1730" s="2">
        <v>-49.0</v>
      </c>
      <c r="F1730" s="2">
        <v>24.1731626418206</v>
      </c>
      <c r="G1730" s="2">
        <v>23.3949100664963</v>
      </c>
      <c r="H1730" s="2">
        <v>7.97760670412844</v>
      </c>
      <c r="I1730" s="2">
        <v>826.0</v>
      </c>
      <c r="J1730" s="2">
        <v>777.0</v>
      </c>
      <c r="K1730" s="2">
        <v>8.02226189838571</v>
      </c>
    </row>
    <row r="1731">
      <c r="A1731" s="2">
        <v>64.0</v>
      </c>
      <c r="B1731" s="2" t="s">
        <v>29</v>
      </c>
      <c r="C1731" s="2" t="s">
        <v>144</v>
      </c>
      <c r="D1731" s="2" t="s">
        <v>145</v>
      </c>
      <c r="E1731" s="2">
        <v>-45.0</v>
      </c>
      <c r="F1731" s="2">
        <v>29.4543075706035</v>
      </c>
      <c r="G1731" s="2">
        <v>28.7293904821666</v>
      </c>
      <c r="H1731" s="2">
        <v>7.70272758283178</v>
      </c>
      <c r="I1731" s="2">
        <v>1213.0</v>
      </c>
      <c r="J1731" s="2">
        <v>1168.0</v>
      </c>
      <c r="K1731" s="2">
        <v>7.74209289413753</v>
      </c>
    </row>
    <row r="1732">
      <c r="A1732" s="2">
        <v>64.0</v>
      </c>
      <c r="B1732" s="2" t="s">
        <v>24</v>
      </c>
      <c r="C1732" s="2" t="s">
        <v>144</v>
      </c>
      <c r="D1732" s="2" t="s">
        <v>145</v>
      </c>
      <c r="E1732" s="2">
        <v>-47.0</v>
      </c>
      <c r="F1732" s="2">
        <v>24.476534444481</v>
      </c>
      <c r="G1732" s="2">
        <v>23.7191302596023</v>
      </c>
      <c r="H1732" s="2">
        <v>7.87135877728593</v>
      </c>
      <c r="I1732" s="2">
        <v>857.0</v>
      </c>
      <c r="J1732" s="2">
        <v>810.0</v>
      </c>
      <c r="K1732" s="2">
        <v>7.91392707392577</v>
      </c>
    </row>
    <row r="1733">
      <c r="A1733" s="2">
        <v>64.0</v>
      </c>
      <c r="B1733" s="2" t="s">
        <v>27</v>
      </c>
      <c r="C1733" s="2" t="s">
        <v>144</v>
      </c>
      <c r="D1733" s="2" t="s">
        <v>145</v>
      </c>
      <c r="E1733" s="2">
        <v>-50.0</v>
      </c>
      <c r="F1733" s="2">
        <v>26.4724399996185</v>
      </c>
      <c r="G1733" s="2">
        <v>25.6714859287472</v>
      </c>
      <c r="H1733" s="2">
        <v>8.09163087247352</v>
      </c>
      <c r="I1733" s="2">
        <v>970.0</v>
      </c>
      <c r="J1733" s="2">
        <v>920.0</v>
      </c>
      <c r="K1733" s="2">
        <v>8.13858617075801</v>
      </c>
    </row>
    <row r="1734">
      <c r="A1734" s="2">
        <v>63.0</v>
      </c>
      <c r="B1734" s="2" t="s">
        <v>117</v>
      </c>
      <c r="C1734" s="2" t="s">
        <v>142</v>
      </c>
      <c r="D1734" s="2" t="s">
        <v>145</v>
      </c>
      <c r="E1734" s="2">
        <v>-110.0</v>
      </c>
      <c r="F1734" s="2">
        <v>26.3454545550118</v>
      </c>
      <c r="G1734" s="2">
        <v>24.6198302589352</v>
      </c>
      <c r="H1734" s="2">
        <v>8.19703434594873</v>
      </c>
      <c r="I1734" s="2">
        <v>948.0</v>
      </c>
      <c r="J1734" s="2">
        <v>838.0</v>
      </c>
      <c r="K1734" s="2">
        <v>8.2706902095633</v>
      </c>
    </row>
    <row r="1735">
      <c r="A1735" s="2">
        <v>63.0</v>
      </c>
      <c r="B1735" s="2" t="s">
        <v>64</v>
      </c>
      <c r="C1735" s="2" t="s">
        <v>142</v>
      </c>
      <c r="D1735" s="2" t="s">
        <v>145</v>
      </c>
      <c r="E1735" s="2">
        <v>-97.0</v>
      </c>
      <c r="F1735" s="2">
        <v>30.0039729239365</v>
      </c>
      <c r="G1735" s="2">
        <v>28.4846354870632</v>
      </c>
      <c r="H1735" s="2">
        <v>7.70040458358712</v>
      </c>
      <c r="I1735" s="2">
        <v>1249.0</v>
      </c>
      <c r="J1735" s="2">
        <v>1152.0</v>
      </c>
      <c r="K1735" s="2">
        <v>7.75991484949257</v>
      </c>
    </row>
    <row r="1736">
      <c r="A1736" s="2">
        <v>63.0</v>
      </c>
      <c r="B1736" s="2" t="s">
        <v>47</v>
      </c>
      <c r="C1736" s="2" t="s">
        <v>142</v>
      </c>
      <c r="D1736" s="2" t="s">
        <v>145</v>
      </c>
      <c r="E1736" s="2">
        <v>-105.0</v>
      </c>
      <c r="F1736" s="2">
        <v>25.8246092890867</v>
      </c>
      <c r="G1736" s="2">
        <v>24.1731626418206</v>
      </c>
      <c r="H1736" s="2">
        <v>8.02226189838571</v>
      </c>
      <c r="I1736" s="2">
        <v>931.0</v>
      </c>
      <c r="J1736" s="2">
        <v>826.0</v>
      </c>
      <c r="K1736" s="2">
        <v>8.09073676048479</v>
      </c>
    </row>
    <row r="1737">
      <c r="A1737" s="2">
        <v>63.0</v>
      </c>
      <c r="B1737" s="2" t="s">
        <v>49</v>
      </c>
      <c r="C1737" s="2" t="s">
        <v>144</v>
      </c>
      <c r="D1737" s="2" t="s">
        <v>143</v>
      </c>
      <c r="E1737" s="2">
        <v>124.0</v>
      </c>
      <c r="F1737" s="2">
        <v>26.2192794668675</v>
      </c>
      <c r="G1737" s="2">
        <v>27.9437291444881</v>
      </c>
      <c r="H1737" s="2">
        <v>8.19429812411861</v>
      </c>
      <c r="I1737" s="2">
        <v>940.0</v>
      </c>
      <c r="J1737" s="2">
        <v>1064.0</v>
      </c>
      <c r="K1737" s="2">
        <v>8.26787112968529</v>
      </c>
    </row>
    <row r="1738">
      <c r="A1738" s="2">
        <v>63.0</v>
      </c>
      <c r="B1738" s="2" t="s">
        <v>39</v>
      </c>
      <c r="C1738" s="2" t="s">
        <v>144</v>
      </c>
      <c r="D1738" s="2" t="s">
        <v>143</v>
      </c>
      <c r="E1738" s="2">
        <v>127.0</v>
      </c>
      <c r="F1738" s="2">
        <v>25.0</v>
      </c>
      <c r="G1738" s="2">
        <v>26.7518289517197</v>
      </c>
      <c r="H1738" s="2">
        <v>8.25782220065589</v>
      </c>
      <c r="I1738" s="2">
        <v>850.0</v>
      </c>
      <c r="J1738" s="2">
        <v>977.0</v>
      </c>
      <c r="K1738" s="2">
        <v>8.33333333333333</v>
      </c>
    </row>
    <row r="1739">
      <c r="A1739" s="2">
        <v>63.0</v>
      </c>
      <c r="B1739" s="2" t="s">
        <v>61</v>
      </c>
      <c r="C1739" s="2" t="s">
        <v>144</v>
      </c>
      <c r="D1739" s="2" t="s">
        <v>143</v>
      </c>
      <c r="E1739" s="2">
        <v>127.0</v>
      </c>
      <c r="F1739" s="2">
        <v>25.0</v>
      </c>
      <c r="G1739" s="2">
        <v>26.7518289517197</v>
      </c>
      <c r="H1739" s="2">
        <v>8.25782220065589</v>
      </c>
      <c r="I1739" s="2">
        <v>850.0</v>
      </c>
      <c r="J1739" s="2">
        <v>977.0</v>
      </c>
      <c r="K1739" s="2">
        <v>8.33333333333333</v>
      </c>
    </row>
    <row r="1740">
      <c r="A1740" s="2">
        <v>63.0</v>
      </c>
      <c r="B1740" s="2" t="s">
        <v>77</v>
      </c>
      <c r="C1740" s="2" t="s">
        <v>144</v>
      </c>
      <c r="D1740" s="2" t="s">
        <v>143</v>
      </c>
      <c r="E1740" s="2">
        <v>123.0</v>
      </c>
      <c r="F1740" s="2">
        <v>23.1046083970816</v>
      </c>
      <c r="G1740" s="2">
        <v>24.8127188022083</v>
      </c>
      <c r="H1740" s="2">
        <v>8.1561336408411</v>
      </c>
      <c r="I1740" s="2">
        <v>732.0</v>
      </c>
      <c r="J1740" s="2">
        <v>855.0</v>
      </c>
      <c r="K1740" s="2">
        <v>8.22855678039531</v>
      </c>
    </row>
    <row r="1741">
      <c r="A1741" s="2">
        <v>63.0</v>
      </c>
      <c r="B1741" s="2" t="s">
        <v>17</v>
      </c>
      <c r="C1741" s="2" t="s">
        <v>144</v>
      </c>
      <c r="D1741" s="2" t="s">
        <v>143</v>
      </c>
      <c r="E1741" s="2">
        <v>119.0</v>
      </c>
      <c r="F1741" s="2">
        <v>28.1450577295012</v>
      </c>
      <c r="G1741" s="2">
        <v>29.7921207542803</v>
      </c>
      <c r="H1741" s="2">
        <v>8.01180478416055</v>
      </c>
      <c r="I1741" s="2">
        <v>1090.0</v>
      </c>
      <c r="J1741" s="2">
        <v>1209.0</v>
      </c>
      <c r="K1741" s="2">
        <v>8.07997676095114</v>
      </c>
    </row>
    <row r="1742">
      <c r="A1742" s="2">
        <v>63.0</v>
      </c>
      <c r="B1742" s="2" t="s">
        <v>66</v>
      </c>
      <c r="C1742" s="2" t="s">
        <v>144</v>
      </c>
      <c r="D1742" s="2" t="s">
        <v>143</v>
      </c>
      <c r="E1742" s="2">
        <v>125.0</v>
      </c>
      <c r="F1742" s="2">
        <v>24.1408788142085</v>
      </c>
      <c r="G1742" s="2">
        <v>25.8695102727901</v>
      </c>
      <c r="H1742" s="2">
        <v>8.20403490406742</v>
      </c>
      <c r="I1742" s="2">
        <v>797.0</v>
      </c>
      <c r="J1742" s="2">
        <v>922.0</v>
      </c>
      <c r="K1742" s="2">
        <v>8.27790301316009</v>
      </c>
    </row>
    <row r="1743">
      <c r="A1743" s="2">
        <v>63.0</v>
      </c>
      <c r="B1743" s="2" t="s">
        <v>42</v>
      </c>
      <c r="C1743" s="2" t="s">
        <v>144</v>
      </c>
      <c r="D1743" s="2" t="s">
        <v>143</v>
      </c>
      <c r="E1743" s="2">
        <v>123.0</v>
      </c>
      <c r="F1743" s="2">
        <v>23.2350434115681</v>
      </c>
      <c r="G1743" s="2">
        <v>24.9419839562726</v>
      </c>
      <c r="H1743" s="2">
        <v>8.15339373472349</v>
      </c>
      <c r="I1743" s="2">
        <v>741.0</v>
      </c>
      <c r="J1743" s="2">
        <v>864.0</v>
      </c>
      <c r="K1743" s="2">
        <v>8.225734740489</v>
      </c>
    </row>
    <row r="1744">
      <c r="A1744" s="2">
        <v>63.0</v>
      </c>
      <c r="B1744" s="2" t="s">
        <v>29</v>
      </c>
      <c r="C1744" s="2" t="s">
        <v>144</v>
      </c>
      <c r="D1744" s="2" t="s">
        <v>143</v>
      </c>
      <c r="E1744" s="2">
        <v>110.0</v>
      </c>
      <c r="F1744" s="2">
        <v>27.9181858193407</v>
      </c>
      <c r="G1744" s="2">
        <v>29.4543075706035</v>
      </c>
      <c r="H1744" s="2">
        <v>7.74209289413753</v>
      </c>
      <c r="I1744" s="2">
        <v>1103.0</v>
      </c>
      <c r="J1744" s="2">
        <v>1213.0</v>
      </c>
      <c r="K1744" s="2">
        <v>7.80272321814955</v>
      </c>
    </row>
    <row r="1745">
      <c r="A1745" s="2">
        <v>63.0</v>
      </c>
      <c r="B1745" s="2" t="s">
        <v>32</v>
      </c>
      <c r="C1745" s="2" t="s">
        <v>144</v>
      </c>
      <c r="D1745" s="2" t="s">
        <v>143</v>
      </c>
      <c r="E1745" s="2">
        <v>116.0</v>
      </c>
      <c r="F1745" s="2">
        <v>25.414243674506</v>
      </c>
      <c r="G1745" s="2">
        <v>27.0260396561482</v>
      </c>
      <c r="H1745" s="2">
        <v>7.92713490125981</v>
      </c>
      <c r="I1745" s="2">
        <v>913.0</v>
      </c>
      <c r="J1745" s="2">
        <v>1029.0</v>
      </c>
      <c r="K1745" s="2">
        <v>7.99288357701283</v>
      </c>
    </row>
    <row r="1746">
      <c r="A1746" s="2">
        <v>63.0</v>
      </c>
      <c r="B1746" s="2" t="s">
        <v>18</v>
      </c>
      <c r="C1746" s="2" t="s">
        <v>144</v>
      </c>
      <c r="D1746" s="2" t="s">
        <v>143</v>
      </c>
      <c r="E1746" s="2">
        <v>114.0</v>
      </c>
      <c r="F1746" s="2">
        <v>24.6003776012816</v>
      </c>
      <c r="G1746" s="2">
        <v>26.1882780258417</v>
      </c>
      <c r="H1746" s="2">
        <v>7.86920889105519</v>
      </c>
      <c r="I1746" s="2">
        <v>864.0</v>
      </c>
      <c r="J1746" s="2">
        <v>978.0</v>
      </c>
      <c r="K1746" s="2">
        <v>7.93332930325424</v>
      </c>
    </row>
    <row r="1747">
      <c r="A1747" s="2">
        <v>62.0</v>
      </c>
      <c r="B1747" s="2" t="s">
        <v>23</v>
      </c>
      <c r="C1747" s="2" t="s">
        <v>142</v>
      </c>
      <c r="D1747" s="2" t="s">
        <v>143</v>
      </c>
      <c r="E1747" s="2">
        <v>49.0</v>
      </c>
      <c r="F1747" s="2">
        <v>31.5002367505206</v>
      </c>
      <c r="G1747" s="2">
        <v>32.1636426379805</v>
      </c>
      <c r="H1747" s="2">
        <v>7.88851083002429</v>
      </c>
      <c r="I1747" s="2">
        <v>1333.0</v>
      </c>
      <c r="J1747" s="2">
        <v>1382.0</v>
      </c>
      <c r="K1747" s="2">
        <v>7.93176404309763</v>
      </c>
    </row>
    <row r="1748">
      <c r="A1748" s="2">
        <v>62.0</v>
      </c>
      <c r="B1748" s="2" t="s">
        <v>24</v>
      </c>
      <c r="C1748" s="2" t="s">
        <v>142</v>
      </c>
      <c r="D1748" s="2" t="s">
        <v>143</v>
      </c>
      <c r="E1748" s="2">
        <v>50.0</v>
      </c>
      <c r="F1748" s="2">
        <v>23.8087924689644</v>
      </c>
      <c r="G1748" s="2">
        <v>24.476534444481</v>
      </c>
      <c r="H1748" s="2">
        <v>7.91392707392577</v>
      </c>
      <c r="I1748" s="2">
        <v>807.0</v>
      </c>
      <c r="J1748" s="2">
        <v>857.0</v>
      </c>
      <c r="K1748" s="2">
        <v>7.9576801923781</v>
      </c>
    </row>
    <row r="1749">
      <c r="A1749" s="2">
        <v>62.0</v>
      </c>
      <c r="B1749" s="2" t="s">
        <v>97</v>
      </c>
      <c r="C1749" s="2" t="s">
        <v>142</v>
      </c>
      <c r="D1749" s="2" t="s">
        <v>143</v>
      </c>
      <c r="E1749" s="2">
        <v>51.0</v>
      </c>
      <c r="F1749" s="2">
        <v>25.8990929243984</v>
      </c>
      <c r="G1749" s="2">
        <v>26.5740142655903</v>
      </c>
      <c r="H1749" s="2">
        <v>7.95582170721179</v>
      </c>
      <c r="I1749" s="2">
        <v>945.0</v>
      </c>
      <c r="J1749" s="2">
        <v>996.0</v>
      </c>
      <c r="K1749" s="2">
        <v>8.00040561479713</v>
      </c>
    </row>
    <row r="1750">
      <c r="A1750" s="2">
        <v>62.0</v>
      </c>
      <c r="B1750" s="2" t="s">
        <v>122</v>
      </c>
      <c r="C1750" s="2" t="s">
        <v>144</v>
      </c>
      <c r="D1750" s="2" t="s">
        <v>145</v>
      </c>
      <c r="E1750" s="2">
        <v>-44.0</v>
      </c>
      <c r="F1750" s="2">
        <v>26.5541887808928</v>
      </c>
      <c r="G1750" s="2">
        <v>25.8345797138221</v>
      </c>
      <c r="H1750" s="2">
        <v>8.21154088910618</v>
      </c>
      <c r="I1750" s="2">
        <v>963.0</v>
      </c>
      <c r="J1750" s="2">
        <v>919.0</v>
      </c>
      <c r="K1750" s="2">
        <v>8.26138190836253</v>
      </c>
    </row>
    <row r="1751">
      <c r="A1751" s="2">
        <v>62.0</v>
      </c>
      <c r="B1751" s="2" t="s">
        <v>38</v>
      </c>
      <c r="C1751" s="2" t="s">
        <v>144</v>
      </c>
      <c r="D1751" s="2" t="s">
        <v>145</v>
      </c>
      <c r="E1751" s="2">
        <v>-40.0</v>
      </c>
      <c r="F1751" s="2">
        <v>22.2906104087431</v>
      </c>
      <c r="G1751" s="2">
        <v>21.6340543474784</v>
      </c>
      <c r="H1751" s="2">
        <v>7.84818385361965</v>
      </c>
      <c r="I1751" s="2">
        <v>711.0</v>
      </c>
      <c r="J1751" s="2">
        <v>671.0</v>
      </c>
      <c r="K1751" s="2">
        <v>7.89065021763482</v>
      </c>
    </row>
    <row r="1752">
      <c r="A1752" s="2">
        <v>62.0</v>
      </c>
      <c r="B1752" s="2" t="s">
        <v>26</v>
      </c>
      <c r="C1752" s="2" t="s">
        <v>144</v>
      </c>
      <c r="D1752" s="2" t="s">
        <v>145</v>
      </c>
      <c r="E1752" s="2">
        <v>-39.0</v>
      </c>
      <c r="F1752" s="2">
        <v>26.3552974295102</v>
      </c>
      <c r="G1752" s="2">
        <v>25.7166183447375</v>
      </c>
      <c r="H1752" s="2">
        <v>7.74189708595571</v>
      </c>
      <c r="I1752" s="2">
        <v>998.0</v>
      </c>
      <c r="J1752" s="2">
        <v>959.0</v>
      </c>
      <c r="K1752" s="2">
        <v>7.78232647212276</v>
      </c>
    </row>
    <row r="1753">
      <c r="A1753" s="2">
        <v>62.0</v>
      </c>
      <c r="B1753" s="2" t="s">
        <v>64</v>
      </c>
      <c r="C1753" s="2" t="s">
        <v>144</v>
      </c>
      <c r="D1753" s="2" t="s">
        <v>145</v>
      </c>
      <c r="E1753" s="2">
        <v>-39.0</v>
      </c>
      <c r="F1753" s="2">
        <v>30.6456645106446</v>
      </c>
      <c r="G1753" s="2">
        <v>30.0039729239365</v>
      </c>
      <c r="H1753" s="2">
        <v>7.75991484949257</v>
      </c>
      <c r="I1753" s="2">
        <v>1288.0</v>
      </c>
      <c r="J1753" s="2">
        <v>1249.0</v>
      </c>
      <c r="K1753" s="2">
        <v>7.80068580974569</v>
      </c>
    </row>
    <row r="1754">
      <c r="A1754" s="2">
        <v>62.0</v>
      </c>
      <c r="B1754" s="2" t="s">
        <v>32</v>
      </c>
      <c r="C1754" s="2" t="s">
        <v>144</v>
      </c>
      <c r="D1754" s="2" t="s">
        <v>145</v>
      </c>
      <c r="E1754" s="2">
        <v>-42.0</v>
      </c>
      <c r="F1754" s="2">
        <v>26.0955494483561</v>
      </c>
      <c r="G1754" s="2">
        <v>25.414243674506</v>
      </c>
      <c r="H1754" s="2">
        <v>7.99288357701283</v>
      </c>
      <c r="I1754" s="2">
        <v>955.0</v>
      </c>
      <c r="J1754" s="2">
        <v>913.0</v>
      </c>
      <c r="K1754" s="2">
        <v>8.03820950833984</v>
      </c>
    </row>
    <row r="1755">
      <c r="A1755" s="2">
        <v>62.0</v>
      </c>
      <c r="B1755" s="2" t="s">
        <v>16</v>
      </c>
      <c r="C1755" s="2" t="s">
        <v>144</v>
      </c>
      <c r="D1755" s="2" t="s">
        <v>145</v>
      </c>
      <c r="E1755" s="2">
        <v>-40.0</v>
      </c>
      <c r="F1755" s="2">
        <v>33.0736083837078</v>
      </c>
      <c r="G1755" s="2">
        <v>32.4266080218</v>
      </c>
      <c r="H1755" s="2">
        <v>7.79156021967353</v>
      </c>
      <c r="I1755" s="2">
        <v>1450.0</v>
      </c>
      <c r="J1755" s="2">
        <v>1410.0</v>
      </c>
      <c r="K1755" s="2">
        <v>7.83293478020363</v>
      </c>
    </row>
    <row r="1756">
      <c r="A1756" s="2">
        <v>62.0</v>
      </c>
      <c r="B1756" s="2" t="s">
        <v>41</v>
      </c>
      <c r="C1756" s="2" t="s">
        <v>144</v>
      </c>
      <c r="D1756" s="2" t="s">
        <v>145</v>
      </c>
      <c r="E1756" s="2">
        <v>-45.0</v>
      </c>
      <c r="F1756" s="2">
        <v>25.0</v>
      </c>
      <c r="G1756" s="2">
        <v>24.267818245546</v>
      </c>
      <c r="H1756" s="2">
        <v>8.28198677646767</v>
      </c>
      <c r="I1756" s="2">
        <v>850.0</v>
      </c>
      <c r="J1756" s="2">
        <v>805.0</v>
      </c>
      <c r="K1756" s="2">
        <v>8.33333333333333</v>
      </c>
    </row>
    <row r="1757">
      <c r="A1757" s="2">
        <v>62.0</v>
      </c>
      <c r="B1757" s="2" t="s">
        <v>80</v>
      </c>
      <c r="C1757" s="2" t="s">
        <v>144</v>
      </c>
      <c r="D1757" s="2" t="s">
        <v>145</v>
      </c>
      <c r="E1757" s="2">
        <v>-45.0</v>
      </c>
      <c r="F1757" s="2">
        <v>25.0</v>
      </c>
      <c r="G1757" s="2">
        <v>24.267818245546</v>
      </c>
      <c r="H1757" s="2">
        <v>8.28198677646767</v>
      </c>
      <c r="I1757" s="2">
        <v>850.0</v>
      </c>
      <c r="J1757" s="2">
        <v>805.0</v>
      </c>
      <c r="K1757" s="2">
        <v>8.33333333333333</v>
      </c>
    </row>
    <row r="1758">
      <c r="A1758" s="2">
        <v>62.0</v>
      </c>
      <c r="B1758" s="2" t="s">
        <v>21</v>
      </c>
      <c r="C1758" s="2" t="s">
        <v>144</v>
      </c>
      <c r="D1758" s="2" t="s">
        <v>145</v>
      </c>
      <c r="E1758" s="2">
        <v>-44.0</v>
      </c>
      <c r="F1758" s="2">
        <v>25.9112783677779</v>
      </c>
      <c r="G1758" s="2">
        <v>25.1890864873589</v>
      </c>
      <c r="H1758" s="2">
        <v>8.22606461800816</v>
      </c>
      <c r="I1758" s="2">
        <v>918.0</v>
      </c>
      <c r="J1758" s="2">
        <v>874.0</v>
      </c>
      <c r="K1758" s="2">
        <v>8.27621397724734</v>
      </c>
    </row>
    <row r="1759">
      <c r="A1759" s="2">
        <v>62.0</v>
      </c>
      <c r="B1759" s="2" t="s">
        <v>101</v>
      </c>
      <c r="C1759" s="2" t="s">
        <v>144</v>
      </c>
      <c r="D1759" s="2" t="s">
        <v>145</v>
      </c>
      <c r="E1759" s="2">
        <v>-45.0</v>
      </c>
      <c r="F1759" s="2">
        <v>25.0</v>
      </c>
      <c r="G1759" s="2">
        <v>24.267818245546</v>
      </c>
      <c r="H1759" s="2">
        <v>8.28198677646767</v>
      </c>
      <c r="I1759" s="2">
        <v>850.0</v>
      </c>
      <c r="J1759" s="2">
        <v>805.0</v>
      </c>
      <c r="K1759" s="2">
        <v>8.33333333333333</v>
      </c>
    </row>
    <row r="1760">
      <c r="A1760" s="2">
        <v>61.0</v>
      </c>
      <c r="B1760" s="2" t="s">
        <v>42</v>
      </c>
      <c r="C1760" s="2" t="s">
        <v>142</v>
      </c>
      <c r="D1760" s="2" t="s">
        <v>145</v>
      </c>
      <c r="E1760" s="2">
        <v>-75.0</v>
      </c>
      <c r="F1760" s="2">
        <v>24.4417118231725</v>
      </c>
      <c r="G1760" s="2">
        <v>23.2350434115681</v>
      </c>
      <c r="H1760" s="2">
        <v>8.225734740489</v>
      </c>
      <c r="I1760" s="2">
        <v>816.0</v>
      </c>
      <c r="J1760" s="2">
        <v>741.0</v>
      </c>
      <c r="K1760" s="2">
        <v>8.29006917722233</v>
      </c>
    </row>
    <row r="1761">
      <c r="A1761" s="2">
        <v>61.0</v>
      </c>
      <c r="B1761" s="2" t="s">
        <v>34</v>
      </c>
      <c r="C1761" s="2" t="s">
        <v>142</v>
      </c>
      <c r="D1761" s="2" t="s">
        <v>145</v>
      </c>
      <c r="E1761" s="2">
        <v>-75.0</v>
      </c>
      <c r="F1761" s="2">
        <v>24.4417118231725</v>
      </c>
      <c r="G1761" s="2">
        <v>23.2350434115681</v>
      </c>
      <c r="H1761" s="2">
        <v>8.225734740489</v>
      </c>
      <c r="I1761" s="2">
        <v>816.0</v>
      </c>
      <c r="J1761" s="2">
        <v>741.0</v>
      </c>
      <c r="K1761" s="2">
        <v>8.29006917722233</v>
      </c>
    </row>
    <row r="1762">
      <c r="A1762" s="2">
        <v>61.0</v>
      </c>
      <c r="B1762" s="2" t="s">
        <v>43</v>
      </c>
      <c r="C1762" s="2" t="s">
        <v>142</v>
      </c>
      <c r="D1762" s="2" t="s">
        <v>145</v>
      </c>
      <c r="E1762" s="2">
        <v>-71.0</v>
      </c>
      <c r="F1762" s="2">
        <v>26.6276946274788</v>
      </c>
      <c r="G1762" s="2">
        <v>25.5038450247309</v>
      </c>
      <c r="H1762" s="2">
        <v>7.94307277971238</v>
      </c>
      <c r="I1762" s="2">
        <v>995.0</v>
      </c>
      <c r="J1762" s="2">
        <v>924.0</v>
      </c>
      <c r="K1762" s="2">
        <v>8.00013515730206</v>
      </c>
    </row>
    <row r="1763">
      <c r="A1763" s="2">
        <v>61.0</v>
      </c>
      <c r="B1763" s="2" t="s">
        <v>18</v>
      </c>
      <c r="C1763" s="2" t="s">
        <v>144</v>
      </c>
      <c r="D1763" s="2" t="s">
        <v>143</v>
      </c>
      <c r="E1763" s="2">
        <v>82.0</v>
      </c>
      <c r="F1763" s="2">
        <v>23.4793277315977</v>
      </c>
      <c r="G1763" s="2">
        <v>24.6003776012816</v>
      </c>
      <c r="H1763" s="2">
        <v>7.93332930325424</v>
      </c>
      <c r="I1763" s="2">
        <v>782.0</v>
      </c>
      <c r="J1763" s="2">
        <v>864.0</v>
      </c>
      <c r="K1763" s="2">
        <v>7.99014994856805</v>
      </c>
    </row>
    <row r="1764">
      <c r="A1764" s="2">
        <v>61.0</v>
      </c>
      <c r="B1764" s="2" t="s">
        <v>20</v>
      </c>
      <c r="C1764" s="2" t="s">
        <v>144</v>
      </c>
      <c r="D1764" s="2" t="s">
        <v>143</v>
      </c>
      <c r="E1764" s="2">
        <v>85.0</v>
      </c>
      <c r="F1764" s="2">
        <v>26.5287325846784</v>
      </c>
      <c r="G1764" s="2">
        <v>27.6825877502955</v>
      </c>
      <c r="H1764" s="2">
        <v>8.04670732242578</v>
      </c>
      <c r="I1764" s="2">
        <v>977.0</v>
      </c>
      <c r="J1764" s="2">
        <v>1062.0</v>
      </c>
      <c r="K1764" s="2">
        <v>8.10637734208881</v>
      </c>
    </row>
    <row r="1765">
      <c r="A1765" s="2">
        <v>61.0</v>
      </c>
      <c r="B1765" s="2" t="s">
        <v>40</v>
      </c>
      <c r="C1765" s="2" t="s">
        <v>144</v>
      </c>
      <c r="D1765" s="2" t="s">
        <v>143</v>
      </c>
      <c r="E1765" s="2">
        <v>79.0</v>
      </c>
      <c r="F1765" s="2">
        <v>27.3711125841721</v>
      </c>
      <c r="G1765" s="2">
        <v>28.45851716702</v>
      </c>
      <c r="H1765" s="2">
        <v>7.81522666670921</v>
      </c>
      <c r="I1765" s="2">
        <v>1059.0</v>
      </c>
      <c r="J1765" s="2">
        <v>1138.0</v>
      </c>
      <c r="K1765" s="2">
        <v>7.86916354134277</v>
      </c>
    </row>
    <row r="1766">
      <c r="A1766" s="2">
        <v>61.0</v>
      </c>
      <c r="B1766" s="2" t="s">
        <v>19</v>
      </c>
      <c r="C1766" s="2" t="s">
        <v>144</v>
      </c>
      <c r="D1766" s="2" t="s">
        <v>143</v>
      </c>
      <c r="E1766" s="2">
        <v>82.0</v>
      </c>
      <c r="F1766" s="2">
        <v>27.8956247243783</v>
      </c>
      <c r="G1766" s="2">
        <v>29.0098157939873</v>
      </c>
      <c r="H1766" s="2">
        <v>7.90940565109072</v>
      </c>
      <c r="I1766" s="2">
        <v>1084.0</v>
      </c>
      <c r="J1766" s="2">
        <v>1166.0</v>
      </c>
      <c r="K1766" s="2">
        <v>7.96563524240926</v>
      </c>
    </row>
    <row r="1767">
      <c r="A1767" s="2">
        <v>61.0</v>
      </c>
      <c r="B1767" s="2" t="s">
        <v>83</v>
      </c>
      <c r="C1767" s="2" t="s">
        <v>144</v>
      </c>
      <c r="D1767" s="2" t="s">
        <v>143</v>
      </c>
      <c r="E1767" s="2">
        <v>86.0</v>
      </c>
      <c r="F1767" s="2">
        <v>27.0643068059267</v>
      </c>
      <c r="G1767" s="2">
        <v>28.23355204466</v>
      </c>
      <c r="H1767" s="2">
        <v>8.09931362211655</v>
      </c>
      <c r="I1767" s="2">
        <v>1008.0</v>
      </c>
      <c r="J1767" s="2">
        <v>1094.0</v>
      </c>
      <c r="K1767" s="2">
        <v>8.16033308497367</v>
      </c>
    </row>
    <row r="1768">
      <c r="A1768" s="2">
        <v>61.0</v>
      </c>
      <c r="B1768" s="2" t="s">
        <v>55</v>
      </c>
      <c r="C1768" s="2" t="s">
        <v>144</v>
      </c>
      <c r="D1768" s="2" t="s">
        <v>143</v>
      </c>
      <c r="E1768" s="2">
        <v>82.0</v>
      </c>
      <c r="F1768" s="2">
        <v>25.631480861275</v>
      </c>
      <c r="G1768" s="2">
        <v>26.7529225971842</v>
      </c>
      <c r="H1768" s="2">
        <v>7.93469382164342</v>
      </c>
      <c r="I1768" s="2">
        <v>928.0</v>
      </c>
      <c r="J1768" s="2">
        <v>1010.0</v>
      </c>
      <c r="K1768" s="2">
        <v>7.99154828488286</v>
      </c>
    </row>
    <row r="1769">
      <c r="A1769" s="2">
        <v>61.0</v>
      </c>
      <c r="B1769" s="2" t="s">
        <v>67</v>
      </c>
      <c r="C1769" s="2" t="s">
        <v>144</v>
      </c>
      <c r="D1769" s="2" t="s">
        <v>143</v>
      </c>
      <c r="E1769" s="2">
        <v>83.0</v>
      </c>
      <c r="F1769" s="2">
        <v>22.4599071933022</v>
      </c>
      <c r="G1769" s="2">
        <v>23.5983216507644</v>
      </c>
      <c r="H1769" s="2">
        <v>7.99355646366102</v>
      </c>
      <c r="I1769" s="2">
        <v>706.0</v>
      </c>
      <c r="J1769" s="2">
        <v>789.0</v>
      </c>
      <c r="K1769" s="2">
        <v>8.05188074271142</v>
      </c>
    </row>
    <row r="1770">
      <c r="A1770" s="2">
        <v>61.0</v>
      </c>
      <c r="B1770" s="2" t="s">
        <v>85</v>
      </c>
      <c r="C1770" s="2" t="s">
        <v>144</v>
      </c>
      <c r="D1770" s="2" t="s">
        <v>143</v>
      </c>
      <c r="E1770" s="2">
        <v>88.0</v>
      </c>
      <c r="F1770" s="2">
        <v>24.088721632222</v>
      </c>
      <c r="G1770" s="2">
        <v>25.2913652730624</v>
      </c>
      <c r="H1770" s="2">
        <v>8.21223833411995</v>
      </c>
      <c r="I1770" s="2">
        <v>794.0</v>
      </c>
      <c r="J1770" s="2">
        <v>882.0</v>
      </c>
      <c r="K1770" s="2">
        <v>8.27621397724734</v>
      </c>
    </row>
    <row r="1771">
      <c r="A1771" s="2">
        <v>61.0</v>
      </c>
      <c r="B1771" s="2" t="s">
        <v>49</v>
      </c>
      <c r="C1771" s="2" t="s">
        <v>144</v>
      </c>
      <c r="D1771" s="2" t="s">
        <v>143</v>
      </c>
      <c r="E1771" s="2">
        <v>90.0</v>
      </c>
      <c r="F1771" s="2">
        <v>25.0</v>
      </c>
      <c r="G1771" s="2">
        <v>26.2192794668675</v>
      </c>
      <c r="H1771" s="2">
        <v>8.26787112968529</v>
      </c>
      <c r="I1771" s="2">
        <v>850.0</v>
      </c>
      <c r="J1771" s="2">
        <v>940.0</v>
      </c>
      <c r="K1771" s="2">
        <v>8.33333333333333</v>
      </c>
    </row>
    <row r="1772">
      <c r="A1772" s="2">
        <v>61.0</v>
      </c>
      <c r="B1772" s="2" t="s">
        <v>23</v>
      </c>
      <c r="C1772" s="2" t="s">
        <v>144</v>
      </c>
      <c r="D1772" s="2" t="s">
        <v>143</v>
      </c>
      <c r="E1772" s="2">
        <v>82.0</v>
      </c>
      <c r="F1772" s="2">
        <v>30.3796363082344</v>
      </c>
      <c r="G1772" s="2">
        <v>31.5002367505206</v>
      </c>
      <c r="H1772" s="2">
        <v>7.93176404309763</v>
      </c>
      <c r="I1772" s="2">
        <v>1251.0</v>
      </c>
      <c r="J1772" s="2">
        <v>1333.0</v>
      </c>
      <c r="K1772" s="2">
        <v>7.98854590949686</v>
      </c>
    </row>
    <row r="1773">
      <c r="A1773" s="2">
        <v>60.0</v>
      </c>
      <c r="B1773" s="2" t="s">
        <v>20</v>
      </c>
      <c r="C1773" s="2" t="s">
        <v>142</v>
      </c>
      <c r="D1773" s="2" t="s">
        <v>143</v>
      </c>
      <c r="E1773" s="2">
        <v>40.0</v>
      </c>
      <c r="F1773" s="2">
        <v>25.9951899123206</v>
      </c>
      <c r="G1773" s="2">
        <v>26.5287325846784</v>
      </c>
      <c r="H1773" s="2">
        <v>8.10637734208881</v>
      </c>
      <c r="I1773" s="2">
        <v>937.0</v>
      </c>
      <c r="J1773" s="2">
        <v>977.0</v>
      </c>
      <c r="K1773" s="2">
        <v>8.1463124962485</v>
      </c>
    </row>
    <row r="1774">
      <c r="A1774" s="2">
        <v>60.0</v>
      </c>
      <c r="B1774" s="2" t="s">
        <v>81</v>
      </c>
      <c r="C1774" s="2" t="s">
        <v>142</v>
      </c>
      <c r="D1774" s="2" t="s">
        <v>143</v>
      </c>
      <c r="E1774" s="2">
        <v>42.0</v>
      </c>
      <c r="F1774" s="2">
        <v>25.0</v>
      </c>
      <c r="G1774" s="2">
        <v>25.5582881768274</v>
      </c>
      <c r="H1774" s="2">
        <v>8.29006917722233</v>
      </c>
      <c r="I1774" s="2">
        <v>850.0</v>
      </c>
      <c r="J1774" s="2">
        <v>892.0</v>
      </c>
      <c r="K1774" s="2">
        <v>8.33333333333333</v>
      </c>
    </row>
    <row r="1775">
      <c r="A1775" s="2">
        <v>60.0</v>
      </c>
      <c r="B1775" s="2" t="s">
        <v>16</v>
      </c>
      <c r="C1775" s="2" t="s">
        <v>142</v>
      </c>
      <c r="D1775" s="2" t="s">
        <v>143</v>
      </c>
      <c r="E1775" s="2">
        <v>37.0</v>
      </c>
      <c r="F1775" s="2">
        <v>32.5758285718843</v>
      </c>
      <c r="G1775" s="2">
        <v>33.0736083837078</v>
      </c>
      <c r="H1775" s="2">
        <v>7.83293478020363</v>
      </c>
      <c r="I1775" s="2">
        <v>1413.0</v>
      </c>
      <c r="J1775" s="2">
        <v>1450.0</v>
      </c>
      <c r="K1775" s="2">
        <v>7.86817420358069</v>
      </c>
    </row>
    <row r="1776">
      <c r="A1776" s="2">
        <v>60.0</v>
      </c>
      <c r="B1776" s="2" t="s">
        <v>18</v>
      </c>
      <c r="C1776" s="2" t="s">
        <v>144</v>
      </c>
      <c r="D1776" s="2" t="s">
        <v>145</v>
      </c>
      <c r="E1776" s="2">
        <v>-31.0</v>
      </c>
      <c r="F1776" s="2">
        <v>23.9975127078108</v>
      </c>
      <c r="G1776" s="2">
        <v>23.4793277315977</v>
      </c>
      <c r="H1776" s="2">
        <v>7.99014994856805</v>
      </c>
      <c r="I1776" s="2">
        <v>813.0</v>
      </c>
      <c r="J1776" s="2">
        <v>782.0</v>
      </c>
      <c r="K1776" s="2">
        <v>8.02805180626821</v>
      </c>
    </row>
    <row r="1777">
      <c r="A1777" s="2">
        <v>60.0</v>
      </c>
      <c r="B1777" s="2" t="s">
        <v>77</v>
      </c>
      <c r="C1777" s="2" t="s">
        <v>144</v>
      </c>
      <c r="D1777" s="2" t="s">
        <v>145</v>
      </c>
      <c r="E1777" s="2">
        <v>-33.0</v>
      </c>
      <c r="F1777" s="2">
        <v>23.6545454449881</v>
      </c>
      <c r="G1777" s="2">
        <v>23.1046083970816</v>
      </c>
      <c r="H1777" s="2">
        <v>8.22855678039531</v>
      </c>
      <c r="I1777" s="2">
        <v>765.0</v>
      </c>
      <c r="J1777" s="2">
        <v>732.0</v>
      </c>
      <c r="K1777" s="2">
        <v>8.2706902095633</v>
      </c>
    </row>
    <row r="1778">
      <c r="A1778" s="2">
        <v>60.0</v>
      </c>
      <c r="B1778" s="2" t="s">
        <v>29</v>
      </c>
      <c r="C1778" s="2" t="s">
        <v>144</v>
      </c>
      <c r="D1778" s="2" t="s">
        <v>145</v>
      </c>
      <c r="E1778" s="2">
        <v>-30.0</v>
      </c>
      <c r="F1778" s="2">
        <v>28.4120928820505</v>
      </c>
      <c r="G1778" s="2">
        <v>27.9181858193407</v>
      </c>
      <c r="H1778" s="2">
        <v>7.80272321814955</v>
      </c>
      <c r="I1778" s="2">
        <v>1133.0</v>
      </c>
      <c r="J1778" s="2">
        <v>1103.0</v>
      </c>
      <c r="K1778" s="2">
        <v>7.83746239605928</v>
      </c>
    </row>
    <row r="1779">
      <c r="A1779" s="2">
        <v>60.0</v>
      </c>
      <c r="B1779" s="2" t="s">
        <v>42</v>
      </c>
      <c r="C1779" s="2" t="s">
        <v>144</v>
      </c>
      <c r="D1779" s="2" t="s">
        <v>145</v>
      </c>
      <c r="E1779" s="2">
        <v>-34.0</v>
      </c>
      <c r="F1779" s="2">
        <v>25.0</v>
      </c>
      <c r="G1779" s="2">
        <v>24.4417118231725</v>
      </c>
      <c r="H1779" s="2">
        <v>8.29006917722233</v>
      </c>
      <c r="I1779" s="2">
        <v>850.0</v>
      </c>
      <c r="J1779" s="2">
        <v>816.0</v>
      </c>
      <c r="K1779" s="2">
        <v>8.33333333333333</v>
      </c>
    </row>
    <row r="1780">
      <c r="A1780" s="2">
        <v>60.0</v>
      </c>
      <c r="B1780" s="2" t="s">
        <v>34</v>
      </c>
      <c r="C1780" s="2" t="s">
        <v>144</v>
      </c>
      <c r="D1780" s="2" t="s">
        <v>145</v>
      </c>
      <c r="E1780" s="2">
        <v>-34.0</v>
      </c>
      <c r="F1780" s="2">
        <v>25.0</v>
      </c>
      <c r="G1780" s="2">
        <v>24.4417118231725</v>
      </c>
      <c r="H1780" s="2">
        <v>8.29006917722233</v>
      </c>
      <c r="I1780" s="2">
        <v>850.0</v>
      </c>
      <c r="J1780" s="2">
        <v>816.0</v>
      </c>
      <c r="K1780" s="2">
        <v>8.33333333333333</v>
      </c>
    </row>
    <row r="1781">
      <c r="A1781" s="2">
        <v>60.0</v>
      </c>
      <c r="B1781" s="2" t="s">
        <v>53</v>
      </c>
      <c r="C1781" s="2" t="s">
        <v>144</v>
      </c>
      <c r="D1781" s="2" t="s">
        <v>145</v>
      </c>
      <c r="E1781" s="2">
        <v>-32.0</v>
      </c>
      <c r="F1781" s="2">
        <v>26.6688799119068</v>
      </c>
      <c r="G1781" s="2">
        <v>26.1348561423519</v>
      </c>
      <c r="H1781" s="2">
        <v>8.10999016973352</v>
      </c>
      <c r="I1781" s="2">
        <v>982.0</v>
      </c>
      <c r="J1781" s="2">
        <v>950.0</v>
      </c>
      <c r="K1781" s="2">
        <v>8.14998942591815</v>
      </c>
    </row>
    <row r="1782">
      <c r="A1782" s="2">
        <v>60.0</v>
      </c>
      <c r="B1782" s="2" t="s">
        <v>71</v>
      </c>
      <c r="C1782" s="2" t="s">
        <v>144</v>
      </c>
      <c r="D1782" s="2" t="s">
        <v>145</v>
      </c>
      <c r="E1782" s="2">
        <v>-33.0</v>
      </c>
      <c r="F1782" s="2">
        <v>24.088721632222</v>
      </c>
      <c r="G1782" s="2">
        <v>23.5380507287392</v>
      </c>
      <c r="H1782" s="2">
        <v>8.23398148087694</v>
      </c>
      <c r="I1782" s="2">
        <v>794.0</v>
      </c>
      <c r="J1782" s="2">
        <v>761.0</v>
      </c>
      <c r="K1782" s="2">
        <v>8.27621397724734</v>
      </c>
    </row>
    <row r="1783">
      <c r="A1783" s="2">
        <v>60.0</v>
      </c>
      <c r="B1783" s="2" t="s">
        <v>43</v>
      </c>
      <c r="C1783" s="2" t="s">
        <v>144</v>
      </c>
      <c r="D1783" s="2" t="s">
        <v>145</v>
      </c>
      <c r="E1783" s="2">
        <v>-31.0</v>
      </c>
      <c r="F1783" s="2">
        <v>27.1471898976504</v>
      </c>
      <c r="G1783" s="2">
        <v>26.6276946274788</v>
      </c>
      <c r="H1783" s="2">
        <v>8.00013515730206</v>
      </c>
      <c r="I1783" s="2">
        <v>1026.0</v>
      </c>
      <c r="J1783" s="2">
        <v>995.0</v>
      </c>
      <c r="K1783" s="2">
        <v>8.03820950833984</v>
      </c>
    </row>
    <row r="1784">
      <c r="A1784" s="2">
        <v>60.0</v>
      </c>
      <c r="B1784" s="2" t="s">
        <v>64</v>
      </c>
      <c r="C1784" s="2" t="s">
        <v>144</v>
      </c>
      <c r="D1784" s="2" t="s">
        <v>145</v>
      </c>
      <c r="E1784" s="2">
        <v>-30.0</v>
      </c>
      <c r="F1784" s="2">
        <v>31.13931096436</v>
      </c>
      <c r="G1784" s="2">
        <v>30.6456645106446</v>
      </c>
      <c r="H1784" s="2">
        <v>7.80068580974569</v>
      </c>
      <c r="I1784" s="2">
        <v>1318.0</v>
      </c>
      <c r="J1784" s="2">
        <v>1288.0</v>
      </c>
      <c r="K1784" s="2">
        <v>7.83539138281172</v>
      </c>
    </row>
    <row r="1785">
      <c r="A1785" s="2">
        <v>60.0</v>
      </c>
      <c r="B1785" s="2" t="s">
        <v>87</v>
      </c>
      <c r="C1785" s="2" t="s">
        <v>144</v>
      </c>
      <c r="D1785" s="2" t="s">
        <v>145</v>
      </c>
      <c r="E1785" s="2">
        <v>-34.0</v>
      </c>
      <c r="F1785" s="2">
        <v>25.0</v>
      </c>
      <c r="G1785" s="2">
        <v>24.4417118231725</v>
      </c>
      <c r="H1785" s="2">
        <v>8.29006917722233</v>
      </c>
      <c r="I1785" s="2">
        <v>850.0</v>
      </c>
      <c r="J1785" s="2">
        <v>816.0</v>
      </c>
      <c r="K1785" s="2">
        <v>8.33333333333333</v>
      </c>
    </row>
    <row r="1786">
      <c r="A1786" s="2">
        <v>59.0</v>
      </c>
      <c r="B1786" s="2" t="s">
        <v>19</v>
      </c>
      <c r="C1786" s="2" t="s">
        <v>142</v>
      </c>
      <c r="D1786" s="2" t="s">
        <v>145</v>
      </c>
      <c r="E1786" s="2">
        <v>-92.0</v>
      </c>
      <c r="F1786" s="2">
        <v>29.3385866333772</v>
      </c>
      <c r="G1786" s="2">
        <v>27.8956247243783</v>
      </c>
      <c r="H1786" s="2">
        <v>7.96563524240926</v>
      </c>
      <c r="I1786" s="2">
        <v>1176.0</v>
      </c>
      <c r="J1786" s="2">
        <v>1084.0</v>
      </c>
      <c r="K1786" s="2">
        <v>8.029206153082</v>
      </c>
    </row>
    <row r="1787">
      <c r="A1787" s="2">
        <v>59.0</v>
      </c>
      <c r="B1787" s="2" t="s">
        <v>33</v>
      </c>
      <c r="C1787" s="2" t="s">
        <v>142</v>
      </c>
      <c r="D1787" s="2" t="s">
        <v>145</v>
      </c>
      <c r="E1787" s="2">
        <v>-98.0</v>
      </c>
      <c r="F1787" s="2">
        <v>25.0</v>
      </c>
      <c r="G1787" s="2">
        <v>23.4458112191071</v>
      </c>
      <c r="H1787" s="2">
        <v>8.26138190836253</v>
      </c>
      <c r="I1787" s="2">
        <v>850.0</v>
      </c>
      <c r="J1787" s="2">
        <v>752.0</v>
      </c>
      <c r="K1787" s="2">
        <v>8.33333333333333</v>
      </c>
    </row>
    <row r="1788">
      <c r="A1788" s="2">
        <v>59.0</v>
      </c>
      <c r="B1788" s="2" t="s">
        <v>50</v>
      </c>
      <c r="C1788" s="2" t="s">
        <v>142</v>
      </c>
      <c r="D1788" s="2" t="s">
        <v>145</v>
      </c>
      <c r="E1788" s="2">
        <v>-98.0</v>
      </c>
      <c r="F1788" s="2">
        <v>25.0</v>
      </c>
      <c r="G1788" s="2">
        <v>23.4458112191071</v>
      </c>
      <c r="H1788" s="2">
        <v>8.26138190836253</v>
      </c>
      <c r="I1788" s="2">
        <v>850.0</v>
      </c>
      <c r="J1788" s="2">
        <v>752.0</v>
      </c>
      <c r="K1788" s="2">
        <v>8.33333333333333</v>
      </c>
    </row>
    <row r="1789">
      <c r="A1789" s="2">
        <v>59.0</v>
      </c>
      <c r="B1789" s="2" t="s">
        <v>26</v>
      </c>
      <c r="C1789" s="2" t="s">
        <v>144</v>
      </c>
      <c r="D1789" s="2" t="s">
        <v>143</v>
      </c>
      <c r="E1789" s="2">
        <v>99.0</v>
      </c>
      <c r="F1789" s="2">
        <v>24.9790941618485</v>
      </c>
      <c r="G1789" s="2">
        <v>26.3552974295102</v>
      </c>
      <c r="H1789" s="2">
        <v>7.78232647212276</v>
      </c>
      <c r="I1789" s="2">
        <v>899.0</v>
      </c>
      <c r="J1789" s="2">
        <v>998.0</v>
      </c>
      <c r="K1789" s="2">
        <v>7.84100555964444</v>
      </c>
    </row>
    <row r="1790">
      <c r="A1790" s="2">
        <v>59.0</v>
      </c>
      <c r="B1790" s="2" t="s">
        <v>16</v>
      </c>
      <c r="C1790" s="2" t="s">
        <v>144</v>
      </c>
      <c r="D1790" s="2" t="s">
        <v>143</v>
      </c>
      <c r="E1790" s="2">
        <v>102.0</v>
      </c>
      <c r="F1790" s="2">
        <v>31.1685678114036</v>
      </c>
      <c r="G1790" s="2">
        <v>32.5758285718843</v>
      </c>
      <c r="H1790" s="2">
        <v>7.86817420358069</v>
      </c>
      <c r="I1790" s="2">
        <v>1311.0</v>
      </c>
      <c r="J1790" s="2">
        <v>1413.0</v>
      </c>
      <c r="K1790" s="2">
        <v>7.92911604040407</v>
      </c>
    </row>
    <row r="1791">
      <c r="A1791" s="2">
        <v>59.0</v>
      </c>
      <c r="B1791" s="2" t="s">
        <v>22</v>
      </c>
      <c r="C1791" s="2" t="s">
        <v>144</v>
      </c>
      <c r="D1791" s="2" t="s">
        <v>143</v>
      </c>
      <c r="E1791" s="2">
        <v>103.0</v>
      </c>
      <c r="F1791" s="2">
        <v>22.4593110916078</v>
      </c>
      <c r="G1791" s="2">
        <v>23.8775789186895</v>
      </c>
      <c r="H1791" s="2">
        <v>7.89835992012786</v>
      </c>
      <c r="I1791" s="2">
        <v>715.0</v>
      </c>
      <c r="J1791" s="2">
        <v>818.0</v>
      </c>
      <c r="K1791" s="2">
        <v>7.96010914584645</v>
      </c>
    </row>
    <row r="1792">
      <c r="A1792" s="2">
        <v>59.0</v>
      </c>
      <c r="B1792" s="2" t="s">
        <v>38</v>
      </c>
      <c r="C1792" s="2" t="s">
        <v>144</v>
      </c>
      <c r="D1792" s="2" t="s">
        <v>143</v>
      </c>
      <c r="E1792" s="2">
        <v>103.0</v>
      </c>
      <c r="F1792" s="2">
        <v>20.8751581763111</v>
      </c>
      <c r="G1792" s="2">
        <v>22.2906104087431</v>
      </c>
      <c r="H1792" s="2">
        <v>7.89065021763482</v>
      </c>
      <c r="I1792" s="2">
        <v>608.0</v>
      </c>
      <c r="J1792" s="2">
        <v>711.0</v>
      </c>
      <c r="K1792" s="2">
        <v>7.95219264351785</v>
      </c>
    </row>
    <row r="1793">
      <c r="A1793" s="2">
        <v>59.0</v>
      </c>
      <c r="B1793" s="2" t="s">
        <v>24</v>
      </c>
      <c r="C1793" s="2" t="s">
        <v>144</v>
      </c>
      <c r="D1793" s="2" t="s">
        <v>143</v>
      </c>
      <c r="E1793" s="2">
        <v>104.0</v>
      </c>
      <c r="F1793" s="2">
        <v>22.3687622442842</v>
      </c>
      <c r="G1793" s="2">
        <v>23.8087924689644</v>
      </c>
      <c r="H1793" s="2">
        <v>7.9576801923781</v>
      </c>
      <c r="I1793" s="2">
        <v>703.0</v>
      </c>
      <c r="J1793" s="2">
        <v>807.0</v>
      </c>
      <c r="K1793" s="2">
        <v>8.02103408669125</v>
      </c>
    </row>
    <row r="1794">
      <c r="A1794" s="2">
        <v>59.0</v>
      </c>
      <c r="B1794" s="2" t="s">
        <v>78</v>
      </c>
      <c r="C1794" s="2" t="s">
        <v>144</v>
      </c>
      <c r="D1794" s="2" t="s">
        <v>143</v>
      </c>
      <c r="E1794" s="2">
        <v>113.0</v>
      </c>
      <c r="F1794" s="2">
        <v>25.0</v>
      </c>
      <c r="G1794" s="2">
        <v>26.5541887808928</v>
      </c>
      <c r="H1794" s="2">
        <v>8.26138190836253</v>
      </c>
      <c r="I1794" s="2">
        <v>850.0</v>
      </c>
      <c r="J1794" s="2">
        <v>963.0</v>
      </c>
      <c r="K1794" s="2">
        <v>8.33333333333333</v>
      </c>
    </row>
    <row r="1795">
      <c r="A1795" s="2">
        <v>59.0</v>
      </c>
      <c r="B1795" s="2" t="s">
        <v>64</v>
      </c>
      <c r="C1795" s="2" t="s">
        <v>144</v>
      </c>
      <c r="D1795" s="2" t="s">
        <v>143</v>
      </c>
      <c r="E1795" s="2">
        <v>101.0</v>
      </c>
      <c r="F1795" s="2">
        <v>29.7439531962811</v>
      </c>
      <c r="G1795" s="2">
        <v>31.13931096436</v>
      </c>
      <c r="H1795" s="2">
        <v>7.83539138281172</v>
      </c>
      <c r="I1795" s="2">
        <v>1217.0</v>
      </c>
      <c r="J1795" s="2">
        <v>1318.0</v>
      </c>
      <c r="K1795" s="2">
        <v>7.89546331814324</v>
      </c>
    </row>
    <row r="1796">
      <c r="A1796" s="2">
        <v>59.0</v>
      </c>
      <c r="B1796" s="2" t="s">
        <v>89</v>
      </c>
      <c r="C1796" s="2" t="s">
        <v>144</v>
      </c>
      <c r="D1796" s="2" t="s">
        <v>143</v>
      </c>
      <c r="E1796" s="2">
        <v>113.0</v>
      </c>
      <c r="F1796" s="2">
        <v>25.0</v>
      </c>
      <c r="G1796" s="2">
        <v>26.5541887808928</v>
      </c>
      <c r="H1796" s="2">
        <v>8.26138190836253</v>
      </c>
      <c r="I1796" s="2">
        <v>850.0</v>
      </c>
      <c r="J1796" s="2">
        <v>963.0</v>
      </c>
      <c r="K1796" s="2">
        <v>8.33333333333333</v>
      </c>
    </row>
    <row r="1797">
      <c r="A1797" s="2">
        <v>59.0</v>
      </c>
      <c r="B1797" s="2" t="s">
        <v>122</v>
      </c>
      <c r="C1797" s="2" t="s">
        <v>144</v>
      </c>
      <c r="D1797" s="2" t="s">
        <v>143</v>
      </c>
      <c r="E1797" s="2">
        <v>113.0</v>
      </c>
      <c r="F1797" s="2">
        <v>25.0</v>
      </c>
      <c r="G1797" s="2">
        <v>26.5541887808928</v>
      </c>
      <c r="H1797" s="2">
        <v>8.26138190836253</v>
      </c>
      <c r="I1797" s="2">
        <v>850.0</v>
      </c>
      <c r="J1797" s="2">
        <v>963.0</v>
      </c>
      <c r="K1797" s="2">
        <v>8.33333333333333</v>
      </c>
    </row>
    <row r="1798">
      <c r="A1798" s="2">
        <v>59.0</v>
      </c>
      <c r="B1798" s="2" t="s">
        <v>17</v>
      </c>
      <c r="C1798" s="2" t="s">
        <v>144</v>
      </c>
      <c r="D1798" s="2" t="s">
        <v>143</v>
      </c>
      <c r="E1798" s="2">
        <v>108.0</v>
      </c>
      <c r="F1798" s="2">
        <v>26.6596100237831</v>
      </c>
      <c r="G1798" s="2">
        <v>28.1450577295012</v>
      </c>
      <c r="H1798" s="2">
        <v>8.07997676095114</v>
      </c>
      <c r="I1798" s="2">
        <v>982.0</v>
      </c>
      <c r="J1798" s="2">
        <v>1090.0</v>
      </c>
      <c r="K1798" s="2">
        <v>8.14671510753092</v>
      </c>
    </row>
    <row r="1799">
      <c r="A1799" s="2">
        <v>58.0</v>
      </c>
      <c r="B1799" s="2" t="s">
        <v>55</v>
      </c>
      <c r="C1799" s="2" t="s">
        <v>142</v>
      </c>
      <c r="D1799" s="2" t="s">
        <v>143</v>
      </c>
      <c r="E1799" s="2">
        <v>63.0</v>
      </c>
      <c r="F1799" s="2">
        <v>24.7826951060583</v>
      </c>
      <c r="G1799" s="2">
        <v>25.631480861275</v>
      </c>
      <c r="H1799" s="2">
        <v>7.99154828488286</v>
      </c>
      <c r="I1799" s="2">
        <v>865.0</v>
      </c>
      <c r="J1799" s="2">
        <v>928.0</v>
      </c>
      <c r="K1799" s="2">
        <v>8.0421384167727</v>
      </c>
    </row>
    <row r="1800">
      <c r="A1800" s="2">
        <v>58.0</v>
      </c>
      <c r="B1800" s="2" t="s">
        <v>97</v>
      </c>
      <c r="C1800" s="2" t="s">
        <v>142</v>
      </c>
      <c r="D1800" s="2" t="s">
        <v>143</v>
      </c>
      <c r="E1800" s="2">
        <v>63.0</v>
      </c>
      <c r="F1800" s="2">
        <v>25.0483976404743</v>
      </c>
      <c r="G1800" s="2">
        <v>25.8990929243984</v>
      </c>
      <c r="H1800" s="2">
        <v>8.00040561479713</v>
      </c>
      <c r="I1800" s="2">
        <v>882.0</v>
      </c>
      <c r="J1800" s="2">
        <v>945.0</v>
      </c>
      <c r="K1800" s="2">
        <v>8.05119218113481</v>
      </c>
    </row>
    <row r="1801">
      <c r="A1801" s="2">
        <v>58.0</v>
      </c>
      <c r="B1801" s="2" t="s">
        <v>21</v>
      </c>
      <c r="C1801" s="2" t="s">
        <v>142</v>
      </c>
      <c r="D1801" s="2" t="s">
        <v>143</v>
      </c>
      <c r="E1801" s="2">
        <v>68.0</v>
      </c>
      <c r="F1801" s="2">
        <v>25.0</v>
      </c>
      <c r="G1801" s="2">
        <v>25.9112783677779</v>
      </c>
      <c r="H1801" s="2">
        <v>8.27621397724734</v>
      </c>
      <c r="I1801" s="2">
        <v>850.0</v>
      </c>
      <c r="J1801" s="2">
        <v>918.0</v>
      </c>
      <c r="K1801" s="2">
        <v>8.33333333333333</v>
      </c>
    </row>
    <row r="1802">
      <c r="A1802" s="2">
        <v>58.0</v>
      </c>
      <c r="B1802" s="2" t="s">
        <v>99</v>
      </c>
      <c r="C1802" s="2" t="s">
        <v>144</v>
      </c>
      <c r="D1802" s="2" t="s">
        <v>145</v>
      </c>
      <c r="E1802" s="2">
        <v>-56.0</v>
      </c>
      <c r="F1802" s="2">
        <v>25.7704014745659</v>
      </c>
      <c r="G1802" s="2">
        <v>24.8702866424351</v>
      </c>
      <c r="H1802" s="2">
        <v>8.22612824872403</v>
      </c>
      <c r="I1802" s="2">
        <v>908.0</v>
      </c>
      <c r="J1802" s="2">
        <v>852.0</v>
      </c>
      <c r="K1802" s="2">
        <v>8.28206609711067</v>
      </c>
    </row>
    <row r="1803">
      <c r="A1803" s="2">
        <v>58.0</v>
      </c>
      <c r="B1803" s="2" t="s">
        <v>90</v>
      </c>
      <c r="C1803" s="2" t="s">
        <v>144</v>
      </c>
      <c r="D1803" s="2" t="s">
        <v>145</v>
      </c>
      <c r="E1803" s="2">
        <v>-54.0</v>
      </c>
      <c r="F1803" s="2">
        <v>25.7609425255673</v>
      </c>
      <c r="G1803" s="2">
        <v>24.8895158049077</v>
      </c>
      <c r="H1803" s="2">
        <v>8.0959082357272</v>
      </c>
      <c r="I1803" s="2">
        <v>921.0</v>
      </c>
      <c r="J1803" s="2">
        <v>867.0</v>
      </c>
      <c r="K1803" s="2">
        <v>8.14883997868513</v>
      </c>
    </row>
    <row r="1804">
      <c r="A1804" s="2">
        <v>58.0</v>
      </c>
      <c r="B1804" s="2" t="s">
        <v>16</v>
      </c>
      <c r="C1804" s="2" t="s">
        <v>144</v>
      </c>
      <c r="D1804" s="2" t="s">
        <v>145</v>
      </c>
      <c r="E1804" s="2">
        <v>-51.0</v>
      </c>
      <c r="F1804" s="2">
        <v>32.0039574196941</v>
      </c>
      <c r="G1804" s="2">
        <v>31.1685678114036</v>
      </c>
      <c r="H1804" s="2">
        <v>7.92911604040407</v>
      </c>
      <c r="I1804" s="2">
        <v>1362.0</v>
      </c>
      <c r="J1804" s="2">
        <v>1311.0</v>
      </c>
      <c r="K1804" s="2">
        <v>7.97833359162764</v>
      </c>
    </row>
    <row r="1805">
      <c r="A1805" s="2">
        <v>58.0</v>
      </c>
      <c r="B1805" s="2" t="s">
        <v>22</v>
      </c>
      <c r="C1805" s="2" t="s">
        <v>144</v>
      </c>
      <c r="D1805" s="2" t="s">
        <v>145</v>
      </c>
      <c r="E1805" s="2">
        <v>-52.0</v>
      </c>
      <c r="F1805" s="2">
        <v>23.3013370317285</v>
      </c>
      <c r="G1805" s="2">
        <v>22.4593110916078</v>
      </c>
      <c r="H1805" s="2">
        <v>7.96010914584645</v>
      </c>
      <c r="I1805" s="2">
        <v>767.0</v>
      </c>
      <c r="J1805" s="2">
        <v>715.0</v>
      </c>
      <c r="K1805" s="2">
        <v>8.01000545915828</v>
      </c>
    </row>
    <row r="1806">
      <c r="A1806" s="2">
        <v>58.0</v>
      </c>
      <c r="B1806" s="2" t="s">
        <v>71</v>
      </c>
      <c r="C1806" s="2" t="s">
        <v>144</v>
      </c>
      <c r="D1806" s="2" t="s">
        <v>145</v>
      </c>
      <c r="E1806" s="2">
        <v>-56.0</v>
      </c>
      <c r="F1806" s="2">
        <v>25.0</v>
      </c>
      <c r="G1806" s="2">
        <v>24.088721632222</v>
      </c>
      <c r="H1806" s="2">
        <v>8.27621397724734</v>
      </c>
      <c r="I1806" s="2">
        <v>850.0</v>
      </c>
      <c r="J1806" s="2">
        <v>794.0</v>
      </c>
      <c r="K1806" s="2">
        <v>8.33333333333333</v>
      </c>
    </row>
    <row r="1807">
      <c r="A1807" s="2">
        <v>58.0</v>
      </c>
      <c r="B1807" s="2" t="s">
        <v>85</v>
      </c>
      <c r="C1807" s="2" t="s">
        <v>144</v>
      </c>
      <c r="D1807" s="2" t="s">
        <v>145</v>
      </c>
      <c r="E1807" s="2">
        <v>-56.0</v>
      </c>
      <c r="F1807" s="2">
        <v>25.0</v>
      </c>
      <c r="G1807" s="2">
        <v>24.088721632222</v>
      </c>
      <c r="H1807" s="2">
        <v>8.27621397724734</v>
      </c>
      <c r="I1807" s="2">
        <v>850.0</v>
      </c>
      <c r="J1807" s="2">
        <v>794.0</v>
      </c>
      <c r="K1807" s="2">
        <v>8.33333333333333</v>
      </c>
    </row>
    <row r="1808">
      <c r="A1808" s="2">
        <v>58.0</v>
      </c>
      <c r="B1808" s="2" t="s">
        <v>38</v>
      </c>
      <c r="C1808" s="2" t="s">
        <v>144</v>
      </c>
      <c r="D1808" s="2" t="s">
        <v>145</v>
      </c>
      <c r="E1808" s="2">
        <v>-52.0</v>
      </c>
      <c r="F1808" s="2">
        <v>21.7154864092516</v>
      </c>
      <c r="G1808" s="2">
        <v>20.8751581763111</v>
      </c>
      <c r="H1808" s="2">
        <v>7.95219264351785</v>
      </c>
      <c r="I1808" s="2">
        <v>660.0</v>
      </c>
      <c r="J1808" s="2">
        <v>608.0</v>
      </c>
      <c r="K1808" s="2">
        <v>8.00191509096006</v>
      </c>
    </row>
    <row r="1809">
      <c r="A1809" s="2">
        <v>58.0</v>
      </c>
      <c r="B1809" s="2" t="s">
        <v>24</v>
      </c>
      <c r="C1809" s="2" t="s">
        <v>144</v>
      </c>
      <c r="D1809" s="2" t="s">
        <v>145</v>
      </c>
      <c r="E1809" s="2">
        <v>-53.0</v>
      </c>
      <c r="F1809" s="2">
        <v>23.2239134448424</v>
      </c>
      <c r="G1809" s="2">
        <v>22.3687622442842</v>
      </c>
      <c r="H1809" s="2">
        <v>8.02103408669125</v>
      </c>
      <c r="I1809" s="2">
        <v>756.0</v>
      </c>
      <c r="J1809" s="2">
        <v>703.0</v>
      </c>
      <c r="K1809" s="2">
        <v>8.07227979390621</v>
      </c>
    </row>
    <row r="1810">
      <c r="A1810" s="2">
        <v>58.0</v>
      </c>
      <c r="B1810" s="2" t="s">
        <v>64</v>
      </c>
      <c r="C1810" s="2" t="s">
        <v>144</v>
      </c>
      <c r="D1810" s="2" t="s">
        <v>145</v>
      </c>
      <c r="E1810" s="2">
        <v>-52.0</v>
      </c>
      <c r="F1810" s="2">
        <v>30.5721679754527</v>
      </c>
      <c r="G1810" s="2">
        <v>29.7439531962811</v>
      </c>
      <c r="H1810" s="2">
        <v>7.89546331814324</v>
      </c>
      <c r="I1810" s="2">
        <v>1269.0</v>
      </c>
      <c r="J1810" s="2">
        <v>1217.0</v>
      </c>
      <c r="K1810" s="2">
        <v>7.94394969093824</v>
      </c>
    </row>
    <row r="1811">
      <c r="A1811" s="2">
        <v>58.0</v>
      </c>
      <c r="B1811" s="2" t="s">
        <v>46</v>
      </c>
      <c r="C1811" s="2" t="s">
        <v>144</v>
      </c>
      <c r="D1811" s="2" t="s">
        <v>145</v>
      </c>
      <c r="E1811" s="2">
        <v>-54.0</v>
      </c>
      <c r="F1811" s="2">
        <v>26.4500253428651</v>
      </c>
      <c r="G1811" s="2">
        <v>25.5814076968071</v>
      </c>
      <c r="H1811" s="2">
        <v>8.08303777635649</v>
      </c>
      <c r="I1811" s="2">
        <v>969.0</v>
      </c>
      <c r="J1811" s="2">
        <v>915.0</v>
      </c>
      <c r="K1811" s="2">
        <v>8.13567751135421</v>
      </c>
    </row>
    <row r="1812">
      <c r="A1812" s="2">
        <v>57.0</v>
      </c>
      <c r="B1812" s="2" t="s">
        <v>26</v>
      </c>
      <c r="C1812" s="2" t="s">
        <v>142</v>
      </c>
      <c r="D1812" s="2" t="s">
        <v>145</v>
      </c>
      <c r="E1812" s="2">
        <v>-77.0</v>
      </c>
      <c r="F1812" s="2">
        <v>26.1863312824507</v>
      </c>
      <c r="G1812" s="2">
        <v>24.9790941618485</v>
      </c>
      <c r="H1812" s="2">
        <v>7.84100555964444</v>
      </c>
      <c r="I1812" s="2">
        <v>976.0</v>
      </c>
      <c r="J1812" s="2">
        <v>899.0</v>
      </c>
      <c r="K1812" s="2">
        <v>7.89311272169108</v>
      </c>
    </row>
    <row r="1813">
      <c r="A1813" s="2">
        <v>57.0</v>
      </c>
      <c r="B1813" s="2" t="s">
        <v>27</v>
      </c>
      <c r="C1813" s="2" t="s">
        <v>142</v>
      </c>
      <c r="D1813" s="2" t="s">
        <v>145</v>
      </c>
      <c r="E1813" s="2">
        <v>-82.0</v>
      </c>
      <c r="F1813" s="2">
        <v>27.7745643043049</v>
      </c>
      <c r="G1813" s="2">
        <v>26.4724399996185</v>
      </c>
      <c r="H1813" s="2">
        <v>8.13858617075801</v>
      </c>
      <c r="I1813" s="2">
        <v>1052.0</v>
      </c>
      <c r="J1813" s="2">
        <v>970.0</v>
      </c>
      <c r="K1813" s="2">
        <v>8.19787128058487</v>
      </c>
    </row>
    <row r="1814">
      <c r="A1814" s="2">
        <v>57.0</v>
      </c>
      <c r="B1814" s="2" t="s">
        <v>77</v>
      </c>
      <c r="C1814" s="2" t="s">
        <v>142</v>
      </c>
      <c r="D1814" s="2" t="s">
        <v>145</v>
      </c>
      <c r="E1814" s="2">
        <v>-85.0</v>
      </c>
      <c r="F1814" s="2">
        <v>25.0</v>
      </c>
      <c r="G1814" s="2">
        <v>23.6545454449881</v>
      </c>
      <c r="H1814" s="2">
        <v>8.2706902095633</v>
      </c>
      <c r="I1814" s="2">
        <v>850.0</v>
      </c>
      <c r="J1814" s="2">
        <v>765.0</v>
      </c>
      <c r="K1814" s="2">
        <v>8.33333333333333</v>
      </c>
    </row>
    <row r="1815">
      <c r="A1815" s="2">
        <v>57.0</v>
      </c>
      <c r="B1815" s="2" t="s">
        <v>83</v>
      </c>
      <c r="C1815" s="2" t="s">
        <v>144</v>
      </c>
      <c r="D1815" s="2" t="s">
        <v>143</v>
      </c>
      <c r="E1815" s="2">
        <v>95.0</v>
      </c>
      <c r="F1815" s="2">
        <v>25.7551006676362</v>
      </c>
      <c r="G1815" s="2">
        <v>27.0643068059267</v>
      </c>
      <c r="H1815" s="2">
        <v>8.16033308497367</v>
      </c>
      <c r="I1815" s="2">
        <v>913.0</v>
      </c>
      <c r="J1815" s="2">
        <v>1008.0</v>
      </c>
      <c r="K1815" s="2">
        <v>8.22016361245128</v>
      </c>
    </row>
    <row r="1816">
      <c r="A1816" s="2">
        <v>57.0</v>
      </c>
      <c r="B1816" s="2" t="s">
        <v>117</v>
      </c>
      <c r="C1816" s="2" t="s">
        <v>144</v>
      </c>
      <c r="D1816" s="2" t="s">
        <v>143</v>
      </c>
      <c r="E1816" s="2">
        <v>98.0</v>
      </c>
      <c r="F1816" s="2">
        <v>25.0</v>
      </c>
      <c r="G1816" s="2">
        <v>26.3454545550118</v>
      </c>
      <c r="H1816" s="2">
        <v>8.2706902095633</v>
      </c>
      <c r="I1816" s="2">
        <v>850.0</v>
      </c>
      <c r="J1816" s="2">
        <v>948.0</v>
      </c>
      <c r="K1816" s="2">
        <v>8.33333333333333</v>
      </c>
    </row>
    <row r="1817">
      <c r="A1817" s="2">
        <v>57.0</v>
      </c>
      <c r="B1817" s="2" t="s">
        <v>23</v>
      </c>
      <c r="C1817" s="2" t="s">
        <v>144</v>
      </c>
      <c r="D1817" s="2" t="s">
        <v>143</v>
      </c>
      <c r="E1817" s="2">
        <v>91.0</v>
      </c>
      <c r="F1817" s="2">
        <v>29.1258239189287</v>
      </c>
      <c r="G1817" s="2">
        <v>30.3796363082344</v>
      </c>
      <c r="H1817" s="2">
        <v>7.98854590949686</v>
      </c>
      <c r="I1817" s="2">
        <v>1160.0</v>
      </c>
      <c r="J1817" s="2">
        <v>1251.0</v>
      </c>
      <c r="K1817" s="2">
        <v>8.04414601818132</v>
      </c>
    </row>
    <row r="1818">
      <c r="A1818" s="2">
        <v>57.0</v>
      </c>
      <c r="B1818" s="2" t="s">
        <v>29</v>
      </c>
      <c r="C1818" s="2" t="s">
        <v>144</v>
      </c>
      <c r="D1818" s="2" t="s">
        <v>143</v>
      </c>
      <c r="E1818" s="2">
        <v>88.0</v>
      </c>
      <c r="F1818" s="2">
        <v>27.205962928209</v>
      </c>
      <c r="G1818" s="2">
        <v>28.4120928820505</v>
      </c>
      <c r="H1818" s="2">
        <v>7.83746239605928</v>
      </c>
      <c r="I1818" s="2">
        <v>1045.0</v>
      </c>
      <c r="J1818" s="2">
        <v>1133.0</v>
      </c>
      <c r="K1818" s="2">
        <v>7.88948724225616</v>
      </c>
    </row>
    <row r="1819">
      <c r="A1819" s="2">
        <v>57.0</v>
      </c>
      <c r="B1819" s="2" t="s">
        <v>43</v>
      </c>
      <c r="C1819" s="2" t="s">
        <v>144</v>
      </c>
      <c r="D1819" s="2" t="s">
        <v>143</v>
      </c>
      <c r="E1819" s="2">
        <v>92.0</v>
      </c>
      <c r="F1819" s="2">
        <v>25.8774921287033</v>
      </c>
      <c r="G1819" s="2">
        <v>27.1471898976504</v>
      </c>
      <c r="H1819" s="2">
        <v>8.03820950833984</v>
      </c>
      <c r="I1819" s="2">
        <v>934.0</v>
      </c>
      <c r="J1819" s="2">
        <v>1026.0</v>
      </c>
      <c r="K1819" s="2">
        <v>8.09501436420283</v>
      </c>
    </row>
    <row r="1820">
      <c r="A1820" s="2">
        <v>57.0</v>
      </c>
      <c r="B1820" s="2" t="s">
        <v>123</v>
      </c>
      <c r="C1820" s="2" t="s">
        <v>144</v>
      </c>
      <c r="D1820" s="2" t="s">
        <v>143</v>
      </c>
      <c r="E1820" s="2">
        <v>96.0</v>
      </c>
      <c r="F1820" s="2">
        <v>23.748464751845</v>
      </c>
      <c r="G1820" s="2">
        <v>25.0727465291538</v>
      </c>
      <c r="H1820" s="2">
        <v>8.20642277763351</v>
      </c>
      <c r="I1820" s="2">
        <v>772.0</v>
      </c>
      <c r="J1820" s="2">
        <v>868.0</v>
      </c>
      <c r="K1820" s="2">
        <v>8.26741882334399</v>
      </c>
    </row>
    <row r="1821">
      <c r="A1821" s="2">
        <v>57.0</v>
      </c>
      <c r="B1821" s="2" t="s">
        <v>18</v>
      </c>
      <c r="C1821" s="2" t="s">
        <v>144</v>
      </c>
      <c r="D1821" s="2" t="s">
        <v>143</v>
      </c>
      <c r="E1821" s="2">
        <v>92.0</v>
      </c>
      <c r="F1821" s="2">
        <v>22.7310724989497</v>
      </c>
      <c r="G1821" s="2">
        <v>23.9975127078108</v>
      </c>
      <c r="H1821" s="2">
        <v>8.02805180626821</v>
      </c>
      <c r="I1821" s="2">
        <v>721.0</v>
      </c>
      <c r="J1821" s="2">
        <v>813.0</v>
      </c>
      <c r="K1821" s="2">
        <v>8.08460905520294</v>
      </c>
    </row>
    <row r="1822">
      <c r="A1822" s="2">
        <v>57.0</v>
      </c>
      <c r="B1822" s="2" t="s">
        <v>51</v>
      </c>
      <c r="C1822" s="2" t="s">
        <v>144</v>
      </c>
      <c r="D1822" s="2" t="s">
        <v>143</v>
      </c>
      <c r="E1822" s="2">
        <v>98.0</v>
      </c>
      <c r="F1822" s="2">
        <v>25.0</v>
      </c>
      <c r="G1822" s="2">
        <v>26.3454545550118</v>
      </c>
      <c r="H1822" s="2">
        <v>8.2706902095633</v>
      </c>
      <c r="I1822" s="2">
        <v>850.0</v>
      </c>
      <c r="J1822" s="2">
        <v>948.0</v>
      </c>
      <c r="K1822" s="2">
        <v>8.33333333333333</v>
      </c>
    </row>
    <row r="1823">
      <c r="A1823" s="2">
        <v>57.0</v>
      </c>
      <c r="B1823" s="2" t="s">
        <v>16</v>
      </c>
      <c r="C1823" s="2" t="s">
        <v>144</v>
      </c>
      <c r="D1823" s="2" t="s">
        <v>143</v>
      </c>
      <c r="E1823" s="2">
        <v>90.0</v>
      </c>
      <c r="F1823" s="2">
        <v>30.7533985589468</v>
      </c>
      <c r="G1823" s="2">
        <v>32.0039574196941</v>
      </c>
      <c r="H1823" s="2">
        <v>7.97833359162764</v>
      </c>
      <c r="I1823" s="2">
        <v>1272.0</v>
      </c>
      <c r="J1823" s="2">
        <v>1362.0</v>
      </c>
      <c r="K1823" s="2">
        <v>8.03368779167144</v>
      </c>
    </row>
    <row r="1824">
      <c r="A1824" s="2">
        <v>57.0</v>
      </c>
      <c r="B1824" s="2" t="s">
        <v>52</v>
      </c>
      <c r="C1824" s="2" t="s">
        <v>144</v>
      </c>
      <c r="D1824" s="2" t="s">
        <v>143</v>
      </c>
      <c r="E1824" s="2">
        <v>93.0</v>
      </c>
      <c r="F1824" s="2">
        <v>27.4134718469208</v>
      </c>
      <c r="G1824" s="2">
        <v>28.6868712847855</v>
      </c>
      <c r="H1824" s="2">
        <v>8.04973547070393</v>
      </c>
      <c r="I1824" s="2">
        <v>1037.0</v>
      </c>
      <c r="J1824" s="2">
        <v>1130.0</v>
      </c>
      <c r="K1824" s="2">
        <v>8.10682203633772</v>
      </c>
    </row>
    <row r="1825">
      <c r="A1825" s="2">
        <v>57.0</v>
      </c>
      <c r="B1825" s="2" t="s">
        <v>32</v>
      </c>
      <c r="C1825" s="2" t="s">
        <v>144</v>
      </c>
      <c r="D1825" s="2" t="s">
        <v>143</v>
      </c>
      <c r="E1825" s="2">
        <v>93.0</v>
      </c>
      <c r="F1825" s="2">
        <v>24.8258516794089</v>
      </c>
      <c r="G1825" s="2">
        <v>26.0955494483561</v>
      </c>
      <c r="H1825" s="2">
        <v>8.03820950833984</v>
      </c>
      <c r="I1825" s="2">
        <v>862.0</v>
      </c>
      <c r="J1825" s="2">
        <v>955.0</v>
      </c>
      <c r="K1825" s="2">
        <v>8.09501436420283</v>
      </c>
    </row>
    <row r="1826">
      <c r="A1826" s="2">
        <v>56.0</v>
      </c>
      <c r="B1826" s="2" t="s">
        <v>90</v>
      </c>
      <c r="C1826" s="2" t="s">
        <v>142</v>
      </c>
      <c r="D1826" s="2" t="s">
        <v>143</v>
      </c>
      <c r="E1826" s="2">
        <v>62.0</v>
      </c>
      <c r="F1826" s="2">
        <v>24.9287873617825</v>
      </c>
      <c r="G1826" s="2">
        <v>25.7609425255673</v>
      </c>
      <c r="H1826" s="2">
        <v>8.14883997868513</v>
      </c>
      <c r="I1826" s="2">
        <v>859.0</v>
      </c>
      <c r="J1826" s="2">
        <v>921.0</v>
      </c>
      <c r="K1826" s="2">
        <v>8.20133545669011</v>
      </c>
    </row>
    <row r="1827">
      <c r="A1827" s="2">
        <v>56.0</v>
      </c>
      <c r="B1827" s="2" t="s">
        <v>32</v>
      </c>
      <c r="C1827" s="2" t="s">
        <v>142</v>
      </c>
      <c r="D1827" s="2" t="s">
        <v>143</v>
      </c>
      <c r="E1827" s="2">
        <v>61.0</v>
      </c>
      <c r="F1827" s="2">
        <v>24.0048100876793</v>
      </c>
      <c r="G1827" s="2">
        <v>24.8258516794089</v>
      </c>
      <c r="H1827" s="2">
        <v>8.09501436420283</v>
      </c>
      <c r="I1827" s="2">
        <v>801.0</v>
      </c>
      <c r="J1827" s="2">
        <v>862.0</v>
      </c>
      <c r="K1827" s="2">
        <v>8.1463124962485</v>
      </c>
    </row>
    <row r="1828">
      <c r="A1828" s="2">
        <v>56.0</v>
      </c>
      <c r="B1828" s="2" t="s">
        <v>40</v>
      </c>
      <c r="C1828" s="2" t="s">
        <v>142</v>
      </c>
      <c r="D1828" s="2" t="s">
        <v>143</v>
      </c>
      <c r="E1828" s="2">
        <v>58.0</v>
      </c>
      <c r="F1828" s="2">
        <v>26.5958550110735</v>
      </c>
      <c r="G1828" s="2">
        <v>27.3711125841721</v>
      </c>
      <c r="H1828" s="2">
        <v>7.86916354134277</v>
      </c>
      <c r="I1828" s="2">
        <v>1001.0</v>
      </c>
      <c r="J1828" s="2">
        <v>1059.0</v>
      </c>
      <c r="K1828" s="2">
        <v>7.91560479887927</v>
      </c>
    </row>
    <row r="1829">
      <c r="A1829" s="2">
        <v>56.0</v>
      </c>
      <c r="B1829" s="2" t="s">
        <v>67</v>
      </c>
      <c r="C1829" s="2" t="s">
        <v>144</v>
      </c>
      <c r="D1829" s="2" t="s">
        <v>145</v>
      </c>
      <c r="E1829" s="2">
        <v>-50.0</v>
      </c>
      <c r="F1829" s="2">
        <v>23.2720990627061</v>
      </c>
      <c r="G1829" s="2">
        <v>22.4599071933022</v>
      </c>
      <c r="H1829" s="2">
        <v>8.05188074271142</v>
      </c>
      <c r="I1829" s="2">
        <v>756.0</v>
      </c>
      <c r="J1829" s="2">
        <v>706.0</v>
      </c>
      <c r="K1829" s="2">
        <v>8.10223054810624</v>
      </c>
    </row>
    <row r="1830">
      <c r="A1830" s="2">
        <v>56.0</v>
      </c>
      <c r="B1830" s="2" t="s">
        <v>18</v>
      </c>
      <c r="C1830" s="2" t="s">
        <v>144</v>
      </c>
      <c r="D1830" s="2" t="s">
        <v>145</v>
      </c>
      <c r="E1830" s="2">
        <v>-51.0</v>
      </c>
      <c r="F1830" s="2">
        <v>23.5499746571348</v>
      </c>
      <c r="G1830" s="2">
        <v>22.7310724989497</v>
      </c>
      <c r="H1830" s="2">
        <v>8.08460905520294</v>
      </c>
      <c r="I1830" s="2">
        <v>772.0</v>
      </c>
      <c r="J1830" s="2">
        <v>721.0</v>
      </c>
      <c r="K1830" s="2">
        <v>8.13567751135421</v>
      </c>
    </row>
    <row r="1831">
      <c r="A1831" s="2">
        <v>56.0</v>
      </c>
      <c r="B1831" s="2" t="s">
        <v>82</v>
      </c>
      <c r="C1831" s="2" t="s">
        <v>144</v>
      </c>
      <c r="D1831" s="2" t="s">
        <v>145</v>
      </c>
      <c r="E1831" s="2">
        <v>-53.0</v>
      </c>
      <c r="F1831" s="2">
        <v>25.0</v>
      </c>
      <c r="G1831" s="2">
        <v>24.1408788142085</v>
      </c>
      <c r="H1831" s="2">
        <v>8.27790301316009</v>
      </c>
      <c r="I1831" s="2">
        <v>850.0</v>
      </c>
      <c r="J1831" s="2">
        <v>797.0</v>
      </c>
      <c r="K1831" s="2">
        <v>8.33333333333333</v>
      </c>
    </row>
    <row r="1832">
      <c r="A1832" s="2">
        <v>56.0</v>
      </c>
      <c r="B1832" s="2" t="s">
        <v>53</v>
      </c>
      <c r="C1832" s="2" t="s">
        <v>144</v>
      </c>
      <c r="D1832" s="2" t="s">
        <v>145</v>
      </c>
      <c r="E1832" s="2">
        <v>-51.0</v>
      </c>
      <c r="F1832" s="2">
        <v>27.5012732565541</v>
      </c>
      <c r="G1832" s="2">
        <v>26.6688799119068</v>
      </c>
      <c r="H1832" s="2">
        <v>8.14998942591815</v>
      </c>
      <c r="I1832" s="2">
        <v>1033.0</v>
      </c>
      <c r="J1832" s="2">
        <v>982.0</v>
      </c>
      <c r="K1832" s="2">
        <v>8.20251064303864</v>
      </c>
    </row>
    <row r="1833">
      <c r="A1833" s="2">
        <v>56.0</v>
      </c>
      <c r="B1833" s="2" t="s">
        <v>31</v>
      </c>
      <c r="C1833" s="2" t="s">
        <v>144</v>
      </c>
      <c r="D1833" s="2" t="s">
        <v>145</v>
      </c>
      <c r="E1833" s="2">
        <v>-52.0</v>
      </c>
      <c r="F1833" s="2">
        <v>27.1789471649048</v>
      </c>
      <c r="G1833" s="2">
        <v>26.3447292311311</v>
      </c>
      <c r="H1833" s="2">
        <v>8.15878910106481</v>
      </c>
      <c r="I1833" s="2">
        <v>1011.0</v>
      </c>
      <c r="J1833" s="2">
        <v>959.0</v>
      </c>
      <c r="K1833" s="2">
        <v>8.21150760182139</v>
      </c>
    </row>
    <row r="1834">
      <c r="A1834" s="2">
        <v>56.0</v>
      </c>
      <c r="B1834" s="2" t="s">
        <v>29</v>
      </c>
      <c r="C1834" s="2" t="s">
        <v>144</v>
      </c>
      <c r="D1834" s="2" t="s">
        <v>145</v>
      </c>
      <c r="E1834" s="2">
        <v>-48.0</v>
      </c>
      <c r="F1834" s="2">
        <v>27.9852844904371</v>
      </c>
      <c r="G1834" s="2">
        <v>27.205962928209</v>
      </c>
      <c r="H1834" s="2">
        <v>7.88948724225616</v>
      </c>
      <c r="I1834" s="2">
        <v>1093.0</v>
      </c>
      <c r="J1834" s="2">
        <v>1045.0</v>
      </c>
      <c r="K1834" s="2">
        <v>7.93635465764643</v>
      </c>
    </row>
    <row r="1835">
      <c r="A1835" s="2">
        <v>56.0</v>
      </c>
      <c r="B1835" s="2" t="s">
        <v>24</v>
      </c>
      <c r="C1835" s="2" t="s">
        <v>144</v>
      </c>
      <c r="D1835" s="2" t="s">
        <v>145</v>
      </c>
      <c r="E1835" s="2">
        <v>-50.0</v>
      </c>
      <c r="F1835" s="2">
        <v>24.0402843538181</v>
      </c>
      <c r="G1835" s="2">
        <v>23.2239134448424</v>
      </c>
      <c r="H1835" s="2">
        <v>8.07227979390621</v>
      </c>
      <c r="I1835" s="2">
        <v>806.0</v>
      </c>
      <c r="J1835" s="2">
        <v>756.0</v>
      </c>
      <c r="K1835" s="2">
        <v>8.12307685419456</v>
      </c>
    </row>
    <row r="1836">
      <c r="A1836" s="2">
        <v>56.0</v>
      </c>
      <c r="B1836" s="2" t="s">
        <v>66</v>
      </c>
      <c r="C1836" s="2" t="s">
        <v>144</v>
      </c>
      <c r="D1836" s="2" t="s">
        <v>145</v>
      </c>
      <c r="E1836" s="2">
        <v>-53.0</v>
      </c>
      <c r="F1836" s="2">
        <v>25.0</v>
      </c>
      <c r="G1836" s="2">
        <v>24.1408788142085</v>
      </c>
      <c r="H1836" s="2">
        <v>8.27790301316009</v>
      </c>
      <c r="I1836" s="2">
        <v>850.0</v>
      </c>
      <c r="J1836" s="2">
        <v>797.0</v>
      </c>
      <c r="K1836" s="2">
        <v>8.33333333333333</v>
      </c>
    </row>
    <row r="1837">
      <c r="A1837" s="2">
        <v>56.0</v>
      </c>
      <c r="B1837" s="2" t="s">
        <v>43</v>
      </c>
      <c r="C1837" s="2" t="s">
        <v>144</v>
      </c>
      <c r="D1837" s="2" t="s">
        <v>145</v>
      </c>
      <c r="E1837" s="2">
        <v>-51.0</v>
      </c>
      <c r="F1837" s="2">
        <v>26.6985337204329</v>
      </c>
      <c r="G1837" s="2">
        <v>25.8774921287033</v>
      </c>
      <c r="H1837" s="2">
        <v>8.09501436420283</v>
      </c>
      <c r="I1837" s="2">
        <v>985.0</v>
      </c>
      <c r="J1837" s="2">
        <v>934.0</v>
      </c>
      <c r="K1837" s="2">
        <v>8.1463124962485</v>
      </c>
    </row>
    <row r="1838">
      <c r="A1838" s="2">
        <v>56.0</v>
      </c>
      <c r="B1838" s="2" t="s">
        <v>35</v>
      </c>
      <c r="C1838" s="2" t="s">
        <v>144</v>
      </c>
      <c r="D1838" s="2" t="s">
        <v>145</v>
      </c>
      <c r="E1838" s="2">
        <v>-51.0</v>
      </c>
      <c r="F1838" s="2">
        <v>27.1968815110722</v>
      </c>
      <c r="G1838" s="2">
        <v>26.3628097315735</v>
      </c>
      <c r="H1838" s="2">
        <v>8.15808459477958</v>
      </c>
      <c r="I1838" s="2">
        <v>1012.0</v>
      </c>
      <c r="J1838" s="2">
        <v>961.0</v>
      </c>
      <c r="K1838" s="2">
        <v>8.21078728553072</v>
      </c>
    </row>
    <row r="1839">
      <c r="A1839" s="2">
        <v>55.0</v>
      </c>
      <c r="B1839" s="2" t="s">
        <v>38</v>
      </c>
      <c r="C1839" s="2" t="s">
        <v>142</v>
      </c>
      <c r="D1839" s="2" t="s">
        <v>145</v>
      </c>
      <c r="E1839" s="2">
        <v>-75.0</v>
      </c>
      <c r="F1839" s="2">
        <v>22.9038406952535</v>
      </c>
      <c r="G1839" s="2">
        <v>21.7154864092516</v>
      </c>
      <c r="H1839" s="2">
        <v>8.00191509096006</v>
      </c>
      <c r="I1839" s="2">
        <v>735.0</v>
      </c>
      <c r="J1839" s="2">
        <v>660.0</v>
      </c>
      <c r="K1839" s="2">
        <v>8.0615517957089</v>
      </c>
    </row>
    <row r="1840">
      <c r="A1840" s="2">
        <v>55.0</v>
      </c>
      <c r="B1840" s="2" t="s">
        <v>55</v>
      </c>
      <c r="C1840" s="2" t="s">
        <v>142</v>
      </c>
      <c r="D1840" s="2" t="s">
        <v>145</v>
      </c>
      <c r="E1840" s="2">
        <v>-75.0</v>
      </c>
      <c r="F1840" s="2">
        <v>25.9832278132446</v>
      </c>
      <c r="G1840" s="2">
        <v>24.7826951060583</v>
      </c>
      <c r="H1840" s="2">
        <v>8.0421384167727</v>
      </c>
      <c r="I1840" s="2">
        <v>940.0</v>
      </c>
      <c r="J1840" s="2">
        <v>865.0</v>
      </c>
      <c r="K1840" s="2">
        <v>8.10281137270167</v>
      </c>
    </row>
    <row r="1841">
      <c r="A1841" s="2">
        <v>55.0</v>
      </c>
      <c r="B1841" s="2" t="s">
        <v>111</v>
      </c>
      <c r="C1841" s="2" t="s">
        <v>142</v>
      </c>
      <c r="D1841" s="2" t="s">
        <v>145</v>
      </c>
      <c r="E1841" s="2">
        <v>-77.0</v>
      </c>
      <c r="F1841" s="2">
        <v>26.4059463774041</v>
      </c>
      <c r="G1841" s="2">
        <v>25.187097988162</v>
      </c>
      <c r="H1841" s="2">
        <v>8.10223054810624</v>
      </c>
      <c r="I1841" s="2">
        <v>963.0</v>
      </c>
      <c r="J1841" s="2">
        <v>886.0</v>
      </c>
      <c r="K1841" s="2">
        <v>8.16447094000922</v>
      </c>
    </row>
    <row r="1842">
      <c r="A1842" s="2">
        <v>55.0</v>
      </c>
      <c r="B1842" s="2" t="s">
        <v>52</v>
      </c>
      <c r="C1842" s="2" t="s">
        <v>144</v>
      </c>
      <c r="D1842" s="2" t="s">
        <v>143</v>
      </c>
      <c r="E1842" s="2">
        <v>89.0</v>
      </c>
      <c r="F1842" s="2">
        <v>26.1932180072551</v>
      </c>
      <c r="G1842" s="2">
        <v>27.4134718469208</v>
      </c>
      <c r="H1842" s="2">
        <v>8.10682203633772</v>
      </c>
      <c r="I1842" s="2">
        <v>948.0</v>
      </c>
      <c r="J1842" s="2">
        <v>1037.0</v>
      </c>
      <c r="K1842" s="2">
        <v>8.16918314915</v>
      </c>
    </row>
    <row r="1843">
      <c r="A1843" s="2">
        <v>55.0</v>
      </c>
      <c r="B1843" s="2" t="s">
        <v>40</v>
      </c>
      <c r="C1843" s="2" t="s">
        <v>144</v>
      </c>
      <c r="D1843" s="2" t="s">
        <v>143</v>
      </c>
      <c r="E1843" s="2">
        <v>85.0</v>
      </c>
      <c r="F1843" s="2">
        <v>25.433412985263</v>
      </c>
      <c r="G1843" s="2">
        <v>26.5958550110735</v>
      </c>
      <c r="H1843" s="2">
        <v>7.91560479887927</v>
      </c>
      <c r="I1843" s="2">
        <v>916.0</v>
      </c>
      <c r="J1843" s="2">
        <v>1001.0</v>
      </c>
      <c r="K1843" s="2">
        <v>7.97305257886662</v>
      </c>
    </row>
    <row r="1844">
      <c r="A1844" s="2">
        <v>55.0</v>
      </c>
      <c r="B1844" s="2" t="s">
        <v>53</v>
      </c>
      <c r="C1844" s="2" t="s">
        <v>144</v>
      </c>
      <c r="D1844" s="2" t="s">
        <v>143</v>
      </c>
      <c r="E1844" s="2">
        <v>91.0</v>
      </c>
      <c r="F1844" s="2">
        <v>26.2515352481549</v>
      </c>
      <c r="G1844" s="2">
        <v>27.5012732565541</v>
      </c>
      <c r="H1844" s="2">
        <v>8.20251064303864</v>
      </c>
      <c r="I1844" s="2">
        <v>942.0</v>
      </c>
      <c r="J1844" s="2">
        <v>1033.0</v>
      </c>
      <c r="K1844" s="2">
        <v>8.26741882334399</v>
      </c>
    </row>
    <row r="1845">
      <c r="A1845" s="2">
        <v>55.0</v>
      </c>
      <c r="B1845" s="2" t="s">
        <v>67</v>
      </c>
      <c r="C1845" s="2" t="s">
        <v>144</v>
      </c>
      <c r="D1845" s="2" t="s">
        <v>143</v>
      </c>
      <c r="E1845" s="2">
        <v>89.0</v>
      </c>
      <c r="F1845" s="2">
        <v>22.053250673464</v>
      </c>
      <c r="G1845" s="2">
        <v>23.2720990627061</v>
      </c>
      <c r="H1845" s="2">
        <v>8.10223054810624</v>
      </c>
      <c r="I1845" s="2">
        <v>667.0</v>
      </c>
      <c r="J1845" s="2">
        <v>756.0</v>
      </c>
      <c r="K1845" s="2">
        <v>8.16447094000922</v>
      </c>
    </row>
    <row r="1846">
      <c r="A1846" s="2">
        <v>55.0</v>
      </c>
      <c r="B1846" s="2" t="s">
        <v>26</v>
      </c>
      <c r="C1846" s="2" t="s">
        <v>144</v>
      </c>
      <c r="D1846" s="2" t="s">
        <v>143</v>
      </c>
      <c r="E1846" s="2">
        <v>85.0</v>
      </c>
      <c r="F1846" s="2">
        <v>25.0305926591535</v>
      </c>
      <c r="G1846" s="2">
        <v>26.1863312824507</v>
      </c>
      <c r="H1846" s="2">
        <v>7.89311272169108</v>
      </c>
      <c r="I1846" s="2">
        <v>891.0</v>
      </c>
      <c r="J1846" s="2">
        <v>976.0</v>
      </c>
      <c r="K1846" s="2">
        <v>7.94999777616705</v>
      </c>
    </row>
    <row r="1847">
      <c r="A1847" s="2">
        <v>55.0</v>
      </c>
      <c r="B1847" s="2" t="s">
        <v>64</v>
      </c>
      <c r="C1847" s="2" t="s">
        <v>144</v>
      </c>
      <c r="D1847" s="2" t="s">
        <v>143</v>
      </c>
      <c r="E1847" s="2">
        <v>86.0</v>
      </c>
      <c r="F1847" s="2">
        <v>29.401249243519</v>
      </c>
      <c r="G1847" s="2">
        <v>30.5721679754527</v>
      </c>
      <c r="H1847" s="2">
        <v>7.94394969093824</v>
      </c>
      <c r="I1847" s="2">
        <v>1183.0</v>
      </c>
      <c r="J1847" s="2">
        <v>1269.0</v>
      </c>
      <c r="K1847" s="2">
        <v>8.00211114560821</v>
      </c>
    </row>
    <row r="1848">
      <c r="A1848" s="2">
        <v>55.0</v>
      </c>
      <c r="B1848" s="2" t="s">
        <v>35</v>
      </c>
      <c r="C1848" s="2" t="s">
        <v>144</v>
      </c>
      <c r="D1848" s="2" t="s">
        <v>143</v>
      </c>
      <c r="E1848" s="2">
        <v>92.0</v>
      </c>
      <c r="F1848" s="2">
        <v>25.944575841483</v>
      </c>
      <c r="G1848" s="2">
        <v>27.1968815110722</v>
      </c>
      <c r="H1848" s="2">
        <v>8.21078728553072</v>
      </c>
      <c r="I1848" s="2">
        <v>920.0</v>
      </c>
      <c r="J1848" s="2">
        <v>1012.0</v>
      </c>
      <c r="K1848" s="2">
        <v>8.27591858934685</v>
      </c>
    </row>
    <row r="1849">
      <c r="A1849" s="2">
        <v>55.0</v>
      </c>
      <c r="B1849" s="2" t="s">
        <v>24</v>
      </c>
      <c r="C1849" s="2" t="s">
        <v>144</v>
      </c>
      <c r="D1849" s="2" t="s">
        <v>143</v>
      </c>
      <c r="E1849" s="2">
        <v>90.0</v>
      </c>
      <c r="F1849" s="2">
        <v>22.815048083928</v>
      </c>
      <c r="G1849" s="2">
        <v>24.0402843538181</v>
      </c>
      <c r="H1849" s="2">
        <v>8.12307685419456</v>
      </c>
      <c r="I1849" s="2">
        <v>716.0</v>
      </c>
      <c r="J1849" s="2">
        <v>806.0</v>
      </c>
      <c r="K1849" s="2">
        <v>8.18586644074993</v>
      </c>
    </row>
    <row r="1850">
      <c r="A1850" s="2">
        <v>55.0</v>
      </c>
      <c r="B1850" s="2" t="s">
        <v>23</v>
      </c>
      <c r="C1850" s="2" t="s">
        <v>144</v>
      </c>
      <c r="D1850" s="2" t="s">
        <v>143</v>
      </c>
      <c r="E1850" s="2">
        <v>88.0</v>
      </c>
      <c r="F1850" s="2">
        <v>27.9246816609095</v>
      </c>
      <c r="G1850" s="2">
        <v>29.1258239189287</v>
      </c>
      <c r="H1850" s="2">
        <v>8.04414601818132</v>
      </c>
      <c r="I1850" s="2">
        <v>1072.0</v>
      </c>
      <c r="J1850" s="2">
        <v>1160.0</v>
      </c>
      <c r="K1850" s="2">
        <v>8.10487096563696</v>
      </c>
    </row>
    <row r="1851">
      <c r="A1851" s="2">
        <v>55.0</v>
      </c>
      <c r="B1851" s="2" t="s">
        <v>76</v>
      </c>
      <c r="C1851" s="2" t="s">
        <v>144</v>
      </c>
      <c r="D1851" s="2" t="s">
        <v>143</v>
      </c>
      <c r="E1851" s="2">
        <v>93.0</v>
      </c>
      <c r="F1851" s="2">
        <v>25.0</v>
      </c>
      <c r="G1851" s="2">
        <v>26.269718971282</v>
      </c>
      <c r="H1851" s="2">
        <v>8.26668334313653</v>
      </c>
      <c r="I1851" s="2">
        <v>850.0</v>
      </c>
      <c r="J1851" s="2">
        <v>943.0</v>
      </c>
      <c r="K1851" s="2">
        <v>8.33333333333333</v>
      </c>
    </row>
    <row r="1852">
      <c r="A1852" s="2">
        <v>54.0</v>
      </c>
      <c r="B1852" s="2" t="s">
        <v>26</v>
      </c>
      <c r="C1852" s="2" t="s">
        <v>142</v>
      </c>
      <c r="D1852" s="2" t="s">
        <v>145</v>
      </c>
      <c r="E1852" s="2">
        <v>-73.0</v>
      </c>
      <c r="F1852" s="2">
        <v>26.1863367501225</v>
      </c>
      <c r="G1852" s="2">
        <v>25.0305926591535</v>
      </c>
      <c r="H1852" s="2">
        <v>7.94999777616705</v>
      </c>
      <c r="I1852" s="2">
        <v>964.0</v>
      </c>
      <c r="J1852" s="2">
        <v>891.0</v>
      </c>
      <c r="K1852" s="2">
        <v>8.00764341807692</v>
      </c>
    </row>
    <row r="1853">
      <c r="A1853" s="2">
        <v>54.0</v>
      </c>
      <c r="B1853" s="2" t="s">
        <v>116</v>
      </c>
      <c r="C1853" s="2" t="s">
        <v>142</v>
      </c>
      <c r="D1853" s="2" t="s">
        <v>145</v>
      </c>
      <c r="E1853" s="2">
        <v>-77.0</v>
      </c>
      <c r="F1853" s="2">
        <v>24.1893971511041</v>
      </c>
      <c r="G1853" s="2">
        <v>22.9536739190734</v>
      </c>
      <c r="H1853" s="2">
        <v>8.21592621119388</v>
      </c>
      <c r="I1853" s="2">
        <v>800.0</v>
      </c>
      <c r="J1853" s="2">
        <v>723.0</v>
      </c>
      <c r="K1853" s="2">
        <v>8.28045527838798</v>
      </c>
    </row>
    <row r="1854">
      <c r="A1854" s="2">
        <v>54.0</v>
      </c>
      <c r="B1854" s="2" t="s">
        <v>123</v>
      </c>
      <c r="C1854" s="2" t="s">
        <v>142</v>
      </c>
      <c r="D1854" s="2" t="s">
        <v>145</v>
      </c>
      <c r="E1854" s="2">
        <v>-78.0</v>
      </c>
      <c r="F1854" s="2">
        <v>25.0</v>
      </c>
      <c r="G1854" s="2">
        <v>23.748464751845</v>
      </c>
      <c r="H1854" s="2">
        <v>8.26741882334399</v>
      </c>
      <c r="I1854" s="2">
        <v>850.0</v>
      </c>
      <c r="J1854" s="2">
        <v>772.0</v>
      </c>
      <c r="K1854" s="2">
        <v>8.33333333333333</v>
      </c>
    </row>
    <row r="1855">
      <c r="A1855" s="2">
        <v>54.0</v>
      </c>
      <c r="B1855" s="2" t="s">
        <v>19</v>
      </c>
      <c r="C1855" s="2" t="s">
        <v>144</v>
      </c>
      <c r="D1855" s="2" t="s">
        <v>143</v>
      </c>
      <c r="E1855" s="2">
        <v>86.0</v>
      </c>
      <c r="F1855" s="2">
        <v>28.159314110832</v>
      </c>
      <c r="G1855" s="2">
        <v>29.3385866333772</v>
      </c>
      <c r="H1855" s="2">
        <v>8.029206153082</v>
      </c>
      <c r="I1855" s="2">
        <v>1090.0</v>
      </c>
      <c r="J1855" s="2">
        <v>1176.0</v>
      </c>
      <c r="K1855" s="2">
        <v>8.08885509300377</v>
      </c>
    </row>
    <row r="1856">
      <c r="A1856" s="2">
        <v>54.0</v>
      </c>
      <c r="B1856" s="2" t="s">
        <v>22</v>
      </c>
      <c r="C1856" s="2" t="s">
        <v>144</v>
      </c>
      <c r="D1856" s="2" t="s">
        <v>143</v>
      </c>
      <c r="E1856" s="2">
        <v>85.0</v>
      </c>
      <c r="F1856" s="2">
        <v>22.1277908255808</v>
      </c>
      <c r="G1856" s="2">
        <v>23.3013370317285</v>
      </c>
      <c r="H1856" s="2">
        <v>8.01000545915828</v>
      </c>
      <c r="I1856" s="2">
        <v>682.0</v>
      </c>
      <c r="J1856" s="2">
        <v>767.0</v>
      </c>
      <c r="K1856" s="2">
        <v>8.06916516646682</v>
      </c>
    </row>
    <row r="1857">
      <c r="A1857" s="2">
        <v>54.0</v>
      </c>
      <c r="B1857" s="2" t="s">
        <v>40</v>
      </c>
      <c r="C1857" s="2" t="s">
        <v>144</v>
      </c>
      <c r="D1857" s="2" t="s">
        <v>143</v>
      </c>
      <c r="E1857" s="2">
        <v>85.0</v>
      </c>
      <c r="F1857" s="2">
        <v>24.2708462544576</v>
      </c>
      <c r="G1857" s="2">
        <v>25.433412985263</v>
      </c>
      <c r="H1857" s="2">
        <v>7.97305257886662</v>
      </c>
      <c r="I1857" s="2">
        <v>831.0</v>
      </c>
      <c r="J1857" s="2">
        <v>916.0</v>
      </c>
      <c r="K1857" s="2">
        <v>8.03127725366202</v>
      </c>
    </row>
    <row r="1858">
      <c r="A1858" s="2">
        <v>54.0</v>
      </c>
      <c r="B1858" s="2" t="s">
        <v>55</v>
      </c>
      <c r="C1858" s="2" t="s">
        <v>144</v>
      </c>
      <c r="D1858" s="2" t="s">
        <v>143</v>
      </c>
      <c r="E1858" s="2">
        <v>88.0</v>
      </c>
      <c r="F1858" s="2">
        <v>24.7818679952064</v>
      </c>
      <c r="G1858" s="2">
        <v>25.9832278132446</v>
      </c>
      <c r="H1858" s="2">
        <v>8.10281137270167</v>
      </c>
      <c r="I1858" s="2">
        <v>852.0</v>
      </c>
      <c r="J1858" s="2">
        <v>940.0</v>
      </c>
      <c r="K1858" s="2">
        <v>8.16435740169905</v>
      </c>
    </row>
    <row r="1859">
      <c r="A1859" s="2">
        <v>54.0</v>
      </c>
      <c r="B1859" s="2" t="s">
        <v>97</v>
      </c>
      <c r="C1859" s="2" t="s">
        <v>144</v>
      </c>
      <c r="D1859" s="2" t="s">
        <v>143</v>
      </c>
      <c r="E1859" s="2">
        <v>87.0</v>
      </c>
      <c r="F1859" s="2">
        <v>23.8625501431828</v>
      </c>
      <c r="G1859" s="2">
        <v>25.0483976404743</v>
      </c>
      <c r="H1859" s="2">
        <v>8.05119218113481</v>
      </c>
      <c r="I1859" s="2">
        <v>795.0</v>
      </c>
      <c r="J1859" s="2">
        <v>882.0</v>
      </c>
      <c r="K1859" s="2">
        <v>8.1114041833889</v>
      </c>
    </row>
    <row r="1860">
      <c r="A1860" s="2">
        <v>54.0</v>
      </c>
      <c r="B1860" s="2" t="s">
        <v>16</v>
      </c>
      <c r="C1860" s="2" t="s">
        <v>144</v>
      </c>
      <c r="D1860" s="2" t="s">
        <v>143</v>
      </c>
      <c r="E1860" s="2">
        <v>87.0</v>
      </c>
      <c r="F1860" s="2">
        <v>29.5727873490563</v>
      </c>
      <c r="G1860" s="2">
        <v>30.7533985589468</v>
      </c>
      <c r="H1860" s="2">
        <v>8.03368779167144</v>
      </c>
      <c r="I1860" s="2">
        <v>1185.0</v>
      </c>
      <c r="J1860" s="2">
        <v>1272.0</v>
      </c>
      <c r="K1860" s="2">
        <v>8.09345125833888</v>
      </c>
    </row>
    <row r="1861">
      <c r="A1861" s="2">
        <v>54.0</v>
      </c>
      <c r="B1861" s="2" t="s">
        <v>31</v>
      </c>
      <c r="C1861" s="2" t="s">
        <v>144</v>
      </c>
      <c r="D1861" s="2" t="s">
        <v>143</v>
      </c>
      <c r="E1861" s="2">
        <v>91.0</v>
      </c>
      <c r="F1861" s="2">
        <v>25.944575841483</v>
      </c>
      <c r="G1861" s="2">
        <v>27.1789471649048</v>
      </c>
      <c r="H1861" s="2">
        <v>8.21150760182139</v>
      </c>
      <c r="I1861" s="2">
        <v>920.0</v>
      </c>
      <c r="J1861" s="2">
        <v>1011.0</v>
      </c>
      <c r="K1861" s="2">
        <v>8.27591858934685</v>
      </c>
    </row>
    <row r="1862">
      <c r="A1862" s="2">
        <v>54.0</v>
      </c>
      <c r="B1862" s="2" t="s">
        <v>64</v>
      </c>
      <c r="C1862" s="2" t="s">
        <v>144</v>
      </c>
      <c r="D1862" s="2" t="s">
        <v>143</v>
      </c>
      <c r="E1862" s="2">
        <v>86.0</v>
      </c>
      <c r="F1862" s="2">
        <v>28.2300531528781</v>
      </c>
      <c r="G1862" s="2">
        <v>29.401249243519</v>
      </c>
      <c r="H1862" s="2">
        <v>8.00211114560821</v>
      </c>
      <c r="I1862" s="2">
        <v>1097.0</v>
      </c>
      <c r="J1862" s="2">
        <v>1183.0</v>
      </c>
      <c r="K1862" s="2">
        <v>8.06107037989931</v>
      </c>
    </row>
    <row r="1863">
      <c r="A1863" s="2">
        <v>54.0</v>
      </c>
      <c r="B1863" s="2" t="s">
        <v>53</v>
      </c>
      <c r="C1863" s="2" t="s">
        <v>144</v>
      </c>
      <c r="D1863" s="2" t="s">
        <v>143</v>
      </c>
      <c r="E1863" s="2">
        <v>92.0</v>
      </c>
      <c r="F1863" s="2">
        <v>25.0</v>
      </c>
      <c r="G1863" s="2">
        <v>26.2515352481549</v>
      </c>
      <c r="H1863" s="2">
        <v>8.26741882334399</v>
      </c>
      <c r="I1863" s="2">
        <v>850.0</v>
      </c>
      <c r="J1863" s="2">
        <v>942.0</v>
      </c>
      <c r="K1863" s="2">
        <v>8.33333333333333</v>
      </c>
    </row>
    <row r="1864">
      <c r="A1864" s="2">
        <v>54.0</v>
      </c>
      <c r="B1864" s="2" t="s">
        <v>17</v>
      </c>
      <c r="C1864" s="2" t="s">
        <v>144</v>
      </c>
      <c r="D1864" s="2" t="s">
        <v>143</v>
      </c>
      <c r="E1864" s="2">
        <v>89.0</v>
      </c>
      <c r="F1864" s="2">
        <v>25.4449730983005</v>
      </c>
      <c r="G1864" s="2">
        <v>26.6596100237831</v>
      </c>
      <c r="H1864" s="2">
        <v>8.14671510753092</v>
      </c>
      <c r="I1864" s="2">
        <v>893.0</v>
      </c>
      <c r="J1864" s="2">
        <v>982.0</v>
      </c>
      <c r="K1864" s="2">
        <v>8.20940916345992</v>
      </c>
    </row>
    <row r="1865">
      <c r="A1865" s="2">
        <v>53.0</v>
      </c>
      <c r="B1865" s="2" t="s">
        <v>18</v>
      </c>
      <c r="C1865" s="2" t="s">
        <v>142</v>
      </c>
      <c r="D1865" s="2" t="s">
        <v>145</v>
      </c>
      <c r="E1865" s="2">
        <v>-84.0</v>
      </c>
      <c r="F1865" s="2">
        <v>24.8932597419967</v>
      </c>
      <c r="G1865" s="2">
        <v>23.5499746571348</v>
      </c>
      <c r="H1865" s="2">
        <v>8.13567751135421</v>
      </c>
      <c r="I1865" s="2">
        <v>856.0</v>
      </c>
      <c r="J1865" s="2">
        <v>772.0</v>
      </c>
      <c r="K1865" s="2">
        <v>8.20082666922598</v>
      </c>
    </row>
    <row r="1866">
      <c r="A1866" s="2">
        <v>53.0</v>
      </c>
      <c r="B1866" s="2" t="s">
        <v>32</v>
      </c>
      <c r="C1866" s="2" t="s">
        <v>142</v>
      </c>
      <c r="D1866" s="2" t="s">
        <v>145</v>
      </c>
      <c r="E1866" s="2">
        <v>-85.0</v>
      </c>
      <c r="F1866" s="2">
        <v>25.3516719040561</v>
      </c>
      <c r="G1866" s="2">
        <v>24.0048100876793</v>
      </c>
      <c r="H1866" s="2">
        <v>8.1463124962485</v>
      </c>
      <c r="I1866" s="2">
        <v>886.0</v>
      </c>
      <c r="J1866" s="2">
        <v>801.0</v>
      </c>
      <c r="K1866" s="2">
        <v>8.21175207018624</v>
      </c>
    </row>
    <row r="1867">
      <c r="A1867" s="2">
        <v>53.0</v>
      </c>
      <c r="B1867" s="2" t="s">
        <v>47</v>
      </c>
      <c r="C1867" s="2" t="s">
        <v>142</v>
      </c>
      <c r="D1867" s="2" t="s">
        <v>145</v>
      </c>
      <c r="E1867" s="2">
        <v>-84.0</v>
      </c>
      <c r="F1867" s="2">
        <v>27.1528353115684</v>
      </c>
      <c r="G1867" s="2">
        <v>25.8246092890867</v>
      </c>
      <c r="H1867" s="2">
        <v>8.09073676048479</v>
      </c>
      <c r="I1867" s="2">
        <v>1015.0</v>
      </c>
      <c r="J1867" s="2">
        <v>931.0</v>
      </c>
      <c r="K1867" s="2">
        <v>8.15466705833138</v>
      </c>
    </row>
    <row r="1868">
      <c r="A1868" s="2">
        <v>53.0</v>
      </c>
      <c r="B1868" s="2" t="s">
        <v>29</v>
      </c>
      <c r="C1868" s="2" t="s">
        <v>144</v>
      </c>
      <c r="D1868" s="2" t="s">
        <v>143</v>
      </c>
      <c r="E1868" s="2">
        <v>92.0</v>
      </c>
      <c r="F1868" s="2">
        <v>26.7081098597625</v>
      </c>
      <c r="G1868" s="2">
        <v>27.9852844904371</v>
      </c>
      <c r="H1868" s="2">
        <v>7.93635465764643</v>
      </c>
      <c r="I1868" s="2">
        <v>1001.0</v>
      </c>
      <c r="J1868" s="2">
        <v>1093.0</v>
      </c>
      <c r="K1868" s="2">
        <v>7.99619977373246</v>
      </c>
    </row>
    <row r="1869">
      <c r="A1869" s="2">
        <v>53.0</v>
      </c>
      <c r="B1869" s="2" t="s">
        <v>16</v>
      </c>
      <c r="C1869" s="2" t="s">
        <v>144</v>
      </c>
      <c r="D1869" s="2" t="s">
        <v>143</v>
      </c>
      <c r="E1869" s="2">
        <v>96.0</v>
      </c>
      <c r="F1869" s="2">
        <v>28.2436542701998</v>
      </c>
      <c r="G1869" s="2">
        <v>29.5727873490563</v>
      </c>
      <c r="H1869" s="2">
        <v>8.09345125833888</v>
      </c>
      <c r="I1869" s="2">
        <v>1089.0</v>
      </c>
      <c r="J1869" s="2">
        <v>1185.0</v>
      </c>
      <c r="K1869" s="2">
        <v>8.15745479462159</v>
      </c>
    </row>
    <row r="1870">
      <c r="A1870" s="2">
        <v>53.0</v>
      </c>
      <c r="B1870" s="2" t="s">
        <v>23</v>
      </c>
      <c r="C1870" s="2" t="s">
        <v>144</v>
      </c>
      <c r="D1870" s="2" t="s">
        <v>143</v>
      </c>
      <c r="E1870" s="2">
        <v>97.0</v>
      </c>
      <c r="F1870" s="2">
        <v>26.5917290867371</v>
      </c>
      <c r="G1870" s="2">
        <v>27.9246816609095</v>
      </c>
      <c r="H1870" s="2">
        <v>8.10487096563696</v>
      </c>
      <c r="I1870" s="2">
        <v>975.0</v>
      </c>
      <c r="J1870" s="2">
        <v>1072.0</v>
      </c>
      <c r="K1870" s="2">
        <v>8.16918314915</v>
      </c>
    </row>
    <row r="1871">
      <c r="A1871" s="2">
        <v>53.0</v>
      </c>
      <c r="B1871" s="2" t="s">
        <v>43</v>
      </c>
      <c r="C1871" s="2" t="s">
        <v>144</v>
      </c>
      <c r="D1871" s="2" t="s">
        <v>143</v>
      </c>
      <c r="E1871" s="2">
        <v>99.0</v>
      </c>
      <c r="F1871" s="2">
        <v>25.3516719040561</v>
      </c>
      <c r="G1871" s="2">
        <v>26.6985337204329</v>
      </c>
      <c r="H1871" s="2">
        <v>8.1463124962485</v>
      </c>
      <c r="I1871" s="2">
        <v>886.0</v>
      </c>
      <c r="J1871" s="2">
        <v>985.0</v>
      </c>
      <c r="K1871" s="2">
        <v>8.21175207018624</v>
      </c>
    </row>
    <row r="1872">
      <c r="A1872" s="2">
        <v>53.0</v>
      </c>
      <c r="B1872" s="2" t="s">
        <v>40</v>
      </c>
      <c r="C1872" s="2" t="s">
        <v>144</v>
      </c>
      <c r="D1872" s="2" t="s">
        <v>143</v>
      </c>
      <c r="E1872" s="2">
        <v>95.0</v>
      </c>
      <c r="F1872" s="2">
        <v>22.9624070414147</v>
      </c>
      <c r="G1872" s="2">
        <v>24.2708462544576</v>
      </c>
      <c r="H1872" s="2">
        <v>8.03127725366202</v>
      </c>
      <c r="I1872" s="2">
        <v>736.0</v>
      </c>
      <c r="J1872" s="2">
        <v>831.0</v>
      </c>
      <c r="K1872" s="2">
        <v>8.09361558178461</v>
      </c>
    </row>
    <row r="1873">
      <c r="A1873" s="2">
        <v>53.0</v>
      </c>
      <c r="B1873" s="2" t="s">
        <v>19</v>
      </c>
      <c r="C1873" s="2" t="s">
        <v>144</v>
      </c>
      <c r="D1873" s="2" t="s">
        <v>143</v>
      </c>
      <c r="E1873" s="2">
        <v>97.0</v>
      </c>
      <c r="F1873" s="2">
        <v>26.8317166610213</v>
      </c>
      <c r="G1873" s="2">
        <v>28.159314110832</v>
      </c>
      <c r="H1873" s="2">
        <v>8.08885509300377</v>
      </c>
      <c r="I1873" s="2">
        <v>993.0</v>
      </c>
      <c r="J1873" s="2">
        <v>1090.0</v>
      </c>
      <c r="K1873" s="2">
        <v>8.15273465138004</v>
      </c>
    </row>
    <row r="1874">
      <c r="A1874" s="2">
        <v>53.0</v>
      </c>
      <c r="B1874" s="2" t="s">
        <v>27</v>
      </c>
      <c r="C1874" s="2" t="s">
        <v>144</v>
      </c>
      <c r="D1874" s="2" t="s">
        <v>143</v>
      </c>
      <c r="E1874" s="2">
        <v>99.0</v>
      </c>
      <c r="F1874" s="2">
        <v>26.4102913023048</v>
      </c>
      <c r="G1874" s="2">
        <v>27.7745643043049</v>
      </c>
      <c r="H1874" s="2">
        <v>8.19787128058487</v>
      </c>
      <c r="I1874" s="2">
        <v>953.0</v>
      </c>
      <c r="J1874" s="2">
        <v>1052.0</v>
      </c>
      <c r="K1874" s="2">
        <v>8.26472960331672</v>
      </c>
    </row>
    <row r="1875">
      <c r="A1875" s="2">
        <v>53.0</v>
      </c>
      <c r="B1875" s="2" t="s">
        <v>46</v>
      </c>
      <c r="C1875" s="2" t="s">
        <v>144</v>
      </c>
      <c r="D1875" s="2" t="s">
        <v>143</v>
      </c>
      <c r="E1875" s="2">
        <v>98.0</v>
      </c>
      <c r="F1875" s="2">
        <v>25.1067402580032</v>
      </c>
      <c r="G1875" s="2">
        <v>26.4500253428651</v>
      </c>
      <c r="H1875" s="2">
        <v>8.13567751135421</v>
      </c>
      <c r="I1875" s="2">
        <v>871.0</v>
      </c>
      <c r="J1875" s="2">
        <v>969.0</v>
      </c>
      <c r="K1875" s="2">
        <v>8.20082666922598</v>
      </c>
    </row>
    <row r="1876">
      <c r="A1876" s="2">
        <v>53.0</v>
      </c>
      <c r="B1876" s="2" t="s">
        <v>55</v>
      </c>
      <c r="C1876" s="2" t="s">
        <v>144</v>
      </c>
      <c r="D1876" s="2" t="s">
        <v>143</v>
      </c>
      <c r="E1876" s="2">
        <v>98.0</v>
      </c>
      <c r="F1876" s="2">
        <v>23.4289258955793</v>
      </c>
      <c r="G1876" s="2">
        <v>24.7818679952064</v>
      </c>
      <c r="H1876" s="2">
        <v>8.16435740169905</v>
      </c>
      <c r="I1876" s="2">
        <v>754.0</v>
      </c>
      <c r="J1876" s="2">
        <v>852.0</v>
      </c>
      <c r="K1876" s="2">
        <v>8.23029147907521</v>
      </c>
    </row>
    <row r="1877">
      <c r="A1877" s="2">
        <v>53.0</v>
      </c>
      <c r="B1877" s="2" t="s">
        <v>20</v>
      </c>
      <c r="C1877" s="2" t="s">
        <v>144</v>
      </c>
      <c r="D1877" s="2" t="s">
        <v>143</v>
      </c>
      <c r="E1877" s="2">
        <v>99.0</v>
      </c>
      <c r="F1877" s="2">
        <v>24.6483280959438</v>
      </c>
      <c r="G1877" s="2">
        <v>25.9951899123206</v>
      </c>
      <c r="H1877" s="2">
        <v>8.1463124962485</v>
      </c>
      <c r="I1877" s="2">
        <v>838.0</v>
      </c>
      <c r="J1877" s="2">
        <v>937.0</v>
      </c>
      <c r="K1877" s="2">
        <v>8.21175207018624</v>
      </c>
    </row>
    <row r="1878">
      <c r="A1878" s="2">
        <v>52.0</v>
      </c>
      <c r="B1878" s="2" t="s">
        <v>20</v>
      </c>
      <c r="C1878" s="2" t="s">
        <v>142</v>
      </c>
      <c r="D1878" s="2" t="s">
        <v>143</v>
      </c>
      <c r="E1878" s="2">
        <v>68.0</v>
      </c>
      <c r="F1878" s="2">
        <v>23.7185649891763</v>
      </c>
      <c r="G1878" s="2">
        <v>24.6483280959438</v>
      </c>
      <c r="H1878" s="2">
        <v>8.21175207018624</v>
      </c>
      <c r="I1878" s="2">
        <v>770.0</v>
      </c>
      <c r="J1878" s="2">
        <v>838.0</v>
      </c>
      <c r="K1878" s="2">
        <v>8.26764857231961</v>
      </c>
    </row>
    <row r="1879">
      <c r="A1879" s="2">
        <v>52.0</v>
      </c>
      <c r="B1879" s="2" t="s">
        <v>31</v>
      </c>
      <c r="C1879" s="2" t="s">
        <v>142</v>
      </c>
      <c r="D1879" s="2" t="s">
        <v>143</v>
      </c>
      <c r="E1879" s="2">
        <v>70.0</v>
      </c>
      <c r="F1879" s="2">
        <v>25.0</v>
      </c>
      <c r="G1879" s="2">
        <v>25.944575841483</v>
      </c>
      <c r="H1879" s="2">
        <v>8.27591858934685</v>
      </c>
      <c r="I1879" s="2">
        <v>850.0</v>
      </c>
      <c r="J1879" s="2">
        <v>920.0</v>
      </c>
      <c r="K1879" s="2">
        <v>8.33333333333333</v>
      </c>
    </row>
    <row r="1880">
      <c r="A1880" s="2">
        <v>52.0</v>
      </c>
      <c r="B1880" s="2" t="s">
        <v>35</v>
      </c>
      <c r="C1880" s="2" t="s">
        <v>142</v>
      </c>
      <c r="D1880" s="2" t="s">
        <v>143</v>
      </c>
      <c r="E1880" s="2">
        <v>70.0</v>
      </c>
      <c r="F1880" s="2">
        <v>25.0</v>
      </c>
      <c r="G1880" s="2">
        <v>25.944575841483</v>
      </c>
      <c r="H1880" s="2">
        <v>8.27591858934685</v>
      </c>
      <c r="I1880" s="2">
        <v>850.0</v>
      </c>
      <c r="J1880" s="2">
        <v>920.0</v>
      </c>
      <c r="K1880" s="2">
        <v>8.33333333333333</v>
      </c>
    </row>
    <row r="1881">
      <c r="A1881" s="2">
        <v>52.0</v>
      </c>
      <c r="B1881" s="2" t="s">
        <v>43</v>
      </c>
      <c r="C1881" s="2" t="s">
        <v>144</v>
      </c>
      <c r="D1881" s="2" t="s">
        <v>145</v>
      </c>
      <c r="E1881" s="2">
        <v>-58.0</v>
      </c>
      <c r="F1881" s="2">
        <v>26.2814350108236</v>
      </c>
      <c r="G1881" s="2">
        <v>25.3516719040561</v>
      </c>
      <c r="H1881" s="2">
        <v>8.21175207018624</v>
      </c>
      <c r="I1881" s="2">
        <v>944.0</v>
      </c>
      <c r="J1881" s="2">
        <v>886.0</v>
      </c>
      <c r="K1881" s="2">
        <v>8.26764857231961</v>
      </c>
    </row>
    <row r="1882">
      <c r="A1882" s="2">
        <v>52.0</v>
      </c>
      <c r="B1882" s="2" t="s">
        <v>22</v>
      </c>
      <c r="C1882" s="2" t="s">
        <v>144</v>
      </c>
      <c r="D1882" s="2" t="s">
        <v>145</v>
      </c>
      <c r="E1882" s="2">
        <v>-55.0</v>
      </c>
      <c r="F1882" s="2">
        <v>23.0250758974101</v>
      </c>
      <c r="G1882" s="2">
        <v>22.1277908255808</v>
      </c>
      <c r="H1882" s="2">
        <v>8.06916516646682</v>
      </c>
      <c r="I1882" s="2">
        <v>737.0</v>
      </c>
      <c r="J1882" s="2">
        <v>682.0</v>
      </c>
      <c r="K1882" s="2">
        <v>8.12177072909007</v>
      </c>
    </row>
    <row r="1883">
      <c r="A1883" s="2">
        <v>52.0</v>
      </c>
      <c r="B1883" s="2" t="s">
        <v>97</v>
      </c>
      <c r="C1883" s="2" t="s">
        <v>144</v>
      </c>
      <c r="D1883" s="2" t="s">
        <v>145</v>
      </c>
      <c r="E1883" s="2">
        <v>-56.0</v>
      </c>
      <c r="F1883" s="2">
        <v>24.7693934120556</v>
      </c>
      <c r="G1883" s="2">
        <v>23.8625501431828</v>
      </c>
      <c r="H1883" s="2">
        <v>8.1114041833889</v>
      </c>
      <c r="I1883" s="2">
        <v>851.0</v>
      </c>
      <c r="J1883" s="2">
        <v>795.0</v>
      </c>
      <c r="K1883" s="2">
        <v>8.16497283092536</v>
      </c>
    </row>
    <row r="1884">
      <c r="A1884" s="2">
        <v>52.0</v>
      </c>
      <c r="B1884" s="2" t="s">
        <v>29</v>
      </c>
      <c r="C1884" s="2" t="s">
        <v>144</v>
      </c>
      <c r="D1884" s="2" t="s">
        <v>145</v>
      </c>
      <c r="E1884" s="2">
        <v>-54.0</v>
      </c>
      <c r="F1884" s="2">
        <v>27.5890082272668</v>
      </c>
      <c r="G1884" s="2">
        <v>26.7081098597625</v>
      </c>
      <c r="H1884" s="2">
        <v>7.99619977373246</v>
      </c>
      <c r="I1884" s="2">
        <v>1055.0</v>
      </c>
      <c r="J1884" s="2">
        <v>1001.0</v>
      </c>
      <c r="K1884" s="2">
        <v>8.0471647999412</v>
      </c>
    </row>
    <row r="1885">
      <c r="A1885" s="2">
        <v>52.0</v>
      </c>
      <c r="B1885" s="2" t="s">
        <v>26</v>
      </c>
      <c r="C1885" s="2" t="s">
        <v>144</v>
      </c>
      <c r="D1885" s="2" t="s">
        <v>145</v>
      </c>
      <c r="E1885" s="2">
        <v>-55.0</v>
      </c>
      <c r="F1885" s="2">
        <v>27.0697947321075</v>
      </c>
      <c r="G1885" s="2">
        <v>26.1863367501225</v>
      </c>
      <c r="H1885" s="2">
        <v>8.00764341807692</v>
      </c>
      <c r="I1885" s="2">
        <v>1019.0</v>
      </c>
      <c r="J1885" s="2">
        <v>964.0</v>
      </c>
      <c r="K1885" s="2">
        <v>8.05886381358487</v>
      </c>
    </row>
    <row r="1886">
      <c r="A1886" s="2">
        <v>52.0</v>
      </c>
      <c r="B1886" s="2" t="s">
        <v>37</v>
      </c>
      <c r="C1886" s="2" t="s">
        <v>144</v>
      </c>
      <c r="D1886" s="2" t="s">
        <v>145</v>
      </c>
      <c r="E1886" s="2">
        <v>-58.0</v>
      </c>
      <c r="F1886" s="2">
        <v>26.2814350108236</v>
      </c>
      <c r="G1886" s="2">
        <v>25.3516719040561</v>
      </c>
      <c r="H1886" s="2">
        <v>8.21175207018624</v>
      </c>
      <c r="I1886" s="2">
        <v>944.0</v>
      </c>
      <c r="J1886" s="2">
        <v>886.0</v>
      </c>
      <c r="K1886" s="2">
        <v>8.26764857231961</v>
      </c>
    </row>
    <row r="1887">
      <c r="A1887" s="2">
        <v>52.0</v>
      </c>
      <c r="B1887" s="2" t="s">
        <v>32</v>
      </c>
      <c r="C1887" s="2" t="s">
        <v>144</v>
      </c>
      <c r="D1887" s="2" t="s">
        <v>145</v>
      </c>
      <c r="E1887" s="2">
        <v>-58.0</v>
      </c>
      <c r="F1887" s="2">
        <v>26.2814350108236</v>
      </c>
      <c r="G1887" s="2">
        <v>25.3516719040561</v>
      </c>
      <c r="H1887" s="2">
        <v>8.21175207018624</v>
      </c>
      <c r="I1887" s="2">
        <v>944.0</v>
      </c>
      <c r="J1887" s="2">
        <v>886.0</v>
      </c>
      <c r="K1887" s="2">
        <v>8.26764857231961</v>
      </c>
    </row>
    <row r="1888">
      <c r="A1888" s="2">
        <v>52.0</v>
      </c>
      <c r="B1888" s="2" t="s">
        <v>124</v>
      </c>
      <c r="C1888" s="2" t="s">
        <v>144</v>
      </c>
      <c r="D1888" s="2" t="s">
        <v>145</v>
      </c>
      <c r="E1888" s="2">
        <v>-58.0</v>
      </c>
      <c r="F1888" s="2">
        <v>25.0</v>
      </c>
      <c r="G1888" s="2">
        <v>24.0554241585169</v>
      </c>
      <c r="H1888" s="2">
        <v>8.27591858934685</v>
      </c>
      <c r="I1888" s="2">
        <v>850.0</v>
      </c>
      <c r="J1888" s="2">
        <v>792.0</v>
      </c>
      <c r="K1888" s="2">
        <v>8.33333333333333</v>
      </c>
    </row>
    <row r="1889">
      <c r="A1889" s="2">
        <v>52.0</v>
      </c>
      <c r="B1889" s="2" t="s">
        <v>30</v>
      </c>
      <c r="C1889" s="2" t="s">
        <v>144</v>
      </c>
      <c r="D1889" s="2" t="s">
        <v>145</v>
      </c>
      <c r="E1889" s="2">
        <v>-58.0</v>
      </c>
      <c r="F1889" s="2">
        <v>25.0</v>
      </c>
      <c r="G1889" s="2">
        <v>24.0554241585169</v>
      </c>
      <c r="H1889" s="2">
        <v>8.27591858934685</v>
      </c>
      <c r="I1889" s="2">
        <v>850.0</v>
      </c>
      <c r="J1889" s="2">
        <v>792.0</v>
      </c>
      <c r="K1889" s="2">
        <v>8.33333333333333</v>
      </c>
    </row>
    <row r="1890">
      <c r="A1890" s="2">
        <v>52.0</v>
      </c>
      <c r="B1890" s="2" t="s">
        <v>17</v>
      </c>
      <c r="C1890" s="2" t="s">
        <v>144</v>
      </c>
      <c r="D1890" s="2" t="s">
        <v>145</v>
      </c>
      <c r="E1890" s="2">
        <v>-57.0</v>
      </c>
      <c r="F1890" s="2">
        <v>26.3741976660755</v>
      </c>
      <c r="G1890" s="2">
        <v>25.4449730983005</v>
      </c>
      <c r="H1890" s="2">
        <v>8.20940916345992</v>
      </c>
      <c r="I1890" s="2">
        <v>950.0</v>
      </c>
      <c r="J1890" s="2">
        <v>893.0</v>
      </c>
      <c r="K1890" s="2">
        <v>8.26525067109299</v>
      </c>
    </row>
    <row r="1891">
      <c r="A1891" s="2">
        <v>51.0</v>
      </c>
      <c r="B1891" s="2" t="s">
        <v>64</v>
      </c>
      <c r="C1891" s="2" t="s">
        <v>142</v>
      </c>
      <c r="D1891" s="2" t="s">
        <v>143</v>
      </c>
      <c r="E1891" s="2">
        <v>44.0</v>
      </c>
      <c r="F1891" s="2">
        <v>27.6349729719299</v>
      </c>
      <c r="G1891" s="2">
        <v>28.2300531528781</v>
      </c>
      <c r="H1891" s="2">
        <v>8.06107037989931</v>
      </c>
      <c r="I1891" s="2">
        <v>1053.0</v>
      </c>
      <c r="J1891" s="2">
        <v>1097.0</v>
      </c>
      <c r="K1891" s="2">
        <v>8.10313132383477</v>
      </c>
    </row>
    <row r="1892">
      <c r="A1892" s="2">
        <v>51.0</v>
      </c>
      <c r="B1892" s="2" t="s">
        <v>52</v>
      </c>
      <c r="C1892" s="2" t="s">
        <v>142</v>
      </c>
      <c r="D1892" s="2" t="s">
        <v>143</v>
      </c>
      <c r="E1892" s="2">
        <v>46.0</v>
      </c>
      <c r="F1892" s="2">
        <v>25.5818706981003</v>
      </c>
      <c r="G1892" s="2">
        <v>26.1932180072551</v>
      </c>
      <c r="H1892" s="2">
        <v>8.16918314915</v>
      </c>
      <c r="I1892" s="2">
        <v>902.0</v>
      </c>
      <c r="J1892" s="2">
        <v>948.0</v>
      </c>
      <c r="K1892" s="2">
        <v>8.21328808788978</v>
      </c>
    </row>
    <row r="1893">
      <c r="A1893" s="2">
        <v>51.0</v>
      </c>
      <c r="B1893" s="2" t="s">
        <v>16</v>
      </c>
      <c r="C1893" s="2" t="s">
        <v>142</v>
      </c>
      <c r="D1893" s="2" t="s">
        <v>143</v>
      </c>
      <c r="E1893" s="2">
        <v>46.0</v>
      </c>
      <c r="F1893" s="2">
        <v>27.6340826598648</v>
      </c>
      <c r="G1893" s="2">
        <v>28.2436542701998</v>
      </c>
      <c r="H1893" s="2">
        <v>8.15745479462159</v>
      </c>
      <c r="I1893" s="2">
        <v>1043.0</v>
      </c>
      <c r="J1893" s="2">
        <v>1089.0</v>
      </c>
      <c r="K1893" s="2">
        <v>8.20133545669011</v>
      </c>
    </row>
    <row r="1894">
      <c r="A1894" s="2">
        <v>51.0</v>
      </c>
      <c r="B1894" s="2" t="s">
        <v>28</v>
      </c>
      <c r="C1894" s="2" t="s">
        <v>144</v>
      </c>
      <c r="D1894" s="2" t="s">
        <v>145</v>
      </c>
      <c r="E1894" s="2">
        <v>-36.0</v>
      </c>
      <c r="F1894" s="2">
        <v>26.9168125931377</v>
      </c>
      <c r="G1894" s="2">
        <v>26.3150712208534</v>
      </c>
      <c r="H1894" s="2">
        <v>8.10552417488552</v>
      </c>
      <c r="I1894" s="2">
        <v>999.0</v>
      </c>
      <c r="J1894" s="2">
        <v>963.0</v>
      </c>
      <c r="K1894" s="2">
        <v>8.14841923039314</v>
      </c>
    </row>
    <row r="1895">
      <c r="A1895" s="2">
        <v>51.0</v>
      </c>
      <c r="B1895" s="2" t="s">
        <v>83</v>
      </c>
      <c r="C1895" s="2" t="s">
        <v>144</v>
      </c>
      <c r="D1895" s="2" t="s">
        <v>145</v>
      </c>
      <c r="E1895" s="2">
        <v>-37.0</v>
      </c>
      <c r="F1895" s="2">
        <v>26.3741976660755</v>
      </c>
      <c r="G1895" s="2">
        <v>25.7551006676362</v>
      </c>
      <c r="H1895" s="2">
        <v>8.22016361245128</v>
      </c>
      <c r="I1895" s="2">
        <v>950.0</v>
      </c>
      <c r="J1895" s="2">
        <v>913.0</v>
      </c>
      <c r="K1895" s="2">
        <v>8.26525067109299</v>
      </c>
    </row>
    <row r="1896">
      <c r="A1896" s="2">
        <v>51.0</v>
      </c>
      <c r="B1896" s="2" t="s">
        <v>26</v>
      </c>
      <c r="C1896" s="2" t="s">
        <v>144</v>
      </c>
      <c r="D1896" s="2" t="s">
        <v>145</v>
      </c>
      <c r="E1896" s="2">
        <v>-36.0</v>
      </c>
      <c r="F1896" s="2">
        <v>27.6645452702574</v>
      </c>
      <c r="G1896" s="2">
        <v>27.0697947321075</v>
      </c>
      <c r="H1896" s="2">
        <v>8.05886381358487</v>
      </c>
      <c r="I1896" s="2">
        <v>1055.0</v>
      </c>
      <c r="J1896" s="2">
        <v>1019.0</v>
      </c>
      <c r="K1896" s="2">
        <v>8.1008835837088</v>
      </c>
    </row>
    <row r="1897">
      <c r="A1897" s="2">
        <v>51.0</v>
      </c>
      <c r="B1897" s="2" t="s">
        <v>23</v>
      </c>
      <c r="C1897" s="2" t="s">
        <v>144</v>
      </c>
      <c r="D1897" s="2" t="s">
        <v>145</v>
      </c>
      <c r="E1897" s="2">
        <v>-37.0</v>
      </c>
      <c r="F1897" s="2">
        <v>27.2030763958919</v>
      </c>
      <c r="G1897" s="2">
        <v>26.5917290867371</v>
      </c>
      <c r="H1897" s="2">
        <v>8.16918314915</v>
      </c>
      <c r="I1897" s="2">
        <v>1012.0</v>
      </c>
      <c r="J1897" s="2">
        <v>975.0</v>
      </c>
      <c r="K1897" s="2">
        <v>8.21328808788978</v>
      </c>
    </row>
    <row r="1898">
      <c r="A1898" s="2">
        <v>51.0</v>
      </c>
      <c r="B1898" s="2" t="s">
        <v>38</v>
      </c>
      <c r="C1898" s="2" t="s">
        <v>144</v>
      </c>
      <c r="D1898" s="2" t="s">
        <v>145</v>
      </c>
      <c r="E1898" s="2">
        <v>-36.0</v>
      </c>
      <c r="F1898" s="2">
        <v>23.4989928083254</v>
      </c>
      <c r="G1898" s="2">
        <v>22.9038406952535</v>
      </c>
      <c r="H1898" s="2">
        <v>8.0615517957089</v>
      </c>
      <c r="I1898" s="2">
        <v>771.0</v>
      </c>
      <c r="J1898" s="2">
        <v>735.0</v>
      </c>
      <c r="K1898" s="2">
        <v>8.10362172558149</v>
      </c>
    </row>
    <row r="1899">
      <c r="A1899" s="2">
        <v>51.0</v>
      </c>
      <c r="B1899" s="2" t="s">
        <v>40</v>
      </c>
      <c r="C1899" s="2" t="s">
        <v>144</v>
      </c>
      <c r="D1899" s="2" t="s">
        <v>145</v>
      </c>
      <c r="E1899" s="2">
        <v>-36.0</v>
      </c>
      <c r="F1899" s="2">
        <v>23.5623601993476</v>
      </c>
      <c r="G1899" s="2">
        <v>22.9624070414147</v>
      </c>
      <c r="H1899" s="2">
        <v>8.09361558178461</v>
      </c>
      <c r="I1899" s="2">
        <v>772.0</v>
      </c>
      <c r="J1899" s="2">
        <v>736.0</v>
      </c>
      <c r="K1899" s="2">
        <v>8.13628632514517</v>
      </c>
    </row>
    <row r="1900">
      <c r="A1900" s="2">
        <v>51.0</v>
      </c>
      <c r="B1900" s="2" t="s">
        <v>29</v>
      </c>
      <c r="C1900" s="2" t="s">
        <v>144</v>
      </c>
      <c r="D1900" s="2" t="s">
        <v>145</v>
      </c>
      <c r="E1900" s="2">
        <v>-36.0</v>
      </c>
      <c r="F1900" s="2">
        <v>28.1820126100058</v>
      </c>
      <c r="G1900" s="2">
        <v>27.5890082272668</v>
      </c>
      <c r="H1900" s="2">
        <v>8.0471647999412</v>
      </c>
      <c r="I1900" s="2">
        <v>1091.0</v>
      </c>
      <c r="J1900" s="2">
        <v>1055.0</v>
      </c>
      <c r="K1900" s="2">
        <v>8.08896663133354</v>
      </c>
    </row>
    <row r="1901">
      <c r="A1901" s="2">
        <v>51.0</v>
      </c>
      <c r="B1901" s="2" t="s">
        <v>24</v>
      </c>
      <c r="C1901" s="2" t="s">
        <v>144</v>
      </c>
      <c r="D1901" s="2" t="s">
        <v>145</v>
      </c>
      <c r="E1901" s="2">
        <v>-38.0</v>
      </c>
      <c r="F1901" s="2">
        <v>23.4289258955793</v>
      </c>
      <c r="G1901" s="2">
        <v>22.815048083928</v>
      </c>
      <c r="H1901" s="2">
        <v>8.18586644074993</v>
      </c>
      <c r="I1901" s="2">
        <v>754.0</v>
      </c>
      <c r="J1901" s="2">
        <v>716.0</v>
      </c>
      <c r="K1901" s="2">
        <v>8.23029147907521</v>
      </c>
    </row>
    <row r="1902">
      <c r="A1902" s="2">
        <v>51.0</v>
      </c>
      <c r="B1902" s="2" t="s">
        <v>22</v>
      </c>
      <c r="C1902" s="2" t="s">
        <v>144</v>
      </c>
      <c r="D1902" s="2" t="s">
        <v>145</v>
      </c>
      <c r="E1902" s="2">
        <v>-37.0</v>
      </c>
      <c r="F1902" s="2">
        <v>23.6292613282348</v>
      </c>
      <c r="G1902" s="2">
        <v>23.0250758974101</v>
      </c>
      <c r="H1902" s="2">
        <v>8.12177072909007</v>
      </c>
      <c r="I1902" s="2">
        <v>774.0</v>
      </c>
      <c r="J1902" s="2">
        <v>737.0</v>
      </c>
      <c r="K1902" s="2">
        <v>8.16497283092536</v>
      </c>
    </row>
    <row r="1903">
      <c r="A1903" s="2">
        <v>51.0</v>
      </c>
      <c r="B1903" s="2" t="s">
        <v>47</v>
      </c>
      <c r="C1903" s="2" t="s">
        <v>144</v>
      </c>
      <c r="D1903" s="2" t="s">
        <v>145</v>
      </c>
      <c r="E1903" s="2">
        <v>-37.0</v>
      </c>
      <c r="F1903" s="2">
        <v>27.7619852464069</v>
      </c>
      <c r="G1903" s="2">
        <v>27.1528353115684</v>
      </c>
      <c r="H1903" s="2">
        <v>8.15466705833138</v>
      </c>
      <c r="I1903" s="2">
        <v>1052.0</v>
      </c>
      <c r="J1903" s="2">
        <v>1015.0</v>
      </c>
      <c r="K1903" s="2">
        <v>8.1984945029614</v>
      </c>
    </row>
    <row r="1904">
      <c r="A1904" s="2">
        <v>50.0</v>
      </c>
      <c r="B1904" s="2" t="s">
        <v>90</v>
      </c>
      <c r="C1904" s="2" t="s">
        <v>142</v>
      </c>
      <c r="D1904" s="2" t="s">
        <v>145</v>
      </c>
      <c r="E1904" s="2">
        <v>-85.0</v>
      </c>
      <c r="F1904" s="2">
        <v>26.2814350108236</v>
      </c>
      <c r="G1904" s="2">
        <v>24.9287873617825</v>
      </c>
      <c r="H1904" s="2">
        <v>8.20133545669011</v>
      </c>
      <c r="I1904" s="2">
        <v>944.0</v>
      </c>
      <c r="J1904" s="2">
        <v>859.0</v>
      </c>
      <c r="K1904" s="2">
        <v>8.26764857231961</v>
      </c>
    </row>
    <row r="1905">
      <c r="A1905" s="2">
        <v>50.0</v>
      </c>
      <c r="B1905" s="2" t="s">
        <v>40</v>
      </c>
      <c r="C1905" s="2" t="s">
        <v>142</v>
      </c>
      <c r="D1905" s="2" t="s">
        <v>145</v>
      </c>
      <c r="E1905" s="2">
        <v>-84.0</v>
      </c>
      <c r="F1905" s="2">
        <v>24.8932597419967</v>
      </c>
      <c r="G1905" s="2">
        <v>23.5623601993476</v>
      </c>
      <c r="H1905" s="2">
        <v>8.13628632514517</v>
      </c>
      <c r="I1905" s="2">
        <v>856.0</v>
      </c>
      <c r="J1905" s="2">
        <v>772.0</v>
      </c>
      <c r="K1905" s="2">
        <v>8.20082666922598</v>
      </c>
    </row>
    <row r="1906">
      <c r="A1906" s="2">
        <v>50.0</v>
      </c>
      <c r="B1906" s="2" t="s">
        <v>22</v>
      </c>
      <c r="C1906" s="2" t="s">
        <v>142</v>
      </c>
      <c r="D1906" s="2" t="s">
        <v>145</v>
      </c>
      <c r="E1906" s="2">
        <v>-84.0</v>
      </c>
      <c r="F1906" s="2">
        <v>24.9697288447111</v>
      </c>
      <c r="G1906" s="2">
        <v>23.6292613282348</v>
      </c>
      <c r="H1906" s="2">
        <v>8.16497283092536</v>
      </c>
      <c r="I1906" s="2">
        <v>858.0</v>
      </c>
      <c r="J1906" s="2">
        <v>774.0</v>
      </c>
      <c r="K1906" s="2">
        <v>8.23029147907521</v>
      </c>
    </row>
    <row r="1907">
      <c r="A1907" s="2">
        <v>50.0</v>
      </c>
      <c r="B1907" s="2" t="s">
        <v>16</v>
      </c>
      <c r="C1907" s="2" t="s">
        <v>144</v>
      </c>
      <c r="D1907" s="2" t="s">
        <v>143</v>
      </c>
      <c r="E1907" s="2">
        <v>99.0</v>
      </c>
      <c r="F1907" s="2">
        <v>26.2814350108236</v>
      </c>
      <c r="G1907" s="2">
        <v>27.6340826598648</v>
      </c>
      <c r="H1907" s="2">
        <v>8.20133545669011</v>
      </c>
      <c r="I1907" s="2">
        <v>944.0</v>
      </c>
      <c r="J1907" s="2">
        <v>1043.0</v>
      </c>
      <c r="K1907" s="2">
        <v>8.26764857231961</v>
      </c>
    </row>
    <row r="1908">
      <c r="A1908" s="2">
        <v>50.0</v>
      </c>
      <c r="B1908" s="2" t="s">
        <v>38</v>
      </c>
      <c r="C1908" s="2" t="s">
        <v>144</v>
      </c>
      <c r="D1908" s="2" t="s">
        <v>143</v>
      </c>
      <c r="E1908" s="2">
        <v>96.0</v>
      </c>
      <c r="F1908" s="2">
        <v>22.1789441433979</v>
      </c>
      <c r="G1908" s="2">
        <v>23.4989928083254</v>
      </c>
      <c r="H1908" s="2">
        <v>8.10362172558149</v>
      </c>
      <c r="I1908" s="2">
        <v>675.0</v>
      </c>
      <c r="J1908" s="2">
        <v>771.0</v>
      </c>
      <c r="K1908" s="2">
        <v>8.16728249236312</v>
      </c>
    </row>
    <row r="1909">
      <c r="A1909" s="2">
        <v>50.0</v>
      </c>
      <c r="B1909" s="2" t="s">
        <v>47</v>
      </c>
      <c r="C1909" s="2" t="s">
        <v>144</v>
      </c>
      <c r="D1909" s="2" t="s">
        <v>143</v>
      </c>
      <c r="E1909" s="2">
        <v>99.0</v>
      </c>
      <c r="F1909" s="2">
        <v>26.4102913023048</v>
      </c>
      <c r="G1909" s="2">
        <v>27.7619852464069</v>
      </c>
      <c r="H1909" s="2">
        <v>8.1984945029614</v>
      </c>
      <c r="I1909" s="2">
        <v>953.0</v>
      </c>
      <c r="J1909" s="2">
        <v>1052.0</v>
      </c>
      <c r="K1909" s="2">
        <v>8.26472960331672</v>
      </c>
    </row>
    <row r="1910">
      <c r="A1910" s="2">
        <v>50.0</v>
      </c>
      <c r="B1910" s="2" t="s">
        <v>28</v>
      </c>
      <c r="C1910" s="2" t="s">
        <v>144</v>
      </c>
      <c r="D1910" s="2" t="s">
        <v>143</v>
      </c>
      <c r="E1910" s="2">
        <v>97.0</v>
      </c>
      <c r="F1910" s="2">
        <v>25.5818706981003</v>
      </c>
      <c r="G1910" s="2">
        <v>26.9168125931377</v>
      </c>
      <c r="H1910" s="2">
        <v>8.14841923039314</v>
      </c>
      <c r="I1910" s="2">
        <v>902.0</v>
      </c>
      <c r="J1910" s="2">
        <v>999.0</v>
      </c>
      <c r="K1910" s="2">
        <v>8.21328808788978</v>
      </c>
    </row>
    <row r="1911">
      <c r="A1911" s="2">
        <v>50.0</v>
      </c>
      <c r="B1911" s="2" t="s">
        <v>17</v>
      </c>
      <c r="C1911" s="2" t="s">
        <v>144</v>
      </c>
      <c r="D1911" s="2" t="s">
        <v>143</v>
      </c>
      <c r="E1911" s="2">
        <v>100.0</v>
      </c>
      <c r="F1911" s="2">
        <v>25.0</v>
      </c>
      <c r="G1911" s="2">
        <v>26.3741976660755</v>
      </c>
      <c r="H1911" s="2">
        <v>8.26525067109299</v>
      </c>
      <c r="I1911" s="2">
        <v>850.0</v>
      </c>
      <c r="J1911" s="2">
        <v>950.0</v>
      </c>
      <c r="K1911" s="2">
        <v>8.33333333333333</v>
      </c>
    </row>
    <row r="1912">
      <c r="A1912" s="2">
        <v>50.0</v>
      </c>
      <c r="B1912" s="2" t="s">
        <v>97</v>
      </c>
      <c r="C1912" s="2" t="s">
        <v>144</v>
      </c>
      <c r="D1912" s="2" t="s">
        <v>143</v>
      </c>
      <c r="E1912" s="2">
        <v>97.0</v>
      </c>
      <c r="F1912" s="2">
        <v>23.4289258955793</v>
      </c>
      <c r="G1912" s="2">
        <v>24.7693934120556</v>
      </c>
      <c r="H1912" s="2">
        <v>8.16497283092536</v>
      </c>
      <c r="I1912" s="2">
        <v>754.0</v>
      </c>
      <c r="J1912" s="2">
        <v>851.0</v>
      </c>
      <c r="K1912" s="2">
        <v>8.23029147907521</v>
      </c>
    </row>
    <row r="1913">
      <c r="A1913" s="2">
        <v>50.0</v>
      </c>
      <c r="B1913" s="2" t="s">
        <v>19</v>
      </c>
      <c r="C1913" s="2" t="s">
        <v>144</v>
      </c>
      <c r="D1913" s="2" t="s">
        <v>143</v>
      </c>
      <c r="E1913" s="2">
        <v>98.0</v>
      </c>
      <c r="F1913" s="2">
        <v>25.4953354291494</v>
      </c>
      <c r="G1913" s="2">
        <v>26.8317166610213</v>
      </c>
      <c r="H1913" s="2">
        <v>8.15273465138004</v>
      </c>
      <c r="I1913" s="2">
        <v>895.0</v>
      </c>
      <c r="J1913" s="2">
        <v>993.0</v>
      </c>
      <c r="K1913" s="2">
        <v>8.21772059047153</v>
      </c>
    </row>
    <row r="1914">
      <c r="A1914" s="2">
        <v>50.0</v>
      </c>
      <c r="B1914" s="2" t="s">
        <v>26</v>
      </c>
      <c r="C1914" s="2" t="s">
        <v>144</v>
      </c>
      <c r="D1914" s="2" t="s">
        <v>143</v>
      </c>
      <c r="E1914" s="2">
        <v>96.0</v>
      </c>
      <c r="F1914" s="2">
        <v>26.3454040668263</v>
      </c>
      <c r="G1914" s="2">
        <v>27.6645452702574</v>
      </c>
      <c r="H1914" s="2">
        <v>8.1008835837088</v>
      </c>
      <c r="I1914" s="2">
        <v>959.0</v>
      </c>
      <c r="J1914" s="2">
        <v>1055.0</v>
      </c>
      <c r="K1914" s="2">
        <v>8.16447094000922</v>
      </c>
    </row>
    <row r="1915">
      <c r="A1915" s="2">
        <v>50.0</v>
      </c>
      <c r="B1915" s="2" t="s">
        <v>29</v>
      </c>
      <c r="C1915" s="2" t="s">
        <v>144</v>
      </c>
      <c r="D1915" s="2" t="s">
        <v>143</v>
      </c>
      <c r="E1915" s="2">
        <v>96.0</v>
      </c>
      <c r="F1915" s="2">
        <v>26.8668170394004</v>
      </c>
      <c r="G1915" s="2">
        <v>28.1820126100058</v>
      </c>
      <c r="H1915" s="2">
        <v>8.08896663133354</v>
      </c>
      <c r="I1915" s="2">
        <v>995.0</v>
      </c>
      <c r="J1915" s="2">
        <v>1091.0</v>
      </c>
      <c r="K1915" s="2">
        <v>8.15223506696977</v>
      </c>
    </row>
    <row r="1916">
      <c r="A1916" s="2">
        <v>50.0</v>
      </c>
      <c r="B1916" s="2" t="s">
        <v>83</v>
      </c>
      <c r="C1916" s="2" t="s">
        <v>144</v>
      </c>
      <c r="D1916" s="2" t="s">
        <v>143</v>
      </c>
      <c r="E1916" s="2">
        <v>100.0</v>
      </c>
      <c r="F1916" s="2">
        <v>25.0</v>
      </c>
      <c r="G1916" s="2">
        <v>26.3741976660755</v>
      </c>
      <c r="H1916" s="2">
        <v>8.26525067109299</v>
      </c>
      <c r="I1916" s="2">
        <v>850.0</v>
      </c>
      <c r="J1916" s="2">
        <v>950.0</v>
      </c>
      <c r="K1916" s="2">
        <v>8.33333333333333</v>
      </c>
    </row>
    <row r="1917">
      <c r="A1917" s="2">
        <v>49.0</v>
      </c>
      <c r="B1917" s="2" t="s">
        <v>18</v>
      </c>
      <c r="C1917" s="2" t="s">
        <v>142</v>
      </c>
      <c r="D1917" s="2" t="s">
        <v>145</v>
      </c>
      <c r="E1917" s="2">
        <v>-88.0</v>
      </c>
      <c r="F1917" s="2">
        <v>26.2814350108236</v>
      </c>
      <c r="G1917" s="2">
        <v>24.8932597419967</v>
      </c>
      <c r="H1917" s="2">
        <v>8.20082666922598</v>
      </c>
      <c r="I1917" s="2">
        <v>944.0</v>
      </c>
      <c r="J1917" s="2">
        <v>856.0</v>
      </c>
      <c r="K1917" s="2">
        <v>8.26764857231961</v>
      </c>
    </row>
    <row r="1918">
      <c r="A1918" s="2">
        <v>49.0</v>
      </c>
      <c r="B1918" s="2" t="s">
        <v>67</v>
      </c>
      <c r="C1918" s="2" t="s">
        <v>142</v>
      </c>
      <c r="D1918" s="2" t="s">
        <v>145</v>
      </c>
      <c r="E1918" s="2">
        <v>-87.0</v>
      </c>
      <c r="F1918" s="2">
        <v>23.4289258955793</v>
      </c>
      <c r="G1918" s="2">
        <v>22.053250673464</v>
      </c>
      <c r="H1918" s="2">
        <v>8.16447094000922</v>
      </c>
      <c r="I1918" s="2">
        <v>754.0</v>
      </c>
      <c r="J1918" s="2">
        <v>667.0</v>
      </c>
      <c r="K1918" s="2">
        <v>8.23029147907521</v>
      </c>
    </row>
    <row r="1919">
      <c r="A1919" s="2">
        <v>49.0</v>
      </c>
      <c r="B1919" s="2" t="s">
        <v>40</v>
      </c>
      <c r="C1919" s="2" t="s">
        <v>142</v>
      </c>
      <c r="D1919" s="2" t="s">
        <v>145</v>
      </c>
      <c r="E1919" s="2">
        <v>-88.0</v>
      </c>
      <c r="F1919" s="2">
        <v>26.2814350108236</v>
      </c>
      <c r="G1919" s="2">
        <v>24.8932597419967</v>
      </c>
      <c r="H1919" s="2">
        <v>8.20082666922598</v>
      </c>
      <c r="I1919" s="2">
        <v>944.0</v>
      </c>
      <c r="J1919" s="2">
        <v>856.0</v>
      </c>
      <c r="K1919" s="2">
        <v>8.26764857231961</v>
      </c>
    </row>
    <row r="1920">
      <c r="A1920" s="2">
        <v>49.0</v>
      </c>
      <c r="B1920" s="2" t="s">
        <v>46</v>
      </c>
      <c r="C1920" s="2" t="s">
        <v>144</v>
      </c>
      <c r="D1920" s="2" t="s">
        <v>143</v>
      </c>
      <c r="E1920" s="2">
        <v>101.0</v>
      </c>
      <c r="F1920" s="2">
        <v>23.7185649891763</v>
      </c>
      <c r="G1920" s="2">
        <v>25.1067402580032</v>
      </c>
      <c r="H1920" s="2">
        <v>8.20082666922598</v>
      </c>
      <c r="I1920" s="2">
        <v>770.0</v>
      </c>
      <c r="J1920" s="2">
        <v>871.0</v>
      </c>
      <c r="K1920" s="2">
        <v>8.26764857231961</v>
      </c>
    </row>
    <row r="1921">
      <c r="A1921" s="2">
        <v>49.0</v>
      </c>
      <c r="B1921" s="2" t="s">
        <v>26</v>
      </c>
      <c r="C1921" s="2" t="s">
        <v>144</v>
      </c>
      <c r="D1921" s="2" t="s">
        <v>143</v>
      </c>
      <c r="E1921" s="2">
        <v>101.0</v>
      </c>
      <c r="F1921" s="2">
        <v>24.9697288447111</v>
      </c>
      <c r="G1921" s="2">
        <v>26.3454040668263</v>
      </c>
      <c r="H1921" s="2">
        <v>8.16447094000922</v>
      </c>
      <c r="I1921" s="2">
        <v>858.0</v>
      </c>
      <c r="J1921" s="2">
        <v>959.0</v>
      </c>
      <c r="K1921" s="2">
        <v>8.23029147907521</v>
      </c>
    </row>
    <row r="1922">
      <c r="A1922" s="2">
        <v>49.0</v>
      </c>
      <c r="B1922" s="2" t="s">
        <v>29</v>
      </c>
      <c r="C1922" s="2" t="s">
        <v>144</v>
      </c>
      <c r="D1922" s="2" t="s">
        <v>143</v>
      </c>
      <c r="E1922" s="2">
        <v>100.0</v>
      </c>
      <c r="F1922" s="2">
        <v>25.4953354291494</v>
      </c>
      <c r="G1922" s="2">
        <v>26.8668170394004</v>
      </c>
      <c r="H1922" s="2">
        <v>8.15223506696977</v>
      </c>
      <c r="I1922" s="2">
        <v>895.0</v>
      </c>
      <c r="J1922" s="2">
        <v>995.0</v>
      </c>
      <c r="K1922" s="2">
        <v>8.21772059047153</v>
      </c>
    </row>
    <row r="1923">
      <c r="A1923" s="2">
        <v>49.0</v>
      </c>
      <c r="B1923" s="2" t="s">
        <v>52</v>
      </c>
      <c r="C1923" s="2" t="s">
        <v>144</v>
      </c>
      <c r="D1923" s="2" t="s">
        <v>143</v>
      </c>
      <c r="E1923" s="2">
        <v>102.0</v>
      </c>
      <c r="F1923" s="2">
        <v>24.1893971511041</v>
      </c>
      <c r="G1923" s="2">
        <v>25.5818706981003</v>
      </c>
      <c r="H1923" s="2">
        <v>8.21328808788978</v>
      </c>
      <c r="I1923" s="2">
        <v>800.0</v>
      </c>
      <c r="J1923" s="2">
        <v>902.0</v>
      </c>
      <c r="K1923" s="2">
        <v>8.28045527838798</v>
      </c>
    </row>
    <row r="1924">
      <c r="A1924" s="2">
        <v>49.0</v>
      </c>
      <c r="B1924" s="2" t="s">
        <v>23</v>
      </c>
      <c r="C1924" s="2" t="s">
        <v>144</v>
      </c>
      <c r="D1924" s="2" t="s">
        <v>143</v>
      </c>
      <c r="E1924" s="2">
        <v>101.0</v>
      </c>
      <c r="F1924" s="2">
        <v>25.8106028488958</v>
      </c>
      <c r="G1924" s="2">
        <v>27.2030763958919</v>
      </c>
      <c r="H1924" s="2">
        <v>8.21328808788978</v>
      </c>
      <c r="I1924" s="2">
        <v>911.0</v>
      </c>
      <c r="J1924" s="2">
        <v>1012.0</v>
      </c>
      <c r="K1924" s="2">
        <v>8.28045527838798</v>
      </c>
    </row>
    <row r="1925">
      <c r="A1925" s="2">
        <v>49.0</v>
      </c>
      <c r="B1925" s="2" t="s">
        <v>111</v>
      </c>
      <c r="C1925" s="2" t="s">
        <v>144</v>
      </c>
      <c r="D1925" s="2" t="s">
        <v>143</v>
      </c>
      <c r="E1925" s="2">
        <v>100.0</v>
      </c>
      <c r="F1925" s="2">
        <v>25.0302711552888</v>
      </c>
      <c r="G1925" s="2">
        <v>26.4059463774041</v>
      </c>
      <c r="H1925" s="2">
        <v>8.16447094000922</v>
      </c>
      <c r="I1925" s="2">
        <v>863.0</v>
      </c>
      <c r="J1925" s="2">
        <v>963.0</v>
      </c>
      <c r="K1925" s="2">
        <v>8.23029147907521</v>
      </c>
    </row>
    <row r="1926">
      <c r="A1926" s="2">
        <v>49.0</v>
      </c>
      <c r="B1926" s="2" t="s">
        <v>47</v>
      </c>
      <c r="C1926" s="2" t="s">
        <v>144</v>
      </c>
      <c r="D1926" s="2" t="s">
        <v>143</v>
      </c>
      <c r="E1926" s="2">
        <v>103.0</v>
      </c>
      <c r="F1926" s="2">
        <v>25.0</v>
      </c>
      <c r="G1926" s="2">
        <v>26.4102913023048</v>
      </c>
      <c r="H1926" s="2">
        <v>8.26472960331672</v>
      </c>
      <c r="I1926" s="2">
        <v>850.0</v>
      </c>
      <c r="J1926" s="2">
        <v>953.0</v>
      </c>
      <c r="K1926" s="2">
        <v>8.33333333333333</v>
      </c>
    </row>
    <row r="1927">
      <c r="A1927" s="2">
        <v>49.0</v>
      </c>
      <c r="B1927" s="2" t="s">
        <v>28</v>
      </c>
      <c r="C1927" s="2" t="s">
        <v>144</v>
      </c>
      <c r="D1927" s="2" t="s">
        <v>143</v>
      </c>
      <c r="E1927" s="2">
        <v>102.0</v>
      </c>
      <c r="F1927" s="2">
        <v>24.1893971511041</v>
      </c>
      <c r="G1927" s="2">
        <v>25.5818706981003</v>
      </c>
      <c r="H1927" s="2">
        <v>8.21328808788978</v>
      </c>
      <c r="I1927" s="2">
        <v>800.0</v>
      </c>
      <c r="J1927" s="2">
        <v>902.0</v>
      </c>
      <c r="K1927" s="2">
        <v>8.28045527838798</v>
      </c>
    </row>
    <row r="1928">
      <c r="A1928" s="2">
        <v>49.0</v>
      </c>
      <c r="B1928" s="2" t="s">
        <v>64</v>
      </c>
      <c r="C1928" s="2" t="s">
        <v>144</v>
      </c>
      <c r="D1928" s="2" t="s">
        <v>143</v>
      </c>
      <c r="E1928" s="2">
        <v>99.0</v>
      </c>
      <c r="F1928" s="2">
        <v>26.2802529074702</v>
      </c>
      <c r="G1928" s="2">
        <v>27.6349729719299</v>
      </c>
      <c r="H1928" s="2">
        <v>8.10313132383477</v>
      </c>
      <c r="I1928" s="2">
        <v>954.0</v>
      </c>
      <c r="J1928" s="2">
        <v>1053.0</v>
      </c>
      <c r="K1928" s="2">
        <v>8.16728249236312</v>
      </c>
    </row>
    <row r="1929">
      <c r="A1929" s="2">
        <v>49.0</v>
      </c>
      <c r="B1929" s="2" t="s">
        <v>27</v>
      </c>
      <c r="C1929" s="2" t="s">
        <v>144</v>
      </c>
      <c r="D1929" s="2" t="s">
        <v>143</v>
      </c>
      <c r="E1929" s="2">
        <v>103.0</v>
      </c>
      <c r="F1929" s="2">
        <v>25.0</v>
      </c>
      <c r="G1929" s="2">
        <v>26.4102913023048</v>
      </c>
      <c r="H1929" s="2">
        <v>8.26472960331672</v>
      </c>
      <c r="I1929" s="2">
        <v>850.0</v>
      </c>
      <c r="J1929" s="2">
        <v>953.0</v>
      </c>
      <c r="K1929" s="2">
        <v>8.33333333333333</v>
      </c>
    </row>
    <row r="1930">
      <c r="A1930" s="2">
        <v>48.0</v>
      </c>
      <c r="B1930" s="2" t="s">
        <v>20</v>
      </c>
      <c r="C1930" s="2" t="s">
        <v>142</v>
      </c>
      <c r="D1930" s="2" t="s">
        <v>145</v>
      </c>
      <c r="E1930" s="2">
        <v>-80.0</v>
      </c>
      <c r="F1930" s="2">
        <v>25.0</v>
      </c>
      <c r="G1930" s="2">
        <v>23.7185649891763</v>
      </c>
      <c r="H1930" s="2">
        <v>8.26764857231961</v>
      </c>
      <c r="I1930" s="2">
        <v>850.0</v>
      </c>
      <c r="J1930" s="2">
        <v>770.0</v>
      </c>
      <c r="K1930" s="2">
        <v>8.33333333333333</v>
      </c>
    </row>
    <row r="1931">
      <c r="A1931" s="2">
        <v>48.0</v>
      </c>
      <c r="B1931" s="2" t="s">
        <v>46</v>
      </c>
      <c r="C1931" s="2" t="s">
        <v>142</v>
      </c>
      <c r="D1931" s="2" t="s">
        <v>145</v>
      </c>
      <c r="E1931" s="2">
        <v>-80.0</v>
      </c>
      <c r="F1931" s="2">
        <v>25.0</v>
      </c>
      <c r="G1931" s="2">
        <v>23.7185649891763</v>
      </c>
      <c r="H1931" s="2">
        <v>8.26764857231961</v>
      </c>
      <c r="I1931" s="2">
        <v>850.0</v>
      </c>
      <c r="J1931" s="2">
        <v>770.0</v>
      </c>
      <c r="K1931" s="2">
        <v>8.33333333333333</v>
      </c>
    </row>
    <row r="1932">
      <c r="A1932" s="2">
        <v>48.0</v>
      </c>
      <c r="B1932" s="2" t="s">
        <v>38</v>
      </c>
      <c r="C1932" s="2" t="s">
        <v>142</v>
      </c>
      <c r="D1932" s="2" t="s">
        <v>145</v>
      </c>
      <c r="E1932" s="2">
        <v>-79.0</v>
      </c>
      <c r="F1932" s="2">
        <v>23.4289258955793</v>
      </c>
      <c r="G1932" s="2">
        <v>22.1789441433979</v>
      </c>
      <c r="H1932" s="2">
        <v>8.16728249236312</v>
      </c>
      <c r="I1932" s="2">
        <v>754.0</v>
      </c>
      <c r="J1932" s="2">
        <v>675.0</v>
      </c>
      <c r="K1932" s="2">
        <v>8.23029147907521</v>
      </c>
    </row>
    <row r="1933">
      <c r="A1933" s="2">
        <v>48.0</v>
      </c>
      <c r="B1933" s="2" t="s">
        <v>19</v>
      </c>
      <c r="C1933" s="2" t="s">
        <v>144</v>
      </c>
      <c r="D1933" s="2" t="s">
        <v>143</v>
      </c>
      <c r="E1933" s="2">
        <v>92.0</v>
      </c>
      <c r="F1933" s="2">
        <v>24.229598525434</v>
      </c>
      <c r="G1933" s="2">
        <v>25.4953354291494</v>
      </c>
      <c r="H1933" s="2">
        <v>8.21772059047153</v>
      </c>
      <c r="I1933" s="2">
        <v>803.0</v>
      </c>
      <c r="J1933" s="2">
        <v>895.0</v>
      </c>
      <c r="K1933" s="2">
        <v>8.28206609711067</v>
      </c>
    </row>
    <row r="1934">
      <c r="A1934" s="2">
        <v>48.0</v>
      </c>
      <c r="B1934" s="2" t="s">
        <v>18</v>
      </c>
      <c r="C1934" s="2" t="s">
        <v>144</v>
      </c>
      <c r="D1934" s="2" t="s">
        <v>143</v>
      </c>
      <c r="E1934" s="2">
        <v>94.0</v>
      </c>
      <c r="F1934" s="2">
        <v>25.0</v>
      </c>
      <c r="G1934" s="2">
        <v>26.2814350108236</v>
      </c>
      <c r="H1934" s="2">
        <v>8.26764857231961</v>
      </c>
      <c r="I1934" s="2">
        <v>850.0</v>
      </c>
      <c r="J1934" s="2">
        <v>944.0</v>
      </c>
      <c r="K1934" s="2">
        <v>8.33333333333333</v>
      </c>
    </row>
    <row r="1935">
      <c r="A1935" s="2">
        <v>48.0</v>
      </c>
      <c r="B1935" s="2" t="s">
        <v>37</v>
      </c>
      <c r="C1935" s="2" t="s">
        <v>144</v>
      </c>
      <c r="D1935" s="2" t="s">
        <v>143</v>
      </c>
      <c r="E1935" s="2">
        <v>94.0</v>
      </c>
      <c r="F1935" s="2">
        <v>25.0</v>
      </c>
      <c r="G1935" s="2">
        <v>26.2814350108236</v>
      </c>
      <c r="H1935" s="2">
        <v>8.26764857231961</v>
      </c>
      <c r="I1935" s="2">
        <v>850.0</v>
      </c>
      <c r="J1935" s="2">
        <v>944.0</v>
      </c>
      <c r="K1935" s="2">
        <v>8.33333333333333</v>
      </c>
    </row>
    <row r="1936">
      <c r="A1936" s="2">
        <v>48.0</v>
      </c>
      <c r="B1936" s="2" t="s">
        <v>16</v>
      </c>
      <c r="C1936" s="2" t="s">
        <v>144</v>
      </c>
      <c r="D1936" s="2" t="s">
        <v>143</v>
      </c>
      <c r="E1936" s="2">
        <v>94.0</v>
      </c>
      <c r="F1936" s="2">
        <v>25.0</v>
      </c>
      <c r="G1936" s="2">
        <v>26.2814350108236</v>
      </c>
      <c r="H1936" s="2">
        <v>8.26764857231961</v>
      </c>
      <c r="I1936" s="2">
        <v>850.0</v>
      </c>
      <c r="J1936" s="2">
        <v>944.0</v>
      </c>
      <c r="K1936" s="2">
        <v>8.33333333333333</v>
      </c>
    </row>
    <row r="1937">
      <c r="A1937" s="2">
        <v>48.0</v>
      </c>
      <c r="B1937" s="2" t="s">
        <v>40</v>
      </c>
      <c r="C1937" s="2" t="s">
        <v>144</v>
      </c>
      <c r="D1937" s="2" t="s">
        <v>143</v>
      </c>
      <c r="E1937" s="2">
        <v>94.0</v>
      </c>
      <c r="F1937" s="2">
        <v>25.0</v>
      </c>
      <c r="G1937" s="2">
        <v>26.2814350108236</v>
      </c>
      <c r="H1937" s="2">
        <v>8.26764857231961</v>
      </c>
      <c r="I1937" s="2">
        <v>850.0</v>
      </c>
      <c r="J1937" s="2">
        <v>944.0</v>
      </c>
      <c r="K1937" s="2">
        <v>8.33333333333333</v>
      </c>
    </row>
    <row r="1938">
      <c r="A1938" s="2">
        <v>48.0</v>
      </c>
      <c r="B1938" s="2" t="s">
        <v>90</v>
      </c>
      <c r="C1938" s="2" t="s">
        <v>144</v>
      </c>
      <c r="D1938" s="2" t="s">
        <v>143</v>
      </c>
      <c r="E1938" s="2">
        <v>94.0</v>
      </c>
      <c r="F1938" s="2">
        <v>25.0</v>
      </c>
      <c r="G1938" s="2">
        <v>26.2814350108236</v>
      </c>
      <c r="H1938" s="2">
        <v>8.26764857231961</v>
      </c>
      <c r="I1938" s="2">
        <v>850.0</v>
      </c>
      <c r="J1938" s="2">
        <v>944.0</v>
      </c>
      <c r="K1938" s="2">
        <v>8.33333333333333</v>
      </c>
    </row>
    <row r="1939">
      <c r="A1939" s="2">
        <v>48.0</v>
      </c>
      <c r="B1939" s="2" t="s">
        <v>64</v>
      </c>
      <c r="C1939" s="2" t="s">
        <v>144</v>
      </c>
      <c r="D1939" s="2" t="s">
        <v>143</v>
      </c>
      <c r="E1939" s="2">
        <v>91.0</v>
      </c>
      <c r="F1939" s="2">
        <v>25.0302711552888</v>
      </c>
      <c r="G1939" s="2">
        <v>26.2802529074702</v>
      </c>
      <c r="H1939" s="2">
        <v>8.16728249236312</v>
      </c>
      <c r="I1939" s="2">
        <v>863.0</v>
      </c>
      <c r="J1939" s="2">
        <v>954.0</v>
      </c>
      <c r="K1939" s="2">
        <v>8.23029147907521</v>
      </c>
    </row>
    <row r="1940">
      <c r="A1940" s="2">
        <v>48.0</v>
      </c>
      <c r="B1940" s="2" t="s">
        <v>32</v>
      </c>
      <c r="C1940" s="2" t="s">
        <v>144</v>
      </c>
      <c r="D1940" s="2" t="s">
        <v>143</v>
      </c>
      <c r="E1940" s="2">
        <v>94.0</v>
      </c>
      <c r="F1940" s="2">
        <v>25.0</v>
      </c>
      <c r="G1940" s="2">
        <v>26.2814350108236</v>
      </c>
      <c r="H1940" s="2">
        <v>8.26764857231961</v>
      </c>
      <c r="I1940" s="2">
        <v>850.0</v>
      </c>
      <c r="J1940" s="2">
        <v>944.0</v>
      </c>
      <c r="K1940" s="2">
        <v>8.33333333333333</v>
      </c>
    </row>
    <row r="1941">
      <c r="A1941" s="2">
        <v>48.0</v>
      </c>
      <c r="B1941" s="2" t="s">
        <v>43</v>
      </c>
      <c r="C1941" s="2" t="s">
        <v>144</v>
      </c>
      <c r="D1941" s="2" t="s">
        <v>143</v>
      </c>
      <c r="E1941" s="2">
        <v>94.0</v>
      </c>
      <c r="F1941" s="2">
        <v>25.0</v>
      </c>
      <c r="G1941" s="2">
        <v>26.2814350108236</v>
      </c>
      <c r="H1941" s="2">
        <v>8.26764857231961</v>
      </c>
      <c r="I1941" s="2">
        <v>850.0</v>
      </c>
      <c r="J1941" s="2">
        <v>944.0</v>
      </c>
      <c r="K1941" s="2">
        <v>8.33333333333333</v>
      </c>
    </row>
    <row r="1942">
      <c r="A1942" s="2">
        <v>48.0</v>
      </c>
      <c r="B1942" s="2" t="s">
        <v>29</v>
      </c>
      <c r="C1942" s="2" t="s">
        <v>144</v>
      </c>
      <c r="D1942" s="2" t="s">
        <v>143</v>
      </c>
      <c r="E1942" s="2">
        <v>92.0</v>
      </c>
      <c r="F1942" s="2">
        <v>24.229598525434</v>
      </c>
      <c r="G1942" s="2">
        <v>25.4953354291494</v>
      </c>
      <c r="H1942" s="2">
        <v>8.21772059047153</v>
      </c>
      <c r="I1942" s="2">
        <v>803.0</v>
      </c>
      <c r="J1942" s="2">
        <v>895.0</v>
      </c>
      <c r="K1942" s="2">
        <v>8.28206609711067</v>
      </c>
    </row>
    <row r="1943">
      <c r="A1943" s="2">
        <v>47.0</v>
      </c>
      <c r="B1943" s="2" t="s">
        <v>23</v>
      </c>
      <c r="C1943" s="2" t="s">
        <v>142</v>
      </c>
      <c r="D1943" s="2" t="s">
        <v>143</v>
      </c>
      <c r="E1943" s="2">
        <v>61.0</v>
      </c>
      <c r="F1943" s="2">
        <v>25.0</v>
      </c>
      <c r="G1943" s="2">
        <v>25.8106028488958</v>
      </c>
      <c r="H1943" s="2">
        <v>8.28045527838798</v>
      </c>
      <c r="I1943" s="2">
        <v>850.0</v>
      </c>
      <c r="J1943" s="2">
        <v>911.0</v>
      </c>
      <c r="K1943" s="2">
        <v>8.33333333333333</v>
      </c>
    </row>
    <row r="1944">
      <c r="A1944" s="2">
        <v>47.0</v>
      </c>
      <c r="B1944" s="2" t="s">
        <v>111</v>
      </c>
      <c r="C1944" s="2" t="s">
        <v>142</v>
      </c>
      <c r="D1944" s="2" t="s">
        <v>143</v>
      </c>
      <c r="E1944" s="2">
        <v>60.0</v>
      </c>
      <c r="F1944" s="2">
        <v>24.229598525434</v>
      </c>
      <c r="G1944" s="2">
        <v>25.0302711552888</v>
      </c>
      <c r="H1944" s="2">
        <v>8.23029147907521</v>
      </c>
      <c r="I1944" s="2">
        <v>803.0</v>
      </c>
      <c r="J1944" s="2">
        <v>863.0</v>
      </c>
      <c r="K1944" s="2">
        <v>8.28206609711067</v>
      </c>
    </row>
    <row r="1945">
      <c r="A1945" s="2">
        <v>47.0</v>
      </c>
      <c r="B1945" s="2" t="s">
        <v>64</v>
      </c>
      <c r="C1945" s="2" t="s">
        <v>142</v>
      </c>
      <c r="D1945" s="2" t="s">
        <v>143</v>
      </c>
      <c r="E1945" s="2">
        <v>60.0</v>
      </c>
      <c r="F1945" s="2">
        <v>24.229598525434</v>
      </c>
      <c r="G1945" s="2">
        <v>25.0302711552888</v>
      </c>
      <c r="H1945" s="2">
        <v>8.23029147907521</v>
      </c>
      <c r="I1945" s="2">
        <v>803.0</v>
      </c>
      <c r="J1945" s="2">
        <v>863.0</v>
      </c>
      <c r="K1945" s="2">
        <v>8.28206609711067</v>
      </c>
    </row>
    <row r="1946">
      <c r="A1946" s="2">
        <v>47.0</v>
      </c>
      <c r="B1946" s="2" t="s">
        <v>26</v>
      </c>
      <c r="C1946" s="2" t="s">
        <v>144</v>
      </c>
      <c r="D1946" s="2" t="s">
        <v>145</v>
      </c>
      <c r="E1946" s="2">
        <v>-50.0</v>
      </c>
      <c r="F1946" s="2">
        <v>25.7704014745659</v>
      </c>
      <c r="G1946" s="2">
        <v>24.9697288447111</v>
      </c>
      <c r="H1946" s="2">
        <v>8.23029147907521</v>
      </c>
      <c r="I1946" s="2">
        <v>908.0</v>
      </c>
      <c r="J1946" s="2">
        <v>858.0</v>
      </c>
      <c r="K1946" s="2">
        <v>8.28206609711067</v>
      </c>
    </row>
    <row r="1947">
      <c r="A1947" s="2">
        <v>47.0</v>
      </c>
      <c r="B1947" s="2" t="s">
        <v>22</v>
      </c>
      <c r="C1947" s="2" t="s">
        <v>144</v>
      </c>
      <c r="D1947" s="2" t="s">
        <v>145</v>
      </c>
      <c r="E1947" s="2">
        <v>-50.0</v>
      </c>
      <c r="F1947" s="2">
        <v>25.7704014745659</v>
      </c>
      <c r="G1947" s="2">
        <v>24.9697288447111</v>
      </c>
      <c r="H1947" s="2">
        <v>8.23029147907521</v>
      </c>
      <c r="I1947" s="2">
        <v>908.0</v>
      </c>
      <c r="J1947" s="2">
        <v>858.0</v>
      </c>
      <c r="K1947" s="2">
        <v>8.28206609711067</v>
      </c>
    </row>
    <row r="1948">
      <c r="A1948" s="2">
        <v>47.0</v>
      </c>
      <c r="B1948" s="2" t="s">
        <v>97</v>
      </c>
      <c r="C1948" s="2" t="s">
        <v>144</v>
      </c>
      <c r="D1948" s="2" t="s">
        <v>145</v>
      </c>
      <c r="E1948" s="2">
        <v>-49.0</v>
      </c>
      <c r="F1948" s="2">
        <v>24.229598525434</v>
      </c>
      <c r="G1948" s="2">
        <v>23.4289258955793</v>
      </c>
      <c r="H1948" s="2">
        <v>8.23029147907521</v>
      </c>
      <c r="I1948" s="2">
        <v>803.0</v>
      </c>
      <c r="J1948" s="2">
        <v>754.0</v>
      </c>
      <c r="K1948" s="2">
        <v>8.28206609711067</v>
      </c>
    </row>
    <row r="1949">
      <c r="A1949" s="2">
        <v>47.0</v>
      </c>
      <c r="B1949" s="2" t="s">
        <v>38</v>
      </c>
      <c r="C1949" s="2" t="s">
        <v>144</v>
      </c>
      <c r="D1949" s="2" t="s">
        <v>145</v>
      </c>
      <c r="E1949" s="2">
        <v>-49.0</v>
      </c>
      <c r="F1949" s="2">
        <v>24.229598525434</v>
      </c>
      <c r="G1949" s="2">
        <v>23.4289258955793</v>
      </c>
      <c r="H1949" s="2">
        <v>8.23029147907521</v>
      </c>
      <c r="I1949" s="2">
        <v>803.0</v>
      </c>
      <c r="J1949" s="2">
        <v>754.0</v>
      </c>
      <c r="K1949" s="2">
        <v>8.28206609711067</v>
      </c>
    </row>
    <row r="1950">
      <c r="A1950" s="2">
        <v>47.0</v>
      </c>
      <c r="B1950" s="2" t="s">
        <v>67</v>
      </c>
      <c r="C1950" s="2" t="s">
        <v>144</v>
      </c>
      <c r="D1950" s="2" t="s">
        <v>145</v>
      </c>
      <c r="E1950" s="2">
        <v>-49.0</v>
      </c>
      <c r="F1950" s="2">
        <v>24.229598525434</v>
      </c>
      <c r="G1950" s="2">
        <v>23.4289258955793</v>
      </c>
      <c r="H1950" s="2">
        <v>8.23029147907521</v>
      </c>
      <c r="I1950" s="2">
        <v>803.0</v>
      </c>
      <c r="J1950" s="2">
        <v>754.0</v>
      </c>
      <c r="K1950" s="2">
        <v>8.28206609711067</v>
      </c>
    </row>
    <row r="1951">
      <c r="A1951" s="2">
        <v>47.0</v>
      </c>
      <c r="B1951" s="2" t="s">
        <v>24</v>
      </c>
      <c r="C1951" s="2" t="s">
        <v>144</v>
      </c>
      <c r="D1951" s="2" t="s">
        <v>145</v>
      </c>
      <c r="E1951" s="2">
        <v>-49.0</v>
      </c>
      <c r="F1951" s="2">
        <v>24.229598525434</v>
      </c>
      <c r="G1951" s="2">
        <v>23.4289258955793</v>
      </c>
      <c r="H1951" s="2">
        <v>8.23029147907521</v>
      </c>
      <c r="I1951" s="2">
        <v>803.0</v>
      </c>
      <c r="J1951" s="2">
        <v>754.0</v>
      </c>
      <c r="K1951" s="2">
        <v>8.28206609711067</v>
      </c>
    </row>
    <row r="1952">
      <c r="A1952" s="2">
        <v>47.0</v>
      </c>
      <c r="B1952" s="2" t="s">
        <v>28</v>
      </c>
      <c r="C1952" s="2" t="s">
        <v>144</v>
      </c>
      <c r="D1952" s="2" t="s">
        <v>145</v>
      </c>
      <c r="E1952" s="2">
        <v>-50.0</v>
      </c>
      <c r="F1952" s="2">
        <v>25.0</v>
      </c>
      <c r="G1952" s="2">
        <v>24.1893971511041</v>
      </c>
      <c r="H1952" s="2">
        <v>8.28045527838798</v>
      </c>
      <c r="I1952" s="2">
        <v>850.0</v>
      </c>
      <c r="J1952" s="2">
        <v>800.0</v>
      </c>
      <c r="K1952" s="2">
        <v>8.33333333333333</v>
      </c>
    </row>
    <row r="1953">
      <c r="A1953" s="2">
        <v>47.0</v>
      </c>
      <c r="B1953" s="2" t="s">
        <v>52</v>
      </c>
      <c r="C1953" s="2" t="s">
        <v>144</v>
      </c>
      <c r="D1953" s="2" t="s">
        <v>145</v>
      </c>
      <c r="E1953" s="2">
        <v>-50.0</v>
      </c>
      <c r="F1953" s="2">
        <v>25.0</v>
      </c>
      <c r="G1953" s="2">
        <v>24.1893971511041</v>
      </c>
      <c r="H1953" s="2">
        <v>8.28045527838798</v>
      </c>
      <c r="I1953" s="2">
        <v>850.0</v>
      </c>
      <c r="J1953" s="2">
        <v>800.0</v>
      </c>
      <c r="K1953" s="2">
        <v>8.33333333333333</v>
      </c>
    </row>
    <row r="1954">
      <c r="A1954" s="2">
        <v>47.0</v>
      </c>
      <c r="B1954" s="2" t="s">
        <v>55</v>
      </c>
      <c r="C1954" s="2" t="s">
        <v>144</v>
      </c>
      <c r="D1954" s="2" t="s">
        <v>145</v>
      </c>
      <c r="E1954" s="2">
        <v>-49.0</v>
      </c>
      <c r="F1954" s="2">
        <v>24.229598525434</v>
      </c>
      <c r="G1954" s="2">
        <v>23.4289258955793</v>
      </c>
      <c r="H1954" s="2">
        <v>8.23029147907521</v>
      </c>
      <c r="I1954" s="2">
        <v>803.0</v>
      </c>
      <c r="J1954" s="2">
        <v>754.0</v>
      </c>
      <c r="K1954" s="2">
        <v>8.28206609711067</v>
      </c>
    </row>
    <row r="1955">
      <c r="A1955" s="2">
        <v>47.0</v>
      </c>
      <c r="B1955" s="2" t="s">
        <v>116</v>
      </c>
      <c r="C1955" s="2" t="s">
        <v>144</v>
      </c>
      <c r="D1955" s="2" t="s">
        <v>145</v>
      </c>
      <c r="E1955" s="2">
        <v>-50.0</v>
      </c>
      <c r="F1955" s="2">
        <v>25.0</v>
      </c>
      <c r="G1955" s="2">
        <v>24.1893971511041</v>
      </c>
      <c r="H1955" s="2">
        <v>8.28045527838798</v>
      </c>
      <c r="I1955" s="2">
        <v>850.0</v>
      </c>
      <c r="J1955" s="2">
        <v>800.0</v>
      </c>
      <c r="K1955" s="2">
        <v>8.33333333333333</v>
      </c>
    </row>
    <row r="1956">
      <c r="A1956" s="2">
        <v>46.0</v>
      </c>
      <c r="B1956" s="2" t="s">
        <v>26</v>
      </c>
      <c r="C1956" s="2" t="s">
        <v>142</v>
      </c>
      <c r="D1956" s="2" t="s">
        <v>143</v>
      </c>
      <c r="E1956" s="2">
        <v>58.0</v>
      </c>
      <c r="F1956" s="2">
        <v>25.0</v>
      </c>
      <c r="G1956" s="2">
        <v>25.7704014745659</v>
      </c>
      <c r="H1956" s="2">
        <v>8.28206609711067</v>
      </c>
      <c r="I1956" s="2">
        <v>850.0</v>
      </c>
      <c r="J1956" s="2">
        <v>908.0</v>
      </c>
      <c r="K1956" s="2">
        <v>8.33333333333333</v>
      </c>
    </row>
    <row r="1957">
      <c r="A1957" s="2">
        <v>46.0</v>
      </c>
      <c r="B1957" s="2" t="s">
        <v>22</v>
      </c>
      <c r="C1957" s="2" t="s">
        <v>142</v>
      </c>
      <c r="D1957" s="2" t="s">
        <v>143</v>
      </c>
      <c r="E1957" s="2">
        <v>58.0</v>
      </c>
      <c r="F1957" s="2">
        <v>25.0</v>
      </c>
      <c r="G1957" s="2">
        <v>25.7704014745659</v>
      </c>
      <c r="H1957" s="2">
        <v>8.28206609711067</v>
      </c>
      <c r="I1957" s="2">
        <v>850.0</v>
      </c>
      <c r="J1957" s="2">
        <v>908.0</v>
      </c>
      <c r="K1957" s="2">
        <v>8.33333333333333</v>
      </c>
    </row>
    <row r="1958">
      <c r="A1958" s="2">
        <v>46.0</v>
      </c>
      <c r="B1958" s="2" t="s">
        <v>99</v>
      </c>
      <c r="C1958" s="2" t="s">
        <v>142</v>
      </c>
      <c r="D1958" s="2" t="s">
        <v>143</v>
      </c>
      <c r="E1958" s="2">
        <v>58.0</v>
      </c>
      <c r="F1958" s="2">
        <v>25.0</v>
      </c>
      <c r="G1958" s="2">
        <v>25.7704014745659</v>
      </c>
      <c r="H1958" s="2">
        <v>8.28206609711067</v>
      </c>
      <c r="I1958" s="2">
        <v>850.0</v>
      </c>
      <c r="J1958" s="2">
        <v>908.0</v>
      </c>
      <c r="K1958" s="2">
        <v>8.33333333333333</v>
      </c>
    </row>
    <row r="1959">
      <c r="A1959" s="2">
        <v>46.0</v>
      </c>
      <c r="B1959" s="2" t="s">
        <v>59</v>
      </c>
      <c r="C1959" s="2" t="s">
        <v>144</v>
      </c>
      <c r="D1959" s="2" t="s">
        <v>145</v>
      </c>
      <c r="E1959" s="2">
        <v>-47.0</v>
      </c>
      <c r="F1959" s="2">
        <v>25.0</v>
      </c>
      <c r="G1959" s="2">
        <v>24.229598525434</v>
      </c>
      <c r="H1959" s="2">
        <v>8.28206609711067</v>
      </c>
      <c r="I1959" s="2">
        <v>850.0</v>
      </c>
      <c r="J1959" s="2">
        <v>803.0</v>
      </c>
      <c r="K1959" s="2">
        <v>8.33333333333333</v>
      </c>
    </row>
    <row r="1960">
      <c r="A1960" s="2">
        <v>46.0</v>
      </c>
      <c r="B1960" s="2" t="s">
        <v>29</v>
      </c>
      <c r="C1960" s="2" t="s">
        <v>144</v>
      </c>
      <c r="D1960" s="2" t="s">
        <v>145</v>
      </c>
      <c r="E1960" s="2">
        <v>-47.0</v>
      </c>
      <c r="F1960" s="2">
        <v>25.0</v>
      </c>
      <c r="G1960" s="2">
        <v>24.229598525434</v>
      </c>
      <c r="H1960" s="2">
        <v>8.28206609711067</v>
      </c>
      <c r="I1960" s="2">
        <v>850.0</v>
      </c>
      <c r="J1960" s="2">
        <v>803.0</v>
      </c>
      <c r="K1960" s="2">
        <v>8.33333333333333</v>
      </c>
    </row>
    <row r="1961">
      <c r="A1961" s="2">
        <v>46.0</v>
      </c>
      <c r="B1961" s="2" t="s">
        <v>19</v>
      </c>
      <c r="C1961" s="2" t="s">
        <v>144</v>
      </c>
      <c r="D1961" s="2" t="s">
        <v>145</v>
      </c>
      <c r="E1961" s="2">
        <v>-47.0</v>
      </c>
      <c r="F1961" s="2">
        <v>25.0</v>
      </c>
      <c r="G1961" s="2">
        <v>24.229598525434</v>
      </c>
      <c r="H1961" s="2">
        <v>8.28206609711067</v>
      </c>
      <c r="I1961" s="2">
        <v>850.0</v>
      </c>
      <c r="J1961" s="2">
        <v>803.0</v>
      </c>
      <c r="K1961" s="2">
        <v>8.33333333333333</v>
      </c>
    </row>
    <row r="1962">
      <c r="A1962" s="2">
        <v>46.0</v>
      </c>
      <c r="B1962" s="2" t="s">
        <v>97</v>
      </c>
      <c r="C1962" s="2" t="s">
        <v>144</v>
      </c>
      <c r="D1962" s="2" t="s">
        <v>145</v>
      </c>
      <c r="E1962" s="2">
        <v>-47.0</v>
      </c>
      <c r="F1962" s="2">
        <v>25.0</v>
      </c>
      <c r="G1962" s="2">
        <v>24.229598525434</v>
      </c>
      <c r="H1962" s="2">
        <v>8.28206609711067</v>
      </c>
      <c r="I1962" s="2">
        <v>850.0</v>
      </c>
      <c r="J1962" s="2">
        <v>803.0</v>
      </c>
      <c r="K1962" s="2">
        <v>8.33333333333333</v>
      </c>
    </row>
    <row r="1963">
      <c r="A1963" s="2">
        <v>46.0</v>
      </c>
      <c r="B1963" s="2" t="s">
        <v>55</v>
      </c>
      <c r="C1963" s="2" t="s">
        <v>144</v>
      </c>
      <c r="D1963" s="2" t="s">
        <v>145</v>
      </c>
      <c r="E1963" s="2">
        <v>-47.0</v>
      </c>
      <c r="F1963" s="2">
        <v>25.0</v>
      </c>
      <c r="G1963" s="2">
        <v>24.229598525434</v>
      </c>
      <c r="H1963" s="2">
        <v>8.28206609711067</v>
      </c>
      <c r="I1963" s="2">
        <v>850.0</v>
      </c>
      <c r="J1963" s="2">
        <v>803.0</v>
      </c>
      <c r="K1963" s="2">
        <v>8.33333333333333</v>
      </c>
    </row>
    <row r="1964">
      <c r="A1964" s="2">
        <v>46.0</v>
      </c>
      <c r="B1964" s="2" t="s">
        <v>38</v>
      </c>
      <c r="C1964" s="2" t="s">
        <v>144</v>
      </c>
      <c r="D1964" s="2" t="s">
        <v>145</v>
      </c>
      <c r="E1964" s="2">
        <v>-47.0</v>
      </c>
      <c r="F1964" s="2">
        <v>25.0</v>
      </c>
      <c r="G1964" s="2">
        <v>24.229598525434</v>
      </c>
      <c r="H1964" s="2">
        <v>8.28206609711067</v>
      </c>
      <c r="I1964" s="2">
        <v>850.0</v>
      </c>
      <c r="J1964" s="2">
        <v>803.0</v>
      </c>
      <c r="K1964" s="2">
        <v>8.33333333333333</v>
      </c>
    </row>
    <row r="1965">
      <c r="A1965" s="2">
        <v>46.0</v>
      </c>
      <c r="B1965" s="2" t="s">
        <v>67</v>
      </c>
      <c r="C1965" s="2" t="s">
        <v>144</v>
      </c>
      <c r="D1965" s="2" t="s">
        <v>145</v>
      </c>
      <c r="E1965" s="2">
        <v>-47.0</v>
      </c>
      <c r="F1965" s="2">
        <v>25.0</v>
      </c>
      <c r="G1965" s="2">
        <v>24.229598525434</v>
      </c>
      <c r="H1965" s="2">
        <v>8.28206609711067</v>
      </c>
      <c r="I1965" s="2">
        <v>850.0</v>
      </c>
      <c r="J1965" s="2">
        <v>803.0</v>
      </c>
      <c r="K1965" s="2">
        <v>8.33333333333333</v>
      </c>
    </row>
    <row r="1966">
      <c r="A1966" s="2">
        <v>46.0</v>
      </c>
      <c r="B1966" s="2" t="s">
        <v>24</v>
      </c>
      <c r="C1966" s="2" t="s">
        <v>144</v>
      </c>
      <c r="D1966" s="2" t="s">
        <v>145</v>
      </c>
      <c r="E1966" s="2">
        <v>-47.0</v>
      </c>
      <c r="F1966" s="2">
        <v>25.0</v>
      </c>
      <c r="G1966" s="2">
        <v>24.229598525434</v>
      </c>
      <c r="H1966" s="2">
        <v>8.28206609711067</v>
      </c>
      <c r="I1966" s="2">
        <v>850.0</v>
      </c>
      <c r="J1966" s="2">
        <v>803.0</v>
      </c>
      <c r="K1966" s="2">
        <v>8.33333333333333</v>
      </c>
    </row>
    <row r="1967">
      <c r="A1967" s="2">
        <v>46.0</v>
      </c>
      <c r="B1967" s="2" t="s">
        <v>64</v>
      </c>
      <c r="C1967" s="2" t="s">
        <v>144</v>
      </c>
      <c r="D1967" s="2" t="s">
        <v>145</v>
      </c>
      <c r="E1967" s="2">
        <v>-47.0</v>
      </c>
      <c r="F1967" s="2">
        <v>25.0</v>
      </c>
      <c r="G1967" s="2">
        <v>24.229598525434</v>
      </c>
      <c r="H1967" s="2">
        <v>8.28206609711067</v>
      </c>
      <c r="I1967" s="2">
        <v>850.0</v>
      </c>
      <c r="J1967" s="2">
        <v>803.0</v>
      </c>
      <c r="K1967" s="2">
        <v>8.33333333333333</v>
      </c>
    </row>
    <row r="1968">
      <c r="A1968" s="2">
        <v>46.0</v>
      </c>
      <c r="B1968" s="2" t="s">
        <v>111</v>
      </c>
      <c r="C1968" s="2" t="s">
        <v>144</v>
      </c>
      <c r="D1968" s="2" t="s">
        <v>145</v>
      </c>
      <c r="E1968" s="2">
        <v>-47.0</v>
      </c>
      <c r="F1968" s="2">
        <v>25.0</v>
      </c>
      <c r="G1968" s="2">
        <v>24.229598525434</v>
      </c>
      <c r="H1968" s="2">
        <v>8.28206609711067</v>
      </c>
      <c r="I1968" s="2">
        <v>850.0</v>
      </c>
      <c r="J1968" s="2">
        <v>803.0</v>
      </c>
      <c r="K1968" s="2">
        <v>8.33333333333333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88"/>
    <col customWidth="1" min="2" max="2" width="15.25"/>
    <col customWidth="1" min="3" max="3" width="13.63"/>
    <col customWidth="1" min="4" max="4" width="14.38"/>
    <col customWidth="1" min="5" max="5" width="15.38"/>
    <col customWidth="1" min="6" max="6" width="13.75"/>
    <col customWidth="1" min="7" max="7" width="14.5"/>
    <col customWidth="1" min="8" max="8" width="14.13"/>
  </cols>
  <sheetData>
    <row r="1" ht="22.5" customHeight="1">
      <c r="A1" s="98" t="s">
        <v>4</v>
      </c>
      <c r="B1" s="98" t="s">
        <v>5</v>
      </c>
      <c r="C1" s="98" t="s">
        <v>6</v>
      </c>
      <c r="D1" s="98" t="s">
        <v>7</v>
      </c>
      <c r="E1" s="99" t="s">
        <v>8</v>
      </c>
      <c r="F1" s="98" t="s">
        <v>9</v>
      </c>
      <c r="G1" s="98" t="s">
        <v>10</v>
      </c>
      <c r="H1" s="100" t="s">
        <v>12</v>
      </c>
      <c r="I1" s="100" t="s">
        <v>13</v>
      </c>
      <c r="J1" s="100" t="s">
        <v>14</v>
      </c>
      <c r="K1" s="100" t="s">
        <v>15</v>
      </c>
    </row>
    <row r="2" ht="22.5" customHeight="1">
      <c r="A2" s="101" t="s">
        <v>64</v>
      </c>
      <c r="B2" s="101">
        <f>COUNTIFS('Season 1 - MatchHistory'!$B:$B, $A2, 'Season 1 - MatchHistory'!$C:$C, "Town")</f>
        <v>34</v>
      </c>
      <c r="C2" s="101">
        <f>COUNTIFS('Season 1 - MatchHistory'!B:B, A2, 'Season 1 - MatchHistory'!C:C, "Town", 'Season 1 - MatchHistory'!D:D, "Win")</f>
        <v>16</v>
      </c>
      <c r="D2" s="102">
        <f>IFERROR(__xludf.DUMMYFUNCTION("IF(EQ($B2, 0), TO_PERCENT(0), TO_PERCENT($C2/$B2))"),0.47058823529411764)</f>
        <v>0.4705882353</v>
      </c>
      <c r="E2" s="101">
        <f>COUNTIFS('Season 1 - MatchHistory'!$B:$B, $A2, 'Season 1 - MatchHistory'!$C:$C, "Mafia")</f>
        <v>6</v>
      </c>
      <c r="F2" s="101">
        <f>COUNTIFS('Season 1 - MatchHistory'!$B:$B, $A2, 'Season 1 - MatchHistory'!$C:$C, "Mafia", 'Season 1 - MatchHistory'!$D:$D, "Win")</f>
        <v>6</v>
      </c>
      <c r="G2" s="102">
        <f>IFERROR(__xludf.DUMMYFUNCTION("TO_PERCENT(IFERROR($F2/$E2, 0))"),1.0)</f>
        <v>1</v>
      </c>
      <c r="H2" s="102">
        <f>IFERROR(__xludf.DUMMYFUNCTION("TO_PERCENT(IFERROR(($F2+$C2)/($E2+$B2), 0))"),0.55)</f>
        <v>0.55</v>
      </c>
      <c r="I2" s="103">
        <f t="array" ref="I2">INDEX('Season 1 - MatchHistory'!$G:$G,MATCH(1,('Season 1 - MatchHistory'!$B:$B=$A2)*('Season 1 - MatchHistory'!$G:$G&lt;&gt;""),0))</f>
        <v>33.25914807</v>
      </c>
      <c r="J2" s="103">
        <f t="array" ref="J2">INDEX('Season 1 - MatchHistory'!$H:$H,MATCH(1,('Season 1 - MatchHistory'!$B:$B=$A2)*('Season 1 - MatchHistory'!$H:$H&lt;&gt;""),0))</f>
        <v>6.7512772</v>
      </c>
      <c r="K2" s="104">
        <f t="array" ref="K2">INDEX('Season 1 - MatchHistory'!$J:$J,MATCH(1,('Season 1 - MatchHistory'!$B:$B=$A2)*('Season 1 - MatchHistory'!$J:$J&lt;&gt;""),0))</f>
        <v>1573</v>
      </c>
    </row>
    <row r="3" ht="22.5" customHeight="1">
      <c r="A3" s="101" t="s">
        <v>123</v>
      </c>
      <c r="B3" s="101">
        <f>COUNTIFS('Season 1 - MatchHistory'!$B:$B, $A3, 'Season 1 - MatchHistory'!$C:$C, "Town")</f>
        <v>15</v>
      </c>
      <c r="C3" s="101">
        <f>COUNTIFS('Season 1 - MatchHistory'!B:B, A3, 'Season 1 - MatchHistory'!C:C, "Town", 'Season 1 - MatchHistory'!D:D, "Win")</f>
        <v>7</v>
      </c>
      <c r="D3" s="102">
        <f>IFERROR(__xludf.DUMMYFUNCTION("IF(EQ($B3, 0), TO_PERCENT(0), TO_PERCENT($C3/$B3))"),0.4666666666666667)</f>
        <v>0.4666666667</v>
      </c>
      <c r="E3" s="101">
        <f>COUNTIFS('Season 1 - MatchHistory'!$B:$B, $A3, 'Season 1 - MatchHistory'!$C:$C, "Mafia")</f>
        <v>7</v>
      </c>
      <c r="F3" s="101">
        <f>COUNTIFS('Season 1 - MatchHistory'!$B:$B, $A3, 'Season 1 - MatchHistory'!$C:$C, "Mafia", 'Season 1 - MatchHistory'!$D:$D, "Win")</f>
        <v>7</v>
      </c>
      <c r="G3" s="102">
        <f>IFERROR(__xludf.DUMMYFUNCTION("TO_PERCENT(IFERROR($F3/$E3, 0))"),1.0)</f>
        <v>1</v>
      </c>
      <c r="H3" s="102">
        <f>IFERROR(__xludf.DUMMYFUNCTION("TO_PERCENT(IFERROR(($F3+$C3)/($E3+$B3), 0))"),0.6363636363636364)</f>
        <v>0.6363636364</v>
      </c>
      <c r="I3" s="103">
        <f t="array" ref="I3">INDEX('Season 1 - MatchHistory'!$G:$G,MATCH(1,('Season 1 - MatchHistory'!$B:$B=$A3)*('Season 1 - MatchHistory'!$G:$G&lt;&gt;""),0))</f>
        <v>31.7994803</v>
      </c>
      <c r="J3" s="103">
        <f t="array" ref="J3">INDEX('Season 1 - MatchHistory'!$H:$H,MATCH(1,('Season 1 - MatchHistory'!$B:$B=$A3)*('Season 1 - MatchHistory'!$H:$H&lt;&gt;""),0))</f>
        <v>7.335115822</v>
      </c>
      <c r="K3" s="104">
        <f t="array" ref="K3">INDEX('Season 1 - MatchHistory'!$J:$J,MATCH(1,('Season 1 - MatchHistory'!$B:$B=$A3)*('Season 1 - MatchHistory'!$J:$J&lt;&gt;""),0))</f>
        <v>1414</v>
      </c>
    </row>
    <row r="4" ht="22.5" customHeight="1">
      <c r="A4" s="101" t="s">
        <v>55</v>
      </c>
      <c r="B4" s="101">
        <f>COUNTIFS('Season 1 - MatchHistory'!$B:$B, $A4, 'Season 1 - MatchHistory'!$C:$C, "Town")</f>
        <v>11</v>
      </c>
      <c r="C4" s="101">
        <f>COUNTIFS('Season 1 - MatchHistory'!B:B, A4, 'Season 1 - MatchHistory'!C:C, "Town", 'Season 1 - MatchHistory'!D:D, "Win")</f>
        <v>7</v>
      </c>
      <c r="D4" s="102">
        <f>IFERROR(__xludf.DUMMYFUNCTION("IF(EQ($B4, 0), TO_PERCENT(0), TO_PERCENT($C4/$B4))"),0.6363636363636364)</f>
        <v>0.6363636364</v>
      </c>
      <c r="E4" s="101">
        <f>COUNTIFS('Season 1 - MatchHistory'!$B:$B, $A4, 'Season 1 - MatchHistory'!$C:$C, "Mafia")</f>
        <v>1</v>
      </c>
      <c r="F4" s="101">
        <f>COUNTIFS('Season 1 - MatchHistory'!$B:$B, $A4, 'Season 1 - MatchHistory'!$C:$C, "Mafia", 'Season 1 - MatchHistory'!$D:$D, "Win")</f>
        <v>1</v>
      </c>
      <c r="G4" s="102">
        <f>IFERROR(__xludf.DUMMYFUNCTION("TO_PERCENT(IFERROR($F4/$E4, 0))"),1.0)</f>
        <v>1</v>
      </c>
      <c r="H4" s="102">
        <f>IFERROR(__xludf.DUMMYFUNCTION("TO_PERCENT(IFERROR(($F4+$C4)/($E4+$B4), 0))"),0.6666666666666666)</f>
        <v>0.6666666667</v>
      </c>
      <c r="I4" s="103">
        <f t="array" ref="I4">INDEX('Season 1 - MatchHistory'!$G:$G,MATCH(1,('Season 1 - MatchHistory'!$B:$B=$A4)*('Season 1 - MatchHistory'!$G:$G&lt;&gt;""),0))</f>
        <v>31.73429002</v>
      </c>
      <c r="J4" s="103">
        <f t="array" ref="J4">INDEX('Season 1 - MatchHistory'!$H:$H,MATCH(1,('Season 1 - MatchHistory'!$B:$B=$A4)*('Season 1 - MatchHistory'!$H:$H&lt;&gt;""),0))</f>
        <v>7.712987116</v>
      </c>
      <c r="K4" s="104">
        <f t="array" ref="K4">INDEX('Season 1 - MatchHistory'!$J:$J,MATCH(1,('Season 1 - MatchHistory'!$B:$B=$A4)*('Season 1 - MatchHistory'!$J:$J&lt;&gt;""),0))</f>
        <v>1371</v>
      </c>
    </row>
    <row r="5" ht="22.5" customHeight="1">
      <c r="A5" s="101" t="s">
        <v>18</v>
      </c>
      <c r="B5" s="101">
        <f>COUNTIFS('Season 1 - MatchHistory'!$B:$B, $A5, 'Season 1 - MatchHistory'!$C:$C, "Town")</f>
        <v>26</v>
      </c>
      <c r="C5" s="101">
        <f>COUNTIFS('Season 1 - MatchHistory'!B:B, A5, 'Season 1 - MatchHistory'!C:C, "Town", 'Season 1 - MatchHistory'!D:D, "Win")</f>
        <v>11</v>
      </c>
      <c r="D5" s="102">
        <f>IFERROR(__xludf.DUMMYFUNCTION("IF(EQ($B5, 0), TO_PERCENT(0), TO_PERCENT($C5/$B5))"),0.4230769230769231)</f>
        <v>0.4230769231</v>
      </c>
      <c r="E5" s="101">
        <f>COUNTIFS('Season 1 - MatchHistory'!$B:$B, $A5, 'Season 1 - MatchHistory'!$C:$C, "Mafia")</f>
        <v>12</v>
      </c>
      <c r="F5" s="101">
        <f>COUNTIFS('Season 1 - MatchHistory'!$B:$B, $A5, 'Season 1 - MatchHistory'!$C:$C, "Mafia", 'Season 1 - MatchHistory'!$D:$D, "Win")</f>
        <v>10</v>
      </c>
      <c r="G5" s="102">
        <f>IFERROR(__xludf.DUMMYFUNCTION("TO_PERCENT(IFERROR($F5/$E5, 0))"),0.8333333333333334)</f>
        <v>0.8333333333</v>
      </c>
      <c r="H5" s="102">
        <f>IFERROR(__xludf.DUMMYFUNCTION("TO_PERCENT(IFERROR(($F5+$C5)/($E5+$B5), 0))"),0.5526315789473685)</f>
        <v>0.5526315789</v>
      </c>
      <c r="I5" s="103">
        <f t="array" ref="I5">INDEX('Season 1 - MatchHistory'!$G:$G,MATCH(1,('Season 1 - MatchHistory'!$B:$B=$A5)*('Season 1 - MatchHistory'!$G:$G&lt;&gt;""),0))</f>
        <v>29.54512284</v>
      </c>
      <c r="J5" s="103">
        <f t="array" ref="J5">INDEX('Season 1 - MatchHistory'!$H:$H,MATCH(1,('Season 1 - MatchHistory'!$B:$B=$A5)*('Season 1 - MatchHistory'!$H:$H&lt;&gt;""),0))</f>
        <v>6.807559228</v>
      </c>
      <c r="K5" s="104">
        <f t="array" ref="K5">INDEX('Season 1 - MatchHistory'!$J:$J,MATCH(1,('Season 1 - MatchHistory'!$B:$B=$A5)*('Season 1 - MatchHistory'!$J:$J&lt;&gt;""),0))</f>
        <v>1315</v>
      </c>
    </row>
    <row r="6" ht="22.5" customHeight="1">
      <c r="A6" s="101" t="s">
        <v>35</v>
      </c>
      <c r="B6" s="101">
        <f>COUNTIFS('Season 1 - MatchHistory'!$B:$B, $A6, 'Season 1 - MatchHistory'!$C:$C, "Town")</f>
        <v>5</v>
      </c>
      <c r="C6" s="101">
        <f>COUNTIFS('Season 1 - MatchHistory'!B:B, A6, 'Season 1 - MatchHistory'!C:C, "Town", 'Season 1 - MatchHistory'!D:D, "Win")</f>
        <v>4</v>
      </c>
      <c r="D6" s="102">
        <f>IFERROR(__xludf.DUMMYFUNCTION("IF(EQ($B6, 0), TO_PERCENT(0), TO_PERCENT($C6/$B6))"),0.8)</f>
        <v>0.8</v>
      </c>
      <c r="E6" s="101">
        <f>COUNTIFS('Season 1 - MatchHistory'!$B:$B, $A6, 'Season 1 - MatchHistory'!$C:$C, "Mafia")</f>
        <v>1</v>
      </c>
      <c r="F6" s="101">
        <f>COUNTIFS('Season 1 - MatchHistory'!$B:$B, $A6, 'Season 1 - MatchHistory'!$C:$C, "Mafia", 'Season 1 - MatchHistory'!$D:$D, "Win")</f>
        <v>1</v>
      </c>
      <c r="G6" s="102">
        <f>IFERROR(__xludf.DUMMYFUNCTION("TO_PERCENT(IFERROR($F6/$E6, 0))"),1.0)</f>
        <v>1</v>
      </c>
      <c r="H6" s="102">
        <f>IFERROR(__xludf.DUMMYFUNCTION("TO_PERCENT(IFERROR(($F6+$C6)/($E6+$B6), 0))"),0.8333333333333334)</f>
        <v>0.8333333333</v>
      </c>
      <c r="I6" s="103">
        <f t="array" ref="I6">INDEX('Season 1 - MatchHistory'!$G:$G,MATCH(1,('Season 1 - MatchHistory'!$B:$B=$A6)*('Season 1 - MatchHistory'!$G:$G&lt;&gt;""),0))</f>
        <v>29.76284926</v>
      </c>
      <c r="J6" s="103">
        <f t="array" ref="J6">INDEX('Season 1 - MatchHistory'!$H:$H,MATCH(1,('Season 1 - MatchHistory'!$B:$B=$A6)*('Season 1 - MatchHistory'!$H:$H&lt;&gt;""),0))</f>
        <v>7.992174722</v>
      </c>
      <c r="K6" s="104">
        <f t="array" ref="K6">INDEX('Season 1 - MatchHistory'!$J:$J,MATCH(1,('Season 1 - MatchHistory'!$B:$B=$A6)*('Season 1 - MatchHistory'!$J:$J&lt;&gt;""),0))</f>
        <v>1209</v>
      </c>
    </row>
    <row r="7" ht="22.5" customHeight="1">
      <c r="A7" s="101" t="s">
        <v>39</v>
      </c>
      <c r="B7" s="101">
        <f>COUNTIFS('Season 1 - MatchHistory'!$B:$B, $A7, 'Season 1 - MatchHistory'!$C:$C, "Town")</f>
        <v>15</v>
      </c>
      <c r="C7" s="101">
        <f>COUNTIFS('Season 1 - MatchHistory'!B:B, A7, 'Season 1 - MatchHistory'!C:C, "Town", 'Season 1 - MatchHistory'!D:D, "Win")</f>
        <v>7</v>
      </c>
      <c r="D7" s="102">
        <f>IFERROR(__xludf.DUMMYFUNCTION("IF(EQ($B7, 0), TO_PERCENT(0), TO_PERCENT($C7/$B7))"),0.4666666666666667)</f>
        <v>0.4666666667</v>
      </c>
      <c r="E7" s="101">
        <f>COUNTIFS('Season 1 - MatchHistory'!$B:$B, $A7, 'Season 1 - MatchHistory'!$C:$C, "Mafia")</f>
        <v>2</v>
      </c>
      <c r="F7" s="101">
        <f>COUNTIFS('Season 1 - MatchHistory'!$B:$B, $A7, 'Season 1 - MatchHistory'!$C:$C, "Mafia", 'Season 1 - MatchHistory'!$D:$D, "Win")</f>
        <v>2</v>
      </c>
      <c r="G7" s="102">
        <f>IFERROR(__xludf.DUMMYFUNCTION("TO_PERCENT(IFERROR($F7/$E7, 0))"),1.0)</f>
        <v>1</v>
      </c>
      <c r="H7" s="102">
        <f>IFERROR(__xludf.DUMMYFUNCTION("TO_PERCENT(IFERROR(($F7+$C7)/($E7+$B7), 0))"),0.5294117647058824)</f>
        <v>0.5294117647</v>
      </c>
      <c r="I7" s="103">
        <f t="array" ref="I7">INDEX('Season 1 - MatchHistory'!$G:$G,MATCH(1,('Season 1 - MatchHistory'!$B:$B=$A7)*('Season 1 - MatchHistory'!$G:$G&lt;&gt;""),0))</f>
        <v>28.33116242</v>
      </c>
      <c r="J7" s="103">
        <f t="array" ref="J7">INDEX('Season 1 - MatchHistory'!$H:$H,MATCH(1,('Season 1 - MatchHistory'!$B:$B=$A7)*('Season 1 - MatchHistory'!$H:$H&lt;&gt;""),0))</f>
        <v>7.535216809</v>
      </c>
      <c r="K7" s="104">
        <f t="array" ref="K7">INDEX('Season 1 - MatchHistory'!$J:$J,MATCH(1,('Season 1 - MatchHistory'!$B:$B=$A7)*('Season 1 - MatchHistory'!$J:$J&lt;&gt;""),0))</f>
        <v>1158</v>
      </c>
    </row>
    <row r="8" ht="22.5" customHeight="1">
      <c r="A8" s="101" t="s">
        <v>27</v>
      </c>
      <c r="B8" s="101">
        <f>COUNTIFS('Season 1 - MatchHistory'!$B:$B, $A8, 'Season 1 - MatchHistory'!$C:$C, "Town")</f>
        <v>4</v>
      </c>
      <c r="C8" s="101">
        <f>COUNTIFS('Season 1 - MatchHistory'!B:B, A8, 'Season 1 - MatchHistory'!C:C, "Town", 'Season 1 - MatchHistory'!D:D, "Win")</f>
        <v>3</v>
      </c>
      <c r="D8" s="102">
        <f>IFERROR(__xludf.DUMMYFUNCTION("IF(EQ($B8, 0), TO_PERCENT(0), TO_PERCENT($C8/$B8))"),0.75)</f>
        <v>0.75</v>
      </c>
      <c r="E8" s="101">
        <f>COUNTIFS('Season 1 - MatchHistory'!$B:$B, $A8, 'Season 1 - MatchHistory'!$C:$C, "Mafia")</f>
        <v>1</v>
      </c>
      <c r="F8" s="101">
        <f>COUNTIFS('Season 1 - MatchHistory'!$B:$B, $A8, 'Season 1 - MatchHistory'!$C:$C, "Mafia", 'Season 1 - MatchHistory'!$D:$D, "Win")</f>
        <v>1</v>
      </c>
      <c r="G8" s="102">
        <f>IFERROR(__xludf.DUMMYFUNCTION("TO_PERCENT(IFERROR($F8/$E8, 0))"),1.0)</f>
        <v>1</v>
      </c>
      <c r="H8" s="102">
        <f>IFERROR(__xludf.DUMMYFUNCTION("TO_PERCENT(IFERROR(($F8+$C8)/($E8+$B8), 0))"),0.8)</f>
        <v>0.8</v>
      </c>
      <c r="I8" s="103">
        <f t="array" ref="I8">INDEX('Season 1 - MatchHistory'!$G:$G,MATCH(1,('Season 1 - MatchHistory'!$B:$B=$A8)*('Season 1 - MatchHistory'!$G:$G&lt;&gt;""),0))</f>
        <v>28.61669045</v>
      </c>
      <c r="J8" s="103">
        <f t="array" ref="J8">INDEX('Season 1 - MatchHistory'!$H:$H,MATCH(1,('Season 1 - MatchHistory'!$B:$B=$A8)*('Season 1 - MatchHistory'!$H:$H&lt;&gt;""),0))</f>
        <v>8.05783846</v>
      </c>
      <c r="K8" s="104">
        <f t="array" ref="K8">INDEX('Season 1 - MatchHistory'!$J:$J,MATCH(1,('Season 1 - MatchHistory'!$B:$B=$A8)*('Season 1 - MatchHistory'!$J:$J&lt;&gt;""),0))</f>
        <v>1124</v>
      </c>
    </row>
    <row r="9" ht="22.5" customHeight="1">
      <c r="A9" s="101" t="s">
        <v>38</v>
      </c>
      <c r="B9" s="101">
        <f>COUNTIFS('Season 1 - MatchHistory'!$B:$B, $A9, 'Season 1 - MatchHistory'!$C:$C, "Town")</f>
        <v>2</v>
      </c>
      <c r="C9" s="101">
        <f>COUNTIFS('Season 1 - MatchHistory'!B:B, A9, 'Season 1 - MatchHistory'!C:C, "Town", 'Season 1 - MatchHistory'!D:D, "Win")</f>
        <v>2</v>
      </c>
      <c r="D9" s="102">
        <f>IFERROR(__xludf.DUMMYFUNCTION("IF(EQ($B9, 0), TO_PERCENT(0), TO_PERCENT($C9/$B9))"),1.0)</f>
        <v>1</v>
      </c>
      <c r="E9" s="101">
        <f>COUNTIFS('Season 1 - MatchHistory'!$B:$B, $A9, 'Season 1 - MatchHistory'!$C:$C, "Mafia")</f>
        <v>3</v>
      </c>
      <c r="F9" s="101">
        <f>COUNTIFS('Season 1 - MatchHistory'!$B:$B, $A9, 'Season 1 - MatchHistory'!$C:$C, "Mafia", 'Season 1 - MatchHistory'!$D:$D, "Win")</f>
        <v>2</v>
      </c>
      <c r="G9" s="102">
        <f>IFERROR(__xludf.DUMMYFUNCTION("TO_PERCENT(IFERROR($F9/$E9, 0))"),0.6666666666666666)</f>
        <v>0.6666666667</v>
      </c>
      <c r="H9" s="102">
        <f>IFERROR(__xludf.DUMMYFUNCTION("TO_PERCENT(IFERROR(($F9+$C9)/($E9+$B9), 0))"),0.8)</f>
        <v>0.8</v>
      </c>
      <c r="I9" s="103">
        <f t="array" ref="I9">INDEX('Season 1 - MatchHistory'!$G:$G,MATCH(1,('Season 1 - MatchHistory'!$B:$B=$A9)*('Season 1 - MatchHistory'!$G:$G&lt;&gt;""),0))</f>
        <v>28.22138392</v>
      </c>
      <c r="J9" s="103">
        <f t="array" ref="J9">INDEX('Season 1 - MatchHistory'!$H:$H,MATCH(1,('Season 1 - MatchHistory'!$B:$B=$A9)*('Season 1 - MatchHistory'!$H:$H&lt;&gt;""),0))</f>
        <v>8.056949273</v>
      </c>
      <c r="K9" s="104">
        <f t="array" ref="K9">INDEX('Season 1 - MatchHistory'!$J:$J,MATCH(1,('Season 1 - MatchHistory'!$B:$B=$A9)*('Season 1 - MatchHistory'!$J:$J&lt;&gt;""),0))</f>
        <v>1097</v>
      </c>
    </row>
    <row r="10" ht="22.5" customHeight="1">
      <c r="A10" s="101" t="s">
        <v>40</v>
      </c>
      <c r="B10" s="101">
        <f>COUNTIFS('Season 1 - MatchHistory'!$B:$B, $A10, 'Season 1 - MatchHistory'!$C:$C, "Town")</f>
        <v>6</v>
      </c>
      <c r="C10" s="101">
        <f>COUNTIFS('Season 1 - MatchHistory'!B:B, A10, 'Season 1 - MatchHistory'!C:C, "Town", 'Season 1 - MatchHistory'!D:D, "Win")</f>
        <v>4</v>
      </c>
      <c r="D10" s="102">
        <f>IFERROR(__xludf.DUMMYFUNCTION("IF(EQ($B10, 0), TO_PERCENT(0), TO_PERCENT($C10/$B10))"),0.6666666666666666)</f>
        <v>0.6666666667</v>
      </c>
      <c r="E10" s="101">
        <f>COUNTIFS('Season 1 - MatchHistory'!$B:$B, $A10, 'Season 1 - MatchHistory'!$C:$C, "Mafia")</f>
        <v>1</v>
      </c>
      <c r="F10" s="101">
        <f>COUNTIFS('Season 1 - MatchHistory'!$B:$B, $A10, 'Season 1 - MatchHistory'!$C:$C, "Mafia", 'Season 1 - MatchHistory'!$D:$D, "Win")</f>
        <v>0</v>
      </c>
      <c r="G10" s="102">
        <f>IFERROR(__xludf.DUMMYFUNCTION("TO_PERCENT(IFERROR($F10/$E10, 0))"),0.0)</f>
        <v>0</v>
      </c>
      <c r="H10" s="102">
        <f>IFERROR(__xludf.DUMMYFUNCTION("TO_PERCENT(IFERROR(($F10+$C10)/($E10+$B10), 0))"),0.5714285714285714)</f>
        <v>0.5714285714</v>
      </c>
      <c r="I10" s="103">
        <f t="array" ref="I10">INDEX('Season 1 - MatchHistory'!$G:$G,MATCH(1,('Season 1 - MatchHistory'!$B:$B=$A10)*('Season 1 - MatchHistory'!$G:$G&lt;&gt;""),0))</f>
        <v>27.87112404</v>
      </c>
      <c r="J10" s="103">
        <f t="array" ref="J10">INDEX('Season 1 - MatchHistory'!$H:$H,MATCH(1,('Season 1 - MatchHistory'!$B:$B=$A10)*('Season 1 - MatchHistory'!$H:$H&lt;&gt;""),0))</f>
        <v>7.931801104</v>
      </c>
      <c r="K10" s="104">
        <f t="array" ref="K10">INDEX('Season 1 - MatchHistory'!$J:$J,MATCH(1,('Season 1 - MatchHistory'!$B:$B=$A10)*('Season 1 - MatchHistory'!$J:$J&lt;&gt;""),0))</f>
        <v>1086</v>
      </c>
    </row>
    <row r="11" ht="22.5" customHeight="1">
      <c r="A11" s="101" t="s">
        <v>83</v>
      </c>
      <c r="B11" s="101">
        <f>COUNTIFS('Season 1 - MatchHistory'!$B:$B, $A11, 'Season 1 - MatchHistory'!$C:$C, "Town")</f>
        <v>2</v>
      </c>
      <c r="C11" s="101">
        <f>COUNTIFS('Season 1 - MatchHistory'!B:B, A11, 'Season 1 - MatchHistory'!C:C, "Town", 'Season 1 - MatchHistory'!D:D, "Win")</f>
        <v>2</v>
      </c>
      <c r="D11" s="102">
        <f>IFERROR(__xludf.DUMMYFUNCTION("IF(EQ($B11, 0), TO_PERCENT(0), TO_PERCENT($C11/$B11))"),1.0)</f>
        <v>1</v>
      </c>
      <c r="E11" s="101">
        <f>COUNTIFS('Season 1 - MatchHistory'!$B:$B, $A11, 'Season 1 - MatchHistory'!$C:$C, "Mafia")</f>
        <v>1</v>
      </c>
      <c r="F11" s="101">
        <f>COUNTIFS('Season 1 - MatchHistory'!$B:$B, $A11, 'Season 1 - MatchHistory'!$C:$C, "Mafia", 'Season 1 - MatchHistory'!$D:$D, "Win")</f>
        <v>1</v>
      </c>
      <c r="G11" s="102">
        <f>IFERROR(__xludf.DUMMYFUNCTION("TO_PERCENT(IFERROR($F11/$E11, 0))"),1.0)</f>
        <v>1</v>
      </c>
      <c r="H11" s="102">
        <f>IFERROR(__xludf.DUMMYFUNCTION("TO_PERCENT(IFERROR(($F11+$C11)/($E11+$B11), 0))"),1.0)</f>
        <v>1</v>
      </c>
      <c r="I11" s="103">
        <f t="array" ref="I11">INDEX('Season 1 - MatchHistory'!$G:$G,MATCH(1,('Season 1 - MatchHistory'!$B:$B=$A11)*('Season 1 - MatchHistory'!$G:$G&lt;&gt;""),0))</f>
        <v>28.20643738</v>
      </c>
      <c r="J11" s="103">
        <f t="array" ref="J11">INDEX('Season 1 - MatchHistory'!$H:$H,MATCH(1,('Season 1 - MatchHistory'!$B:$B=$A11)*('Season 1 - MatchHistory'!$H:$H&lt;&gt;""),0))</f>
        <v>8.163917298</v>
      </c>
      <c r="K11" s="104">
        <f t="array" ref="K11">INDEX('Season 1 - MatchHistory'!$J:$J,MATCH(1,('Season 1 - MatchHistory'!$B:$B=$A11)*('Season 1 - MatchHistory'!$J:$J&lt;&gt;""),0))</f>
        <v>1085</v>
      </c>
    </row>
    <row r="12" ht="22.5" customHeight="1">
      <c r="A12" s="101" t="s">
        <v>44</v>
      </c>
      <c r="B12" s="101">
        <f>COUNTIFS('Season 1 - MatchHistory'!$B:$B, $A12, 'Season 1 - MatchHistory'!$C:$C, "Town")</f>
        <v>4</v>
      </c>
      <c r="C12" s="101">
        <f>COUNTIFS('Season 1 - MatchHistory'!B:B, A12, 'Season 1 - MatchHistory'!C:C, "Town", 'Season 1 - MatchHistory'!D:D, "Win")</f>
        <v>3</v>
      </c>
      <c r="D12" s="102">
        <f>IFERROR(__xludf.DUMMYFUNCTION("IF(EQ($B12, 0), TO_PERCENT(0), TO_PERCENT($C12/$B12))"),0.75)</f>
        <v>0.75</v>
      </c>
      <c r="E12" s="101">
        <f>COUNTIFS('Season 1 - MatchHistory'!$B:$B, $A12, 'Season 1 - MatchHistory'!$C:$C, "Mafia")</f>
        <v>2</v>
      </c>
      <c r="F12" s="101">
        <f>COUNTIFS('Season 1 - MatchHistory'!$B:$B, $A12, 'Season 1 - MatchHistory'!$C:$C, "Mafia", 'Season 1 - MatchHistory'!$D:$D, "Win")</f>
        <v>1</v>
      </c>
      <c r="G12" s="102">
        <f>IFERROR(__xludf.DUMMYFUNCTION("TO_PERCENT(IFERROR($F12/$E12, 0))"),0.5)</f>
        <v>0.5</v>
      </c>
      <c r="H12" s="102">
        <f>IFERROR(__xludf.DUMMYFUNCTION("TO_PERCENT(IFERROR(($F12+$C12)/($E12+$B12), 0))"),0.6666666666666666)</f>
        <v>0.6666666667</v>
      </c>
      <c r="I12" s="103">
        <f t="array" ref="I12">INDEX('Season 1 - MatchHistory'!$G:$G,MATCH(1,('Season 1 - MatchHistory'!$B:$B=$A12)*('Season 1 - MatchHistory'!$G:$G&lt;&gt;""),0))</f>
        <v>27.43453808</v>
      </c>
      <c r="J12" s="103">
        <f t="array" ref="J12">INDEX('Season 1 - MatchHistory'!$H:$H,MATCH(1,('Season 1 - MatchHistory'!$B:$B=$A12)*('Season 1 - MatchHistory'!$H:$H&lt;&gt;""),0))</f>
        <v>8.005653352</v>
      </c>
      <c r="K12" s="104">
        <f t="array" ref="K12">INDEX('Season 1 - MatchHistory'!$J:$J,MATCH(1,('Season 1 - MatchHistory'!$B:$B=$A12)*('Season 1 - MatchHistory'!$J:$J&lt;&gt;""),0))</f>
        <v>1049</v>
      </c>
    </row>
    <row r="13" ht="22.5" customHeight="1">
      <c r="A13" s="101" t="s">
        <v>24</v>
      </c>
      <c r="B13" s="101">
        <f>COUNTIFS('Season 1 - MatchHistory'!$B:$B, $A13, 'Season 1 - MatchHistory'!$C:$C, "Town")</f>
        <v>6</v>
      </c>
      <c r="C13" s="101">
        <f>COUNTIFS('Season 1 - MatchHistory'!B:B, A13, 'Season 1 - MatchHistory'!C:C, "Town", 'Season 1 - MatchHistory'!D:D, "Win")</f>
        <v>4</v>
      </c>
      <c r="D13" s="102">
        <f>IFERROR(__xludf.DUMMYFUNCTION("IF(EQ($B13, 0), TO_PERCENT(0), TO_PERCENT($C13/$B13))"),0.6666666666666666)</f>
        <v>0.6666666667</v>
      </c>
      <c r="E13" s="101">
        <f>COUNTIFS('Season 1 - MatchHistory'!$B:$B, $A13, 'Season 1 - MatchHistory'!$C:$C, "Mafia")</f>
        <v>1</v>
      </c>
      <c r="F13" s="101">
        <f>COUNTIFS('Season 1 - MatchHistory'!$B:$B, $A13, 'Season 1 - MatchHistory'!$C:$C, "Mafia", 'Season 1 - MatchHistory'!$D:$D, "Win")</f>
        <v>0</v>
      </c>
      <c r="G13" s="102">
        <f>IFERROR(__xludf.DUMMYFUNCTION("TO_PERCENT(IFERROR($F13/$E13, 0))"),0.0)</f>
        <v>0</v>
      </c>
      <c r="H13" s="102">
        <f>IFERROR(__xludf.DUMMYFUNCTION("TO_PERCENT(IFERROR(($F13+$C13)/($E13+$B13), 0))"),0.5714285714285714)</f>
        <v>0.5714285714</v>
      </c>
      <c r="I13" s="103">
        <f t="array" ref="I13">INDEX('Season 1 - MatchHistory'!$G:$G,MATCH(1,('Season 1 - MatchHistory'!$B:$B=$A13)*('Season 1 - MatchHistory'!$G:$G&lt;&gt;""),0))</f>
        <v>27.23953861</v>
      </c>
      <c r="J13" s="103">
        <f t="array" ref="J13">INDEX('Season 1 - MatchHistory'!$H:$H,MATCH(1,('Season 1 - MatchHistory'!$B:$B=$A13)*('Season 1 - MatchHistory'!$H:$H&lt;&gt;""),0))</f>
        <v>7.957397463</v>
      </c>
      <c r="K13" s="104">
        <f t="array" ref="K13">INDEX('Season 1 - MatchHistory'!$J:$J,MATCH(1,('Season 1 - MatchHistory'!$B:$B=$A13)*('Season 1 - MatchHistory'!$J:$J&lt;&gt;""),0))</f>
        <v>1041</v>
      </c>
    </row>
    <row r="14" ht="22.5" customHeight="1">
      <c r="A14" s="101" t="s">
        <v>66</v>
      </c>
      <c r="B14" s="101">
        <f>COUNTIFS('Season 1 - MatchHistory'!$B:$B, $A14, 'Season 1 - MatchHistory'!$C:$C, "Town")</f>
        <v>5</v>
      </c>
      <c r="C14" s="101">
        <f>COUNTIFS('Season 1 - MatchHistory'!B:B, A14, 'Season 1 - MatchHistory'!C:C, "Town", 'Season 1 - MatchHistory'!D:D, "Win")</f>
        <v>3</v>
      </c>
      <c r="D14" s="102">
        <f>IFERROR(__xludf.DUMMYFUNCTION("IF(EQ($B14, 0), TO_PERCENT(0), TO_PERCENT($C14/$B14))"),0.6)</f>
        <v>0.6</v>
      </c>
      <c r="E14" s="101">
        <f>COUNTIFS('Season 1 - MatchHistory'!$B:$B, $A14, 'Season 1 - MatchHistory'!$C:$C, "Mafia")</f>
        <v>0</v>
      </c>
      <c r="F14" s="101">
        <f>COUNTIFS('Season 1 - MatchHistory'!$B:$B, $A14, 'Season 1 - MatchHistory'!$C:$C, "Mafia", 'Season 1 - MatchHistory'!$D:$D, "Win")</f>
        <v>0</v>
      </c>
      <c r="G14" s="102">
        <f>IFERROR(__xludf.DUMMYFUNCTION("TO_PERCENT(IFERROR($F14/$E14, 0))"),0.0)</f>
        <v>0</v>
      </c>
      <c r="H14" s="102">
        <f>IFERROR(__xludf.DUMMYFUNCTION("TO_PERCENT(IFERROR(($F14+$C14)/($E14+$B14), 0))"),0.6)</f>
        <v>0.6</v>
      </c>
      <c r="I14" s="103">
        <f t="array" ref="I14">INDEX('Season 1 - MatchHistory'!$G:$G,MATCH(1,('Season 1 - MatchHistory'!$B:$B=$A14)*('Season 1 - MatchHistory'!$G:$G&lt;&gt;""),0))</f>
        <v>27.21843391</v>
      </c>
      <c r="J14" s="103">
        <f t="array" ref="J14">INDEX('Season 1 - MatchHistory'!$H:$H,MATCH(1,('Season 1 - MatchHistory'!$B:$B=$A14)*('Season 1 - MatchHistory'!$H:$H&lt;&gt;""),0))</f>
        <v>8.028974416</v>
      </c>
      <c r="K14" s="104">
        <f t="array" ref="K14">INDEX('Season 1 - MatchHistory'!$J:$J,MATCH(1,('Season 1 - MatchHistory'!$B:$B=$A14)*('Season 1 - MatchHistory'!$J:$J&lt;&gt;""),0))</f>
        <v>1032</v>
      </c>
    </row>
    <row r="15" ht="22.5" customHeight="1">
      <c r="A15" s="101" t="s">
        <v>149</v>
      </c>
      <c r="B15" s="101">
        <f>COUNTIFS('Season 1 - MatchHistory'!$B:$B, $A15, 'Season 1 - MatchHistory'!$C:$C, "Town")</f>
        <v>7</v>
      </c>
      <c r="C15" s="101">
        <f>COUNTIFS('Season 1 - MatchHistory'!B:B, A15, 'Season 1 - MatchHistory'!C:C, "Town", 'Season 1 - MatchHistory'!D:D, "Win")</f>
        <v>4</v>
      </c>
      <c r="D15" s="102">
        <f>IFERROR(__xludf.DUMMYFUNCTION("IF(EQ($B15, 0), TO_PERCENT(0), TO_PERCENT($C15/$B15))"),0.5714285714285714)</f>
        <v>0.5714285714</v>
      </c>
      <c r="E15" s="101">
        <f>COUNTIFS('Season 1 - MatchHistory'!$B:$B, $A15, 'Season 1 - MatchHistory'!$C:$C, "Mafia")</f>
        <v>0</v>
      </c>
      <c r="F15" s="101">
        <f>COUNTIFS('Season 1 - MatchHistory'!$B:$B, $A15, 'Season 1 - MatchHistory'!$C:$C, "Mafia", 'Season 1 - MatchHistory'!$D:$D, "Win")</f>
        <v>0</v>
      </c>
      <c r="G15" s="102">
        <f>IFERROR(__xludf.DUMMYFUNCTION("TO_PERCENT(IFERROR($F15/$E15, 0))"),0.0)</f>
        <v>0</v>
      </c>
      <c r="H15" s="102">
        <f>IFERROR(__xludf.DUMMYFUNCTION("TO_PERCENT(IFERROR(($F15+$C15)/($E15+$B15), 0))"),0.5714285714285714)</f>
        <v>0.5714285714</v>
      </c>
      <c r="I15" s="103">
        <f t="array" ref="I15">INDEX('Season 1 - MatchHistory'!$G:$G,MATCH(1,('Season 1 - MatchHistory'!$B:$B=$A15)*('Season 1 - MatchHistory'!$G:$G&lt;&gt;""),0))</f>
        <v>27.05005866</v>
      </c>
      <c r="J15" s="103">
        <f t="array" ref="J15">INDEX('Season 1 - MatchHistory'!$H:$H,MATCH(1,('Season 1 - MatchHistory'!$B:$B=$A15)*('Season 1 - MatchHistory'!$H:$H&lt;&gt;""),0))</f>
        <v>7.939085771</v>
      </c>
      <c r="K15" s="104">
        <f t="array" ref="K15">INDEX('Season 1 - MatchHistory'!$J:$J,MATCH(1,('Season 1 - MatchHistory'!$B:$B=$A15)*('Season 1 - MatchHistory'!$J:$J&lt;&gt;""),0))</f>
        <v>1030</v>
      </c>
    </row>
    <row r="16" ht="22.5" customHeight="1">
      <c r="A16" s="101" t="s">
        <v>53</v>
      </c>
      <c r="B16" s="101">
        <f>COUNTIFS('Season 1 - MatchHistory'!$B:$B, $A16, 'Season 1 - MatchHistory'!$C:$C, "Town")</f>
        <v>18</v>
      </c>
      <c r="C16" s="101">
        <f>COUNTIFS('Season 1 - MatchHistory'!B:B, A16, 'Season 1 - MatchHistory'!C:C, "Town", 'Season 1 - MatchHistory'!D:D, "Win")</f>
        <v>7</v>
      </c>
      <c r="D16" s="102">
        <f>IFERROR(__xludf.DUMMYFUNCTION("IF(EQ($B16, 0), TO_PERCENT(0), TO_PERCENT($C16/$B16))"),0.3888888888888889)</f>
        <v>0.3888888889</v>
      </c>
      <c r="E16" s="101">
        <f>COUNTIFS('Season 1 - MatchHistory'!$B:$B, $A16, 'Season 1 - MatchHistory'!$C:$C, "Mafia")</f>
        <v>3</v>
      </c>
      <c r="F16" s="101">
        <f>COUNTIFS('Season 1 - MatchHistory'!$B:$B, $A16, 'Season 1 - MatchHistory'!$C:$C, "Mafia", 'Season 1 - MatchHistory'!$D:$D, "Win")</f>
        <v>2</v>
      </c>
      <c r="G16" s="102">
        <f>IFERROR(__xludf.DUMMYFUNCTION("TO_PERCENT(IFERROR($F16/$E16, 0))"),0.6666666666666666)</f>
        <v>0.6666666667</v>
      </c>
      <c r="H16" s="102">
        <f>IFERROR(__xludf.DUMMYFUNCTION("TO_PERCENT(IFERROR(($F16+$C16)/($E16+$B16), 0))"),0.42857142857142855)</f>
        <v>0.4285714286</v>
      </c>
      <c r="I16" s="103">
        <f t="array" ref="I16">INDEX('Season 1 - MatchHistory'!$G:$G,MATCH(1,('Season 1 - MatchHistory'!$B:$B=$A16)*('Season 1 - MatchHistory'!$G:$G&lt;&gt;""),0))</f>
        <v>26.11314975</v>
      </c>
      <c r="J16" s="103">
        <f t="array" ref="J16">INDEX('Season 1 - MatchHistory'!$H:$H,MATCH(1,('Season 1 - MatchHistory'!$B:$B=$A16)*('Season 1 - MatchHistory'!$H:$H&lt;&gt;""),0))</f>
        <v>7.356915876</v>
      </c>
      <c r="K16" s="104">
        <f t="array" ref="K16">INDEX('Season 1 - MatchHistory'!$J:$J,MATCH(1,('Season 1 - MatchHistory'!$B:$B=$A16)*('Season 1 - MatchHistory'!$J:$J&lt;&gt;""),0))</f>
        <v>1025</v>
      </c>
    </row>
    <row r="17" ht="22.5" customHeight="1">
      <c r="A17" s="101" t="s">
        <v>26</v>
      </c>
      <c r="B17" s="101">
        <f>COUNTIFS('Season 1 - MatchHistory'!$B:$B, $A17, 'Season 1 - MatchHistory'!$C:$C, "Town")</f>
        <v>4</v>
      </c>
      <c r="C17" s="101">
        <f>COUNTIFS('Season 1 - MatchHistory'!B:B, A17, 'Season 1 - MatchHistory'!C:C, "Town", 'Season 1 - MatchHistory'!D:D, "Win")</f>
        <v>3</v>
      </c>
      <c r="D17" s="102">
        <f>IFERROR(__xludf.DUMMYFUNCTION("IF(EQ($B17, 0), TO_PERCENT(0), TO_PERCENT($C17/$B17))"),0.75)</f>
        <v>0.75</v>
      </c>
      <c r="E17" s="101">
        <f>COUNTIFS('Season 1 - MatchHistory'!$B:$B, $A17, 'Season 1 - MatchHistory'!$C:$C, "Mafia")</f>
        <v>2</v>
      </c>
      <c r="F17" s="101">
        <f>COUNTIFS('Season 1 - MatchHistory'!$B:$B, $A17, 'Season 1 - MatchHistory'!$C:$C, "Mafia", 'Season 1 - MatchHistory'!$D:$D, "Win")</f>
        <v>1</v>
      </c>
      <c r="G17" s="102">
        <f>IFERROR(__xludf.DUMMYFUNCTION("TO_PERCENT(IFERROR($F17/$E17, 0))"),0.5)</f>
        <v>0.5</v>
      </c>
      <c r="H17" s="102">
        <f>IFERROR(__xludf.DUMMYFUNCTION("TO_PERCENT(IFERROR(($F17+$C17)/($E17+$B17), 0))"),0.6666666666666666)</f>
        <v>0.6666666667</v>
      </c>
      <c r="I17" s="103">
        <f t="array" ref="I17">INDEX('Season 1 - MatchHistory'!$G:$G,MATCH(1,('Season 1 - MatchHistory'!$B:$B=$A17)*('Season 1 - MatchHistory'!$G:$G&lt;&gt;""),0))</f>
        <v>26.63450095</v>
      </c>
      <c r="J17" s="103">
        <f t="array" ref="J17">INDEX('Season 1 - MatchHistory'!$H:$H,MATCH(1,('Season 1 - MatchHistory'!$B:$B=$A17)*('Season 1 - MatchHistory'!$H:$H&lt;&gt;""),0))</f>
        <v>8.018216223</v>
      </c>
      <c r="K17" s="104">
        <f t="array" ref="K17">INDEX('Season 1 - MatchHistory'!$J:$J,MATCH(1,('Season 1 - MatchHistory'!$B:$B=$A17)*('Season 1 - MatchHistory'!$J:$J&lt;&gt;""),0))</f>
        <v>993</v>
      </c>
    </row>
    <row r="18" ht="22.5" customHeight="1">
      <c r="A18" s="101" t="s">
        <v>29</v>
      </c>
      <c r="B18" s="101">
        <f>COUNTIFS('Season 1 - MatchHistory'!$B:$B, $A18, 'Season 1 - MatchHistory'!$C:$C, "Town")</f>
        <v>21</v>
      </c>
      <c r="C18" s="101">
        <f>COUNTIFS('Season 1 - MatchHistory'!B:B, A18, 'Season 1 - MatchHistory'!C:C, "Town", 'Season 1 - MatchHistory'!D:D, "Win")</f>
        <v>8</v>
      </c>
      <c r="D18" s="102">
        <f>IFERROR(__xludf.DUMMYFUNCTION("IF(EQ($B18, 0), TO_PERCENT(0), TO_PERCENT($C18/$B18))"),0.38095238095238093)</f>
        <v>0.380952381</v>
      </c>
      <c r="E18" s="101">
        <f>COUNTIFS('Season 1 - MatchHistory'!$B:$B, $A18, 'Season 1 - MatchHistory'!$C:$C, "Mafia")</f>
        <v>6</v>
      </c>
      <c r="F18" s="101">
        <f>COUNTIFS('Season 1 - MatchHistory'!$B:$B, $A18, 'Season 1 - MatchHistory'!$C:$C, "Mafia", 'Season 1 - MatchHistory'!$D:$D, "Win")</f>
        <v>4</v>
      </c>
      <c r="G18" s="102">
        <f>IFERROR(__xludf.DUMMYFUNCTION("TO_PERCENT(IFERROR($F18/$E18, 0))"),0.6666666666666666)</f>
        <v>0.6666666667</v>
      </c>
      <c r="H18" s="102">
        <f>IFERROR(__xludf.DUMMYFUNCTION("TO_PERCENT(IFERROR(($F18+$C18)/($E18+$B18), 0))"),0.4444444444444444)</f>
        <v>0.4444444444</v>
      </c>
      <c r="I18" s="103">
        <f t="array" ref="I18">INDEX('Season 1 - MatchHistory'!$G:$G,MATCH(1,('Season 1 - MatchHistory'!$B:$B=$A18)*('Season 1 - MatchHistory'!$G:$G&lt;&gt;""),0))</f>
        <v>25.04591968</v>
      </c>
      <c r="J18" s="103">
        <f t="array" ref="J18">INDEX('Season 1 - MatchHistory'!$H:$H,MATCH(1,('Season 1 - MatchHistory'!$B:$B=$A18)*('Season 1 - MatchHistory'!$H:$H&lt;&gt;""),0))</f>
        <v>7.141341431</v>
      </c>
      <c r="K18" s="104">
        <f t="array" ref="K18">INDEX('Season 1 - MatchHistory'!$J:$J,MATCH(1,('Season 1 - MatchHistory'!$B:$B=$A18)*('Season 1 - MatchHistory'!$J:$J&lt;&gt;""),0))</f>
        <v>975</v>
      </c>
    </row>
    <row r="19" ht="22.5" customHeight="1">
      <c r="A19" s="101" t="s">
        <v>117</v>
      </c>
      <c r="B19" s="101">
        <f>COUNTIFS('Season 1 - MatchHistory'!$B:$B, $A19, 'Season 1 - MatchHistory'!$C:$C, "Town")</f>
        <v>3</v>
      </c>
      <c r="C19" s="101">
        <f>COUNTIFS('Season 1 - MatchHistory'!B:B, A19, 'Season 1 - MatchHistory'!C:C, "Town", 'Season 1 - MatchHistory'!D:D, "Win")</f>
        <v>2</v>
      </c>
      <c r="D19" s="102">
        <f>IFERROR(__xludf.DUMMYFUNCTION("IF(EQ($B19, 0), TO_PERCENT(0), TO_PERCENT($C19/$B19))"),0.6666666666666666)</f>
        <v>0.6666666667</v>
      </c>
      <c r="E19" s="101">
        <f>COUNTIFS('Season 1 - MatchHistory'!$B:$B, $A19, 'Season 1 - MatchHistory'!$C:$C, "Mafia")</f>
        <v>0</v>
      </c>
      <c r="F19" s="101">
        <f>COUNTIFS('Season 1 - MatchHistory'!$B:$B, $A19, 'Season 1 - MatchHistory'!$C:$C, "Mafia", 'Season 1 - MatchHistory'!$D:$D, "Win")</f>
        <v>0</v>
      </c>
      <c r="G19" s="102">
        <f>IFERROR(__xludf.DUMMYFUNCTION("TO_PERCENT(IFERROR($F19/$E19, 0))"),0.0)</f>
        <v>0</v>
      </c>
      <c r="H19" s="102">
        <f>IFERROR(__xludf.DUMMYFUNCTION("TO_PERCENT(IFERROR(($F19+$C19)/($E19+$B19), 0))"),0.6666666666666666)</f>
        <v>0.6666666667</v>
      </c>
      <c r="I19" s="103">
        <f t="array" ref="I19">INDEX('Season 1 - MatchHistory'!$G:$G,MATCH(1,('Season 1 - MatchHistory'!$B:$B=$A19)*('Season 1 - MatchHistory'!$G:$G&lt;&gt;""),0))</f>
        <v>26.4982435</v>
      </c>
      <c r="J19" s="103">
        <f t="array" ref="J19">INDEX('Season 1 - MatchHistory'!$H:$H,MATCH(1,('Season 1 - MatchHistory'!$B:$B=$A19)*('Season 1 - MatchHistory'!$H:$H&lt;&gt;""),0))</f>
        <v>8.143995671</v>
      </c>
      <c r="K19" s="104">
        <f t="array" ref="K19">INDEX('Season 1 - MatchHistory'!$J:$J,MATCH(1,('Season 1 - MatchHistory'!$B:$B=$A19)*('Season 1 - MatchHistory'!$J:$J&lt;&gt;""),0))</f>
        <v>971</v>
      </c>
    </row>
    <row r="20" ht="22.5" customHeight="1">
      <c r="A20" s="101" t="s">
        <v>150</v>
      </c>
      <c r="B20" s="101">
        <f>COUNTIFS('Season 1 - MatchHistory'!$B:$B, $A20, 'Season 1 - MatchHistory'!$C:$C, "Town")</f>
        <v>1</v>
      </c>
      <c r="C20" s="101">
        <f>COUNTIFS('Season 1 - MatchHistory'!B:B, A20, 'Season 1 - MatchHistory'!C:C, "Town", 'Season 1 - MatchHistory'!D:D, "Win")</f>
        <v>1</v>
      </c>
      <c r="D20" s="102">
        <f>IFERROR(__xludf.DUMMYFUNCTION("IF(EQ($B20, 0), TO_PERCENT(0), TO_PERCENT($C20/$B20))"),1.0)</f>
        <v>1</v>
      </c>
      <c r="E20" s="101">
        <f>COUNTIFS('Season 1 - MatchHistory'!$B:$B, $A20, 'Season 1 - MatchHistory'!$C:$C, "Mafia")</f>
        <v>0</v>
      </c>
      <c r="F20" s="101">
        <f>COUNTIFS('Season 1 - MatchHistory'!$B:$B, $A20, 'Season 1 - MatchHistory'!$C:$C, "Mafia", 'Season 1 - MatchHistory'!$D:$D, "Win")</f>
        <v>0</v>
      </c>
      <c r="G20" s="102">
        <f>IFERROR(__xludf.DUMMYFUNCTION("TO_PERCENT(IFERROR($F20/$E20, 0))"),0.0)</f>
        <v>0</v>
      </c>
      <c r="H20" s="102">
        <f>IFERROR(__xludf.DUMMYFUNCTION("TO_PERCENT(IFERROR(($F20+$C20)/($E20+$B20), 0))"),1.0)</f>
        <v>1</v>
      </c>
      <c r="I20" s="103">
        <f t="array" ref="I20">INDEX('Season 1 - MatchHistory'!$G:$G,MATCH(1,('Season 1 - MatchHistory'!$B:$B=$A20)*('Season 1 - MatchHistory'!$G:$G&lt;&gt;""),0))</f>
        <v>26.6707648</v>
      </c>
      <c r="J20" s="103">
        <f t="array" ref="J20">INDEX('Season 1 - MatchHistory'!$H:$H,MATCH(1,('Season 1 - MatchHistory'!$B:$B=$A20)*('Season 1 - MatchHistory'!$H:$H&lt;&gt;""),0))</f>
        <v>8.259082124</v>
      </c>
      <c r="K20" s="104">
        <f t="array" ref="K20">INDEX('Season 1 - MatchHistory'!$J:$J,MATCH(1,('Season 1 - MatchHistory'!$B:$B=$A20)*('Season 1 - MatchHistory'!$J:$J&lt;&gt;""),0))</f>
        <v>971</v>
      </c>
    </row>
    <row r="21" ht="22.5" customHeight="1">
      <c r="A21" s="101" t="s">
        <v>151</v>
      </c>
      <c r="B21" s="101">
        <f>COUNTIFS('Season 1 - MatchHistory'!$B:$B, $A21, 'Season 1 - MatchHistory'!$C:$C, "Town")</f>
        <v>1</v>
      </c>
      <c r="C21" s="101">
        <f>COUNTIFS('Season 1 - MatchHistory'!B:B, A21, 'Season 1 - MatchHistory'!C:C, "Town", 'Season 1 - MatchHistory'!D:D, "Win")</f>
        <v>1</v>
      </c>
      <c r="D21" s="102">
        <f>IFERROR(__xludf.DUMMYFUNCTION("IF(EQ($B21, 0), TO_PERCENT(0), TO_PERCENT($C21/$B21))"),1.0)</f>
        <v>1</v>
      </c>
      <c r="E21" s="101">
        <f>COUNTIFS('Season 1 - MatchHistory'!$B:$B, $A21, 'Season 1 - MatchHistory'!$C:$C, "Mafia")</f>
        <v>0</v>
      </c>
      <c r="F21" s="101">
        <f>COUNTIFS('Season 1 - MatchHistory'!$B:$B, $A21, 'Season 1 - MatchHistory'!$C:$C, "Mafia", 'Season 1 - MatchHistory'!$D:$D, "Win")</f>
        <v>0</v>
      </c>
      <c r="G21" s="102">
        <f>IFERROR(__xludf.DUMMYFUNCTION("TO_PERCENT(IFERROR($F21/$E21, 0))"),0.0)</f>
        <v>0</v>
      </c>
      <c r="H21" s="102">
        <f>IFERROR(__xludf.DUMMYFUNCTION("TO_PERCENT(IFERROR(($F21+$C21)/($E21+$B21), 0))"),1.0)</f>
        <v>1</v>
      </c>
      <c r="I21" s="103">
        <f t="array" ref="I21">INDEX('Season 1 - MatchHistory'!$G:$G,MATCH(1,('Season 1 - MatchHistory'!$B:$B=$A21)*('Season 1 - MatchHistory'!$G:$G&lt;&gt;""),0))</f>
        <v>26.66983322</v>
      </c>
      <c r="J21" s="103">
        <f t="array" ref="J21">INDEX('Season 1 - MatchHistory'!$H:$H,MATCH(1,('Season 1 - MatchHistory'!$B:$B=$A21)*('Season 1 - MatchHistory'!$H:$H&lt;&gt;""),0))</f>
        <v>8.264077769</v>
      </c>
      <c r="K21" s="104">
        <f t="array" ref="K21">INDEX('Season 1 - MatchHistory'!$J:$J,MATCH(1,('Season 1 - MatchHistory'!$B:$B=$A21)*('Season 1 - MatchHistory'!$J:$J&lt;&gt;""),0))</f>
        <v>971</v>
      </c>
    </row>
    <row r="22" ht="22.5" customHeight="1">
      <c r="A22" s="101" t="s">
        <v>48</v>
      </c>
      <c r="B22" s="101">
        <f>COUNTIFS('Season 1 - MatchHistory'!$B:$B, $A22, 'Season 1 - MatchHistory'!$C:$C, "Town")</f>
        <v>1</v>
      </c>
      <c r="C22" s="101">
        <f>COUNTIFS('Season 1 - MatchHistory'!B:B, A22, 'Season 1 - MatchHistory'!C:C, "Town", 'Season 1 - MatchHistory'!D:D, "Win")</f>
        <v>1</v>
      </c>
      <c r="D22" s="102">
        <f>IFERROR(__xludf.DUMMYFUNCTION("IF(EQ($B22, 0), TO_PERCENT(0), TO_PERCENT($C22/$B22))"),1.0)</f>
        <v>1</v>
      </c>
      <c r="E22" s="101">
        <f>COUNTIFS('Season 1 - MatchHistory'!$B:$B, $A22, 'Season 1 - MatchHistory'!$C:$C, "Mafia")</f>
        <v>0</v>
      </c>
      <c r="F22" s="101">
        <f>COUNTIFS('Season 1 - MatchHistory'!$B:$B, $A22, 'Season 1 - MatchHistory'!$C:$C, "Mafia", 'Season 1 - MatchHistory'!$D:$D, "Win")</f>
        <v>0</v>
      </c>
      <c r="G22" s="102">
        <f>IFERROR(__xludf.DUMMYFUNCTION("TO_PERCENT(IFERROR($F22/$E22, 0))"),0.0)</f>
        <v>0</v>
      </c>
      <c r="H22" s="102">
        <f>IFERROR(__xludf.DUMMYFUNCTION("TO_PERCENT(IFERROR(($F22+$C22)/($E22+$B22), 0))"),1.0)</f>
        <v>1</v>
      </c>
      <c r="I22" s="103">
        <f t="array" ref="I22">INDEX('Season 1 - MatchHistory'!$G:$G,MATCH(1,('Season 1 - MatchHistory'!$B:$B=$A22)*('Season 1 - MatchHistory'!$G:$G&lt;&gt;""),0))</f>
        <v>26.63452854</v>
      </c>
      <c r="J22" s="103">
        <f t="array" ref="J22">INDEX('Season 1 - MatchHistory'!$H:$H,MATCH(1,('Season 1 - MatchHistory'!$B:$B=$A22)*('Season 1 - MatchHistory'!$H:$H&lt;&gt;""),0))</f>
        <v>8.256840557</v>
      </c>
      <c r="K22" s="104">
        <f t="array" ref="K22">INDEX('Season 1 - MatchHistory'!$J:$J,MATCH(1,('Season 1 - MatchHistory'!$B:$B=$A22)*('Season 1 - MatchHistory'!$J:$J&lt;&gt;""),0))</f>
        <v>969</v>
      </c>
    </row>
    <row r="23" ht="22.5" customHeight="1">
      <c r="A23" s="101" t="s">
        <v>62</v>
      </c>
      <c r="B23" s="101">
        <f>COUNTIFS('Season 1 - MatchHistory'!$B:$B, $A23, 'Season 1 - MatchHistory'!$C:$C, "Town")</f>
        <v>1</v>
      </c>
      <c r="C23" s="101">
        <f>COUNTIFS('Season 1 - MatchHistory'!B:B, A23, 'Season 1 - MatchHistory'!C:C, "Town", 'Season 1 - MatchHistory'!D:D, "Win")</f>
        <v>1</v>
      </c>
      <c r="D23" s="102">
        <f>IFERROR(__xludf.DUMMYFUNCTION("IF(EQ($B23, 0), TO_PERCENT(0), TO_PERCENT($C23/$B23))"),1.0)</f>
        <v>1</v>
      </c>
      <c r="E23" s="101">
        <f>COUNTIFS('Season 1 - MatchHistory'!$B:$B, $A23, 'Season 1 - MatchHistory'!$C:$C, "Mafia")</f>
        <v>0</v>
      </c>
      <c r="F23" s="101">
        <f>COUNTIFS('Season 1 - MatchHistory'!$B:$B, $A23, 'Season 1 - MatchHistory'!$C:$C, "Mafia", 'Season 1 - MatchHistory'!$D:$D, "Win")</f>
        <v>0</v>
      </c>
      <c r="G23" s="102">
        <f>IFERROR(__xludf.DUMMYFUNCTION("TO_PERCENT(IFERROR($F23/$E23, 0))"),0.0)</f>
        <v>0</v>
      </c>
      <c r="H23" s="102">
        <f>IFERROR(__xludf.DUMMYFUNCTION("TO_PERCENT(IFERROR(($F23+$C23)/($E23+$B23), 0))"),1.0)</f>
        <v>1</v>
      </c>
      <c r="I23" s="103">
        <f t="array" ref="I23">INDEX('Season 1 - MatchHistory'!$G:$G,MATCH(1,('Season 1 - MatchHistory'!$B:$B=$A23)*('Season 1 - MatchHistory'!$G:$G&lt;&gt;""),0))</f>
        <v>26.63452854</v>
      </c>
      <c r="J23" s="103">
        <f t="array" ref="J23">INDEX('Season 1 - MatchHistory'!$H:$H,MATCH(1,('Season 1 - MatchHistory'!$B:$B=$A23)*('Season 1 - MatchHistory'!$H:$H&lt;&gt;""),0))</f>
        <v>8.256840557</v>
      </c>
      <c r="K23" s="104">
        <f t="array" ref="K23">INDEX('Season 1 - MatchHistory'!$J:$J,MATCH(1,('Season 1 - MatchHistory'!$B:$B=$A23)*('Season 1 - MatchHistory'!$J:$J&lt;&gt;""),0))</f>
        <v>969</v>
      </c>
    </row>
    <row r="24" ht="22.5" customHeight="1">
      <c r="A24" s="101" t="s">
        <v>51</v>
      </c>
      <c r="B24" s="101">
        <f>COUNTIFS('Season 1 - MatchHistory'!$B:$B, $A24, 'Season 1 - MatchHistory'!$C:$C, "Town")</f>
        <v>5</v>
      </c>
      <c r="C24" s="101">
        <f>COUNTIFS('Season 1 - MatchHistory'!B:B, A24, 'Season 1 - MatchHistory'!C:C, "Town", 'Season 1 - MatchHistory'!D:D, "Win")</f>
        <v>2</v>
      </c>
      <c r="D24" s="102">
        <f>IFERROR(__xludf.DUMMYFUNCTION("IF(EQ($B24, 0), TO_PERCENT(0), TO_PERCENT($C24/$B24))"),0.4)</f>
        <v>0.4</v>
      </c>
      <c r="E24" s="101">
        <f>COUNTIFS('Season 1 - MatchHistory'!$B:$B, $A24, 'Season 1 - MatchHistory'!$C:$C, "Mafia")</f>
        <v>1</v>
      </c>
      <c r="F24" s="101">
        <f>COUNTIFS('Season 1 - MatchHistory'!$B:$B, $A24, 'Season 1 - MatchHistory'!$C:$C, "Mafia", 'Season 1 - MatchHistory'!$D:$D, "Win")</f>
        <v>1</v>
      </c>
      <c r="G24" s="102">
        <f>IFERROR(__xludf.DUMMYFUNCTION("TO_PERCENT(IFERROR($F24/$E24, 0))"),1.0)</f>
        <v>1</v>
      </c>
      <c r="H24" s="102">
        <f>IFERROR(__xludf.DUMMYFUNCTION("TO_PERCENT(IFERROR(($F24+$C24)/($E24+$B24), 0))"),0.5)</f>
        <v>0.5</v>
      </c>
      <c r="I24" s="103">
        <f t="array" ref="I24">INDEX('Season 1 - MatchHistory'!$G:$G,MATCH(1,('Season 1 - MatchHistory'!$B:$B=$A24)*('Season 1 - MatchHistory'!$G:$G&lt;&gt;""),0))</f>
        <v>26.08475333</v>
      </c>
      <c r="J24" s="103">
        <f t="array" ref="J24">INDEX('Season 1 - MatchHistory'!$H:$H,MATCH(1,('Season 1 - MatchHistory'!$B:$B=$A24)*('Season 1 - MatchHistory'!$H:$H&lt;&gt;""),0))</f>
        <v>8.001031739</v>
      </c>
      <c r="K24" s="104">
        <f t="array" ref="K24">INDEX('Season 1 - MatchHistory'!$J:$J,MATCH(1,('Season 1 - MatchHistory'!$B:$B=$A24)*('Season 1 - MatchHistory'!$J:$J&lt;&gt;""),0))</f>
        <v>958</v>
      </c>
    </row>
    <row r="25" ht="22.5" customHeight="1">
      <c r="A25" s="101" t="s">
        <v>67</v>
      </c>
      <c r="B25" s="101">
        <f>COUNTIFS('Season 1 - MatchHistory'!$B:$B, $A25, 'Season 1 - MatchHistory'!$C:$C, "Town")</f>
        <v>12</v>
      </c>
      <c r="C25" s="101">
        <f>COUNTIFS('Season 1 - MatchHistory'!B:B, A25, 'Season 1 - MatchHistory'!C:C, "Town", 'Season 1 - MatchHistory'!D:D, "Win")</f>
        <v>5</v>
      </c>
      <c r="D25" s="102">
        <f>IFERROR(__xludf.DUMMYFUNCTION("IF(EQ($B25, 0), TO_PERCENT(0), TO_PERCENT($C25/$B25))"),0.4166666666666667)</f>
        <v>0.4166666667</v>
      </c>
      <c r="E25" s="101">
        <f>COUNTIFS('Season 1 - MatchHistory'!$B:$B, $A25, 'Season 1 - MatchHistory'!$C:$C, "Mafia")</f>
        <v>5</v>
      </c>
      <c r="F25" s="101">
        <f>COUNTIFS('Season 1 - MatchHistory'!$B:$B, $A25, 'Season 1 - MatchHistory'!$C:$C, "Mafia", 'Season 1 - MatchHistory'!$D:$D, "Win")</f>
        <v>3</v>
      </c>
      <c r="G25" s="102">
        <f>IFERROR(__xludf.DUMMYFUNCTION("TO_PERCENT(IFERROR($F25/$E25, 0))"),0.6)</f>
        <v>0.6</v>
      </c>
      <c r="H25" s="102">
        <f>IFERROR(__xludf.DUMMYFUNCTION("TO_PERCENT(IFERROR(($F25+$C25)/($E25+$B25), 0))"),0.47058823529411764)</f>
        <v>0.4705882353</v>
      </c>
      <c r="I25" s="103">
        <f t="array" ref="I25">INDEX('Season 1 - MatchHistory'!$G:$G,MATCH(1,('Season 1 - MatchHistory'!$B:$B=$A25)*('Season 1 - MatchHistory'!$G:$G&lt;&gt;""),0))</f>
        <v>25.37831947</v>
      </c>
      <c r="J25" s="103">
        <f t="array" ref="J25">INDEX('Season 1 - MatchHistory'!$H:$H,MATCH(1,('Season 1 - MatchHistory'!$B:$B=$A25)*('Season 1 - MatchHistory'!$H:$H&lt;&gt;""),0))</f>
        <v>7.532192104</v>
      </c>
      <c r="K25" s="104">
        <f t="array" ref="K25">INDEX('Season 1 - MatchHistory'!$J:$J,MATCH(1,('Season 1 - MatchHistory'!$B:$B=$A25)*('Season 1 - MatchHistory'!$J:$J&lt;&gt;""),0))</f>
        <v>957</v>
      </c>
    </row>
    <row r="26" ht="22.5" customHeight="1">
      <c r="A26" s="101" t="s">
        <v>77</v>
      </c>
      <c r="B26" s="101">
        <f>COUNTIFS('Season 1 - MatchHistory'!$B:$B, $A26, 'Season 1 - MatchHistory'!$C:$C, "Town")</f>
        <v>6</v>
      </c>
      <c r="C26" s="101">
        <f>COUNTIFS('Season 1 - MatchHistory'!B:B, A26, 'Season 1 - MatchHistory'!C:C, "Town", 'Season 1 - MatchHistory'!D:D, "Win")</f>
        <v>2</v>
      </c>
      <c r="D26" s="102">
        <f>IFERROR(__xludf.DUMMYFUNCTION("IF(EQ($B26, 0), TO_PERCENT(0), TO_PERCENT($C26/$B26))"),0.3333333333333333)</f>
        <v>0.3333333333</v>
      </c>
      <c r="E26" s="101">
        <f>COUNTIFS('Season 1 - MatchHistory'!$B:$B, $A26, 'Season 1 - MatchHistory'!$C:$C, "Mafia")</f>
        <v>7</v>
      </c>
      <c r="F26" s="101">
        <f>COUNTIFS('Season 1 - MatchHistory'!$B:$B, $A26, 'Season 1 - MatchHistory'!$C:$C, "Mafia", 'Season 1 - MatchHistory'!$D:$D, "Win")</f>
        <v>5</v>
      </c>
      <c r="G26" s="102">
        <f>IFERROR(__xludf.DUMMYFUNCTION("TO_PERCENT(IFERROR($F26/$E26, 0))"),0.7142857142857143)</f>
        <v>0.7142857143</v>
      </c>
      <c r="H26" s="102">
        <f>IFERROR(__xludf.DUMMYFUNCTION("TO_PERCENT(IFERROR(($F26+$C26)/($E26+$B26), 0))"),0.5384615384615384)</f>
        <v>0.5384615385</v>
      </c>
      <c r="I26" s="103">
        <f t="array" ref="I26">INDEX('Season 1 - MatchHistory'!$G:$G,MATCH(1,('Season 1 - MatchHistory'!$B:$B=$A26)*('Season 1 - MatchHistory'!$G:$G&lt;&gt;""),0))</f>
        <v>25.52251148</v>
      </c>
      <c r="J26" s="103">
        <f t="array" ref="J26">INDEX('Season 1 - MatchHistory'!$H:$H,MATCH(1,('Season 1 - MatchHistory'!$B:$B=$A26)*('Season 1 - MatchHistory'!$H:$H&lt;&gt;""),0))</f>
        <v>7.689969824</v>
      </c>
      <c r="K26" s="104">
        <f t="array" ref="K26">INDEX('Season 1 - MatchHistory'!$J:$J,MATCH(1,('Season 1 - MatchHistory'!$B:$B=$A26)*('Season 1 - MatchHistory'!$J:$J&lt;&gt;""),0))</f>
        <v>951</v>
      </c>
    </row>
    <row r="27" ht="22.5" customHeight="1">
      <c r="A27" s="101" t="s">
        <v>99</v>
      </c>
      <c r="B27" s="101">
        <f>COUNTIFS('Season 1 - MatchHistory'!$B:$B, $A27, 'Season 1 - MatchHistory'!$C:$C, "Town")</f>
        <v>6</v>
      </c>
      <c r="C27" s="101">
        <f>COUNTIFS('Season 1 - MatchHistory'!B:B, A27, 'Season 1 - MatchHistory'!C:C, "Town", 'Season 1 - MatchHistory'!D:D, "Win")</f>
        <v>3</v>
      </c>
      <c r="D27" s="102">
        <f>IFERROR(__xludf.DUMMYFUNCTION("IF(EQ($B27, 0), TO_PERCENT(0), TO_PERCENT($C27/$B27))"),0.5)</f>
        <v>0.5</v>
      </c>
      <c r="E27" s="101">
        <f>COUNTIFS('Season 1 - MatchHistory'!$B:$B, $A27, 'Season 1 - MatchHistory'!$C:$C, "Mafia")</f>
        <v>0</v>
      </c>
      <c r="F27" s="101">
        <f>COUNTIFS('Season 1 - MatchHistory'!$B:$B, $A27, 'Season 1 - MatchHistory'!$C:$C, "Mafia", 'Season 1 - MatchHistory'!$D:$D, "Win")</f>
        <v>0</v>
      </c>
      <c r="G27" s="102">
        <f>IFERROR(__xludf.DUMMYFUNCTION("TO_PERCENT(IFERROR($F27/$E27, 0))"),0.0)</f>
        <v>0</v>
      </c>
      <c r="H27" s="102">
        <f>IFERROR(__xludf.DUMMYFUNCTION("TO_PERCENT(IFERROR(($F27+$C27)/($E27+$B27), 0))"),0.5)</f>
        <v>0.5</v>
      </c>
      <c r="I27" s="103">
        <f t="array" ref="I27">INDEX('Season 1 - MatchHistory'!$G:$G,MATCH(1,('Season 1 - MatchHistory'!$B:$B=$A27)*('Season 1 - MatchHistory'!$G:$G&lt;&gt;""),0))</f>
        <v>25.89882886</v>
      </c>
      <c r="J27" s="103">
        <f t="array" ref="J27">INDEX('Season 1 - MatchHistory'!$H:$H,MATCH(1,('Season 1 - MatchHistory'!$B:$B=$A27)*('Season 1 - MatchHistory'!$H:$H&lt;&gt;""),0))</f>
        <v>7.996668164</v>
      </c>
      <c r="K27" s="104">
        <f t="array" ref="K27">INDEX('Season 1 - MatchHistory'!$J:$J,MATCH(1,('Season 1 - MatchHistory'!$B:$B=$A27)*('Season 1 - MatchHistory'!$J:$J&lt;&gt;""),0))</f>
        <v>945</v>
      </c>
    </row>
    <row r="28" ht="22.5" customHeight="1">
      <c r="A28" s="101" t="s">
        <v>31</v>
      </c>
      <c r="B28" s="101">
        <f>COUNTIFS('Season 1 - MatchHistory'!$B:$B, $A28, 'Season 1 - MatchHistory'!$C:$C, "Town")</f>
        <v>19</v>
      </c>
      <c r="C28" s="101">
        <f>COUNTIFS('Season 1 - MatchHistory'!B:B, A28, 'Season 1 - MatchHistory'!C:C, "Town", 'Season 1 - MatchHistory'!D:D, "Win")</f>
        <v>6</v>
      </c>
      <c r="D28" s="102">
        <f>IFERROR(__xludf.DUMMYFUNCTION("IF(EQ($B28, 0), TO_PERCENT(0), TO_PERCENT($C28/$B28))"),0.3157894736842105)</f>
        <v>0.3157894737</v>
      </c>
      <c r="E28" s="101">
        <f>COUNTIFS('Season 1 - MatchHistory'!$B:$B, $A28, 'Season 1 - MatchHistory'!$C:$C, "Mafia")</f>
        <v>5</v>
      </c>
      <c r="F28" s="101">
        <f>COUNTIFS('Season 1 - MatchHistory'!$B:$B, $A28, 'Season 1 - MatchHistory'!$C:$C, "Mafia", 'Season 1 - MatchHistory'!$D:$D, "Win")</f>
        <v>4</v>
      </c>
      <c r="G28" s="102">
        <f>IFERROR(__xludf.DUMMYFUNCTION("TO_PERCENT(IFERROR($F28/$E28, 0))"),0.8)</f>
        <v>0.8</v>
      </c>
      <c r="H28" s="102">
        <f>IFERROR(__xludf.DUMMYFUNCTION("TO_PERCENT(IFERROR(($F28+$C28)/($E28+$B28), 0))"),0.4166666666666667)</f>
        <v>0.4166666667</v>
      </c>
      <c r="I28" s="103">
        <f t="array" ref="I28">INDEX('Season 1 - MatchHistory'!$G:$G,MATCH(1,('Season 1 - MatchHistory'!$B:$B=$A28)*('Season 1 - MatchHistory'!$G:$G&lt;&gt;""),0))</f>
        <v>24.6766</v>
      </c>
      <c r="J28" s="103">
        <f t="array" ref="J28">INDEX('Season 1 - MatchHistory'!$H:$H,MATCH(1,('Season 1 - MatchHistory'!$B:$B=$A28)*('Season 1 - MatchHistory'!$H:$H&lt;&gt;""),0))</f>
        <v>7.297991013</v>
      </c>
      <c r="K28" s="104">
        <f t="array" ref="K28">INDEX('Season 1 - MatchHistory'!$J:$J,MATCH(1,('Season 1 - MatchHistory'!$B:$B=$A28)*('Season 1 - MatchHistory'!$J:$J&lt;&gt;""),0))</f>
        <v>934</v>
      </c>
    </row>
    <row r="29" ht="22.5" customHeight="1">
      <c r="A29" s="101" t="s">
        <v>104</v>
      </c>
      <c r="B29" s="101">
        <f>COUNTIFS('Season 1 - MatchHistory'!$B:$B, $A29, 'Season 1 - MatchHistory'!$C:$C, "Town")</f>
        <v>0</v>
      </c>
      <c r="C29" s="101">
        <f>COUNTIFS('Season 1 - MatchHistory'!B:B, A29, 'Season 1 - MatchHistory'!C:C, "Town", 'Season 1 - MatchHistory'!D:D, "Win")</f>
        <v>0</v>
      </c>
      <c r="D29" s="102">
        <f>IFERROR(__xludf.DUMMYFUNCTION("IF(EQ($B29, 0), TO_PERCENT(0), TO_PERCENT($C29/$B29))"),0.0)</f>
        <v>0</v>
      </c>
      <c r="E29" s="101">
        <f>COUNTIFS('Season 1 - MatchHistory'!$B:$B, $A29, 'Season 1 - MatchHistory'!$C:$C, "Mafia")</f>
        <v>1</v>
      </c>
      <c r="F29" s="101">
        <f>COUNTIFS('Season 1 - MatchHistory'!$B:$B, $A29, 'Season 1 - MatchHistory'!$C:$C, "Mafia", 'Season 1 - MatchHistory'!$D:$D, "Win")</f>
        <v>1</v>
      </c>
      <c r="G29" s="102">
        <f>IFERROR(__xludf.DUMMYFUNCTION("TO_PERCENT(IFERROR($F29/$E29, 0))"),1.0)</f>
        <v>1</v>
      </c>
      <c r="H29" s="102">
        <f>IFERROR(__xludf.DUMMYFUNCTION("TO_PERCENT(IFERROR(($F29+$C29)/($E29+$B29), 0))"),1.0)</f>
        <v>1</v>
      </c>
      <c r="I29" s="103">
        <f t="array" ref="I29">INDEX('Season 1 - MatchHistory'!$G:$G,MATCH(1,('Season 1 - MatchHistory'!$B:$B=$A29)*('Season 1 - MatchHistory'!$G:$G&lt;&gt;""),0))</f>
        <v>26.11408488</v>
      </c>
      <c r="J29" s="103">
        <f t="array" ref="J29">INDEX('Season 1 - MatchHistory'!$H:$H,MATCH(1,('Season 1 - MatchHistory'!$B:$B=$A29)*('Season 1 - MatchHistory'!$H:$H&lt;&gt;""),0))</f>
        <v>8.269574313</v>
      </c>
      <c r="K29" s="104">
        <f t="array" ref="K29">INDEX('Season 1 - MatchHistory'!$J:$J,MATCH(1,('Season 1 - MatchHistory'!$B:$B=$A29)*('Season 1 - MatchHistory'!$J:$J&lt;&gt;""),0))</f>
        <v>932</v>
      </c>
    </row>
    <row r="30" ht="22.5" customHeight="1">
      <c r="A30" s="101" t="s">
        <v>152</v>
      </c>
      <c r="B30" s="101">
        <f>COUNTIFS('Season 1 - MatchHistory'!$B:$B, $A30, 'Season 1 - MatchHistory'!$C:$C, "Town")</f>
        <v>2</v>
      </c>
      <c r="C30" s="101">
        <f>COUNTIFS('Season 1 - MatchHistory'!B:B, A30, 'Season 1 - MatchHistory'!C:C, "Town", 'Season 1 - MatchHistory'!D:D, "Win")</f>
        <v>1</v>
      </c>
      <c r="D30" s="102">
        <f>IFERROR(__xludf.DUMMYFUNCTION("IF(EQ($B30, 0), TO_PERCENT(0), TO_PERCENT($C30/$B30))"),0.5)</f>
        <v>0.5</v>
      </c>
      <c r="E30" s="101">
        <f>COUNTIFS('Season 1 - MatchHistory'!$B:$B, $A30, 'Season 1 - MatchHistory'!$C:$C, "Mafia")</f>
        <v>0</v>
      </c>
      <c r="F30" s="101">
        <f>COUNTIFS('Season 1 - MatchHistory'!$B:$B, $A30, 'Season 1 - MatchHistory'!$C:$C, "Mafia", 'Season 1 - MatchHistory'!$D:$D, "Win")</f>
        <v>0</v>
      </c>
      <c r="G30" s="102">
        <f>IFERROR(__xludf.DUMMYFUNCTION("TO_PERCENT(IFERROR($F30/$E30, 0))"),0.0)</f>
        <v>0</v>
      </c>
      <c r="H30" s="102">
        <f>IFERROR(__xludf.DUMMYFUNCTION("TO_PERCENT(IFERROR(($F30+$C30)/($E30+$B30), 0))"),0.5)</f>
        <v>0.5</v>
      </c>
      <c r="I30" s="103">
        <f t="array" ref="I30">INDEX('Season 1 - MatchHistory'!$G:$G,MATCH(1,('Season 1 - MatchHistory'!$B:$B=$A30)*('Season 1 - MatchHistory'!$G:$G&lt;&gt;""),0))</f>
        <v>25.95328701</v>
      </c>
      <c r="J30" s="103">
        <f t="array" ref="J30">INDEX('Season 1 - MatchHistory'!$H:$H,MATCH(1,('Season 1 - MatchHistory'!$B:$B=$A30)*('Season 1 - MatchHistory'!$H:$H&lt;&gt;""),0))</f>
        <v>8.208139807</v>
      </c>
      <c r="K30" s="104">
        <f t="array" ref="K30">INDEX('Season 1 - MatchHistory'!$J:$J,MATCH(1,('Season 1 - MatchHistory'!$B:$B=$A30)*('Season 1 - MatchHistory'!$J:$J&lt;&gt;""),0))</f>
        <v>928</v>
      </c>
    </row>
    <row r="31" ht="22.5" customHeight="1">
      <c r="A31" s="101" t="s">
        <v>153</v>
      </c>
      <c r="B31" s="101">
        <f>COUNTIFS('Season 1 - MatchHistory'!$B:$B, $A31, 'Season 1 - MatchHistory'!$C:$C, "Town")</f>
        <v>3</v>
      </c>
      <c r="C31" s="101">
        <f>COUNTIFS('Season 1 - MatchHistory'!B:B, A31, 'Season 1 - MatchHistory'!C:C, "Town", 'Season 1 - MatchHistory'!D:D, "Win")</f>
        <v>1</v>
      </c>
      <c r="D31" s="102">
        <f>IFERROR(__xludf.DUMMYFUNCTION("IF(EQ($B31, 0), TO_PERCENT(0), TO_PERCENT($C31/$B31))"),0.3333333333333333)</f>
        <v>0.3333333333</v>
      </c>
      <c r="E31" s="101">
        <f>COUNTIFS('Season 1 - MatchHistory'!$B:$B, $A31, 'Season 1 - MatchHistory'!$C:$C, "Mafia")</f>
        <v>1</v>
      </c>
      <c r="F31" s="101">
        <f>COUNTIFS('Season 1 - MatchHistory'!$B:$B, $A31, 'Season 1 - MatchHistory'!$C:$C, "Mafia", 'Season 1 - MatchHistory'!$D:$D, "Win")</f>
        <v>1</v>
      </c>
      <c r="G31" s="102">
        <f>IFERROR(__xludf.DUMMYFUNCTION("TO_PERCENT(IFERROR($F31/$E31, 0))"),1.0)</f>
        <v>1</v>
      </c>
      <c r="H31" s="102">
        <f>IFERROR(__xludf.DUMMYFUNCTION("TO_PERCENT(IFERROR(($F31+$C31)/($E31+$B31), 0))"),0.5)</f>
        <v>0.5</v>
      </c>
      <c r="I31" s="103">
        <f t="array" ref="I31">INDEX('Season 1 - MatchHistory'!$G:$G,MATCH(1,('Season 1 - MatchHistory'!$B:$B=$A31)*('Season 1 - MatchHistory'!$G:$G&lt;&gt;""),0))</f>
        <v>25.70983679</v>
      </c>
      <c r="J31" s="103">
        <f t="array" ref="J31">INDEX('Season 1 - MatchHistory'!$H:$H,MATCH(1,('Season 1 - MatchHistory'!$B:$B=$A31)*('Season 1 - MatchHistory'!$H:$H&lt;&gt;""),0))</f>
        <v>8.115840371</v>
      </c>
      <c r="K31" s="104">
        <f t="array" ref="K31">INDEX('Season 1 - MatchHistory'!$J:$J,MATCH(1,('Season 1 - MatchHistory'!$B:$B=$A31)*('Season 1 - MatchHistory'!$J:$J&lt;&gt;""),0))</f>
        <v>920</v>
      </c>
    </row>
    <row r="32" ht="22.5" customHeight="1">
      <c r="A32" s="101" t="s">
        <v>154</v>
      </c>
      <c r="B32" s="101">
        <f>COUNTIFS('Season 1 - MatchHistory'!$B:$B, $A32, 'Season 1 - MatchHistory'!$C:$C, "Town")</f>
        <v>2</v>
      </c>
      <c r="C32" s="101">
        <f>COUNTIFS('Season 1 - MatchHistory'!B:B, A32, 'Season 1 - MatchHistory'!C:C, "Town", 'Season 1 - MatchHistory'!D:D, "Win")</f>
        <v>1</v>
      </c>
      <c r="D32" s="102">
        <f>IFERROR(__xludf.DUMMYFUNCTION("IF(EQ($B32, 0), TO_PERCENT(0), TO_PERCENT($C32/$B32))"),0.5)</f>
        <v>0.5</v>
      </c>
      <c r="E32" s="101">
        <f>COUNTIFS('Season 1 - MatchHistory'!$B:$B, $A32, 'Season 1 - MatchHistory'!$C:$C, "Mafia")</f>
        <v>0</v>
      </c>
      <c r="F32" s="101">
        <f>COUNTIFS('Season 1 - MatchHistory'!$B:$B, $A32, 'Season 1 - MatchHistory'!$C:$C, "Mafia", 'Season 1 - MatchHistory'!$D:$D, "Win")</f>
        <v>0</v>
      </c>
      <c r="G32" s="102">
        <f>IFERROR(__xludf.DUMMYFUNCTION("TO_PERCENT(IFERROR($F32/$E32, 0))"),0.0)</f>
        <v>0</v>
      </c>
      <c r="H32" s="102">
        <f>IFERROR(__xludf.DUMMYFUNCTION("TO_PERCENT(IFERROR(($F32+$C32)/($E32+$B32), 0))"),0.5)</f>
        <v>0.5</v>
      </c>
      <c r="I32" s="103">
        <f t="array" ref="I32">INDEX('Season 1 - MatchHistory'!$G:$G,MATCH(1,('Season 1 - MatchHistory'!$B:$B=$A32)*('Season 1 - MatchHistory'!$G:$G&lt;&gt;""),0))</f>
        <v>25.76847291</v>
      </c>
      <c r="J32" s="103">
        <f t="array" ref="J32">INDEX('Season 1 - MatchHistory'!$H:$H,MATCH(1,('Season 1 - MatchHistory'!$B:$B=$A32)*('Season 1 - MatchHistory'!$H:$H&lt;&gt;""),0))</f>
        <v>8.204848784</v>
      </c>
      <c r="K32" s="104">
        <f t="array" ref="K32">INDEX('Season 1 - MatchHistory'!$J:$J,MATCH(1,('Season 1 - MatchHistory'!$B:$B=$A32)*('Season 1 - MatchHistory'!$J:$J&lt;&gt;""),0))</f>
        <v>915</v>
      </c>
    </row>
    <row r="33" ht="22.5" customHeight="1">
      <c r="A33" s="101" t="s">
        <v>155</v>
      </c>
      <c r="B33" s="101">
        <f>COUNTIFS('Season 1 - MatchHistory'!$B:$B, $A33, 'Season 1 - MatchHistory'!$C:$C, "Town")</f>
        <v>2</v>
      </c>
      <c r="C33" s="101">
        <f>COUNTIFS('Season 1 - MatchHistory'!B:B, A33, 'Season 1 - MatchHistory'!C:C, "Town", 'Season 1 - MatchHistory'!D:D, "Win")</f>
        <v>1</v>
      </c>
      <c r="D33" s="102">
        <f>IFERROR(__xludf.DUMMYFUNCTION("IF(EQ($B33, 0), TO_PERCENT(0), TO_PERCENT($C33/$B33))"),0.5)</f>
        <v>0.5</v>
      </c>
      <c r="E33" s="101">
        <f>COUNTIFS('Season 1 - MatchHistory'!$B:$B, $A33, 'Season 1 - MatchHistory'!$C:$C, "Mafia")</f>
        <v>3</v>
      </c>
      <c r="F33" s="101">
        <f>COUNTIFS('Season 1 - MatchHistory'!$B:$B, $A33, 'Season 1 - MatchHistory'!$C:$C, "Mafia", 'Season 1 - MatchHistory'!$D:$D, "Win")</f>
        <v>2</v>
      </c>
      <c r="G33" s="102">
        <f>IFERROR(__xludf.DUMMYFUNCTION("TO_PERCENT(IFERROR($F33/$E33, 0))"),0.6666666666666666)</f>
        <v>0.6666666667</v>
      </c>
      <c r="H33" s="102">
        <f>IFERROR(__xludf.DUMMYFUNCTION("TO_PERCENT(IFERROR(($F33+$C33)/($E33+$B33), 0))"),0.6)</f>
        <v>0.6</v>
      </c>
      <c r="I33" s="103">
        <f t="array" ref="I33">INDEX('Season 1 - MatchHistory'!$G:$G,MATCH(1,('Season 1 - MatchHistory'!$B:$B=$A33)*('Season 1 - MatchHistory'!$G:$G&lt;&gt;""),0))</f>
        <v>25.52279876</v>
      </c>
      <c r="J33" s="103">
        <f t="array" ref="J33">INDEX('Season 1 - MatchHistory'!$H:$H,MATCH(1,('Season 1 - MatchHistory'!$B:$B=$A33)*('Season 1 - MatchHistory'!$H:$H&lt;&gt;""),0))</f>
        <v>8.052154462</v>
      </c>
      <c r="K33" s="104">
        <f t="array" ref="K33">INDEX('Season 1 - MatchHistory'!$J:$J,MATCH(1,('Season 1 - MatchHistory'!$B:$B=$A33)*('Season 1 - MatchHistory'!$J:$J&lt;&gt;""),0))</f>
        <v>914</v>
      </c>
    </row>
    <row r="34" ht="22.5" customHeight="1">
      <c r="A34" s="101" t="s">
        <v>156</v>
      </c>
      <c r="B34" s="101">
        <f>COUNTIFS('Season 1 - MatchHistory'!$B:$B, $A34, 'Season 1 - MatchHistory'!$C:$C, "Town")</f>
        <v>0</v>
      </c>
      <c r="C34" s="101">
        <f>COUNTIFS('Season 1 - MatchHistory'!B:B, A34, 'Season 1 - MatchHistory'!C:C, "Town", 'Season 1 - MatchHistory'!D:D, "Win")</f>
        <v>0</v>
      </c>
      <c r="D34" s="102">
        <f>IFERROR(__xludf.DUMMYFUNCTION("IF(EQ($B34, 0), TO_PERCENT(0), TO_PERCENT($C34/$B34))"),0.0)</f>
        <v>0</v>
      </c>
      <c r="E34" s="101">
        <f>COUNTIFS('Season 1 - MatchHistory'!$B:$B, $A34, 'Season 1 - MatchHistory'!$C:$C, "Mafia")</f>
        <v>1</v>
      </c>
      <c r="F34" s="101">
        <f>COUNTIFS('Season 1 - MatchHistory'!$B:$B, $A34, 'Season 1 - MatchHistory'!$C:$C, "Mafia", 'Season 1 - MatchHistory'!$D:$D, "Win")</f>
        <v>1</v>
      </c>
      <c r="G34" s="102">
        <f>IFERROR(__xludf.DUMMYFUNCTION("TO_PERCENT(IFERROR($F34/$E34, 0))"),1.0)</f>
        <v>1</v>
      </c>
      <c r="H34" s="102">
        <f>IFERROR(__xludf.DUMMYFUNCTION("TO_PERCENT(IFERROR(($F34+$C34)/($E34+$B34), 0))"),1.0)</f>
        <v>1</v>
      </c>
      <c r="I34" s="103">
        <f t="array" ref="I34">INDEX('Season 1 - MatchHistory'!$G:$G,MATCH(1,('Season 1 - MatchHistory'!$B:$B=$A34)*('Season 1 - MatchHistory'!$G:$G&lt;&gt;""),0))</f>
        <v>25.84892677</v>
      </c>
      <c r="J34" s="103">
        <f t="array" ref="J34">INDEX('Season 1 - MatchHistory'!$H:$H,MATCH(1,('Season 1 - MatchHistory'!$B:$B=$A34)*('Season 1 - MatchHistory'!$H:$H&lt;&gt;""),0))</f>
        <v>8.279109644</v>
      </c>
      <c r="K34" s="104">
        <f t="array" ref="K34">INDEX('Season 1 - MatchHistory'!$J:$J,MATCH(1,('Season 1 - MatchHistory'!$B:$B=$A34)*('Season 1 - MatchHistory'!$J:$J&lt;&gt;""),0))</f>
        <v>913</v>
      </c>
    </row>
    <row r="35" ht="22.5" customHeight="1">
      <c r="A35" s="101" t="s">
        <v>157</v>
      </c>
      <c r="B35" s="101">
        <f>COUNTIFS('Season 1 - MatchHistory'!$B:$B, $A35, 'Season 1 - MatchHistory'!$C:$C, "Town")</f>
        <v>0</v>
      </c>
      <c r="C35" s="101">
        <f>COUNTIFS('Season 1 - MatchHistory'!B:B, A35, 'Season 1 - MatchHistory'!C:C, "Town", 'Season 1 - MatchHistory'!D:D, "Win")</f>
        <v>0</v>
      </c>
      <c r="D35" s="102">
        <f>IFERROR(__xludf.DUMMYFUNCTION("IF(EQ($B35, 0), TO_PERCENT(0), TO_PERCENT($C35/$B35))"),0.0)</f>
        <v>0</v>
      </c>
      <c r="E35" s="101">
        <f>COUNTIFS('Season 1 - MatchHistory'!$B:$B, $A35, 'Season 1 - MatchHistory'!$C:$C, "Mafia")</f>
        <v>1</v>
      </c>
      <c r="F35" s="101">
        <f>COUNTIFS('Season 1 - MatchHistory'!$B:$B, $A35, 'Season 1 - MatchHistory'!$C:$C, "Mafia", 'Season 1 - MatchHistory'!$D:$D, "Win")</f>
        <v>1</v>
      </c>
      <c r="G35" s="102">
        <f>IFERROR(__xludf.DUMMYFUNCTION("TO_PERCENT(IFERROR($F35/$E35, 0))"),1.0)</f>
        <v>1</v>
      </c>
      <c r="H35" s="102">
        <f>IFERROR(__xludf.DUMMYFUNCTION("TO_PERCENT(IFERROR(($F35+$C35)/($E35+$B35), 0))"),1.0)</f>
        <v>1</v>
      </c>
      <c r="I35" s="103">
        <f t="array" ref="I35">INDEX('Season 1 - MatchHistory'!$G:$G,MATCH(1,('Season 1 - MatchHistory'!$B:$B=$A35)*('Season 1 - MatchHistory'!$G:$G&lt;&gt;""),0))</f>
        <v>25.7741092</v>
      </c>
      <c r="J35" s="103">
        <f t="array" ref="J35">INDEX('Season 1 - MatchHistory'!$H:$H,MATCH(1,('Season 1 - MatchHistory'!$B:$B=$A35)*('Season 1 - MatchHistory'!$H:$H&lt;&gt;""),0))</f>
        <v>8.281690205</v>
      </c>
      <c r="K35" s="104">
        <f t="array" ref="K35">INDEX('Season 1 - MatchHistory'!$J:$J,MATCH(1,('Season 1 - MatchHistory'!$B:$B=$A35)*('Season 1 - MatchHistory'!$J:$J&lt;&gt;""),0))</f>
        <v>908</v>
      </c>
    </row>
    <row r="36" ht="22.5" customHeight="1">
      <c r="A36" s="101" t="s">
        <v>47</v>
      </c>
      <c r="B36" s="101">
        <f>COUNTIFS('Season 1 - MatchHistory'!$B:$B, $A36, 'Season 1 - MatchHistory'!$C:$C, "Town")</f>
        <v>5</v>
      </c>
      <c r="C36" s="101">
        <f>COUNTIFS('Season 1 - MatchHistory'!B:B, A36, 'Season 1 - MatchHistory'!C:C, "Town", 'Season 1 - MatchHistory'!D:D, "Win")</f>
        <v>2</v>
      </c>
      <c r="D36" s="102">
        <f>IFERROR(__xludf.DUMMYFUNCTION("IF(EQ($B36, 0), TO_PERCENT(0), TO_PERCENT($C36/$B36))"),0.4)</f>
        <v>0.4</v>
      </c>
      <c r="E36" s="101">
        <f>COUNTIFS('Season 1 - MatchHistory'!$B:$B, $A36, 'Season 1 - MatchHistory'!$C:$C, "Mafia")</f>
        <v>2</v>
      </c>
      <c r="F36" s="101">
        <f>COUNTIFS('Season 1 - MatchHistory'!$B:$B, $A36, 'Season 1 - MatchHistory'!$C:$C, "Mafia", 'Season 1 - MatchHistory'!$D:$D, "Win")</f>
        <v>1</v>
      </c>
      <c r="G36" s="102">
        <f>IFERROR(__xludf.DUMMYFUNCTION("TO_PERCENT(IFERROR($F36/$E36, 0))"),0.5)</f>
        <v>0.5</v>
      </c>
      <c r="H36" s="102">
        <f>IFERROR(__xludf.DUMMYFUNCTION("TO_PERCENT(IFERROR(($F36+$C36)/($E36+$B36), 0))"),0.42857142857142855)</f>
        <v>0.4285714286</v>
      </c>
      <c r="I36" s="103">
        <f t="array" ref="I36">INDEX('Season 1 - MatchHistory'!$G:$G,MATCH(1,('Season 1 - MatchHistory'!$B:$B=$A36)*('Season 1 - MatchHistory'!$G:$G&lt;&gt;""),0))</f>
        <v>25.29768136</v>
      </c>
      <c r="J36" s="103">
        <f t="array" ref="J36">INDEX('Season 1 - MatchHistory'!$H:$H,MATCH(1,('Season 1 - MatchHistory'!$B:$B=$A36)*('Season 1 - MatchHistory'!$H:$H&lt;&gt;""),0))</f>
        <v>7.958991552</v>
      </c>
      <c r="K36" s="104">
        <f t="array" ref="K36">INDEX('Season 1 - MatchHistory'!$J:$J,MATCH(1,('Season 1 - MatchHistory'!$B:$B=$A36)*('Season 1 - MatchHistory'!$J:$J&lt;&gt;""),0))</f>
        <v>908</v>
      </c>
    </row>
    <row r="37" ht="22.5" customHeight="1">
      <c r="A37" s="101" t="s">
        <v>158</v>
      </c>
      <c r="B37" s="101">
        <f>COUNTIFS('Season 1 - MatchHistory'!$B:$B, $A37, 'Season 1 - MatchHistory'!$C:$C, "Town")</f>
        <v>2</v>
      </c>
      <c r="C37" s="101">
        <f>COUNTIFS('Season 1 - MatchHistory'!B:B, A37, 'Season 1 - MatchHistory'!C:C, "Town", 'Season 1 - MatchHistory'!D:D, "Win")</f>
        <v>1</v>
      </c>
      <c r="D37" s="102">
        <f>IFERROR(__xludf.DUMMYFUNCTION("IF(EQ($B37, 0), TO_PERCENT(0), TO_PERCENT($C37/$B37))"),0.5)</f>
        <v>0.5</v>
      </c>
      <c r="E37" s="101">
        <f>COUNTIFS('Season 1 - MatchHistory'!$B:$B, $A37, 'Season 1 - MatchHistory'!$C:$C, "Mafia")</f>
        <v>0</v>
      </c>
      <c r="F37" s="101">
        <f>COUNTIFS('Season 1 - MatchHistory'!$B:$B, $A37, 'Season 1 - MatchHistory'!$C:$C, "Mafia", 'Season 1 - MatchHistory'!$D:$D, "Win")</f>
        <v>0</v>
      </c>
      <c r="G37" s="102">
        <f>IFERROR(__xludf.DUMMYFUNCTION("TO_PERCENT(IFERROR($F37/$E37, 0))"),0.0)</f>
        <v>0</v>
      </c>
      <c r="H37" s="102">
        <f>IFERROR(__xludf.DUMMYFUNCTION("TO_PERCENT(IFERROR(($F37+$C37)/($E37+$B37), 0))"),0.5)</f>
        <v>0.5</v>
      </c>
      <c r="I37" s="103">
        <f t="array" ref="I37">INDEX('Season 1 - MatchHistory'!$G:$G,MATCH(1,('Season 1 - MatchHistory'!$B:$B=$A37)*('Season 1 - MatchHistory'!$G:$G&lt;&gt;""),0))</f>
        <v>25.50859214</v>
      </c>
      <c r="J37" s="103">
        <f t="array" ref="J37">INDEX('Season 1 - MatchHistory'!$H:$H,MATCH(1,('Season 1 - MatchHistory'!$B:$B=$A37)*('Season 1 - MatchHistory'!$H:$H&lt;&gt;""),0))</f>
        <v>8.213789463</v>
      </c>
      <c r="K37" s="104">
        <f t="array" ref="K37">INDEX('Season 1 - MatchHistory'!$J:$J,MATCH(1,('Season 1 - MatchHistory'!$B:$B=$A37)*('Season 1 - MatchHistory'!$J:$J&lt;&gt;""),0))</f>
        <v>897</v>
      </c>
    </row>
    <row r="38" ht="22.5" customHeight="1">
      <c r="A38" s="101" t="s">
        <v>159</v>
      </c>
      <c r="B38" s="101">
        <f>COUNTIFS('Season 1 - MatchHistory'!$B:$B, $A38, 'Season 1 - MatchHistory'!$C:$C, "Town")</f>
        <v>2</v>
      </c>
      <c r="C38" s="101">
        <f>COUNTIFS('Season 1 - MatchHistory'!B:B, A38, 'Season 1 - MatchHistory'!C:C, "Town", 'Season 1 - MatchHistory'!D:D, "Win")</f>
        <v>1</v>
      </c>
      <c r="D38" s="102">
        <f>IFERROR(__xludf.DUMMYFUNCTION("IF(EQ($B38, 0), TO_PERCENT(0), TO_PERCENT($C38/$B38))"),0.5)</f>
        <v>0.5</v>
      </c>
      <c r="E38" s="101">
        <f>COUNTIFS('Season 1 - MatchHistory'!$B:$B, $A38, 'Season 1 - MatchHistory'!$C:$C, "Mafia")</f>
        <v>0</v>
      </c>
      <c r="F38" s="101">
        <f>COUNTIFS('Season 1 - MatchHistory'!$B:$B, $A38, 'Season 1 - MatchHistory'!$C:$C, "Mafia", 'Season 1 - MatchHistory'!$D:$D, "Win")</f>
        <v>0</v>
      </c>
      <c r="G38" s="102">
        <f>IFERROR(__xludf.DUMMYFUNCTION("TO_PERCENT(IFERROR($F38/$E38, 0))"),0.0)</f>
        <v>0</v>
      </c>
      <c r="H38" s="102">
        <f>IFERROR(__xludf.DUMMYFUNCTION("TO_PERCENT(IFERROR(($F38+$C38)/($E38+$B38), 0))"),0.5)</f>
        <v>0.5</v>
      </c>
      <c r="I38" s="103">
        <f t="array" ref="I38">INDEX('Season 1 - MatchHistory'!$G:$G,MATCH(1,('Season 1 - MatchHistory'!$B:$B=$A38)*('Season 1 - MatchHistory'!$G:$G&lt;&gt;""),0))</f>
        <v>25.39658492</v>
      </c>
      <c r="J38" s="103">
        <f t="array" ref="J38">INDEX('Season 1 - MatchHistory'!$H:$H,MATCH(1,('Season 1 - MatchHistory'!$B:$B=$A38)*('Season 1 - MatchHistory'!$H:$H&lt;&gt;""),0))</f>
        <v>8.206020476</v>
      </c>
      <c r="K38" s="104">
        <f t="array" ref="K38">INDEX('Season 1 - MatchHistory'!$J:$J,MATCH(1,('Season 1 - MatchHistory'!$B:$B=$A38)*('Season 1 - MatchHistory'!$J:$J&lt;&gt;""),0))</f>
        <v>890</v>
      </c>
    </row>
    <row r="39" ht="22.5" customHeight="1">
      <c r="A39" s="101" t="s">
        <v>65</v>
      </c>
      <c r="B39" s="105">
        <f>COUNTIFS('Season 1 - MatchHistory'!$B:$B, $A39, 'Season 1 - MatchHistory'!$C:$C, "Town")</f>
        <v>3</v>
      </c>
      <c r="C39" s="105">
        <f>COUNTIFS('Season 1 - MatchHistory'!B:B, A39, 'Season 1 - MatchHistory'!C:C, "Town", 'Season 1 - MatchHistory'!D:D, "Win")</f>
        <v>1</v>
      </c>
      <c r="D39" s="106">
        <f>IFERROR(__xludf.DUMMYFUNCTION("IF(EQ($B39, 0), TO_PERCENT(0), TO_PERCENT($C39/$B39))"),0.3333333333333333)</f>
        <v>0.3333333333</v>
      </c>
      <c r="E39" s="105">
        <f>COUNTIFS('Season 1 - MatchHistory'!$B:$B, $A39, 'Season 1 - MatchHistory'!$C:$C, "Mafia")</f>
        <v>0</v>
      </c>
      <c r="F39" s="105">
        <f>COUNTIFS('Season 1 - MatchHistory'!$B:$B, $A39, 'Season 1 - MatchHistory'!$C:$C, "Mafia", 'Season 1 - MatchHistory'!$D:$D, "Win")</f>
        <v>0</v>
      </c>
      <c r="G39" s="106">
        <f>IFERROR(__xludf.DUMMYFUNCTION("TO_PERCENT(IFERROR($F39/$E39, 0))"),0.0)</f>
        <v>0</v>
      </c>
      <c r="H39" s="106">
        <f>IFERROR(__xludf.DUMMYFUNCTION("TO_PERCENT(IFERROR(($F39+$C39)/($E39+$B39), 0))"),0.3333333333333333)</f>
        <v>0.3333333333</v>
      </c>
      <c r="I39" s="103">
        <f t="array" ref="I39">INDEX('Season 1 - MatchHistory'!$G:$G,MATCH(1,('Season 1 - MatchHistory'!$B:$B=$A39)*('Season 1 - MatchHistory'!$G:$G&lt;&gt;""),0))</f>
        <v>25.38616364</v>
      </c>
      <c r="J39" s="103">
        <f t="array" ref="J39">INDEX('Season 1 - MatchHistory'!$H:$H,MATCH(1,('Season 1 - MatchHistory'!$B:$B=$A39)*('Season 1 - MatchHistory'!$H:$H&lt;&gt;""),0))</f>
        <v>8.200494244</v>
      </c>
      <c r="K39" s="104">
        <f t="array" ref="K39">INDEX('Season 1 - MatchHistory'!$J:$J,MATCH(1,('Season 1 - MatchHistory'!$B:$B=$A39)*('Season 1 - MatchHistory'!$J:$J&lt;&gt;""),0))</f>
        <v>890</v>
      </c>
    </row>
    <row r="40" ht="22.5" customHeight="1">
      <c r="A40" s="101" t="s">
        <v>78</v>
      </c>
      <c r="B40" s="101">
        <f>COUNTIFS('Season 1 - MatchHistory'!$B:$B, $A40, 'Season 1 - MatchHistory'!$C:$C, "Town")</f>
        <v>2</v>
      </c>
      <c r="C40" s="101">
        <f>COUNTIFS('Season 1 - MatchHistory'!B:B, A40, 'Season 1 - MatchHistory'!C:C, "Town", 'Season 1 - MatchHistory'!D:D, "Win")</f>
        <v>1</v>
      </c>
      <c r="D40" s="102">
        <f>IFERROR(__xludf.DUMMYFUNCTION("IF(EQ($B40, 0), TO_PERCENT(0), TO_PERCENT($C40/$B40))"),0.5)</f>
        <v>0.5</v>
      </c>
      <c r="E40" s="101">
        <f>COUNTIFS('Season 1 - MatchHistory'!$B:$B, $A40, 'Season 1 - MatchHistory'!$C:$C, "Mafia")</f>
        <v>0</v>
      </c>
      <c r="F40" s="101">
        <f>COUNTIFS('Season 1 - MatchHistory'!$B:$B, $A40, 'Season 1 - MatchHistory'!$C:$C, "Mafia", 'Season 1 - MatchHistory'!$D:$D, "Win")</f>
        <v>0</v>
      </c>
      <c r="G40" s="102">
        <f>IFERROR(__xludf.DUMMYFUNCTION("TO_PERCENT(IFERROR($F40/$E40, 0))"),0.0)</f>
        <v>0</v>
      </c>
      <c r="H40" s="102">
        <f>IFERROR(__xludf.DUMMYFUNCTION("TO_PERCENT(IFERROR(($F40+$C40)/($E40+$B40), 0))"),0.5)</f>
        <v>0.5</v>
      </c>
      <c r="I40" s="103">
        <f t="array" ref="I40">INDEX('Season 1 - MatchHistory'!$G:$G,MATCH(1,('Season 1 - MatchHistory'!$B:$B=$A40)*('Season 1 - MatchHistory'!$G:$G&lt;&gt;""),0))</f>
        <v>25.3700649</v>
      </c>
      <c r="J40" s="103">
        <f t="array" ref="J40">INDEX('Season 1 - MatchHistory'!$H:$H,MATCH(1,('Season 1 - MatchHistory'!$B:$B=$A40)*('Season 1 - MatchHistory'!$H:$H&lt;&gt;""),0))</f>
        <v>8.207987485</v>
      </c>
      <c r="K40" s="104">
        <f t="array" ref="K40">INDEX('Season 1 - MatchHistory'!$J:$J,MATCH(1,('Season 1 - MatchHistory'!$B:$B=$A40)*('Season 1 - MatchHistory'!$J:$J&lt;&gt;""),0))</f>
        <v>888</v>
      </c>
    </row>
    <row r="41" ht="22.5" customHeight="1">
      <c r="A41" s="101" t="s">
        <v>86</v>
      </c>
      <c r="B41" s="101">
        <f>COUNTIFS('Season 1 - MatchHistory'!$B:$B, $A41, 'Season 1 - MatchHistory'!$C:$C, "Town")</f>
        <v>4</v>
      </c>
      <c r="C41" s="101">
        <f>COUNTIFS('Season 1 - MatchHistory'!B:B, A41, 'Season 1 - MatchHistory'!C:C, "Town", 'Season 1 - MatchHistory'!D:D, "Win")</f>
        <v>1</v>
      </c>
      <c r="D41" s="102">
        <f>IFERROR(__xludf.DUMMYFUNCTION("IF(EQ($B41, 0), TO_PERCENT(0), TO_PERCENT($C41/$B41))"),0.25)</f>
        <v>0.25</v>
      </c>
      <c r="E41" s="101">
        <f>COUNTIFS('Season 1 - MatchHistory'!$B:$B, $A41, 'Season 1 - MatchHistory'!$C:$C, "Mafia")</f>
        <v>1</v>
      </c>
      <c r="F41" s="101">
        <f>COUNTIFS('Season 1 - MatchHistory'!$B:$B, $A41, 'Season 1 - MatchHistory'!$C:$C, "Mafia", 'Season 1 - MatchHistory'!$D:$D, "Win")</f>
        <v>1</v>
      </c>
      <c r="G41" s="102">
        <f>IFERROR(__xludf.DUMMYFUNCTION("TO_PERCENT(IFERROR($F41/$E41, 0))"),1.0)</f>
        <v>1</v>
      </c>
      <c r="H41" s="102">
        <f>IFERROR(__xludf.DUMMYFUNCTION("TO_PERCENT(IFERROR(($F41+$C41)/($E41+$B41), 0))"),0.4)</f>
        <v>0.4</v>
      </c>
      <c r="I41" s="103">
        <f t="array" ref="I41">INDEX('Season 1 - MatchHistory'!$G:$G,MATCH(1,('Season 1 - MatchHistory'!$B:$B=$A41)*('Season 1 - MatchHistory'!$G:$G&lt;&gt;""),0))</f>
        <v>25.11321963</v>
      </c>
      <c r="J41" s="103">
        <f t="array" ref="J41">INDEX('Season 1 - MatchHistory'!$H:$H,MATCH(1,('Season 1 - MatchHistory'!$B:$B=$A41)*('Season 1 - MatchHistory'!$H:$H&lt;&gt;""),0))</f>
        <v>8.095238657</v>
      </c>
      <c r="K41" s="104">
        <f t="array" ref="K41">INDEX('Season 1 - MatchHistory'!$J:$J,MATCH(1,('Season 1 - MatchHistory'!$B:$B=$A41)*('Season 1 - MatchHistory'!$J:$J&lt;&gt;""),0))</f>
        <v>882</v>
      </c>
    </row>
    <row r="42" ht="22.5" customHeight="1">
      <c r="A42" s="101" t="s">
        <v>61</v>
      </c>
      <c r="B42" s="101">
        <f>COUNTIFS('Season 1 - MatchHistory'!$B:$B, $A42, 'Season 1 - MatchHistory'!$C:$C, "Town")</f>
        <v>6</v>
      </c>
      <c r="C42" s="101">
        <f>COUNTIFS('Season 1 - MatchHistory'!B:B, A42, 'Season 1 - MatchHistory'!C:C, "Town", 'Season 1 - MatchHistory'!D:D, "Win")</f>
        <v>2</v>
      </c>
      <c r="D42" s="102">
        <f>IFERROR(__xludf.DUMMYFUNCTION("IF(EQ($B42, 0), TO_PERCENT(0), TO_PERCENT($C42/$B42))"),0.3333333333333333)</f>
        <v>0.3333333333</v>
      </c>
      <c r="E42" s="101">
        <f>COUNTIFS('Season 1 - MatchHistory'!$B:$B, $A42, 'Season 1 - MatchHistory'!$C:$C, "Mafia")</f>
        <v>1</v>
      </c>
      <c r="F42" s="101">
        <f>COUNTIFS('Season 1 - MatchHistory'!$B:$B, $A42, 'Season 1 - MatchHistory'!$C:$C, "Mafia", 'Season 1 - MatchHistory'!$D:$D, "Win")</f>
        <v>1</v>
      </c>
      <c r="G42" s="102">
        <f>IFERROR(__xludf.DUMMYFUNCTION("TO_PERCENT(IFERROR($F42/$E42, 0))"),1.0)</f>
        <v>1</v>
      </c>
      <c r="H42" s="102">
        <f>IFERROR(__xludf.DUMMYFUNCTION("TO_PERCENT(IFERROR(($F42+$C42)/($E42+$B42), 0))"),0.42857142857142855)</f>
        <v>0.4285714286</v>
      </c>
      <c r="I42" s="103">
        <f t="array" ref="I42">INDEX('Season 1 - MatchHistory'!$G:$G,MATCH(1,('Season 1 - MatchHistory'!$B:$B=$A42)*('Season 1 - MatchHistory'!$G:$G&lt;&gt;""),0))</f>
        <v>24.80282122</v>
      </c>
      <c r="J42" s="103">
        <f t="array" ref="J42">INDEX('Season 1 - MatchHistory'!$H:$H,MATCH(1,('Season 1 - MatchHistory'!$B:$B=$A42)*('Season 1 - MatchHistory'!$H:$H&lt;&gt;""),0))</f>
        <v>7.938376776</v>
      </c>
      <c r="K42" s="104">
        <f t="array" ref="K42">INDEX('Season 1 - MatchHistory'!$J:$J,MATCH(1,('Season 1 - MatchHistory'!$B:$B=$A42)*('Season 1 - MatchHistory'!$J:$J&lt;&gt;""),0))</f>
        <v>877</v>
      </c>
    </row>
    <row r="43" ht="22.5" customHeight="1">
      <c r="A43" s="101" t="s">
        <v>160</v>
      </c>
      <c r="B43" s="101">
        <f>COUNTIFS('Season 1 - MatchHistory'!$B:$B, $A43, 'Season 1 - MatchHistory'!$C:$C, "Town")</f>
        <v>2</v>
      </c>
      <c r="C43" s="101">
        <f>COUNTIFS('Season 1 - MatchHistory'!B:B, A43, 'Season 1 - MatchHistory'!C:C, "Town", 'Season 1 - MatchHistory'!D:D, "Win")</f>
        <v>1</v>
      </c>
      <c r="D43" s="102">
        <f>IFERROR(__xludf.DUMMYFUNCTION("IF(EQ($B43, 0), TO_PERCENT(0), TO_PERCENT($C43/$B43))"),0.5)</f>
        <v>0.5</v>
      </c>
      <c r="E43" s="101">
        <f>COUNTIFS('Season 1 - MatchHistory'!$B:$B, $A43, 'Season 1 - MatchHistory'!$C:$C, "Mafia")</f>
        <v>2</v>
      </c>
      <c r="F43" s="101">
        <f>COUNTIFS('Season 1 - MatchHistory'!$B:$B, $A43, 'Season 1 - MatchHistory'!$C:$C, "Mafia", 'Season 1 - MatchHistory'!$D:$D, "Win")</f>
        <v>1</v>
      </c>
      <c r="G43" s="102">
        <f>IFERROR(__xludf.DUMMYFUNCTION("TO_PERCENT(IFERROR($F43/$E43, 0))"),0.5)</f>
        <v>0.5</v>
      </c>
      <c r="H43" s="102">
        <f>IFERROR(__xludf.DUMMYFUNCTION("TO_PERCENT(IFERROR(($F43+$C43)/($E43+$B43), 0))"),0.5)</f>
        <v>0.5</v>
      </c>
      <c r="I43" s="103">
        <f t="array" ref="I43">INDEX('Season 1 - MatchHistory'!$G:$G,MATCH(1,('Season 1 - MatchHistory'!$B:$B=$A43)*('Season 1 - MatchHistory'!$G:$G&lt;&gt;""),0))</f>
        <v>25.05869803</v>
      </c>
      <c r="J43" s="103">
        <f t="array" ref="J43">INDEX('Season 1 - MatchHistory'!$H:$H,MATCH(1,('Season 1 - MatchHistory'!$B:$B=$A43)*('Season 1 - MatchHistory'!$H:$H&lt;&gt;""),0))</f>
        <v>8.112412417</v>
      </c>
      <c r="K43" s="104">
        <f t="array" ref="K43">INDEX('Season 1 - MatchHistory'!$J:$J,MATCH(1,('Season 1 - MatchHistory'!$B:$B=$A43)*('Season 1 - MatchHistory'!$J:$J&lt;&gt;""),0))</f>
        <v>877</v>
      </c>
    </row>
    <row r="44" ht="22.5" customHeight="1">
      <c r="A44" s="101" t="s">
        <v>71</v>
      </c>
      <c r="B44" s="101">
        <f>COUNTIFS('Season 1 - MatchHistory'!$B:$B, $A44, 'Season 1 - MatchHistory'!$C:$C, "Town")</f>
        <v>2</v>
      </c>
      <c r="C44" s="101">
        <f>COUNTIFS('Season 1 - MatchHistory'!B:B, A44, 'Season 1 - MatchHistory'!C:C, "Town", 'Season 1 - MatchHistory'!D:D, "Win")</f>
        <v>1</v>
      </c>
      <c r="D44" s="102">
        <f>IFERROR(__xludf.DUMMYFUNCTION("IF(EQ($B44, 0), TO_PERCENT(0), TO_PERCENT($C44/$B44))"),0.5)</f>
        <v>0.5</v>
      </c>
      <c r="E44" s="101">
        <f>COUNTIFS('Season 1 - MatchHistory'!$B:$B, $A44, 'Season 1 - MatchHistory'!$C:$C, "Mafia")</f>
        <v>3</v>
      </c>
      <c r="F44" s="101">
        <f>COUNTIFS('Season 1 - MatchHistory'!$B:$B, $A44, 'Season 1 - MatchHistory'!$C:$C, "Mafia", 'Season 1 - MatchHistory'!$D:$D, "Win")</f>
        <v>2</v>
      </c>
      <c r="G44" s="102">
        <f>IFERROR(__xludf.DUMMYFUNCTION("TO_PERCENT(IFERROR($F44/$E44, 0))"),0.6666666666666666)</f>
        <v>0.6666666667</v>
      </c>
      <c r="H44" s="102">
        <f>IFERROR(__xludf.DUMMYFUNCTION("TO_PERCENT(IFERROR(($F44+$C44)/($E44+$B44), 0))"),0.6)</f>
        <v>0.6</v>
      </c>
      <c r="I44" s="103">
        <f t="array" ref="I44">INDEX('Season 1 - MatchHistory'!$G:$G,MATCH(1,('Season 1 - MatchHistory'!$B:$B=$A44)*('Season 1 - MatchHistory'!$G:$G&lt;&gt;""),0))</f>
        <v>24.93422725</v>
      </c>
      <c r="J44" s="103">
        <f t="array" ref="J44">INDEX('Season 1 - MatchHistory'!$H:$H,MATCH(1,('Season 1 - MatchHistory'!$B:$B=$A44)*('Season 1 - MatchHistory'!$H:$H&lt;&gt;""),0))</f>
        <v>8.063828314</v>
      </c>
      <c r="K44" s="104">
        <f t="array" ref="K44">INDEX('Season 1 - MatchHistory'!$J:$J,MATCH(1,('Season 1 - MatchHistory'!$B:$B=$A44)*('Season 1 - MatchHistory'!$J:$J&lt;&gt;""),0))</f>
        <v>873</v>
      </c>
    </row>
    <row r="45" ht="22.5" customHeight="1">
      <c r="A45" s="101" t="s">
        <v>43</v>
      </c>
      <c r="B45" s="101">
        <f>COUNTIFS('Season 1 - MatchHistory'!$B:$B, $A45, 'Season 1 - MatchHistory'!$C:$C, "Town")</f>
        <v>9</v>
      </c>
      <c r="C45" s="101">
        <f>COUNTIFS('Season 1 - MatchHistory'!B:B, A45, 'Season 1 - MatchHistory'!C:C, "Town", 'Season 1 - MatchHistory'!D:D, "Win")</f>
        <v>3</v>
      </c>
      <c r="D45" s="102">
        <f>IFERROR(__xludf.DUMMYFUNCTION("IF(EQ($B45, 0), TO_PERCENT(0), TO_PERCENT($C45/$B45))"),0.3333333333333333)</f>
        <v>0.3333333333</v>
      </c>
      <c r="E45" s="101">
        <f>COUNTIFS('Season 1 - MatchHistory'!$B:$B, $A45, 'Season 1 - MatchHistory'!$C:$C, "Mafia")</f>
        <v>1</v>
      </c>
      <c r="F45" s="101">
        <f>COUNTIFS('Season 1 - MatchHistory'!$B:$B, $A45, 'Season 1 - MatchHistory'!$C:$C, "Mafia", 'Season 1 - MatchHistory'!$D:$D, "Win")</f>
        <v>1</v>
      </c>
      <c r="G45" s="102">
        <f>IFERROR(__xludf.DUMMYFUNCTION("TO_PERCENT(IFERROR($F45/$E45, 0))"),1.0)</f>
        <v>1</v>
      </c>
      <c r="H45" s="102">
        <f>IFERROR(__xludf.DUMMYFUNCTION("TO_PERCENT(IFERROR(($F45+$C45)/($E45+$B45), 0))"),0.4)</f>
        <v>0.4</v>
      </c>
      <c r="I45" s="103">
        <f t="array" ref="I45">INDEX('Season 1 - MatchHistory'!$G:$G,MATCH(1,('Season 1 - MatchHistory'!$B:$B=$A45)*('Season 1 - MatchHistory'!$G:$G&lt;&gt;""),0))</f>
        <v>24.44709344</v>
      </c>
      <c r="J45" s="103">
        <f t="array" ref="J45">INDEX('Season 1 - MatchHistory'!$H:$H,MATCH(1,('Season 1 - MatchHistory'!$B:$B=$A45)*('Season 1 - MatchHistory'!$H:$H&lt;&gt;""),0))</f>
        <v>7.791066563</v>
      </c>
      <c r="K45" s="104">
        <f t="array" ref="K45">INDEX('Season 1 - MatchHistory'!$J:$J,MATCH(1,('Season 1 - MatchHistory'!$B:$B=$A45)*('Season 1 - MatchHistory'!$J:$J&lt;&gt;""),0))</f>
        <v>868</v>
      </c>
    </row>
    <row r="46" ht="22.5" customHeight="1">
      <c r="A46" s="101" t="s">
        <v>116</v>
      </c>
      <c r="B46" s="101">
        <f>COUNTIFS('Season 1 - MatchHistory'!$B:$B, $A46, 'Season 1 - MatchHistory'!$C:$C, "Town")</f>
        <v>1</v>
      </c>
      <c r="C46" s="101">
        <f>COUNTIFS('Season 1 - MatchHistory'!B:B, A46, 'Season 1 - MatchHistory'!C:C, "Town", 'Season 1 - MatchHistory'!D:D, "Win")</f>
        <v>1</v>
      </c>
      <c r="D46" s="102">
        <f>IFERROR(__xludf.DUMMYFUNCTION("IF(EQ($B46, 0), TO_PERCENT(0), TO_PERCENT($C46/$B46))"),1.0)</f>
        <v>1</v>
      </c>
      <c r="E46" s="101">
        <f>COUNTIFS('Season 1 - MatchHistory'!$B:$B, $A46, 'Season 1 - MatchHistory'!$C:$C, "Mafia")</f>
        <v>1</v>
      </c>
      <c r="F46" s="101">
        <f>COUNTIFS('Season 1 - MatchHistory'!$B:$B, $A46, 'Season 1 - MatchHistory'!$C:$C, "Mafia", 'Season 1 - MatchHistory'!$D:$D, "Win")</f>
        <v>0</v>
      </c>
      <c r="G46" s="102">
        <f>IFERROR(__xludf.DUMMYFUNCTION("TO_PERCENT(IFERROR($F46/$E46, 0))"),0.0)</f>
        <v>0</v>
      </c>
      <c r="H46" s="102">
        <f>IFERROR(__xludf.DUMMYFUNCTION("TO_PERCENT(IFERROR(($F46+$C46)/($E46+$B46), 0))"),0.5)</f>
        <v>0.5</v>
      </c>
      <c r="I46" s="103">
        <f t="array" ref="I46">INDEX('Season 1 - MatchHistory'!$G:$G,MATCH(1,('Season 1 - MatchHistory'!$B:$B=$A46)*('Season 1 - MatchHistory'!$G:$G&lt;&gt;""),0))</f>
        <v>24.94102706</v>
      </c>
      <c r="J46" s="103">
        <f t="array" ref="J46">INDEX('Season 1 - MatchHistory'!$H:$H,MATCH(1,('Season 1 - MatchHistory'!$B:$B=$A46)*('Season 1 - MatchHistory'!$H:$H&lt;&gt;""),0))</f>
        <v>8.200678404</v>
      </c>
      <c r="K46" s="104">
        <f t="array" ref="K46">INDEX('Season 1 - MatchHistory'!$J:$J,MATCH(1,('Season 1 - MatchHistory'!$B:$B=$A46)*('Season 1 - MatchHistory'!$J:$J&lt;&gt;""),0))</f>
        <v>860</v>
      </c>
    </row>
    <row r="47" ht="22.5" customHeight="1">
      <c r="A47" s="101" t="s">
        <v>87</v>
      </c>
      <c r="B47" s="101">
        <f>COUNTIFS('Season 1 - MatchHistory'!$B:$B, $A47, 'Season 1 - MatchHistory'!$C:$C, "Town")</f>
        <v>3</v>
      </c>
      <c r="C47" s="101">
        <f>COUNTIFS('Season 1 - MatchHistory'!B:B, A47, 'Season 1 - MatchHistory'!C:C, "Town", 'Season 1 - MatchHistory'!D:D, "Win")</f>
        <v>1</v>
      </c>
      <c r="D47" s="102">
        <f>IFERROR(__xludf.DUMMYFUNCTION("IF(EQ($B47, 0), TO_PERCENT(0), TO_PERCENT($C47/$B47))"),0.3333333333333333)</f>
        <v>0.3333333333</v>
      </c>
      <c r="E47" s="101">
        <f>COUNTIFS('Season 1 - MatchHistory'!$B:$B, $A47, 'Season 1 - MatchHistory'!$C:$C, "Mafia")</f>
        <v>0</v>
      </c>
      <c r="F47" s="101">
        <f>COUNTIFS('Season 1 - MatchHistory'!$B:$B, $A47, 'Season 1 - MatchHistory'!$C:$C, "Mafia", 'Season 1 - MatchHistory'!$D:$D, "Win")</f>
        <v>0</v>
      </c>
      <c r="G47" s="102">
        <f>IFERROR(__xludf.DUMMYFUNCTION("TO_PERCENT(IFERROR($F47/$E47, 0))"),0.0)</f>
        <v>0</v>
      </c>
      <c r="H47" s="102">
        <f>IFERROR(__xludf.DUMMYFUNCTION("TO_PERCENT(IFERROR(($F47+$C47)/($E47+$B47), 0))"),0.3333333333333333)</f>
        <v>0.3333333333</v>
      </c>
      <c r="I47" s="103">
        <f t="array" ref="I47">INDEX('Season 1 - MatchHistory'!$G:$G,MATCH(1,('Season 1 - MatchHistory'!$B:$B=$A47)*('Season 1 - MatchHistory'!$G:$G&lt;&gt;""),0))</f>
        <v>24.83552675</v>
      </c>
      <c r="J47" s="103">
        <f t="array" ref="J47">INDEX('Season 1 - MatchHistory'!$H:$H,MATCH(1,('Season 1 - MatchHistory'!$B:$B=$A47)*('Season 1 - MatchHistory'!$H:$H&lt;&gt;""),0))</f>
        <v>8.159002599</v>
      </c>
      <c r="K47" s="104">
        <f t="array" ref="K47">INDEX('Season 1 - MatchHistory'!$J:$J,MATCH(1,('Season 1 - MatchHistory'!$B:$B=$A47)*('Season 1 - MatchHistory'!$J:$J&lt;&gt;""),0))</f>
        <v>857</v>
      </c>
    </row>
    <row r="48" ht="22.5" customHeight="1">
      <c r="A48" s="101" t="s">
        <v>23</v>
      </c>
      <c r="B48" s="101">
        <f>COUNTIFS('Season 1 - MatchHistory'!$B:$B, $A48, 'Season 1 - MatchHistory'!$C:$C, "Town")</f>
        <v>6</v>
      </c>
      <c r="C48" s="101">
        <f>COUNTIFS('Season 1 - MatchHistory'!B:B, A48, 'Season 1 - MatchHistory'!C:C, "Town", 'Season 1 - MatchHistory'!D:D, "Win")</f>
        <v>2</v>
      </c>
      <c r="D48" s="102">
        <f>IFERROR(__xludf.DUMMYFUNCTION("IF(EQ($B48, 0), TO_PERCENT(0), TO_PERCENT($C48/$B48))"),0.3333333333333333)</f>
        <v>0.3333333333</v>
      </c>
      <c r="E48" s="101">
        <f>COUNTIFS('Season 1 - MatchHistory'!$B:$B, $A48, 'Season 1 - MatchHistory'!$C:$C, "Mafia")</f>
        <v>0</v>
      </c>
      <c r="F48" s="101">
        <f>COUNTIFS('Season 1 - MatchHistory'!$B:$B, $A48, 'Season 1 - MatchHistory'!$C:$C, "Mafia", 'Season 1 - MatchHistory'!$D:$D, "Win")</f>
        <v>0</v>
      </c>
      <c r="G48" s="102">
        <f>IFERROR(__xludf.DUMMYFUNCTION("TO_PERCENT(IFERROR($F48/$E48, 0))"),0.0)</f>
        <v>0</v>
      </c>
      <c r="H48" s="102">
        <f>IFERROR(__xludf.DUMMYFUNCTION("TO_PERCENT(IFERROR(($F48+$C48)/($E48+$B48), 0))"),0.3333333333333333)</f>
        <v>0.3333333333</v>
      </c>
      <c r="I48" s="103">
        <f t="array" ref="I48">INDEX('Season 1 - MatchHistory'!$G:$G,MATCH(1,('Season 1 - MatchHistory'!$B:$B=$A48)*('Season 1 - MatchHistory'!$G:$G&lt;&gt;""),0))</f>
        <v>24.62658362</v>
      </c>
      <c r="J48" s="103">
        <f t="array" ref="J48">INDEX('Season 1 - MatchHistory'!$H:$H,MATCH(1,('Season 1 - MatchHistory'!$B:$B=$A48)*('Season 1 - MatchHistory'!$H:$H&lt;&gt;""),0))</f>
        <v>8.020900371</v>
      </c>
      <c r="K48" s="104">
        <f t="array" ref="K48">INDEX('Season 1 - MatchHistory'!$J:$J,MATCH(1,('Season 1 - MatchHistory'!$B:$B=$A48)*('Season 1 - MatchHistory'!$J:$J&lt;&gt;""),0))</f>
        <v>856</v>
      </c>
    </row>
    <row r="49" ht="22.5" customHeight="1">
      <c r="A49" s="101" t="s">
        <v>161</v>
      </c>
      <c r="B49" s="101">
        <f>COUNTIFS('Season 1 - MatchHistory'!$B:$B, $A49, 'Season 1 - MatchHistory'!$C:$C, "Town")</f>
        <v>1</v>
      </c>
      <c r="C49" s="101">
        <f>COUNTIFS('Season 1 - MatchHistory'!B:B, A49, 'Season 1 - MatchHistory'!C:C, "Town", 'Season 1 - MatchHistory'!D:D, "Win")</f>
        <v>0</v>
      </c>
      <c r="D49" s="102">
        <f>IFERROR(__xludf.DUMMYFUNCTION("IF(EQ($B49, 0), TO_PERCENT(0), TO_PERCENT($C49/$B49))"),0.0)</f>
        <v>0</v>
      </c>
      <c r="E49" s="101">
        <f>COUNTIFS('Season 1 - MatchHistory'!$B:$B, $A49, 'Season 1 - MatchHistory'!$C:$C, "Mafia")</f>
        <v>1</v>
      </c>
      <c r="F49" s="101">
        <f>COUNTIFS('Season 1 - MatchHistory'!$B:$B, $A49, 'Season 1 - MatchHistory'!$C:$C, "Mafia", 'Season 1 - MatchHistory'!$D:$D, "Win")</f>
        <v>1</v>
      </c>
      <c r="G49" s="102">
        <f>IFERROR(__xludf.DUMMYFUNCTION("TO_PERCENT(IFERROR($F49/$E49, 0))"),1.0)</f>
        <v>1</v>
      </c>
      <c r="H49" s="102">
        <f>IFERROR(__xludf.DUMMYFUNCTION("TO_PERCENT(IFERROR(($F49+$C49)/($E49+$B49), 0))"),0.5)</f>
        <v>0.5</v>
      </c>
      <c r="I49" s="103">
        <f t="array" ref="I49">INDEX('Season 1 - MatchHistory'!$G:$G,MATCH(1,('Season 1 - MatchHistory'!$B:$B=$A49)*('Season 1 - MatchHistory'!$G:$G&lt;&gt;""),0))</f>
        <v>24.86837772</v>
      </c>
      <c r="J49" s="103">
        <f t="array" ref="J49">INDEX('Season 1 - MatchHistory'!$H:$H,MATCH(1,('Season 1 - MatchHistory'!$B:$B=$A49)*('Season 1 - MatchHistory'!$H:$H&lt;&gt;""),0))</f>
        <v>8.227913515</v>
      </c>
      <c r="K49" s="104">
        <f t="array" ref="K49">INDEX('Season 1 - MatchHistory'!$J:$J,MATCH(1,('Season 1 - MatchHistory'!$B:$B=$A49)*('Season 1 - MatchHistory'!$J:$J&lt;&gt;""),0))</f>
        <v>852</v>
      </c>
    </row>
    <row r="50" ht="22.5" customHeight="1">
      <c r="A50" s="101" t="s">
        <v>82</v>
      </c>
      <c r="B50" s="101">
        <f>COUNTIFS('Season 1 - MatchHistory'!$B:$B, $A50, 'Season 1 - MatchHistory'!$C:$C, "Town")</f>
        <v>2</v>
      </c>
      <c r="C50" s="101">
        <f>COUNTIFS('Season 1 - MatchHistory'!B:B, A50, 'Season 1 - MatchHistory'!C:C, "Town", 'Season 1 - MatchHistory'!D:D, "Win")</f>
        <v>1</v>
      </c>
      <c r="D50" s="102">
        <f>IFERROR(__xludf.DUMMYFUNCTION("IF(EQ($B50, 0), TO_PERCENT(0), TO_PERCENT($C50/$B50))"),0.5)</f>
        <v>0.5</v>
      </c>
      <c r="E50" s="101">
        <f>COUNTIFS('Season 1 - MatchHistory'!$B:$B, $A50, 'Season 1 - MatchHistory'!$C:$C, "Mafia")</f>
        <v>2</v>
      </c>
      <c r="F50" s="101">
        <f>COUNTIFS('Season 1 - MatchHistory'!$B:$B, $A50, 'Season 1 - MatchHistory'!$C:$C, "Mafia", 'Season 1 - MatchHistory'!$D:$D, "Win")</f>
        <v>1</v>
      </c>
      <c r="G50" s="102">
        <f>IFERROR(__xludf.DUMMYFUNCTION("TO_PERCENT(IFERROR($F50/$E50, 0))"),0.5)</f>
        <v>0.5</v>
      </c>
      <c r="H50" s="102">
        <f>IFERROR(__xludf.DUMMYFUNCTION("TO_PERCENT(IFERROR(($F50+$C50)/($E50+$B50), 0))"),0.5)</f>
        <v>0.5</v>
      </c>
      <c r="I50" s="103">
        <f t="array" ref="I50">INDEX('Season 1 - MatchHistory'!$G:$G,MATCH(1,('Season 1 - MatchHistory'!$B:$B=$A50)*('Season 1 - MatchHistory'!$G:$G&lt;&gt;""),0))</f>
        <v>24.61746547</v>
      </c>
      <c r="J50" s="103">
        <f t="array" ref="J50">INDEX('Season 1 - MatchHistory'!$H:$H,MATCH(1,('Season 1 - MatchHistory'!$B:$B=$A50)*('Season 1 - MatchHistory'!$H:$H&lt;&gt;""),0))</f>
        <v>8.121591836</v>
      </c>
      <c r="K50" s="104">
        <f t="array" ref="K50">INDEX('Season 1 - MatchHistory'!$J:$J,MATCH(1,('Season 1 - MatchHistory'!$B:$B=$A50)*('Season 1 - MatchHistory'!$J:$J&lt;&gt;""),0))</f>
        <v>846</v>
      </c>
      <c r="L50" s="88" t="str">
        <f>'Season 1 - MafiaRatings'!H:H</f>
        <v/>
      </c>
      <c r="M50" s="88" t="str">
        <f>'Season 1 - MafiaRatings'!I:I</f>
        <v/>
      </c>
      <c r="N50" s="88" t="str">
        <f>'Season 1 - MafiaRatings'!J:J</f>
        <v/>
      </c>
      <c r="O50" s="88" t="str">
        <f>'Season 1 - MafiaRatings'!K:K</f>
        <v/>
      </c>
      <c r="P50" s="88" t="str">
        <f>'Season 1 - MafiaRatings'!L:L</f>
        <v/>
      </c>
      <c r="Q50" s="88" t="str">
        <f>'Season 1 - MafiaRatings'!M:M</f>
        <v/>
      </c>
      <c r="R50" s="88" t="str">
        <f>'Season 1 - MafiaRatings'!N:N</f>
        <v/>
      </c>
      <c r="S50" s="88" t="str">
        <f>'Season 1 - MafiaRatings'!O:O</f>
        <v/>
      </c>
      <c r="T50" s="88" t="str">
        <f>'Season 1 - MafiaRatings'!P:P</f>
        <v/>
      </c>
      <c r="U50" s="88" t="str">
        <f>'Season 1 - MafiaRatings'!Q:Q</f>
        <v/>
      </c>
      <c r="V50" s="88" t="str">
        <f>'Season 1 - MafiaRatings'!R:R</f>
        <v/>
      </c>
      <c r="W50" s="88" t="str">
        <f>'Season 1 - MafiaRatings'!S:S</f>
        <v/>
      </c>
      <c r="X50" s="88" t="str">
        <f>'Season 1 - MafiaRatings'!T:T</f>
        <v/>
      </c>
      <c r="Y50" s="88" t="str">
        <f>'Season 1 - MafiaRatings'!U:U</f>
        <v/>
      </c>
      <c r="Z50" s="88" t="str">
        <f>'Season 1 - MafiaRatings'!V:V</f>
        <v/>
      </c>
      <c r="AA50" s="88" t="str">
        <f>'Season 1 - MafiaRatings'!W:W</f>
        <v/>
      </c>
      <c r="AB50" s="88" t="str">
        <f>'Season 1 - MafiaRatings'!X:X</f>
        <v/>
      </c>
      <c r="AC50" s="88" t="str">
        <f>'Season 1 - MafiaRatings'!Y:Y</f>
        <v/>
      </c>
      <c r="AD50" s="88" t="str">
        <f>'Season 1 - MafiaRatings'!Z:Z</f>
        <v/>
      </c>
      <c r="AE50" s="88" t="str">
        <f>'Season 1 - MafiaRatings'!AA:AA</f>
        <v/>
      </c>
    </row>
    <row r="51" ht="22.5" customHeight="1">
      <c r="A51" s="101" t="s">
        <v>111</v>
      </c>
      <c r="B51" s="101">
        <f>COUNTIFS('Season 1 - MatchHistory'!$B:$B, $A51, 'Season 1 - MatchHistory'!$C:$C, "Town")</f>
        <v>11</v>
      </c>
      <c r="C51" s="101">
        <f>COUNTIFS('Season 1 - MatchHistory'!B:B, A51, 'Season 1 - MatchHistory'!C:C, "Town", 'Season 1 - MatchHistory'!D:D, "Win")</f>
        <v>3</v>
      </c>
      <c r="D51" s="102">
        <f>IFERROR(__xludf.DUMMYFUNCTION("IF(EQ($B51, 0), TO_PERCENT(0), TO_PERCENT($C51/$B51))"),0.2727272727272727)</f>
        <v>0.2727272727</v>
      </c>
      <c r="E51" s="101">
        <f>COUNTIFS('Season 1 - MatchHistory'!$B:$B, $A51, 'Season 1 - MatchHistory'!$C:$C, "Mafia")</f>
        <v>1</v>
      </c>
      <c r="F51" s="101">
        <f>COUNTIFS('Season 1 - MatchHistory'!$B:$B, $A51, 'Season 1 - MatchHistory'!$C:$C, "Mafia", 'Season 1 - MatchHistory'!$D:$D, "Win")</f>
        <v>1</v>
      </c>
      <c r="G51" s="102">
        <f>IFERROR(__xludf.DUMMYFUNCTION("TO_PERCENT(IFERROR($F51/$E51, 0))"),1.0)</f>
        <v>1</v>
      </c>
      <c r="H51" s="102">
        <f>IFERROR(__xludf.DUMMYFUNCTION("TO_PERCENT(IFERROR(($F51+$C51)/($E51+$B51), 0))"),0.3333333333333333)</f>
        <v>0.3333333333</v>
      </c>
      <c r="I51" s="103">
        <f t="array" ref="I51">INDEX('Season 1 - MatchHistory'!$G:$G,MATCH(1,('Season 1 - MatchHistory'!$B:$B=$A51)*('Season 1 - MatchHistory'!$G:$G&lt;&gt;""),0))</f>
        <v>24.03621052</v>
      </c>
      <c r="J51" s="103">
        <f t="array" ref="J51">INDEX('Season 1 - MatchHistory'!$H:$H,MATCH(1,('Season 1 - MatchHistory'!$B:$B=$A51)*('Season 1 - MatchHistory'!$H:$H&lt;&gt;""),0))</f>
        <v>7.725677772</v>
      </c>
      <c r="K51" s="104">
        <f t="array" ref="K51">INDEX('Season 1 - MatchHistory'!$J:$J,MATCH(1,('Season 1 - MatchHistory'!$B:$B=$A51)*('Season 1 - MatchHistory'!$J:$J&lt;&gt;""),0))</f>
        <v>846</v>
      </c>
    </row>
    <row r="52" ht="22.5" customHeight="1">
      <c r="A52" s="101" t="s">
        <v>162</v>
      </c>
      <c r="B52" s="101">
        <f>COUNTIFS('Season 1 - MatchHistory'!$B:$B, $A52, 'Season 1 - MatchHistory'!$C:$C, "Town")</f>
        <v>0</v>
      </c>
      <c r="C52" s="101">
        <f>COUNTIFS('Season 1 - MatchHistory'!B:B, A52, 'Season 1 - MatchHistory'!C:C, "Town", 'Season 1 - MatchHistory'!D:D, "Win")</f>
        <v>0</v>
      </c>
      <c r="D52" s="102">
        <f>IFERROR(__xludf.DUMMYFUNCTION("IF(EQ($B52, 0), TO_PERCENT(0), TO_PERCENT($C52/$B52))"),0.0)</f>
        <v>0</v>
      </c>
      <c r="E52" s="101">
        <f>COUNTIFS('Season 1 - MatchHistory'!$B:$B, $A52, 'Season 1 - MatchHistory'!$C:$C, "Mafia")</f>
        <v>2</v>
      </c>
      <c r="F52" s="101">
        <f>COUNTIFS('Season 1 - MatchHistory'!$B:$B, $A52, 'Season 1 - MatchHistory'!$C:$C, "Mafia", 'Season 1 - MatchHistory'!$D:$D, "Win")</f>
        <v>1</v>
      </c>
      <c r="G52" s="102">
        <f>IFERROR(__xludf.DUMMYFUNCTION("TO_PERCENT(IFERROR($F52/$E52, 0))"),0.5)</f>
        <v>0.5</v>
      </c>
      <c r="H52" s="102">
        <f>IFERROR(__xludf.DUMMYFUNCTION("TO_PERCENT(IFERROR(($F52+$C52)/($E52+$B52), 0))"),0.5)</f>
        <v>0.5</v>
      </c>
      <c r="I52" s="103">
        <f t="array" ref="I52">INDEX('Season 1 - MatchHistory'!$G:$G,MATCH(1,('Season 1 - MatchHistory'!$B:$B=$A52)*('Season 1 - MatchHistory'!$G:$G&lt;&gt;""),0))</f>
        <v>24.62431235</v>
      </c>
      <c r="J52" s="103">
        <f t="array" ref="J52">INDEX('Season 1 - MatchHistory'!$H:$H,MATCH(1,('Season 1 - MatchHistory'!$B:$B=$A52)*('Season 1 - MatchHistory'!$H:$H&lt;&gt;""),0))</f>
        <v>8.208504753</v>
      </c>
      <c r="K52" s="104">
        <f t="array" ref="K52">INDEX('Season 1 - MatchHistory'!$J:$J,MATCH(1,('Season 1 - MatchHistory'!$B:$B=$A52)*('Season 1 - MatchHistory'!$J:$J&lt;&gt;""),0))</f>
        <v>837</v>
      </c>
    </row>
    <row r="53" ht="22.5" customHeight="1">
      <c r="A53" s="101" t="s">
        <v>79</v>
      </c>
      <c r="B53" s="101">
        <f>COUNTIFS('Season 1 - MatchHistory'!$B:$B, $A53, 'Season 1 - MatchHistory'!$C:$C, "Town")</f>
        <v>1</v>
      </c>
      <c r="C53" s="101">
        <f>COUNTIFS('Season 1 - MatchHistory'!B:B, A53, 'Season 1 - MatchHistory'!C:C, "Town", 'Season 1 - MatchHistory'!D:D, "Win")</f>
        <v>0</v>
      </c>
      <c r="D53" s="102">
        <f>IFERROR(__xludf.DUMMYFUNCTION("IF(EQ($B53, 0), TO_PERCENT(0), TO_PERCENT($C53/$B53))"),0.0)</f>
        <v>0</v>
      </c>
      <c r="E53" s="101">
        <f>COUNTIFS('Season 1 - MatchHistory'!$B:$B, $A53, 'Season 1 - MatchHistory'!$C:$C, "Mafia")</f>
        <v>1</v>
      </c>
      <c r="F53" s="101">
        <f>COUNTIFS('Season 1 - MatchHistory'!$B:$B, $A53, 'Season 1 - MatchHistory'!$C:$C, "Mafia", 'Season 1 - MatchHistory'!$D:$D, "Win")</f>
        <v>1</v>
      </c>
      <c r="G53" s="102">
        <f>IFERROR(__xludf.DUMMYFUNCTION("TO_PERCENT(IFERROR($F53/$E53, 0))"),1.0)</f>
        <v>1</v>
      </c>
      <c r="H53" s="102">
        <f>IFERROR(__xludf.DUMMYFUNCTION("TO_PERCENT(IFERROR(($F53+$C53)/($E53+$B53), 0))"),0.5)</f>
        <v>0.5</v>
      </c>
      <c r="I53" s="103">
        <f t="array" ref="I53">INDEX('Season 1 - MatchHistory'!$G:$G,MATCH(1,('Season 1 - MatchHistory'!$B:$B=$A53)*('Season 1 - MatchHistory'!$G:$G&lt;&gt;""),0))</f>
        <v>24.64104784</v>
      </c>
      <c r="J53" s="103">
        <f t="array" ref="J53">INDEX('Season 1 - MatchHistory'!$H:$H,MATCH(1,('Season 1 - MatchHistory'!$B:$B=$A53)*('Season 1 - MatchHistory'!$H:$H&lt;&gt;""),0))</f>
        <v>8.228812724</v>
      </c>
      <c r="K53" s="104">
        <f t="array" ref="K53">INDEX('Season 1 - MatchHistory'!$J:$J,MATCH(1,('Season 1 - MatchHistory'!$B:$B=$A53)*('Season 1 - MatchHistory'!$J:$J&lt;&gt;""),0))</f>
        <v>836</v>
      </c>
    </row>
    <row r="54" ht="22.5" customHeight="1">
      <c r="A54" s="101" t="s">
        <v>163</v>
      </c>
      <c r="B54" s="101">
        <f>COUNTIFS('Season 1 - MatchHistory'!$B:$B, $A54, 'Season 1 - MatchHistory'!$C:$C, "Town")</f>
        <v>2</v>
      </c>
      <c r="C54" s="101">
        <f>COUNTIFS('Season 1 - MatchHistory'!B:B, A54, 'Season 1 - MatchHistory'!C:C, "Town", 'Season 1 - MatchHistory'!D:D, "Win")</f>
        <v>0</v>
      </c>
      <c r="D54" s="102">
        <f>IFERROR(__xludf.DUMMYFUNCTION("IF(EQ($B54, 0), TO_PERCENT(0), TO_PERCENT($C54/$B54))"),0.0)</f>
        <v>0</v>
      </c>
      <c r="E54" s="101">
        <f>COUNTIFS('Season 1 - MatchHistory'!$B:$B, $A54, 'Season 1 - MatchHistory'!$C:$C, "Mafia")</f>
        <v>1</v>
      </c>
      <c r="F54" s="101">
        <f>COUNTIFS('Season 1 - MatchHistory'!$B:$B, $A54, 'Season 1 - MatchHistory'!$C:$C, "Mafia", 'Season 1 - MatchHistory'!$D:$D, "Win")</f>
        <v>1</v>
      </c>
      <c r="G54" s="102">
        <f>IFERROR(__xludf.DUMMYFUNCTION("TO_PERCENT(IFERROR($F54/$E54, 0))"),1.0)</f>
        <v>1</v>
      </c>
      <c r="H54" s="102">
        <f>IFERROR(__xludf.DUMMYFUNCTION("TO_PERCENT(IFERROR(($F54+$C54)/($E54+$B54), 0))"),0.3333333333333333)</f>
        <v>0.3333333333</v>
      </c>
      <c r="I54" s="103">
        <f t="array" ref="I54">INDEX('Season 1 - MatchHistory'!$G:$G,MATCH(1,('Season 1 - MatchHistory'!$B:$B=$A54)*('Season 1 - MatchHistory'!$G:$G&lt;&gt;""),0))</f>
        <v>24.54732247</v>
      </c>
      <c r="J54" s="103">
        <f t="array" ref="J54">INDEX('Season 1 - MatchHistory'!$H:$H,MATCH(1,('Season 1 - MatchHistory'!$B:$B=$A54)*('Season 1 - MatchHistory'!$H:$H&lt;&gt;""),0))</f>
        <v>8.184060159</v>
      </c>
      <c r="K54" s="104">
        <f t="array" ref="K54">INDEX('Season 1 - MatchHistory'!$J:$J,MATCH(1,('Season 1 - MatchHistory'!$B:$B=$A54)*('Season 1 - MatchHistory'!$J:$J&lt;&gt;""),0))</f>
        <v>834</v>
      </c>
    </row>
    <row r="55" ht="22.5" customHeight="1">
      <c r="A55" s="101" t="s">
        <v>20</v>
      </c>
      <c r="B55" s="101">
        <f>COUNTIFS('Season 1 - MatchHistory'!$B:$B, $A55, 'Season 1 - MatchHistory'!$C:$C, "Town")</f>
        <v>2</v>
      </c>
      <c r="C55" s="101">
        <f>COUNTIFS('Season 1 - MatchHistory'!B:B, A55, 'Season 1 - MatchHistory'!C:C, "Town", 'Season 1 - MatchHistory'!D:D, "Win")</f>
        <v>0</v>
      </c>
      <c r="D55" s="102">
        <f>IFERROR(__xludf.DUMMYFUNCTION("IF(EQ($B55, 0), TO_PERCENT(0), TO_PERCENT($C55/$B55))"),0.0)</f>
        <v>0</v>
      </c>
      <c r="E55" s="101">
        <f>COUNTIFS('Season 1 - MatchHistory'!$B:$B, $A55, 'Season 1 - MatchHistory'!$C:$C, "Mafia")</f>
        <v>1</v>
      </c>
      <c r="F55" s="101">
        <f>COUNTIFS('Season 1 - MatchHistory'!$B:$B, $A55, 'Season 1 - MatchHistory'!$C:$C, "Mafia", 'Season 1 - MatchHistory'!$D:$D, "Win")</f>
        <v>1</v>
      </c>
      <c r="G55" s="102">
        <f>IFERROR(__xludf.DUMMYFUNCTION("TO_PERCENT(IFERROR($F55/$E55, 0))"),1.0)</f>
        <v>1</v>
      </c>
      <c r="H55" s="102">
        <f>IFERROR(__xludf.DUMMYFUNCTION("TO_PERCENT(IFERROR(($F55+$C55)/($E55+$B55), 0))"),0.3333333333333333)</f>
        <v>0.3333333333</v>
      </c>
      <c r="I55" s="103">
        <f t="array" ref="I55">INDEX('Season 1 - MatchHistory'!$G:$G,MATCH(1,('Season 1 - MatchHistory'!$B:$B=$A55)*('Season 1 - MatchHistory'!$G:$G&lt;&gt;""),0))</f>
        <v>24.44399036</v>
      </c>
      <c r="J55" s="103">
        <f t="array" ref="J55">INDEX('Season 1 - MatchHistory'!$H:$H,MATCH(1,('Season 1 - MatchHistory'!$B:$B=$A55)*('Season 1 - MatchHistory'!$H:$H&lt;&gt;""),0))</f>
        <v>8.159464697</v>
      </c>
      <c r="K55" s="104">
        <f t="array" ref="K55">INDEX('Season 1 - MatchHistory'!$J:$J,MATCH(1,('Season 1 - MatchHistory'!$B:$B=$A55)*('Season 1 - MatchHistory'!$J:$J&lt;&gt;""),0))</f>
        <v>830</v>
      </c>
    </row>
    <row r="56" ht="22.5" customHeight="1">
      <c r="A56" s="101" t="s">
        <v>22</v>
      </c>
      <c r="B56" s="101">
        <f>COUNTIFS('Season 1 - MatchHistory'!$B:$B, $A56, 'Season 1 - MatchHistory'!$C:$C, "Town")</f>
        <v>1</v>
      </c>
      <c r="C56" s="101">
        <f>COUNTIFS('Season 1 - MatchHistory'!B:B, A56, 'Season 1 - MatchHistory'!C:C, "Town", 'Season 1 - MatchHistory'!D:D, "Win")</f>
        <v>1</v>
      </c>
      <c r="D56" s="102">
        <f>IFERROR(__xludf.DUMMYFUNCTION("IF(EQ($B56, 0), TO_PERCENT(0), TO_PERCENT($C56/$B56))"),1.0)</f>
        <v>1</v>
      </c>
      <c r="E56" s="101">
        <f>COUNTIFS('Season 1 - MatchHistory'!$B:$B, $A56, 'Season 1 - MatchHistory'!$C:$C, "Mafia")</f>
        <v>1</v>
      </c>
      <c r="F56" s="101">
        <f>COUNTIFS('Season 1 - MatchHistory'!$B:$B, $A56, 'Season 1 - MatchHistory'!$C:$C, "Mafia", 'Season 1 - MatchHistory'!$D:$D, "Win")</f>
        <v>0</v>
      </c>
      <c r="G56" s="102">
        <f>IFERROR(__xludf.DUMMYFUNCTION("TO_PERCENT(IFERROR($F56/$E56, 0))"),0.0)</f>
        <v>0</v>
      </c>
      <c r="H56" s="102">
        <f>IFERROR(__xludf.DUMMYFUNCTION("TO_PERCENT(IFERROR(($F56+$C56)/($E56+$B56), 0))"),0.5)</f>
        <v>0.5</v>
      </c>
      <c r="I56" s="103">
        <f t="array" ref="I56">INDEX('Season 1 - MatchHistory'!$G:$G,MATCH(1,('Season 1 - MatchHistory'!$B:$B=$A56)*('Season 1 - MatchHistory'!$G:$G&lt;&gt;""),0))</f>
        <v>24.46680437</v>
      </c>
      <c r="J56" s="103">
        <f t="array" ref="J56">INDEX('Season 1 - MatchHistory'!$H:$H,MATCH(1,('Season 1 - MatchHistory'!$B:$B=$A56)*('Season 1 - MatchHistory'!$H:$H&lt;&gt;""),0))</f>
        <v>8.214889072</v>
      </c>
      <c r="K56" s="104">
        <f t="array" ref="K56">INDEX('Season 1 - MatchHistory'!$J:$J,MATCH(1,('Season 1 - MatchHistory'!$B:$B=$A56)*('Season 1 - MatchHistory'!$J:$J&lt;&gt;""),0))</f>
        <v>826</v>
      </c>
    </row>
    <row r="57" ht="22.5" customHeight="1">
      <c r="A57" s="101" t="s">
        <v>88</v>
      </c>
      <c r="B57" s="101">
        <f>COUNTIFS('Season 1 - MatchHistory'!$B:$B, $A57, 'Season 1 - MatchHistory'!$C:$C, "Town")</f>
        <v>1</v>
      </c>
      <c r="C57" s="101">
        <f>COUNTIFS('Season 1 - MatchHistory'!B:B, A57, 'Season 1 - MatchHistory'!C:C, "Town", 'Season 1 - MatchHistory'!D:D, "Win")</f>
        <v>0</v>
      </c>
      <c r="D57" s="102">
        <f>IFERROR(__xludf.DUMMYFUNCTION("IF(EQ($B57, 0), TO_PERCENT(0), TO_PERCENT($C57/$B57))"),0.0)</f>
        <v>0</v>
      </c>
      <c r="E57" s="101">
        <f>COUNTIFS('Season 1 - MatchHistory'!$B:$B, $A57, 'Season 1 - MatchHistory'!$C:$C, "Mafia")</f>
        <v>0</v>
      </c>
      <c r="F57" s="101">
        <f>COUNTIFS('Season 1 - MatchHistory'!$B:$B, $A57, 'Season 1 - MatchHistory'!$C:$C, "Mafia", 'Season 1 - MatchHistory'!$D:$D, "Win")</f>
        <v>0</v>
      </c>
      <c r="G57" s="102">
        <f>IFERROR(__xludf.DUMMYFUNCTION("TO_PERCENT(IFERROR($F57/$E57, 0))"),0.0)</f>
        <v>0</v>
      </c>
      <c r="H57" s="102">
        <f>IFERROR(__xludf.DUMMYFUNCTION("TO_PERCENT(IFERROR(($F57+$C57)/($E57+$B57), 0))"),0.0)</f>
        <v>0</v>
      </c>
      <c r="I57" s="103">
        <f t="array" ref="I57">INDEX('Season 1 - MatchHistory'!$G:$G,MATCH(1,('Season 1 - MatchHistory'!$B:$B=$A57)*('Season 1 - MatchHistory'!$G:$G&lt;&gt;""),0))</f>
        <v>24.55754484</v>
      </c>
      <c r="J57" s="103">
        <f t="array" ref="J57">INDEX('Season 1 - MatchHistory'!$H:$H,MATCH(1,('Season 1 - MatchHistory'!$B:$B=$A57)*('Season 1 - MatchHistory'!$H:$H&lt;&gt;""),0))</f>
        <v>8.294940473</v>
      </c>
      <c r="K57" s="104">
        <f t="array" ref="K57">INDEX('Season 1 - MatchHistory'!$J:$J,MATCH(1,('Season 1 - MatchHistory'!$B:$B=$A57)*('Season 1 - MatchHistory'!$J:$J&lt;&gt;""),0))</f>
        <v>824</v>
      </c>
    </row>
    <row r="58" ht="22.5" customHeight="1">
      <c r="A58" s="101" t="s">
        <v>164</v>
      </c>
      <c r="B58" s="101">
        <f>COUNTIFS('Season 1 - MatchHistory'!$B:$B, $A58, 'Season 1 - MatchHistory'!$C:$C, "Town")</f>
        <v>1</v>
      </c>
      <c r="C58" s="101">
        <f>COUNTIFS('Season 1 - MatchHistory'!B:B, A58, 'Season 1 - MatchHistory'!C:C, "Town", 'Season 1 - MatchHistory'!D:D, "Win")</f>
        <v>0</v>
      </c>
      <c r="D58" s="102">
        <f>IFERROR(__xludf.DUMMYFUNCTION("IF(EQ($B58, 0), TO_PERCENT(0), TO_PERCENT($C58/$B58))"),0.0)</f>
        <v>0</v>
      </c>
      <c r="E58" s="101">
        <f>COUNTIFS('Season 1 - MatchHistory'!$B:$B, $A58, 'Season 1 - MatchHistory'!$C:$C, "Mafia")</f>
        <v>0</v>
      </c>
      <c r="F58" s="101">
        <f>COUNTIFS('Season 1 - MatchHistory'!$B:$B, $A58, 'Season 1 - MatchHistory'!$C:$C, "Mafia", 'Season 1 - MatchHistory'!$D:$D, "Win")</f>
        <v>0</v>
      </c>
      <c r="G58" s="102">
        <f>IFERROR(__xludf.DUMMYFUNCTION("TO_PERCENT(IFERROR($F58/$E58, 0))"),0.0)</f>
        <v>0</v>
      </c>
      <c r="H58" s="102">
        <f>IFERROR(__xludf.DUMMYFUNCTION("TO_PERCENT(IFERROR(($F58+$C58)/($E58+$B58), 0))"),0.0)</f>
        <v>0</v>
      </c>
      <c r="I58" s="103">
        <f t="array" ref="I58">INDEX('Season 1 - MatchHistory'!$G:$G,MATCH(1,('Season 1 - MatchHistory'!$B:$B=$A58)*('Season 1 - MatchHistory'!$G:$G&lt;&gt;""),0))</f>
        <v>24.49054266</v>
      </c>
      <c r="J58" s="103">
        <f t="array" ref="J58">INDEX('Season 1 - MatchHistory'!$H:$H,MATCH(1,('Season 1 - MatchHistory'!$B:$B=$A58)*('Season 1 - MatchHistory'!$H:$H&lt;&gt;""),0))</f>
        <v>8.29147077</v>
      </c>
      <c r="K58" s="104">
        <f t="array" ref="K58">INDEX('Season 1 - MatchHistory'!$J:$J,MATCH(1,('Season 1 - MatchHistory'!$B:$B=$A58)*('Season 1 - MatchHistory'!$J:$J&lt;&gt;""),0))</f>
        <v>820</v>
      </c>
    </row>
    <row r="59" ht="22.5" customHeight="1">
      <c r="A59" s="101" t="s">
        <v>85</v>
      </c>
      <c r="B59" s="101">
        <f>COUNTIFS('Season 1 - MatchHistory'!$B:$B, $A59, 'Season 1 - MatchHistory'!$C:$C, "Town")</f>
        <v>2</v>
      </c>
      <c r="C59" s="101">
        <f>COUNTIFS('Season 1 - MatchHistory'!B:B, A59, 'Season 1 - MatchHistory'!C:C, "Town", 'Season 1 - MatchHistory'!D:D, "Win")</f>
        <v>1</v>
      </c>
      <c r="D59" s="102">
        <f>IFERROR(__xludf.DUMMYFUNCTION("IF(EQ($B59, 0), TO_PERCENT(0), TO_PERCENT($C59/$B59))"),0.5)</f>
        <v>0.5</v>
      </c>
      <c r="E59" s="101">
        <f>COUNTIFS('Season 1 - MatchHistory'!$B:$B, $A59, 'Season 1 - MatchHistory'!$C:$C, "Mafia")</f>
        <v>1</v>
      </c>
      <c r="F59" s="101">
        <f>COUNTIFS('Season 1 - MatchHistory'!$B:$B, $A59, 'Season 1 - MatchHistory'!$C:$C, "Mafia", 'Season 1 - MatchHistory'!$D:$D, "Win")</f>
        <v>0</v>
      </c>
      <c r="G59" s="102">
        <f>IFERROR(__xludf.DUMMYFUNCTION("TO_PERCENT(IFERROR($F59/$E59, 0))"),0.0)</f>
        <v>0</v>
      </c>
      <c r="H59" s="102">
        <f>IFERROR(__xludf.DUMMYFUNCTION("TO_PERCENT(IFERROR(($F59+$C59)/($E59+$B59), 0))"),0.3333333333333333)</f>
        <v>0.3333333333</v>
      </c>
      <c r="I59" s="103">
        <f t="array" ref="I59">INDEX('Season 1 - MatchHistory'!$G:$G,MATCH(1,('Season 1 - MatchHistory'!$B:$B=$A59)*('Season 1 - MatchHistory'!$G:$G&lt;&gt;""),0))</f>
        <v>24.22659636</v>
      </c>
      <c r="J59" s="103">
        <f t="array" ref="J59">INDEX('Season 1 - MatchHistory'!$H:$H,MATCH(1,('Season 1 - MatchHistory'!$B:$B=$A59)*('Season 1 - MatchHistory'!$H:$H&lt;&gt;""),0))</f>
        <v>8.150599857</v>
      </c>
      <c r="K59" s="104">
        <f t="array" ref="K59">INDEX('Season 1 - MatchHistory'!$J:$J,MATCH(1,('Season 1 - MatchHistory'!$B:$B=$A59)*('Season 1 - MatchHistory'!$J:$J&lt;&gt;""),0))</f>
        <v>816</v>
      </c>
    </row>
    <row r="60" ht="22.5" customHeight="1">
      <c r="A60" s="101" t="s">
        <v>118</v>
      </c>
      <c r="B60" s="101">
        <f>COUNTIFS('Season 1 - MatchHistory'!$B:$B, $A60, 'Season 1 - MatchHistory'!$C:$C, "Town")</f>
        <v>1</v>
      </c>
      <c r="C60" s="101">
        <f>COUNTIFS('Season 1 - MatchHistory'!B:B, A60, 'Season 1 - MatchHistory'!C:C, "Town", 'Season 1 - MatchHistory'!D:D, "Win")</f>
        <v>0</v>
      </c>
      <c r="D60" s="102">
        <f>IFERROR(__xludf.DUMMYFUNCTION("IF(EQ($B60, 0), TO_PERCENT(0), TO_PERCENT($C60/$B60))"),0.0)</f>
        <v>0</v>
      </c>
      <c r="E60" s="101">
        <f>COUNTIFS('Season 1 - MatchHistory'!$B:$B, $A60, 'Season 1 - MatchHistory'!$C:$C, "Mafia")</f>
        <v>0</v>
      </c>
      <c r="F60" s="101">
        <f>COUNTIFS('Season 1 - MatchHistory'!$B:$B, $A60, 'Season 1 - MatchHistory'!$C:$C, "Mafia", 'Season 1 - MatchHistory'!$D:$D, "Win")</f>
        <v>0</v>
      </c>
      <c r="G60" s="102">
        <f>IFERROR(__xludf.DUMMYFUNCTION("TO_PERCENT(IFERROR($F60/$E60, 0))"),0.0)</f>
        <v>0</v>
      </c>
      <c r="H60" s="102">
        <f>IFERROR(__xludf.DUMMYFUNCTION("TO_PERCENT(IFERROR(($F60+$C60)/($E60+$B60), 0))"),0.0)</f>
        <v>0</v>
      </c>
      <c r="I60" s="103">
        <f t="array" ref="I60">INDEX('Season 1 - MatchHistory'!$G:$G,MATCH(1,('Season 1 - MatchHistory'!$B:$B=$A60)*('Season 1 - MatchHistory'!$G:$G&lt;&gt;""),0))</f>
        <v>24.43641048</v>
      </c>
      <c r="J60" s="103">
        <f t="array" ref="J60">INDEX('Season 1 - MatchHistory'!$H:$H,MATCH(1,('Season 1 - MatchHistory'!$B:$B=$A60)*('Season 1 - MatchHistory'!$H:$H&lt;&gt;""),0))</f>
        <v>8.291432744</v>
      </c>
      <c r="K60" s="104">
        <f t="array" ref="K60">INDEX('Season 1 - MatchHistory'!$J:$J,MATCH(1,('Season 1 - MatchHistory'!$B:$B=$A60)*('Season 1 - MatchHistory'!$J:$J&lt;&gt;""),0))</f>
        <v>816</v>
      </c>
    </row>
    <row r="61" ht="22.5" customHeight="1">
      <c r="A61" s="101" t="s">
        <v>165</v>
      </c>
      <c r="B61" s="101">
        <f>COUNTIFS('Season 1 - MatchHistory'!$B:$B, $A61, 'Season 1 - MatchHistory'!$C:$C, "Town")</f>
        <v>1</v>
      </c>
      <c r="C61" s="101">
        <f>COUNTIFS('Season 1 - MatchHistory'!B:B, A61, 'Season 1 - MatchHistory'!C:C, "Town", 'Season 1 - MatchHistory'!D:D, "Win")</f>
        <v>0</v>
      </c>
      <c r="D61" s="102">
        <f>IFERROR(__xludf.DUMMYFUNCTION("IF(EQ($B61, 0), TO_PERCENT(0), TO_PERCENT($C61/$B61))"),0.0)</f>
        <v>0</v>
      </c>
      <c r="E61" s="101">
        <f>COUNTIFS('Season 1 - MatchHistory'!$B:$B, $A61, 'Season 1 - MatchHistory'!$C:$C, "Mafia")</f>
        <v>0</v>
      </c>
      <c r="F61" s="101">
        <f>COUNTIFS('Season 1 - MatchHistory'!$B:$B, $A61, 'Season 1 - MatchHistory'!$C:$C, "Mafia", 'Season 1 - MatchHistory'!$D:$D, "Win")</f>
        <v>0</v>
      </c>
      <c r="G61" s="102">
        <f>IFERROR(__xludf.DUMMYFUNCTION("TO_PERCENT(IFERROR($F61/$E61, 0))"),0.0)</f>
        <v>0</v>
      </c>
      <c r="H61" s="102">
        <f>IFERROR(__xludf.DUMMYFUNCTION("TO_PERCENT(IFERROR(($F61+$C61)/($E61+$B61), 0))"),0.0)</f>
        <v>0</v>
      </c>
      <c r="I61" s="103">
        <f t="array" ref="I61">INDEX('Season 1 - MatchHistory'!$G:$G,MATCH(1,('Season 1 - MatchHistory'!$B:$B=$A61)*('Season 1 - MatchHistory'!$G:$G&lt;&gt;""),0))</f>
        <v>24.41763155</v>
      </c>
      <c r="J61" s="103">
        <f t="array" ref="J61">INDEX('Season 1 - MatchHistory'!$H:$H,MATCH(1,('Season 1 - MatchHistory'!$B:$B=$A61)*('Season 1 - MatchHistory'!$H:$H&lt;&gt;""),0))</f>
        <v>8.288468014</v>
      </c>
      <c r="K61" s="104">
        <f t="array" ref="K61">INDEX('Season 1 - MatchHistory'!$J:$J,MATCH(1,('Season 1 - MatchHistory'!$B:$B=$A61)*('Season 1 - MatchHistory'!$J:$J&lt;&gt;""),0))</f>
        <v>815</v>
      </c>
    </row>
    <row r="62" ht="22.5" customHeight="1">
      <c r="A62" s="101" t="s">
        <v>109</v>
      </c>
      <c r="B62" s="101">
        <f>COUNTIFS('Season 1 - MatchHistory'!$B:$B, $A62, 'Season 1 - MatchHistory'!$C:$C, "Town")</f>
        <v>1</v>
      </c>
      <c r="C62" s="101">
        <f>COUNTIFS('Season 1 - MatchHistory'!B:B, A62, 'Season 1 - MatchHistory'!C:C, "Town", 'Season 1 - MatchHistory'!D:D, "Win")</f>
        <v>0</v>
      </c>
      <c r="D62" s="102">
        <f>IFERROR(__xludf.DUMMYFUNCTION("IF(EQ($B62, 0), TO_PERCENT(0), TO_PERCENT($C62/$B62))"),0.0)</f>
        <v>0</v>
      </c>
      <c r="E62" s="101">
        <f>COUNTIFS('Season 1 - MatchHistory'!$B:$B, $A62, 'Season 1 - MatchHistory'!$C:$C, "Mafia")</f>
        <v>0</v>
      </c>
      <c r="F62" s="101">
        <f>COUNTIFS('Season 1 - MatchHistory'!$B:$B, $A62, 'Season 1 - MatchHistory'!$C:$C, "Mafia", 'Season 1 - MatchHistory'!$D:$D, "Win")</f>
        <v>0</v>
      </c>
      <c r="G62" s="102">
        <f>IFERROR(__xludf.DUMMYFUNCTION("TO_PERCENT(IFERROR($F62/$E62, 0))"),0.0)</f>
        <v>0</v>
      </c>
      <c r="H62" s="102">
        <f>IFERROR(__xludf.DUMMYFUNCTION("TO_PERCENT(IFERROR(($F62+$C62)/($E62+$B62), 0))"),0.0)</f>
        <v>0</v>
      </c>
      <c r="I62" s="103">
        <f t="array" ref="I62">INDEX('Season 1 - MatchHistory'!$G:$G,MATCH(1,('Season 1 - MatchHistory'!$B:$B=$A62)*('Season 1 - MatchHistory'!$G:$G&lt;&gt;""),0))</f>
        <v>24.40795603</v>
      </c>
      <c r="J62" s="103">
        <f t="array" ref="J62">INDEX('Season 1 - MatchHistory'!$H:$H,MATCH(1,('Season 1 - MatchHistory'!$B:$B=$A62)*('Season 1 - MatchHistory'!$H:$H&lt;&gt;""),0))</f>
        <v>8.28716973</v>
      </c>
      <c r="K62" s="104">
        <f t="array" ref="K62">INDEX('Season 1 - MatchHistory'!$J:$J,MATCH(1,('Season 1 - MatchHistory'!$B:$B=$A62)*('Season 1 - MatchHistory'!$J:$J&lt;&gt;""),0))</f>
        <v>814</v>
      </c>
    </row>
    <row r="63" ht="22.5" customHeight="1">
      <c r="A63" s="101" t="s">
        <v>166</v>
      </c>
      <c r="B63" s="101">
        <f>COUNTIFS('Season 1 - MatchHistory'!$B:$B, $A63, 'Season 1 - MatchHistory'!$C:$C, "Town")</f>
        <v>1</v>
      </c>
      <c r="C63" s="101">
        <f>COUNTIFS('Season 1 - MatchHistory'!B:B, A63, 'Season 1 - MatchHistory'!C:C, "Town", 'Season 1 - MatchHistory'!D:D, "Win")</f>
        <v>0</v>
      </c>
      <c r="D63" s="102">
        <f>IFERROR(__xludf.DUMMYFUNCTION("IF(EQ($B63, 0), TO_PERCENT(0), TO_PERCENT($C63/$B63))"),0.0)</f>
        <v>0</v>
      </c>
      <c r="E63" s="101">
        <f>COUNTIFS('Season 1 - MatchHistory'!$B:$B, $A63, 'Season 1 - MatchHistory'!$C:$C, "Mafia")</f>
        <v>0</v>
      </c>
      <c r="F63" s="101">
        <f>COUNTIFS('Season 1 - MatchHistory'!$B:$B, $A63, 'Season 1 - MatchHistory'!$C:$C, "Mafia", 'Season 1 - MatchHistory'!$D:$D, "Win")</f>
        <v>0</v>
      </c>
      <c r="G63" s="102">
        <f>IFERROR(__xludf.DUMMYFUNCTION("TO_PERCENT(IFERROR($F63/$E63, 0))"),0.0)</f>
        <v>0</v>
      </c>
      <c r="H63" s="102">
        <f>IFERROR(__xludf.DUMMYFUNCTION("TO_PERCENT(IFERROR(($F63+$C63)/($E63+$B63), 0))"),0.0)</f>
        <v>0</v>
      </c>
      <c r="I63" s="103">
        <f t="array" ref="I63">INDEX('Season 1 - MatchHistory'!$G:$G,MATCH(1,('Season 1 - MatchHistory'!$B:$B=$A63)*('Season 1 - MatchHistory'!$G:$G&lt;&gt;""),0))</f>
        <v>24.40795603</v>
      </c>
      <c r="J63" s="103">
        <f t="array" ref="J63">INDEX('Season 1 - MatchHistory'!$H:$H,MATCH(1,('Season 1 - MatchHistory'!$B:$B=$A63)*('Season 1 - MatchHistory'!$H:$H&lt;&gt;""),0))</f>
        <v>8.28716973</v>
      </c>
      <c r="K63" s="104">
        <f t="array" ref="K63">INDEX('Season 1 - MatchHistory'!$J:$J,MATCH(1,('Season 1 - MatchHistory'!$B:$B=$A63)*('Season 1 - MatchHistory'!$J:$J&lt;&gt;""),0))</f>
        <v>814</v>
      </c>
    </row>
    <row r="64" ht="22.5" customHeight="1">
      <c r="A64" s="101" t="s">
        <v>167</v>
      </c>
      <c r="B64" s="101">
        <f>COUNTIFS('Season 1 - MatchHistory'!$B:$B, $A64, 'Season 1 - MatchHistory'!$C:$C, "Town")</f>
        <v>1</v>
      </c>
      <c r="C64" s="101">
        <f>COUNTIFS('Season 1 - MatchHistory'!B:B, A64, 'Season 1 - MatchHistory'!C:C, "Town", 'Season 1 - MatchHistory'!D:D, "Win")</f>
        <v>0</v>
      </c>
      <c r="D64" s="102">
        <f>IFERROR(__xludf.DUMMYFUNCTION("IF(EQ($B64, 0), TO_PERCENT(0), TO_PERCENT($C64/$B64))"),0.0)</f>
        <v>0</v>
      </c>
      <c r="E64" s="101">
        <f>COUNTIFS('Season 1 - MatchHistory'!$B:$B, $A64, 'Season 1 - MatchHistory'!$C:$C, "Mafia")</f>
        <v>0</v>
      </c>
      <c r="F64" s="101">
        <f>COUNTIFS('Season 1 - MatchHistory'!$B:$B, $A64, 'Season 1 - MatchHistory'!$C:$C, "Mafia", 'Season 1 - MatchHistory'!$D:$D, "Win")</f>
        <v>0</v>
      </c>
      <c r="G64" s="102">
        <f>IFERROR(__xludf.DUMMYFUNCTION("TO_PERCENT(IFERROR($F64/$E64, 0))"),0.0)</f>
        <v>0</v>
      </c>
      <c r="H64" s="102">
        <f>IFERROR(__xludf.DUMMYFUNCTION("TO_PERCENT(IFERROR(($F64+$C64)/($E64+$B64), 0))"),0.0)</f>
        <v>0</v>
      </c>
      <c r="I64" s="103">
        <f t="array" ref="I64">INDEX('Season 1 - MatchHistory'!$G:$G,MATCH(1,('Season 1 - MatchHistory'!$B:$B=$A64)*('Season 1 - MatchHistory'!$G:$G&lt;&gt;""),0))</f>
        <v>24.40795603</v>
      </c>
      <c r="J64" s="103">
        <f t="array" ref="J64">INDEX('Season 1 - MatchHistory'!$H:$H,MATCH(1,('Season 1 - MatchHistory'!$B:$B=$A64)*('Season 1 - MatchHistory'!$H:$H&lt;&gt;""),0))</f>
        <v>8.28716973</v>
      </c>
      <c r="K64" s="104">
        <f t="array" ref="K64">INDEX('Season 1 - MatchHistory'!$J:$J,MATCH(1,('Season 1 - MatchHistory'!$B:$B=$A64)*('Season 1 - MatchHistory'!$J:$J&lt;&gt;""),0))</f>
        <v>814</v>
      </c>
    </row>
    <row r="65" ht="22.5" customHeight="1">
      <c r="A65" s="101" t="s">
        <v>168</v>
      </c>
      <c r="B65" s="101">
        <f>COUNTIFS('Season 1 - MatchHistory'!$B:$B, $A65, 'Season 1 - MatchHistory'!$C:$C, "Town")</f>
        <v>1</v>
      </c>
      <c r="C65" s="101">
        <f>COUNTIFS('Season 1 - MatchHistory'!B:B, A65, 'Season 1 - MatchHistory'!C:C, "Town", 'Season 1 - MatchHistory'!D:D, "Win")</f>
        <v>0</v>
      </c>
      <c r="D65" s="102">
        <f>IFERROR(__xludf.DUMMYFUNCTION("TO_PERCENT(IFERROR($C65/$B65, 0))"),0.0)</f>
        <v>0</v>
      </c>
      <c r="E65" s="101">
        <f>COUNTIFS('Season 1 - MatchHistory'!$B:$B, $A65, 'Season 1 - MatchHistory'!$C:$C, "Mafia")</f>
        <v>0</v>
      </c>
      <c r="F65" s="101">
        <f>COUNTIFS('Season 1 - MatchHistory'!$B:$B, $A65, 'Season 1 - MatchHistory'!$C:$C, "Mafia", 'Season 1 - MatchHistory'!$D:$D, "Win")</f>
        <v>0</v>
      </c>
      <c r="G65" s="102">
        <f>IFERROR(__xludf.DUMMYFUNCTION("TO_PERCENT(IFERROR($F65/$E65, 0))"),0.0)</f>
        <v>0</v>
      </c>
      <c r="H65" s="102">
        <f>IFERROR(__xludf.DUMMYFUNCTION("TO_PERCENT(IFERROR(($F65+$C65)/($E65+$B65), 0))"),0.0)</f>
        <v>0</v>
      </c>
      <c r="I65" s="103">
        <f t="array" ref="I65">INDEX('Season 1 - MatchHistory'!$G:$G,MATCH(1,('Season 1 - MatchHistory'!$B:$B=$A65)*('Season 1 - MatchHistory'!$G:$G&lt;&gt;""),0))</f>
        <v>24.39282005</v>
      </c>
      <c r="J65" s="103">
        <f t="array" ref="J65">INDEX('Season 1 - MatchHistory'!$H:$H,MATCH(1,('Season 1 - MatchHistory'!$B:$B=$A65)*('Season 1 - MatchHistory'!$H:$H&lt;&gt;""),0))</f>
        <v>8.286513931</v>
      </c>
      <c r="K65" s="104">
        <f t="array" ref="K65">INDEX('Season 1 - MatchHistory'!$J:$J,MATCH(1,('Season 1 - MatchHistory'!$B:$B=$A65)*('Season 1 - MatchHistory'!$J:$J&lt;&gt;""),0))</f>
        <v>813</v>
      </c>
    </row>
    <row r="66" ht="22.5" customHeight="1">
      <c r="A66" s="101" t="s">
        <v>169</v>
      </c>
      <c r="B66" s="101">
        <f>COUNTIFS('Season 1 - MatchHistory'!$B:$B, $A66, 'Season 1 - MatchHistory'!$C:$C, "Town")</f>
        <v>1</v>
      </c>
      <c r="C66" s="101">
        <f>COUNTIFS('Season 1 - MatchHistory'!B:B, A66, 'Season 1 - MatchHistory'!C:C, "Town", 'Season 1 - MatchHistory'!D:D, "Win")</f>
        <v>0</v>
      </c>
      <c r="D66" s="102">
        <f>IFERROR(__xludf.DUMMYFUNCTION("IF(EQ($B66, 0), TO_PERCENT(0), TO_PERCENT($C66/$B66))"),0.0)</f>
        <v>0</v>
      </c>
      <c r="E66" s="101">
        <f>COUNTIFS('Season 1 - MatchHistory'!$B:$B, $A66, 'Season 1 - MatchHistory'!$C:$C, "Mafia")</f>
        <v>0</v>
      </c>
      <c r="F66" s="101">
        <f>COUNTIFS('Season 1 - MatchHistory'!$B:$B, $A66, 'Season 1 - MatchHistory'!$C:$C, "Mafia", 'Season 1 - MatchHistory'!$D:$D, "Win")</f>
        <v>0</v>
      </c>
      <c r="G66" s="102">
        <f>IFERROR(__xludf.DUMMYFUNCTION("TO_PERCENT(IFERROR($F66/$E66, 0))"),0.0)</f>
        <v>0</v>
      </c>
      <c r="H66" s="102">
        <f>IFERROR(__xludf.DUMMYFUNCTION("TO_PERCENT(IFERROR(($F66+$C66)/($E66+$B66), 0))"),0.0)</f>
        <v>0</v>
      </c>
      <c r="I66" s="103">
        <f t="array" ref="I66">INDEX('Season 1 - MatchHistory'!$G:$G,MATCH(1,('Season 1 - MatchHistory'!$B:$B=$A66)*('Season 1 - MatchHistory'!$G:$G&lt;&gt;""),0))</f>
        <v>24.28940396</v>
      </c>
      <c r="J66" s="103">
        <f t="array" ref="J66">INDEX('Season 1 - MatchHistory'!$H:$H,MATCH(1,('Season 1 - MatchHistory'!$B:$B=$A66)*('Season 1 - MatchHistory'!$H:$H&lt;&gt;""),0))</f>
        <v>8.287159797</v>
      </c>
      <c r="K66" s="104">
        <f t="array" ref="K66">INDEX('Season 1 - MatchHistory'!$J:$J,MATCH(1,('Season 1 - MatchHistory'!$B:$B=$A66)*('Season 1 - MatchHistory'!$J:$J&lt;&gt;""),0))</f>
        <v>806</v>
      </c>
    </row>
    <row r="67" ht="22.5" customHeight="1">
      <c r="A67" s="101" t="s">
        <v>170</v>
      </c>
      <c r="B67" s="101">
        <f>COUNTIFS('Season 1 - MatchHistory'!$B:$B, $A67, 'Season 1 - MatchHistory'!$C:$C, "Town")</f>
        <v>1</v>
      </c>
      <c r="C67" s="101">
        <f>COUNTIFS('Season 1 - MatchHistory'!B:B, A67, 'Season 1 - MatchHistory'!C:C, "Town", 'Season 1 - MatchHistory'!D:D, "Win")</f>
        <v>0</v>
      </c>
      <c r="D67" s="102">
        <f>IFERROR(__xludf.DUMMYFUNCTION("IF(EQ($B67, 0), TO_PERCENT(0), TO_PERCENT($C67/$B67))"),0.0)</f>
        <v>0</v>
      </c>
      <c r="E67" s="101">
        <f>COUNTIFS('Season 1 - MatchHistory'!$B:$B, $A67, 'Season 1 - MatchHistory'!$C:$C, "Mafia")</f>
        <v>0</v>
      </c>
      <c r="F67" s="101">
        <f>COUNTIFS('Season 1 - MatchHistory'!$B:$B, $A67, 'Season 1 - MatchHistory'!$C:$C, "Mafia", 'Season 1 - MatchHistory'!$D:$D, "Win")</f>
        <v>0</v>
      </c>
      <c r="G67" s="102">
        <f>IFERROR(__xludf.DUMMYFUNCTION("TO_PERCENT(IFERROR($F67/$E67, 0))"),0.0)</f>
        <v>0</v>
      </c>
      <c r="H67" s="102">
        <f>IFERROR(__xludf.DUMMYFUNCTION("TO_PERCENT(IFERROR(($F67+$C67)/($E67+$B67), 0))"),0.0)</f>
        <v>0</v>
      </c>
      <c r="I67" s="103">
        <f t="array" ref="I67">INDEX('Season 1 - MatchHistory'!$G:$G,MATCH(1,('Season 1 - MatchHistory'!$B:$B=$A67)*('Season 1 - MatchHistory'!$G:$G&lt;&gt;""),0))</f>
        <v>24.27667909</v>
      </c>
      <c r="J67" s="103">
        <f t="array" ref="J67">INDEX('Season 1 - MatchHistory'!$H:$H,MATCH(1,('Season 1 - MatchHistory'!$B:$B=$A67)*('Season 1 - MatchHistory'!$H:$H&lt;&gt;""),0))</f>
        <v>8.282311131</v>
      </c>
      <c r="K67" s="104">
        <f t="array" ref="K67">INDEX('Season 1 - MatchHistory'!$J:$J,MATCH(1,('Season 1 - MatchHistory'!$B:$B=$A67)*('Season 1 - MatchHistory'!$J:$J&lt;&gt;""),0))</f>
        <v>806</v>
      </c>
    </row>
    <row r="68" ht="22.5" customHeight="1">
      <c r="A68" s="101" t="s">
        <v>89</v>
      </c>
      <c r="B68" s="101">
        <f>COUNTIFS('Season 1 - MatchHistory'!$B:$B, $A68, 'Season 1 - MatchHistory'!$C:$C, "Town")</f>
        <v>1</v>
      </c>
      <c r="C68" s="101">
        <f>COUNTIFS('Season 1 - MatchHistory'!B:B, A68, 'Season 1 - MatchHistory'!C:C, "Town", 'Season 1 - MatchHistory'!D:D, "Win")</f>
        <v>1</v>
      </c>
      <c r="D68" s="102">
        <f>IFERROR(__xludf.DUMMYFUNCTION("IF(EQ($B68, 0), TO_PERCENT(0), TO_PERCENT($C68/$B68))"),1.0)</f>
        <v>1</v>
      </c>
      <c r="E68" s="101">
        <f>COUNTIFS('Season 1 - MatchHistory'!$B:$B, $A68, 'Season 1 - MatchHistory'!$C:$C, "Mafia")</f>
        <v>2</v>
      </c>
      <c r="F68" s="101">
        <f>COUNTIFS('Season 1 - MatchHistory'!$B:$B, $A68, 'Season 1 - MatchHistory'!$C:$C, "Mafia", 'Season 1 - MatchHistory'!$D:$D, "Win")</f>
        <v>0</v>
      </c>
      <c r="G68" s="102">
        <f>IFERROR(__xludf.DUMMYFUNCTION("TO_PERCENT(IFERROR($F68/$E68, 0))"),0.0)</f>
        <v>0</v>
      </c>
      <c r="H68" s="102">
        <f>IFERROR(__xludf.DUMMYFUNCTION("TO_PERCENT(IFERROR(($F68+$C68)/($E68+$B68), 0))"),0.3333333333333333)</f>
        <v>0.3333333333</v>
      </c>
      <c r="I68" s="103">
        <f t="array" ref="I68">INDEX('Season 1 - MatchHistory'!$G:$G,MATCH(1,('Season 1 - MatchHistory'!$B:$B=$A68)*('Season 1 - MatchHistory'!$G:$G&lt;&gt;""),0))</f>
        <v>23.99371297</v>
      </c>
      <c r="J68" s="103">
        <f t="array" ref="J68">INDEX('Season 1 - MatchHistory'!$H:$H,MATCH(1,('Season 1 - MatchHistory'!$B:$B=$A68)*('Season 1 - MatchHistory'!$H:$H&lt;&gt;""),0))</f>
        <v>8.131502214</v>
      </c>
      <c r="K68" s="104">
        <f t="array" ref="K68">INDEX('Season 1 - MatchHistory'!$J:$J,MATCH(1,('Season 1 - MatchHistory'!$B:$B=$A68)*('Season 1 - MatchHistory'!$J:$J&lt;&gt;""),0))</f>
        <v>802</v>
      </c>
    </row>
    <row r="69" ht="22.5" customHeight="1">
      <c r="A69" s="101" t="s">
        <v>171</v>
      </c>
      <c r="B69" s="101">
        <f>COUNTIFS('Season 1 - MatchHistory'!$B:$B, $A69, 'Season 1 - MatchHistory'!$C:$C, "Town")</f>
        <v>1</v>
      </c>
      <c r="C69" s="101">
        <f>COUNTIFS('Season 1 - MatchHistory'!B:B, A69, 'Season 1 - MatchHistory'!C:C, "Town", 'Season 1 - MatchHistory'!D:D, "Win")</f>
        <v>0</v>
      </c>
      <c r="D69" s="102">
        <f>IFERROR(__xludf.DUMMYFUNCTION("IF(EQ($B69, 0), TO_PERCENT(0), TO_PERCENT($C69/$B69))"),0.0)</f>
        <v>0</v>
      </c>
      <c r="E69" s="101">
        <f>COUNTIFS('Season 1 - MatchHistory'!$B:$B, $A69, 'Season 1 - MatchHistory'!$C:$C, "Mafia")</f>
        <v>0</v>
      </c>
      <c r="F69" s="101">
        <f>COUNTIFS('Season 1 - MatchHistory'!$B:$B, $A69, 'Season 1 - MatchHistory'!$C:$C, "Mafia", 'Season 1 - MatchHistory'!$D:$D, "Win")</f>
        <v>0</v>
      </c>
      <c r="G69" s="102">
        <f>IFERROR(__xludf.DUMMYFUNCTION("TO_PERCENT(IFERROR($F69/$E69, 0))"),0.0)</f>
        <v>0</v>
      </c>
      <c r="H69" s="102">
        <f>IFERROR(__xludf.DUMMYFUNCTION("TO_PERCENT(IFERROR(($F69+$C69)/($E69+$B69), 0))"),0.0)</f>
        <v>0</v>
      </c>
      <c r="I69" s="103">
        <f t="array" ref="I69">INDEX('Season 1 - MatchHistory'!$G:$G,MATCH(1,('Season 1 - MatchHistory'!$B:$B=$A69)*('Season 1 - MatchHistory'!$G:$G&lt;&gt;""),0))</f>
        <v>24.12000461</v>
      </c>
      <c r="J69" s="103">
        <f t="array" ref="J69">INDEX('Season 1 - MatchHistory'!$H:$H,MATCH(1,('Season 1 - MatchHistory'!$B:$B=$A69)*('Season 1 - MatchHistory'!$H:$H&lt;&gt;""),0))</f>
        <v>8.2774695</v>
      </c>
      <c r="K69" s="104">
        <f t="array" ref="K69">INDEX('Season 1 - MatchHistory'!$J:$J,MATCH(1,('Season 1 - MatchHistory'!$B:$B=$A69)*('Season 1 - MatchHistory'!$J:$J&lt;&gt;""),0))</f>
        <v>796</v>
      </c>
    </row>
    <row r="70" ht="22.5" customHeight="1">
      <c r="A70" s="101" t="s">
        <v>108</v>
      </c>
      <c r="B70" s="101">
        <f>COUNTIFS('Season 1 - MatchHistory'!$B:$B, $A70, 'Season 1 - MatchHistory'!$C:$C, "Town")</f>
        <v>1</v>
      </c>
      <c r="C70" s="101">
        <f>COUNTIFS('Season 1 - MatchHistory'!B:B, A70, 'Season 1 - MatchHistory'!C:C, "Town", 'Season 1 - MatchHistory'!D:D, "Win")</f>
        <v>0</v>
      </c>
      <c r="D70" s="102">
        <f>IFERROR(__xludf.DUMMYFUNCTION("IF(EQ($B70, 0), TO_PERCENT(0), TO_PERCENT($C70/$B70))"),0.0)</f>
        <v>0</v>
      </c>
      <c r="E70" s="101">
        <f>COUNTIFS('Season 1 - MatchHistory'!$B:$B, $A70, 'Season 1 - MatchHistory'!$C:$C, "Mafia")</f>
        <v>0</v>
      </c>
      <c r="F70" s="101">
        <f>COUNTIFS('Season 1 - MatchHistory'!$B:$B, $A70, 'Season 1 - MatchHistory'!$C:$C, "Mafia", 'Season 1 - MatchHistory'!$D:$D, "Win")</f>
        <v>0</v>
      </c>
      <c r="G70" s="102">
        <f>IFERROR(__xludf.DUMMYFUNCTION("TO_PERCENT(IFERROR($F70/$E70, 0))"),0.0)</f>
        <v>0</v>
      </c>
      <c r="H70" s="102">
        <f>IFERROR(__xludf.DUMMYFUNCTION("TO_PERCENT(IFERROR(($F70+$C70)/($E70+$B70), 0))"),0.0)</f>
        <v>0</v>
      </c>
      <c r="I70" s="103">
        <f t="array" ref="I70">INDEX('Season 1 - MatchHistory'!$G:$G,MATCH(1,('Season 1 - MatchHistory'!$B:$B=$A70)*('Season 1 - MatchHistory'!$G:$G&lt;&gt;""),0))</f>
        <v>24.10186009</v>
      </c>
      <c r="J70" s="103">
        <f t="array" ref="J70">INDEX('Season 1 - MatchHistory'!$H:$H,MATCH(1,('Season 1 - MatchHistory'!$B:$B=$A70)*('Season 1 - MatchHistory'!$H:$H&lt;&gt;""),0))</f>
        <v>8.274588246</v>
      </c>
      <c r="K70" s="104">
        <f t="array" ref="K70">INDEX('Season 1 - MatchHistory'!$J:$J,MATCH(1,('Season 1 - MatchHistory'!$B:$B=$A70)*('Season 1 - MatchHistory'!$J:$J&lt;&gt;""),0))</f>
        <v>795</v>
      </c>
    </row>
    <row r="71" ht="22.5" customHeight="1">
      <c r="A71" s="101" t="s">
        <v>172</v>
      </c>
      <c r="B71" s="101">
        <f>COUNTIFS('Season 1 - MatchHistory'!$B:$B, $A71, 'Season 1 - MatchHistory'!$C:$C, "Town")</f>
        <v>2</v>
      </c>
      <c r="C71" s="101">
        <f>COUNTIFS('Season 1 - MatchHistory'!B:B, A71, 'Season 1 - MatchHistory'!C:C, "Town", 'Season 1 - MatchHistory'!D:D, "Win")</f>
        <v>1</v>
      </c>
      <c r="D71" s="102">
        <f>IFERROR(__xludf.DUMMYFUNCTION("IF(EQ($B71, 0), TO_PERCENT(0), TO_PERCENT($C71/$B71))"),0.5)</f>
        <v>0.5</v>
      </c>
      <c r="E71" s="101">
        <f>COUNTIFS('Season 1 - MatchHistory'!$B:$B, $A71, 'Season 1 - MatchHistory'!$C:$C, "Mafia")</f>
        <v>1</v>
      </c>
      <c r="F71" s="101">
        <f>COUNTIFS('Season 1 - MatchHistory'!$B:$B, $A71, 'Season 1 - MatchHistory'!$C:$C, "Mafia", 'Season 1 - MatchHistory'!$D:$D, "Win")</f>
        <v>0</v>
      </c>
      <c r="G71" s="102">
        <f>IFERROR(__xludf.DUMMYFUNCTION("TO_PERCENT(IFERROR($F71/$E71, 0))"),0.0)</f>
        <v>0</v>
      </c>
      <c r="H71" s="102">
        <f>IFERROR(__xludf.DUMMYFUNCTION("TO_PERCENT(IFERROR(($F71+$C71)/($E71+$B71), 0))"),0.3333333333333333)</f>
        <v>0.3333333333</v>
      </c>
      <c r="I71" s="103">
        <f t="array" ref="I71">INDEX('Season 1 - MatchHistory'!$G:$G,MATCH(1,('Season 1 - MatchHistory'!$B:$B=$A71)*('Season 1 - MatchHistory'!$G:$G&lt;&gt;""),0))</f>
        <v>23.79195433</v>
      </c>
      <c r="J71" s="103">
        <f t="array" ref="J71">INDEX('Season 1 - MatchHistory'!$H:$H,MATCH(1,('Season 1 - MatchHistory'!$B:$B=$A71)*('Season 1 - MatchHistory'!$H:$H&lt;&gt;""),0))</f>
        <v>8.146532265</v>
      </c>
      <c r="K71" s="104">
        <f t="array" ref="K71">INDEX('Season 1 - MatchHistory'!$J:$J,MATCH(1,('Season 1 - MatchHistory'!$B:$B=$A71)*('Season 1 - MatchHistory'!$J:$J&lt;&gt;""),0))</f>
        <v>787</v>
      </c>
    </row>
    <row r="72" ht="22.5" customHeight="1">
      <c r="A72" s="101" t="s">
        <v>173</v>
      </c>
      <c r="B72" s="101">
        <f>COUNTIFS('Season 1 - MatchHistory'!$B:$B, $A72, 'Season 1 - MatchHistory'!$C:$C, "Town")</f>
        <v>7</v>
      </c>
      <c r="C72" s="101">
        <f>COUNTIFS('Season 1 - MatchHistory'!B:B, A72, 'Season 1 - MatchHistory'!C:C, "Town", 'Season 1 - MatchHistory'!D:D, "Win")</f>
        <v>2</v>
      </c>
      <c r="D72" s="102">
        <f>IFERROR(__xludf.DUMMYFUNCTION("IF(EQ($B72, 0), TO_PERCENT(0), TO_PERCENT($C72/$B72))"),0.2857142857142857)</f>
        <v>0.2857142857</v>
      </c>
      <c r="E72" s="101">
        <f>COUNTIFS('Season 1 - MatchHistory'!$B:$B, $A72, 'Season 1 - MatchHistory'!$C:$C, "Mafia")</f>
        <v>0</v>
      </c>
      <c r="F72" s="101">
        <f>COUNTIFS('Season 1 - MatchHistory'!$B:$B, $A72, 'Season 1 - MatchHistory'!$C:$C, "Mafia", 'Season 1 - MatchHistory'!$D:$D, "Win")</f>
        <v>0</v>
      </c>
      <c r="G72" s="102">
        <f>IFERROR(__xludf.DUMMYFUNCTION("TO_PERCENT(IFERROR($F72/$E72, 0))"),0.0)</f>
        <v>0</v>
      </c>
      <c r="H72" s="102">
        <f>IFERROR(__xludf.DUMMYFUNCTION("TO_PERCENT(IFERROR(($F72+$C72)/($E72+$B72), 0))"),0.2857142857142857)</f>
        <v>0.2857142857</v>
      </c>
      <c r="I72" s="103">
        <f t="array" ref="I72">INDEX('Season 1 - MatchHistory'!$G:$G,MATCH(1,('Season 1 - MatchHistory'!$B:$B=$A72)*('Season 1 - MatchHistory'!$G:$G&lt;&gt;""),0))</f>
        <v>23.4683837</v>
      </c>
      <c r="J72" s="103">
        <f t="array" ref="J72">INDEX('Season 1 - MatchHistory'!$H:$H,MATCH(1,('Season 1 - MatchHistory'!$B:$B=$A72)*('Season 1 - MatchHistory'!$H:$H&lt;&gt;""),0))</f>
        <v>7.98817824</v>
      </c>
      <c r="K72" s="104">
        <f t="array" ref="K72">INDEX('Season 1 - MatchHistory'!$J:$J,MATCH(1,('Season 1 - MatchHistory'!$B:$B=$A72)*('Season 1 - MatchHistory'!$J:$J&lt;&gt;""),0))</f>
        <v>781</v>
      </c>
    </row>
    <row r="73" ht="22.5" customHeight="1">
      <c r="A73" s="101" t="s">
        <v>174</v>
      </c>
      <c r="B73" s="101">
        <f>COUNTIFS('Season 1 - MatchHistory'!$B:$B, $A73, 'Season 1 - MatchHistory'!$C:$C, "Town")</f>
        <v>1</v>
      </c>
      <c r="C73" s="101">
        <f>COUNTIFS('Season 1 - MatchHistory'!B:B, A73, 'Season 1 - MatchHistory'!C:C, "Town", 'Season 1 - MatchHistory'!D:D, "Win")</f>
        <v>0</v>
      </c>
      <c r="D73" s="102">
        <f>IFERROR(__xludf.DUMMYFUNCTION("IF(EQ($B73, 0), TO_PERCENT(0), TO_PERCENT($C73/$B73))"),0.0)</f>
        <v>0</v>
      </c>
      <c r="E73" s="101">
        <f>COUNTIFS('Season 1 - MatchHistory'!$B:$B, $A73, 'Season 1 - MatchHistory'!$C:$C, "Mafia")</f>
        <v>0</v>
      </c>
      <c r="F73" s="101">
        <f>COUNTIFS('Season 1 - MatchHistory'!$B:$B, $A73, 'Season 1 - MatchHistory'!$C:$C, "Mafia", 'Season 1 - MatchHistory'!$D:$D, "Win")</f>
        <v>0</v>
      </c>
      <c r="G73" s="102">
        <f>IFERROR(__xludf.DUMMYFUNCTION("TO_PERCENT(IFERROR($F73/$E73, 0))"),0.0)</f>
        <v>0</v>
      </c>
      <c r="H73" s="102">
        <f>IFERROR(__xludf.DUMMYFUNCTION("TO_PERCENT(IFERROR(($F73+$C73)/($E73+$B73), 0))"),0.0)</f>
        <v>0</v>
      </c>
      <c r="I73" s="103">
        <f t="array" ref="I73">INDEX('Season 1 - MatchHistory'!$G:$G,MATCH(1,('Season 1 - MatchHistory'!$B:$B=$A73)*('Season 1 - MatchHistory'!$G:$G&lt;&gt;""),0))</f>
        <v>23.88591512</v>
      </c>
      <c r="J73" s="103">
        <f t="array" ref="J73">INDEX('Season 1 - MatchHistory'!$H:$H,MATCH(1,('Season 1 - MatchHistory'!$B:$B=$A73)*('Season 1 - MatchHistory'!$H:$H&lt;&gt;""),0))</f>
        <v>8.269574313</v>
      </c>
      <c r="K73" s="104">
        <f t="array" ref="K73">INDEX('Season 1 - MatchHistory'!$J:$J,MATCH(1,('Season 1 - MatchHistory'!$B:$B=$A73)*('Season 1 - MatchHistory'!$J:$J&lt;&gt;""),0))</f>
        <v>781</v>
      </c>
    </row>
    <row r="74" ht="22.5" customHeight="1">
      <c r="A74" s="101" t="s">
        <v>175</v>
      </c>
      <c r="B74" s="105">
        <f>COUNTIFS('Season 1 - MatchHistory'!$B:$B, $A74, 'Season 1 - MatchHistory'!$C:$C, "Town")</f>
        <v>0</v>
      </c>
      <c r="C74" s="105">
        <f>COUNTIFS('Season 1 - MatchHistory'!B:B, A74, 'Season 1 - MatchHistory'!C:C, "Town", 'Season 1 - MatchHistory'!D:D, "Win")</f>
        <v>0</v>
      </c>
      <c r="D74" s="106">
        <f>IFERROR(__xludf.DUMMYFUNCTION("IF(EQ($B74, 0), TO_PERCENT(0), TO_PERCENT($C74/$B74))"),0.0)</f>
        <v>0</v>
      </c>
      <c r="E74" s="105">
        <f>COUNTIFS('Season 1 - MatchHistory'!$B:$B, $A74, 'Season 1 - MatchHistory'!$C:$C, "Mafia")</f>
        <v>1</v>
      </c>
      <c r="F74" s="105">
        <f>COUNTIFS('Season 1 - MatchHistory'!$B:$B, $A74, 'Season 1 - MatchHistory'!$C:$C, "Mafia", 'Season 1 - MatchHistory'!$D:$D, "Win")</f>
        <v>0</v>
      </c>
      <c r="G74" s="106">
        <f>IFERROR(__xludf.DUMMYFUNCTION("TO_PERCENT(IFERROR($F74/$E74, 0))"),0.0)</f>
        <v>0</v>
      </c>
      <c r="H74" s="106">
        <f>IFERROR(__xludf.DUMMYFUNCTION("TO_PERCENT(IFERROR(($F74+$C74)/($E74+$B74), 0))"),0.0)</f>
        <v>0</v>
      </c>
      <c r="I74" s="103">
        <f t="array" ref="I74">INDEX('Season 1 - MatchHistory'!$G:$G,MATCH(1,('Season 1 - MatchHistory'!$B:$B=$A74)*('Season 1 - MatchHistory'!$G:$G&lt;&gt;""),0))</f>
        <v>23.82874449</v>
      </c>
      <c r="J74" s="103">
        <f t="array" ref="J74">INDEX('Season 1 - MatchHistory'!$H:$H,MATCH(1,('Season 1 - MatchHistory'!$B:$B=$A74)*('Season 1 - MatchHistory'!$H:$H&lt;&gt;""),0))</f>
        <v>8.26817523</v>
      </c>
      <c r="K74" s="104">
        <f t="array" ref="K74">INDEX('Season 1 - MatchHistory'!$J:$J,MATCH(1,('Season 1 - MatchHistory'!$B:$B=$A74)*('Season 1 - MatchHistory'!$J:$J&lt;&gt;""),0))</f>
        <v>777</v>
      </c>
    </row>
    <row r="75" ht="22.5" customHeight="1">
      <c r="A75" s="101" t="s">
        <v>74</v>
      </c>
      <c r="B75" s="101">
        <f>COUNTIFS('Season 1 - MatchHistory'!$B:$B, $A75, 'Season 1 - MatchHistory'!$C:$C, "Town")</f>
        <v>1</v>
      </c>
      <c r="C75" s="101">
        <f>COUNTIFS('Season 1 - MatchHistory'!B:B, A75, 'Season 1 - MatchHistory'!C:C, "Town", 'Season 1 - MatchHistory'!D:D, "Win")</f>
        <v>0</v>
      </c>
      <c r="D75" s="102">
        <f>IFERROR(__xludf.DUMMYFUNCTION("IF(EQ($B75, 0), TO_PERCENT(0), TO_PERCENT($C75/$B75))"),0.0)</f>
        <v>0</v>
      </c>
      <c r="E75" s="101">
        <f>COUNTIFS('Season 1 - MatchHistory'!$B:$B, $A75, 'Season 1 - MatchHistory'!$C:$C, "Mafia")</f>
        <v>0</v>
      </c>
      <c r="F75" s="101">
        <f>COUNTIFS('Season 1 - MatchHistory'!$B:$B, $A75, 'Season 1 - MatchHistory'!$C:$C, "Mafia", 'Season 1 - MatchHistory'!$D:$D, "Win")</f>
        <v>0</v>
      </c>
      <c r="G75" s="102">
        <f>IFERROR(__xludf.DUMMYFUNCTION("TO_PERCENT(IFERROR($F75/$E75, 0))"),0.0)</f>
        <v>0</v>
      </c>
      <c r="H75" s="102">
        <f>IFERROR(__xludf.DUMMYFUNCTION("TO_PERCENT(IFERROR(($F75+$C75)/($E75+$B75), 0))"),0.0)</f>
        <v>0</v>
      </c>
      <c r="I75" s="103">
        <f t="array" ref="I75">INDEX('Season 1 - MatchHistory'!$G:$G,MATCH(1,('Season 1 - MatchHistory'!$B:$B=$A75)*('Season 1 - MatchHistory'!$G:$G&lt;&gt;""),0))</f>
        <v>23.76568353</v>
      </c>
      <c r="J75" s="103">
        <f t="array" ref="J75">INDEX('Season 1 - MatchHistory'!$H:$H,MATCH(1,('Season 1 - MatchHistory'!$B:$B=$A75)*('Season 1 - MatchHistory'!$H:$H&lt;&gt;""),0))</f>
        <v>8.272207338</v>
      </c>
      <c r="K75" s="104">
        <f t="array" ref="K75">INDEX('Season 1 - MatchHistory'!$J:$J,MATCH(1,('Season 1 - MatchHistory'!$B:$B=$A75)*('Season 1 - MatchHistory'!$J:$J&lt;&gt;""),0))</f>
        <v>772</v>
      </c>
    </row>
    <row r="76" ht="22.5" customHeight="1">
      <c r="A76" s="101" t="s">
        <v>46</v>
      </c>
      <c r="B76" s="101">
        <f>COUNTIFS('Season 1 - MatchHistory'!$B:$B, $A76, 'Season 1 - MatchHistory'!$C:$C, "Town")</f>
        <v>5</v>
      </c>
      <c r="C76" s="101">
        <f>COUNTIFS('Season 1 - MatchHistory'!B:B, A76, 'Season 1 - MatchHistory'!C:C, "Town", 'Season 1 - MatchHistory'!D:D, "Win")</f>
        <v>1</v>
      </c>
      <c r="D76" s="102">
        <f>IFERROR(__xludf.DUMMYFUNCTION("IF(EQ($B76, 0), TO_PERCENT(0), TO_PERCENT($C76/$B76))"),0.2)</f>
        <v>0.2</v>
      </c>
      <c r="E76" s="101">
        <f>COUNTIFS('Season 1 - MatchHistory'!$B:$B, $A76, 'Season 1 - MatchHistory'!$C:$C, "Mafia")</f>
        <v>2</v>
      </c>
      <c r="F76" s="101">
        <f>COUNTIFS('Season 1 - MatchHistory'!$B:$B, $A76, 'Season 1 - MatchHistory'!$C:$C, "Mafia", 'Season 1 - MatchHistory'!$D:$D, "Win")</f>
        <v>1</v>
      </c>
      <c r="G76" s="102">
        <f>IFERROR(__xludf.DUMMYFUNCTION("TO_PERCENT(IFERROR($F76/$E76, 0))"),0.5)</f>
        <v>0.5</v>
      </c>
      <c r="H76" s="102">
        <f>IFERROR(__xludf.DUMMYFUNCTION("TO_PERCENT(IFERROR(($F76+$C76)/($E76+$B76), 0))"),0.2857142857142857)</f>
        <v>0.2857142857</v>
      </c>
      <c r="I76" s="103">
        <f t="array" ref="I76">INDEX('Season 1 - MatchHistory'!$G:$G,MATCH(1,('Season 1 - MatchHistory'!$B:$B=$A76)*('Season 1 - MatchHistory'!$G:$G&lt;&gt;""),0))</f>
        <v>23.27075121</v>
      </c>
      <c r="J76" s="103">
        <f t="array" ref="J76">INDEX('Season 1 - MatchHistory'!$H:$H,MATCH(1,('Season 1 - MatchHistory'!$B:$B=$A76)*('Season 1 - MatchHistory'!$H:$H&lt;&gt;""),0))</f>
        <v>7.977443071</v>
      </c>
      <c r="K76" s="104">
        <f t="array" ref="K76">INDEX('Season 1 - MatchHistory'!$J:$J,MATCH(1,('Season 1 - MatchHistory'!$B:$B=$A76)*('Season 1 - MatchHistory'!$J:$J&lt;&gt;""),0))</f>
        <v>769</v>
      </c>
    </row>
    <row r="77" ht="22.5" customHeight="1">
      <c r="A77" s="101" t="s">
        <v>176</v>
      </c>
      <c r="B77" s="101">
        <f>COUNTIFS('Season 1 - MatchHistory'!$B:$B, $A77, 'Season 1 - MatchHistory'!$C:$C, "Town")</f>
        <v>0</v>
      </c>
      <c r="C77" s="101">
        <f>COUNTIFS('Season 1 - MatchHistory'!B:B, A77, 'Season 1 - MatchHistory'!C:C, "Town", 'Season 1 - MatchHistory'!D:D, "Win")</f>
        <v>0</v>
      </c>
      <c r="D77" s="102">
        <f>IFERROR(__xludf.DUMMYFUNCTION("IF(EQ($B77, 0), TO_PERCENT(0), TO_PERCENT($C77/$B77))"),0.0)</f>
        <v>0</v>
      </c>
      <c r="E77" s="101">
        <f>COUNTIFS('Season 1 - MatchHistory'!$B:$B, $A77, 'Season 1 - MatchHistory'!$C:$C, "Mafia")</f>
        <v>1</v>
      </c>
      <c r="F77" s="101">
        <f>COUNTIFS('Season 1 - MatchHistory'!$B:$B, $A77, 'Season 1 - MatchHistory'!$C:$C, "Mafia", 'Season 1 - MatchHistory'!$D:$D, "Win")</f>
        <v>0</v>
      </c>
      <c r="G77" s="102">
        <f>IFERROR(__xludf.DUMMYFUNCTION("TO_PERCENT(IFERROR($F77/$E77, 0))"),0.0)</f>
        <v>0</v>
      </c>
      <c r="H77" s="102">
        <f>IFERROR(__xludf.DUMMYFUNCTION("TO_PERCENT(IFERROR(($F77+$C77)/($E77+$B77), 0))"),0.0)</f>
        <v>0</v>
      </c>
      <c r="I77" s="103">
        <f t="array" ref="I77">INDEX('Season 1 - MatchHistory'!$G:$G,MATCH(1,('Season 1 - MatchHistory'!$B:$B=$A77)*('Season 1 - MatchHistory'!$G:$G&lt;&gt;""),0))</f>
        <v>23.69087979</v>
      </c>
      <c r="J77" s="103">
        <f t="array" ref="J77">INDEX('Season 1 - MatchHistory'!$H:$H,MATCH(1,('Season 1 - MatchHistory'!$B:$B=$A77)*('Season 1 - MatchHistory'!$H:$H&lt;&gt;""),0))</f>
        <v>8.266866319</v>
      </c>
      <c r="K77" s="104">
        <f t="array" ref="K77">INDEX('Season 1 - MatchHistory'!$J:$J,MATCH(1,('Season 1 - MatchHistory'!$B:$B=$A77)*('Season 1 - MatchHistory'!$J:$J&lt;&gt;""),0))</f>
        <v>768</v>
      </c>
    </row>
    <row r="78" ht="22.5" customHeight="1">
      <c r="A78" s="101" t="s">
        <v>177</v>
      </c>
      <c r="B78" s="101">
        <f>COUNTIFS('Season 1 - MatchHistory'!$B:$B, $A78, 'Season 1 - MatchHistory'!$C:$C, "Town")</f>
        <v>2</v>
      </c>
      <c r="C78" s="101">
        <f>COUNTIFS('Season 1 - MatchHistory'!B:B, A78, 'Season 1 - MatchHistory'!C:C, "Town", 'Season 1 - MatchHistory'!D:D, "Win")</f>
        <v>0</v>
      </c>
      <c r="D78" s="102">
        <f>IFERROR(__xludf.DUMMYFUNCTION("IF(EQ($B78, 0), TO_PERCENT(0), TO_PERCENT($C78/$B78))"),0.0)</f>
        <v>0</v>
      </c>
      <c r="E78" s="101">
        <f>COUNTIFS('Season 1 - MatchHistory'!$B:$B, $A78, 'Season 1 - MatchHistory'!$C:$C, "Mafia")</f>
        <v>0</v>
      </c>
      <c r="F78" s="101">
        <f>COUNTIFS('Season 1 - MatchHistory'!$B:$B, $A78, 'Season 1 - MatchHistory'!$C:$C, "Mafia", 'Season 1 - MatchHistory'!$D:$D, "Win")</f>
        <v>0</v>
      </c>
      <c r="G78" s="102">
        <f>IFERROR(__xludf.DUMMYFUNCTION("TO_PERCENT(IFERROR($F78/$E78, 0))"),0.0)</f>
        <v>0</v>
      </c>
      <c r="H78" s="102">
        <f>IFERROR(__xludf.DUMMYFUNCTION("TO_PERCENT(IFERROR(($F78+$C78)/($E78+$B78), 0))"),0.0)</f>
        <v>0</v>
      </c>
      <c r="I78" s="103">
        <f t="array" ref="I78">INDEX('Season 1 - MatchHistory'!$G:$G,MATCH(1,('Season 1 - MatchHistory'!$B:$B=$A78)*('Season 1 - MatchHistory'!$G:$G&lt;&gt;""),0))</f>
        <v>23.59720005</v>
      </c>
      <c r="J78" s="103">
        <f t="array" ref="J78">INDEX('Season 1 - MatchHistory'!$H:$H,MATCH(1,('Season 1 - MatchHistory'!$B:$B=$A78)*('Season 1 - MatchHistory'!$H:$H&lt;&gt;""),0))</f>
        <v>8.241544995</v>
      </c>
      <c r="K78" s="104">
        <f t="array" ref="K78">INDEX('Season 1 - MatchHistory'!$J:$J,MATCH(1,('Season 1 - MatchHistory'!$B:$B=$A78)*('Season 1 - MatchHistory'!$J:$J&lt;&gt;""),0))</f>
        <v>764</v>
      </c>
    </row>
    <row r="79" ht="22.5" customHeight="1">
      <c r="A79" s="101" t="s">
        <v>110</v>
      </c>
      <c r="B79" s="101">
        <f>COUNTIFS('Season 1 - MatchHistory'!$B:$B, $A79, 'Season 1 - MatchHistory'!$C:$C, "Town")</f>
        <v>2</v>
      </c>
      <c r="C79" s="101">
        <f>COUNTIFS('Season 1 - MatchHistory'!B:B, A79, 'Season 1 - MatchHistory'!C:C, "Town", 'Season 1 - MatchHistory'!D:D, "Win")</f>
        <v>0</v>
      </c>
      <c r="D79" s="102">
        <f>IFERROR(__xludf.DUMMYFUNCTION("IF(EQ($B79, 0), TO_PERCENT(0), TO_PERCENT($C79/$B79))"),0.0)</f>
        <v>0</v>
      </c>
      <c r="E79" s="101">
        <f>COUNTIFS('Season 1 - MatchHistory'!$B:$B, $A79, 'Season 1 - MatchHistory'!$C:$C, "Mafia")</f>
        <v>0</v>
      </c>
      <c r="F79" s="101">
        <f>COUNTIFS('Season 1 - MatchHistory'!$B:$B, $A79, 'Season 1 - MatchHistory'!$C:$C, "Mafia", 'Season 1 - MatchHistory'!$D:$D, "Win")</f>
        <v>0</v>
      </c>
      <c r="G79" s="102">
        <f>IFERROR(__xludf.DUMMYFUNCTION("TO_PERCENT(IFERROR($F79/$E79, 0))"),0.0)</f>
        <v>0</v>
      </c>
      <c r="H79" s="102">
        <f>IFERROR(__xludf.DUMMYFUNCTION("TO_PERCENT(IFERROR(($F79+$C79)/($E79+$B79), 0))"),0.0)</f>
        <v>0</v>
      </c>
      <c r="I79" s="103">
        <f t="array" ref="I79">INDEX('Season 1 - MatchHistory'!$G:$G,MATCH(1,('Season 1 - MatchHistory'!$B:$B=$A79)*('Season 1 - MatchHistory'!$G:$G&lt;&gt;""),0))</f>
        <v>23.52844505</v>
      </c>
      <c r="J79" s="103">
        <f t="array" ref="J79">INDEX('Season 1 - MatchHistory'!$H:$H,MATCH(1,('Season 1 - MatchHistory'!$B:$B=$A79)*('Season 1 - MatchHistory'!$H:$H&lt;&gt;""),0))</f>
        <v>8.232055032</v>
      </c>
      <c r="K79" s="104">
        <f t="array" ref="K79">INDEX('Season 1 - MatchHistory'!$J:$J,MATCH(1,('Season 1 - MatchHistory'!$B:$B=$A79)*('Season 1 - MatchHistory'!$J:$J&lt;&gt;""),0))</f>
        <v>760</v>
      </c>
    </row>
    <row r="80" ht="22.5" customHeight="1">
      <c r="A80" s="101" t="s">
        <v>178</v>
      </c>
      <c r="B80" s="101">
        <f>COUNTIFS('Season 1 - MatchHistory'!$B:$B, $A80, 'Season 1 - MatchHistory'!$C:$C, "Town")</f>
        <v>2</v>
      </c>
      <c r="C80" s="101">
        <f>COUNTIFS('Season 1 - MatchHistory'!B:B, A80, 'Season 1 - MatchHistory'!C:C, "Town", 'Season 1 - MatchHistory'!D:D, "Win")</f>
        <v>0</v>
      </c>
      <c r="D80" s="102">
        <f>IFERROR(__xludf.DUMMYFUNCTION("IF(EQ($B80, 0), TO_PERCENT(0), TO_PERCENT($C80/$B80))"),0.0)</f>
        <v>0</v>
      </c>
      <c r="E80" s="101">
        <f>COUNTIFS('Season 1 - MatchHistory'!$B:$B, $A80, 'Season 1 - MatchHistory'!$C:$C, "Mafia")</f>
        <v>0</v>
      </c>
      <c r="F80" s="101">
        <f>COUNTIFS('Season 1 - MatchHistory'!$B:$B, $A80, 'Season 1 - MatchHistory'!$C:$C, "Mafia", 'Season 1 - MatchHistory'!$D:$D, "Win")</f>
        <v>0</v>
      </c>
      <c r="G80" s="102">
        <f>IFERROR(__xludf.DUMMYFUNCTION("TO_PERCENT(IFERROR($F80/$E80, 0))"),0.0)</f>
        <v>0</v>
      </c>
      <c r="H80" s="102">
        <f>IFERROR(__xludf.DUMMYFUNCTION("TO_PERCENT(IFERROR(($F80+$C80)/($E80+$B80), 0))"),0.0)</f>
        <v>0</v>
      </c>
      <c r="I80" s="103">
        <f t="array" ref="I80">INDEX('Season 1 - MatchHistory'!$G:$G,MATCH(1,('Season 1 - MatchHistory'!$B:$B=$A80)*('Season 1 - MatchHistory'!$G:$G&lt;&gt;""),0))</f>
        <v>23.52844505</v>
      </c>
      <c r="J80" s="103">
        <f t="array" ref="J80">INDEX('Season 1 - MatchHistory'!$H:$H,MATCH(1,('Season 1 - MatchHistory'!$B:$B=$A80)*('Season 1 - MatchHistory'!$H:$H&lt;&gt;""),0))</f>
        <v>8.232055032</v>
      </c>
      <c r="K80" s="104">
        <f t="array" ref="K80">INDEX('Season 1 - MatchHistory'!$J:$J,MATCH(1,('Season 1 - MatchHistory'!$B:$B=$A80)*('Season 1 - MatchHistory'!$J:$J&lt;&gt;""),0))</f>
        <v>760</v>
      </c>
    </row>
    <row r="81" ht="22.5" customHeight="1">
      <c r="A81" s="101" t="s">
        <v>112</v>
      </c>
      <c r="B81" s="101">
        <f>COUNTIFS('Season 1 - MatchHistory'!$B:$B, $A81, 'Season 1 - MatchHistory'!$C:$C, "Town")</f>
        <v>0</v>
      </c>
      <c r="C81" s="101">
        <f>COUNTIFS('Season 1 - MatchHistory'!B:B, A81, 'Season 1 - MatchHistory'!C:C, "Town", 'Season 1 - MatchHistory'!D:D, "Win")</f>
        <v>0</v>
      </c>
      <c r="D81" s="102">
        <f>IFERROR(__xludf.DUMMYFUNCTION("IF(EQ($B81, 0), TO_PERCENT(0), TO_PERCENT($C81/$B81))"),0.0)</f>
        <v>0</v>
      </c>
      <c r="E81" s="101">
        <f>COUNTIFS('Season 1 - MatchHistory'!$B:$B, $A81, 'Season 1 - MatchHistory'!$C:$C, "Mafia")</f>
        <v>1</v>
      </c>
      <c r="F81" s="101">
        <f>COUNTIFS('Season 1 - MatchHistory'!$B:$B, $A81, 'Season 1 - MatchHistory'!$C:$C, "Mafia", 'Season 1 - MatchHistory'!$D:$D, "Win")</f>
        <v>0</v>
      </c>
      <c r="G81" s="102">
        <f>IFERROR(__xludf.DUMMYFUNCTION("TO_PERCENT(IFERROR($F81/$E81, 0))"),0.0)</f>
        <v>0</v>
      </c>
      <c r="H81" s="102">
        <f>IFERROR(__xludf.DUMMYFUNCTION("TO_PERCENT(IFERROR(($F81+$C81)/($E81+$B81), 0))"),0.0)</f>
        <v>0</v>
      </c>
      <c r="I81" s="103">
        <f t="array" ref="I81">INDEX('Season 1 - MatchHistory'!$G:$G,MATCH(1,('Season 1 - MatchHistory'!$B:$B=$A81)*('Season 1 - MatchHistory'!$G:$G&lt;&gt;""),0))</f>
        <v>23.53495666</v>
      </c>
      <c r="J81" s="103">
        <f t="array" ref="J81">INDEX('Season 1 - MatchHistory'!$H:$H,MATCH(1,('Season 1 - MatchHistory'!$B:$B=$A81)*('Season 1 - MatchHistory'!$H:$H&lt;&gt;""),0))</f>
        <v>8.260449514</v>
      </c>
      <c r="K81" s="104">
        <f t="array" ref="K81">INDEX('Season 1 - MatchHistory'!$J:$J,MATCH(1,('Season 1 - MatchHistory'!$B:$B=$A81)*('Season 1 - MatchHistory'!$J:$J&lt;&gt;""),0))</f>
        <v>758</v>
      </c>
    </row>
    <row r="82" ht="22.5" customHeight="1">
      <c r="A82" s="101" t="s">
        <v>179</v>
      </c>
      <c r="B82" s="101">
        <f>COUNTIFS('Season 1 - MatchHistory'!$B:$B, $A82, 'Season 1 - MatchHistory'!$C:$C, "Town")</f>
        <v>5</v>
      </c>
      <c r="C82" s="101">
        <f>COUNTIFS('Season 1 - MatchHistory'!B:B, A82, 'Season 1 - MatchHistory'!C:C, "Town", 'Season 1 - MatchHistory'!D:D, "Win")</f>
        <v>1</v>
      </c>
      <c r="D82" s="102">
        <f>IFERROR(__xludf.DUMMYFUNCTION("IF(EQ($B82, 0), TO_PERCENT(0), TO_PERCENT($C82/$B82))"),0.2)</f>
        <v>0.2</v>
      </c>
      <c r="E82" s="101">
        <f>COUNTIFS('Season 1 - MatchHistory'!$B:$B, $A82, 'Season 1 - MatchHistory'!$C:$C, "Mafia")</f>
        <v>2</v>
      </c>
      <c r="F82" s="101">
        <f>COUNTIFS('Season 1 - MatchHistory'!$B:$B, $A82, 'Season 1 - MatchHistory'!$C:$C, "Mafia", 'Season 1 - MatchHistory'!$D:$D, "Win")</f>
        <v>1</v>
      </c>
      <c r="G82" s="102">
        <f>IFERROR(__xludf.DUMMYFUNCTION("TO_PERCENT(IFERROR($F82/$E82, 0))"),0.5)</f>
        <v>0.5</v>
      </c>
      <c r="H82" s="102">
        <f>IFERROR(__xludf.DUMMYFUNCTION("TO_PERCENT(IFERROR(($F82+$C82)/($E82+$B82), 0))"),0.2857142857142857)</f>
        <v>0.2857142857</v>
      </c>
      <c r="I82" s="103">
        <f t="array" ref="I82">INDEX('Season 1 - MatchHistory'!$G:$G,MATCH(1,('Season 1 - MatchHistory'!$B:$B=$A82)*('Season 1 - MatchHistory'!$G:$G&lt;&gt;""),0))</f>
        <v>23.03230773</v>
      </c>
      <c r="J82" s="103">
        <f t="array" ref="J82">INDEX('Season 1 - MatchHistory'!$H:$H,MATCH(1,('Season 1 - MatchHistory'!$B:$B=$A82)*('Season 1 - MatchHistory'!$H:$H&lt;&gt;""),0))</f>
        <v>7.959025097</v>
      </c>
      <c r="K82" s="104">
        <f t="array" ref="K82">INDEX('Season 1 - MatchHistory'!$J:$J,MATCH(1,('Season 1 - MatchHistory'!$B:$B=$A82)*('Season 1 - MatchHistory'!$J:$J&lt;&gt;""),0))</f>
        <v>754</v>
      </c>
    </row>
    <row r="83" ht="22.5" customHeight="1">
      <c r="A83" s="101" t="s">
        <v>180</v>
      </c>
      <c r="B83" s="101">
        <f>COUNTIFS('Season 1 - MatchHistory'!$B:$B, $A83, 'Season 1 - MatchHistory'!$C:$C, "Town")</f>
        <v>5</v>
      </c>
      <c r="C83" s="101">
        <f>COUNTIFS('Season 1 - MatchHistory'!B:B, A83, 'Season 1 - MatchHistory'!C:C, "Town", 'Season 1 - MatchHistory'!D:D, "Win")</f>
        <v>1</v>
      </c>
      <c r="D83" s="102">
        <f>IFERROR(__xludf.DUMMYFUNCTION("IF(EQ($B83, 0), TO_PERCENT(0), TO_PERCENT($C83/$B83))"),0.2)</f>
        <v>0.2</v>
      </c>
      <c r="E83" s="101">
        <f>COUNTIFS('Season 1 - MatchHistory'!$B:$B, $A83, 'Season 1 - MatchHistory'!$C:$C, "Mafia")</f>
        <v>0</v>
      </c>
      <c r="F83" s="101">
        <f>COUNTIFS('Season 1 - MatchHistory'!$B:$B, $A83, 'Season 1 - MatchHistory'!$C:$C, "Mafia", 'Season 1 - MatchHistory'!$D:$D, "Win")</f>
        <v>0</v>
      </c>
      <c r="G83" s="102">
        <f>IFERROR(__xludf.DUMMYFUNCTION("TO_PERCENT(IFERROR($F83/$E83, 0))"),0.0)</f>
        <v>0</v>
      </c>
      <c r="H83" s="102">
        <f>IFERROR(__xludf.DUMMYFUNCTION("TO_PERCENT(IFERROR(($F83+$C83)/($E83+$B83), 0))"),0.2)</f>
        <v>0.2</v>
      </c>
      <c r="I83" s="103">
        <f t="array" ref="I83">INDEX('Season 1 - MatchHistory'!$G:$G,MATCH(1,('Season 1 - MatchHistory'!$B:$B=$A83)*('Season 1 - MatchHistory'!$G:$G&lt;&gt;""),0))</f>
        <v>23.15205432</v>
      </c>
      <c r="J83" s="103">
        <f t="array" ref="J83">INDEX('Season 1 - MatchHistory'!$H:$H,MATCH(1,('Season 1 - MatchHistory'!$B:$B=$A83)*('Season 1 - MatchHistory'!$H:$H&lt;&gt;""),0))</f>
        <v>8.093051206</v>
      </c>
      <c r="K83" s="104">
        <f t="array" ref="K83">INDEX('Season 1 - MatchHistory'!$J:$J,MATCH(1,('Season 1 - MatchHistory'!$B:$B=$A83)*('Season 1 - MatchHistory'!$J:$J&lt;&gt;""),0))</f>
        <v>749</v>
      </c>
    </row>
    <row r="84" ht="22.5" customHeight="1">
      <c r="A84" s="101" t="s">
        <v>69</v>
      </c>
      <c r="B84" s="101">
        <f>COUNTIFS('Season 1 - MatchHistory'!$B:$B, $A84, 'Season 1 - MatchHistory'!$C:$C, "Town")</f>
        <v>0</v>
      </c>
      <c r="C84" s="101">
        <f>COUNTIFS('Season 1 - MatchHistory'!B:B, A84, 'Season 1 - MatchHistory'!C:C, "Town", 'Season 1 - MatchHistory'!D:D, "Win")</f>
        <v>0</v>
      </c>
      <c r="D84" s="102">
        <f>IFERROR(__xludf.DUMMYFUNCTION("IF(EQ($B84, 0), TO_PERCENT(0), TO_PERCENT($C84/$B84))"),0.0)</f>
        <v>0</v>
      </c>
      <c r="E84" s="101">
        <f>COUNTIFS('Season 1 - MatchHistory'!$B:$B, $A84, 'Season 1 - MatchHistory'!$C:$C, "Mafia")</f>
        <v>1</v>
      </c>
      <c r="F84" s="101">
        <f>COUNTIFS('Season 1 - MatchHistory'!$B:$B, $A84, 'Season 1 - MatchHistory'!$C:$C, "Mafia", 'Season 1 - MatchHistory'!$D:$D, "Win")</f>
        <v>0</v>
      </c>
      <c r="G84" s="102">
        <f>IFERROR(__xludf.DUMMYFUNCTION("TO_PERCENT(IFERROR($F84/$E84, 0))"),0.0)</f>
        <v>0</v>
      </c>
      <c r="H84" s="102">
        <f>IFERROR(__xludf.DUMMYFUNCTION("TO_PERCENT(IFERROR(($F84+$C84)/($E84+$B84), 0))"),0.0)</f>
        <v>0</v>
      </c>
      <c r="I84" s="103">
        <f t="array" ref="I84">INDEX('Season 1 - MatchHistory'!$G:$G,MATCH(1,('Season 1 - MatchHistory'!$B:$B=$A84)*('Season 1 - MatchHistory'!$G:$G&lt;&gt;""),0))</f>
        <v>23.36547146</v>
      </c>
      <c r="J84" s="103">
        <f t="array" ref="J84">INDEX('Season 1 - MatchHistory'!$H:$H,MATCH(1,('Season 1 - MatchHistory'!$B:$B=$A84)*('Season 1 - MatchHistory'!$H:$H&lt;&gt;""),0))</f>
        <v>8.256840557</v>
      </c>
      <c r="K84" s="104">
        <f t="array" ref="K84">INDEX('Season 1 - MatchHistory'!$J:$J,MATCH(1,('Season 1 - MatchHistory'!$B:$B=$A84)*('Season 1 - MatchHistory'!$J:$J&lt;&gt;""),0))</f>
        <v>747</v>
      </c>
    </row>
    <row r="85" ht="22.5" customHeight="1">
      <c r="A85" s="101" t="s">
        <v>181</v>
      </c>
      <c r="B85" s="101">
        <f>COUNTIFS('Season 1 - MatchHistory'!$B:$B, $A85, 'Season 1 - MatchHistory'!$C:$C, "Town")</f>
        <v>2</v>
      </c>
      <c r="C85" s="101">
        <f>COUNTIFS('Season 1 - MatchHistory'!B:B, A85, 'Season 1 - MatchHistory'!C:C, "Town", 'Season 1 - MatchHistory'!D:D, "Win")</f>
        <v>0</v>
      </c>
      <c r="D85" s="102">
        <f>IFERROR(__xludf.DUMMYFUNCTION("IF(EQ($B85, 0), TO_PERCENT(0), TO_PERCENT($C85/$B85))"),0.0)</f>
        <v>0</v>
      </c>
      <c r="E85" s="101">
        <f>COUNTIFS('Season 1 - MatchHistory'!$B:$B, $A85, 'Season 1 - MatchHistory'!$C:$C, "Mafia")</f>
        <v>0</v>
      </c>
      <c r="F85" s="101">
        <f>COUNTIFS('Season 1 - MatchHistory'!$B:$B, $A85, 'Season 1 - MatchHistory'!$C:$C, "Mafia", 'Season 1 - MatchHistory'!$D:$D, "Win")</f>
        <v>0</v>
      </c>
      <c r="G85" s="102">
        <f>IFERROR(__xludf.DUMMYFUNCTION("TO_PERCENT(IFERROR($F85/$E85, 0))"),0.0)</f>
        <v>0</v>
      </c>
      <c r="H85" s="102">
        <f>IFERROR(__xludf.DUMMYFUNCTION("TO_PERCENT(IFERROR(($F85+$C85)/($E85+$B85), 0))"),0.0)</f>
        <v>0</v>
      </c>
      <c r="I85" s="103">
        <f t="array" ref="I85">INDEX('Season 1 - MatchHistory'!$G:$G,MATCH(1,('Season 1 - MatchHistory'!$B:$B=$A85)*('Season 1 - MatchHistory'!$G:$G&lt;&gt;""),0))</f>
        <v>23.26389089</v>
      </c>
      <c r="J85" s="103">
        <f t="array" ref="J85">INDEX('Season 1 - MatchHistory'!$H:$H,MATCH(1,('Season 1 - MatchHistory'!$B:$B=$A85)*('Season 1 - MatchHistory'!$H:$H&lt;&gt;""),0))</f>
        <v>8.222912273</v>
      </c>
      <c r="K85" s="104">
        <f t="array" ref="K85">INDEX('Season 1 - MatchHistory'!$J:$J,MATCH(1,('Season 1 - MatchHistory'!$B:$B=$A85)*('Season 1 - MatchHistory'!$J:$J&lt;&gt;""),0))</f>
        <v>743</v>
      </c>
    </row>
    <row r="86" ht="22.5" customHeight="1">
      <c r="A86" s="101" t="s">
        <v>182</v>
      </c>
      <c r="B86" s="101">
        <f>COUNTIFS('Season 1 - MatchHistory'!$B:$B, $A86, 'Season 1 - MatchHistory'!$C:$C, "Town")</f>
        <v>3</v>
      </c>
      <c r="C86" s="101">
        <f>COUNTIFS('Season 1 - MatchHistory'!B:B, A86, 'Season 1 - MatchHistory'!C:C, "Town", 'Season 1 - MatchHistory'!D:D, "Win")</f>
        <v>0</v>
      </c>
      <c r="D86" s="102">
        <f>IFERROR(__xludf.DUMMYFUNCTION("IF(EQ($B86, 0), TO_PERCENT(0), TO_PERCENT($C86/$B86))"),0.0)</f>
        <v>0</v>
      </c>
      <c r="E86" s="101">
        <f>COUNTIFS('Season 1 - MatchHistory'!$B:$B, $A86, 'Season 1 - MatchHistory'!$C:$C, "Mafia")</f>
        <v>0</v>
      </c>
      <c r="F86" s="101">
        <f>COUNTIFS('Season 1 - MatchHistory'!$B:$B, $A86, 'Season 1 - MatchHistory'!$C:$C, "Mafia", 'Season 1 - MatchHistory'!$D:$D, "Win")</f>
        <v>0</v>
      </c>
      <c r="G86" s="102">
        <f>IFERROR(__xludf.DUMMYFUNCTION("TO_PERCENT(IFERROR($F86/$E86, 0))"),0.0)</f>
        <v>0</v>
      </c>
      <c r="H86" s="102">
        <f>IFERROR(__xludf.DUMMYFUNCTION("TO_PERCENT(IFERROR(($F86+$C86)/($E86+$B86), 0))"),0.0)</f>
        <v>0</v>
      </c>
      <c r="I86" s="103">
        <f t="array" ref="I86">INDEX('Season 1 - MatchHistory'!$G:$G,MATCH(1,('Season 1 - MatchHistory'!$B:$B=$A86)*('Season 1 - MatchHistory'!$G:$G&lt;&gt;""),0))</f>
        <v>23.20200998</v>
      </c>
      <c r="J86" s="103">
        <f t="array" ref="J86">INDEX('Season 1 - MatchHistory'!$H:$H,MATCH(1,('Season 1 - MatchHistory'!$B:$B=$A86)*('Season 1 - MatchHistory'!$H:$H&lt;&gt;""),0))</f>
        <v>8.208462965</v>
      </c>
      <c r="K86" s="104">
        <f t="array" ref="K86">INDEX('Season 1 - MatchHistory'!$J:$J,MATCH(1,('Season 1 - MatchHistory'!$B:$B=$A86)*('Season 1 - MatchHistory'!$J:$J&lt;&gt;""),0))</f>
        <v>740</v>
      </c>
    </row>
    <row r="87" ht="22.5" customHeight="1">
      <c r="A87" s="101" t="s">
        <v>113</v>
      </c>
      <c r="B87" s="101">
        <f>COUNTIFS('Season 1 - MatchHistory'!$B:$B, $A87, 'Season 1 - MatchHistory'!$C:$C, "Town")</f>
        <v>16</v>
      </c>
      <c r="C87" s="101">
        <f>COUNTIFS('Season 1 - MatchHistory'!B:B, A87, 'Season 1 - MatchHistory'!C:C, "Town", 'Season 1 - MatchHistory'!D:D, "Win")</f>
        <v>4</v>
      </c>
      <c r="D87" s="102">
        <f>IFERROR(__xludf.DUMMYFUNCTION("IF(EQ($B87, 0), TO_PERCENT(0), TO_PERCENT($C87/$B87))"),0.25)</f>
        <v>0.25</v>
      </c>
      <c r="E87" s="101">
        <f>COUNTIFS('Season 1 - MatchHistory'!$B:$B, $A87, 'Season 1 - MatchHistory'!$C:$C, "Mafia")</f>
        <v>5</v>
      </c>
      <c r="F87" s="101">
        <f>COUNTIFS('Season 1 - MatchHistory'!$B:$B, $A87, 'Season 1 - MatchHistory'!$C:$C, "Mafia", 'Season 1 - MatchHistory'!$D:$D, "Win")</f>
        <v>3</v>
      </c>
      <c r="G87" s="102">
        <f>IFERROR(__xludf.DUMMYFUNCTION("TO_PERCENT(IFERROR($F87/$E87, 0))"),0.6)</f>
        <v>0.6</v>
      </c>
      <c r="H87" s="102">
        <f>IFERROR(__xludf.DUMMYFUNCTION("TO_PERCENT(IFERROR(($F87+$C87)/($E87+$B87), 0))"),0.3333333333333333)</f>
        <v>0.3333333333</v>
      </c>
      <c r="I87" s="103">
        <f t="array" ref="I87">INDEX('Season 1 - MatchHistory'!$G:$G,MATCH(1,('Season 1 - MatchHistory'!$B:$B=$A87)*('Season 1 - MatchHistory'!$G:$G&lt;&gt;""),0))</f>
        <v>21.87339903</v>
      </c>
      <c r="J87" s="103">
        <f t="array" ref="J87">INDEX('Season 1 - MatchHistory'!$H:$H,MATCH(1,('Season 1 - MatchHistory'!$B:$B=$A87)*('Season 1 - MatchHistory'!$H:$H&lt;&gt;""),0))</f>
        <v>7.352293917</v>
      </c>
      <c r="K87" s="104">
        <f t="array" ref="K87">INDEX('Season 1 - MatchHistory'!$J:$J,MATCH(1,('Season 1 - MatchHistory'!$B:$B=$A87)*('Season 1 - MatchHistory'!$J:$J&lt;&gt;""),0))</f>
        <v>737</v>
      </c>
    </row>
    <row r="88" ht="22.5" customHeight="1">
      <c r="A88" s="101" t="s">
        <v>19</v>
      </c>
      <c r="B88" s="101">
        <f>COUNTIFS('Season 1 - MatchHistory'!$B:$B, $A88, 'Season 1 - MatchHistory'!$C:$C, "Town")</f>
        <v>6</v>
      </c>
      <c r="C88" s="101">
        <f>COUNTIFS('Season 1 - MatchHistory'!B:B, A88, 'Season 1 - MatchHistory'!C:C, "Town", 'Season 1 - MatchHistory'!D:D, "Win")</f>
        <v>1</v>
      </c>
      <c r="D88" s="102">
        <f>IFERROR(__xludf.DUMMYFUNCTION("IF(EQ($B88, 0), TO_PERCENT(0), TO_PERCENT($C88/$B88))"),0.16666666666666666)</f>
        <v>0.1666666667</v>
      </c>
      <c r="E88" s="101">
        <f>COUNTIFS('Season 1 - MatchHistory'!$B:$B, $A88, 'Season 1 - MatchHistory'!$C:$C, "Mafia")</f>
        <v>0</v>
      </c>
      <c r="F88" s="101">
        <f>COUNTIFS('Season 1 - MatchHistory'!$B:$B, $A88, 'Season 1 - MatchHistory'!$C:$C, "Mafia", 'Season 1 - MatchHistory'!$D:$D, "Win")</f>
        <v>0</v>
      </c>
      <c r="G88" s="102">
        <f>IFERROR(__xludf.DUMMYFUNCTION("TO_PERCENT(IFERROR($F88/$E88, 0))"),0.0)</f>
        <v>0</v>
      </c>
      <c r="H88" s="102">
        <f>IFERROR(__xludf.DUMMYFUNCTION("TO_PERCENT(IFERROR(($F88+$C88)/($E88+$B88), 0))"),0.16666666666666666)</f>
        <v>0.1666666667</v>
      </c>
      <c r="I88" s="103">
        <f t="array" ref="I88">INDEX('Season 1 - MatchHistory'!$G:$G,MATCH(1,('Season 1 - MatchHistory'!$B:$B=$A88)*('Season 1 - MatchHistory'!$G:$G&lt;&gt;""),0))</f>
        <v>22.81131674</v>
      </c>
      <c r="J88" s="103">
        <f t="array" ref="J88">INDEX('Season 1 - MatchHistory'!$H:$H,MATCH(1,('Season 1 - MatchHistory'!$B:$B=$A88)*('Season 1 - MatchHistory'!$H:$H&lt;&gt;""),0))</f>
        <v>8.04008895</v>
      </c>
      <c r="K88" s="104">
        <f t="array" ref="K88">INDEX('Season 1 - MatchHistory'!$J:$J,MATCH(1,('Season 1 - MatchHistory'!$B:$B=$A88)*('Season 1 - MatchHistory'!$J:$J&lt;&gt;""),0))</f>
        <v>731</v>
      </c>
    </row>
    <row r="89" ht="22.5" customHeight="1">
      <c r="A89" s="101" t="s">
        <v>183</v>
      </c>
      <c r="B89" s="101">
        <f>COUNTIFS('Season 1 - MatchHistory'!$B:$B, $A89, 'Season 1 - MatchHistory'!$C:$C, "Town")</f>
        <v>1</v>
      </c>
      <c r="C89" s="101">
        <f>COUNTIFS('Season 1 - MatchHistory'!B:B, A89, 'Season 1 - MatchHistory'!C:C, "Town", 'Season 1 - MatchHistory'!D:D, "Win")</f>
        <v>0</v>
      </c>
      <c r="D89" s="102">
        <f>IFERROR(__xludf.DUMMYFUNCTION("IF(EQ($B89, 0), TO_PERCENT(0), TO_PERCENT($C89/$B89))"),0.0)</f>
        <v>0</v>
      </c>
      <c r="E89" s="101">
        <f>COUNTIFS('Season 1 - MatchHistory'!$B:$B, $A89, 'Season 1 - MatchHistory'!$C:$C, "Mafia")</f>
        <v>1</v>
      </c>
      <c r="F89" s="101">
        <f>COUNTIFS('Season 1 - MatchHistory'!$B:$B, $A89, 'Season 1 - MatchHistory'!$C:$C, "Mafia", 'Season 1 - MatchHistory'!$D:$D, "Win")</f>
        <v>0</v>
      </c>
      <c r="G89" s="102">
        <f>IFERROR(__xludf.DUMMYFUNCTION("TO_PERCENT(IFERROR($F89/$E89, 0))"),0.0)</f>
        <v>0</v>
      </c>
      <c r="H89" s="102">
        <f>IFERROR(__xludf.DUMMYFUNCTION("TO_PERCENT(IFERROR(($F89+$C89)/($E89+$B89), 0))"),0.0)</f>
        <v>0</v>
      </c>
      <c r="I89" s="103">
        <f t="array" ref="I89">INDEX('Season 1 - MatchHistory'!$G:$G,MATCH(1,('Season 1 - MatchHistory'!$B:$B=$A89)*('Season 1 - MatchHistory'!$G:$G&lt;&gt;""),0))</f>
        <v>23.07904167</v>
      </c>
      <c r="J89" s="103">
        <f t="array" ref="J89">INDEX('Season 1 - MatchHistory'!$H:$H,MATCH(1,('Season 1 - MatchHistory'!$B:$B=$A89)*('Season 1 - MatchHistory'!$H:$H&lt;&gt;""),0))</f>
        <v>8.21753949</v>
      </c>
      <c r="K89" s="104">
        <f t="array" ref="K89">INDEX('Season 1 - MatchHistory'!$J:$J,MATCH(1,('Season 1 - MatchHistory'!$B:$B=$A89)*('Season 1 - MatchHistory'!$J:$J&lt;&gt;""),0))</f>
        <v>731</v>
      </c>
    </row>
    <row r="90" ht="22.5" customHeight="1">
      <c r="A90" s="101" t="s">
        <v>184</v>
      </c>
      <c r="B90" s="101">
        <f>COUNTIFS('Season 1 - MatchHistory'!$B:$B, $A90, 'Season 1 - MatchHistory'!$C:$C, "Town")</f>
        <v>2</v>
      </c>
      <c r="C90" s="101">
        <f>COUNTIFS('Season 1 - MatchHistory'!B:B, A90, 'Season 1 - MatchHistory'!C:C, "Town", 'Season 1 - MatchHistory'!D:D, "Win")</f>
        <v>0</v>
      </c>
      <c r="D90" s="102">
        <f>IFERROR(__xludf.DUMMYFUNCTION("IF(EQ($B90, 0), TO_PERCENT(0), TO_PERCENT($C90/$B90))"),0.0)</f>
        <v>0</v>
      </c>
      <c r="E90" s="101">
        <f>COUNTIFS('Season 1 - MatchHistory'!$B:$B, $A90, 'Season 1 - MatchHistory'!$C:$C, "Mafia")</f>
        <v>0</v>
      </c>
      <c r="F90" s="101">
        <f>COUNTIFS('Season 1 - MatchHistory'!$B:$B, $A90, 'Season 1 - MatchHistory'!$C:$C, "Mafia", 'Season 1 - MatchHistory'!$D:$D, "Win")</f>
        <v>0</v>
      </c>
      <c r="G90" s="102">
        <f>IFERROR(__xludf.DUMMYFUNCTION("TO_PERCENT(IFERROR($F90/$E90, 0))"),0.0)</f>
        <v>0</v>
      </c>
      <c r="H90" s="102">
        <f>IFERROR(__xludf.DUMMYFUNCTION("TO_PERCENT(IFERROR(($F90+$C90)/($E90+$B90), 0))"),0.0)</f>
        <v>0</v>
      </c>
      <c r="I90" s="103">
        <f t="array" ref="I90">INDEX('Season 1 - MatchHistory'!$G:$G,MATCH(1,('Season 1 - MatchHistory'!$B:$B=$A90)*('Season 1 - MatchHistory'!$G:$G&lt;&gt;""),0))</f>
        <v>23.0014484</v>
      </c>
      <c r="J90" s="103">
        <f t="array" ref="J90">INDEX('Season 1 - MatchHistory'!$H:$H,MATCH(1,('Season 1 - MatchHistory'!$B:$B=$A90)*('Season 1 - MatchHistory'!$H:$H&lt;&gt;""),0))</f>
        <v>8.212333696</v>
      </c>
      <c r="K90" s="104">
        <f t="array" ref="K90">INDEX('Season 1 - MatchHistory'!$J:$J,MATCH(1,('Season 1 - MatchHistory'!$B:$B=$A90)*('Season 1 - MatchHistory'!$J:$J&lt;&gt;""),0))</f>
        <v>726</v>
      </c>
    </row>
    <row r="91" ht="22.5" customHeight="1">
      <c r="A91" s="101" t="s">
        <v>73</v>
      </c>
      <c r="B91" s="101">
        <f>COUNTIFS('Season 1 - MatchHistory'!$B:$B, $A91, 'Season 1 - MatchHistory'!$C:$C, "Town")</f>
        <v>1</v>
      </c>
      <c r="C91" s="101">
        <f>COUNTIFS('Season 1 - MatchHistory'!B:B, A91, 'Season 1 - MatchHistory'!C:C, "Town", 'Season 1 - MatchHistory'!D:D, "Win")</f>
        <v>0</v>
      </c>
      <c r="D91" s="102">
        <f>IFERROR(__xludf.DUMMYFUNCTION("IF(EQ($B91, 0), TO_PERCENT(0), TO_PERCENT($C91/$B91))"),0.0)</f>
        <v>0</v>
      </c>
      <c r="E91" s="101">
        <f>COUNTIFS('Season 1 - MatchHistory'!$B:$B, $A91, 'Season 1 - MatchHistory'!$C:$C, "Mafia")</f>
        <v>1</v>
      </c>
      <c r="F91" s="101">
        <f>COUNTIFS('Season 1 - MatchHistory'!$B:$B, $A91, 'Season 1 - MatchHistory'!$C:$C, "Mafia", 'Season 1 - MatchHistory'!$D:$D, "Win")</f>
        <v>0</v>
      </c>
      <c r="G91" s="102">
        <f>IFERROR(__xludf.DUMMYFUNCTION("TO_PERCENT(IFERROR($F91/$E91, 0))"),0.0)</f>
        <v>0</v>
      </c>
      <c r="H91" s="102">
        <f>IFERROR(__xludf.DUMMYFUNCTION("TO_PERCENT(IFERROR(($F91+$C91)/($E91+$B91), 0))"),0.0)</f>
        <v>0</v>
      </c>
      <c r="I91" s="103">
        <f t="array" ref="I91">INDEX('Season 1 - MatchHistory'!$G:$G,MATCH(1,('Season 1 - MatchHistory'!$B:$B=$A91)*('Season 1 - MatchHistory'!$G:$G&lt;&gt;""),0))</f>
        <v>22.88384314</v>
      </c>
      <c r="J91" s="103">
        <f t="array" ref="J91">INDEX('Season 1 - MatchHistory'!$H:$H,MATCH(1,('Season 1 - MatchHistory'!$B:$B=$A91)*('Season 1 - MatchHistory'!$H:$H&lt;&gt;""),0))</f>
        <v>8.212348196</v>
      </c>
      <c r="K91" s="104">
        <f t="array" ref="K91">INDEX('Season 1 - MatchHistory'!$J:$J,MATCH(1,('Season 1 - MatchHistory'!$B:$B=$A91)*('Season 1 - MatchHistory'!$J:$J&lt;&gt;""),0))</f>
        <v>718</v>
      </c>
      <c r="L91" s="88" t="str">
        <f>'Season 1 - MafiaRatings'!H:H</f>
        <v/>
      </c>
      <c r="M91" s="88" t="str">
        <f>'Season 1 - MafiaRatings'!I:I</f>
        <v/>
      </c>
      <c r="N91" s="88" t="str">
        <f>'Season 1 - MafiaRatings'!J:J</f>
        <v/>
      </c>
      <c r="O91" s="88" t="str">
        <f>'Season 1 - MafiaRatings'!K:K</f>
        <v/>
      </c>
      <c r="P91" s="88" t="str">
        <f>'Season 1 - MafiaRatings'!L:L</f>
        <v/>
      </c>
      <c r="Q91" s="88" t="str">
        <f>'Season 1 - MafiaRatings'!M:M</f>
        <v/>
      </c>
      <c r="R91" s="88" t="str">
        <f>'Season 1 - MafiaRatings'!N:N</f>
        <v/>
      </c>
      <c r="S91" s="88" t="str">
        <f>'Season 1 - MafiaRatings'!O:O</f>
        <v/>
      </c>
      <c r="T91" s="88" t="str">
        <f>'Season 1 - MafiaRatings'!P:P</f>
        <v/>
      </c>
      <c r="U91" s="88" t="str">
        <f>'Season 1 - MafiaRatings'!Q:Q</f>
        <v/>
      </c>
      <c r="V91" s="88" t="str">
        <f>'Season 1 - MafiaRatings'!R:R</f>
        <v/>
      </c>
      <c r="W91" s="88" t="str">
        <f>'Season 1 - MafiaRatings'!S:S</f>
        <v/>
      </c>
      <c r="X91" s="88" t="str">
        <f>'Season 1 - MafiaRatings'!T:T</f>
        <v/>
      </c>
      <c r="Y91" s="88" t="str">
        <f>'Season 1 - MafiaRatings'!U:U</f>
        <v/>
      </c>
      <c r="Z91" s="88" t="str">
        <f>'Season 1 - MafiaRatings'!V:V</f>
        <v/>
      </c>
      <c r="AA91" s="88" t="str">
        <f>'Season 1 - MafiaRatings'!W:W</f>
        <v/>
      </c>
      <c r="AB91" s="88" t="str">
        <f>'Season 1 - MafiaRatings'!X:X</f>
        <v/>
      </c>
      <c r="AC91" s="88" t="str">
        <f>'Season 1 - MafiaRatings'!Y:Y</f>
        <v/>
      </c>
      <c r="AD91" s="88" t="str">
        <f>'Season 1 - MafiaRatings'!Z:Z</f>
        <v/>
      </c>
      <c r="AE91" s="88" t="str">
        <f>'Season 1 - MafiaRatings'!AA:AA</f>
        <v/>
      </c>
    </row>
    <row r="92" ht="22.5" customHeight="1">
      <c r="A92" s="101" t="s">
        <v>102</v>
      </c>
      <c r="B92" s="101">
        <f>COUNTIFS('Season 1 - MatchHistory'!$B:$B, $A92, 'Season 1 - MatchHistory'!$C:$C, "Town")</f>
        <v>5</v>
      </c>
      <c r="C92" s="101">
        <f>COUNTIFS('Season 1 - MatchHistory'!B:B, A92, 'Season 1 - MatchHistory'!C:C, "Town", 'Season 1 - MatchHistory'!D:D, "Win")</f>
        <v>0</v>
      </c>
      <c r="D92" s="102">
        <f>IFERROR(__xludf.DUMMYFUNCTION("IF(EQ($B92, 0), TO_PERCENT(0), TO_PERCENT($C92/$B92))"),0.0)</f>
        <v>0</v>
      </c>
      <c r="E92" s="101">
        <f>COUNTIFS('Season 1 - MatchHistory'!$B:$B, $A92, 'Season 1 - MatchHistory'!$C:$C, "Mafia")</f>
        <v>1</v>
      </c>
      <c r="F92" s="101">
        <f>COUNTIFS('Season 1 - MatchHistory'!$B:$B, $A92, 'Season 1 - MatchHistory'!$C:$C, "Mafia", 'Season 1 - MatchHistory'!$D:$D, "Win")</f>
        <v>1</v>
      </c>
      <c r="G92" s="102">
        <f>IFERROR(__xludf.DUMMYFUNCTION("TO_PERCENT(IFERROR($F92/$E92, 0))"),1.0)</f>
        <v>1</v>
      </c>
      <c r="H92" s="102">
        <f>IFERROR(__xludf.DUMMYFUNCTION("TO_PERCENT(IFERROR(($F92+$C92)/($E92+$B92), 0))"),0.16666666666666666)</f>
        <v>0.1666666667</v>
      </c>
      <c r="I92" s="103">
        <f t="array" ref="I92">INDEX('Season 1 - MatchHistory'!$G:$G,MATCH(1,('Season 1 - MatchHistory'!$B:$B=$A92)*('Season 1 - MatchHistory'!$G:$G&lt;&gt;""),0))</f>
        <v>22.23645854</v>
      </c>
      <c r="J92" s="103">
        <f t="array" ref="J92">INDEX('Season 1 - MatchHistory'!$H:$H,MATCH(1,('Season 1 - MatchHistory'!$B:$B=$A92)*('Season 1 - MatchHistory'!$H:$H&lt;&gt;""),0))</f>
        <v>8.048504563</v>
      </c>
      <c r="K92" s="104">
        <f t="array" ref="K92">INDEX('Season 1 - MatchHistory'!$J:$J,MATCH(1,('Season 1 - MatchHistory'!$B:$B=$A92)*('Season 1 - MatchHistory'!$J:$J&lt;&gt;""),0))</f>
        <v>691</v>
      </c>
    </row>
    <row r="93" ht="22.5" customHeight="1">
      <c r="A93" s="101" t="s">
        <v>16</v>
      </c>
      <c r="B93" s="101">
        <f>COUNTIFS('Season 1 - MatchHistory'!$B:$B, $A93, 'Season 1 - MatchHistory'!$C:$C, "Town")</f>
        <v>11</v>
      </c>
      <c r="C93" s="101">
        <f>COUNTIFS('Season 1 - MatchHistory'!B:B, A93, 'Season 1 - MatchHistory'!C:C, "Town", 'Season 1 - MatchHistory'!D:D, "Win")</f>
        <v>3</v>
      </c>
      <c r="D93" s="102">
        <f>IFERROR(__xludf.DUMMYFUNCTION("IF(EQ($B93, 0), TO_PERCENT(0), TO_PERCENT($C93/$B93))"),0.2727272727272727)</f>
        <v>0.2727272727</v>
      </c>
      <c r="E93" s="101">
        <f>COUNTIFS('Season 1 - MatchHistory'!$B:$B, $A93, 'Season 1 - MatchHistory'!$C:$C, "Mafia")</f>
        <v>8</v>
      </c>
      <c r="F93" s="101">
        <f>COUNTIFS('Season 1 - MatchHistory'!$B:$B, $A93, 'Season 1 - MatchHistory'!$C:$C, "Mafia", 'Season 1 - MatchHistory'!$D:$D, "Win")</f>
        <v>3</v>
      </c>
      <c r="G93" s="102">
        <f>IFERROR(__xludf.DUMMYFUNCTION("TO_PERCENT(IFERROR($F93/$E93, 0))"),0.375)</f>
        <v>0.375</v>
      </c>
      <c r="H93" s="102">
        <f>IFERROR(__xludf.DUMMYFUNCTION("TO_PERCENT(IFERROR(($F93+$C93)/($E93+$B93), 0))"),0.3157894736842105)</f>
        <v>0.3157894737</v>
      </c>
      <c r="I93" s="103">
        <f t="array" ref="I93">INDEX('Season 1 - MatchHistory'!$G:$G,MATCH(1,('Season 1 - MatchHistory'!$B:$B=$A93)*('Season 1 - MatchHistory'!$G:$G&lt;&gt;""),0))</f>
        <v>21.19534948</v>
      </c>
      <c r="J93" s="103">
        <f t="array" ref="J93">INDEX('Season 1 - MatchHistory'!$H:$H,MATCH(1,('Season 1 - MatchHistory'!$B:$B=$A93)*('Season 1 - MatchHistory'!$H:$H&lt;&gt;""),0))</f>
        <v>7.434787825</v>
      </c>
      <c r="K93" s="104">
        <f t="array" ref="K93">INDEX('Season 1 - MatchHistory'!$J:$J,MATCH(1,('Season 1 - MatchHistory'!$B:$B=$A93)*('Season 1 - MatchHistory'!$J:$J&lt;&gt;""),0))</f>
        <v>683</v>
      </c>
    </row>
    <row r="94" ht="22.5" customHeight="1">
      <c r="A94" s="101" t="s">
        <v>124</v>
      </c>
      <c r="B94" s="101">
        <f>COUNTIFS('Season 1 - MatchHistory'!$B:$B, $A94, 'Season 1 - MatchHistory'!$C:$C, "Town")</f>
        <v>4</v>
      </c>
      <c r="C94" s="101">
        <f>COUNTIFS('Season 1 - MatchHistory'!B:B, A94, 'Season 1 - MatchHistory'!C:C, "Town", 'Season 1 - MatchHistory'!D:D, "Win")</f>
        <v>0</v>
      </c>
      <c r="D94" s="102">
        <f>IFERROR(__xludf.DUMMYFUNCTION("IF(EQ($B94, 0), TO_PERCENT(0), TO_PERCENT($C94/$B94))"),0.0)</f>
        <v>0</v>
      </c>
      <c r="E94" s="101">
        <f>COUNTIFS('Season 1 - MatchHistory'!$B:$B, $A94, 'Season 1 - MatchHistory'!$C:$C, "Mafia")</f>
        <v>0</v>
      </c>
      <c r="F94" s="101">
        <f>COUNTIFS('Season 1 - MatchHistory'!$B:$B, $A94, 'Season 1 - MatchHistory'!$C:$C, "Mafia", 'Season 1 - MatchHistory'!$D:$D, "Win")</f>
        <v>0</v>
      </c>
      <c r="G94" s="102">
        <f>IFERROR(__xludf.DUMMYFUNCTION("TO_PERCENT(IFERROR($F94/$E94, 0))"),0.0)</f>
        <v>0</v>
      </c>
      <c r="H94" s="102">
        <f>IFERROR(__xludf.DUMMYFUNCTION("TO_PERCENT(IFERROR(($F94+$C94)/($E94+$B94), 0))"),0.0)</f>
        <v>0</v>
      </c>
      <c r="I94" s="103">
        <f t="array" ref="I94">INDEX('Season 1 - MatchHistory'!$G:$G,MATCH(1,('Season 1 - MatchHistory'!$B:$B=$A94)*('Season 1 - MatchHistory'!$G:$G&lt;&gt;""),0))</f>
        <v>22.02648524</v>
      </c>
      <c r="J94" s="103">
        <f t="array" ref="J94">INDEX('Season 1 - MatchHistory'!$H:$H,MATCH(1,('Season 1 - MatchHistory'!$B:$B=$A94)*('Season 1 - MatchHistory'!$H:$H&lt;&gt;""),0))</f>
        <v>8.129082682</v>
      </c>
      <c r="K94" s="104">
        <f t="array" ref="K94">INDEX('Season 1 - MatchHistory'!$J:$J,MATCH(1,('Season 1 - MatchHistory'!$B:$B=$A94)*('Season 1 - MatchHistory'!$J:$J&lt;&gt;""),0))</f>
        <v>669</v>
      </c>
    </row>
    <row r="95" ht="22.5" customHeight="1">
      <c r="A95" s="101" t="s">
        <v>70</v>
      </c>
      <c r="B95" s="101">
        <f>COUNTIFS('Season 1 - MatchHistory'!$B:$B, $A95, 'Season 1 - MatchHistory'!$C:$C, "Town")</f>
        <v>11</v>
      </c>
      <c r="C95" s="101">
        <f>COUNTIFS('Season 1 - MatchHistory'!B:B, A95, 'Season 1 - MatchHistory'!C:C, "Town", 'Season 1 - MatchHistory'!D:D, "Win")</f>
        <v>2</v>
      </c>
      <c r="D95" s="102">
        <f>IFERROR(__xludf.DUMMYFUNCTION("IF(EQ($B95, 0), TO_PERCENT(0), TO_PERCENT($C95/$B95))"),0.18181818181818182)</f>
        <v>0.1818181818</v>
      </c>
      <c r="E95" s="101">
        <f>COUNTIFS('Season 1 - MatchHistory'!$B:$B, $A95, 'Season 1 - MatchHistory'!$C:$C, "Mafia")</f>
        <v>3</v>
      </c>
      <c r="F95" s="101">
        <f>COUNTIFS('Season 1 - MatchHistory'!$B:$B, $A95, 'Season 1 - MatchHistory'!$C:$C, "Mafia", 'Season 1 - MatchHistory'!$D:$D, "Win")</f>
        <v>2</v>
      </c>
      <c r="G95" s="102">
        <f>IFERROR(__xludf.DUMMYFUNCTION("TO_PERCENT(IFERROR($F95/$E95, 0))"),0.6666666666666666)</f>
        <v>0.6666666667</v>
      </c>
      <c r="H95" s="102">
        <f>IFERROR(__xludf.DUMMYFUNCTION("TO_PERCENT(IFERROR(($F95+$C95)/($E95+$B95), 0))"),0.2857142857142857)</f>
        <v>0.2857142857</v>
      </c>
      <c r="I95" s="103">
        <f t="array" ref="I95">INDEX('Season 1 - MatchHistory'!$G:$G,MATCH(1,('Season 1 - MatchHistory'!$B:$B=$A95)*('Season 1 - MatchHistory'!$G:$G&lt;&gt;""),0))</f>
        <v>21.16938926</v>
      </c>
      <c r="J95" s="103">
        <f t="array" ref="J95">INDEX('Season 1 - MatchHistory'!$H:$H,MATCH(1,('Season 1 - MatchHistory'!$B:$B=$A95)*('Season 1 - MatchHistory'!$H:$H&lt;&gt;""),0))</f>
        <v>7.655951093</v>
      </c>
      <c r="K95" s="104">
        <f t="array" ref="K95">INDEX('Season 1 - MatchHistory'!$J:$J,MATCH(1,('Season 1 - MatchHistory'!$B:$B=$A95)*('Season 1 - MatchHistory'!$J:$J&lt;&gt;""),0))</f>
        <v>659</v>
      </c>
    </row>
    <row r="96" ht="22.5" customHeight="1">
      <c r="A96" s="101" t="s">
        <v>91</v>
      </c>
      <c r="B96" s="101">
        <f>COUNTIFS('Season 1 - MatchHistory'!$B:$B, $A96, 'Season 1 - MatchHistory'!$C:$C, "Town")</f>
        <v>5</v>
      </c>
      <c r="C96" s="101">
        <f>COUNTIFS('Season 1 - MatchHistory'!B:B, A96, 'Season 1 - MatchHistory'!C:C, "Town", 'Season 1 - MatchHistory'!D:D, "Win")</f>
        <v>2</v>
      </c>
      <c r="D96" s="102">
        <f>IFERROR(__xludf.DUMMYFUNCTION("IF(EQ($B96, 0), TO_PERCENT(0), TO_PERCENT($C96/$B96))"),0.4)</f>
        <v>0.4</v>
      </c>
      <c r="E96" s="101">
        <f>COUNTIFS('Season 1 - MatchHistory'!$B:$B, $A96, 'Season 1 - MatchHistory'!$C:$C, "Mafia")</f>
        <v>3</v>
      </c>
      <c r="F96" s="101">
        <f>COUNTIFS('Season 1 - MatchHistory'!$B:$B, $A96, 'Season 1 - MatchHistory'!$C:$C, "Mafia", 'Season 1 - MatchHistory'!$D:$D, "Win")</f>
        <v>0</v>
      </c>
      <c r="G96" s="102">
        <f>IFERROR(__xludf.DUMMYFUNCTION("TO_PERCENT(IFERROR($F96/$E96, 0))"),0.0)</f>
        <v>0</v>
      </c>
      <c r="H96" s="102">
        <f>IFERROR(__xludf.DUMMYFUNCTION("TO_PERCENT(IFERROR(($F96+$C96)/($E96+$B96), 0))"),0.25)</f>
        <v>0.25</v>
      </c>
      <c r="I96" s="103">
        <f t="array" ref="I96">INDEX('Season 1 - MatchHistory'!$G:$G,MATCH(1,('Season 1 - MatchHistory'!$B:$B=$A96)*('Season 1 - MatchHistory'!$G:$G&lt;&gt;""),0))</f>
        <v>21.09940308</v>
      </c>
      <c r="J96" s="103">
        <f t="array" ref="J96">INDEX('Season 1 - MatchHistory'!$H:$H,MATCH(1,('Season 1 - MatchHistory'!$B:$B=$A96)*('Season 1 - MatchHistory'!$H:$H&lt;&gt;""),0))</f>
        <v>7.871924351</v>
      </c>
      <c r="K96" s="104">
        <f t="array" ref="K96">INDEX('Season 1 - MatchHistory'!$J:$J,MATCH(1,('Season 1 - MatchHistory'!$B:$B=$A96)*('Season 1 - MatchHistory'!$J:$J&lt;&gt;""),0))</f>
        <v>632</v>
      </c>
    </row>
    <row r="97" ht="22.5" customHeight="1">
      <c r="A97" s="101" t="s">
        <v>28</v>
      </c>
      <c r="B97" s="101">
        <f>COUNTIFS('Season 1 - MatchHistory'!$B:$B, $A97, 'Season 1 - MatchHistory'!$C:$C, "Town")</f>
        <v>12</v>
      </c>
      <c r="C97" s="101">
        <f>COUNTIFS('Season 1 - MatchHistory'!B:B, A97, 'Season 1 - MatchHistory'!C:C, "Town", 'Season 1 - MatchHistory'!D:D, "Win")</f>
        <v>3</v>
      </c>
      <c r="D97" s="102">
        <f>IFERROR(__xludf.DUMMYFUNCTION("IF(EQ($B97, 0), TO_PERCENT(0), TO_PERCENT($C97/$B97))"),0.25)</f>
        <v>0.25</v>
      </c>
      <c r="E97" s="101">
        <f>COUNTIFS('Season 1 - MatchHistory'!$B:$B, $A97, 'Season 1 - MatchHistory'!$C:$C, "Mafia")</f>
        <v>2</v>
      </c>
      <c r="F97" s="101">
        <f>COUNTIFS('Season 1 - MatchHistory'!$B:$B, $A97, 'Season 1 - MatchHistory'!$C:$C, "Mafia", 'Season 1 - MatchHistory'!$D:$D, "Win")</f>
        <v>0</v>
      </c>
      <c r="G97" s="102">
        <f>IFERROR(__xludf.DUMMYFUNCTION("TO_PERCENT(IFERROR($F97/$E97, 0))"),0.0)</f>
        <v>0</v>
      </c>
      <c r="H97" s="102">
        <f>IFERROR(__xludf.DUMMYFUNCTION("TO_PERCENT(IFERROR(($F97+$C97)/($E97+$B97), 0))"),0.21428571428571427)</f>
        <v>0.2142857143</v>
      </c>
      <c r="I97" s="103">
        <f t="array" ref="I97">INDEX('Season 1 - MatchHistory'!$G:$G,MATCH(1,('Season 1 - MatchHistory'!$B:$B=$A97)*('Season 1 - MatchHistory'!$G:$G&lt;&gt;""),0))</f>
        <v>20.63934994</v>
      </c>
      <c r="J97" s="103">
        <f t="array" ref="J97">INDEX('Season 1 - MatchHistory'!$H:$H,MATCH(1,('Season 1 - MatchHistory'!$B:$B=$A97)*('Season 1 - MatchHistory'!$H:$H&lt;&gt;""),0))</f>
        <v>7.676770276</v>
      </c>
      <c r="K97" s="104">
        <f t="array" ref="K97">INDEX('Season 1 - MatchHistory'!$J:$J,MATCH(1,('Season 1 - MatchHistory'!$B:$B=$A97)*('Season 1 - MatchHistory'!$J:$J&lt;&gt;""),0))</f>
        <v>620</v>
      </c>
    </row>
    <row r="98" ht="22.5" customHeight="1">
      <c r="A98" s="101" t="s">
        <v>32</v>
      </c>
      <c r="B98" s="101">
        <f>COUNTIFS('Season 1 - MatchHistory'!$B:$B, $A98, 'Season 1 - MatchHistory'!$C:$C, "Town")</f>
        <v>16</v>
      </c>
      <c r="C98" s="101">
        <f>COUNTIFS('Season 1 - MatchHistory'!B:B, A98, 'Season 1 - MatchHistory'!C:C, "Town", 'Season 1 - MatchHistory'!D:D, "Win")</f>
        <v>3</v>
      </c>
      <c r="D98" s="102">
        <f>IFERROR(__xludf.DUMMYFUNCTION("IF(EQ($B98, 0), TO_PERCENT(0), TO_PERCENT($C98/$B98))"),0.1875)</f>
        <v>0.1875</v>
      </c>
      <c r="E98" s="101">
        <f>COUNTIFS('Season 1 - MatchHistory'!$B:$B, $A98, 'Season 1 - MatchHistory'!$C:$C, "Mafia")</f>
        <v>4</v>
      </c>
      <c r="F98" s="101">
        <f>COUNTIFS('Season 1 - MatchHistory'!$B:$B, $A98, 'Season 1 - MatchHistory'!$C:$C, "Mafia", 'Season 1 - MatchHistory'!$D:$D, "Win")</f>
        <v>1</v>
      </c>
      <c r="G98" s="102">
        <f>IFERROR(__xludf.DUMMYFUNCTION("TO_PERCENT(IFERROR($F98/$E98, 0))"),0.25)</f>
        <v>0.25</v>
      </c>
      <c r="H98" s="102">
        <f>IFERROR(__xludf.DUMMYFUNCTION("TO_PERCENT(IFERROR(($F98+$C98)/($E98+$B98), 0))"),0.2)</f>
        <v>0.2</v>
      </c>
      <c r="I98" s="103">
        <f t="array" ref="I98">INDEX('Season 1 - MatchHistory'!$G:$G,MATCH(1,('Season 1 - MatchHistory'!$B:$B=$A98)*('Season 1 - MatchHistory'!$G:$G&lt;&gt;""),0))</f>
        <v>17.89052556</v>
      </c>
      <c r="J98" s="103">
        <f t="array" ref="J98">INDEX('Season 1 - MatchHistory'!$H:$H,MATCH(1,('Season 1 - MatchHistory'!$B:$B=$A98)*('Season 1 - MatchHistory'!$H:$H&lt;&gt;""),0))</f>
        <v>7.435910368</v>
      </c>
      <c r="K98" s="104">
        <f t="array" ref="K98">INDEX('Season 1 - MatchHistory'!$J:$J,MATCH(1,('Season 1 - MatchHistory'!$B:$B=$A98)*('Season 1 - MatchHistory'!$J:$J&lt;&gt;""),0))</f>
        <v>458</v>
      </c>
    </row>
    <row r="99">
      <c r="B99" s="2"/>
      <c r="I99" s="89"/>
      <c r="J99" s="89"/>
      <c r="K99" s="90"/>
    </row>
    <row r="100">
      <c r="B100" s="2"/>
      <c r="I100" s="89"/>
      <c r="J100" s="89"/>
      <c r="K100" s="90"/>
    </row>
    <row r="101">
      <c r="B101" s="2"/>
      <c r="I101" s="89"/>
      <c r="J101" s="89"/>
      <c r="K101" s="90"/>
    </row>
    <row r="102">
      <c r="B102" s="2"/>
      <c r="I102" s="89"/>
      <c r="J102" s="89"/>
      <c r="K102" s="90"/>
    </row>
    <row r="103">
      <c r="B103" s="2"/>
      <c r="I103" s="89"/>
      <c r="J103" s="89"/>
      <c r="K103" s="90"/>
    </row>
    <row r="104">
      <c r="B104" s="2"/>
      <c r="I104" s="89"/>
      <c r="J104" s="89"/>
      <c r="K104" s="90"/>
    </row>
    <row r="105">
      <c r="A105" s="88" t="str">
        <f>'Season 1 - MafiaRatings'!A:A</f>
        <v/>
      </c>
      <c r="B105" s="2"/>
      <c r="I105" s="89"/>
      <c r="J105" s="89"/>
      <c r="K105" s="90"/>
    </row>
    <row r="106">
      <c r="A106" s="88" t="str">
        <f>'Season 1 - MafiaRatings'!A:A</f>
        <v/>
      </c>
      <c r="B106" s="2"/>
      <c r="I106" s="89"/>
      <c r="J106" s="89"/>
      <c r="K106" s="90"/>
    </row>
    <row r="107">
      <c r="A107" s="88" t="str">
        <f>'Season 1 - MafiaRatings'!A:A</f>
        <v/>
      </c>
      <c r="B107" s="2"/>
      <c r="I107" s="89"/>
      <c r="J107" s="89"/>
      <c r="K107" s="90"/>
    </row>
    <row r="108">
      <c r="A108" s="88" t="str">
        <f>'Season 1 - MafiaRatings'!A:A</f>
        <v/>
      </c>
      <c r="B108" s="2"/>
      <c r="I108" s="89"/>
      <c r="J108" s="89"/>
      <c r="K108" s="90"/>
    </row>
    <row r="109">
      <c r="A109" s="88" t="str">
        <f>'Season 1 - MafiaRatings'!A:A</f>
        <v/>
      </c>
      <c r="B109" s="2"/>
      <c r="I109" s="89"/>
      <c r="J109" s="89"/>
      <c r="K109" s="90"/>
    </row>
    <row r="110">
      <c r="A110" s="88" t="str">
        <f>'Season 1 - MafiaRatings'!A:A</f>
        <v/>
      </c>
      <c r="B110" s="2"/>
      <c r="I110" s="89"/>
      <c r="J110" s="89"/>
      <c r="K110" s="90"/>
    </row>
    <row r="111">
      <c r="A111" s="88" t="str">
        <f>'Season 1 - MafiaRatings'!A:A</f>
        <v/>
      </c>
      <c r="B111" s="2"/>
      <c r="I111" s="89"/>
      <c r="J111" s="89"/>
      <c r="K111" s="90"/>
    </row>
    <row r="112">
      <c r="A112" s="88" t="str">
        <f>'Season 1 - MafiaRatings'!A:A</f>
        <v/>
      </c>
      <c r="B112" s="2"/>
      <c r="I112" s="89"/>
      <c r="J112" s="89"/>
      <c r="K112" s="90"/>
    </row>
    <row r="113">
      <c r="A113" s="88" t="str">
        <f>'Season 1 - MafiaRatings'!A:A</f>
        <v/>
      </c>
      <c r="B113" s="2"/>
      <c r="I113" s="89"/>
      <c r="J113" s="89"/>
      <c r="K113" s="90"/>
    </row>
    <row r="114">
      <c r="A114" s="88" t="str">
        <f>'Season 1 - MafiaRatings'!A:A</f>
        <v/>
      </c>
      <c r="B114" s="2"/>
      <c r="I114" s="89"/>
      <c r="J114" s="89"/>
      <c r="K114" s="90"/>
    </row>
    <row r="115">
      <c r="A115" s="88" t="str">
        <f>'Season 1 - MafiaRatings'!A:A</f>
        <v/>
      </c>
      <c r="B115" s="2"/>
      <c r="I115" s="89"/>
      <c r="J115" s="89"/>
      <c r="K115" s="90"/>
    </row>
    <row r="116">
      <c r="A116" s="88" t="str">
        <f>'Season 1 - MafiaRatings'!A:A</f>
        <v/>
      </c>
      <c r="B116" s="2"/>
      <c r="I116" s="89"/>
      <c r="J116" s="89"/>
      <c r="K116" s="90"/>
    </row>
    <row r="117">
      <c r="A117" s="88" t="str">
        <f>'Season 1 - MafiaRatings'!A:A</f>
        <v/>
      </c>
      <c r="B117" s="2"/>
      <c r="I117" s="89"/>
      <c r="J117" s="89"/>
      <c r="K117" s="90"/>
    </row>
    <row r="118">
      <c r="A118" s="88" t="str">
        <f>'Season 1 - MafiaRatings'!A:A</f>
        <v/>
      </c>
      <c r="B118" s="2"/>
      <c r="I118" s="89"/>
      <c r="J118" s="89"/>
      <c r="K118" s="90"/>
    </row>
    <row r="119">
      <c r="A119" s="88" t="str">
        <f>'Season 1 - MafiaRatings'!A:A</f>
        <v/>
      </c>
      <c r="B119" s="2"/>
      <c r="I119" s="89"/>
      <c r="J119" s="89"/>
      <c r="K119" s="90"/>
    </row>
    <row r="120">
      <c r="A120" s="88" t="str">
        <f>'Season 1 - MafiaRatings'!A:A</f>
        <v/>
      </c>
      <c r="B120" s="2"/>
      <c r="I120" s="89"/>
      <c r="J120" s="89"/>
      <c r="K120" s="90"/>
    </row>
    <row r="121">
      <c r="A121" s="88" t="str">
        <f>'Season 1 - MafiaRatings'!A:A</f>
        <v/>
      </c>
      <c r="B121" s="2"/>
      <c r="I121" s="89"/>
      <c r="J121" s="89"/>
      <c r="K121" s="90"/>
    </row>
    <row r="122">
      <c r="A122" s="88" t="str">
        <f>'Season 1 - MafiaRatings'!A:A</f>
        <v/>
      </c>
      <c r="B122" s="2"/>
      <c r="I122" s="89"/>
      <c r="J122" s="89"/>
      <c r="K122" s="90"/>
    </row>
    <row r="123">
      <c r="A123" s="88" t="str">
        <f>'Season 1 - MafiaRatings'!A:A</f>
        <v/>
      </c>
      <c r="B123" s="2"/>
      <c r="I123" s="89"/>
      <c r="J123" s="89"/>
      <c r="K123" s="90"/>
    </row>
    <row r="124">
      <c r="A124" s="88" t="str">
        <f>'Season 1 - MafiaRatings'!A:A</f>
        <v/>
      </c>
      <c r="B124" s="2"/>
      <c r="I124" s="89"/>
      <c r="J124" s="89"/>
      <c r="K124" s="90"/>
    </row>
    <row r="125">
      <c r="A125" s="88" t="str">
        <f>'Season 1 - MafiaRatings'!A:A</f>
        <v/>
      </c>
      <c r="B125" s="2"/>
      <c r="I125" s="89"/>
      <c r="J125" s="89"/>
      <c r="K125" s="90"/>
    </row>
    <row r="126">
      <c r="A126" s="88" t="str">
        <f>'Season 1 - MafiaRatings'!A:A</f>
        <v/>
      </c>
      <c r="B126" s="2"/>
      <c r="I126" s="89"/>
      <c r="J126" s="89"/>
      <c r="K126" s="90"/>
    </row>
    <row r="127">
      <c r="A127" s="88" t="str">
        <f>'Season 1 - MafiaRatings'!A:A</f>
        <v/>
      </c>
      <c r="B127" s="2"/>
      <c r="I127" s="89"/>
      <c r="J127" s="89"/>
      <c r="K127" s="90"/>
    </row>
    <row r="128">
      <c r="A128" s="88" t="str">
        <f>'Season 1 - MafiaRatings'!A:A</f>
        <v/>
      </c>
      <c r="B128" s="2"/>
      <c r="I128" s="89"/>
      <c r="J128" s="89"/>
      <c r="K128" s="90"/>
    </row>
    <row r="129">
      <c r="A129" s="88" t="str">
        <f>'Season 1 - MafiaRatings'!A:A</f>
        <v/>
      </c>
      <c r="B129" s="2"/>
      <c r="I129" s="89"/>
      <c r="J129" s="89"/>
      <c r="K129" s="90"/>
    </row>
    <row r="130">
      <c r="A130" s="88" t="str">
        <f>'Season 1 - MafiaRatings'!A:A</f>
        <v/>
      </c>
      <c r="B130" s="2"/>
      <c r="I130" s="89"/>
      <c r="J130" s="89"/>
      <c r="K130" s="90"/>
    </row>
    <row r="131">
      <c r="A131" s="88" t="str">
        <f>'Season 1 - MafiaRatings'!A:A</f>
        <v/>
      </c>
      <c r="B131" s="2"/>
      <c r="I131" s="89"/>
      <c r="J131" s="89"/>
      <c r="K131" s="90"/>
    </row>
    <row r="132">
      <c r="A132" s="88" t="str">
        <f>'Season 1 - MafiaRatings'!A:A</f>
        <v/>
      </c>
      <c r="B132" s="2"/>
      <c r="I132" s="89"/>
      <c r="J132" s="89"/>
      <c r="K132" s="90"/>
    </row>
    <row r="133">
      <c r="A133" s="88" t="str">
        <f>'Season 1 - MafiaRatings'!A:A</f>
        <v/>
      </c>
      <c r="B133" s="2"/>
      <c r="I133" s="89"/>
      <c r="J133" s="89"/>
      <c r="K133" s="90"/>
    </row>
    <row r="134">
      <c r="A134" s="88" t="str">
        <f>'Season 1 - MafiaRatings'!A:A</f>
        <v/>
      </c>
      <c r="B134" s="2"/>
      <c r="I134" s="89"/>
      <c r="J134" s="89"/>
      <c r="K134" s="90"/>
    </row>
    <row r="135">
      <c r="A135" s="88" t="str">
        <f>'Season 1 - MafiaRatings'!A:A</f>
        <v/>
      </c>
      <c r="B135" s="2"/>
      <c r="I135" s="89"/>
      <c r="J135" s="89"/>
      <c r="K135" s="90"/>
    </row>
    <row r="136">
      <c r="A136" s="88" t="str">
        <f>'Season 1 - MafiaRatings'!A:A</f>
        <v/>
      </c>
      <c r="B136" s="2"/>
      <c r="I136" s="89"/>
      <c r="J136" s="89"/>
      <c r="K136" s="90"/>
    </row>
    <row r="137">
      <c r="A137" s="88" t="str">
        <f>'Season 1 - MafiaRatings'!A:A</f>
        <v/>
      </c>
      <c r="B137" s="2"/>
      <c r="I137" s="89"/>
      <c r="J137" s="89"/>
      <c r="K137" s="90"/>
    </row>
    <row r="138">
      <c r="A138" s="88" t="str">
        <f>'Season 1 - MafiaRatings'!A:A</f>
        <v/>
      </c>
      <c r="B138" s="2"/>
      <c r="I138" s="89"/>
      <c r="J138" s="89"/>
      <c r="K138" s="90"/>
    </row>
    <row r="139">
      <c r="A139" s="88" t="str">
        <f>'Season 1 - MafiaRatings'!A:A</f>
        <v/>
      </c>
      <c r="B139" s="2"/>
      <c r="I139" s="89"/>
      <c r="J139" s="89"/>
      <c r="K139" s="90"/>
    </row>
    <row r="140">
      <c r="A140" s="88" t="str">
        <f>'Season 1 - MafiaRatings'!A:A</f>
        <v/>
      </c>
      <c r="B140" s="2"/>
      <c r="I140" s="89"/>
      <c r="J140" s="89"/>
      <c r="K140" s="90"/>
    </row>
    <row r="141">
      <c r="A141" s="88" t="str">
        <f>'Season 1 - MafiaRatings'!A:A</f>
        <v/>
      </c>
      <c r="B141" s="2"/>
      <c r="I141" s="89"/>
      <c r="J141" s="89"/>
      <c r="K141" s="90"/>
    </row>
    <row r="142">
      <c r="A142" s="88" t="str">
        <f>'Season 1 - MafiaRatings'!A:A</f>
        <v/>
      </c>
      <c r="B142" s="2"/>
      <c r="I142" s="89"/>
      <c r="J142" s="89"/>
      <c r="K142" s="90"/>
    </row>
    <row r="143">
      <c r="A143" s="88" t="str">
        <f>'Season 1 - MafiaRatings'!A:A</f>
        <v/>
      </c>
      <c r="B143" s="2"/>
      <c r="I143" s="89"/>
      <c r="J143" s="89"/>
      <c r="K143" s="90"/>
    </row>
    <row r="144">
      <c r="A144" s="88" t="str">
        <f>'Season 1 - MafiaRatings'!A:A</f>
        <v/>
      </c>
      <c r="B144" s="2"/>
      <c r="I144" s="89"/>
      <c r="J144" s="89"/>
      <c r="K144" s="90"/>
    </row>
    <row r="145">
      <c r="A145" s="88" t="str">
        <f>'Season 1 - MafiaRatings'!A:A</f>
        <v/>
      </c>
      <c r="B145" s="2"/>
      <c r="I145" s="89"/>
      <c r="J145" s="89"/>
      <c r="K145" s="90"/>
    </row>
    <row r="146">
      <c r="A146" s="88" t="str">
        <f>'Season 1 - MafiaRatings'!A:A</f>
        <v/>
      </c>
      <c r="B146" s="2"/>
      <c r="I146" s="89"/>
      <c r="J146" s="89"/>
      <c r="K146" s="90"/>
    </row>
    <row r="147">
      <c r="A147" s="88" t="str">
        <f>'Season 1 - MafiaRatings'!A:A</f>
        <v/>
      </c>
      <c r="B147" s="2"/>
      <c r="I147" s="89"/>
      <c r="J147" s="89"/>
      <c r="K147" s="90"/>
    </row>
    <row r="148">
      <c r="A148" s="88" t="str">
        <f>'Season 1 - MafiaRatings'!A:A</f>
        <v/>
      </c>
      <c r="B148" s="2"/>
      <c r="I148" s="89"/>
      <c r="J148" s="89"/>
      <c r="K148" s="90"/>
    </row>
    <row r="149">
      <c r="A149" s="88" t="str">
        <f>'Season 1 - MafiaRatings'!A:A</f>
        <v/>
      </c>
      <c r="B149" s="2"/>
      <c r="I149" s="89"/>
      <c r="J149" s="89"/>
      <c r="K149" s="90"/>
    </row>
    <row r="150">
      <c r="A150" s="88" t="str">
        <f>'Season 1 - MafiaRatings'!A:A</f>
        <v/>
      </c>
      <c r="B150" s="2"/>
      <c r="I150" s="89"/>
      <c r="J150" s="89"/>
      <c r="K150" s="90"/>
    </row>
    <row r="151">
      <c r="A151" s="88" t="str">
        <f>'Season 1 - MafiaRatings'!A:A</f>
        <v/>
      </c>
      <c r="B151" s="2"/>
      <c r="I151" s="89"/>
      <c r="J151" s="89"/>
      <c r="K151" s="90"/>
    </row>
    <row r="152">
      <c r="A152" s="88" t="str">
        <f>'Season 1 - MafiaRatings'!A:A</f>
        <v/>
      </c>
      <c r="B152" s="2"/>
      <c r="I152" s="89"/>
      <c r="J152" s="89"/>
      <c r="K152" s="90"/>
    </row>
    <row r="153">
      <c r="A153" s="88" t="str">
        <f>'Season 1 - MafiaRatings'!A:A</f>
        <v/>
      </c>
      <c r="B153" s="2"/>
      <c r="I153" s="89"/>
      <c r="J153" s="89"/>
      <c r="K153" s="90"/>
    </row>
    <row r="154">
      <c r="A154" s="88" t="str">
        <f>'Season 1 - MafiaRatings'!A:A</f>
        <v/>
      </c>
      <c r="B154" s="2"/>
      <c r="I154" s="89"/>
      <c r="J154" s="89"/>
      <c r="K154" s="90"/>
    </row>
    <row r="155">
      <c r="A155" s="88" t="str">
        <f>'Season 1 - MafiaRatings'!A:A</f>
        <v/>
      </c>
      <c r="B155" s="2"/>
      <c r="I155" s="89"/>
      <c r="J155" s="89"/>
      <c r="K155" s="90"/>
    </row>
    <row r="156">
      <c r="A156" s="88" t="str">
        <f>'Season 1 - MafiaRatings'!A:A</f>
        <v/>
      </c>
      <c r="B156" s="2"/>
      <c r="I156" s="89"/>
      <c r="J156" s="89"/>
      <c r="K156" s="90"/>
    </row>
    <row r="157">
      <c r="A157" s="88" t="str">
        <f>'Season 1 - MafiaRatings'!A:A</f>
        <v/>
      </c>
      <c r="B157" s="2"/>
      <c r="I157" s="89"/>
      <c r="J157" s="89"/>
      <c r="K157" s="90"/>
    </row>
    <row r="158">
      <c r="A158" s="88" t="str">
        <f>'Season 1 - MafiaRatings'!A:A</f>
        <v/>
      </c>
      <c r="B158" s="2"/>
      <c r="I158" s="89"/>
      <c r="J158" s="89"/>
      <c r="K158" s="90"/>
    </row>
    <row r="159">
      <c r="A159" s="88" t="str">
        <f>'Season 1 - MafiaRatings'!A:A</f>
        <v/>
      </c>
      <c r="B159" s="2"/>
      <c r="I159" s="89"/>
      <c r="J159" s="89"/>
      <c r="K159" s="90"/>
    </row>
    <row r="160">
      <c r="A160" s="88" t="str">
        <f>'Season 1 - MafiaRatings'!A:A</f>
        <v/>
      </c>
      <c r="B160" s="2"/>
      <c r="I160" s="89"/>
      <c r="J160" s="89"/>
      <c r="K160" s="90"/>
    </row>
    <row r="161">
      <c r="A161" s="88" t="str">
        <f>'Season 1 - MafiaRatings'!A:A</f>
        <v/>
      </c>
      <c r="B161" s="2"/>
      <c r="I161" s="89"/>
      <c r="J161" s="89"/>
      <c r="K161" s="90"/>
    </row>
    <row r="162">
      <c r="A162" s="88" t="str">
        <f>'Season 1 - MafiaRatings'!A:A</f>
        <v/>
      </c>
      <c r="B162" s="2"/>
      <c r="I162" s="89"/>
      <c r="J162" s="89"/>
      <c r="K162" s="90"/>
    </row>
    <row r="163">
      <c r="A163" s="88" t="str">
        <f>'Season 1 - MafiaRatings'!A:A</f>
        <v/>
      </c>
      <c r="B163" s="2"/>
      <c r="I163" s="89"/>
      <c r="J163" s="89"/>
      <c r="K163" s="90"/>
    </row>
    <row r="164">
      <c r="A164" s="88" t="str">
        <f>'Season 1 - MafiaRatings'!A:A</f>
        <v/>
      </c>
      <c r="B164" s="2"/>
      <c r="I164" s="89"/>
      <c r="J164" s="89"/>
      <c r="K164" s="90"/>
    </row>
    <row r="165">
      <c r="A165" s="88" t="str">
        <f>'Season 1 - MafiaRatings'!A:A</f>
        <v/>
      </c>
      <c r="B165" s="2"/>
      <c r="I165" s="89"/>
      <c r="J165" s="89"/>
      <c r="K165" s="90"/>
    </row>
    <row r="166">
      <c r="A166" s="88" t="str">
        <f>'Season 1 - MafiaRatings'!A:A</f>
        <v/>
      </c>
      <c r="B166" s="2"/>
      <c r="I166" s="89"/>
      <c r="J166" s="89"/>
      <c r="K166" s="90"/>
    </row>
    <row r="167">
      <c r="A167" s="88" t="str">
        <f>'Season 1 - MafiaRatings'!A:A</f>
        <v/>
      </c>
      <c r="B167" s="2"/>
      <c r="I167" s="89"/>
      <c r="J167" s="89"/>
      <c r="K167" s="90"/>
    </row>
    <row r="168">
      <c r="A168" s="88" t="str">
        <f>'Season 1 - MafiaRatings'!A:A</f>
        <v/>
      </c>
      <c r="B168" s="2"/>
      <c r="I168" s="89"/>
      <c r="J168" s="89"/>
      <c r="K168" s="90"/>
    </row>
    <row r="169">
      <c r="A169" s="88" t="str">
        <f>'Season 1 - MafiaRatings'!A:A</f>
        <v/>
      </c>
      <c r="B169" s="2"/>
      <c r="I169" s="89"/>
      <c r="J169" s="89"/>
      <c r="K169" s="90"/>
    </row>
    <row r="170">
      <c r="A170" s="88" t="str">
        <f>'Season 1 - MafiaRatings'!A:A</f>
        <v/>
      </c>
      <c r="B170" s="2"/>
      <c r="I170" s="89"/>
      <c r="J170" s="89"/>
      <c r="K170" s="90"/>
    </row>
    <row r="171">
      <c r="A171" s="88" t="str">
        <f>'Season 1 - MafiaRatings'!A:A</f>
        <v/>
      </c>
      <c r="B171" s="2"/>
      <c r="I171" s="89"/>
      <c r="J171" s="89"/>
      <c r="K171" s="90"/>
    </row>
    <row r="172">
      <c r="A172" s="88" t="str">
        <f>'Season 1 - MafiaRatings'!A:A</f>
        <v/>
      </c>
      <c r="B172" s="2"/>
      <c r="I172" s="89"/>
      <c r="J172" s="89"/>
      <c r="K172" s="90"/>
    </row>
    <row r="173">
      <c r="A173" s="88" t="str">
        <f>'Season 1 - MafiaRatings'!A:A</f>
        <v/>
      </c>
      <c r="B173" s="2"/>
      <c r="I173" s="89"/>
      <c r="J173" s="89"/>
      <c r="K173" s="90"/>
    </row>
    <row r="174">
      <c r="A174" s="88" t="str">
        <f>'Season 1 - MafiaRatings'!A:A</f>
        <v/>
      </c>
      <c r="B174" s="2"/>
      <c r="I174" s="89"/>
      <c r="J174" s="89"/>
      <c r="K174" s="90"/>
    </row>
    <row r="175">
      <c r="A175" s="88" t="str">
        <f>'Season 1 - MafiaRatings'!A:A</f>
        <v/>
      </c>
      <c r="B175" s="2"/>
      <c r="I175" s="89"/>
      <c r="J175" s="89"/>
      <c r="K175" s="90"/>
    </row>
    <row r="176">
      <c r="A176" s="88" t="str">
        <f>'Season 1 - MafiaRatings'!A:A</f>
        <v/>
      </c>
      <c r="B176" s="2"/>
      <c r="I176" s="89"/>
      <c r="J176" s="89"/>
      <c r="K176" s="90"/>
    </row>
    <row r="177">
      <c r="A177" s="88" t="str">
        <f>'Season 1 - MafiaRatings'!A:A</f>
        <v/>
      </c>
      <c r="B177" s="2"/>
      <c r="I177" s="89"/>
      <c r="J177" s="89"/>
      <c r="K177" s="90"/>
    </row>
    <row r="178">
      <c r="A178" s="88" t="str">
        <f>'Season 1 - MafiaRatings'!A:A</f>
        <v/>
      </c>
      <c r="B178" s="2"/>
      <c r="I178" s="89"/>
      <c r="J178" s="89"/>
      <c r="K178" s="90"/>
    </row>
    <row r="179">
      <c r="A179" s="88" t="str">
        <f>'Season 1 - MafiaRatings'!A:A</f>
        <v/>
      </c>
      <c r="B179" s="2"/>
      <c r="I179" s="89"/>
      <c r="J179" s="89"/>
      <c r="K179" s="90"/>
    </row>
    <row r="180">
      <c r="A180" s="88" t="str">
        <f>'Season 1 - MafiaRatings'!A:A</f>
        <v/>
      </c>
      <c r="B180" s="2"/>
      <c r="I180" s="89"/>
      <c r="J180" s="89"/>
      <c r="K180" s="90"/>
    </row>
    <row r="181">
      <c r="A181" s="88" t="str">
        <f>'Season 1 - MafiaRatings'!A:A</f>
        <v/>
      </c>
      <c r="B181" s="2"/>
      <c r="I181" s="89"/>
      <c r="J181" s="89"/>
      <c r="K181" s="90"/>
    </row>
    <row r="182">
      <c r="A182" s="88" t="str">
        <f>'Season 1 - MafiaRatings'!A:A</f>
        <v/>
      </c>
      <c r="B182" s="2"/>
      <c r="I182" s="89"/>
      <c r="J182" s="89"/>
      <c r="K182" s="90"/>
    </row>
    <row r="183">
      <c r="A183" s="88" t="str">
        <f>'Season 1 - MafiaRatings'!A:A</f>
        <v/>
      </c>
      <c r="B183" s="2"/>
      <c r="I183" s="89"/>
      <c r="J183" s="89"/>
      <c r="K183" s="90"/>
    </row>
    <row r="184">
      <c r="A184" s="88" t="str">
        <f>'Season 1 - MafiaRatings'!A:A</f>
        <v/>
      </c>
      <c r="B184" s="2"/>
      <c r="I184" s="89"/>
      <c r="J184" s="89"/>
      <c r="K184" s="90"/>
    </row>
    <row r="185">
      <c r="A185" s="88" t="str">
        <f>'Season 1 - MafiaRatings'!A:A</f>
        <v/>
      </c>
      <c r="B185" s="2"/>
      <c r="I185" s="89"/>
      <c r="J185" s="89"/>
      <c r="K185" s="90"/>
    </row>
    <row r="186">
      <c r="A186" s="88" t="str">
        <f>'Season 1 - MafiaRatings'!A:A</f>
        <v/>
      </c>
      <c r="B186" s="2"/>
      <c r="I186" s="89"/>
      <c r="J186" s="89"/>
      <c r="K186" s="90"/>
    </row>
    <row r="187">
      <c r="A187" s="88" t="str">
        <f>'Season 1 - MafiaRatings'!A:A</f>
        <v/>
      </c>
      <c r="B187" s="2"/>
      <c r="I187" s="89"/>
      <c r="J187" s="89"/>
      <c r="K187" s="90"/>
    </row>
    <row r="188">
      <c r="A188" s="88" t="str">
        <f>'Season 1 - MafiaRatings'!A:A</f>
        <v/>
      </c>
      <c r="B188" s="2"/>
      <c r="I188" s="89"/>
      <c r="J188" s="89"/>
      <c r="K188" s="90"/>
    </row>
    <row r="189">
      <c r="A189" s="88" t="str">
        <f>'Season 1 - MafiaRatings'!A:A</f>
        <v/>
      </c>
      <c r="B189" s="2"/>
      <c r="I189" s="89"/>
      <c r="J189" s="89"/>
      <c r="K189" s="90"/>
    </row>
    <row r="190">
      <c r="A190" s="88" t="str">
        <f>'Season 1 - MafiaRatings'!A:A</f>
        <v/>
      </c>
      <c r="B190" s="2"/>
      <c r="I190" s="89"/>
      <c r="J190" s="89"/>
      <c r="K190" s="90"/>
    </row>
    <row r="191">
      <c r="A191" s="88" t="str">
        <f>'Season 1 - MafiaRatings'!A:A</f>
        <v/>
      </c>
      <c r="B191" s="2"/>
      <c r="I191" s="89"/>
      <c r="J191" s="89"/>
      <c r="K191" s="90"/>
    </row>
    <row r="192">
      <c r="A192" s="88" t="str">
        <f>'Season 1 - MafiaRatings'!A:A</f>
        <v/>
      </c>
      <c r="B192" s="2"/>
      <c r="I192" s="89"/>
      <c r="J192" s="89"/>
      <c r="K192" s="90"/>
    </row>
    <row r="193">
      <c r="A193" s="88" t="str">
        <f>'Season 1 - MafiaRatings'!A:A</f>
        <v/>
      </c>
      <c r="B193" s="2"/>
      <c r="I193" s="89"/>
      <c r="J193" s="89"/>
      <c r="K193" s="90"/>
    </row>
    <row r="194">
      <c r="A194" s="88" t="str">
        <f>'Season 1 - MafiaRatings'!A:A</f>
        <v/>
      </c>
      <c r="B194" s="2"/>
      <c r="I194" s="89"/>
      <c r="J194" s="89"/>
      <c r="K194" s="90"/>
    </row>
    <row r="195">
      <c r="A195" s="88" t="str">
        <f>'Season 1 - MafiaRatings'!A:A</f>
        <v/>
      </c>
      <c r="B195" s="2"/>
      <c r="I195" s="89"/>
      <c r="J195" s="89"/>
      <c r="K195" s="90"/>
    </row>
    <row r="196">
      <c r="A196" s="88" t="str">
        <f>'Season 1 - MafiaRatings'!A:A</f>
        <v/>
      </c>
      <c r="B196" s="2"/>
      <c r="I196" s="89"/>
      <c r="J196" s="89"/>
      <c r="K196" s="90"/>
    </row>
    <row r="197">
      <c r="A197" s="88" t="str">
        <f>'Season 1 - MafiaRatings'!A:A</f>
        <v/>
      </c>
      <c r="B197" s="2"/>
      <c r="I197" s="89"/>
      <c r="J197" s="89"/>
      <c r="K197" s="90"/>
    </row>
    <row r="198">
      <c r="A198" s="88" t="str">
        <f>'Season 1 - MafiaRatings'!A:A</f>
        <v/>
      </c>
      <c r="B198" s="2"/>
      <c r="I198" s="89"/>
      <c r="J198" s="89"/>
      <c r="K198" s="90"/>
    </row>
    <row r="199">
      <c r="A199" s="88" t="str">
        <f>'Season 1 - MafiaRatings'!A:A</f>
        <v/>
      </c>
      <c r="B199" s="2"/>
      <c r="I199" s="89"/>
      <c r="J199" s="89"/>
      <c r="K199" s="90"/>
    </row>
    <row r="200">
      <c r="A200" s="88" t="str">
        <f>'Season 1 - MafiaRatings'!A:A</f>
        <v/>
      </c>
      <c r="B200" s="2"/>
      <c r="I200" s="89"/>
      <c r="J200" s="89"/>
      <c r="K200" s="90"/>
    </row>
    <row r="201">
      <c r="A201" s="88" t="str">
        <f>'Season 1 - MafiaRatings'!A:A</f>
        <v/>
      </c>
      <c r="B201" s="2"/>
      <c r="I201" s="89"/>
      <c r="J201" s="89"/>
      <c r="K201" s="90"/>
    </row>
    <row r="202">
      <c r="A202" s="88" t="str">
        <f>'Season 1 - MafiaRatings'!A:A</f>
        <v/>
      </c>
      <c r="B202" s="2"/>
      <c r="I202" s="89"/>
      <c r="J202" s="89"/>
      <c r="K202" s="90"/>
    </row>
    <row r="203">
      <c r="A203" s="88" t="str">
        <f>'Season 1 - MafiaRatings'!A:A</f>
        <v/>
      </c>
      <c r="B203" s="2"/>
      <c r="I203" s="89"/>
      <c r="J203" s="89"/>
      <c r="K203" s="90"/>
    </row>
    <row r="204">
      <c r="A204" s="88" t="str">
        <f>'Season 1 - MafiaRatings'!A:A</f>
        <v/>
      </c>
      <c r="B204" s="2"/>
      <c r="I204" s="89"/>
      <c r="J204" s="89"/>
      <c r="K204" s="90"/>
    </row>
    <row r="205">
      <c r="A205" s="88" t="str">
        <f>'Season 1 - MafiaRatings'!A:A</f>
        <v/>
      </c>
      <c r="B205" s="2"/>
      <c r="I205" s="89"/>
      <c r="J205" s="89"/>
      <c r="K205" s="90"/>
    </row>
    <row r="206">
      <c r="A206" s="88" t="str">
        <f>'Season 1 - MafiaRatings'!A:A</f>
        <v/>
      </c>
      <c r="B206" s="2"/>
      <c r="I206" s="89"/>
      <c r="J206" s="89"/>
      <c r="K206" s="90"/>
    </row>
    <row r="207">
      <c r="A207" s="88" t="str">
        <f>'Season 1 - MafiaRatings'!A:A</f>
        <v/>
      </c>
      <c r="B207" s="2"/>
      <c r="I207" s="89"/>
      <c r="J207" s="89"/>
      <c r="K207" s="90"/>
    </row>
    <row r="208">
      <c r="A208" s="88" t="str">
        <f>'Season 1 - MafiaRatings'!A:A</f>
        <v/>
      </c>
      <c r="B208" s="2"/>
      <c r="I208" s="89"/>
      <c r="J208" s="89"/>
      <c r="K208" s="90"/>
    </row>
    <row r="209">
      <c r="A209" s="88" t="str">
        <f>'Season 1 - MafiaRatings'!A:A</f>
        <v/>
      </c>
      <c r="B209" s="2"/>
      <c r="I209" s="89"/>
      <c r="J209" s="89"/>
      <c r="K209" s="90"/>
    </row>
    <row r="210">
      <c r="A210" s="88" t="str">
        <f>'Season 1 - MafiaRatings'!A:A</f>
        <v/>
      </c>
      <c r="B210" s="2"/>
      <c r="I210" s="89"/>
      <c r="J210" s="89"/>
      <c r="K210" s="90"/>
    </row>
    <row r="211">
      <c r="A211" s="88" t="str">
        <f>'Season 1 - MafiaRatings'!A:A</f>
        <v/>
      </c>
      <c r="B211" s="2"/>
      <c r="I211" s="89"/>
      <c r="J211" s="89"/>
      <c r="K211" s="90"/>
    </row>
    <row r="212">
      <c r="A212" s="88" t="str">
        <f>'Season 1 - MafiaRatings'!A:A</f>
        <v/>
      </c>
      <c r="B212" s="2"/>
      <c r="I212" s="89"/>
      <c r="J212" s="89"/>
      <c r="K212" s="90"/>
    </row>
    <row r="213">
      <c r="A213" s="88" t="str">
        <f>'Season 1 - MafiaRatings'!A:A</f>
        <v/>
      </c>
      <c r="B213" s="2"/>
      <c r="I213" s="89"/>
      <c r="J213" s="89"/>
      <c r="K213" s="90"/>
    </row>
    <row r="214">
      <c r="A214" s="88" t="str">
        <f>'Season 1 - MafiaRatings'!A:A</f>
        <v/>
      </c>
      <c r="B214" s="2"/>
      <c r="I214" s="89"/>
      <c r="J214" s="89"/>
      <c r="K214" s="90"/>
    </row>
    <row r="215">
      <c r="A215" s="88" t="str">
        <f>'Season 1 - MafiaRatings'!A:A</f>
        <v/>
      </c>
      <c r="B215" s="2"/>
      <c r="I215" s="89"/>
      <c r="J215" s="89"/>
      <c r="K215" s="90"/>
    </row>
    <row r="216">
      <c r="A216" s="88" t="str">
        <f>'Season 1 - MafiaRatings'!A:A</f>
        <v/>
      </c>
      <c r="B216" s="2"/>
      <c r="I216" s="89"/>
      <c r="J216" s="89"/>
      <c r="K216" s="90"/>
    </row>
    <row r="217">
      <c r="A217" s="88" t="str">
        <f>'Season 1 - MafiaRatings'!A:A</f>
        <v/>
      </c>
      <c r="B217" s="2"/>
      <c r="I217" s="89"/>
      <c r="J217" s="89"/>
      <c r="K217" s="90"/>
    </row>
    <row r="218">
      <c r="A218" s="88" t="str">
        <f>'Season 1 - MafiaRatings'!A:A</f>
        <v/>
      </c>
      <c r="B218" s="2"/>
      <c r="I218" s="89"/>
      <c r="J218" s="89"/>
      <c r="K218" s="90"/>
    </row>
    <row r="219">
      <c r="A219" s="88" t="str">
        <f>'Season 1 - MafiaRatings'!A:A</f>
        <v/>
      </c>
      <c r="B219" s="2"/>
      <c r="I219" s="89"/>
      <c r="J219" s="89"/>
      <c r="K219" s="90"/>
    </row>
    <row r="220">
      <c r="A220" s="88" t="str">
        <f>'Season 1 - MafiaRatings'!A:A</f>
        <v/>
      </c>
      <c r="B220" s="2"/>
      <c r="I220" s="89"/>
      <c r="J220" s="89"/>
      <c r="K220" s="90"/>
    </row>
    <row r="221">
      <c r="A221" s="88" t="str">
        <f>'Season 1 - MafiaRatings'!A:A</f>
        <v/>
      </c>
      <c r="B221" s="2"/>
      <c r="I221" s="89"/>
      <c r="J221" s="89"/>
      <c r="K221" s="90"/>
    </row>
    <row r="222">
      <c r="A222" s="88" t="str">
        <f>'Season 1 - MafiaRatings'!A:A</f>
        <v/>
      </c>
      <c r="B222" s="2"/>
      <c r="I222" s="89"/>
      <c r="J222" s="89"/>
      <c r="K222" s="90"/>
    </row>
    <row r="223">
      <c r="A223" s="88" t="str">
        <f>'Season 1 - MafiaRatings'!A:A</f>
        <v/>
      </c>
      <c r="B223" s="2"/>
      <c r="I223" s="89"/>
      <c r="J223" s="89"/>
      <c r="K223" s="90"/>
    </row>
    <row r="224">
      <c r="A224" s="88" t="str">
        <f>'Season 1 - MafiaRatings'!A:A</f>
        <v/>
      </c>
      <c r="B224" s="2"/>
      <c r="I224" s="89"/>
      <c r="J224" s="89"/>
      <c r="K224" s="90"/>
    </row>
    <row r="225">
      <c r="A225" s="88" t="str">
        <f>'Season 1 - MafiaRatings'!A:A</f>
        <v/>
      </c>
      <c r="B225" s="2"/>
      <c r="I225" s="89"/>
      <c r="J225" s="89"/>
      <c r="K225" s="90"/>
    </row>
    <row r="226">
      <c r="A226" s="88" t="str">
        <f>'Season 1 - MafiaRatings'!A:A</f>
        <v/>
      </c>
      <c r="B226" s="2"/>
      <c r="I226" s="89"/>
      <c r="J226" s="89"/>
      <c r="K226" s="90"/>
    </row>
    <row r="227">
      <c r="A227" s="88" t="str">
        <f>'Season 1 - MafiaRatings'!A:A</f>
        <v/>
      </c>
      <c r="B227" s="2"/>
      <c r="I227" s="89"/>
      <c r="J227" s="89"/>
      <c r="K227" s="90"/>
    </row>
    <row r="228">
      <c r="A228" s="88" t="str">
        <f>'Season 1 - MafiaRatings'!A:A</f>
        <v/>
      </c>
      <c r="B228" s="2"/>
      <c r="I228" s="89"/>
      <c r="J228" s="89"/>
      <c r="K228" s="90"/>
    </row>
    <row r="229">
      <c r="A229" s="88" t="str">
        <f>'Season 1 - MafiaRatings'!A:A</f>
        <v/>
      </c>
      <c r="B229" s="2"/>
      <c r="I229" s="89"/>
      <c r="J229" s="89"/>
      <c r="K229" s="90"/>
    </row>
    <row r="230">
      <c r="A230" s="88" t="str">
        <f>'Season 1 - MafiaRatings'!A:A</f>
        <v/>
      </c>
      <c r="B230" s="2"/>
      <c r="I230" s="89"/>
      <c r="J230" s="89"/>
      <c r="K230" s="90"/>
    </row>
    <row r="231">
      <c r="A231" s="88" t="str">
        <f>'Season 1 - MafiaRatings'!A:A</f>
        <v/>
      </c>
      <c r="B231" s="2"/>
      <c r="I231" s="89"/>
      <c r="J231" s="89"/>
      <c r="K231" s="90"/>
    </row>
    <row r="232">
      <c r="A232" s="88" t="str">
        <f>'Season 1 - MafiaRatings'!A:A</f>
        <v/>
      </c>
      <c r="B232" s="2"/>
      <c r="I232" s="89"/>
      <c r="J232" s="89"/>
      <c r="K232" s="90"/>
    </row>
    <row r="233">
      <c r="A233" s="88" t="str">
        <f>'Season 1 - MafiaRatings'!A:A</f>
        <v/>
      </c>
      <c r="B233" s="2"/>
      <c r="I233" s="89"/>
      <c r="J233" s="89"/>
      <c r="K233" s="90"/>
    </row>
    <row r="234">
      <c r="A234" s="88" t="str">
        <f>'Season 1 - MafiaRatings'!A:A</f>
        <v/>
      </c>
      <c r="B234" s="2"/>
      <c r="I234" s="89"/>
      <c r="J234" s="89"/>
      <c r="K234" s="90"/>
    </row>
    <row r="235">
      <c r="A235" s="88" t="str">
        <f>'Season 1 - MafiaRatings'!A:A</f>
        <v/>
      </c>
      <c r="B235" s="2"/>
      <c r="I235" s="89"/>
      <c r="J235" s="89"/>
      <c r="K235" s="90"/>
    </row>
    <row r="236">
      <c r="A236" s="88" t="str">
        <f>'Season 1 - MafiaRatings'!A:A</f>
        <v/>
      </c>
      <c r="B236" s="2"/>
      <c r="I236" s="89"/>
      <c r="J236" s="89"/>
      <c r="K236" s="90"/>
    </row>
    <row r="237">
      <c r="A237" s="88" t="str">
        <f>'Season 1 - MafiaRatings'!A:A</f>
        <v/>
      </c>
      <c r="B237" s="2"/>
      <c r="I237" s="89"/>
      <c r="J237" s="89"/>
      <c r="K237" s="90"/>
    </row>
    <row r="238">
      <c r="A238" s="88" t="str">
        <f>'Season 1 - MafiaRatings'!A:A</f>
        <v/>
      </c>
      <c r="B238" s="2"/>
      <c r="I238" s="89"/>
      <c r="J238" s="89"/>
      <c r="K238" s="90"/>
    </row>
    <row r="239">
      <c r="A239" s="88" t="str">
        <f>'Season 1 - MafiaRatings'!A:A</f>
        <v/>
      </c>
      <c r="B239" s="2"/>
      <c r="I239" s="89"/>
      <c r="J239" s="89"/>
      <c r="K239" s="90"/>
    </row>
    <row r="240">
      <c r="A240" s="88" t="str">
        <f>'Season 1 - MafiaRatings'!A:A</f>
        <v/>
      </c>
      <c r="B240" s="2"/>
      <c r="I240" s="89"/>
      <c r="J240" s="89"/>
      <c r="K240" s="90"/>
    </row>
    <row r="241">
      <c r="A241" s="88" t="str">
        <f>'Season 1 - MafiaRatings'!A:A</f>
        <v/>
      </c>
      <c r="B241" s="2"/>
      <c r="I241" s="89"/>
      <c r="J241" s="89"/>
      <c r="K241" s="90"/>
    </row>
    <row r="242">
      <c r="A242" s="88" t="str">
        <f>'Season 1 - MafiaRatings'!A:A</f>
        <v/>
      </c>
      <c r="B242" s="2"/>
      <c r="I242" s="89"/>
      <c r="J242" s="89"/>
      <c r="K242" s="90"/>
    </row>
    <row r="243">
      <c r="A243" s="88" t="str">
        <f>'Season 1 - MafiaRatings'!A:A</f>
        <v/>
      </c>
      <c r="B243" s="2"/>
      <c r="I243" s="89"/>
      <c r="J243" s="89"/>
      <c r="K243" s="90"/>
    </row>
    <row r="244">
      <c r="A244" s="88" t="str">
        <f>'Season 1 - MafiaRatings'!A:A</f>
        <v/>
      </c>
      <c r="B244" s="2"/>
      <c r="I244" s="89"/>
      <c r="J244" s="89"/>
      <c r="K244" s="90"/>
    </row>
    <row r="245">
      <c r="A245" s="88" t="str">
        <f>'Season 1 - MafiaRatings'!A:A</f>
        <v/>
      </c>
      <c r="B245" s="2"/>
      <c r="I245" s="89"/>
      <c r="J245" s="89"/>
      <c r="K245" s="90"/>
    </row>
    <row r="246">
      <c r="A246" s="88" t="str">
        <f>'Season 1 - MafiaRatings'!A:A</f>
        <v/>
      </c>
      <c r="B246" s="2"/>
      <c r="I246" s="89"/>
      <c r="J246" s="89"/>
      <c r="K246" s="90"/>
    </row>
    <row r="247">
      <c r="A247" s="88" t="str">
        <f>'Season 1 - MafiaRatings'!A:A</f>
        <v/>
      </c>
      <c r="B247" s="2"/>
      <c r="I247" s="89"/>
      <c r="J247" s="89"/>
      <c r="K247" s="90"/>
    </row>
    <row r="248">
      <c r="A248" s="88" t="str">
        <f>'Season 1 - MafiaRatings'!A:A</f>
        <v/>
      </c>
      <c r="B248" s="2"/>
      <c r="I248" s="89"/>
      <c r="J248" s="89"/>
      <c r="K248" s="90"/>
    </row>
    <row r="249">
      <c r="A249" s="88" t="str">
        <f>'Season 1 - MafiaRatings'!A:A</f>
        <v/>
      </c>
      <c r="B249" s="2"/>
      <c r="I249" s="89"/>
      <c r="J249" s="89"/>
      <c r="K249" s="90"/>
    </row>
    <row r="250">
      <c r="A250" s="88" t="str">
        <f>'Season 1 - MafiaRatings'!A:A</f>
        <v/>
      </c>
      <c r="B250" s="2"/>
      <c r="I250" s="89"/>
      <c r="J250" s="89"/>
      <c r="K250" s="90"/>
    </row>
    <row r="251">
      <c r="A251" s="88" t="str">
        <f>'Season 1 - MafiaRatings'!A:A</f>
        <v/>
      </c>
      <c r="B251" s="2"/>
      <c r="I251" s="89"/>
      <c r="J251" s="89"/>
      <c r="K251" s="90"/>
    </row>
    <row r="252">
      <c r="A252" s="88" t="str">
        <f>'Season 1 - MafiaRatings'!A:A</f>
        <v/>
      </c>
      <c r="B252" s="2"/>
      <c r="I252" s="89"/>
      <c r="J252" s="89"/>
      <c r="K252" s="90"/>
    </row>
    <row r="253">
      <c r="A253" s="88" t="str">
        <f>'Season 1 - MafiaRatings'!A:A</f>
        <v/>
      </c>
      <c r="B253" s="2"/>
      <c r="I253" s="89"/>
      <c r="J253" s="89"/>
      <c r="K253" s="90"/>
    </row>
    <row r="254">
      <c r="A254" s="88" t="str">
        <f>'Season 1 - MafiaRatings'!A:A</f>
        <v/>
      </c>
      <c r="B254" s="2"/>
      <c r="I254" s="89"/>
      <c r="J254" s="89"/>
      <c r="K254" s="90"/>
    </row>
    <row r="255">
      <c r="A255" s="88" t="str">
        <f>'Season 1 - MafiaRatings'!A:A</f>
        <v/>
      </c>
      <c r="B255" s="2"/>
      <c r="I255" s="89"/>
      <c r="J255" s="89"/>
      <c r="K255" s="90"/>
    </row>
    <row r="256">
      <c r="A256" s="88" t="str">
        <f>'Season 1 - MafiaRatings'!A:A</f>
        <v/>
      </c>
      <c r="B256" s="2"/>
      <c r="I256" s="89"/>
      <c r="J256" s="89"/>
      <c r="K256" s="90"/>
    </row>
    <row r="257">
      <c r="A257" s="88" t="str">
        <f>'Season 1 - MafiaRatings'!A:A</f>
        <v/>
      </c>
      <c r="B257" s="2"/>
      <c r="I257" s="89"/>
      <c r="J257" s="89"/>
      <c r="K257" s="90"/>
    </row>
    <row r="258">
      <c r="A258" s="88" t="str">
        <f>'Season 1 - MafiaRatings'!A:A</f>
        <v/>
      </c>
      <c r="B258" s="2"/>
      <c r="I258" s="89"/>
      <c r="J258" s="89"/>
      <c r="K258" s="90"/>
    </row>
    <row r="259">
      <c r="A259" s="88" t="str">
        <f>'Season 1 - MafiaRatings'!A:A</f>
        <v/>
      </c>
      <c r="B259" s="2"/>
      <c r="I259" s="89"/>
      <c r="J259" s="89"/>
      <c r="K259" s="90"/>
    </row>
    <row r="260">
      <c r="A260" s="88" t="str">
        <f>'Season 1 - MafiaRatings'!A:A</f>
        <v/>
      </c>
      <c r="B260" s="2"/>
      <c r="I260" s="89"/>
      <c r="J260" s="89"/>
      <c r="K260" s="90"/>
    </row>
    <row r="261">
      <c r="A261" s="88" t="str">
        <f>'Season 1 - MafiaRatings'!A:A</f>
        <v/>
      </c>
      <c r="B261" s="2"/>
      <c r="I261" s="89"/>
      <c r="J261" s="89"/>
      <c r="K261" s="90"/>
    </row>
    <row r="262">
      <c r="A262" s="88" t="str">
        <f>'Season 1 - MafiaRatings'!A:A</f>
        <v/>
      </c>
      <c r="B262" s="2"/>
      <c r="I262" s="89"/>
      <c r="J262" s="89"/>
      <c r="K262" s="90"/>
    </row>
    <row r="263">
      <c r="A263" s="88" t="str">
        <f>'Season 1 - MafiaRatings'!A:A</f>
        <v/>
      </c>
      <c r="B263" s="2"/>
      <c r="I263" s="89"/>
      <c r="J263" s="89"/>
      <c r="K263" s="90"/>
    </row>
    <row r="264">
      <c r="A264" s="88" t="str">
        <f>'Season 1 - MafiaRatings'!A:A</f>
        <v/>
      </c>
      <c r="B264" s="2"/>
      <c r="I264" s="89"/>
      <c r="J264" s="89"/>
      <c r="K264" s="90"/>
    </row>
    <row r="265">
      <c r="A265" s="88" t="str">
        <f>'Season 1 - MafiaRatings'!A:A</f>
        <v/>
      </c>
      <c r="B265" s="2"/>
      <c r="I265" s="89"/>
      <c r="J265" s="89"/>
      <c r="K265" s="90"/>
    </row>
    <row r="266">
      <c r="A266" s="88" t="str">
        <f>'Season 1 - MafiaRatings'!A:A</f>
        <v/>
      </c>
      <c r="B266" s="2"/>
      <c r="I266" s="89"/>
      <c r="J266" s="89"/>
      <c r="K266" s="90"/>
    </row>
    <row r="267">
      <c r="A267" s="88" t="str">
        <f>'Season 1 - MafiaRatings'!A:A</f>
        <v/>
      </c>
      <c r="B267" s="2"/>
      <c r="I267" s="89"/>
      <c r="J267" s="89"/>
      <c r="K267" s="90"/>
    </row>
    <row r="268">
      <c r="A268" s="88" t="str">
        <f>'Season 1 - MafiaRatings'!A:A</f>
        <v/>
      </c>
      <c r="B268" s="2"/>
      <c r="I268" s="89"/>
      <c r="J268" s="89"/>
      <c r="K268" s="90"/>
    </row>
    <row r="269">
      <c r="A269" s="88" t="str">
        <f>'Season 1 - MafiaRatings'!A:A</f>
        <v/>
      </c>
      <c r="B269" s="2"/>
      <c r="I269" s="89"/>
      <c r="J269" s="89"/>
      <c r="K269" s="90"/>
    </row>
    <row r="270">
      <c r="A270" s="88" t="str">
        <f>'Season 1 - MafiaRatings'!A:A</f>
        <v/>
      </c>
      <c r="B270" s="2"/>
      <c r="I270" s="89"/>
      <c r="J270" s="89"/>
      <c r="K270" s="90"/>
    </row>
    <row r="271">
      <c r="A271" s="88" t="str">
        <f>'Season 1 - MafiaRatings'!A:A</f>
        <v/>
      </c>
      <c r="B271" s="2"/>
      <c r="I271" s="89"/>
      <c r="J271" s="89"/>
      <c r="K271" s="90"/>
    </row>
    <row r="272">
      <c r="A272" s="88" t="str">
        <f>'Season 1 - MafiaRatings'!A:A</f>
        <v/>
      </c>
      <c r="B272" s="2"/>
      <c r="I272" s="89"/>
      <c r="J272" s="89"/>
      <c r="K272" s="90"/>
    </row>
    <row r="273">
      <c r="A273" s="88" t="str">
        <f>'Season 1 - MafiaRatings'!A:A</f>
        <v/>
      </c>
      <c r="B273" s="2"/>
      <c r="I273" s="89"/>
      <c r="J273" s="89"/>
      <c r="K273" s="90"/>
    </row>
    <row r="274">
      <c r="A274" s="88" t="str">
        <f>'Season 1 - MafiaRatings'!A:A</f>
        <v/>
      </c>
      <c r="B274" s="2"/>
      <c r="I274" s="89"/>
      <c r="J274" s="89"/>
      <c r="K274" s="90"/>
    </row>
    <row r="275">
      <c r="A275" s="88" t="str">
        <f>'Season 1 - MafiaRatings'!A:A</f>
        <v/>
      </c>
      <c r="B275" s="2"/>
      <c r="I275" s="89"/>
      <c r="J275" s="89"/>
      <c r="K275" s="90"/>
    </row>
    <row r="276">
      <c r="A276" s="88" t="str">
        <f>'Season 1 - MafiaRatings'!A:A</f>
        <v/>
      </c>
      <c r="B276" s="2"/>
      <c r="I276" s="89"/>
      <c r="J276" s="89"/>
      <c r="K276" s="90"/>
    </row>
    <row r="277">
      <c r="A277" s="88" t="str">
        <f>'Season 1 - MafiaRatings'!A:A</f>
        <v/>
      </c>
      <c r="B277" s="2"/>
      <c r="I277" s="89"/>
      <c r="J277" s="89"/>
      <c r="K277" s="90"/>
    </row>
    <row r="278">
      <c r="A278" s="88" t="str">
        <f>'Season 1 - MafiaRatings'!A:A</f>
        <v/>
      </c>
      <c r="B278" s="2"/>
      <c r="I278" s="89"/>
      <c r="J278" s="89"/>
      <c r="K278" s="90"/>
    </row>
    <row r="279">
      <c r="A279" s="88" t="str">
        <f>'Season 1 - MafiaRatings'!A:A</f>
        <v/>
      </c>
      <c r="B279" s="2"/>
      <c r="I279" s="89"/>
      <c r="J279" s="89"/>
      <c r="K279" s="90"/>
    </row>
    <row r="280">
      <c r="A280" s="88" t="str">
        <f>'Season 1 - MafiaRatings'!A:A</f>
        <v/>
      </c>
      <c r="B280" s="2"/>
      <c r="I280" s="89"/>
      <c r="J280" s="89"/>
      <c r="K280" s="90"/>
    </row>
    <row r="281">
      <c r="A281" s="88" t="str">
        <f>'Season 1 - MafiaRatings'!A:A</f>
        <v/>
      </c>
      <c r="B281" s="2"/>
      <c r="I281" s="89"/>
      <c r="J281" s="89"/>
      <c r="K281" s="90"/>
    </row>
    <row r="282">
      <c r="A282" s="88" t="str">
        <f>'Season 1 - MafiaRatings'!A:A</f>
        <v/>
      </c>
      <c r="B282" s="2"/>
      <c r="I282" s="89"/>
      <c r="J282" s="89"/>
      <c r="K282" s="90"/>
    </row>
    <row r="283">
      <c r="A283" s="88" t="str">
        <f>'Season 1 - MafiaRatings'!A:A</f>
        <v/>
      </c>
      <c r="B283" s="2"/>
      <c r="I283" s="89"/>
      <c r="J283" s="89"/>
      <c r="K283" s="90"/>
    </row>
    <row r="284">
      <c r="A284" s="88" t="str">
        <f>'Season 1 - MafiaRatings'!A:A</f>
        <v/>
      </c>
      <c r="B284" s="2"/>
      <c r="I284" s="89"/>
      <c r="J284" s="89"/>
      <c r="K284" s="90"/>
    </row>
    <row r="285">
      <c r="A285" s="88" t="str">
        <f>'Season 1 - MafiaRatings'!A:A</f>
        <v/>
      </c>
      <c r="B285" s="2"/>
      <c r="I285" s="89"/>
      <c r="J285" s="89"/>
      <c r="K285" s="90"/>
    </row>
    <row r="286">
      <c r="A286" s="88" t="str">
        <f>'Season 1 - MafiaRatings'!A:A</f>
        <v/>
      </c>
      <c r="B286" s="2"/>
      <c r="I286" s="89"/>
      <c r="J286" s="89"/>
      <c r="K286" s="90"/>
    </row>
    <row r="287">
      <c r="A287" s="88" t="str">
        <f>'Season 1 - MafiaRatings'!A:A</f>
        <v/>
      </c>
      <c r="B287" s="2"/>
      <c r="I287" s="89"/>
      <c r="J287" s="89"/>
      <c r="K287" s="90"/>
    </row>
    <row r="288">
      <c r="A288" s="88" t="str">
        <f>'Season 1 - MafiaRatings'!A:A</f>
        <v/>
      </c>
      <c r="B288" s="2"/>
      <c r="I288" s="89"/>
      <c r="J288" s="89"/>
      <c r="K288" s="90"/>
    </row>
    <row r="289">
      <c r="A289" s="88" t="str">
        <f>'Season 1 - MafiaRatings'!A:A</f>
        <v/>
      </c>
      <c r="B289" s="2"/>
      <c r="I289" s="89"/>
      <c r="J289" s="89"/>
      <c r="K289" s="90"/>
    </row>
    <row r="290">
      <c r="A290" s="88" t="str">
        <f>'Season 1 - MafiaRatings'!A:A</f>
        <v/>
      </c>
      <c r="B290" s="2"/>
      <c r="I290" s="89"/>
      <c r="J290" s="89"/>
      <c r="K290" s="90"/>
    </row>
    <row r="291">
      <c r="A291" s="88" t="str">
        <f>'Season 1 - MafiaRatings'!A:A</f>
        <v/>
      </c>
      <c r="B291" s="2"/>
      <c r="I291" s="89"/>
      <c r="J291" s="89"/>
      <c r="K291" s="90"/>
    </row>
    <row r="292">
      <c r="A292" s="88" t="str">
        <f>'Season 1 - MafiaRatings'!A:A</f>
        <v/>
      </c>
      <c r="B292" s="2"/>
      <c r="I292" s="89"/>
      <c r="J292" s="89"/>
      <c r="K292" s="90"/>
    </row>
    <row r="293">
      <c r="A293" s="88" t="str">
        <f>'Season 1 - MafiaRatings'!A:A</f>
        <v/>
      </c>
      <c r="B293" s="2"/>
      <c r="I293" s="89"/>
      <c r="J293" s="89"/>
      <c r="K293" s="90"/>
    </row>
    <row r="294">
      <c r="A294" s="88" t="str">
        <f>'Season 1 - MafiaRatings'!A:A</f>
        <v/>
      </c>
      <c r="B294" s="2"/>
      <c r="I294" s="89"/>
      <c r="J294" s="89"/>
      <c r="K294" s="90"/>
    </row>
    <row r="295">
      <c r="A295" s="88" t="str">
        <f>'Season 1 - MafiaRatings'!A:A</f>
        <v/>
      </c>
      <c r="B295" s="2"/>
      <c r="I295" s="89"/>
      <c r="J295" s="89"/>
      <c r="K295" s="90"/>
    </row>
    <row r="296">
      <c r="A296" s="88" t="str">
        <f>'Season 1 - MafiaRatings'!A:A</f>
        <v/>
      </c>
      <c r="B296" s="2"/>
      <c r="I296" s="89"/>
      <c r="J296" s="89"/>
      <c r="K296" s="90"/>
    </row>
    <row r="297">
      <c r="A297" s="88" t="str">
        <f>'Season 1 - MafiaRatings'!A:A</f>
        <v/>
      </c>
      <c r="B297" s="2"/>
      <c r="I297" s="89"/>
      <c r="J297" s="89"/>
      <c r="K297" s="90"/>
    </row>
    <row r="298">
      <c r="A298" s="88" t="str">
        <f>'Season 1 - MafiaRatings'!A:A</f>
        <v/>
      </c>
      <c r="B298" s="2"/>
      <c r="I298" s="89"/>
      <c r="J298" s="89"/>
      <c r="K298" s="90"/>
    </row>
    <row r="299">
      <c r="A299" s="88" t="str">
        <f>'Season 1 - MafiaRatings'!A:A</f>
        <v/>
      </c>
      <c r="B299" s="2"/>
      <c r="I299" s="89"/>
      <c r="J299" s="89"/>
      <c r="K299" s="90"/>
    </row>
    <row r="300">
      <c r="A300" s="88" t="str">
        <f>'Season 1 - MafiaRatings'!A:A</f>
        <v/>
      </c>
      <c r="B300" s="2"/>
      <c r="I300" s="89"/>
      <c r="J300" s="89"/>
      <c r="K300" s="90"/>
    </row>
    <row r="301">
      <c r="A301" s="88" t="str">
        <f>'Season 1 - MafiaRatings'!A:A</f>
        <v/>
      </c>
      <c r="B301" s="2"/>
      <c r="I301" s="89"/>
      <c r="J301" s="89"/>
      <c r="K301" s="90"/>
    </row>
    <row r="302">
      <c r="A302" s="88" t="str">
        <f>'Season 1 - MafiaRatings'!A:A</f>
        <v/>
      </c>
      <c r="B302" s="2"/>
      <c r="I302" s="89"/>
      <c r="J302" s="89"/>
      <c r="K302" s="90"/>
    </row>
    <row r="303">
      <c r="A303" s="88" t="str">
        <f>'Season 1 - MafiaRatings'!A:A</f>
        <v/>
      </c>
      <c r="B303" s="2"/>
      <c r="I303" s="89"/>
      <c r="J303" s="89"/>
      <c r="K303" s="90"/>
    </row>
    <row r="304">
      <c r="A304" s="88" t="str">
        <f>'Season 1 - MafiaRatings'!A:A</f>
        <v/>
      </c>
      <c r="B304" s="2"/>
      <c r="I304" s="89"/>
      <c r="J304" s="89"/>
      <c r="K304" s="90"/>
    </row>
    <row r="305">
      <c r="A305" s="88" t="str">
        <f>'Season 1 - MafiaRatings'!A:A</f>
        <v/>
      </c>
      <c r="B305" s="2"/>
      <c r="I305" s="89"/>
      <c r="J305" s="89"/>
      <c r="K305" s="90"/>
    </row>
    <row r="306">
      <c r="A306" s="88" t="str">
        <f>'Season 1 - MafiaRatings'!A:A</f>
        <v/>
      </c>
      <c r="B306" s="2"/>
      <c r="I306" s="89"/>
      <c r="J306" s="89"/>
      <c r="K306" s="90"/>
    </row>
    <row r="307">
      <c r="A307" s="88" t="str">
        <f>'Season 1 - MafiaRatings'!A:A</f>
        <v/>
      </c>
      <c r="B307" s="2"/>
      <c r="I307" s="89"/>
      <c r="J307" s="89"/>
      <c r="K307" s="90"/>
    </row>
    <row r="308">
      <c r="A308" s="88" t="str">
        <f>'Season 1 - MafiaRatings'!A:A</f>
        <v/>
      </c>
      <c r="B308" s="2"/>
      <c r="I308" s="89"/>
      <c r="J308" s="89"/>
      <c r="K308" s="90"/>
    </row>
    <row r="309">
      <c r="A309" s="88" t="str">
        <f>'Season 1 - MafiaRatings'!A:A</f>
        <v/>
      </c>
      <c r="B309" s="2"/>
      <c r="I309" s="89"/>
      <c r="J309" s="89"/>
      <c r="K309" s="90"/>
    </row>
    <row r="310">
      <c r="A310" s="88" t="str">
        <f>'Season 1 - MafiaRatings'!A:A</f>
        <v/>
      </c>
      <c r="B310" s="2"/>
      <c r="I310" s="89"/>
      <c r="J310" s="89"/>
      <c r="K310" s="90"/>
    </row>
    <row r="311">
      <c r="A311" s="88" t="str">
        <f>'Season 1 - MafiaRatings'!A:A</f>
        <v/>
      </c>
      <c r="B311" s="2"/>
      <c r="I311" s="89"/>
      <c r="J311" s="89"/>
      <c r="K311" s="90"/>
    </row>
    <row r="312">
      <c r="A312" s="88" t="str">
        <f>'Season 1 - MafiaRatings'!A:A</f>
        <v/>
      </c>
      <c r="B312" s="2"/>
      <c r="I312" s="89"/>
      <c r="J312" s="89"/>
      <c r="K312" s="90"/>
    </row>
    <row r="313">
      <c r="A313" s="88" t="str">
        <f>'Season 1 - MafiaRatings'!A:A</f>
        <v/>
      </c>
      <c r="B313" s="2"/>
      <c r="I313" s="89"/>
      <c r="J313" s="89"/>
      <c r="K313" s="90"/>
    </row>
    <row r="314">
      <c r="A314" s="88" t="str">
        <f>'Season 1 - MafiaRatings'!A:A</f>
        <v/>
      </c>
      <c r="B314" s="2"/>
      <c r="I314" s="89"/>
      <c r="J314" s="89"/>
      <c r="K314" s="90"/>
    </row>
    <row r="315">
      <c r="A315" s="88" t="str">
        <f>'Season 1 - MafiaRatings'!A:A</f>
        <v/>
      </c>
      <c r="B315" s="2"/>
      <c r="I315" s="89"/>
      <c r="J315" s="89"/>
      <c r="K315" s="90"/>
    </row>
    <row r="316">
      <c r="A316" s="88" t="str">
        <f>'Season 1 - MafiaRatings'!A:A</f>
        <v/>
      </c>
      <c r="B316" s="2"/>
      <c r="I316" s="89"/>
      <c r="J316" s="89"/>
      <c r="K316" s="90"/>
    </row>
    <row r="317">
      <c r="A317" s="88" t="str">
        <f>'Season 1 - MafiaRatings'!A:A</f>
        <v/>
      </c>
      <c r="B317" s="2"/>
      <c r="I317" s="89"/>
      <c r="J317" s="89"/>
      <c r="K317" s="90"/>
    </row>
    <row r="318">
      <c r="A318" s="88" t="str">
        <f>'Season 1 - MafiaRatings'!A:A</f>
        <v/>
      </c>
      <c r="B318" s="2"/>
      <c r="I318" s="89"/>
      <c r="J318" s="89"/>
      <c r="K318" s="90"/>
    </row>
    <row r="319">
      <c r="A319" s="88" t="str">
        <f>'Season 1 - MafiaRatings'!A:A</f>
        <v/>
      </c>
      <c r="B319" s="2"/>
      <c r="I319" s="89"/>
      <c r="J319" s="89"/>
      <c r="K319" s="90"/>
    </row>
    <row r="320">
      <c r="A320" s="88" t="str">
        <f>'Season 1 - MafiaRatings'!A:A</f>
        <v/>
      </c>
      <c r="B320" s="2"/>
      <c r="I320" s="89"/>
      <c r="J320" s="89"/>
      <c r="K320" s="90"/>
    </row>
    <row r="321">
      <c r="A321" s="88" t="str">
        <f>'Season 1 - MafiaRatings'!A:A</f>
        <v/>
      </c>
      <c r="B321" s="2"/>
      <c r="I321" s="89"/>
      <c r="J321" s="89"/>
      <c r="K321" s="90"/>
    </row>
    <row r="322">
      <c r="A322" s="88" t="str">
        <f>'Season 1 - MafiaRatings'!A:A</f>
        <v/>
      </c>
      <c r="B322" s="2"/>
      <c r="I322" s="89"/>
      <c r="J322" s="89"/>
      <c r="K322" s="90"/>
    </row>
    <row r="323">
      <c r="A323" s="88" t="str">
        <f>'Season 1 - MafiaRatings'!A:A</f>
        <v/>
      </c>
      <c r="B323" s="2"/>
      <c r="I323" s="89"/>
      <c r="J323" s="89"/>
      <c r="K323" s="90"/>
    </row>
    <row r="324">
      <c r="A324" s="88" t="str">
        <f>'Season 1 - MafiaRatings'!A:A</f>
        <v/>
      </c>
      <c r="B324" s="2"/>
      <c r="I324" s="89"/>
      <c r="J324" s="89"/>
      <c r="K324" s="90"/>
    </row>
    <row r="325">
      <c r="A325" s="88" t="str">
        <f>'Season 1 - MafiaRatings'!A:A</f>
        <v/>
      </c>
      <c r="B325" s="2"/>
      <c r="I325" s="89"/>
      <c r="J325" s="89"/>
      <c r="K325" s="90"/>
    </row>
    <row r="326">
      <c r="A326" s="88" t="str">
        <f>'Season 1 - MafiaRatings'!A:A</f>
        <v/>
      </c>
      <c r="B326" s="2"/>
      <c r="I326" s="89"/>
      <c r="J326" s="89"/>
      <c r="K326" s="90"/>
    </row>
    <row r="327">
      <c r="A327" s="88" t="str">
        <f>'Season 1 - MafiaRatings'!A:A</f>
        <v/>
      </c>
      <c r="B327" s="2"/>
      <c r="I327" s="89"/>
      <c r="J327" s="89"/>
      <c r="K327" s="90"/>
    </row>
    <row r="328">
      <c r="A328" s="88" t="str">
        <f>'Season 1 - MafiaRatings'!A:A</f>
        <v/>
      </c>
      <c r="B328" s="2"/>
      <c r="I328" s="89"/>
      <c r="J328" s="89"/>
      <c r="K328" s="90"/>
    </row>
    <row r="329">
      <c r="A329" s="88" t="str">
        <f>'Season 1 - MafiaRatings'!A:A</f>
        <v/>
      </c>
      <c r="B329" s="2"/>
      <c r="I329" s="89"/>
      <c r="J329" s="89"/>
      <c r="K329" s="90"/>
    </row>
    <row r="330">
      <c r="A330" s="88" t="str">
        <f>'Season 1 - MafiaRatings'!A:A</f>
        <v/>
      </c>
      <c r="B330" s="2"/>
      <c r="I330" s="89"/>
      <c r="J330" s="89"/>
      <c r="K330" s="90"/>
    </row>
    <row r="331">
      <c r="A331" s="88" t="str">
        <f>'Season 1 - MafiaRatings'!A:A</f>
        <v/>
      </c>
      <c r="B331" s="2"/>
      <c r="I331" s="89"/>
      <c r="J331" s="89"/>
      <c r="K331" s="90"/>
    </row>
    <row r="332">
      <c r="A332" s="88" t="str">
        <f>'Season 1 - MafiaRatings'!A:A</f>
        <v/>
      </c>
      <c r="B332" s="2"/>
      <c r="I332" s="89"/>
      <c r="J332" s="89"/>
      <c r="K332" s="90"/>
    </row>
    <row r="333">
      <c r="A333" s="88" t="str">
        <f>'Season 1 - MafiaRatings'!A:A</f>
        <v/>
      </c>
      <c r="B333" s="2"/>
      <c r="I333" s="89"/>
      <c r="J333" s="89"/>
      <c r="K333" s="90"/>
    </row>
    <row r="334">
      <c r="A334" s="88" t="str">
        <f>'Season 1 - MafiaRatings'!A:A</f>
        <v/>
      </c>
      <c r="B334" s="2"/>
      <c r="I334" s="89"/>
      <c r="J334" s="89"/>
      <c r="K334" s="90"/>
    </row>
    <row r="335">
      <c r="A335" s="88" t="str">
        <f>'Season 1 - MafiaRatings'!A:A</f>
        <v/>
      </c>
      <c r="B335" s="2"/>
      <c r="I335" s="89"/>
      <c r="J335" s="89"/>
      <c r="K335" s="90"/>
    </row>
    <row r="336">
      <c r="A336" s="88" t="str">
        <f>'Season 1 - MafiaRatings'!A:A</f>
        <v/>
      </c>
      <c r="B336" s="2"/>
      <c r="I336" s="89"/>
      <c r="J336" s="89"/>
      <c r="K336" s="90"/>
    </row>
    <row r="337">
      <c r="A337" s="88" t="str">
        <f>'Season 1 - MafiaRatings'!A:A</f>
        <v/>
      </c>
      <c r="B337" s="2"/>
      <c r="I337" s="89"/>
      <c r="J337" s="89"/>
      <c r="K337" s="90"/>
    </row>
    <row r="338">
      <c r="A338" s="88" t="str">
        <f>'Season 1 - MafiaRatings'!A:A</f>
        <v/>
      </c>
      <c r="B338" s="2"/>
      <c r="I338" s="89"/>
      <c r="J338" s="89"/>
      <c r="K338" s="90"/>
    </row>
    <row r="339">
      <c r="A339" s="88" t="str">
        <f>'Season 1 - MafiaRatings'!A:A</f>
        <v/>
      </c>
      <c r="B339" s="2"/>
      <c r="I339" s="89"/>
      <c r="J339" s="89"/>
      <c r="K339" s="90"/>
    </row>
    <row r="340">
      <c r="A340" s="88" t="str">
        <f>'Season 1 - MafiaRatings'!A:A</f>
        <v/>
      </c>
      <c r="B340" s="2"/>
      <c r="I340" s="89"/>
      <c r="J340" s="89"/>
      <c r="K340" s="90"/>
    </row>
    <row r="341">
      <c r="A341" s="88" t="str">
        <f>'Season 1 - MafiaRatings'!A:A</f>
        <v/>
      </c>
      <c r="B341" s="2"/>
      <c r="I341" s="89"/>
      <c r="J341" s="89"/>
      <c r="K341" s="90"/>
    </row>
    <row r="342">
      <c r="A342" s="88" t="str">
        <f>'Season 1 - MafiaRatings'!A:A</f>
        <v/>
      </c>
      <c r="B342" s="2"/>
      <c r="I342" s="89"/>
      <c r="J342" s="89"/>
      <c r="K342" s="90"/>
    </row>
    <row r="343">
      <c r="A343" s="88" t="str">
        <f>'Season 1 - MafiaRatings'!A:A</f>
        <v/>
      </c>
      <c r="B343" s="2"/>
      <c r="I343" s="89"/>
      <c r="J343" s="89"/>
      <c r="K343" s="90"/>
    </row>
    <row r="344">
      <c r="A344" s="88" t="str">
        <f>'Season 1 - MafiaRatings'!A:A</f>
        <v/>
      </c>
      <c r="B344" s="2"/>
      <c r="I344" s="89"/>
      <c r="J344" s="89"/>
      <c r="K344" s="90"/>
    </row>
    <row r="345">
      <c r="A345" s="88" t="str">
        <f>'Season 1 - MafiaRatings'!A:A</f>
        <v/>
      </c>
      <c r="B345" s="2"/>
      <c r="I345" s="89"/>
      <c r="J345" s="89"/>
      <c r="K345" s="90"/>
    </row>
    <row r="346">
      <c r="A346" s="88" t="str">
        <f>'Season 1 - MafiaRatings'!A:A</f>
        <v/>
      </c>
      <c r="B346" s="2"/>
      <c r="I346" s="89"/>
      <c r="J346" s="89"/>
      <c r="K346" s="90"/>
    </row>
    <row r="347">
      <c r="A347" s="88" t="str">
        <f>'Season 1 - MafiaRatings'!A:A</f>
        <v/>
      </c>
      <c r="B347" s="2"/>
      <c r="I347" s="89"/>
      <c r="J347" s="89"/>
      <c r="K347" s="90"/>
    </row>
    <row r="348">
      <c r="A348" s="88" t="str">
        <f>'Season 1 - MafiaRatings'!A:A</f>
        <v/>
      </c>
      <c r="B348" s="2"/>
      <c r="I348" s="89"/>
      <c r="J348" s="89"/>
      <c r="K348" s="90"/>
    </row>
    <row r="349">
      <c r="A349" s="88" t="str">
        <f>'Season 1 - MafiaRatings'!A:A</f>
        <v/>
      </c>
      <c r="B349" s="2"/>
      <c r="I349" s="89"/>
      <c r="J349" s="89"/>
      <c r="K349" s="90"/>
    </row>
    <row r="350">
      <c r="A350" s="88" t="str">
        <f>'Season 1 - MafiaRatings'!A:A</f>
        <v/>
      </c>
      <c r="B350" s="2"/>
      <c r="I350" s="89"/>
      <c r="J350" s="89"/>
      <c r="K350" s="90"/>
    </row>
    <row r="351">
      <c r="A351" s="88" t="str">
        <f>'Season 1 - MafiaRatings'!A:A</f>
        <v/>
      </c>
      <c r="B351" s="2"/>
      <c r="I351" s="89"/>
      <c r="J351" s="89"/>
      <c r="K351" s="90"/>
    </row>
    <row r="352">
      <c r="A352" s="88" t="str">
        <f>'Season 1 - MafiaRatings'!A:A</f>
        <v/>
      </c>
      <c r="B352" s="2"/>
      <c r="I352" s="89"/>
      <c r="J352" s="89"/>
      <c r="K352" s="90"/>
    </row>
    <row r="353">
      <c r="A353" s="88" t="str">
        <f>'Season 1 - MafiaRatings'!A:A</f>
        <v/>
      </c>
      <c r="B353" s="2"/>
      <c r="I353" s="89"/>
      <c r="J353" s="89"/>
      <c r="K353" s="90"/>
    </row>
    <row r="354">
      <c r="A354" s="88" t="str">
        <f>'Season 1 - MafiaRatings'!A:A</f>
        <v/>
      </c>
      <c r="B354" s="2"/>
      <c r="I354" s="89"/>
      <c r="J354" s="89"/>
      <c r="K354" s="90"/>
    </row>
    <row r="355">
      <c r="A355" s="88" t="str">
        <f>'Season 1 - MafiaRatings'!A:A</f>
        <v/>
      </c>
      <c r="B355" s="2"/>
      <c r="I355" s="89"/>
      <c r="J355" s="89"/>
      <c r="K355" s="90"/>
    </row>
    <row r="356">
      <c r="A356" s="88" t="str">
        <f>'Season 1 - MafiaRatings'!A:A</f>
        <v/>
      </c>
      <c r="B356" s="2"/>
      <c r="I356" s="89"/>
      <c r="J356" s="89"/>
      <c r="K356" s="90"/>
    </row>
    <row r="357">
      <c r="A357" s="88" t="str">
        <f>'Season 1 - MafiaRatings'!A:A</f>
        <v/>
      </c>
      <c r="B357" s="2"/>
      <c r="I357" s="89"/>
      <c r="J357" s="89"/>
      <c r="K357" s="90"/>
    </row>
    <row r="358">
      <c r="A358" s="88" t="str">
        <f>'Season 1 - MafiaRatings'!A:A</f>
        <v/>
      </c>
      <c r="B358" s="2"/>
      <c r="I358" s="89"/>
      <c r="J358" s="89"/>
      <c r="K358" s="90"/>
    </row>
    <row r="359">
      <c r="A359" s="88" t="str">
        <f>'Season 1 - MafiaRatings'!A:A</f>
        <v/>
      </c>
      <c r="B359" s="2"/>
      <c r="I359" s="89"/>
      <c r="J359" s="89"/>
      <c r="K359" s="90"/>
    </row>
    <row r="360">
      <c r="A360" s="88" t="str">
        <f>'Season 1 - MafiaRatings'!A:A</f>
        <v/>
      </c>
      <c r="B360" s="2"/>
      <c r="I360" s="89"/>
      <c r="J360" s="89"/>
      <c r="K360" s="90"/>
    </row>
    <row r="361">
      <c r="A361" s="88" t="str">
        <f>'Season 1 - MafiaRatings'!A:A</f>
        <v/>
      </c>
      <c r="B361" s="2"/>
      <c r="I361" s="89"/>
      <c r="J361" s="89"/>
      <c r="K361" s="90"/>
    </row>
    <row r="362">
      <c r="A362" s="88" t="str">
        <f>'Season 1 - MafiaRatings'!A:A</f>
        <v/>
      </c>
      <c r="B362" s="2"/>
      <c r="I362" s="89"/>
      <c r="J362" s="89"/>
      <c r="K362" s="90"/>
    </row>
    <row r="363">
      <c r="A363" s="88" t="str">
        <f>'Season 1 - MafiaRatings'!A:A</f>
        <v/>
      </c>
      <c r="B363" s="2"/>
      <c r="I363" s="89"/>
      <c r="J363" s="89"/>
      <c r="K363" s="90"/>
    </row>
    <row r="364">
      <c r="A364" s="88" t="str">
        <f>'Season 1 - MafiaRatings'!A:A</f>
        <v/>
      </c>
      <c r="B364" s="2"/>
      <c r="I364" s="89"/>
      <c r="J364" s="89"/>
      <c r="K364" s="90"/>
    </row>
    <row r="365">
      <c r="A365" s="88" t="str">
        <f>'Season 1 - MafiaRatings'!A:A</f>
        <v/>
      </c>
      <c r="B365" s="2"/>
      <c r="I365" s="89"/>
      <c r="J365" s="89"/>
      <c r="K365" s="90"/>
    </row>
    <row r="366">
      <c r="A366" s="88" t="str">
        <f>'Season 1 - MafiaRatings'!A:A</f>
        <v/>
      </c>
      <c r="B366" s="2"/>
      <c r="I366" s="89"/>
      <c r="J366" s="89"/>
      <c r="K366" s="90"/>
    </row>
    <row r="367">
      <c r="A367" s="88" t="str">
        <f>'Season 1 - MafiaRatings'!A:A</f>
        <v/>
      </c>
      <c r="B367" s="2"/>
      <c r="I367" s="89"/>
      <c r="J367" s="89"/>
      <c r="K367" s="90"/>
    </row>
    <row r="368">
      <c r="A368" s="88" t="str">
        <f>'Season 1 - MafiaRatings'!A:A</f>
        <v/>
      </c>
      <c r="B368" s="2"/>
      <c r="I368" s="89"/>
      <c r="J368" s="89"/>
      <c r="K368" s="90"/>
    </row>
    <row r="369">
      <c r="A369" s="88" t="str">
        <f>'Season 1 - MafiaRatings'!A:A</f>
        <v/>
      </c>
      <c r="B369" s="2"/>
      <c r="I369" s="89"/>
      <c r="J369" s="89"/>
      <c r="K369" s="90"/>
    </row>
    <row r="370">
      <c r="A370" s="88" t="str">
        <f>'Season 1 - MafiaRatings'!A:A</f>
        <v/>
      </c>
      <c r="B370" s="2"/>
      <c r="I370" s="89"/>
      <c r="J370" s="89"/>
      <c r="K370" s="90"/>
    </row>
    <row r="371">
      <c r="A371" s="88" t="str">
        <f>'Season 1 - MafiaRatings'!A:A</f>
        <v/>
      </c>
      <c r="B371" s="2"/>
      <c r="I371" s="89"/>
      <c r="J371" s="89"/>
      <c r="K371" s="90"/>
    </row>
    <row r="372">
      <c r="A372" s="88" t="str">
        <f>'Season 1 - MafiaRatings'!A:A</f>
        <v/>
      </c>
      <c r="B372" s="2"/>
      <c r="I372" s="89"/>
      <c r="J372" s="89"/>
      <c r="K372" s="90"/>
    </row>
    <row r="373">
      <c r="A373" s="88" t="str">
        <f>'Season 1 - MafiaRatings'!A:A</f>
        <v/>
      </c>
      <c r="B373" s="2"/>
      <c r="I373" s="89"/>
      <c r="J373" s="89"/>
      <c r="K373" s="90"/>
    </row>
    <row r="374">
      <c r="A374" s="88" t="str">
        <f>'Season 1 - MafiaRatings'!A:A</f>
        <v/>
      </c>
      <c r="B374" s="2"/>
      <c r="I374" s="89"/>
      <c r="J374" s="89"/>
      <c r="K374" s="90"/>
    </row>
    <row r="375">
      <c r="A375" s="88" t="str">
        <f>'Season 1 - MafiaRatings'!A:A</f>
        <v/>
      </c>
      <c r="B375" s="2"/>
      <c r="I375" s="89"/>
      <c r="J375" s="89"/>
      <c r="K375" s="90"/>
    </row>
    <row r="376">
      <c r="A376" s="88" t="str">
        <f>'Season 1 - MafiaRatings'!A:A</f>
        <v/>
      </c>
      <c r="B376" s="2"/>
      <c r="I376" s="89"/>
      <c r="J376" s="89"/>
      <c r="K376" s="90"/>
    </row>
    <row r="377">
      <c r="A377" s="88" t="str">
        <f>'Season 1 - MafiaRatings'!A:A</f>
        <v/>
      </c>
      <c r="B377" s="2"/>
      <c r="I377" s="89"/>
      <c r="J377" s="89"/>
      <c r="K377" s="90"/>
    </row>
    <row r="378">
      <c r="A378" s="88" t="str">
        <f>'Season 1 - MafiaRatings'!A:A</f>
        <v/>
      </c>
      <c r="B378" s="2"/>
      <c r="I378" s="89"/>
      <c r="J378" s="89"/>
      <c r="K378" s="90"/>
    </row>
    <row r="379">
      <c r="A379" s="88" t="str">
        <f>'Season 1 - MafiaRatings'!A:A</f>
        <v/>
      </c>
      <c r="B379" s="2"/>
      <c r="I379" s="89"/>
      <c r="J379" s="89"/>
      <c r="K379" s="90"/>
    </row>
    <row r="380">
      <c r="A380" s="88" t="str">
        <f>'Season 1 - MafiaRatings'!A:A</f>
        <v/>
      </c>
      <c r="B380" s="2"/>
      <c r="I380" s="89"/>
      <c r="J380" s="89"/>
      <c r="K380" s="90"/>
    </row>
    <row r="381">
      <c r="A381" s="88" t="str">
        <f>'Season 1 - MafiaRatings'!A:A</f>
        <v/>
      </c>
      <c r="B381" s="2"/>
      <c r="I381" s="89"/>
      <c r="J381" s="89"/>
      <c r="K381" s="90"/>
    </row>
    <row r="382">
      <c r="A382" s="88" t="str">
        <f>'Season 1 - MafiaRatings'!A:A</f>
        <v/>
      </c>
      <c r="B382" s="2"/>
      <c r="I382" s="89"/>
      <c r="J382" s="89"/>
      <c r="K382" s="90"/>
    </row>
    <row r="383">
      <c r="A383" s="88" t="str">
        <f>'Season 1 - MafiaRatings'!A:A</f>
        <v/>
      </c>
      <c r="B383" s="2"/>
      <c r="I383" s="89"/>
      <c r="J383" s="89"/>
      <c r="K383" s="90"/>
    </row>
    <row r="384">
      <c r="A384" s="88" t="str">
        <f>'Season 1 - MafiaRatings'!A:A</f>
        <v/>
      </c>
      <c r="B384" s="2"/>
      <c r="I384" s="89"/>
      <c r="J384" s="89"/>
      <c r="K384" s="90"/>
    </row>
    <row r="385">
      <c r="A385" s="88" t="str">
        <f>'Season 1 - MafiaRatings'!A:A</f>
        <v/>
      </c>
      <c r="B385" s="2"/>
      <c r="I385" s="89"/>
      <c r="J385" s="89"/>
      <c r="K385" s="90"/>
    </row>
    <row r="386">
      <c r="A386" s="88" t="str">
        <f>'Season 1 - MafiaRatings'!A:A</f>
        <v/>
      </c>
      <c r="B386" s="2"/>
      <c r="I386" s="89"/>
      <c r="J386" s="89"/>
      <c r="K386" s="90"/>
    </row>
    <row r="387">
      <c r="A387" s="88" t="str">
        <f>'Season 1 - MafiaRatings'!A:A</f>
        <v/>
      </c>
      <c r="B387" s="2"/>
      <c r="I387" s="89"/>
      <c r="J387" s="89"/>
      <c r="K387" s="90"/>
    </row>
    <row r="388">
      <c r="A388" s="88" t="str">
        <f>'Season 1 - MafiaRatings'!A:A</f>
        <v/>
      </c>
      <c r="B388" s="2"/>
      <c r="I388" s="89"/>
      <c r="J388" s="89"/>
      <c r="K388" s="90"/>
    </row>
    <row r="389">
      <c r="A389" s="88" t="str">
        <f>'Season 1 - MafiaRatings'!A:A</f>
        <v/>
      </c>
      <c r="B389" s="2"/>
      <c r="I389" s="89"/>
      <c r="J389" s="89"/>
      <c r="K389" s="90"/>
    </row>
    <row r="390">
      <c r="A390" s="88" t="str">
        <f>'Season 1 - MafiaRatings'!A:A</f>
        <v/>
      </c>
      <c r="B390" s="2"/>
      <c r="I390" s="89"/>
      <c r="J390" s="89"/>
      <c r="K390" s="90"/>
    </row>
    <row r="391">
      <c r="A391" s="88" t="str">
        <f>'Season 1 - MafiaRatings'!A:A</f>
        <v/>
      </c>
      <c r="B391" s="2"/>
      <c r="I391" s="89"/>
      <c r="J391" s="89"/>
      <c r="K391" s="90"/>
    </row>
    <row r="392">
      <c r="A392" s="88" t="str">
        <f>'Season 1 - MafiaRatings'!A:A</f>
        <v/>
      </c>
      <c r="B392" s="2"/>
      <c r="I392" s="89"/>
      <c r="J392" s="89"/>
      <c r="K392" s="90"/>
    </row>
    <row r="393">
      <c r="A393" s="88" t="str">
        <f>'Season 1 - MafiaRatings'!A:A</f>
        <v/>
      </c>
      <c r="B393" s="2"/>
      <c r="I393" s="89"/>
      <c r="J393" s="89"/>
      <c r="K393" s="90"/>
    </row>
    <row r="394">
      <c r="A394" s="88" t="str">
        <f>'Season 1 - MafiaRatings'!A:A</f>
        <v/>
      </c>
      <c r="B394" s="2"/>
      <c r="I394" s="89"/>
      <c r="J394" s="89"/>
      <c r="K394" s="90"/>
    </row>
    <row r="395">
      <c r="A395" s="88" t="str">
        <f>'Season 1 - MafiaRatings'!A:A</f>
        <v/>
      </c>
      <c r="B395" s="2"/>
      <c r="I395" s="89"/>
      <c r="J395" s="89"/>
      <c r="K395" s="90"/>
    </row>
    <row r="396">
      <c r="A396" s="88" t="str">
        <f>'Season 1 - MafiaRatings'!A:A</f>
        <v/>
      </c>
      <c r="B396" s="2"/>
      <c r="I396" s="89"/>
      <c r="J396" s="89"/>
      <c r="K396" s="90"/>
    </row>
    <row r="397">
      <c r="A397" s="88" t="str">
        <f>'Season 1 - MafiaRatings'!A:A</f>
        <v/>
      </c>
      <c r="B397" s="2"/>
      <c r="I397" s="89"/>
      <c r="J397" s="89"/>
      <c r="K397" s="90"/>
    </row>
    <row r="398">
      <c r="A398" s="88" t="str">
        <f>'Season 1 - MafiaRatings'!A:A</f>
        <v/>
      </c>
      <c r="B398" s="2"/>
      <c r="I398" s="89"/>
      <c r="J398" s="89"/>
      <c r="K398" s="90"/>
    </row>
    <row r="399">
      <c r="A399" s="88" t="str">
        <f>'Season 1 - MafiaRatings'!A:A</f>
        <v/>
      </c>
      <c r="B399" s="2"/>
      <c r="I399" s="89"/>
      <c r="J399" s="89"/>
      <c r="K399" s="90"/>
    </row>
    <row r="400">
      <c r="A400" s="88" t="str">
        <f>'Season 1 - MafiaRatings'!A:A</f>
        <v/>
      </c>
      <c r="B400" s="2"/>
      <c r="I400" s="89"/>
      <c r="J400" s="89"/>
      <c r="K400" s="90"/>
    </row>
    <row r="401">
      <c r="A401" s="88" t="str">
        <f>'Season 1 - MafiaRatings'!A:A</f>
        <v/>
      </c>
      <c r="B401" s="2"/>
      <c r="I401" s="89"/>
      <c r="J401" s="89"/>
      <c r="K401" s="90"/>
    </row>
    <row r="402">
      <c r="A402" s="88" t="str">
        <f>'Season 1 - MafiaRatings'!A:A</f>
        <v/>
      </c>
      <c r="B402" s="2"/>
      <c r="I402" s="89"/>
      <c r="J402" s="89"/>
      <c r="K402" s="90"/>
    </row>
    <row r="403">
      <c r="A403" s="88" t="str">
        <f>'Season 1 - MafiaRatings'!A:A</f>
        <v/>
      </c>
      <c r="B403" s="2"/>
      <c r="I403" s="89"/>
      <c r="J403" s="89"/>
      <c r="K403" s="90"/>
    </row>
    <row r="404">
      <c r="A404" s="88" t="str">
        <f>'Season 1 - MafiaRatings'!A:A</f>
        <v/>
      </c>
      <c r="B404" s="2"/>
      <c r="I404" s="89"/>
      <c r="J404" s="89"/>
      <c r="K404" s="90"/>
    </row>
    <row r="405">
      <c r="A405" s="88" t="str">
        <f>'Season 1 - MafiaRatings'!A:A</f>
        <v/>
      </c>
      <c r="B405" s="2"/>
      <c r="I405" s="89"/>
      <c r="J405" s="89"/>
      <c r="K405" s="90"/>
    </row>
    <row r="406">
      <c r="A406" s="88" t="str">
        <f>'Season 1 - MafiaRatings'!A:A</f>
        <v/>
      </c>
      <c r="B406" s="2"/>
      <c r="I406" s="89"/>
      <c r="J406" s="89"/>
      <c r="K406" s="90"/>
    </row>
    <row r="407">
      <c r="A407" s="88" t="str">
        <f>'Season 1 - MafiaRatings'!A:A</f>
        <v/>
      </c>
      <c r="B407" s="2"/>
      <c r="I407" s="89"/>
      <c r="J407" s="89"/>
      <c r="K407" s="90"/>
    </row>
    <row r="408">
      <c r="A408" s="88" t="str">
        <f>'Season 1 - MafiaRatings'!A:A</f>
        <v/>
      </c>
      <c r="B408" s="2"/>
      <c r="I408" s="89"/>
      <c r="J408" s="89"/>
      <c r="K408" s="90"/>
    </row>
    <row r="409">
      <c r="A409" s="88" t="str">
        <f>'Season 1 - MafiaRatings'!A:A</f>
        <v/>
      </c>
      <c r="B409" s="2"/>
      <c r="I409" s="89"/>
      <c r="J409" s="89"/>
      <c r="K409" s="90"/>
    </row>
    <row r="410">
      <c r="A410" s="88" t="str">
        <f>'Season 1 - MafiaRatings'!A:A</f>
        <v/>
      </c>
      <c r="B410" s="2"/>
      <c r="I410" s="89"/>
      <c r="J410" s="89"/>
      <c r="K410" s="90"/>
    </row>
    <row r="411">
      <c r="A411" s="88" t="str">
        <f>'Season 1 - MafiaRatings'!A:A</f>
        <v/>
      </c>
      <c r="B411" s="2"/>
      <c r="I411" s="89"/>
      <c r="J411" s="89"/>
      <c r="K411" s="90"/>
    </row>
    <row r="412">
      <c r="A412" s="88" t="str">
        <f>'Season 1 - MafiaRatings'!A:A</f>
        <v/>
      </c>
      <c r="B412" s="2"/>
      <c r="I412" s="89"/>
      <c r="J412" s="89"/>
      <c r="K412" s="90"/>
    </row>
    <row r="413">
      <c r="A413" s="88" t="str">
        <f>'Season 1 - MafiaRatings'!A:A</f>
        <v/>
      </c>
      <c r="B413" s="2"/>
      <c r="I413" s="89"/>
      <c r="J413" s="89"/>
      <c r="K413" s="90"/>
    </row>
    <row r="414">
      <c r="A414" s="88" t="str">
        <f>'Season 1 - MafiaRatings'!A:A</f>
        <v/>
      </c>
      <c r="B414" s="2"/>
      <c r="I414" s="89"/>
      <c r="J414" s="89"/>
      <c r="K414" s="90"/>
    </row>
    <row r="415">
      <c r="A415" s="88" t="str">
        <f>'Season 1 - MafiaRatings'!A:A</f>
        <v/>
      </c>
      <c r="B415" s="2"/>
      <c r="I415" s="89"/>
      <c r="J415" s="89"/>
      <c r="K415" s="90"/>
    </row>
    <row r="416">
      <c r="A416" s="88" t="str">
        <f>'Season 1 - MafiaRatings'!A:A</f>
        <v/>
      </c>
      <c r="B416" s="2"/>
      <c r="I416" s="89"/>
      <c r="J416" s="89"/>
      <c r="K416" s="90"/>
    </row>
    <row r="417">
      <c r="A417" s="88" t="str">
        <f>'Season 1 - MafiaRatings'!A:A</f>
        <v/>
      </c>
      <c r="B417" s="2"/>
      <c r="I417" s="89"/>
      <c r="J417" s="89"/>
      <c r="K417" s="90"/>
    </row>
    <row r="418">
      <c r="A418" s="88" t="str">
        <f>'Season 1 - MafiaRatings'!A:A</f>
        <v/>
      </c>
      <c r="B418" s="2"/>
      <c r="I418" s="89"/>
      <c r="J418" s="89"/>
      <c r="K418" s="90"/>
    </row>
    <row r="419">
      <c r="A419" s="88" t="str">
        <f>'Season 1 - MafiaRatings'!A:A</f>
        <v/>
      </c>
      <c r="B419" s="2"/>
      <c r="I419" s="89"/>
      <c r="J419" s="89"/>
      <c r="K419" s="90"/>
    </row>
    <row r="420">
      <c r="A420" s="88" t="str">
        <f>'Season 1 - MafiaRatings'!A:A</f>
        <v/>
      </c>
      <c r="B420" s="2"/>
      <c r="I420" s="89"/>
      <c r="J420" s="89"/>
      <c r="K420" s="90"/>
    </row>
    <row r="421">
      <c r="A421" s="88" t="str">
        <f>'Season 1 - MafiaRatings'!A:A</f>
        <v/>
      </c>
      <c r="B421" s="2"/>
      <c r="I421" s="89"/>
      <c r="J421" s="89"/>
      <c r="K421" s="90"/>
    </row>
    <row r="422">
      <c r="A422" s="88" t="str">
        <f>'Season 1 - MafiaRatings'!A:A</f>
        <v/>
      </c>
      <c r="B422" s="2"/>
      <c r="I422" s="89"/>
      <c r="J422" s="89"/>
      <c r="K422" s="90"/>
    </row>
    <row r="423">
      <c r="A423" s="88" t="str">
        <f>'Season 1 - MafiaRatings'!A:A</f>
        <v/>
      </c>
      <c r="B423" s="2"/>
      <c r="I423" s="89"/>
      <c r="J423" s="89"/>
      <c r="K423" s="90"/>
    </row>
    <row r="424">
      <c r="A424" s="88" t="str">
        <f>'Season 1 - MafiaRatings'!A:A</f>
        <v/>
      </c>
      <c r="B424" s="2"/>
      <c r="I424" s="89"/>
      <c r="J424" s="89"/>
      <c r="K424" s="90"/>
    </row>
    <row r="425">
      <c r="A425" s="88" t="str">
        <f>'Season 1 - MafiaRatings'!A:A</f>
        <v/>
      </c>
      <c r="B425" s="2"/>
      <c r="I425" s="89"/>
      <c r="J425" s="89"/>
      <c r="K425" s="90"/>
    </row>
    <row r="426">
      <c r="A426" s="88" t="str">
        <f>'Season 1 - MafiaRatings'!A:A</f>
        <v/>
      </c>
      <c r="B426" s="2"/>
      <c r="I426" s="89"/>
      <c r="J426" s="89"/>
      <c r="K426" s="90"/>
    </row>
    <row r="427">
      <c r="A427" s="88" t="str">
        <f>'Season 1 - MafiaRatings'!A:A</f>
        <v/>
      </c>
      <c r="B427" s="2"/>
      <c r="I427" s="89"/>
      <c r="J427" s="89"/>
      <c r="K427" s="90"/>
    </row>
    <row r="428">
      <c r="A428" s="88" t="str">
        <f>'Season 1 - MafiaRatings'!A:A</f>
        <v/>
      </c>
      <c r="B428" s="2"/>
      <c r="I428" s="89"/>
      <c r="J428" s="89"/>
      <c r="K428" s="90"/>
    </row>
    <row r="429">
      <c r="A429" s="88" t="str">
        <f>'Season 1 - MafiaRatings'!A:A</f>
        <v/>
      </c>
      <c r="B429" s="2"/>
      <c r="I429" s="89"/>
      <c r="J429" s="89"/>
      <c r="K429" s="90"/>
    </row>
    <row r="430">
      <c r="A430" s="88" t="str">
        <f>'Season 1 - MafiaRatings'!A:A</f>
        <v/>
      </c>
      <c r="B430" s="2"/>
      <c r="I430" s="89"/>
      <c r="J430" s="89"/>
      <c r="K430" s="90"/>
    </row>
    <row r="431">
      <c r="A431" s="88" t="str">
        <f>'Season 1 - MafiaRatings'!A:A</f>
        <v/>
      </c>
      <c r="B431" s="2"/>
      <c r="I431" s="89"/>
      <c r="J431" s="89"/>
      <c r="K431" s="90"/>
    </row>
    <row r="432">
      <c r="A432" s="88" t="str">
        <f>'Season 1 - MafiaRatings'!A:A</f>
        <v/>
      </c>
      <c r="B432" s="2"/>
      <c r="I432" s="89"/>
      <c r="J432" s="89"/>
      <c r="K432" s="90"/>
    </row>
    <row r="433">
      <c r="A433" s="88" t="str">
        <f>'Season 1 - MafiaRatings'!A:A</f>
        <v/>
      </c>
      <c r="B433" s="2"/>
      <c r="I433" s="89"/>
      <c r="J433" s="89"/>
      <c r="K433" s="90"/>
    </row>
    <row r="434">
      <c r="A434" s="88" t="str">
        <f>'Season 1 - MafiaRatings'!A:A</f>
        <v/>
      </c>
      <c r="B434" s="2"/>
      <c r="I434" s="89"/>
      <c r="J434" s="89"/>
      <c r="K434" s="90"/>
    </row>
    <row r="435">
      <c r="A435" s="88" t="str">
        <f>'Season 1 - MafiaRatings'!A:A</f>
        <v/>
      </c>
      <c r="B435" s="2"/>
      <c r="I435" s="89"/>
      <c r="J435" s="89"/>
      <c r="K435" s="90"/>
    </row>
    <row r="436">
      <c r="A436" s="88" t="str">
        <f>'Season 1 - MafiaRatings'!A:A</f>
        <v/>
      </c>
      <c r="B436" s="2"/>
      <c r="I436" s="89"/>
      <c r="J436" s="89"/>
      <c r="K436" s="90"/>
    </row>
    <row r="437">
      <c r="A437" s="88" t="str">
        <f>'Season 1 - MafiaRatings'!A:A</f>
        <v/>
      </c>
      <c r="B437" s="2"/>
      <c r="I437" s="89"/>
      <c r="J437" s="89"/>
      <c r="K437" s="90"/>
    </row>
    <row r="438">
      <c r="A438" s="88" t="str">
        <f>'Season 1 - MafiaRatings'!A:A</f>
        <v/>
      </c>
      <c r="B438" s="2"/>
      <c r="I438" s="89"/>
      <c r="J438" s="89"/>
      <c r="K438" s="90"/>
    </row>
    <row r="439">
      <c r="A439" s="88" t="str">
        <f>'Season 1 - MafiaRatings'!A:A</f>
        <v/>
      </c>
      <c r="B439" s="2"/>
      <c r="I439" s="89"/>
      <c r="J439" s="89"/>
      <c r="K439" s="90"/>
    </row>
    <row r="440">
      <c r="A440" s="88" t="str">
        <f>'Season 1 - MafiaRatings'!A:A</f>
        <v/>
      </c>
      <c r="B440" s="2"/>
      <c r="I440" s="89"/>
      <c r="J440" s="89"/>
      <c r="K440" s="90"/>
    </row>
    <row r="441">
      <c r="A441" s="88" t="str">
        <f>'Season 1 - MafiaRatings'!A:A</f>
        <v/>
      </c>
      <c r="B441" s="2"/>
      <c r="I441" s="89"/>
      <c r="J441" s="89"/>
      <c r="K441" s="90"/>
    </row>
    <row r="442">
      <c r="A442" s="88" t="str">
        <f>'Season 1 - MafiaRatings'!A:A</f>
        <v/>
      </c>
      <c r="B442" s="2"/>
      <c r="I442" s="89"/>
      <c r="J442" s="89"/>
      <c r="K442" s="90"/>
    </row>
    <row r="443">
      <c r="A443" s="88" t="str">
        <f>'Season 1 - MafiaRatings'!A:A</f>
        <v/>
      </c>
      <c r="B443" s="2"/>
      <c r="I443" s="89"/>
      <c r="J443" s="89"/>
      <c r="K443" s="90"/>
    </row>
    <row r="444">
      <c r="A444" s="88" t="str">
        <f>'Season 1 - MafiaRatings'!A:A</f>
        <v/>
      </c>
      <c r="B444" s="2"/>
      <c r="I444" s="89"/>
      <c r="J444" s="89"/>
      <c r="K444" s="90"/>
    </row>
    <row r="445">
      <c r="A445" s="88" t="str">
        <f>'Season 1 - MafiaRatings'!A:A</f>
        <v/>
      </c>
      <c r="B445" s="2"/>
      <c r="I445" s="89"/>
      <c r="J445" s="89"/>
      <c r="K445" s="90"/>
    </row>
    <row r="446">
      <c r="A446" s="88" t="str">
        <f>'Season 1 - MafiaRatings'!A:A</f>
        <v/>
      </c>
      <c r="B446" s="2"/>
      <c r="I446" s="89"/>
      <c r="J446" s="89"/>
      <c r="K446" s="90"/>
    </row>
    <row r="447">
      <c r="A447" s="88" t="str">
        <f>'Season 1 - MafiaRatings'!A:A</f>
        <v/>
      </c>
      <c r="B447" s="2"/>
      <c r="I447" s="89"/>
      <c r="J447" s="89"/>
      <c r="K447" s="90"/>
    </row>
    <row r="448">
      <c r="A448" s="88" t="str">
        <f>'Season 1 - MafiaRatings'!A:A</f>
        <v/>
      </c>
      <c r="B448" s="2"/>
      <c r="I448" s="89"/>
      <c r="J448" s="89"/>
      <c r="K448" s="90"/>
    </row>
    <row r="449">
      <c r="A449" s="88" t="str">
        <f>'Season 1 - MafiaRatings'!A:A</f>
        <v/>
      </c>
      <c r="B449" s="2"/>
      <c r="I449" s="89"/>
      <c r="J449" s="89"/>
      <c r="K449" s="90"/>
    </row>
    <row r="450">
      <c r="A450" s="88" t="str">
        <f>'Season 1 - MafiaRatings'!A:A</f>
        <v/>
      </c>
      <c r="B450" s="2"/>
      <c r="I450" s="89"/>
      <c r="J450" s="89"/>
      <c r="K450" s="90"/>
    </row>
    <row r="451">
      <c r="A451" s="88" t="str">
        <f>'Season 1 - MafiaRatings'!A:A</f>
        <v/>
      </c>
      <c r="B451" s="2"/>
      <c r="I451" s="89"/>
      <c r="J451" s="89"/>
      <c r="K451" s="90"/>
    </row>
    <row r="452">
      <c r="A452" s="88" t="str">
        <f>'Season 1 - MafiaRatings'!A:A</f>
        <v/>
      </c>
      <c r="B452" s="2"/>
      <c r="I452" s="89"/>
      <c r="J452" s="89"/>
      <c r="K452" s="90"/>
    </row>
    <row r="453">
      <c r="A453" s="88" t="str">
        <f>'Season 1 - MafiaRatings'!A:A</f>
        <v/>
      </c>
      <c r="B453" s="2"/>
      <c r="I453" s="89"/>
      <c r="J453" s="89"/>
      <c r="K453" s="90"/>
    </row>
    <row r="454">
      <c r="A454" s="88" t="str">
        <f>'Season 1 - MafiaRatings'!A:A</f>
        <v/>
      </c>
      <c r="B454" s="2"/>
      <c r="I454" s="89"/>
      <c r="J454" s="89"/>
      <c r="K454" s="90"/>
    </row>
    <row r="455">
      <c r="A455" s="88" t="str">
        <f>'Season 1 - MafiaRatings'!A:A</f>
        <v/>
      </c>
      <c r="B455" s="2"/>
      <c r="I455" s="89"/>
      <c r="J455" s="89"/>
      <c r="K455" s="90"/>
    </row>
    <row r="456">
      <c r="A456" s="88" t="str">
        <f>'Season 1 - MafiaRatings'!A:A</f>
        <v/>
      </c>
      <c r="B456" s="2"/>
      <c r="I456" s="89"/>
      <c r="J456" s="89"/>
      <c r="K456" s="90"/>
    </row>
    <row r="457">
      <c r="A457" s="88" t="str">
        <f>'Season 1 - MafiaRatings'!A:A</f>
        <v/>
      </c>
      <c r="B457" s="2"/>
      <c r="I457" s="89"/>
      <c r="J457" s="89"/>
      <c r="K457" s="90"/>
    </row>
    <row r="458">
      <c r="A458" s="88" t="str">
        <f>'Season 1 - MafiaRatings'!A:A</f>
        <v/>
      </c>
      <c r="B458" s="2"/>
      <c r="I458" s="89"/>
      <c r="J458" s="89"/>
      <c r="K458" s="90"/>
    </row>
    <row r="459">
      <c r="A459" s="88" t="str">
        <f>'Season 1 - MafiaRatings'!A:A</f>
        <v/>
      </c>
      <c r="B459" s="2"/>
      <c r="I459" s="89"/>
      <c r="J459" s="89"/>
      <c r="K459" s="90"/>
    </row>
    <row r="460">
      <c r="A460" s="88" t="str">
        <f>'Season 1 - MafiaRatings'!A:A</f>
        <v/>
      </c>
      <c r="B460" s="2"/>
      <c r="I460" s="89"/>
      <c r="J460" s="89"/>
      <c r="K460" s="90"/>
    </row>
    <row r="461">
      <c r="A461" s="88" t="str">
        <f>'Season 1 - MafiaRatings'!A:A</f>
        <v/>
      </c>
      <c r="B461" s="2"/>
      <c r="I461" s="89"/>
      <c r="J461" s="89"/>
      <c r="K461" s="90"/>
    </row>
    <row r="462">
      <c r="A462" s="88" t="str">
        <f>'Season 1 - MafiaRatings'!A:A</f>
        <v/>
      </c>
      <c r="B462" s="2"/>
      <c r="I462" s="89"/>
      <c r="J462" s="89"/>
      <c r="K462" s="90"/>
    </row>
    <row r="463">
      <c r="A463" s="88" t="str">
        <f>'Season 1 - MafiaRatings'!A:A</f>
        <v/>
      </c>
      <c r="B463" s="2"/>
      <c r="I463" s="89"/>
      <c r="J463" s="89"/>
      <c r="K463" s="90"/>
    </row>
    <row r="464">
      <c r="A464" s="88" t="str">
        <f>'Season 1 - MafiaRatings'!A:A</f>
        <v/>
      </c>
      <c r="B464" s="2"/>
      <c r="I464" s="89"/>
      <c r="J464" s="89"/>
      <c r="K464" s="90"/>
    </row>
    <row r="465">
      <c r="A465" s="88" t="str">
        <f>'Season 1 - MafiaRatings'!A:A</f>
        <v/>
      </c>
      <c r="B465" s="2"/>
      <c r="I465" s="89"/>
      <c r="J465" s="89"/>
      <c r="K465" s="90"/>
    </row>
    <row r="466">
      <c r="A466" s="88" t="str">
        <f>'Season 1 - MafiaRatings'!A:A</f>
        <v/>
      </c>
      <c r="B466" s="2"/>
      <c r="I466" s="89"/>
      <c r="J466" s="89"/>
      <c r="K466" s="90"/>
    </row>
    <row r="467">
      <c r="A467" s="88" t="str">
        <f>'Season 1 - MafiaRatings'!A:A</f>
        <v/>
      </c>
      <c r="B467" s="2"/>
      <c r="I467" s="89"/>
      <c r="J467" s="89"/>
      <c r="K467" s="90"/>
    </row>
    <row r="468">
      <c r="A468" s="88" t="str">
        <f>'Season 1 - MafiaRatings'!A:A</f>
        <v/>
      </c>
      <c r="B468" s="2"/>
      <c r="I468" s="89"/>
      <c r="J468" s="89"/>
      <c r="K468" s="90"/>
    </row>
    <row r="469">
      <c r="A469" s="88" t="str">
        <f>'Season 1 - MafiaRatings'!A:A</f>
        <v/>
      </c>
      <c r="B469" s="2"/>
      <c r="I469" s="89"/>
      <c r="J469" s="89"/>
      <c r="K469" s="90"/>
    </row>
    <row r="470">
      <c r="A470" s="88" t="str">
        <f>'Season 1 - MafiaRatings'!A:A</f>
        <v/>
      </c>
      <c r="B470" s="2"/>
      <c r="I470" s="89"/>
      <c r="J470" s="89"/>
      <c r="K470" s="90"/>
    </row>
    <row r="471">
      <c r="A471" s="88" t="str">
        <f>'Season 1 - MafiaRatings'!A:A</f>
        <v/>
      </c>
      <c r="B471" s="2"/>
      <c r="I471" s="89"/>
      <c r="J471" s="89"/>
      <c r="K471" s="90"/>
    </row>
    <row r="472">
      <c r="A472" s="88" t="str">
        <f>'Season 1 - MafiaRatings'!A:A</f>
        <v/>
      </c>
      <c r="B472" s="2"/>
      <c r="I472" s="89"/>
      <c r="J472" s="89"/>
      <c r="K472" s="90"/>
    </row>
    <row r="473">
      <c r="A473" s="88" t="str">
        <f>'Season 1 - MafiaRatings'!A:A</f>
        <v/>
      </c>
      <c r="B473" s="2"/>
      <c r="I473" s="89"/>
      <c r="J473" s="89"/>
      <c r="K473" s="90"/>
    </row>
    <row r="474">
      <c r="A474" s="88" t="str">
        <f>'Season 1 - MafiaRatings'!A:A</f>
        <v/>
      </c>
      <c r="B474" s="2"/>
      <c r="I474" s="89"/>
      <c r="J474" s="89"/>
      <c r="K474" s="90"/>
    </row>
    <row r="475">
      <c r="A475" s="88" t="str">
        <f>'Season 1 - MafiaRatings'!A:A</f>
        <v/>
      </c>
      <c r="B475" s="2"/>
      <c r="I475" s="89"/>
      <c r="J475" s="89"/>
      <c r="K475" s="90"/>
    </row>
    <row r="476">
      <c r="A476" s="88" t="str">
        <f>'Season 1 - MafiaRatings'!A:A</f>
        <v/>
      </c>
      <c r="B476" s="2"/>
      <c r="I476" s="89"/>
      <c r="J476" s="89"/>
      <c r="K476" s="90"/>
    </row>
    <row r="477">
      <c r="A477" s="88" t="str">
        <f>'Season 1 - MafiaRatings'!A:A</f>
        <v/>
      </c>
      <c r="B477" s="2"/>
      <c r="I477" s="89"/>
      <c r="J477" s="89"/>
      <c r="K477" s="90"/>
    </row>
    <row r="478">
      <c r="A478" s="88" t="str">
        <f>'Season 1 - MafiaRatings'!A:A</f>
        <v/>
      </c>
      <c r="B478" s="2"/>
      <c r="I478" s="89"/>
      <c r="J478" s="89"/>
      <c r="K478" s="90"/>
    </row>
    <row r="479">
      <c r="A479" s="88" t="str">
        <f>'Season 1 - MafiaRatings'!A:A</f>
        <v/>
      </c>
      <c r="B479" s="2"/>
      <c r="I479" s="89"/>
      <c r="J479" s="89"/>
      <c r="K479" s="90"/>
    </row>
    <row r="480">
      <c r="A480" s="88" t="str">
        <f>'Season 1 - MafiaRatings'!A:A</f>
        <v/>
      </c>
      <c r="B480" s="2"/>
      <c r="I480" s="89"/>
      <c r="J480" s="89"/>
      <c r="K480" s="90"/>
    </row>
    <row r="481">
      <c r="A481" s="88" t="str">
        <f>'Season 1 - MafiaRatings'!A:A</f>
        <v/>
      </c>
      <c r="B481" s="2"/>
      <c r="I481" s="89"/>
      <c r="J481" s="89"/>
      <c r="K481" s="90"/>
    </row>
    <row r="482">
      <c r="A482" s="88" t="str">
        <f>'Season 1 - MafiaRatings'!A:A</f>
        <v/>
      </c>
      <c r="B482" s="2"/>
      <c r="I482" s="89"/>
      <c r="J482" s="89"/>
      <c r="K482" s="90"/>
    </row>
    <row r="483">
      <c r="A483" s="88" t="str">
        <f>'Season 1 - MafiaRatings'!A:A</f>
        <v/>
      </c>
      <c r="B483" s="2"/>
      <c r="I483" s="89"/>
      <c r="J483" s="89"/>
      <c r="K483" s="90"/>
    </row>
    <row r="484">
      <c r="A484" s="88" t="str">
        <f>'Season 1 - MafiaRatings'!A:A</f>
        <v/>
      </c>
      <c r="B484" s="2"/>
      <c r="I484" s="89"/>
      <c r="J484" s="89"/>
      <c r="K484" s="90"/>
    </row>
    <row r="485">
      <c r="A485" s="88" t="str">
        <f>'Season 1 - MafiaRatings'!A:A</f>
        <v/>
      </c>
      <c r="B485" s="2"/>
      <c r="I485" s="89"/>
      <c r="J485" s="89"/>
      <c r="K485" s="90"/>
    </row>
    <row r="486">
      <c r="A486" s="88" t="str">
        <f>'Season 1 - MafiaRatings'!A:A</f>
        <v/>
      </c>
      <c r="B486" s="2"/>
      <c r="I486" s="89"/>
      <c r="J486" s="89"/>
      <c r="K486" s="90"/>
    </row>
    <row r="487">
      <c r="A487" s="88" t="str">
        <f>'Season 1 - MafiaRatings'!A:A</f>
        <v/>
      </c>
      <c r="B487" s="2"/>
      <c r="I487" s="89"/>
      <c r="J487" s="89"/>
      <c r="K487" s="90"/>
    </row>
    <row r="488">
      <c r="A488" s="88" t="str">
        <f>'Season 1 - MafiaRatings'!A:A</f>
        <v/>
      </c>
      <c r="B488" s="2"/>
      <c r="I488" s="89"/>
      <c r="J488" s="89"/>
      <c r="K488" s="90"/>
    </row>
    <row r="489">
      <c r="A489" s="88" t="str">
        <f>'Season 1 - MafiaRatings'!A:A</f>
        <v/>
      </c>
      <c r="B489" s="2"/>
      <c r="I489" s="89"/>
      <c r="J489" s="89"/>
      <c r="K489" s="90"/>
    </row>
    <row r="490">
      <c r="A490" s="88" t="str">
        <f>'Season 1 - MafiaRatings'!A:A</f>
        <v/>
      </c>
      <c r="B490" s="2"/>
      <c r="I490" s="89"/>
      <c r="J490" s="89"/>
      <c r="K490" s="90"/>
    </row>
    <row r="491">
      <c r="A491" s="88" t="str">
        <f>'Season 1 - MafiaRatings'!A:A</f>
        <v/>
      </c>
      <c r="B491" s="2"/>
      <c r="I491" s="89"/>
      <c r="J491" s="89"/>
      <c r="K491" s="90"/>
    </row>
    <row r="492">
      <c r="A492" s="88" t="str">
        <f>'Season 1 - MafiaRatings'!A:A</f>
        <v/>
      </c>
      <c r="B492" s="2"/>
      <c r="I492" s="89"/>
      <c r="J492" s="89"/>
      <c r="K492" s="90"/>
    </row>
    <row r="493">
      <c r="A493" s="88" t="str">
        <f>'Season 1 - MafiaRatings'!A:A</f>
        <v/>
      </c>
      <c r="B493" s="2"/>
      <c r="I493" s="89"/>
      <c r="J493" s="89"/>
      <c r="K493" s="90"/>
    </row>
    <row r="494">
      <c r="A494" s="88" t="str">
        <f>'Season 1 - MafiaRatings'!A:A</f>
        <v/>
      </c>
      <c r="B494" s="2"/>
      <c r="I494" s="89"/>
      <c r="J494" s="89"/>
      <c r="K494" s="90"/>
    </row>
    <row r="495">
      <c r="A495" s="88" t="str">
        <f>'Season 1 - MafiaRatings'!A:A</f>
        <v/>
      </c>
      <c r="B495" s="2"/>
      <c r="I495" s="89"/>
      <c r="J495" s="89"/>
      <c r="K495" s="90"/>
    </row>
    <row r="496">
      <c r="A496" s="88" t="str">
        <f>'Season 1 - MafiaRatings'!A:A</f>
        <v/>
      </c>
      <c r="B496" s="2"/>
      <c r="I496" s="89"/>
      <c r="J496" s="89"/>
      <c r="K496" s="90"/>
    </row>
    <row r="497">
      <c r="A497" s="88" t="str">
        <f>'Season 1 - MafiaRatings'!A:A</f>
        <v/>
      </c>
      <c r="B497" s="2"/>
      <c r="I497" s="89"/>
      <c r="J497" s="89"/>
      <c r="K497" s="90"/>
    </row>
    <row r="498">
      <c r="A498" s="88" t="str">
        <f>'Season 1 - MafiaRatings'!A:A</f>
        <v/>
      </c>
      <c r="B498" s="2"/>
      <c r="I498" s="89"/>
      <c r="J498" s="89"/>
      <c r="K498" s="90"/>
    </row>
    <row r="499">
      <c r="A499" s="88" t="str">
        <f>'Season 1 - MafiaRatings'!A:A</f>
        <v/>
      </c>
      <c r="B499" s="2"/>
      <c r="I499" s="89"/>
      <c r="J499" s="89"/>
      <c r="K499" s="90"/>
    </row>
    <row r="500">
      <c r="A500" s="88" t="str">
        <f>'Season 1 - MafiaRatings'!A:A</f>
        <v/>
      </c>
      <c r="B500" s="2"/>
      <c r="I500" s="89"/>
      <c r="J500" s="89"/>
      <c r="K500" s="90"/>
    </row>
    <row r="501">
      <c r="A501" s="88" t="str">
        <f>'Season 1 - MafiaRatings'!A:A</f>
        <v/>
      </c>
      <c r="B501" s="2"/>
      <c r="I501" s="89"/>
      <c r="J501" s="89"/>
      <c r="K501" s="90"/>
    </row>
    <row r="502">
      <c r="A502" s="88" t="str">
        <f>'Season 1 - MafiaRatings'!A:A</f>
        <v/>
      </c>
      <c r="B502" s="2"/>
      <c r="I502" s="89"/>
      <c r="J502" s="89"/>
      <c r="K502" s="90"/>
    </row>
    <row r="503">
      <c r="A503" s="88" t="str">
        <f>'Season 1 - MafiaRatings'!A:A</f>
        <v/>
      </c>
      <c r="B503" s="2"/>
      <c r="I503" s="89"/>
      <c r="J503" s="89"/>
      <c r="K503" s="90"/>
    </row>
    <row r="504">
      <c r="A504" s="88" t="str">
        <f>'Season 1 - MafiaRatings'!A:A</f>
        <v/>
      </c>
      <c r="B504" s="2"/>
      <c r="I504" s="89"/>
      <c r="J504" s="89"/>
      <c r="K504" s="90"/>
    </row>
    <row r="505">
      <c r="A505" s="88" t="str">
        <f>'Season 1 - MafiaRatings'!A:A</f>
        <v/>
      </c>
      <c r="B505" s="2"/>
      <c r="I505" s="89"/>
      <c r="J505" s="89"/>
      <c r="K505" s="90"/>
    </row>
    <row r="506">
      <c r="A506" s="88" t="str">
        <f>'Season 1 - MafiaRatings'!A:A</f>
        <v/>
      </c>
      <c r="B506" s="2"/>
      <c r="I506" s="89"/>
      <c r="J506" s="89"/>
      <c r="K506" s="90"/>
    </row>
    <row r="507">
      <c r="A507" s="88" t="str">
        <f>'Season 1 - MafiaRatings'!A:A</f>
        <v/>
      </c>
      <c r="B507" s="2"/>
      <c r="I507" s="89"/>
      <c r="J507" s="89"/>
      <c r="K507" s="90"/>
    </row>
    <row r="508">
      <c r="A508" s="88" t="str">
        <f>'Season 1 - MafiaRatings'!A:A</f>
        <v/>
      </c>
      <c r="B508" s="2"/>
      <c r="I508" s="89"/>
      <c r="J508" s="89"/>
      <c r="K508" s="90"/>
    </row>
    <row r="509">
      <c r="A509" s="88" t="str">
        <f>'Season 1 - MafiaRatings'!A:A</f>
        <v/>
      </c>
      <c r="B509" s="2"/>
      <c r="I509" s="89"/>
      <c r="J509" s="89"/>
      <c r="K509" s="90"/>
    </row>
    <row r="510">
      <c r="A510" s="88" t="str">
        <f>'Season 1 - MafiaRatings'!A:A</f>
        <v/>
      </c>
      <c r="B510" s="2"/>
      <c r="I510" s="89"/>
      <c r="J510" s="89"/>
      <c r="K510" s="90"/>
    </row>
    <row r="511">
      <c r="A511" s="88" t="str">
        <f>'Season 1 - MafiaRatings'!A:A</f>
        <v/>
      </c>
      <c r="B511" s="2"/>
      <c r="I511" s="89"/>
      <c r="J511" s="89"/>
      <c r="K511" s="90"/>
    </row>
    <row r="512">
      <c r="A512" s="88" t="str">
        <f>'Season 1 - MafiaRatings'!A:A</f>
        <v/>
      </c>
      <c r="B512" s="2"/>
      <c r="I512" s="89"/>
      <c r="J512" s="89"/>
      <c r="K512" s="90"/>
    </row>
    <row r="513">
      <c r="A513" s="88" t="str">
        <f>'Season 1 - MafiaRatings'!A:A</f>
        <v/>
      </c>
      <c r="B513" s="2"/>
      <c r="I513" s="89"/>
      <c r="J513" s="89"/>
      <c r="K513" s="90"/>
    </row>
    <row r="514">
      <c r="A514" s="88" t="str">
        <f>'Season 1 - MafiaRatings'!A:A</f>
        <v/>
      </c>
      <c r="B514" s="2"/>
      <c r="I514" s="89"/>
      <c r="J514" s="89"/>
      <c r="K514" s="90"/>
    </row>
    <row r="515">
      <c r="A515" s="88" t="str">
        <f>'Season 1 - MafiaRatings'!A:A</f>
        <v/>
      </c>
      <c r="B515" s="2"/>
      <c r="I515" s="89"/>
      <c r="J515" s="89"/>
      <c r="K515" s="90"/>
    </row>
    <row r="516">
      <c r="A516" s="88" t="str">
        <f>'Season 1 - MafiaRatings'!A:A</f>
        <v/>
      </c>
      <c r="B516" s="2"/>
      <c r="I516" s="89"/>
      <c r="J516" s="89"/>
      <c r="K516" s="90"/>
    </row>
    <row r="517">
      <c r="A517" s="88" t="str">
        <f>'Season 1 - MafiaRatings'!A:A</f>
        <v/>
      </c>
      <c r="B517" s="2"/>
      <c r="I517" s="89"/>
      <c r="J517" s="89"/>
      <c r="K517" s="90"/>
    </row>
    <row r="518">
      <c r="A518" s="88" t="str">
        <f>'Season 1 - MafiaRatings'!A:A</f>
        <v/>
      </c>
      <c r="B518" s="2"/>
      <c r="I518" s="89"/>
      <c r="J518" s="89"/>
      <c r="K518" s="90"/>
    </row>
    <row r="519">
      <c r="A519" s="88" t="str">
        <f>'Season 1 - MafiaRatings'!A:A</f>
        <v/>
      </c>
      <c r="B519" s="2"/>
      <c r="I519" s="89"/>
      <c r="J519" s="89"/>
      <c r="K519" s="90"/>
    </row>
    <row r="520">
      <c r="A520" s="88" t="str">
        <f>'Season 1 - MafiaRatings'!A:A</f>
        <v/>
      </c>
      <c r="B520" s="2"/>
      <c r="I520" s="89"/>
      <c r="J520" s="89"/>
      <c r="K520" s="90"/>
    </row>
    <row r="521">
      <c r="A521" s="88" t="str">
        <f>'Season 1 - MafiaRatings'!A:A</f>
        <v/>
      </c>
      <c r="B521" s="2"/>
      <c r="I521" s="89"/>
      <c r="J521" s="89"/>
      <c r="K521" s="90"/>
    </row>
    <row r="522">
      <c r="A522" s="88" t="str">
        <f>'Season 1 - MafiaRatings'!A:A</f>
        <v/>
      </c>
      <c r="B522" s="2"/>
      <c r="I522" s="89"/>
      <c r="J522" s="89"/>
      <c r="K522" s="90"/>
    </row>
    <row r="523">
      <c r="A523" s="88" t="str">
        <f>'Season 1 - MafiaRatings'!A:A</f>
        <v/>
      </c>
      <c r="B523" s="2"/>
      <c r="I523" s="89"/>
      <c r="J523" s="89"/>
      <c r="K523" s="90"/>
    </row>
    <row r="524">
      <c r="A524" s="88" t="str">
        <f>'Season 1 - MafiaRatings'!A:A</f>
        <v/>
      </c>
      <c r="B524" s="2"/>
      <c r="I524" s="89"/>
      <c r="J524" s="89"/>
      <c r="K524" s="90"/>
    </row>
    <row r="525">
      <c r="A525" s="88" t="str">
        <f>'Season 1 - MafiaRatings'!A:A</f>
        <v/>
      </c>
      <c r="B525" s="2"/>
      <c r="I525" s="89"/>
      <c r="J525" s="89"/>
      <c r="K525" s="90"/>
    </row>
    <row r="526">
      <c r="A526" s="88" t="str">
        <f>'Season 1 - MafiaRatings'!A:A</f>
        <v/>
      </c>
      <c r="B526" s="2"/>
      <c r="I526" s="89"/>
      <c r="J526" s="89"/>
      <c r="K526" s="90"/>
    </row>
    <row r="527">
      <c r="A527" s="88" t="str">
        <f>'Season 1 - MafiaRatings'!A:A</f>
        <v/>
      </c>
      <c r="B527" s="2"/>
      <c r="I527" s="89"/>
      <c r="J527" s="89"/>
      <c r="K527" s="90"/>
    </row>
    <row r="528">
      <c r="A528" s="88" t="str">
        <f>'Season 1 - MafiaRatings'!A:A</f>
        <v/>
      </c>
      <c r="B528" s="2"/>
      <c r="I528" s="89"/>
      <c r="J528" s="89"/>
      <c r="K528" s="90"/>
    </row>
    <row r="529">
      <c r="A529" s="88" t="str">
        <f>'Season 1 - MafiaRatings'!A:A</f>
        <v/>
      </c>
      <c r="B529" s="2"/>
      <c r="I529" s="89"/>
      <c r="J529" s="89"/>
      <c r="K529" s="90"/>
    </row>
    <row r="530">
      <c r="A530" s="88" t="str">
        <f>'Season 1 - MafiaRatings'!A:A</f>
        <v/>
      </c>
      <c r="B530" s="2"/>
      <c r="I530" s="89"/>
      <c r="J530" s="89"/>
      <c r="K530" s="90"/>
    </row>
    <row r="531">
      <c r="A531" s="88" t="str">
        <f>'Season 1 - MafiaRatings'!A:A</f>
        <v/>
      </c>
      <c r="B531" s="2"/>
      <c r="I531" s="89"/>
      <c r="J531" s="89"/>
      <c r="K531" s="90"/>
    </row>
    <row r="532">
      <c r="A532" s="88" t="str">
        <f>'Season 1 - MafiaRatings'!A:A</f>
        <v/>
      </c>
      <c r="B532" s="2"/>
      <c r="I532" s="89"/>
      <c r="J532" s="89"/>
      <c r="K532" s="90"/>
    </row>
    <row r="533">
      <c r="A533" s="88" t="str">
        <f>'Season 1 - MafiaRatings'!A:A</f>
        <v/>
      </c>
      <c r="B533" s="2"/>
      <c r="I533" s="89"/>
      <c r="J533" s="89"/>
      <c r="K533" s="90"/>
    </row>
    <row r="534">
      <c r="A534" s="88" t="str">
        <f>'Season 1 - MafiaRatings'!A:A</f>
        <v/>
      </c>
      <c r="B534" s="2"/>
      <c r="I534" s="89"/>
      <c r="J534" s="89"/>
      <c r="K534" s="90"/>
    </row>
    <row r="535">
      <c r="A535" s="88" t="str">
        <f>'Season 1 - MafiaRatings'!A:A</f>
        <v/>
      </c>
      <c r="B535" s="2"/>
      <c r="I535" s="89"/>
      <c r="J535" s="89"/>
      <c r="K535" s="90"/>
    </row>
    <row r="536">
      <c r="A536" s="88" t="str">
        <f>'Season 1 - MafiaRatings'!A:A</f>
        <v/>
      </c>
      <c r="B536" s="2"/>
      <c r="I536" s="89"/>
      <c r="J536" s="89"/>
      <c r="K536" s="90"/>
    </row>
    <row r="537">
      <c r="A537" s="88" t="str">
        <f>'Season 1 - MafiaRatings'!A:A</f>
        <v/>
      </c>
      <c r="B537" s="2"/>
      <c r="I537" s="89"/>
      <c r="J537" s="89"/>
      <c r="K537" s="90"/>
    </row>
    <row r="538">
      <c r="A538" s="88" t="str">
        <f>'Season 1 - MafiaRatings'!A:A</f>
        <v/>
      </c>
      <c r="B538" s="2"/>
      <c r="I538" s="89"/>
      <c r="J538" s="89"/>
      <c r="K538" s="90"/>
    </row>
    <row r="539">
      <c r="A539" s="88" t="str">
        <f>'Season 1 - MafiaRatings'!A:A</f>
        <v/>
      </c>
      <c r="B539" s="2"/>
      <c r="I539" s="89"/>
      <c r="J539" s="89"/>
      <c r="K539" s="90"/>
    </row>
    <row r="540">
      <c r="A540" s="88" t="str">
        <f>'Season 1 - MafiaRatings'!A:A</f>
        <v/>
      </c>
      <c r="B540" s="2"/>
      <c r="I540" s="89"/>
      <c r="J540" s="89"/>
      <c r="K540" s="90"/>
    </row>
    <row r="541">
      <c r="A541" s="88" t="str">
        <f>'Season 1 - MafiaRatings'!A:A</f>
        <v/>
      </c>
      <c r="B541" s="2"/>
      <c r="I541" s="89"/>
      <c r="J541" s="89"/>
      <c r="K541" s="90"/>
    </row>
    <row r="542">
      <c r="A542" s="88" t="str">
        <f>'Season 1 - MafiaRatings'!A:A</f>
        <v/>
      </c>
      <c r="B542" s="2"/>
      <c r="I542" s="89"/>
      <c r="J542" s="89"/>
      <c r="K542" s="90"/>
    </row>
    <row r="543">
      <c r="A543" s="88" t="str">
        <f>'Season 1 - MafiaRatings'!A:A</f>
        <v/>
      </c>
      <c r="B543" s="2"/>
      <c r="I543" s="89"/>
      <c r="J543" s="89"/>
      <c r="K543" s="90"/>
    </row>
    <row r="544">
      <c r="A544" s="88" t="str">
        <f>'Season 1 - MafiaRatings'!A:A</f>
        <v/>
      </c>
      <c r="B544" s="2"/>
      <c r="I544" s="89"/>
      <c r="J544" s="89"/>
      <c r="K544" s="90"/>
    </row>
    <row r="545">
      <c r="A545" s="88" t="str">
        <f>'Season 1 - MafiaRatings'!A:A</f>
        <v/>
      </c>
      <c r="B545" s="2"/>
      <c r="I545" s="89"/>
      <c r="J545" s="89"/>
      <c r="K545" s="90"/>
    </row>
    <row r="546">
      <c r="A546" s="88" t="str">
        <f>'Season 1 - MafiaRatings'!A:A</f>
        <v/>
      </c>
      <c r="B546" s="2"/>
      <c r="I546" s="89"/>
      <c r="J546" s="89"/>
      <c r="K546" s="90"/>
    </row>
    <row r="547">
      <c r="A547" s="88" t="str">
        <f>'Season 1 - MafiaRatings'!A:A</f>
        <v/>
      </c>
      <c r="B547" s="2"/>
      <c r="I547" s="89"/>
      <c r="J547" s="89"/>
      <c r="K547" s="90"/>
    </row>
    <row r="548">
      <c r="A548" s="88" t="str">
        <f>'Season 1 - MafiaRatings'!A:A</f>
        <v/>
      </c>
      <c r="B548" s="2"/>
      <c r="I548" s="89"/>
      <c r="J548" s="89"/>
      <c r="K548" s="90"/>
    </row>
    <row r="549">
      <c r="A549" s="88" t="str">
        <f>'Season 1 - MafiaRatings'!A:A</f>
        <v/>
      </c>
      <c r="B549" s="2"/>
      <c r="I549" s="89"/>
      <c r="J549" s="89"/>
      <c r="K549" s="90"/>
    </row>
    <row r="550">
      <c r="A550" s="88" t="str">
        <f>'Season 1 - MafiaRatings'!A:A</f>
        <v/>
      </c>
      <c r="B550" s="2"/>
      <c r="I550" s="89"/>
      <c r="J550" s="89"/>
      <c r="K550" s="90"/>
    </row>
    <row r="551">
      <c r="A551" s="88" t="str">
        <f>'Season 1 - MafiaRatings'!A:A</f>
        <v/>
      </c>
      <c r="B551" s="2"/>
      <c r="I551" s="89"/>
      <c r="J551" s="89"/>
      <c r="K551" s="90"/>
    </row>
    <row r="552">
      <c r="A552" s="88" t="str">
        <f>'Season 1 - MafiaRatings'!A:A</f>
        <v/>
      </c>
      <c r="B552" s="2"/>
      <c r="I552" s="89"/>
      <c r="J552" s="89"/>
      <c r="K552" s="90"/>
    </row>
    <row r="553">
      <c r="A553" s="88" t="str">
        <f>'Season 1 - MafiaRatings'!A:A</f>
        <v/>
      </c>
      <c r="B553" s="2"/>
      <c r="I553" s="89"/>
      <c r="J553" s="89"/>
      <c r="K553" s="90"/>
    </row>
    <row r="554">
      <c r="A554" s="88" t="str">
        <f>'Season 1 - MafiaRatings'!A:A</f>
        <v/>
      </c>
      <c r="B554" s="2"/>
      <c r="I554" s="89"/>
      <c r="J554" s="89"/>
      <c r="K554" s="90"/>
    </row>
    <row r="555">
      <c r="A555" s="88" t="str">
        <f>'Season 1 - MafiaRatings'!A:A</f>
        <v/>
      </c>
      <c r="B555" s="2"/>
      <c r="I555" s="89"/>
      <c r="J555" s="89"/>
      <c r="K555" s="90"/>
    </row>
    <row r="556">
      <c r="A556" s="88" t="str">
        <f>'Season 1 - MafiaRatings'!A:A</f>
        <v/>
      </c>
      <c r="B556" s="2"/>
      <c r="I556" s="89"/>
      <c r="J556" s="89"/>
      <c r="K556" s="90"/>
    </row>
    <row r="557">
      <c r="A557" s="88" t="str">
        <f>'Season 1 - MafiaRatings'!A:A</f>
        <v/>
      </c>
      <c r="B557" s="2"/>
      <c r="I557" s="89"/>
      <c r="J557" s="89"/>
      <c r="K557" s="90"/>
    </row>
    <row r="558">
      <c r="A558" s="88" t="str">
        <f>'Season 1 - MafiaRatings'!A:A</f>
        <v/>
      </c>
      <c r="B558" s="2"/>
      <c r="I558" s="89"/>
      <c r="J558" s="89"/>
      <c r="K558" s="90"/>
    </row>
    <row r="559">
      <c r="A559" s="88" t="str">
        <f>'Season 1 - MafiaRatings'!A:A</f>
        <v/>
      </c>
      <c r="B559" s="2"/>
      <c r="I559" s="89"/>
      <c r="J559" s="89"/>
      <c r="K559" s="90"/>
    </row>
    <row r="560">
      <c r="A560" s="88" t="str">
        <f>'Season 1 - MafiaRatings'!A:A</f>
        <v/>
      </c>
      <c r="B560" s="2"/>
      <c r="I560" s="89"/>
      <c r="J560" s="89"/>
      <c r="K560" s="90"/>
    </row>
    <row r="561">
      <c r="A561" s="88" t="str">
        <f>'Season 1 - MafiaRatings'!A:A</f>
        <v/>
      </c>
      <c r="B561" s="2"/>
      <c r="I561" s="89"/>
      <c r="J561" s="89"/>
      <c r="K561" s="90"/>
    </row>
    <row r="562">
      <c r="A562" s="88" t="str">
        <f>'Season 1 - MafiaRatings'!A:A</f>
        <v/>
      </c>
      <c r="B562" s="2"/>
      <c r="I562" s="89"/>
      <c r="J562" s="89"/>
      <c r="K562" s="90"/>
    </row>
    <row r="563">
      <c r="A563" s="88" t="str">
        <f>'Season 1 - MafiaRatings'!A:A</f>
        <v/>
      </c>
      <c r="B563" s="2"/>
      <c r="I563" s="89"/>
      <c r="J563" s="89"/>
      <c r="K563" s="90"/>
    </row>
    <row r="564">
      <c r="A564" s="88" t="str">
        <f>'Season 1 - MafiaRatings'!A:A</f>
        <v/>
      </c>
      <c r="B564" s="2"/>
      <c r="I564" s="89"/>
      <c r="J564" s="89"/>
      <c r="K564" s="90"/>
    </row>
    <row r="565">
      <c r="A565" s="88" t="str">
        <f>'Season 1 - MafiaRatings'!A:A</f>
        <v/>
      </c>
      <c r="B565" s="2"/>
      <c r="I565" s="89"/>
      <c r="J565" s="89"/>
      <c r="K565" s="90"/>
    </row>
    <row r="566">
      <c r="A566" s="88" t="str">
        <f>'Season 1 - MafiaRatings'!A:A</f>
        <v/>
      </c>
      <c r="B566" s="2"/>
      <c r="I566" s="89"/>
      <c r="J566" s="89"/>
      <c r="K566" s="90"/>
    </row>
    <row r="567">
      <c r="A567" s="88" t="str">
        <f>'Season 1 - MafiaRatings'!A:A</f>
        <v/>
      </c>
      <c r="B567" s="2"/>
      <c r="I567" s="89"/>
      <c r="J567" s="89"/>
      <c r="K567" s="90"/>
    </row>
    <row r="568">
      <c r="A568" s="88" t="str">
        <f>'Season 1 - MafiaRatings'!A:A</f>
        <v/>
      </c>
      <c r="B568" s="2"/>
      <c r="I568" s="89"/>
      <c r="J568" s="89"/>
      <c r="K568" s="90"/>
    </row>
    <row r="569">
      <c r="A569" s="88" t="str">
        <f>'Season 1 - MafiaRatings'!A:A</f>
        <v/>
      </c>
      <c r="B569" s="2"/>
      <c r="I569" s="89"/>
      <c r="J569" s="89"/>
      <c r="K569" s="90"/>
    </row>
    <row r="570">
      <c r="A570" s="88" t="str">
        <f>'Season 1 - MafiaRatings'!A:A</f>
        <v/>
      </c>
      <c r="B570" s="2"/>
      <c r="I570" s="89"/>
      <c r="J570" s="89"/>
      <c r="K570" s="90"/>
    </row>
    <row r="571">
      <c r="A571" s="88" t="str">
        <f>'Season 1 - MafiaRatings'!A:A</f>
        <v/>
      </c>
      <c r="B571" s="2"/>
      <c r="I571" s="89"/>
      <c r="J571" s="89"/>
      <c r="K571" s="90"/>
    </row>
    <row r="572">
      <c r="A572" s="88" t="str">
        <f>'Season 1 - MafiaRatings'!A:A</f>
        <v/>
      </c>
      <c r="B572" s="2"/>
      <c r="I572" s="89"/>
      <c r="J572" s="89"/>
      <c r="K572" s="90"/>
    </row>
    <row r="573">
      <c r="A573" s="88" t="str">
        <f>'Season 1 - MafiaRatings'!A:A</f>
        <v/>
      </c>
      <c r="B573" s="2"/>
      <c r="I573" s="89"/>
      <c r="J573" s="89"/>
      <c r="K573" s="90"/>
    </row>
    <row r="574">
      <c r="A574" s="88" t="str">
        <f>'Season 1 - MafiaRatings'!A:A</f>
        <v/>
      </c>
      <c r="B574" s="2"/>
      <c r="I574" s="89"/>
      <c r="J574" s="89"/>
      <c r="K574" s="90"/>
    </row>
    <row r="575">
      <c r="A575" s="88" t="str">
        <f>'Season 1 - MafiaRatings'!A:A</f>
        <v/>
      </c>
      <c r="B575" s="2"/>
      <c r="I575" s="89"/>
      <c r="J575" s="89"/>
      <c r="K575" s="90"/>
    </row>
    <row r="576">
      <c r="A576" s="88" t="str">
        <f>'Season 1 - MafiaRatings'!A:A</f>
        <v/>
      </c>
      <c r="B576" s="2"/>
      <c r="I576" s="89"/>
      <c r="J576" s="89"/>
      <c r="K576" s="90"/>
    </row>
    <row r="577">
      <c r="A577" s="88" t="str">
        <f>'Season 1 - MafiaRatings'!A:A</f>
        <v/>
      </c>
      <c r="B577" s="2"/>
      <c r="I577" s="89"/>
      <c r="J577" s="89"/>
      <c r="K577" s="90"/>
    </row>
    <row r="578">
      <c r="A578" s="88" t="str">
        <f>'Season 1 - MafiaRatings'!A:A</f>
        <v/>
      </c>
      <c r="B578" s="2"/>
      <c r="I578" s="89"/>
      <c r="J578" s="89"/>
      <c r="K578" s="90"/>
    </row>
    <row r="579">
      <c r="A579" s="88" t="str">
        <f>'Season 1 - MafiaRatings'!A:A</f>
        <v/>
      </c>
      <c r="B579" s="2"/>
      <c r="I579" s="89"/>
      <c r="J579" s="89"/>
      <c r="K579" s="90"/>
    </row>
    <row r="580">
      <c r="A580" s="88" t="str">
        <f>'Season 1 - MafiaRatings'!A:A</f>
        <v/>
      </c>
      <c r="B580" s="2"/>
      <c r="I580" s="89"/>
      <c r="J580" s="89"/>
      <c r="K580" s="90"/>
    </row>
    <row r="581">
      <c r="A581" s="88" t="str">
        <f>'Season 1 - MafiaRatings'!A:A</f>
        <v/>
      </c>
      <c r="B581" s="2"/>
      <c r="I581" s="89"/>
      <c r="J581" s="89"/>
      <c r="K581" s="90"/>
    </row>
    <row r="582">
      <c r="A582" s="88" t="str">
        <f>'Season 1 - MafiaRatings'!A:A</f>
        <v/>
      </c>
      <c r="B582" s="2"/>
      <c r="I582" s="89"/>
      <c r="J582" s="89"/>
      <c r="K582" s="90"/>
    </row>
    <row r="583">
      <c r="A583" s="88" t="str">
        <f>'Season 1 - MafiaRatings'!A:A</f>
        <v/>
      </c>
      <c r="B583" s="2"/>
      <c r="I583" s="89"/>
      <c r="J583" s="89"/>
      <c r="K583" s="90"/>
    </row>
    <row r="584">
      <c r="A584" s="88" t="str">
        <f>'Season 1 - MafiaRatings'!A:A</f>
        <v/>
      </c>
      <c r="B584" s="2"/>
      <c r="I584" s="89"/>
      <c r="J584" s="89"/>
      <c r="K584" s="90"/>
    </row>
    <row r="585">
      <c r="A585" s="88" t="str">
        <f>'Season 1 - MafiaRatings'!A:A</f>
        <v/>
      </c>
      <c r="B585" s="2"/>
      <c r="I585" s="89"/>
      <c r="J585" s="89"/>
      <c r="K585" s="90"/>
    </row>
    <row r="586">
      <c r="A586" s="88" t="str">
        <f>'Season 1 - MafiaRatings'!A:A</f>
        <v/>
      </c>
      <c r="B586" s="2"/>
      <c r="I586" s="89"/>
      <c r="J586" s="89"/>
      <c r="K586" s="90"/>
    </row>
    <row r="587">
      <c r="A587" s="88" t="str">
        <f>'Season 1 - MafiaRatings'!A:A</f>
        <v/>
      </c>
      <c r="B587" s="2"/>
      <c r="I587" s="89"/>
      <c r="J587" s="89"/>
      <c r="K587" s="90"/>
    </row>
    <row r="588">
      <c r="A588" s="88" t="str">
        <f>'Season 1 - MafiaRatings'!A:A</f>
        <v/>
      </c>
      <c r="B588" s="2"/>
      <c r="I588" s="89"/>
      <c r="J588" s="89"/>
      <c r="K588" s="90"/>
    </row>
    <row r="589">
      <c r="A589" s="88" t="str">
        <f>'Season 1 - MafiaRatings'!A:A</f>
        <v/>
      </c>
      <c r="B589" s="2"/>
      <c r="I589" s="89"/>
      <c r="J589" s="89"/>
      <c r="K589" s="90"/>
    </row>
    <row r="590">
      <c r="A590" s="88" t="str">
        <f>'Season 1 - MafiaRatings'!A:A</f>
        <v/>
      </c>
      <c r="B590" s="2"/>
      <c r="I590" s="89"/>
      <c r="J590" s="89"/>
      <c r="K590" s="90"/>
    </row>
    <row r="591">
      <c r="A591" s="88" t="str">
        <f>'Season 1 - MafiaRatings'!A:A</f>
        <v/>
      </c>
      <c r="B591" s="2"/>
      <c r="I591" s="89"/>
      <c r="J591" s="89"/>
      <c r="K591" s="90"/>
    </row>
    <row r="592">
      <c r="A592" s="88" t="str">
        <f>'Season 1 - MafiaRatings'!A:A</f>
        <v/>
      </c>
      <c r="B592" s="2"/>
      <c r="I592" s="89"/>
      <c r="J592" s="89"/>
      <c r="K592" s="90"/>
    </row>
    <row r="593">
      <c r="A593" s="88" t="str">
        <f>'Season 1 - MafiaRatings'!A:A</f>
        <v/>
      </c>
      <c r="B593" s="2"/>
      <c r="I593" s="89"/>
      <c r="J593" s="89"/>
      <c r="K593" s="90"/>
    </row>
    <row r="594">
      <c r="A594" s="88" t="str">
        <f>'Season 1 - MafiaRatings'!A:A</f>
        <v/>
      </c>
      <c r="B594" s="2"/>
      <c r="I594" s="89"/>
      <c r="J594" s="89"/>
      <c r="K594" s="90"/>
    </row>
    <row r="595">
      <c r="A595" s="88" t="str">
        <f>'Season 1 - MafiaRatings'!A:A</f>
        <v/>
      </c>
      <c r="B595" s="2"/>
      <c r="I595" s="89"/>
      <c r="J595" s="89"/>
      <c r="K595" s="90"/>
    </row>
    <row r="596">
      <c r="A596" s="88" t="str">
        <f>'Season 1 - MafiaRatings'!A:A</f>
        <v/>
      </c>
      <c r="B596" s="2"/>
      <c r="I596" s="89"/>
      <c r="J596" s="89"/>
      <c r="K596" s="90"/>
    </row>
    <row r="597">
      <c r="A597" s="88" t="str">
        <f>'Season 1 - MafiaRatings'!A:A</f>
        <v/>
      </c>
      <c r="B597" s="2"/>
      <c r="I597" s="89"/>
      <c r="J597" s="89"/>
      <c r="K597" s="90"/>
    </row>
    <row r="598">
      <c r="A598" s="88" t="str">
        <f>'Season 1 - MafiaRatings'!A:A</f>
        <v/>
      </c>
      <c r="B598" s="2"/>
      <c r="I598" s="89"/>
      <c r="J598" s="89"/>
      <c r="K598" s="90"/>
    </row>
    <row r="599">
      <c r="A599" s="88" t="str">
        <f>'Season 1 - MafiaRatings'!A:A</f>
        <v/>
      </c>
      <c r="B599" s="2"/>
      <c r="I599" s="89"/>
      <c r="J599" s="89"/>
      <c r="K599" s="90"/>
    </row>
    <row r="600">
      <c r="A600" s="88" t="str">
        <f>'Season 1 - MafiaRatings'!A:A</f>
        <v/>
      </c>
      <c r="B600" s="2"/>
      <c r="I600" s="89"/>
      <c r="J600" s="89"/>
      <c r="K600" s="90"/>
    </row>
    <row r="601">
      <c r="A601" s="88" t="str">
        <f>'Season 1 - MafiaRatings'!A:A</f>
        <v/>
      </c>
      <c r="B601" s="2"/>
      <c r="I601" s="89"/>
      <c r="J601" s="89"/>
      <c r="K601" s="90"/>
    </row>
    <row r="602">
      <c r="A602" s="88" t="str">
        <f>'Season 1 - MafiaRatings'!A:A</f>
        <v/>
      </c>
      <c r="B602" s="2"/>
      <c r="I602" s="89"/>
      <c r="J602" s="89"/>
      <c r="K602" s="90"/>
    </row>
    <row r="603">
      <c r="A603" s="88" t="str">
        <f>'Season 1 - MafiaRatings'!A:A</f>
        <v/>
      </c>
      <c r="B603" s="2"/>
      <c r="I603" s="89"/>
      <c r="J603" s="89"/>
      <c r="K603" s="90"/>
    </row>
    <row r="604">
      <c r="A604" s="88" t="str">
        <f>'Season 1 - MafiaRatings'!A:A</f>
        <v/>
      </c>
      <c r="B604" s="2"/>
      <c r="I604" s="89"/>
      <c r="J604" s="89"/>
      <c r="K604" s="90"/>
    </row>
    <row r="605">
      <c r="A605" s="88" t="str">
        <f>'Season 1 - MafiaRatings'!A:A</f>
        <v/>
      </c>
      <c r="B605" s="2"/>
      <c r="I605" s="89"/>
      <c r="J605" s="89"/>
      <c r="K605" s="90"/>
    </row>
    <row r="606">
      <c r="A606" s="88" t="str">
        <f>'Season 1 - MafiaRatings'!A:A</f>
        <v/>
      </c>
      <c r="B606" s="2"/>
      <c r="I606" s="89"/>
      <c r="J606" s="89"/>
      <c r="K606" s="90"/>
    </row>
    <row r="607">
      <c r="A607" s="88" t="str">
        <f>'Season 1 - MafiaRatings'!A:A</f>
        <v/>
      </c>
      <c r="B607" s="2"/>
      <c r="I607" s="89"/>
      <c r="J607" s="89"/>
      <c r="K607" s="90"/>
    </row>
    <row r="608">
      <c r="A608" s="88" t="str">
        <f>'Season 1 - MafiaRatings'!A:A</f>
        <v/>
      </c>
      <c r="B608" s="2"/>
      <c r="I608" s="89"/>
      <c r="J608" s="89"/>
      <c r="K608" s="90"/>
    </row>
    <row r="609">
      <c r="A609" s="88" t="str">
        <f>'Season 1 - MafiaRatings'!A:A</f>
        <v/>
      </c>
      <c r="B609" s="2"/>
      <c r="I609" s="89"/>
      <c r="J609" s="89"/>
      <c r="K609" s="90"/>
    </row>
    <row r="610">
      <c r="A610" s="88" t="str">
        <f>'Season 1 - MafiaRatings'!A:A</f>
        <v/>
      </c>
      <c r="B610" s="2"/>
      <c r="I610" s="89"/>
      <c r="J610" s="89"/>
      <c r="K610" s="90"/>
    </row>
    <row r="611">
      <c r="A611" s="88" t="str">
        <f>'Season 1 - MafiaRatings'!A:A</f>
        <v/>
      </c>
      <c r="B611" s="2"/>
      <c r="I611" s="89"/>
      <c r="J611" s="89"/>
      <c r="K611" s="90"/>
    </row>
    <row r="612">
      <c r="A612" s="88" t="str">
        <f>'Season 1 - MafiaRatings'!A:A</f>
        <v/>
      </c>
      <c r="B612" s="2"/>
      <c r="I612" s="89"/>
      <c r="J612" s="89"/>
      <c r="K612" s="90"/>
    </row>
    <row r="613">
      <c r="A613" s="88" t="str">
        <f>'Season 1 - MafiaRatings'!A:A</f>
        <v/>
      </c>
      <c r="B613" s="2"/>
      <c r="I613" s="89"/>
      <c r="J613" s="89"/>
      <c r="K613" s="90"/>
    </row>
    <row r="614">
      <c r="A614" s="88" t="str">
        <f>'Season 1 - MafiaRatings'!A:A</f>
        <v/>
      </c>
      <c r="B614" s="2"/>
      <c r="I614" s="89"/>
      <c r="J614" s="89"/>
      <c r="K614" s="90"/>
    </row>
    <row r="615">
      <c r="A615" s="88" t="str">
        <f>'Season 1 - MafiaRatings'!A:A</f>
        <v/>
      </c>
      <c r="B615" s="2"/>
      <c r="I615" s="89"/>
      <c r="J615" s="89"/>
      <c r="K615" s="90"/>
    </row>
    <row r="616">
      <c r="A616" s="88" t="str">
        <f>'Season 1 - MafiaRatings'!A:A</f>
        <v/>
      </c>
      <c r="B616" s="2"/>
      <c r="I616" s="89"/>
      <c r="J616" s="89"/>
      <c r="K616" s="90"/>
    </row>
    <row r="617">
      <c r="A617" s="88" t="str">
        <f>'Season 1 - MafiaRatings'!A:A</f>
        <v/>
      </c>
      <c r="B617" s="2"/>
      <c r="I617" s="89"/>
      <c r="J617" s="89"/>
      <c r="K617" s="90"/>
    </row>
    <row r="618">
      <c r="A618" s="88" t="str">
        <f>'Season 1 - MafiaRatings'!A:A</f>
        <v/>
      </c>
      <c r="B618" s="2"/>
      <c r="I618" s="89"/>
      <c r="J618" s="89"/>
      <c r="K618" s="90"/>
    </row>
    <row r="619">
      <c r="A619" s="88" t="str">
        <f>'Season 1 - MafiaRatings'!A:A</f>
        <v/>
      </c>
      <c r="B619" s="2"/>
      <c r="I619" s="89"/>
      <c r="J619" s="89"/>
      <c r="K619" s="90"/>
    </row>
    <row r="620">
      <c r="A620" s="88" t="str">
        <f>'Season 1 - MafiaRatings'!A:A</f>
        <v/>
      </c>
      <c r="B620" s="2"/>
      <c r="I620" s="89"/>
      <c r="J620" s="89"/>
      <c r="K620" s="90"/>
    </row>
    <row r="621">
      <c r="A621" s="88" t="str">
        <f>'Season 1 - MafiaRatings'!A:A</f>
        <v/>
      </c>
      <c r="B621" s="2"/>
      <c r="I621" s="89"/>
      <c r="J621" s="89"/>
      <c r="K621" s="90"/>
    </row>
    <row r="622">
      <c r="A622" s="88" t="str">
        <f>'Season 1 - MafiaRatings'!A:A</f>
        <v/>
      </c>
      <c r="B622" s="2"/>
      <c r="I622" s="89"/>
      <c r="J622" s="89"/>
      <c r="K622" s="90"/>
    </row>
    <row r="623">
      <c r="A623" s="88" t="str">
        <f>'Season 1 - MafiaRatings'!A:A</f>
        <v/>
      </c>
      <c r="B623" s="2"/>
      <c r="I623" s="89"/>
      <c r="J623" s="89"/>
      <c r="K623" s="90"/>
    </row>
    <row r="624">
      <c r="A624" s="88" t="str">
        <f>'Season 1 - MafiaRatings'!A:A</f>
        <v/>
      </c>
      <c r="B624" s="2"/>
      <c r="I624" s="89"/>
      <c r="J624" s="89"/>
      <c r="K624" s="90"/>
    </row>
    <row r="625">
      <c r="A625" s="88" t="str">
        <f>'Season 1 - MafiaRatings'!A:A</f>
        <v/>
      </c>
      <c r="B625" s="2"/>
      <c r="I625" s="89"/>
      <c r="J625" s="89"/>
      <c r="K625" s="90"/>
    </row>
    <row r="626">
      <c r="A626" s="88" t="str">
        <f>'Season 1 - MafiaRatings'!A:A</f>
        <v/>
      </c>
      <c r="B626" s="2"/>
      <c r="I626" s="89"/>
      <c r="J626" s="89"/>
      <c r="K626" s="90"/>
    </row>
    <row r="627">
      <c r="A627" s="88" t="str">
        <f>'Season 1 - MafiaRatings'!A:A</f>
        <v/>
      </c>
      <c r="B627" s="2"/>
      <c r="I627" s="89"/>
      <c r="J627" s="89"/>
      <c r="K627" s="90"/>
    </row>
    <row r="628">
      <c r="A628" s="88" t="str">
        <f>'Season 1 - MafiaRatings'!A:A</f>
        <v/>
      </c>
      <c r="B628" s="2"/>
      <c r="I628" s="89"/>
      <c r="J628" s="89"/>
      <c r="K628" s="90"/>
    </row>
    <row r="629">
      <c r="A629" s="88" t="str">
        <f>'Season 1 - MafiaRatings'!A:A</f>
        <v/>
      </c>
      <c r="B629" s="2"/>
      <c r="I629" s="89"/>
      <c r="J629" s="89"/>
      <c r="K629" s="90"/>
    </row>
    <row r="630">
      <c r="A630" s="88" t="str">
        <f>'Season 1 - MafiaRatings'!A:A</f>
        <v/>
      </c>
      <c r="B630" s="2"/>
      <c r="I630" s="89"/>
      <c r="J630" s="89"/>
      <c r="K630" s="90"/>
    </row>
    <row r="631">
      <c r="A631" s="88" t="str">
        <f>'Season 1 - MafiaRatings'!A:A</f>
        <v/>
      </c>
      <c r="B631" s="2"/>
      <c r="I631" s="89"/>
      <c r="J631" s="89"/>
      <c r="K631" s="90"/>
    </row>
    <row r="632">
      <c r="A632" s="88" t="str">
        <f>'Season 1 - MafiaRatings'!A:A</f>
        <v/>
      </c>
      <c r="B632" s="2"/>
      <c r="I632" s="89"/>
      <c r="J632" s="89"/>
      <c r="K632" s="90"/>
    </row>
    <row r="633">
      <c r="A633" s="88" t="str">
        <f>'Season 1 - MafiaRatings'!A:A</f>
        <v/>
      </c>
      <c r="B633" s="2"/>
      <c r="I633" s="89"/>
      <c r="J633" s="89"/>
      <c r="K633" s="90"/>
    </row>
    <row r="634">
      <c r="A634" s="88" t="str">
        <f>'Season 1 - MafiaRatings'!A:A</f>
        <v/>
      </c>
      <c r="B634" s="2"/>
      <c r="I634" s="89"/>
      <c r="J634" s="89"/>
      <c r="K634" s="90"/>
    </row>
    <row r="635">
      <c r="A635" s="88" t="str">
        <f>'Season 1 - MafiaRatings'!A:A</f>
        <v/>
      </c>
      <c r="B635" s="2"/>
      <c r="I635" s="89"/>
      <c r="J635" s="89"/>
      <c r="K635" s="90"/>
    </row>
    <row r="636">
      <c r="A636" s="88" t="str">
        <f>'Season 1 - MafiaRatings'!A:A</f>
        <v/>
      </c>
      <c r="B636" s="2"/>
      <c r="I636" s="89"/>
      <c r="J636" s="89"/>
      <c r="K636" s="90"/>
    </row>
    <row r="637">
      <c r="A637" s="88" t="str">
        <f>'Season 1 - MafiaRatings'!A:A</f>
        <v/>
      </c>
      <c r="B637" s="2"/>
      <c r="I637" s="89"/>
      <c r="J637" s="89"/>
      <c r="K637" s="90"/>
    </row>
    <row r="638">
      <c r="A638" s="88" t="str">
        <f>'Season 1 - MafiaRatings'!A:A</f>
        <v/>
      </c>
      <c r="B638" s="2"/>
      <c r="I638" s="89"/>
      <c r="J638" s="89"/>
      <c r="K638" s="90"/>
    </row>
    <row r="639">
      <c r="A639" s="88" t="str">
        <f>'Season 1 - MafiaRatings'!A:A</f>
        <v/>
      </c>
      <c r="B639" s="2"/>
      <c r="I639" s="89"/>
      <c r="J639" s="89"/>
      <c r="K639" s="90"/>
    </row>
    <row r="640">
      <c r="A640" s="88" t="str">
        <f>'Season 1 - MafiaRatings'!A:A</f>
        <v/>
      </c>
      <c r="B640" s="2"/>
      <c r="I640" s="89"/>
      <c r="J640" s="89"/>
      <c r="K640" s="90"/>
    </row>
    <row r="641">
      <c r="A641" s="88" t="str">
        <f>'Season 1 - MafiaRatings'!A:A</f>
        <v/>
      </c>
      <c r="B641" s="2"/>
      <c r="I641" s="89"/>
      <c r="J641" s="89"/>
      <c r="K641" s="90"/>
    </row>
    <row r="642">
      <c r="A642" s="88" t="str">
        <f>'Season 1 - MafiaRatings'!A:A</f>
        <v/>
      </c>
      <c r="B642" s="2"/>
      <c r="I642" s="89"/>
      <c r="J642" s="89"/>
      <c r="K642" s="90"/>
    </row>
    <row r="643">
      <c r="A643" s="88" t="str">
        <f>'Season 1 - MafiaRatings'!A:A</f>
        <v/>
      </c>
      <c r="B643" s="2"/>
      <c r="I643" s="89"/>
      <c r="J643" s="89"/>
      <c r="K643" s="90"/>
    </row>
    <row r="644">
      <c r="A644" s="88" t="str">
        <f>'Season 1 - MafiaRatings'!A:A</f>
        <v/>
      </c>
      <c r="B644" s="2"/>
      <c r="I644" s="89"/>
      <c r="J644" s="89"/>
      <c r="K644" s="90"/>
    </row>
    <row r="645">
      <c r="A645" s="88" t="str">
        <f>'Season 1 - MafiaRatings'!A:A</f>
        <v/>
      </c>
      <c r="B645" s="2"/>
      <c r="I645" s="89"/>
      <c r="J645" s="89"/>
      <c r="K645" s="90"/>
    </row>
    <row r="646">
      <c r="A646" s="88" t="str">
        <f>'Season 1 - MafiaRatings'!A:A</f>
        <v/>
      </c>
      <c r="B646" s="2"/>
      <c r="I646" s="89"/>
      <c r="J646" s="89"/>
      <c r="K646" s="90"/>
    </row>
    <row r="647">
      <c r="A647" s="88" t="str">
        <f>'Season 1 - MafiaRatings'!A:A</f>
        <v/>
      </c>
      <c r="B647" s="2"/>
      <c r="I647" s="89"/>
      <c r="J647" s="89"/>
      <c r="K647" s="90"/>
    </row>
    <row r="648">
      <c r="A648" s="88" t="str">
        <f>'Season 1 - MafiaRatings'!A:A</f>
        <v/>
      </c>
      <c r="B648" s="2"/>
      <c r="I648" s="89"/>
      <c r="J648" s="89"/>
      <c r="K648" s="90"/>
    </row>
    <row r="649">
      <c r="A649" s="88" t="str">
        <f>'Season 1 - MafiaRatings'!A:A</f>
        <v/>
      </c>
      <c r="B649" s="2"/>
      <c r="I649" s="89"/>
      <c r="J649" s="89"/>
      <c r="K649" s="90"/>
    </row>
    <row r="650">
      <c r="A650" s="88" t="str">
        <f>'Season 1 - MafiaRatings'!A:A</f>
        <v/>
      </c>
      <c r="B650" s="2"/>
      <c r="I650" s="89"/>
      <c r="J650" s="89"/>
      <c r="K650" s="90"/>
    </row>
    <row r="651">
      <c r="A651" s="88" t="str">
        <f>'Season 1 - MafiaRatings'!A:A</f>
        <v/>
      </c>
      <c r="B651" s="2"/>
      <c r="I651" s="89"/>
      <c r="J651" s="89"/>
      <c r="K651" s="90"/>
    </row>
    <row r="652">
      <c r="A652" s="88" t="str">
        <f>'Season 1 - MafiaRatings'!A:A</f>
        <v/>
      </c>
      <c r="B652" s="2"/>
      <c r="I652" s="89"/>
      <c r="J652" s="89"/>
      <c r="K652" s="90"/>
    </row>
    <row r="653">
      <c r="A653" s="88" t="str">
        <f>'Season 1 - MafiaRatings'!A:A</f>
        <v/>
      </c>
      <c r="B653" s="2"/>
      <c r="I653" s="89"/>
      <c r="J653" s="89"/>
      <c r="K653" s="90"/>
    </row>
    <row r="654">
      <c r="A654" s="88" t="str">
        <f>'Season 1 - MafiaRatings'!A:A</f>
        <v/>
      </c>
      <c r="B654" s="2"/>
      <c r="I654" s="89"/>
      <c r="J654" s="89"/>
      <c r="K654" s="90"/>
    </row>
    <row r="655">
      <c r="A655" s="88" t="str">
        <f>'Season 1 - MafiaRatings'!A:A</f>
        <v/>
      </c>
      <c r="B655" s="2"/>
      <c r="I655" s="89"/>
      <c r="J655" s="89"/>
      <c r="K655" s="90"/>
    </row>
    <row r="656">
      <c r="A656" s="88" t="str">
        <f>'Season 1 - MafiaRatings'!A:A</f>
        <v/>
      </c>
      <c r="B656" s="2"/>
      <c r="I656" s="89"/>
      <c r="J656" s="89"/>
      <c r="K656" s="90"/>
    </row>
    <row r="657">
      <c r="A657" s="88" t="str">
        <f>'Season 1 - MafiaRatings'!A:A</f>
        <v/>
      </c>
      <c r="B657" s="2"/>
      <c r="I657" s="89"/>
      <c r="J657" s="89"/>
      <c r="K657" s="90"/>
    </row>
    <row r="658">
      <c r="A658" s="88" t="str">
        <f>'Season 1 - MafiaRatings'!A:A</f>
        <v/>
      </c>
      <c r="B658" s="2"/>
      <c r="I658" s="89"/>
      <c r="J658" s="89"/>
      <c r="K658" s="90"/>
    </row>
    <row r="659">
      <c r="A659" s="88" t="str">
        <f>'Season 1 - MafiaRatings'!A:A</f>
        <v/>
      </c>
      <c r="B659" s="2"/>
      <c r="I659" s="89"/>
      <c r="J659" s="89"/>
      <c r="K659" s="90"/>
    </row>
    <row r="660">
      <c r="A660" s="88" t="str">
        <f>'Season 1 - MafiaRatings'!A:A</f>
        <v/>
      </c>
      <c r="B660" s="2"/>
      <c r="I660" s="89"/>
      <c r="J660" s="89"/>
      <c r="K660" s="90"/>
    </row>
    <row r="661">
      <c r="A661" s="88" t="str">
        <f>'Season 1 - MafiaRatings'!A:A</f>
        <v/>
      </c>
      <c r="B661" s="2"/>
      <c r="I661" s="89"/>
      <c r="J661" s="89"/>
      <c r="K661" s="90"/>
    </row>
    <row r="662">
      <c r="A662" s="88" t="str">
        <f>'Season 1 - MafiaRatings'!A:A</f>
        <v/>
      </c>
      <c r="B662" s="2"/>
      <c r="I662" s="89"/>
      <c r="J662" s="89"/>
      <c r="K662" s="90"/>
    </row>
    <row r="663">
      <c r="A663" s="88" t="str">
        <f>'Season 1 - MafiaRatings'!A:A</f>
        <v/>
      </c>
      <c r="B663" s="2"/>
      <c r="I663" s="89"/>
      <c r="J663" s="89"/>
      <c r="K663" s="90"/>
    </row>
    <row r="664">
      <c r="A664" s="88" t="str">
        <f>'Season 1 - MafiaRatings'!A:A</f>
        <v/>
      </c>
      <c r="B664" s="2"/>
      <c r="I664" s="89"/>
      <c r="J664" s="89"/>
      <c r="K664" s="90"/>
    </row>
    <row r="665">
      <c r="A665" s="88" t="str">
        <f>'Season 1 - MafiaRatings'!A:A</f>
        <v/>
      </c>
      <c r="B665" s="2"/>
      <c r="I665" s="89"/>
      <c r="J665" s="89"/>
      <c r="K665" s="90"/>
    </row>
    <row r="666">
      <c r="A666" s="88" t="str">
        <f>'Season 1 - MafiaRatings'!A:A</f>
        <v/>
      </c>
      <c r="B666" s="2"/>
      <c r="I666" s="89"/>
      <c r="J666" s="89"/>
      <c r="K666" s="90"/>
    </row>
    <row r="667">
      <c r="A667" s="88" t="str">
        <f>'Season 1 - MafiaRatings'!A:A</f>
        <v/>
      </c>
      <c r="B667" s="2"/>
      <c r="I667" s="89"/>
      <c r="J667" s="89"/>
      <c r="K667" s="90"/>
    </row>
    <row r="668">
      <c r="A668" s="88" t="str">
        <f>'Season 1 - MafiaRatings'!A:A</f>
        <v/>
      </c>
      <c r="B668" s="2"/>
      <c r="I668" s="89"/>
      <c r="J668" s="89"/>
      <c r="K668" s="90"/>
    </row>
    <row r="669">
      <c r="A669" s="88" t="str">
        <f>'Season 1 - MafiaRatings'!A:A</f>
        <v/>
      </c>
      <c r="B669" s="2"/>
      <c r="I669" s="89"/>
      <c r="J669" s="89"/>
      <c r="K669" s="90"/>
    </row>
    <row r="670">
      <c r="A670" s="88" t="str">
        <f>'Season 1 - MafiaRatings'!A:A</f>
        <v/>
      </c>
      <c r="B670" s="2"/>
      <c r="I670" s="89"/>
      <c r="J670" s="89"/>
      <c r="K670" s="90"/>
    </row>
    <row r="671">
      <c r="A671" s="88" t="str">
        <f>'Season 1 - MafiaRatings'!A:A</f>
        <v/>
      </c>
      <c r="B671" s="2"/>
      <c r="I671" s="89"/>
      <c r="J671" s="89"/>
      <c r="K671" s="90"/>
    </row>
    <row r="672">
      <c r="A672" s="88" t="str">
        <f>'Season 1 - MafiaRatings'!A:A</f>
        <v/>
      </c>
      <c r="B672" s="2"/>
      <c r="I672" s="89"/>
      <c r="J672" s="89"/>
      <c r="K672" s="90"/>
    </row>
    <row r="673">
      <c r="A673" s="88" t="str">
        <f>'Season 1 - MafiaRatings'!A:A</f>
        <v/>
      </c>
      <c r="B673" s="2"/>
      <c r="I673" s="89"/>
      <c r="J673" s="89"/>
      <c r="K673" s="90"/>
    </row>
    <row r="674">
      <c r="A674" s="88" t="str">
        <f>'Season 1 - MafiaRatings'!A:A</f>
        <v/>
      </c>
      <c r="B674" s="2"/>
      <c r="I674" s="89"/>
      <c r="J674" s="89"/>
      <c r="K674" s="90"/>
    </row>
    <row r="675">
      <c r="A675" s="88" t="str">
        <f>'Season 1 - MafiaRatings'!A:A</f>
        <v/>
      </c>
      <c r="B675" s="2"/>
      <c r="I675" s="89"/>
      <c r="J675" s="89"/>
      <c r="K675" s="90"/>
    </row>
    <row r="676">
      <c r="A676" s="88" t="str">
        <f>'Season 1 - MafiaRatings'!A:A</f>
        <v/>
      </c>
      <c r="B676" s="2"/>
      <c r="I676" s="89"/>
      <c r="J676" s="89"/>
      <c r="K676" s="90"/>
    </row>
    <row r="677">
      <c r="A677" s="88" t="str">
        <f>'Season 1 - MafiaRatings'!A:A</f>
        <v/>
      </c>
      <c r="B677" s="2"/>
      <c r="I677" s="89"/>
      <c r="J677" s="89"/>
      <c r="K677" s="90"/>
    </row>
    <row r="678">
      <c r="A678" s="88" t="str">
        <f>'Season 1 - MafiaRatings'!A:A</f>
        <v/>
      </c>
      <c r="B678" s="2"/>
      <c r="I678" s="89"/>
      <c r="J678" s="89"/>
      <c r="K678" s="90"/>
    </row>
    <row r="679">
      <c r="A679" s="88" t="str">
        <f>'Season 1 - MafiaRatings'!A:A</f>
        <v/>
      </c>
      <c r="B679" s="2"/>
      <c r="I679" s="89"/>
      <c r="J679" s="89"/>
      <c r="K679" s="90"/>
    </row>
    <row r="680">
      <c r="A680" s="88" t="str">
        <f>'Season 1 - MafiaRatings'!A:A</f>
        <v/>
      </c>
      <c r="B680" s="2"/>
      <c r="I680" s="89"/>
      <c r="J680" s="89"/>
      <c r="K680" s="90"/>
    </row>
    <row r="681">
      <c r="A681" s="88" t="str">
        <f>'Season 1 - MafiaRatings'!A:A</f>
        <v/>
      </c>
      <c r="B681" s="2"/>
      <c r="I681" s="89"/>
      <c r="J681" s="89"/>
      <c r="K681" s="90"/>
    </row>
    <row r="682">
      <c r="A682" s="88" t="str">
        <f>'Season 1 - MafiaRatings'!A:A</f>
        <v/>
      </c>
      <c r="B682" s="2"/>
      <c r="I682" s="89"/>
      <c r="J682" s="89"/>
      <c r="K682" s="90"/>
    </row>
    <row r="683">
      <c r="A683" s="88" t="str">
        <f>'Season 1 - MafiaRatings'!A:A</f>
        <v/>
      </c>
      <c r="B683" s="2"/>
      <c r="I683" s="89"/>
      <c r="J683" s="89"/>
      <c r="K683" s="90"/>
    </row>
    <row r="684">
      <c r="A684" s="88" t="str">
        <f>'Season 1 - MafiaRatings'!A:A</f>
        <v/>
      </c>
      <c r="B684" s="2"/>
      <c r="I684" s="89"/>
      <c r="J684" s="89"/>
      <c r="K684" s="90"/>
    </row>
    <row r="685">
      <c r="A685" s="88" t="str">
        <f>'Season 1 - MafiaRatings'!A:A</f>
        <v/>
      </c>
      <c r="B685" s="2"/>
      <c r="I685" s="89"/>
      <c r="J685" s="89"/>
      <c r="K685" s="90"/>
    </row>
    <row r="686">
      <c r="A686" s="88" t="str">
        <f>'Season 1 - MafiaRatings'!A:A</f>
        <v/>
      </c>
      <c r="B686" s="2"/>
      <c r="I686" s="89"/>
      <c r="J686" s="89"/>
      <c r="K686" s="90"/>
    </row>
    <row r="687">
      <c r="A687" s="88" t="str">
        <f>'Season 1 - MafiaRatings'!A:A</f>
        <v/>
      </c>
      <c r="B687" s="2"/>
      <c r="I687" s="89"/>
      <c r="J687" s="89"/>
      <c r="K687" s="90"/>
    </row>
    <row r="688">
      <c r="A688" s="88" t="str">
        <f>'Season 1 - MafiaRatings'!A:A</f>
        <v/>
      </c>
      <c r="B688" s="2"/>
      <c r="I688" s="89"/>
      <c r="J688" s="89"/>
      <c r="K688" s="90"/>
    </row>
    <row r="689">
      <c r="A689" s="88" t="str">
        <f>'Season 1 - MafiaRatings'!A:A</f>
        <v/>
      </c>
      <c r="B689" s="2"/>
      <c r="I689" s="89"/>
      <c r="J689" s="89"/>
      <c r="K689" s="90"/>
    </row>
    <row r="690">
      <c r="A690" s="88" t="str">
        <f>'Season 1 - MafiaRatings'!A:A</f>
        <v/>
      </c>
      <c r="B690" s="2"/>
      <c r="I690" s="89"/>
      <c r="J690" s="89"/>
      <c r="K690" s="90"/>
    </row>
    <row r="691">
      <c r="A691" s="88" t="str">
        <f>'Season 1 - MafiaRatings'!A:A</f>
        <v/>
      </c>
      <c r="B691" s="2"/>
      <c r="I691" s="89"/>
      <c r="J691" s="89"/>
      <c r="K691" s="90"/>
    </row>
    <row r="692">
      <c r="A692" s="88" t="str">
        <f>'Season 1 - MafiaRatings'!A:A</f>
        <v/>
      </c>
      <c r="B692" s="2"/>
      <c r="I692" s="89"/>
      <c r="J692" s="89"/>
      <c r="K692" s="90"/>
    </row>
    <row r="693">
      <c r="A693" s="88" t="str">
        <f>'Season 1 - MafiaRatings'!A:A</f>
        <v/>
      </c>
      <c r="B693" s="2"/>
      <c r="I693" s="89"/>
      <c r="J693" s="89"/>
      <c r="K693" s="90"/>
    </row>
    <row r="694">
      <c r="A694" s="88" t="str">
        <f>'Season 1 - MafiaRatings'!A:A</f>
        <v/>
      </c>
      <c r="B694" s="2"/>
      <c r="I694" s="89"/>
      <c r="J694" s="89"/>
      <c r="K694" s="90"/>
    </row>
    <row r="695">
      <c r="A695" s="88" t="str">
        <f>'Season 1 - MafiaRatings'!A:A</f>
        <v/>
      </c>
      <c r="B695" s="2"/>
      <c r="I695" s="89"/>
      <c r="J695" s="89"/>
      <c r="K695" s="90"/>
    </row>
    <row r="696">
      <c r="A696" s="88" t="str">
        <f>'Season 1 - MafiaRatings'!A:A</f>
        <v/>
      </c>
      <c r="B696" s="2"/>
      <c r="I696" s="89"/>
      <c r="J696" s="89"/>
      <c r="K696" s="90"/>
    </row>
    <row r="697">
      <c r="A697" s="88" t="str">
        <f>'Season 1 - MafiaRatings'!A:A</f>
        <v/>
      </c>
      <c r="B697" s="2"/>
      <c r="I697" s="89"/>
      <c r="J697" s="89"/>
      <c r="K697" s="90"/>
    </row>
    <row r="698">
      <c r="A698" s="88" t="str">
        <f>'Season 1 - MafiaRatings'!A:A</f>
        <v/>
      </c>
      <c r="B698" s="2"/>
      <c r="I698" s="89"/>
      <c r="J698" s="89"/>
      <c r="K698" s="90"/>
    </row>
    <row r="699">
      <c r="A699" s="88" t="str">
        <f>'Season 1 - MafiaRatings'!A:A</f>
        <v/>
      </c>
      <c r="B699" s="2"/>
      <c r="I699" s="89"/>
      <c r="J699" s="89"/>
      <c r="K699" s="90"/>
    </row>
    <row r="700">
      <c r="A700" s="88" t="str">
        <f>'Season 1 - MafiaRatings'!A:A</f>
        <v/>
      </c>
      <c r="B700" s="2"/>
      <c r="I700" s="89"/>
      <c r="J700" s="89"/>
      <c r="K700" s="90"/>
    </row>
    <row r="701">
      <c r="A701" s="88" t="str">
        <f>'Season 1 - MafiaRatings'!A:A</f>
        <v/>
      </c>
      <c r="B701" s="2"/>
      <c r="I701" s="89"/>
      <c r="J701" s="89"/>
      <c r="K701" s="90"/>
    </row>
    <row r="702">
      <c r="A702" s="88" t="str">
        <f>'Season 1 - MafiaRatings'!A:A</f>
        <v/>
      </c>
      <c r="B702" s="2"/>
      <c r="I702" s="89"/>
      <c r="J702" s="89"/>
      <c r="K702" s="90"/>
    </row>
    <row r="703">
      <c r="A703" s="88" t="str">
        <f>'Season 1 - MafiaRatings'!A:A</f>
        <v/>
      </c>
      <c r="B703" s="2"/>
      <c r="I703" s="89"/>
      <c r="J703" s="89"/>
      <c r="K703" s="90"/>
    </row>
    <row r="704">
      <c r="A704" s="88" t="str">
        <f>'Season 1 - MafiaRatings'!A:A</f>
        <v/>
      </c>
      <c r="B704" s="2"/>
      <c r="I704" s="89"/>
      <c r="J704" s="89"/>
      <c r="K704" s="90"/>
    </row>
    <row r="705">
      <c r="A705" s="88" t="str">
        <f>'Season 1 - MafiaRatings'!A:A</f>
        <v/>
      </c>
      <c r="B705" s="2"/>
      <c r="I705" s="89"/>
      <c r="J705" s="89"/>
      <c r="K705" s="90"/>
    </row>
    <row r="706">
      <c r="A706" s="88" t="str">
        <f>'Season 1 - MafiaRatings'!A:A</f>
        <v/>
      </c>
      <c r="B706" s="2"/>
      <c r="I706" s="89"/>
      <c r="J706" s="89"/>
      <c r="K706" s="90"/>
    </row>
    <row r="707">
      <c r="A707" s="88" t="str">
        <f>'Season 1 - MafiaRatings'!A:A</f>
        <v/>
      </c>
      <c r="B707" s="2"/>
      <c r="I707" s="89"/>
      <c r="J707" s="89"/>
      <c r="K707" s="90"/>
    </row>
    <row r="708">
      <c r="A708" s="88" t="str">
        <f>'Season 1 - MafiaRatings'!A:A</f>
        <v/>
      </c>
      <c r="B708" s="2"/>
      <c r="I708" s="89"/>
      <c r="J708" s="89"/>
      <c r="K708" s="90"/>
    </row>
    <row r="709">
      <c r="A709" s="88" t="str">
        <f>'Season 1 - MafiaRatings'!A:A</f>
        <v/>
      </c>
      <c r="B709" s="2"/>
      <c r="I709" s="89"/>
      <c r="J709" s="89"/>
      <c r="K709" s="90"/>
    </row>
    <row r="710">
      <c r="A710" s="88" t="str">
        <f>'Season 1 - MafiaRatings'!A:A</f>
        <v/>
      </c>
      <c r="B710" s="2"/>
      <c r="I710" s="89"/>
      <c r="J710" s="89"/>
      <c r="K710" s="90"/>
    </row>
    <row r="711">
      <c r="A711" s="88" t="str">
        <f>'Season 1 - MafiaRatings'!A:A</f>
        <v/>
      </c>
      <c r="B711" s="2"/>
      <c r="I711" s="89"/>
      <c r="J711" s="89"/>
      <c r="K711" s="90"/>
    </row>
    <row r="712">
      <c r="A712" s="88" t="str">
        <f>'Season 1 - MafiaRatings'!A:A</f>
        <v/>
      </c>
      <c r="B712" s="2"/>
      <c r="I712" s="89"/>
      <c r="J712" s="89"/>
      <c r="K712" s="90"/>
    </row>
    <row r="713">
      <c r="A713" s="88" t="str">
        <f>'Season 1 - MafiaRatings'!A:A</f>
        <v/>
      </c>
      <c r="B713" s="2"/>
      <c r="I713" s="89"/>
      <c r="J713" s="89"/>
      <c r="K713" s="90"/>
    </row>
    <row r="714">
      <c r="A714" s="88" t="str">
        <f>'Season 1 - MafiaRatings'!A:A</f>
        <v/>
      </c>
      <c r="B714" s="2"/>
      <c r="I714" s="89"/>
      <c r="J714" s="89"/>
      <c r="K714" s="90"/>
    </row>
    <row r="715">
      <c r="A715" s="88" t="str">
        <f>'Season 1 - MafiaRatings'!A:A</f>
        <v/>
      </c>
      <c r="B715" s="2"/>
      <c r="I715" s="89"/>
      <c r="J715" s="89"/>
      <c r="K715" s="90"/>
    </row>
    <row r="716">
      <c r="A716" s="88" t="str">
        <f>'Season 1 - MafiaRatings'!A:A</f>
        <v/>
      </c>
      <c r="B716" s="2"/>
      <c r="I716" s="89"/>
      <c r="J716" s="89"/>
      <c r="K716" s="90"/>
    </row>
    <row r="717">
      <c r="A717" s="88" t="str">
        <f>'Season 1 - MafiaRatings'!A:A</f>
        <v/>
      </c>
      <c r="B717" s="2"/>
      <c r="I717" s="89"/>
      <c r="J717" s="89"/>
      <c r="K717" s="90"/>
    </row>
    <row r="718">
      <c r="A718" s="88" t="str">
        <f>'Season 1 - MafiaRatings'!A:A</f>
        <v/>
      </c>
      <c r="B718" s="2"/>
      <c r="I718" s="89"/>
      <c r="J718" s="89"/>
      <c r="K718" s="90"/>
    </row>
    <row r="719">
      <c r="A719" s="88" t="str">
        <f>'Season 1 - MafiaRatings'!A:A</f>
        <v/>
      </c>
      <c r="B719" s="2"/>
      <c r="I719" s="89"/>
      <c r="J719" s="89"/>
      <c r="K719" s="90"/>
    </row>
    <row r="720">
      <c r="A720" s="88" t="str">
        <f>'Season 1 - MafiaRatings'!A:A</f>
        <v/>
      </c>
      <c r="B720" s="2"/>
      <c r="I720" s="89"/>
      <c r="J720" s="89"/>
      <c r="K720" s="90"/>
    </row>
    <row r="721">
      <c r="A721" s="88" t="str">
        <f>'Season 1 - MafiaRatings'!A:A</f>
        <v/>
      </c>
      <c r="B721" s="2"/>
      <c r="I721" s="89"/>
      <c r="J721" s="89"/>
      <c r="K721" s="90"/>
    </row>
    <row r="722">
      <c r="A722" s="88" t="str">
        <f>'Season 1 - MafiaRatings'!A:A</f>
        <v/>
      </c>
      <c r="B722" s="2"/>
      <c r="I722" s="89"/>
      <c r="J722" s="89"/>
      <c r="K722" s="90"/>
    </row>
    <row r="723">
      <c r="A723" s="88" t="str">
        <f>'Season 1 - MafiaRatings'!A:A</f>
        <v/>
      </c>
      <c r="B723" s="2"/>
      <c r="I723" s="89"/>
      <c r="J723" s="89"/>
      <c r="K723" s="90"/>
    </row>
    <row r="724">
      <c r="A724" s="88" t="str">
        <f>'Season 1 - MafiaRatings'!A:A</f>
        <v/>
      </c>
      <c r="B724" s="2"/>
      <c r="I724" s="89"/>
      <c r="J724" s="89"/>
      <c r="K724" s="90"/>
    </row>
    <row r="725">
      <c r="A725" s="88" t="str">
        <f>'Season 1 - MafiaRatings'!A:A</f>
        <v/>
      </c>
      <c r="B725" s="2"/>
      <c r="I725" s="89"/>
      <c r="J725" s="89"/>
      <c r="K725" s="90"/>
    </row>
    <row r="726">
      <c r="A726" s="88" t="str">
        <f>'Season 1 - MafiaRatings'!A:A</f>
        <v/>
      </c>
      <c r="B726" s="2"/>
      <c r="I726" s="89"/>
      <c r="J726" s="89"/>
      <c r="K726" s="90"/>
    </row>
    <row r="727">
      <c r="A727" s="88" t="str">
        <f>'Season 1 - MafiaRatings'!A:A</f>
        <v/>
      </c>
      <c r="B727" s="2"/>
      <c r="I727" s="89"/>
      <c r="J727" s="89"/>
      <c r="K727" s="90"/>
    </row>
    <row r="728">
      <c r="A728" s="88" t="str">
        <f>'Season 1 - MafiaRatings'!A:A</f>
        <v/>
      </c>
      <c r="B728" s="2"/>
      <c r="I728" s="89"/>
      <c r="J728" s="89"/>
      <c r="K728" s="90"/>
    </row>
    <row r="729">
      <c r="A729" s="88" t="str">
        <f>'Season 1 - MafiaRatings'!A:A</f>
        <v/>
      </c>
      <c r="B729" s="2"/>
      <c r="I729" s="89"/>
      <c r="J729" s="89"/>
      <c r="K729" s="90"/>
    </row>
    <row r="730">
      <c r="A730" s="88" t="str">
        <f>'Season 1 - MafiaRatings'!A:A</f>
        <v/>
      </c>
      <c r="B730" s="2"/>
      <c r="I730" s="89"/>
      <c r="J730" s="89"/>
      <c r="K730" s="90"/>
    </row>
    <row r="731">
      <c r="A731" s="88" t="str">
        <f>'Season 1 - MafiaRatings'!A:A</f>
        <v/>
      </c>
      <c r="B731" s="2"/>
      <c r="I731" s="89"/>
      <c r="J731" s="89"/>
      <c r="K731" s="90"/>
    </row>
    <row r="732">
      <c r="A732" s="88" t="str">
        <f>'Season 1 - MafiaRatings'!A:A</f>
        <v/>
      </c>
      <c r="B732" s="2"/>
      <c r="I732" s="89"/>
      <c r="J732" s="89"/>
      <c r="K732" s="90"/>
    </row>
    <row r="733">
      <c r="A733" s="88" t="str">
        <f>'Season 1 - MafiaRatings'!A:A</f>
        <v/>
      </c>
      <c r="B733" s="2"/>
      <c r="I733" s="89"/>
      <c r="J733" s="89"/>
      <c r="K733" s="90"/>
    </row>
    <row r="734">
      <c r="A734" s="88" t="str">
        <f>'Season 1 - MafiaRatings'!A:A</f>
        <v/>
      </c>
      <c r="B734" s="2"/>
      <c r="I734" s="89"/>
      <c r="J734" s="89"/>
      <c r="K734" s="90"/>
    </row>
    <row r="735">
      <c r="A735" s="88" t="str">
        <f>'Season 1 - MafiaRatings'!A:A</f>
        <v/>
      </c>
      <c r="B735" s="2"/>
      <c r="I735" s="89"/>
      <c r="J735" s="89"/>
      <c r="K735" s="90"/>
    </row>
    <row r="736">
      <c r="A736" s="88" t="str">
        <f>'Season 1 - MafiaRatings'!A:A</f>
        <v/>
      </c>
      <c r="B736" s="2"/>
      <c r="I736" s="89"/>
      <c r="J736" s="89"/>
      <c r="K736" s="90"/>
    </row>
    <row r="737">
      <c r="A737" s="88" t="str">
        <f>'Season 1 - MafiaRatings'!A:A</f>
        <v/>
      </c>
      <c r="B737" s="2"/>
      <c r="I737" s="89"/>
      <c r="J737" s="89"/>
      <c r="K737" s="90"/>
    </row>
    <row r="738">
      <c r="A738" s="88" t="str">
        <f>'Season 1 - MafiaRatings'!A:A</f>
        <v/>
      </c>
      <c r="B738" s="2"/>
      <c r="I738" s="89"/>
      <c r="J738" s="89"/>
      <c r="K738" s="90"/>
    </row>
    <row r="739">
      <c r="A739" s="88" t="str">
        <f>'Season 1 - MafiaRatings'!A:A</f>
        <v/>
      </c>
      <c r="B739" s="2"/>
      <c r="I739" s="89"/>
      <c r="J739" s="89"/>
      <c r="K739" s="90"/>
    </row>
    <row r="740">
      <c r="A740" s="88" t="str">
        <f>'Season 1 - MafiaRatings'!A:A</f>
        <v/>
      </c>
      <c r="B740" s="2"/>
      <c r="I740" s="89"/>
      <c r="J740" s="89"/>
      <c r="K740" s="90"/>
    </row>
    <row r="741">
      <c r="A741" s="88" t="str">
        <f>'Season 1 - MafiaRatings'!A:A</f>
        <v/>
      </c>
      <c r="B741" s="2"/>
      <c r="I741" s="89"/>
      <c r="J741" s="89"/>
      <c r="K741" s="90"/>
    </row>
    <row r="742">
      <c r="A742" s="88" t="str">
        <f>'Season 1 - MafiaRatings'!A:A</f>
        <v/>
      </c>
      <c r="B742" s="2"/>
      <c r="I742" s="89"/>
      <c r="J742" s="89"/>
      <c r="K742" s="90"/>
    </row>
    <row r="743">
      <c r="A743" s="88" t="str">
        <f>'Season 1 - MafiaRatings'!A:A</f>
        <v/>
      </c>
      <c r="B743" s="2"/>
      <c r="I743" s="89"/>
      <c r="J743" s="89"/>
      <c r="K743" s="90"/>
    </row>
    <row r="744">
      <c r="A744" s="88" t="str">
        <f>'Season 1 - MafiaRatings'!A:A</f>
        <v/>
      </c>
      <c r="B744" s="2"/>
      <c r="I744" s="89"/>
      <c r="J744" s="89"/>
      <c r="K744" s="90"/>
    </row>
    <row r="745">
      <c r="A745" s="88" t="str">
        <f>'Season 1 - MafiaRatings'!A:A</f>
        <v/>
      </c>
      <c r="B745" s="2"/>
      <c r="I745" s="89"/>
      <c r="J745" s="89"/>
      <c r="K745" s="90"/>
    </row>
    <row r="746">
      <c r="A746" s="88" t="str">
        <f>'Season 1 - MafiaRatings'!A:A</f>
        <v/>
      </c>
      <c r="B746" s="2"/>
      <c r="I746" s="89"/>
      <c r="J746" s="89"/>
      <c r="K746" s="90"/>
    </row>
    <row r="747">
      <c r="A747" s="88" t="str">
        <f>'Season 1 - MafiaRatings'!A:A</f>
        <v/>
      </c>
      <c r="B747" s="2"/>
      <c r="I747" s="89"/>
      <c r="J747" s="89"/>
      <c r="K747" s="90"/>
    </row>
    <row r="748">
      <c r="A748" s="88" t="str">
        <f>'Season 1 - MafiaRatings'!A:A</f>
        <v/>
      </c>
      <c r="B748" s="2"/>
      <c r="I748" s="89"/>
      <c r="J748" s="89"/>
      <c r="K748" s="90"/>
    </row>
    <row r="749">
      <c r="A749" s="88" t="str">
        <f>'Season 1 - MafiaRatings'!A:A</f>
        <v/>
      </c>
      <c r="B749" s="2"/>
      <c r="I749" s="89"/>
      <c r="J749" s="89"/>
      <c r="K749" s="90"/>
    </row>
    <row r="750">
      <c r="A750" s="88" t="str">
        <f>'Season 1 - MafiaRatings'!A:A</f>
        <v/>
      </c>
      <c r="B750" s="2"/>
      <c r="I750" s="89"/>
      <c r="J750" s="89"/>
      <c r="K750" s="90"/>
    </row>
    <row r="751">
      <c r="A751" s="88" t="str">
        <f>'Season 1 - MafiaRatings'!A:A</f>
        <v/>
      </c>
      <c r="B751" s="2"/>
      <c r="I751" s="89"/>
      <c r="J751" s="89"/>
      <c r="K751" s="90"/>
    </row>
    <row r="752">
      <c r="A752" s="88" t="str">
        <f>'Season 1 - MafiaRatings'!A:A</f>
        <v/>
      </c>
      <c r="B752" s="2"/>
      <c r="I752" s="89"/>
      <c r="J752" s="89"/>
      <c r="K752" s="90"/>
    </row>
    <row r="753">
      <c r="A753" s="88" t="str">
        <f>'Season 1 - MafiaRatings'!A:A</f>
        <v/>
      </c>
      <c r="B753" s="2"/>
      <c r="I753" s="89"/>
      <c r="J753" s="89"/>
      <c r="K753" s="90"/>
    </row>
    <row r="754">
      <c r="A754" s="88" t="str">
        <f>'Season 1 - MafiaRatings'!A:A</f>
        <v/>
      </c>
      <c r="B754" s="2"/>
      <c r="I754" s="89"/>
      <c r="J754" s="89"/>
      <c r="K754" s="90"/>
    </row>
    <row r="755">
      <c r="A755" s="88" t="str">
        <f>'Season 1 - MafiaRatings'!A:A</f>
        <v/>
      </c>
      <c r="B755" s="2"/>
      <c r="I755" s="89"/>
      <c r="J755" s="89"/>
      <c r="K755" s="90"/>
    </row>
    <row r="756">
      <c r="A756" s="88" t="str">
        <f>'Season 1 - MafiaRatings'!A:A</f>
        <v/>
      </c>
      <c r="B756" s="2"/>
      <c r="I756" s="89"/>
      <c r="J756" s="89"/>
      <c r="K756" s="90"/>
    </row>
    <row r="757">
      <c r="A757" s="88" t="str">
        <f>'Season 1 - MafiaRatings'!A:A</f>
        <v/>
      </c>
      <c r="B757" s="2"/>
      <c r="I757" s="89"/>
      <c r="J757" s="89"/>
      <c r="K757" s="90"/>
    </row>
    <row r="758">
      <c r="A758" s="88" t="str">
        <f>'Season 1 - MafiaRatings'!A:A</f>
        <v/>
      </c>
      <c r="B758" s="2"/>
      <c r="I758" s="89"/>
      <c r="J758" s="89"/>
      <c r="K758" s="90"/>
    </row>
    <row r="759">
      <c r="A759" s="88" t="str">
        <f>'Season 1 - MafiaRatings'!A:A</f>
        <v/>
      </c>
      <c r="B759" s="2"/>
      <c r="I759" s="89"/>
      <c r="J759" s="89"/>
      <c r="K759" s="90"/>
    </row>
    <row r="760">
      <c r="A760" s="88" t="str">
        <f>'Season 1 - MafiaRatings'!A:A</f>
        <v/>
      </c>
      <c r="B760" s="2"/>
      <c r="I760" s="89"/>
      <c r="J760" s="89"/>
      <c r="K760" s="90"/>
    </row>
    <row r="761">
      <c r="A761" s="88" t="str">
        <f>'Season 1 - MafiaRatings'!A:A</f>
        <v/>
      </c>
      <c r="B761" s="2"/>
      <c r="I761" s="89"/>
      <c r="J761" s="89"/>
      <c r="K761" s="90"/>
    </row>
    <row r="762">
      <c r="A762" s="88" t="str">
        <f>'Season 1 - MafiaRatings'!A:A</f>
        <v/>
      </c>
      <c r="B762" s="2"/>
      <c r="I762" s="89"/>
      <c r="J762" s="89"/>
      <c r="K762" s="90"/>
    </row>
    <row r="763">
      <c r="A763" s="88" t="str">
        <f>'Season 1 - MafiaRatings'!A:A</f>
        <v/>
      </c>
      <c r="B763" s="2"/>
      <c r="I763" s="89"/>
      <c r="J763" s="89"/>
      <c r="K763" s="90"/>
    </row>
    <row r="764">
      <c r="A764" s="88" t="str">
        <f>'Season 1 - MafiaRatings'!A:A</f>
        <v/>
      </c>
      <c r="B764" s="2"/>
      <c r="I764" s="89"/>
      <c r="J764" s="89"/>
      <c r="K764" s="90"/>
    </row>
    <row r="765">
      <c r="A765" s="88" t="str">
        <f>'Season 1 - MafiaRatings'!A:A</f>
        <v/>
      </c>
      <c r="B765" s="2"/>
      <c r="I765" s="89"/>
      <c r="J765" s="89"/>
      <c r="K765" s="90"/>
    </row>
    <row r="766">
      <c r="A766" s="88" t="str">
        <f>'Season 1 - MafiaRatings'!A:A</f>
        <v/>
      </c>
      <c r="B766" s="2"/>
      <c r="I766" s="89"/>
      <c r="J766" s="89"/>
      <c r="K766" s="90"/>
    </row>
    <row r="767">
      <c r="A767" s="88" t="str">
        <f>'Season 1 - MafiaRatings'!A:A</f>
        <v/>
      </c>
      <c r="B767" s="2"/>
      <c r="I767" s="89"/>
      <c r="J767" s="89"/>
      <c r="K767" s="90"/>
    </row>
    <row r="768">
      <c r="A768" s="88" t="str">
        <f>'Season 1 - MafiaRatings'!A:A</f>
        <v/>
      </c>
      <c r="B768" s="2"/>
      <c r="I768" s="89"/>
      <c r="J768" s="89"/>
      <c r="K768" s="90"/>
    </row>
    <row r="769">
      <c r="A769" s="88" t="str">
        <f>'Season 1 - MafiaRatings'!A:A</f>
        <v/>
      </c>
      <c r="B769" s="2"/>
      <c r="I769" s="89"/>
      <c r="J769" s="89"/>
      <c r="K769" s="90"/>
    </row>
    <row r="770">
      <c r="A770" s="88" t="str">
        <f>'Season 1 - MafiaRatings'!A:A</f>
        <v/>
      </c>
      <c r="B770" s="2"/>
      <c r="I770" s="89"/>
      <c r="J770" s="89"/>
      <c r="K770" s="90"/>
    </row>
    <row r="771">
      <c r="A771" s="88" t="str">
        <f>'Season 1 - MafiaRatings'!A:A</f>
        <v/>
      </c>
      <c r="B771" s="2"/>
      <c r="I771" s="89"/>
      <c r="J771" s="89"/>
      <c r="K771" s="90"/>
    </row>
    <row r="772">
      <c r="A772" s="88" t="str">
        <f>'Season 1 - MafiaRatings'!A:A</f>
        <v/>
      </c>
      <c r="B772" s="2"/>
      <c r="I772" s="89"/>
      <c r="J772" s="89"/>
      <c r="K772" s="90"/>
    </row>
    <row r="773">
      <c r="A773" s="88" t="str">
        <f>'Season 1 - MafiaRatings'!A:A</f>
        <v/>
      </c>
      <c r="B773" s="2"/>
      <c r="I773" s="89"/>
      <c r="J773" s="89"/>
      <c r="K773" s="90"/>
    </row>
    <row r="774">
      <c r="A774" s="88" t="str">
        <f>'Season 1 - MafiaRatings'!A:A</f>
        <v/>
      </c>
      <c r="B774" s="2"/>
      <c r="I774" s="89"/>
      <c r="J774" s="89"/>
      <c r="K774" s="90"/>
    </row>
    <row r="775">
      <c r="A775" s="88" t="str">
        <f>'Season 1 - MafiaRatings'!A:A</f>
        <v/>
      </c>
      <c r="B775" s="2"/>
      <c r="I775" s="89"/>
      <c r="J775" s="89"/>
      <c r="K775" s="90"/>
    </row>
    <row r="776">
      <c r="A776" s="88" t="str">
        <f>'Season 1 - MafiaRatings'!A:A</f>
        <v/>
      </c>
      <c r="B776" s="2"/>
      <c r="I776" s="89"/>
      <c r="J776" s="89"/>
      <c r="K776" s="90"/>
    </row>
    <row r="777">
      <c r="A777" s="88" t="str">
        <f>'Season 1 - MafiaRatings'!A:A</f>
        <v/>
      </c>
      <c r="B777" s="2"/>
      <c r="I777" s="89"/>
      <c r="J777" s="89"/>
      <c r="K777" s="90"/>
    </row>
    <row r="778">
      <c r="A778" s="88" t="str">
        <f>'Season 1 - MafiaRatings'!A:A</f>
        <v/>
      </c>
      <c r="B778" s="2"/>
      <c r="I778" s="89"/>
      <c r="J778" s="89"/>
      <c r="K778" s="90"/>
    </row>
    <row r="779">
      <c r="A779" s="88" t="str">
        <f>'Season 1 - MafiaRatings'!A:A</f>
        <v/>
      </c>
      <c r="B779" s="2"/>
      <c r="I779" s="89"/>
      <c r="J779" s="89"/>
      <c r="K779" s="90"/>
    </row>
    <row r="780">
      <c r="A780" s="88" t="str">
        <f>'Season 1 - MafiaRatings'!A:A</f>
        <v/>
      </c>
      <c r="B780" s="2"/>
      <c r="I780" s="89"/>
      <c r="J780" s="89"/>
      <c r="K780" s="90"/>
    </row>
    <row r="781">
      <c r="A781" s="88" t="str">
        <f>'Season 1 - MafiaRatings'!A:A</f>
        <v/>
      </c>
      <c r="B781" s="2"/>
      <c r="I781" s="89"/>
      <c r="J781" s="89"/>
      <c r="K781" s="90"/>
    </row>
    <row r="782">
      <c r="A782" s="88" t="str">
        <f>'Season 1 - MafiaRatings'!A:A</f>
        <v/>
      </c>
      <c r="B782" s="2"/>
      <c r="I782" s="89"/>
      <c r="J782" s="89"/>
      <c r="K782" s="90"/>
    </row>
    <row r="783">
      <c r="A783" s="88" t="str">
        <f>'Season 1 - MafiaRatings'!A:A</f>
        <v/>
      </c>
      <c r="B783" s="2"/>
      <c r="I783" s="89"/>
      <c r="J783" s="89"/>
      <c r="K783" s="90"/>
    </row>
    <row r="784">
      <c r="A784" s="88" t="str">
        <f>'Season 1 - MafiaRatings'!A:A</f>
        <v/>
      </c>
      <c r="B784" s="2"/>
      <c r="I784" s="89"/>
      <c r="J784" s="89"/>
      <c r="K784" s="90"/>
    </row>
    <row r="785">
      <c r="A785" s="88" t="str">
        <f>'Season 1 - MafiaRatings'!A:A</f>
        <v/>
      </c>
      <c r="B785" s="2"/>
      <c r="I785" s="89"/>
      <c r="J785" s="89"/>
      <c r="K785" s="90"/>
    </row>
    <row r="786">
      <c r="A786" s="88" t="str">
        <f>'Season 1 - MafiaRatings'!A:A</f>
        <v/>
      </c>
      <c r="B786" s="2"/>
      <c r="I786" s="89"/>
      <c r="J786" s="89"/>
      <c r="K786" s="90"/>
    </row>
    <row r="787">
      <c r="A787" s="88" t="str">
        <f>'Season 1 - MafiaRatings'!A:A</f>
        <v/>
      </c>
      <c r="B787" s="2"/>
      <c r="I787" s="89"/>
      <c r="J787" s="89"/>
      <c r="K787" s="90"/>
    </row>
    <row r="788">
      <c r="A788" s="88" t="str">
        <f>'Season 1 - MafiaRatings'!A:A</f>
        <v/>
      </c>
      <c r="B788" s="2"/>
      <c r="I788" s="89"/>
      <c r="J788" s="89"/>
      <c r="K788" s="90"/>
    </row>
    <row r="789">
      <c r="A789" s="88" t="str">
        <f>'Season 1 - MafiaRatings'!A:A</f>
        <v/>
      </c>
      <c r="B789" s="2"/>
      <c r="I789" s="89"/>
      <c r="J789" s="89"/>
      <c r="K789" s="90"/>
    </row>
    <row r="790">
      <c r="A790" s="88" t="str">
        <f>'Season 1 - MafiaRatings'!A:A</f>
        <v/>
      </c>
      <c r="B790" s="2"/>
      <c r="I790" s="89"/>
      <c r="J790" s="89"/>
      <c r="K790" s="90"/>
    </row>
    <row r="791">
      <c r="A791" s="88" t="str">
        <f>'Season 1 - MafiaRatings'!A:A</f>
        <v/>
      </c>
      <c r="B791" s="2"/>
      <c r="I791" s="89"/>
      <c r="J791" s="89"/>
      <c r="K791" s="90"/>
    </row>
    <row r="792">
      <c r="A792" s="88" t="str">
        <f>'Season 1 - MafiaRatings'!A:A</f>
        <v/>
      </c>
      <c r="B792" s="2"/>
      <c r="I792" s="89"/>
      <c r="J792" s="89"/>
      <c r="K792" s="90"/>
    </row>
    <row r="793">
      <c r="A793" s="88" t="str">
        <f>'Season 1 - MafiaRatings'!A:A</f>
        <v/>
      </c>
      <c r="B793" s="2"/>
      <c r="I793" s="89"/>
      <c r="J793" s="89"/>
      <c r="K793" s="90"/>
    </row>
    <row r="794">
      <c r="A794" s="88" t="str">
        <f>'Season 1 - MafiaRatings'!A:A</f>
        <v/>
      </c>
      <c r="B794" s="2"/>
      <c r="I794" s="89"/>
      <c r="J794" s="89"/>
      <c r="K794" s="90"/>
    </row>
    <row r="795">
      <c r="A795" s="88" t="str">
        <f>'Season 1 - MafiaRatings'!A:A</f>
        <v/>
      </c>
      <c r="B795" s="2"/>
      <c r="I795" s="89"/>
      <c r="J795" s="89"/>
      <c r="K795" s="90"/>
    </row>
    <row r="796">
      <c r="A796" s="88" t="str">
        <f>'Season 1 - MafiaRatings'!A:A</f>
        <v/>
      </c>
      <c r="B796" s="2"/>
      <c r="I796" s="89"/>
      <c r="J796" s="89"/>
      <c r="K796" s="90"/>
    </row>
    <row r="797">
      <c r="A797" s="88" t="str">
        <f>'Season 1 - MafiaRatings'!A:A</f>
        <v/>
      </c>
      <c r="B797" s="2"/>
      <c r="I797" s="89"/>
      <c r="J797" s="89"/>
      <c r="K797" s="90"/>
    </row>
    <row r="798">
      <c r="A798" s="88" t="str">
        <f>'Season 1 - MafiaRatings'!A:A</f>
        <v/>
      </c>
      <c r="B798" s="2"/>
      <c r="I798" s="89"/>
      <c r="J798" s="89"/>
      <c r="K798" s="90"/>
    </row>
    <row r="799">
      <c r="A799" s="88" t="str">
        <f>'Season 1 - MafiaRatings'!A:A</f>
        <v/>
      </c>
      <c r="B799" s="2"/>
      <c r="I799" s="89"/>
      <c r="J799" s="89"/>
      <c r="K799" s="90"/>
    </row>
    <row r="800">
      <c r="A800" s="88" t="str">
        <f>'Season 1 - MafiaRatings'!A:A</f>
        <v/>
      </c>
      <c r="B800" s="2"/>
      <c r="I800" s="89"/>
      <c r="J800" s="89"/>
      <c r="K800" s="90"/>
    </row>
    <row r="801">
      <c r="A801" s="88" t="str">
        <f>'Season 1 - MafiaRatings'!A:A</f>
        <v/>
      </c>
      <c r="B801" s="2"/>
      <c r="I801" s="89"/>
      <c r="J801" s="89"/>
      <c r="K801" s="90"/>
    </row>
    <row r="802">
      <c r="A802" s="88" t="str">
        <f>'Season 1 - MafiaRatings'!A:A</f>
        <v/>
      </c>
      <c r="B802" s="2"/>
      <c r="I802" s="89"/>
      <c r="J802" s="89"/>
      <c r="K802" s="90"/>
    </row>
    <row r="803">
      <c r="A803" s="88" t="str">
        <f>'Season 1 - MafiaRatings'!A:A</f>
        <v/>
      </c>
      <c r="B803" s="2"/>
      <c r="I803" s="89"/>
      <c r="J803" s="89"/>
      <c r="K803" s="90"/>
    </row>
    <row r="804">
      <c r="A804" s="88" t="str">
        <f>'Season 1 - MafiaRatings'!A:A</f>
        <v/>
      </c>
      <c r="B804" s="2"/>
      <c r="I804" s="89"/>
      <c r="J804" s="89"/>
      <c r="K804" s="90"/>
    </row>
    <row r="805">
      <c r="A805" s="88" t="str">
        <f>'Season 1 - MafiaRatings'!A:A</f>
        <v/>
      </c>
      <c r="B805" s="2"/>
      <c r="I805" s="89"/>
      <c r="J805" s="89"/>
      <c r="K805" s="90"/>
    </row>
    <row r="806">
      <c r="A806" s="88" t="str">
        <f>'Season 1 - MafiaRatings'!A:A</f>
        <v/>
      </c>
      <c r="B806" s="2"/>
      <c r="I806" s="89"/>
      <c r="J806" s="89"/>
      <c r="K806" s="90"/>
    </row>
    <row r="807">
      <c r="A807" s="88" t="str">
        <f>'Season 1 - MafiaRatings'!A:A</f>
        <v/>
      </c>
      <c r="B807" s="2"/>
      <c r="I807" s="89"/>
      <c r="J807" s="89"/>
      <c r="K807" s="90"/>
    </row>
    <row r="808">
      <c r="A808" s="88" t="str">
        <f>'Season 1 - MafiaRatings'!A:A</f>
        <v/>
      </c>
      <c r="B808" s="2"/>
      <c r="I808" s="89"/>
      <c r="J808" s="89"/>
      <c r="K808" s="90"/>
    </row>
    <row r="809">
      <c r="A809" s="88" t="str">
        <f>'Season 1 - MafiaRatings'!A:A</f>
        <v/>
      </c>
      <c r="B809" s="2"/>
      <c r="I809" s="89"/>
      <c r="J809" s="89"/>
      <c r="K809" s="90"/>
    </row>
    <row r="810">
      <c r="A810" s="88" t="str">
        <f>'Season 1 - MafiaRatings'!A:A</f>
        <v/>
      </c>
      <c r="B810" s="2"/>
      <c r="I810" s="89"/>
      <c r="J810" s="89"/>
      <c r="K810" s="90"/>
    </row>
    <row r="811">
      <c r="A811" s="88" t="str">
        <f>'Season 1 - MafiaRatings'!A:A</f>
        <v/>
      </c>
      <c r="B811" s="2"/>
      <c r="I811" s="89"/>
      <c r="J811" s="89"/>
      <c r="K811" s="90"/>
    </row>
    <row r="812">
      <c r="A812" s="88" t="str">
        <f>'Season 1 - MafiaRatings'!A:A</f>
        <v/>
      </c>
      <c r="B812" s="2"/>
      <c r="I812" s="89"/>
      <c r="J812" s="89"/>
      <c r="K812" s="90"/>
    </row>
    <row r="813">
      <c r="A813" s="88" t="str">
        <f>'Season 1 - MafiaRatings'!A:A</f>
        <v/>
      </c>
      <c r="B813" s="2"/>
      <c r="I813" s="89"/>
      <c r="J813" s="89"/>
      <c r="K813" s="90"/>
    </row>
    <row r="814">
      <c r="A814" s="88" t="str">
        <f>'Season 1 - MafiaRatings'!A:A</f>
        <v/>
      </c>
      <c r="B814" s="2"/>
      <c r="I814" s="89"/>
      <c r="J814" s="89"/>
      <c r="K814" s="90"/>
    </row>
    <row r="815">
      <c r="A815" s="88" t="str">
        <f>'Season 1 - MafiaRatings'!A:A</f>
        <v/>
      </c>
      <c r="B815" s="2"/>
      <c r="I815" s="89"/>
      <c r="J815" s="89"/>
      <c r="K815" s="90"/>
    </row>
    <row r="816">
      <c r="A816" s="88" t="str">
        <f>'Season 1 - MafiaRatings'!A:A</f>
        <v/>
      </c>
      <c r="B816" s="2"/>
      <c r="I816" s="89"/>
      <c r="J816" s="89"/>
      <c r="K816" s="90"/>
    </row>
    <row r="817">
      <c r="A817" s="88" t="str">
        <f>'Season 1 - MafiaRatings'!A:A</f>
        <v/>
      </c>
      <c r="B817" s="2"/>
      <c r="I817" s="89"/>
      <c r="J817" s="89"/>
      <c r="K817" s="90"/>
    </row>
    <row r="818">
      <c r="A818" s="88" t="str">
        <f>'Season 1 - MafiaRatings'!A:A</f>
        <v/>
      </c>
      <c r="B818" s="2"/>
      <c r="I818" s="89"/>
      <c r="J818" s="89"/>
      <c r="K818" s="90"/>
    </row>
    <row r="819">
      <c r="A819" s="88" t="str">
        <f>'Season 1 - MafiaRatings'!A:A</f>
        <v/>
      </c>
      <c r="B819" s="2"/>
      <c r="I819" s="89"/>
      <c r="J819" s="89"/>
      <c r="K819" s="90"/>
    </row>
    <row r="820">
      <c r="A820" s="88" t="str">
        <f>'Season 1 - MafiaRatings'!A:A</f>
        <v/>
      </c>
      <c r="B820" s="2"/>
      <c r="I820" s="89"/>
      <c r="J820" s="89"/>
      <c r="K820" s="90"/>
    </row>
    <row r="821">
      <c r="A821" s="88" t="str">
        <f>'Season 1 - MafiaRatings'!A:A</f>
        <v/>
      </c>
      <c r="B821" s="2"/>
      <c r="I821" s="89"/>
      <c r="J821" s="89"/>
      <c r="K821" s="90"/>
    </row>
    <row r="822">
      <c r="A822" s="88" t="str">
        <f>'Season 1 - MafiaRatings'!A:A</f>
        <v/>
      </c>
      <c r="B822" s="2"/>
      <c r="I822" s="89"/>
      <c r="J822" s="89"/>
      <c r="K822" s="90"/>
    </row>
    <row r="823">
      <c r="A823" s="88" t="str">
        <f>'Season 1 - MafiaRatings'!A:A</f>
        <v/>
      </c>
      <c r="B823" s="2"/>
      <c r="I823" s="89"/>
      <c r="J823" s="89"/>
      <c r="K823" s="90"/>
    </row>
    <row r="824">
      <c r="A824" s="88" t="str">
        <f>'Season 1 - MafiaRatings'!A:A</f>
        <v/>
      </c>
      <c r="B824" s="2"/>
      <c r="I824" s="89"/>
      <c r="J824" s="89"/>
      <c r="K824" s="90"/>
    </row>
    <row r="825">
      <c r="A825" s="88" t="str">
        <f>'Season 1 - MafiaRatings'!A:A</f>
        <v/>
      </c>
      <c r="B825" s="2"/>
      <c r="I825" s="89"/>
      <c r="J825" s="89"/>
      <c r="K825" s="90"/>
    </row>
    <row r="826">
      <c r="A826" s="88" t="str">
        <f>'Season 1 - MafiaRatings'!A:A</f>
        <v/>
      </c>
      <c r="B826" s="2"/>
      <c r="I826" s="89"/>
      <c r="J826" s="89"/>
      <c r="K826" s="90"/>
    </row>
    <row r="827">
      <c r="A827" s="88" t="str">
        <f>'Season 1 - MafiaRatings'!A:A</f>
        <v/>
      </c>
      <c r="B827" s="2"/>
      <c r="I827" s="89"/>
      <c r="J827" s="89"/>
      <c r="K827" s="90"/>
    </row>
    <row r="828">
      <c r="A828" s="88" t="str">
        <f>'Season 1 - MafiaRatings'!A:A</f>
        <v/>
      </c>
      <c r="B828" s="2"/>
      <c r="I828" s="89"/>
      <c r="J828" s="89"/>
      <c r="K828" s="90"/>
    </row>
    <row r="829">
      <c r="A829" s="88" t="str">
        <f>'Season 1 - MafiaRatings'!A:A</f>
        <v/>
      </c>
      <c r="B829" s="2"/>
      <c r="I829" s="89"/>
      <c r="J829" s="89"/>
      <c r="K829" s="90"/>
    </row>
    <row r="830">
      <c r="A830" s="88" t="str">
        <f>'Season 1 - MafiaRatings'!A:A</f>
        <v/>
      </c>
      <c r="B830" s="2"/>
      <c r="I830" s="89"/>
      <c r="J830" s="89"/>
      <c r="K830" s="90"/>
    </row>
    <row r="831">
      <c r="A831" s="88" t="str">
        <f>'Season 1 - MafiaRatings'!A:A</f>
        <v/>
      </c>
      <c r="B831" s="2"/>
      <c r="I831" s="89"/>
      <c r="J831" s="89"/>
      <c r="K831" s="90"/>
    </row>
    <row r="832">
      <c r="A832" s="88" t="str">
        <f>'Season 1 - MafiaRatings'!A:A</f>
        <v/>
      </c>
      <c r="B832" s="2"/>
      <c r="I832" s="89"/>
      <c r="J832" s="89"/>
      <c r="K832" s="90"/>
    </row>
    <row r="833">
      <c r="A833" s="88" t="str">
        <f>'Season 1 - MafiaRatings'!A:A</f>
        <v/>
      </c>
      <c r="B833" s="2"/>
      <c r="I833" s="89"/>
      <c r="J833" s="89"/>
      <c r="K833" s="90"/>
    </row>
    <row r="834">
      <c r="A834" s="88" t="str">
        <f>'Season 1 - MafiaRatings'!A:A</f>
        <v/>
      </c>
      <c r="B834" s="2"/>
      <c r="I834" s="89"/>
      <c r="J834" s="89"/>
      <c r="K834" s="90"/>
    </row>
    <row r="835">
      <c r="A835" s="88" t="str">
        <f>'Season 1 - MafiaRatings'!A:A</f>
        <v/>
      </c>
      <c r="B835" s="2"/>
      <c r="I835" s="89"/>
      <c r="J835" s="89"/>
      <c r="K835" s="90"/>
    </row>
    <row r="836">
      <c r="A836" s="88" t="str">
        <f>'Season 1 - MafiaRatings'!A:A</f>
        <v/>
      </c>
      <c r="B836" s="2"/>
      <c r="I836" s="89"/>
      <c r="J836" s="89"/>
      <c r="K836" s="90"/>
    </row>
    <row r="837">
      <c r="A837" s="88" t="str">
        <f>'Season 1 - MafiaRatings'!A:A</f>
        <v/>
      </c>
      <c r="B837" s="2"/>
      <c r="I837" s="89"/>
      <c r="J837" s="89"/>
      <c r="K837" s="90"/>
    </row>
    <row r="838">
      <c r="A838" s="88" t="str">
        <f>'Season 1 - MafiaRatings'!A:A</f>
        <v/>
      </c>
      <c r="B838" s="2"/>
      <c r="I838" s="89"/>
      <c r="J838" s="89"/>
      <c r="K838" s="90"/>
    </row>
    <row r="839">
      <c r="A839" s="88" t="str">
        <f>'Season 1 - MafiaRatings'!A:A</f>
        <v/>
      </c>
      <c r="B839" s="2"/>
      <c r="I839" s="89"/>
      <c r="J839" s="89"/>
      <c r="K839" s="90"/>
    </row>
    <row r="840">
      <c r="A840" s="88" t="str">
        <f>'Season 1 - MafiaRatings'!A:A</f>
        <v/>
      </c>
      <c r="B840" s="2"/>
      <c r="I840" s="89"/>
      <c r="J840" s="89"/>
      <c r="K840" s="90"/>
    </row>
    <row r="841">
      <c r="A841" s="88" t="str">
        <f>'Season 1 - MafiaRatings'!A:A</f>
        <v/>
      </c>
      <c r="B841" s="2"/>
      <c r="I841" s="89"/>
      <c r="J841" s="89"/>
      <c r="K841" s="90"/>
    </row>
    <row r="842">
      <c r="A842" s="88" t="str">
        <f>'Season 1 - MafiaRatings'!A:A</f>
        <v/>
      </c>
      <c r="B842" s="2"/>
      <c r="I842" s="89"/>
      <c r="J842" s="89"/>
      <c r="K842" s="90"/>
    </row>
    <row r="843">
      <c r="A843" s="88" t="str">
        <f>'Season 1 - MafiaRatings'!A:A</f>
        <v/>
      </c>
      <c r="B843" s="2"/>
      <c r="I843" s="89"/>
      <c r="J843" s="89"/>
      <c r="K843" s="90"/>
    </row>
    <row r="844">
      <c r="A844" s="88" t="str">
        <f>'Season 1 - MafiaRatings'!A:A</f>
        <v/>
      </c>
      <c r="B844" s="2"/>
      <c r="I844" s="89"/>
      <c r="J844" s="89"/>
      <c r="K844" s="90"/>
    </row>
    <row r="845">
      <c r="A845" s="88" t="str">
        <f>'Season 1 - MafiaRatings'!A:A</f>
        <v/>
      </c>
      <c r="B845" s="2"/>
      <c r="I845" s="89"/>
      <c r="J845" s="89"/>
      <c r="K845" s="90"/>
    </row>
    <row r="846">
      <c r="A846" s="88" t="str">
        <f>'Season 1 - MafiaRatings'!A:A</f>
        <v/>
      </c>
      <c r="B846" s="2"/>
      <c r="I846" s="89"/>
      <c r="J846" s="89"/>
      <c r="K846" s="90"/>
    </row>
    <row r="847">
      <c r="A847" s="88" t="str">
        <f>'Season 1 - MafiaRatings'!A:A</f>
        <v/>
      </c>
      <c r="B847" s="2"/>
      <c r="I847" s="89"/>
      <c r="J847" s="89"/>
      <c r="K847" s="90"/>
    </row>
    <row r="848">
      <c r="A848" s="88" t="str">
        <f>'Season 1 - MafiaRatings'!A:A</f>
        <v/>
      </c>
      <c r="B848" s="2"/>
      <c r="I848" s="89"/>
      <c r="J848" s="89"/>
      <c r="K848" s="90"/>
    </row>
    <row r="849">
      <c r="A849" s="88" t="str">
        <f>'Season 1 - MafiaRatings'!A:A</f>
        <v/>
      </c>
      <c r="B849" s="2"/>
      <c r="I849" s="89"/>
      <c r="J849" s="89"/>
      <c r="K849" s="90"/>
    </row>
    <row r="850">
      <c r="A850" s="88" t="str">
        <f>'Season 1 - MafiaRatings'!A:A</f>
        <v/>
      </c>
      <c r="B850" s="2"/>
      <c r="I850" s="89"/>
      <c r="J850" s="89"/>
      <c r="K850" s="90"/>
    </row>
    <row r="851">
      <c r="A851" s="88" t="str">
        <f>'Season 1 - MafiaRatings'!A:A</f>
        <v/>
      </c>
      <c r="B851" s="2"/>
      <c r="I851" s="89"/>
      <c r="J851" s="89"/>
      <c r="K851" s="90"/>
    </row>
    <row r="852">
      <c r="A852" s="88" t="str">
        <f>'Season 1 - MafiaRatings'!A:A</f>
        <v/>
      </c>
      <c r="B852" s="2"/>
      <c r="I852" s="89"/>
      <c r="J852" s="89"/>
      <c r="K852" s="90"/>
    </row>
    <row r="853">
      <c r="A853" s="88" t="str">
        <f>'Season 1 - MafiaRatings'!A:A</f>
        <v/>
      </c>
      <c r="B853" s="2"/>
      <c r="I853" s="89"/>
      <c r="J853" s="89"/>
      <c r="K853" s="90"/>
    </row>
    <row r="854">
      <c r="A854" s="88" t="str">
        <f>'Season 1 - MafiaRatings'!A:A</f>
        <v/>
      </c>
      <c r="B854" s="2"/>
      <c r="I854" s="89"/>
      <c r="J854" s="89"/>
      <c r="K854" s="90"/>
    </row>
    <row r="855">
      <c r="A855" s="88" t="str">
        <f>'Season 1 - MafiaRatings'!A:A</f>
        <v/>
      </c>
      <c r="B855" s="2"/>
      <c r="I855" s="89"/>
      <c r="J855" s="89"/>
      <c r="K855" s="90"/>
    </row>
    <row r="856">
      <c r="A856" s="88" t="str">
        <f>'Season 1 - MafiaRatings'!A:A</f>
        <v/>
      </c>
      <c r="B856" s="2"/>
      <c r="I856" s="89"/>
      <c r="J856" s="89"/>
      <c r="K856" s="90"/>
    </row>
    <row r="857">
      <c r="A857" s="88" t="str">
        <f>'Season 1 - MafiaRatings'!A:A</f>
        <v/>
      </c>
      <c r="B857" s="2"/>
      <c r="I857" s="89"/>
      <c r="J857" s="89"/>
      <c r="K857" s="90"/>
    </row>
    <row r="858">
      <c r="A858" s="88" t="str">
        <f>'Season 1 - MafiaRatings'!A:A</f>
        <v/>
      </c>
      <c r="B858" s="2"/>
      <c r="I858" s="89"/>
      <c r="J858" s="89"/>
      <c r="K858" s="90"/>
    </row>
    <row r="859">
      <c r="A859" s="88" t="str">
        <f>'Season 1 - MafiaRatings'!A:A</f>
        <v/>
      </c>
      <c r="B859" s="2"/>
      <c r="I859" s="89"/>
      <c r="J859" s="89"/>
      <c r="K859" s="90"/>
    </row>
    <row r="860">
      <c r="A860" s="88" t="str">
        <f>'Season 1 - MafiaRatings'!A:A</f>
        <v/>
      </c>
      <c r="B860" s="2"/>
      <c r="I860" s="89"/>
      <c r="J860" s="89"/>
      <c r="K860" s="90"/>
    </row>
    <row r="861">
      <c r="A861" s="88" t="str">
        <f>'Season 1 - MafiaRatings'!A:A</f>
        <v/>
      </c>
      <c r="B861" s="2"/>
      <c r="I861" s="89"/>
      <c r="J861" s="89"/>
      <c r="K861" s="90"/>
    </row>
    <row r="862">
      <c r="A862" s="88" t="str">
        <f>'Season 1 - MafiaRatings'!A:A</f>
        <v/>
      </c>
      <c r="B862" s="2"/>
      <c r="I862" s="89"/>
      <c r="J862" s="89"/>
      <c r="K862" s="90"/>
    </row>
    <row r="863">
      <c r="A863" s="88" t="str">
        <f>'Season 1 - MafiaRatings'!A:A</f>
        <v/>
      </c>
      <c r="B863" s="2"/>
      <c r="I863" s="89"/>
      <c r="J863" s="89"/>
      <c r="K863" s="90"/>
    </row>
    <row r="864">
      <c r="A864" s="88" t="str">
        <f>'Season 1 - MafiaRatings'!A:A</f>
        <v/>
      </c>
      <c r="B864" s="2"/>
      <c r="I864" s="89"/>
      <c r="J864" s="89"/>
      <c r="K864" s="90"/>
    </row>
    <row r="865">
      <c r="A865" s="88" t="str">
        <f>'Season 1 - MafiaRatings'!A:A</f>
        <v/>
      </c>
      <c r="B865" s="2"/>
      <c r="I865" s="89"/>
      <c r="J865" s="89"/>
      <c r="K865" s="90"/>
    </row>
    <row r="866">
      <c r="A866" s="88" t="str">
        <f>'Season 1 - MafiaRatings'!A:A</f>
        <v/>
      </c>
      <c r="B866" s="2"/>
      <c r="I866" s="89"/>
      <c r="J866" s="89"/>
      <c r="K866" s="90"/>
    </row>
    <row r="867">
      <c r="A867" s="88" t="str">
        <f>'Season 1 - MafiaRatings'!A:A</f>
        <v/>
      </c>
      <c r="B867" s="2"/>
      <c r="I867" s="89"/>
      <c r="J867" s="89"/>
      <c r="K867" s="90"/>
    </row>
    <row r="868">
      <c r="A868" s="88" t="str">
        <f>'Season 1 - MafiaRatings'!A:A</f>
        <v/>
      </c>
      <c r="B868" s="2"/>
      <c r="I868" s="89"/>
      <c r="J868" s="89"/>
      <c r="K868" s="90"/>
    </row>
    <row r="869">
      <c r="A869" s="88" t="str">
        <f>'Season 1 - MafiaRatings'!A:A</f>
        <v/>
      </c>
      <c r="B869" s="2"/>
      <c r="I869" s="89"/>
      <c r="J869" s="89"/>
      <c r="K869" s="90"/>
    </row>
    <row r="870">
      <c r="A870" s="88" t="str">
        <f>'Season 1 - MafiaRatings'!A:A</f>
        <v/>
      </c>
      <c r="B870" s="2"/>
      <c r="I870" s="89"/>
      <c r="J870" s="89"/>
      <c r="K870" s="90"/>
    </row>
    <row r="871">
      <c r="A871" s="88" t="str">
        <f>'Season 1 - MafiaRatings'!A:A</f>
        <v/>
      </c>
      <c r="B871" s="2"/>
      <c r="I871" s="89"/>
      <c r="J871" s="89"/>
      <c r="K871" s="90"/>
    </row>
    <row r="872">
      <c r="A872" s="88" t="str">
        <f>'Season 1 - MafiaRatings'!A:A</f>
        <v/>
      </c>
      <c r="B872" s="2"/>
      <c r="I872" s="89"/>
      <c r="J872" s="89"/>
      <c r="K872" s="90"/>
    </row>
    <row r="873">
      <c r="A873" s="88" t="str">
        <f>'Season 1 - MafiaRatings'!A:A</f>
        <v/>
      </c>
      <c r="B873" s="2"/>
      <c r="I873" s="89"/>
      <c r="J873" s="89"/>
      <c r="K873" s="90"/>
    </row>
    <row r="874">
      <c r="A874" s="88" t="str">
        <f>'Season 1 - MafiaRatings'!A:A</f>
        <v/>
      </c>
      <c r="B874" s="2"/>
      <c r="I874" s="89"/>
      <c r="J874" s="89"/>
      <c r="K874" s="90"/>
    </row>
    <row r="875">
      <c r="A875" s="88" t="str">
        <f>'Season 1 - MafiaRatings'!A:A</f>
        <v/>
      </c>
      <c r="B875" s="2"/>
      <c r="I875" s="89"/>
      <c r="J875" s="89"/>
      <c r="K875" s="90"/>
    </row>
    <row r="876">
      <c r="A876" s="88" t="str">
        <f>'Season 1 - MafiaRatings'!A:A</f>
        <v/>
      </c>
      <c r="B876" s="2"/>
      <c r="I876" s="89"/>
      <c r="J876" s="89"/>
      <c r="K876" s="90"/>
    </row>
    <row r="877">
      <c r="A877" s="88" t="str">
        <f>'Season 1 - MafiaRatings'!A:A</f>
        <v/>
      </c>
      <c r="B877" s="2"/>
      <c r="I877" s="89"/>
      <c r="J877" s="89"/>
      <c r="K877" s="90"/>
    </row>
    <row r="878">
      <c r="A878" s="88" t="str">
        <f>'Season 1 - MafiaRatings'!A:A</f>
        <v/>
      </c>
      <c r="B878" s="2"/>
      <c r="I878" s="89"/>
      <c r="J878" s="89"/>
      <c r="K878" s="90"/>
    </row>
    <row r="879">
      <c r="A879" s="88" t="str">
        <f>'Season 1 - MafiaRatings'!A:A</f>
        <v/>
      </c>
      <c r="B879" s="2"/>
      <c r="I879" s="89"/>
      <c r="J879" s="89"/>
      <c r="K879" s="90"/>
    </row>
    <row r="880">
      <c r="A880" s="88" t="str">
        <f>'Season 1 - MafiaRatings'!A:A</f>
        <v/>
      </c>
      <c r="B880" s="2"/>
      <c r="I880" s="89"/>
      <c r="J880" s="89"/>
      <c r="K880" s="90"/>
    </row>
    <row r="881">
      <c r="A881" s="88" t="str">
        <f>'Season 1 - MafiaRatings'!A:A</f>
        <v/>
      </c>
      <c r="B881" s="2"/>
      <c r="I881" s="89"/>
      <c r="J881" s="89"/>
      <c r="K881" s="90"/>
    </row>
    <row r="882">
      <c r="A882" s="88" t="str">
        <f>'Season 1 - MafiaRatings'!A:A</f>
        <v/>
      </c>
      <c r="B882" s="2"/>
      <c r="I882" s="89"/>
      <c r="J882" s="89"/>
      <c r="K882" s="90"/>
    </row>
    <row r="883">
      <c r="A883" s="88" t="str">
        <f>'Season 1 - MafiaRatings'!A:A</f>
        <v/>
      </c>
      <c r="B883" s="2"/>
      <c r="I883" s="89"/>
      <c r="J883" s="89"/>
      <c r="K883" s="90"/>
    </row>
    <row r="884">
      <c r="A884" s="88" t="str">
        <f>'Season 1 - MafiaRatings'!A:A</f>
        <v/>
      </c>
      <c r="B884" s="2"/>
      <c r="I884" s="89"/>
      <c r="J884" s="89"/>
      <c r="K884" s="90"/>
    </row>
    <row r="885">
      <c r="A885" s="88" t="str">
        <f>'Season 1 - MafiaRatings'!A:A</f>
        <v/>
      </c>
      <c r="B885" s="2"/>
      <c r="I885" s="89"/>
      <c r="J885" s="89"/>
      <c r="K885" s="90"/>
    </row>
    <row r="886">
      <c r="A886" s="88" t="str">
        <f>'Season 1 - MafiaRatings'!A:A</f>
        <v/>
      </c>
      <c r="B886" s="2"/>
      <c r="I886" s="89"/>
      <c r="J886" s="89"/>
      <c r="K886" s="90"/>
    </row>
    <row r="887">
      <c r="A887" s="88" t="str">
        <f>'Season 1 - MafiaRatings'!A:A</f>
        <v/>
      </c>
      <c r="B887" s="2"/>
      <c r="I887" s="89"/>
      <c r="J887" s="89"/>
      <c r="K887" s="90"/>
    </row>
    <row r="888">
      <c r="A888" s="88" t="str">
        <f>'Season 1 - MafiaRatings'!A:A</f>
        <v/>
      </c>
      <c r="B888" s="2"/>
      <c r="I888" s="89"/>
      <c r="J888" s="89"/>
      <c r="K888" s="90"/>
    </row>
    <row r="889">
      <c r="A889" s="88" t="str">
        <f>'Season 1 - MafiaRatings'!A:A</f>
        <v/>
      </c>
      <c r="B889" s="2"/>
      <c r="I889" s="89"/>
      <c r="J889" s="89"/>
      <c r="K889" s="90"/>
    </row>
    <row r="890">
      <c r="A890" s="88" t="str">
        <f>'Season 1 - MafiaRatings'!A:A</f>
        <v/>
      </c>
      <c r="B890" s="2"/>
      <c r="I890" s="89"/>
      <c r="J890" s="89"/>
      <c r="K890" s="90"/>
    </row>
    <row r="891">
      <c r="A891" s="88" t="str">
        <f>'Season 1 - MafiaRatings'!A:A</f>
        <v/>
      </c>
      <c r="B891" s="2"/>
      <c r="I891" s="89"/>
      <c r="J891" s="89"/>
      <c r="K891" s="90"/>
    </row>
    <row r="892">
      <c r="A892" s="88" t="str">
        <f>'Season 1 - MafiaRatings'!A:A</f>
        <v/>
      </c>
      <c r="B892" s="2"/>
      <c r="I892" s="89"/>
      <c r="J892" s="89"/>
      <c r="K892" s="90"/>
    </row>
    <row r="893">
      <c r="A893" s="88" t="str">
        <f>'Season 1 - MafiaRatings'!A:A</f>
        <v/>
      </c>
      <c r="B893" s="2"/>
      <c r="I893" s="89"/>
      <c r="J893" s="89"/>
      <c r="K893" s="90"/>
    </row>
    <row r="894">
      <c r="A894" s="88" t="str">
        <f>'Season 1 - MafiaRatings'!A:A</f>
        <v/>
      </c>
      <c r="B894" s="2"/>
      <c r="I894" s="89"/>
      <c r="J894" s="89"/>
      <c r="K894" s="90"/>
    </row>
    <row r="895">
      <c r="A895" s="88" t="str">
        <f>'Season 1 - MafiaRatings'!A:A</f>
        <v/>
      </c>
      <c r="B895" s="2"/>
      <c r="I895" s="89"/>
      <c r="J895" s="89"/>
      <c r="K895" s="90"/>
    </row>
    <row r="896">
      <c r="A896" s="88" t="str">
        <f>'Season 1 - MafiaRatings'!A:A</f>
        <v/>
      </c>
      <c r="B896" s="2"/>
      <c r="I896" s="89"/>
      <c r="J896" s="89"/>
      <c r="K896" s="90"/>
    </row>
    <row r="897">
      <c r="A897" s="88" t="str">
        <f>'Season 1 - MafiaRatings'!A:A</f>
        <v/>
      </c>
      <c r="B897" s="2"/>
      <c r="I897" s="89"/>
      <c r="J897" s="89"/>
      <c r="K897" s="90"/>
    </row>
    <row r="898">
      <c r="A898" s="88" t="str">
        <f>'Season 1 - MafiaRatings'!A:A</f>
        <v/>
      </c>
      <c r="B898" s="2"/>
      <c r="I898" s="89"/>
      <c r="J898" s="89"/>
      <c r="K898" s="90"/>
    </row>
    <row r="899">
      <c r="A899" s="88" t="str">
        <f>'Season 1 - MafiaRatings'!A:A</f>
        <v/>
      </c>
      <c r="B899" s="2"/>
      <c r="I899" s="89"/>
      <c r="J899" s="89"/>
      <c r="K899" s="90"/>
    </row>
    <row r="900">
      <c r="A900" s="88" t="str">
        <f>'Season 1 - MafiaRatings'!A:A</f>
        <v/>
      </c>
      <c r="B900" s="2"/>
      <c r="I900" s="89"/>
      <c r="J900" s="89"/>
      <c r="K900" s="90"/>
    </row>
    <row r="901">
      <c r="A901" s="88" t="str">
        <f>'Season 1 - MafiaRatings'!A:A</f>
        <v/>
      </c>
      <c r="B901" s="2"/>
      <c r="I901" s="89"/>
      <c r="J901" s="89"/>
      <c r="K901" s="90"/>
    </row>
    <row r="902">
      <c r="A902" s="88" t="str">
        <f>'Season 1 - MafiaRatings'!A:A</f>
        <v/>
      </c>
      <c r="B902" s="2"/>
      <c r="I902" s="89"/>
      <c r="J902" s="89"/>
      <c r="K902" s="90"/>
    </row>
    <row r="903">
      <c r="A903" s="88" t="str">
        <f>'Season 1 - MafiaRatings'!A:A</f>
        <v/>
      </c>
      <c r="B903" s="2"/>
      <c r="I903" s="89"/>
      <c r="J903" s="89"/>
      <c r="K903" s="90"/>
    </row>
    <row r="904">
      <c r="A904" s="88" t="str">
        <f>'Season 1 - MafiaRatings'!A:A</f>
        <v/>
      </c>
      <c r="B904" s="2"/>
      <c r="I904" s="89"/>
      <c r="J904" s="89"/>
      <c r="K904" s="90"/>
    </row>
    <row r="905">
      <c r="A905" s="88" t="str">
        <f>'Season 1 - MafiaRatings'!A:A</f>
        <v/>
      </c>
      <c r="B905" s="2"/>
      <c r="I905" s="89"/>
      <c r="J905" s="89"/>
      <c r="K905" s="90"/>
    </row>
    <row r="906">
      <c r="A906" s="88" t="str">
        <f>'Season 1 - MafiaRatings'!A:A</f>
        <v/>
      </c>
      <c r="B906" s="2"/>
      <c r="I906" s="89"/>
      <c r="J906" s="89"/>
      <c r="K906" s="90"/>
    </row>
    <row r="907">
      <c r="A907" s="88" t="str">
        <f>'Season 1 - MafiaRatings'!A:A</f>
        <v/>
      </c>
      <c r="B907" s="2"/>
      <c r="I907" s="89"/>
      <c r="J907" s="89"/>
      <c r="K907" s="90"/>
    </row>
    <row r="908">
      <c r="A908" s="88" t="str">
        <f>'Season 1 - MafiaRatings'!A:A</f>
        <v/>
      </c>
      <c r="B908" s="2"/>
      <c r="I908" s="89"/>
      <c r="J908" s="89"/>
      <c r="K908" s="90"/>
    </row>
    <row r="909">
      <c r="A909" s="88" t="str">
        <f>'Season 1 - MafiaRatings'!A:A</f>
        <v/>
      </c>
      <c r="B909" s="2"/>
      <c r="I909" s="89"/>
      <c r="J909" s="89"/>
      <c r="K909" s="90"/>
    </row>
    <row r="910">
      <c r="A910" s="88" t="str">
        <f>'Season 1 - MafiaRatings'!A:A</f>
        <v/>
      </c>
      <c r="B910" s="2"/>
      <c r="I910" s="89"/>
      <c r="J910" s="89"/>
      <c r="K910" s="90"/>
    </row>
    <row r="911">
      <c r="A911" s="88" t="str">
        <f>'Season 1 - MafiaRatings'!A:A</f>
        <v/>
      </c>
      <c r="B911" s="2"/>
      <c r="I911" s="89"/>
      <c r="J911" s="89"/>
      <c r="K911" s="90"/>
    </row>
    <row r="912">
      <c r="A912" s="88" t="str">
        <f>'Season 1 - MafiaRatings'!A:A</f>
        <v/>
      </c>
      <c r="B912" s="2"/>
      <c r="I912" s="89"/>
      <c r="J912" s="89"/>
      <c r="K912" s="90"/>
    </row>
    <row r="913">
      <c r="A913" s="88" t="str">
        <f>'Season 1 - MafiaRatings'!A:A</f>
        <v/>
      </c>
      <c r="B913" s="2"/>
      <c r="I913" s="89"/>
      <c r="J913" s="89"/>
      <c r="K913" s="90"/>
    </row>
    <row r="914">
      <c r="A914" s="88" t="str">
        <f>'Season 1 - MafiaRatings'!A:A</f>
        <v/>
      </c>
      <c r="B914" s="2"/>
      <c r="I914" s="89"/>
      <c r="J914" s="89"/>
      <c r="K914" s="90"/>
    </row>
    <row r="915">
      <c r="A915" s="88" t="str">
        <f>'Season 1 - MafiaRatings'!A:A</f>
        <v/>
      </c>
      <c r="B915" s="2"/>
      <c r="I915" s="89"/>
      <c r="J915" s="89"/>
      <c r="K915" s="90"/>
    </row>
    <row r="916">
      <c r="A916" s="88" t="str">
        <f>'Season 1 - MafiaRatings'!A:A</f>
        <v/>
      </c>
      <c r="B916" s="2"/>
      <c r="I916" s="89"/>
      <c r="J916" s="89"/>
      <c r="K916" s="90"/>
    </row>
    <row r="917">
      <c r="A917" s="88" t="str">
        <f>'Season 1 - MafiaRatings'!A:A</f>
        <v/>
      </c>
      <c r="B917" s="2"/>
      <c r="I917" s="89"/>
      <c r="J917" s="89"/>
      <c r="K917" s="90"/>
    </row>
    <row r="918">
      <c r="A918" s="88" t="str">
        <f>'Season 1 - MafiaRatings'!A:A</f>
        <v/>
      </c>
      <c r="B918" s="2"/>
      <c r="I918" s="89"/>
      <c r="J918" s="89"/>
      <c r="K918" s="90"/>
    </row>
    <row r="919">
      <c r="A919" s="88" t="str">
        <f>'Season 1 - MafiaRatings'!A:A</f>
        <v/>
      </c>
      <c r="B919" s="2"/>
      <c r="I919" s="89"/>
      <c r="J919" s="89"/>
      <c r="K919" s="90"/>
    </row>
    <row r="920">
      <c r="A920" s="88" t="str">
        <f>'Season 1 - MafiaRatings'!A:A</f>
        <v/>
      </c>
      <c r="B920" s="2"/>
      <c r="I920" s="89"/>
      <c r="J920" s="89"/>
      <c r="K920" s="90"/>
    </row>
    <row r="921">
      <c r="A921" s="88" t="str">
        <f>'Season 1 - MafiaRatings'!A:A</f>
        <v/>
      </c>
      <c r="B921" s="2"/>
      <c r="I921" s="89"/>
      <c r="J921" s="89"/>
      <c r="K921" s="90"/>
    </row>
    <row r="922">
      <c r="A922" s="88" t="str">
        <f>'Season 1 - MafiaRatings'!A:A</f>
        <v/>
      </c>
      <c r="B922" s="2"/>
      <c r="I922" s="89"/>
      <c r="J922" s="89"/>
      <c r="K922" s="90"/>
    </row>
    <row r="923">
      <c r="A923" s="88" t="str">
        <f>'Season 1 - MafiaRatings'!A:A</f>
        <v/>
      </c>
      <c r="B923" s="2"/>
      <c r="I923" s="89"/>
      <c r="J923" s="89"/>
      <c r="K923" s="90"/>
    </row>
    <row r="924">
      <c r="A924" s="88" t="str">
        <f>'Season 1 - MafiaRatings'!A:A</f>
        <v/>
      </c>
      <c r="B924" s="2"/>
      <c r="I924" s="89"/>
      <c r="J924" s="89"/>
      <c r="K924" s="90"/>
    </row>
    <row r="925">
      <c r="A925" s="88" t="str">
        <f>'Season 1 - MafiaRatings'!A:A</f>
        <v/>
      </c>
      <c r="B925" s="2"/>
      <c r="I925" s="89"/>
      <c r="J925" s="89"/>
      <c r="K925" s="90"/>
    </row>
    <row r="926">
      <c r="A926" s="88" t="str">
        <f>'Season 1 - MafiaRatings'!A:A</f>
        <v/>
      </c>
      <c r="B926" s="2"/>
      <c r="I926" s="89"/>
      <c r="J926" s="89"/>
      <c r="K926" s="90"/>
    </row>
    <row r="927">
      <c r="A927" s="88" t="str">
        <f>'Season 1 - MafiaRatings'!A:A</f>
        <v/>
      </c>
      <c r="B927" s="2"/>
      <c r="I927" s="89"/>
      <c r="J927" s="89"/>
      <c r="K927" s="90"/>
    </row>
    <row r="928">
      <c r="A928" s="88" t="str">
        <f>'Season 1 - MafiaRatings'!A:A</f>
        <v/>
      </c>
      <c r="B928" s="2"/>
      <c r="I928" s="89"/>
      <c r="J928" s="89"/>
      <c r="K928" s="90"/>
    </row>
    <row r="929">
      <c r="A929" s="88" t="str">
        <f>'Season 1 - MafiaRatings'!A:A</f>
        <v/>
      </c>
      <c r="B929" s="2"/>
      <c r="I929" s="89"/>
      <c r="J929" s="89"/>
      <c r="K929" s="90"/>
    </row>
    <row r="930">
      <c r="A930" s="88" t="str">
        <f>'Season 1 - MafiaRatings'!A:A</f>
        <v/>
      </c>
      <c r="B930" s="2"/>
      <c r="I930" s="89"/>
      <c r="J930" s="89"/>
      <c r="K930" s="90"/>
    </row>
    <row r="931">
      <c r="A931" s="88" t="str">
        <f>'Season 1 - MafiaRatings'!A:A</f>
        <v/>
      </c>
      <c r="B931" s="2"/>
      <c r="I931" s="89"/>
      <c r="J931" s="89"/>
      <c r="K931" s="90"/>
    </row>
    <row r="932">
      <c r="A932" s="88" t="str">
        <f>'Season 1 - MafiaRatings'!A:A</f>
        <v/>
      </c>
      <c r="B932" s="2"/>
      <c r="I932" s="89"/>
      <c r="J932" s="89"/>
      <c r="K932" s="90"/>
    </row>
    <row r="933">
      <c r="A933" s="88" t="str">
        <f>'Season 1 - MafiaRatings'!A:A</f>
        <v/>
      </c>
      <c r="B933" s="2"/>
      <c r="I933" s="89"/>
      <c r="J933" s="89"/>
      <c r="K933" s="90"/>
    </row>
    <row r="934">
      <c r="A934" s="88" t="str">
        <f>'Season 1 - MafiaRatings'!A:A</f>
        <v/>
      </c>
      <c r="B934" s="2"/>
      <c r="I934" s="89"/>
      <c r="J934" s="89"/>
      <c r="K934" s="90"/>
    </row>
    <row r="935">
      <c r="A935" s="88" t="str">
        <f>'Season 1 - MafiaRatings'!A:A</f>
        <v/>
      </c>
      <c r="B935" s="2"/>
      <c r="I935" s="89"/>
      <c r="J935" s="89"/>
      <c r="K935" s="90"/>
    </row>
    <row r="936">
      <c r="A936" s="88" t="str">
        <f>'Season 1 - MafiaRatings'!A:A</f>
        <v/>
      </c>
      <c r="B936" s="2"/>
      <c r="I936" s="89"/>
      <c r="J936" s="89"/>
      <c r="K936" s="90"/>
    </row>
    <row r="937">
      <c r="A937" s="88" t="str">
        <f>'Season 1 - MafiaRatings'!A:A</f>
        <v/>
      </c>
      <c r="B937" s="2"/>
      <c r="I937" s="89"/>
      <c r="J937" s="89"/>
      <c r="K937" s="90"/>
    </row>
    <row r="938">
      <c r="A938" s="88" t="str">
        <f>'Season 1 - MafiaRatings'!A:A</f>
        <v/>
      </c>
      <c r="B938" s="2"/>
      <c r="I938" s="89"/>
      <c r="J938" s="89"/>
      <c r="K938" s="90"/>
    </row>
    <row r="939">
      <c r="A939" s="88" t="str">
        <f>'Season 1 - MafiaRatings'!A:A</f>
        <v/>
      </c>
      <c r="B939" s="2"/>
      <c r="I939" s="89"/>
      <c r="J939" s="89"/>
      <c r="K939" s="90"/>
    </row>
    <row r="940">
      <c r="A940" s="88" t="str">
        <f>'Season 1 - MafiaRatings'!A:A</f>
        <v/>
      </c>
      <c r="B940" s="2"/>
      <c r="I940" s="89"/>
      <c r="J940" s="89"/>
      <c r="K940" s="90"/>
    </row>
    <row r="941">
      <c r="A941" s="88" t="str">
        <f>'Season 1 - MafiaRatings'!A:A</f>
        <v/>
      </c>
      <c r="B941" s="2"/>
      <c r="I941" s="89"/>
      <c r="J941" s="89"/>
      <c r="K941" s="90"/>
    </row>
    <row r="942">
      <c r="A942" s="88" t="str">
        <f>'Season 1 - MafiaRatings'!A:A</f>
        <v/>
      </c>
      <c r="B942" s="2"/>
      <c r="I942" s="89"/>
      <c r="J942" s="89"/>
      <c r="K942" s="90"/>
    </row>
    <row r="943">
      <c r="A943" s="88" t="str">
        <f>'Season 1 - MafiaRatings'!A:A</f>
        <v/>
      </c>
      <c r="B943" s="2"/>
      <c r="I943" s="89"/>
      <c r="J943" s="89"/>
      <c r="K943" s="90"/>
    </row>
    <row r="944">
      <c r="A944" s="88" t="str">
        <f>'Season 1 - MafiaRatings'!A:A</f>
        <v/>
      </c>
      <c r="B944" s="2"/>
      <c r="I944" s="89"/>
      <c r="J944" s="89"/>
      <c r="K944" s="90"/>
    </row>
    <row r="945">
      <c r="A945" s="88" t="str">
        <f>'Season 1 - MafiaRatings'!A:A</f>
        <v/>
      </c>
      <c r="B945" s="2"/>
      <c r="I945" s="89"/>
      <c r="J945" s="89"/>
      <c r="K945" s="90"/>
    </row>
    <row r="946">
      <c r="A946" s="88" t="str">
        <f>'Season 1 - MafiaRatings'!A:A</f>
        <v/>
      </c>
      <c r="B946" s="2"/>
      <c r="I946" s="89"/>
      <c r="J946" s="89"/>
      <c r="K946" s="90"/>
    </row>
    <row r="947">
      <c r="A947" s="88" t="str">
        <f>'Season 1 - MafiaRatings'!A:A</f>
        <v/>
      </c>
      <c r="B947" s="2"/>
      <c r="I947" s="89"/>
      <c r="J947" s="89"/>
      <c r="K947" s="90"/>
    </row>
    <row r="948">
      <c r="A948" s="88" t="str">
        <f>'Season 1 - MafiaRatings'!A:A</f>
        <v/>
      </c>
      <c r="B948" s="2"/>
      <c r="I948" s="89"/>
      <c r="J948" s="89"/>
      <c r="K948" s="90"/>
    </row>
    <row r="949">
      <c r="A949" s="88" t="str">
        <f>'Season 1 - MafiaRatings'!A:A</f>
        <v/>
      </c>
      <c r="B949" s="2"/>
      <c r="I949" s="89"/>
      <c r="J949" s="89"/>
      <c r="K949" s="90"/>
    </row>
    <row r="950">
      <c r="A950" s="88" t="str">
        <f>'Season 1 - MafiaRatings'!A:A</f>
        <v/>
      </c>
      <c r="B950" s="2"/>
      <c r="I950" s="89"/>
      <c r="J950" s="89"/>
      <c r="K950" s="90"/>
    </row>
    <row r="951">
      <c r="A951" s="88" t="str">
        <f>'Season 1 - MafiaRatings'!A:A</f>
        <v/>
      </c>
      <c r="B951" s="2"/>
      <c r="I951" s="89"/>
      <c r="J951" s="89"/>
      <c r="K951" s="90"/>
    </row>
    <row r="952">
      <c r="A952" s="88" t="str">
        <f>'Season 1 - MafiaRatings'!A:A</f>
        <v/>
      </c>
      <c r="B952" s="2"/>
      <c r="I952" s="89"/>
      <c r="J952" s="89"/>
      <c r="K952" s="90"/>
    </row>
    <row r="953">
      <c r="A953" s="88" t="str">
        <f>'Season 1 - MafiaRatings'!A:A</f>
        <v/>
      </c>
      <c r="B953" s="2"/>
      <c r="I953" s="89"/>
      <c r="J953" s="89"/>
      <c r="K953" s="90"/>
    </row>
    <row r="954">
      <c r="A954" s="88" t="str">
        <f>'Season 1 - MafiaRatings'!A:A</f>
        <v/>
      </c>
      <c r="B954" s="2"/>
      <c r="I954" s="89"/>
      <c r="J954" s="89"/>
      <c r="K954" s="90"/>
    </row>
    <row r="955">
      <c r="A955" s="88" t="str">
        <f>'Season 1 - MafiaRatings'!A:A</f>
        <v/>
      </c>
      <c r="B955" s="2"/>
      <c r="I955" s="89"/>
      <c r="J955" s="89"/>
      <c r="K955" s="90"/>
    </row>
    <row r="956">
      <c r="A956" s="88" t="str">
        <f>'Season 1 - MafiaRatings'!A:A</f>
        <v/>
      </c>
      <c r="B956" s="2"/>
      <c r="I956" s="89"/>
      <c r="J956" s="89"/>
      <c r="K956" s="90"/>
    </row>
    <row r="957">
      <c r="A957" s="88" t="str">
        <f>'Season 1 - MafiaRatings'!A:A</f>
        <v/>
      </c>
      <c r="B957" s="2"/>
      <c r="I957" s="89"/>
      <c r="J957" s="89"/>
      <c r="K957" s="90"/>
    </row>
    <row r="958">
      <c r="A958" s="88" t="str">
        <f>'Season 1 - MafiaRatings'!A:A</f>
        <v/>
      </c>
      <c r="B958" s="2"/>
      <c r="I958" s="89"/>
      <c r="J958" s="89"/>
      <c r="K958" s="90"/>
    </row>
    <row r="959">
      <c r="A959" s="88" t="str">
        <f>'Season 1 - MafiaRatings'!A:A</f>
        <v/>
      </c>
      <c r="B959" s="2"/>
      <c r="I959" s="89"/>
      <c r="J959" s="89"/>
      <c r="K959" s="90"/>
    </row>
    <row r="960">
      <c r="A960" s="88" t="str">
        <f>'Season 1 - MafiaRatings'!A:A</f>
        <v/>
      </c>
      <c r="B960" s="2"/>
      <c r="I960" s="89"/>
      <c r="J960" s="89"/>
      <c r="K960" s="90"/>
    </row>
    <row r="961">
      <c r="A961" s="88" t="str">
        <f>'Season 1 - MafiaRatings'!A:A</f>
        <v/>
      </c>
      <c r="B961" s="2"/>
      <c r="I961" s="89"/>
      <c r="J961" s="89"/>
      <c r="K961" s="90"/>
    </row>
    <row r="962">
      <c r="A962" s="88" t="str">
        <f>'Season 1 - MafiaRatings'!A:A</f>
        <v/>
      </c>
      <c r="B962" s="2"/>
      <c r="I962" s="89"/>
      <c r="J962" s="89"/>
      <c r="K962" s="90"/>
    </row>
    <row r="963">
      <c r="A963" s="88" t="str">
        <f>'Season 1 - MafiaRatings'!A:A</f>
        <v/>
      </c>
      <c r="B963" s="2"/>
      <c r="I963" s="89"/>
      <c r="J963" s="89"/>
      <c r="K963" s="90"/>
    </row>
    <row r="964">
      <c r="A964" s="88" t="str">
        <f>'Season 1 - MafiaRatings'!A:A</f>
        <v/>
      </c>
      <c r="B964" s="2"/>
      <c r="I964" s="89"/>
      <c r="J964" s="89"/>
      <c r="K964" s="90"/>
    </row>
    <row r="965">
      <c r="A965" s="88" t="str">
        <f>'Season 1 - MafiaRatings'!A:A</f>
        <v/>
      </c>
      <c r="B965" s="2"/>
      <c r="I965" s="89"/>
      <c r="J965" s="89"/>
      <c r="K965" s="90"/>
    </row>
    <row r="966">
      <c r="A966" s="88" t="str">
        <f>'Season 1 - MafiaRatings'!A:A</f>
        <v/>
      </c>
      <c r="B966" s="2"/>
      <c r="I966" s="89"/>
      <c r="J966" s="89"/>
      <c r="K966" s="90"/>
    </row>
    <row r="967">
      <c r="A967" s="88" t="str">
        <f>'Season 1 - MafiaRatings'!A:A</f>
        <v/>
      </c>
      <c r="B967" s="2"/>
      <c r="I967" s="89"/>
      <c r="J967" s="89"/>
      <c r="K967" s="90"/>
    </row>
    <row r="968">
      <c r="A968" s="88" t="str">
        <f>'Season 1 - MafiaRatings'!A:A</f>
        <v/>
      </c>
      <c r="B968" s="2"/>
      <c r="I968" s="89"/>
      <c r="J968" s="89"/>
      <c r="K968" s="90"/>
    </row>
    <row r="969">
      <c r="A969" s="88" t="str">
        <f>'Season 1 - MafiaRatings'!A:A</f>
        <v/>
      </c>
      <c r="B969" s="2"/>
      <c r="I969" s="89"/>
      <c r="J969" s="89"/>
      <c r="K969" s="90"/>
    </row>
    <row r="970">
      <c r="A970" s="88" t="str">
        <f>'Season 1 - MafiaRatings'!A:A</f>
        <v/>
      </c>
      <c r="B970" s="2"/>
      <c r="I970" s="89"/>
      <c r="J970" s="89"/>
      <c r="K970" s="90"/>
    </row>
    <row r="971">
      <c r="A971" s="88" t="str">
        <f>'Season 1 - MafiaRatings'!A:A</f>
        <v/>
      </c>
      <c r="B971" s="2"/>
      <c r="I971" s="89"/>
      <c r="J971" s="89"/>
      <c r="K971" s="90"/>
    </row>
    <row r="972">
      <c r="A972" s="88" t="str">
        <f>'Season 1 - MafiaRatings'!A:A</f>
        <v/>
      </c>
      <c r="B972" s="2"/>
      <c r="I972" s="89"/>
      <c r="J972" s="89"/>
      <c r="K972" s="90"/>
    </row>
    <row r="973">
      <c r="A973" s="88" t="str">
        <f>'Season 1 - MafiaRatings'!A:A</f>
        <v/>
      </c>
      <c r="B973" s="2"/>
      <c r="I973" s="89"/>
      <c r="J973" s="89"/>
      <c r="K973" s="90"/>
    </row>
    <row r="974">
      <c r="A974" s="88" t="str">
        <f>'Season 1 - MafiaRatings'!A:A</f>
        <v/>
      </c>
      <c r="B974" s="2"/>
      <c r="I974" s="89"/>
      <c r="J974" s="89"/>
      <c r="K974" s="90"/>
    </row>
    <row r="975">
      <c r="A975" s="88" t="str">
        <f>'Season 1 - MafiaRatings'!A:A</f>
        <v/>
      </c>
      <c r="B975" s="2"/>
      <c r="I975" s="89"/>
      <c r="J975" s="89"/>
      <c r="K975" s="90"/>
    </row>
    <row r="976">
      <c r="A976" s="88" t="str">
        <f>'Season 1 - MafiaRatings'!A:A</f>
        <v/>
      </c>
      <c r="B976" s="2"/>
      <c r="I976" s="89"/>
      <c r="J976" s="89"/>
      <c r="K976" s="90"/>
    </row>
    <row r="977">
      <c r="A977" s="88" t="str">
        <f>'Season 1 - MafiaRatings'!A:A</f>
        <v/>
      </c>
      <c r="B977" s="2"/>
      <c r="I977" s="89"/>
      <c r="J977" s="89"/>
      <c r="K977" s="90"/>
    </row>
    <row r="978">
      <c r="A978" s="88" t="str">
        <f>'Season 1 - MafiaRatings'!A:A</f>
        <v/>
      </c>
      <c r="B978" s="2"/>
      <c r="I978" s="89"/>
      <c r="J978" s="89"/>
      <c r="K978" s="90"/>
    </row>
    <row r="979">
      <c r="A979" s="88" t="str">
        <f>'Season 1 - MafiaRatings'!A:A</f>
        <v/>
      </c>
      <c r="B979" s="2"/>
      <c r="I979" s="89"/>
      <c r="J979" s="89"/>
      <c r="K979" s="90"/>
    </row>
    <row r="980">
      <c r="A980" s="88" t="str">
        <f>'Season 1 - MafiaRatings'!A:A</f>
        <v/>
      </c>
      <c r="B980" s="2"/>
      <c r="I980" s="89"/>
      <c r="J980" s="89"/>
      <c r="K980" s="90"/>
    </row>
    <row r="981">
      <c r="A981" s="88" t="str">
        <f>'Season 1 - MafiaRatings'!A:A</f>
        <v/>
      </c>
      <c r="B981" s="2"/>
      <c r="I981" s="89"/>
      <c r="J981" s="89"/>
      <c r="K981" s="90"/>
    </row>
    <row r="982">
      <c r="A982" s="88" t="str">
        <f>'Season 1 - MafiaRatings'!A:A</f>
        <v/>
      </c>
      <c r="B982" s="2"/>
      <c r="I982" s="89"/>
      <c r="J982" s="89"/>
      <c r="K982" s="90"/>
    </row>
    <row r="983">
      <c r="A983" s="88" t="str">
        <f>'Season 1 - MafiaRatings'!A:A</f>
        <v/>
      </c>
      <c r="B983" s="2"/>
      <c r="I983" s="89"/>
      <c r="J983" s="89"/>
      <c r="K983" s="90"/>
    </row>
    <row r="984">
      <c r="A984" s="88" t="str">
        <f>'Season 1 - MafiaRatings'!A:A</f>
        <v/>
      </c>
      <c r="B984" s="2"/>
      <c r="I984" s="89"/>
      <c r="J984" s="89"/>
      <c r="K984" s="90"/>
    </row>
    <row r="985">
      <c r="A985" s="88" t="str">
        <f>'Season 1 - MafiaRatings'!A:A</f>
        <v/>
      </c>
      <c r="B985" s="2"/>
      <c r="I985" s="89"/>
      <c r="J985" s="89"/>
      <c r="K985" s="90"/>
    </row>
    <row r="986">
      <c r="A986" s="88" t="str">
        <f>'Season 1 - MafiaRatings'!A:A</f>
        <v/>
      </c>
      <c r="B986" s="2"/>
      <c r="I986" s="89"/>
      <c r="J986" s="89"/>
      <c r="K986" s="90"/>
    </row>
    <row r="987">
      <c r="A987" s="88" t="str">
        <f>'Season 1 - MafiaRatings'!A:A</f>
        <v/>
      </c>
      <c r="B987" s="2"/>
      <c r="I987" s="89"/>
      <c r="J987" s="89"/>
      <c r="K987" s="90"/>
    </row>
    <row r="988">
      <c r="A988" s="88" t="str">
        <f>'Season 1 - MafiaRatings'!A:A</f>
        <v/>
      </c>
      <c r="B988" s="2"/>
      <c r="I988" s="89"/>
      <c r="J988" s="89"/>
      <c r="K988" s="90"/>
    </row>
    <row r="989">
      <c r="A989" s="88" t="str">
        <f>'Season 1 - MafiaRatings'!A:A</f>
        <v/>
      </c>
      <c r="B989" s="2"/>
      <c r="I989" s="89"/>
      <c r="J989" s="89"/>
      <c r="K989" s="90"/>
    </row>
    <row r="990">
      <c r="A990" s="88" t="str">
        <f>'Season 1 - MafiaRatings'!A:A</f>
        <v/>
      </c>
      <c r="B990" s="2"/>
      <c r="I990" s="89"/>
      <c r="J990" s="89"/>
      <c r="K990" s="90"/>
    </row>
  </sheetData>
  <customSheetViews>
    <customSheetView guid="{2421FC68-A8E1-4E36-8793-BD8E9B3ABDC7}" filter="1" showAutoFilter="1">
      <autoFilter ref="$A$1:$K$98">
        <sortState ref="A1:K98">
          <sortCondition descending="1" ref="D1:D98"/>
        </sortState>
      </autoFilter>
    </customSheetView>
    <customSheetView guid="{2D682F4A-86B4-46EA-A1E8-C78D83701084}" filter="1" showAutoFilter="1">
      <autoFilter ref="$A$1:$K$98">
        <sortState ref="A1:K98">
          <sortCondition descending="1" ref="G1:G98"/>
        </sortState>
      </autoFilter>
    </customSheetView>
  </customSheetViews>
  <dataValidations>
    <dataValidation type="custom" allowBlank="1" showDropDown="1" sqref="I2:J98">
      <formula1>AND(ISNUMBER(I2),(NOT(OR(NOT(ISERROR(DATEVALUE(I2))), AND(ISNUMBER(I2), LEFT(CELL("format", I2))="D")))))</formula1>
    </dataValidation>
  </dataValidations>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127</v>
      </c>
      <c r="B1" s="2" t="s">
        <v>125</v>
      </c>
      <c r="C1" s="2" t="s">
        <v>126</v>
      </c>
    </row>
    <row r="2">
      <c r="A2" s="2" t="s">
        <v>64</v>
      </c>
      <c r="B2" s="2">
        <v>33.2591480651721</v>
      </c>
      <c r="C2" s="2">
        <v>6.75127719987352</v>
      </c>
    </row>
    <row r="3">
      <c r="A3" s="2" t="s">
        <v>18</v>
      </c>
      <c r="B3" s="2">
        <v>29.5451228350956</v>
      </c>
      <c r="C3" s="2">
        <v>6.80755922779894</v>
      </c>
    </row>
    <row r="4">
      <c r="A4" s="2" t="s">
        <v>29</v>
      </c>
      <c r="B4" s="2">
        <v>25.045919683418</v>
      </c>
      <c r="C4" s="2">
        <v>7.14134143105037</v>
      </c>
    </row>
    <row r="5">
      <c r="A5" s="2" t="s">
        <v>31</v>
      </c>
      <c r="B5" s="2">
        <v>24.6765999958666</v>
      </c>
      <c r="C5" s="2">
        <v>7.29799101301596</v>
      </c>
    </row>
    <row r="6">
      <c r="A6" s="2" t="s">
        <v>123</v>
      </c>
      <c r="B6" s="2">
        <v>31.7994802971253</v>
      </c>
      <c r="C6" s="2">
        <v>7.3351158215612</v>
      </c>
    </row>
    <row r="7">
      <c r="A7" s="2" t="s">
        <v>113</v>
      </c>
      <c r="B7" s="2">
        <v>21.873399027042</v>
      </c>
      <c r="C7" s="2">
        <v>7.35229391663014</v>
      </c>
    </row>
    <row r="8">
      <c r="A8" s="2" t="s">
        <v>53</v>
      </c>
      <c r="B8" s="2">
        <v>26.1131497474363</v>
      </c>
      <c r="C8" s="2">
        <v>7.35691587586964</v>
      </c>
    </row>
    <row r="9">
      <c r="A9" s="2" t="s">
        <v>16</v>
      </c>
      <c r="B9" s="2">
        <v>21.1953494828166</v>
      </c>
      <c r="C9" s="2">
        <v>7.43478782528736</v>
      </c>
    </row>
    <row r="10">
      <c r="A10" s="2" t="s">
        <v>32</v>
      </c>
      <c r="B10" s="2">
        <v>17.8905255560402</v>
      </c>
      <c r="C10" s="2">
        <v>7.43591036839882</v>
      </c>
    </row>
    <row r="11">
      <c r="A11" s="2" t="s">
        <v>67</v>
      </c>
      <c r="B11" s="2">
        <v>25.378319467913</v>
      </c>
      <c r="C11" s="2">
        <v>7.53219210413708</v>
      </c>
    </row>
    <row r="12">
      <c r="A12" s="2" t="s">
        <v>39</v>
      </c>
      <c r="B12" s="2">
        <v>28.3311624184475</v>
      </c>
      <c r="C12" s="2">
        <v>7.53521680863249</v>
      </c>
    </row>
    <row r="13">
      <c r="A13" s="2" t="s">
        <v>70</v>
      </c>
      <c r="B13" s="2">
        <v>21.1693892568051</v>
      </c>
      <c r="C13" s="2">
        <v>7.65595109272594</v>
      </c>
    </row>
    <row r="14">
      <c r="A14" s="2" t="s">
        <v>28</v>
      </c>
      <c r="B14" s="2">
        <v>20.6393499387985</v>
      </c>
      <c r="C14" s="2">
        <v>7.67677027594225</v>
      </c>
    </row>
    <row r="15">
      <c r="A15" s="2" t="s">
        <v>77</v>
      </c>
      <c r="B15" s="2">
        <v>25.5225114840145</v>
      </c>
      <c r="C15" s="2">
        <v>7.68996982397346</v>
      </c>
    </row>
    <row r="16">
      <c r="A16" s="2" t="s">
        <v>55</v>
      </c>
      <c r="B16" s="2">
        <v>31.7342900186505</v>
      </c>
      <c r="C16" s="2">
        <v>7.71298711575653</v>
      </c>
    </row>
    <row r="17">
      <c r="A17" s="2" t="s">
        <v>111</v>
      </c>
      <c r="B17" s="2">
        <v>24.0362105211305</v>
      </c>
      <c r="C17" s="2">
        <v>7.72567777197567</v>
      </c>
    </row>
    <row r="18">
      <c r="A18" s="2" t="s">
        <v>43</v>
      </c>
      <c r="B18" s="2">
        <v>24.4470934394547</v>
      </c>
      <c r="C18" s="2">
        <v>7.79106656331631</v>
      </c>
    </row>
    <row r="19">
      <c r="A19" s="2" t="s">
        <v>91</v>
      </c>
      <c r="B19" s="2">
        <v>21.0994030767743</v>
      </c>
      <c r="C19" s="2">
        <v>7.87192435073585</v>
      </c>
    </row>
    <row r="20">
      <c r="A20" s="2" t="s">
        <v>40</v>
      </c>
      <c r="B20" s="2">
        <v>27.8711240448787</v>
      </c>
      <c r="C20" s="2">
        <v>7.93180110435482</v>
      </c>
    </row>
    <row r="21">
      <c r="A21" s="2" t="s">
        <v>61</v>
      </c>
      <c r="B21" s="2">
        <v>24.8028212171345</v>
      </c>
      <c r="C21" s="2">
        <v>7.93837677621357</v>
      </c>
    </row>
    <row r="22">
      <c r="A22" s="2" t="s">
        <v>149</v>
      </c>
      <c r="B22" s="2">
        <v>27.0500586559952</v>
      </c>
      <c r="C22" s="2">
        <v>7.93908577057087</v>
      </c>
    </row>
    <row r="23">
      <c r="A23" s="2" t="s">
        <v>24</v>
      </c>
      <c r="B23" s="2">
        <v>27.2395386133759</v>
      </c>
      <c r="C23" s="2">
        <v>7.95739746323219</v>
      </c>
    </row>
    <row r="24">
      <c r="A24" s="2" t="s">
        <v>47</v>
      </c>
      <c r="B24" s="2">
        <v>25.2976813554043</v>
      </c>
      <c r="C24" s="2">
        <v>7.95899155233292</v>
      </c>
    </row>
    <row r="25">
      <c r="A25" s="2" t="s">
        <v>179</v>
      </c>
      <c r="B25" s="2">
        <v>23.0323077285868</v>
      </c>
      <c r="C25" s="2">
        <v>7.95902509748532</v>
      </c>
    </row>
    <row r="26">
      <c r="A26" s="2" t="s">
        <v>46</v>
      </c>
      <c r="B26" s="2">
        <v>23.2707512079236</v>
      </c>
      <c r="C26" s="2">
        <v>7.97744307134669</v>
      </c>
    </row>
    <row r="27">
      <c r="A27" s="2" t="s">
        <v>173</v>
      </c>
      <c r="B27" s="2">
        <v>23.4683836967978</v>
      </c>
      <c r="C27" s="2">
        <v>7.98817823988571</v>
      </c>
    </row>
    <row r="28">
      <c r="A28" s="2" t="s">
        <v>35</v>
      </c>
      <c r="B28" s="2">
        <v>29.7628492587963</v>
      </c>
      <c r="C28" s="2">
        <v>7.99217472213321</v>
      </c>
    </row>
    <row r="29">
      <c r="A29" s="2" t="s">
        <v>99</v>
      </c>
      <c r="B29" s="2">
        <v>25.898828859453</v>
      </c>
      <c r="C29" s="2">
        <v>7.99666816377496</v>
      </c>
    </row>
    <row r="30">
      <c r="A30" s="2" t="s">
        <v>51</v>
      </c>
      <c r="B30" s="2">
        <v>26.0847533256407</v>
      </c>
      <c r="C30" s="2">
        <v>8.00103173891463</v>
      </c>
    </row>
    <row r="31">
      <c r="A31" s="2" t="s">
        <v>44</v>
      </c>
      <c r="B31" s="2">
        <v>27.43453807727</v>
      </c>
      <c r="C31" s="2">
        <v>8.00565335228851</v>
      </c>
    </row>
    <row r="32">
      <c r="A32" s="2" t="s">
        <v>26</v>
      </c>
      <c r="B32" s="2">
        <v>26.6345009490693</v>
      </c>
      <c r="C32" s="2">
        <v>8.01821622276458</v>
      </c>
    </row>
    <row r="33">
      <c r="A33" s="2" t="s">
        <v>23</v>
      </c>
      <c r="B33" s="2">
        <v>24.6265836185249</v>
      </c>
      <c r="C33" s="2">
        <v>8.02090037116575</v>
      </c>
    </row>
    <row r="34">
      <c r="A34" s="2" t="s">
        <v>66</v>
      </c>
      <c r="B34" s="2">
        <v>27.2184339079529</v>
      </c>
      <c r="C34" s="2">
        <v>8.02897441566366</v>
      </c>
    </row>
    <row r="35">
      <c r="A35" s="2" t="s">
        <v>19</v>
      </c>
      <c r="B35" s="2">
        <v>22.811316743402</v>
      </c>
      <c r="C35" s="2">
        <v>8.0400889503476</v>
      </c>
    </row>
    <row r="36">
      <c r="A36" s="2" t="s">
        <v>102</v>
      </c>
      <c r="B36" s="2">
        <v>22.2364585380318</v>
      </c>
      <c r="C36" s="2">
        <v>8.04850456292712</v>
      </c>
    </row>
    <row r="37">
      <c r="A37" s="2" t="s">
        <v>155</v>
      </c>
      <c r="B37" s="2">
        <v>25.5227987577801</v>
      </c>
      <c r="C37" s="2">
        <v>8.05215446233769</v>
      </c>
    </row>
    <row r="38">
      <c r="A38" s="2" t="s">
        <v>38</v>
      </c>
      <c r="B38" s="2">
        <v>28.2213839164266</v>
      </c>
      <c r="C38" s="2">
        <v>8.05694927322532</v>
      </c>
    </row>
    <row r="39">
      <c r="A39" s="2" t="s">
        <v>27</v>
      </c>
      <c r="B39" s="2">
        <v>28.6166904462834</v>
      </c>
      <c r="C39" s="2">
        <v>8.0578384599425</v>
      </c>
    </row>
    <row r="40">
      <c r="A40" s="2" t="s">
        <v>71</v>
      </c>
      <c r="B40" s="2">
        <v>24.9342272487845</v>
      </c>
      <c r="C40" s="2">
        <v>8.06382831415451</v>
      </c>
    </row>
    <row r="41">
      <c r="A41" s="2" t="s">
        <v>180</v>
      </c>
      <c r="B41" s="2">
        <v>23.1520543217306</v>
      </c>
      <c r="C41" s="2">
        <v>8.09305120563743</v>
      </c>
    </row>
    <row r="42">
      <c r="A42" s="2" t="s">
        <v>86</v>
      </c>
      <c r="B42" s="2">
        <v>25.1132196253933</v>
      </c>
      <c r="C42" s="2">
        <v>8.09523865736746</v>
      </c>
    </row>
    <row r="43">
      <c r="A43" s="2" t="s">
        <v>160</v>
      </c>
      <c r="B43" s="2">
        <v>25.0586980276999</v>
      </c>
      <c r="C43" s="2">
        <v>8.11241241710975</v>
      </c>
    </row>
    <row r="44">
      <c r="A44" s="2" t="s">
        <v>153</v>
      </c>
      <c r="B44" s="2">
        <v>25.7098367861021</v>
      </c>
      <c r="C44" s="2">
        <v>8.1158403711053</v>
      </c>
    </row>
    <row r="45">
      <c r="A45" s="2" t="s">
        <v>82</v>
      </c>
      <c r="B45" s="2">
        <v>24.6174654745324</v>
      </c>
      <c r="C45" s="2">
        <v>8.1215918362939</v>
      </c>
    </row>
    <row r="46">
      <c r="A46" s="2" t="s">
        <v>124</v>
      </c>
      <c r="B46" s="2">
        <v>22.0264852429471</v>
      </c>
      <c r="C46" s="2">
        <v>8.12908268165456</v>
      </c>
    </row>
    <row r="47">
      <c r="A47" s="2" t="s">
        <v>89</v>
      </c>
      <c r="B47" s="2">
        <v>23.9937129720053</v>
      </c>
      <c r="C47" s="2">
        <v>8.13150221449884</v>
      </c>
    </row>
    <row r="48">
      <c r="A48" s="2" t="s">
        <v>117</v>
      </c>
      <c r="B48" s="2">
        <v>26.4982435046272</v>
      </c>
      <c r="C48" s="2">
        <v>8.14399567050313</v>
      </c>
    </row>
    <row r="49">
      <c r="A49" s="2" t="s">
        <v>172</v>
      </c>
      <c r="B49" s="2">
        <v>23.7919543264064</v>
      </c>
      <c r="C49" s="2">
        <v>8.14653226540292</v>
      </c>
    </row>
    <row r="50">
      <c r="A50" s="2" t="s">
        <v>85</v>
      </c>
      <c r="B50" s="2">
        <v>24.2265963570902</v>
      </c>
      <c r="C50" s="2">
        <v>8.15059985686515</v>
      </c>
    </row>
    <row r="51">
      <c r="A51" s="2" t="s">
        <v>87</v>
      </c>
      <c r="B51" s="2">
        <v>24.8355267511968</v>
      </c>
      <c r="C51" s="2">
        <v>8.15900259921166</v>
      </c>
    </row>
    <row r="52">
      <c r="A52" s="2" t="s">
        <v>20</v>
      </c>
      <c r="B52" s="2">
        <v>24.443990363208</v>
      </c>
      <c r="C52" s="2">
        <v>8.15946469740503</v>
      </c>
    </row>
    <row r="53">
      <c r="A53" s="2" t="s">
        <v>83</v>
      </c>
      <c r="B53" s="2">
        <v>28.2064373795293</v>
      </c>
      <c r="C53" s="2">
        <v>8.1639172975453</v>
      </c>
    </row>
    <row r="54">
      <c r="A54" s="2" t="s">
        <v>163</v>
      </c>
      <c r="B54" s="2">
        <v>24.5473224721747</v>
      </c>
      <c r="C54" s="2">
        <v>8.18406015892688</v>
      </c>
    </row>
    <row r="55">
      <c r="A55" s="2" t="s">
        <v>65</v>
      </c>
      <c r="B55" s="2">
        <v>25.386163640866</v>
      </c>
      <c r="C55" s="2">
        <v>8.20049424369652</v>
      </c>
    </row>
    <row r="56">
      <c r="A56" s="2" t="s">
        <v>116</v>
      </c>
      <c r="B56" s="2">
        <v>24.9410270604049</v>
      </c>
      <c r="C56" s="2">
        <v>8.20067840434621</v>
      </c>
    </row>
    <row r="57">
      <c r="A57" s="2" t="s">
        <v>154</v>
      </c>
      <c r="B57" s="2">
        <v>25.7684729111102</v>
      </c>
      <c r="C57" s="2">
        <v>8.20484878416965</v>
      </c>
    </row>
    <row r="58">
      <c r="A58" s="2" t="s">
        <v>159</v>
      </c>
      <c r="B58" s="2">
        <v>25.3965849169019</v>
      </c>
      <c r="C58" s="2">
        <v>8.20602047639726</v>
      </c>
    </row>
    <row r="59">
      <c r="A59" s="2" t="s">
        <v>78</v>
      </c>
      <c r="B59" s="2">
        <v>25.3700648959569</v>
      </c>
      <c r="C59" s="2">
        <v>8.20798748480845</v>
      </c>
    </row>
    <row r="60">
      <c r="A60" s="2" t="s">
        <v>152</v>
      </c>
      <c r="B60" s="2">
        <v>25.9532870138891</v>
      </c>
      <c r="C60" s="2">
        <v>8.20813980679956</v>
      </c>
    </row>
    <row r="61">
      <c r="A61" s="2" t="s">
        <v>182</v>
      </c>
      <c r="B61" s="2">
        <v>23.20200997749</v>
      </c>
      <c r="C61" s="2">
        <v>8.20846296510346</v>
      </c>
    </row>
    <row r="62">
      <c r="A62" s="2" t="s">
        <v>162</v>
      </c>
      <c r="B62" s="2">
        <v>24.6243123545318</v>
      </c>
      <c r="C62" s="2">
        <v>8.20850475291509</v>
      </c>
    </row>
    <row r="63">
      <c r="A63" s="2" t="s">
        <v>184</v>
      </c>
      <c r="B63" s="2">
        <v>23.0014484005936</v>
      </c>
      <c r="C63" s="2">
        <v>8.2123336956619</v>
      </c>
    </row>
    <row r="64">
      <c r="A64" s="2" t="s">
        <v>73</v>
      </c>
      <c r="B64" s="2">
        <v>22.8838431370623</v>
      </c>
      <c r="C64" s="2">
        <v>8.21234819586736</v>
      </c>
    </row>
    <row r="65">
      <c r="A65" s="2" t="s">
        <v>158</v>
      </c>
      <c r="B65" s="2">
        <v>25.5085921430037</v>
      </c>
      <c r="C65" s="2">
        <v>8.21378946285855</v>
      </c>
    </row>
    <row r="66">
      <c r="A66" s="2" t="s">
        <v>22</v>
      </c>
      <c r="B66" s="2">
        <v>24.4668043690512</v>
      </c>
      <c r="C66" s="2">
        <v>8.21488907159278</v>
      </c>
    </row>
    <row r="67">
      <c r="A67" s="2" t="s">
        <v>183</v>
      </c>
      <c r="B67" s="2">
        <v>23.0790416665462</v>
      </c>
      <c r="C67" s="2">
        <v>8.21753949017795</v>
      </c>
    </row>
    <row r="68">
      <c r="A68" s="2" t="s">
        <v>181</v>
      </c>
      <c r="B68" s="2">
        <v>23.2638908947307</v>
      </c>
      <c r="C68" s="2">
        <v>8.22291227317623</v>
      </c>
    </row>
    <row r="69">
      <c r="A69" s="2" t="s">
        <v>161</v>
      </c>
      <c r="B69" s="2">
        <v>24.8683777203849</v>
      </c>
      <c r="C69" s="2">
        <v>8.22791351462359</v>
      </c>
    </row>
    <row r="70">
      <c r="A70" s="2" t="s">
        <v>79</v>
      </c>
      <c r="B70" s="2">
        <v>24.6410478378712</v>
      </c>
      <c r="C70" s="2">
        <v>8.22881272441027</v>
      </c>
    </row>
    <row r="71">
      <c r="A71" s="2" t="s">
        <v>110</v>
      </c>
      <c r="B71" s="2">
        <v>23.5284450506069</v>
      </c>
      <c r="C71" s="2">
        <v>8.23205503181612</v>
      </c>
    </row>
    <row r="72">
      <c r="A72" s="2" t="s">
        <v>178</v>
      </c>
      <c r="B72" s="2">
        <v>23.5284450506069</v>
      </c>
      <c r="C72" s="2">
        <v>8.23205503181612</v>
      </c>
    </row>
    <row r="73">
      <c r="A73" s="2" t="s">
        <v>177</v>
      </c>
      <c r="B73" s="2">
        <v>23.5972000519387</v>
      </c>
      <c r="C73" s="2">
        <v>8.24154499475442</v>
      </c>
    </row>
    <row r="74">
      <c r="A74" s="2" t="s">
        <v>48</v>
      </c>
      <c r="B74" s="2">
        <v>26.6345285373171</v>
      </c>
      <c r="C74" s="2">
        <v>8.25684055699613</v>
      </c>
    </row>
    <row r="75">
      <c r="A75" s="2" t="s">
        <v>62</v>
      </c>
      <c r="B75" s="2">
        <v>26.6345285373171</v>
      </c>
      <c r="C75" s="2">
        <v>8.25684055699613</v>
      </c>
    </row>
    <row r="76">
      <c r="A76" s="2" t="s">
        <v>69</v>
      </c>
      <c r="B76" s="2">
        <v>23.3654714626828</v>
      </c>
      <c r="C76" s="2">
        <v>8.25684055699613</v>
      </c>
    </row>
    <row r="77">
      <c r="A77" s="2" t="s">
        <v>150</v>
      </c>
      <c r="B77" s="2">
        <v>26.6707648020824</v>
      </c>
      <c r="C77" s="2">
        <v>8.25908212423937</v>
      </c>
    </row>
    <row r="78">
      <c r="A78" s="2" t="s">
        <v>112</v>
      </c>
      <c r="B78" s="2">
        <v>23.5349566559027</v>
      </c>
      <c r="C78" s="2">
        <v>8.26044951369215</v>
      </c>
    </row>
    <row r="79">
      <c r="A79" s="2" t="s">
        <v>151</v>
      </c>
      <c r="B79" s="2">
        <v>26.6698332150654</v>
      </c>
      <c r="C79" s="2">
        <v>8.2640777685933</v>
      </c>
    </row>
    <row r="80">
      <c r="A80" s="2" t="s">
        <v>176</v>
      </c>
      <c r="B80" s="2">
        <v>23.6908797854337</v>
      </c>
      <c r="C80" s="2">
        <v>8.26686631865523</v>
      </c>
    </row>
    <row r="81">
      <c r="A81" s="2" t="s">
        <v>175</v>
      </c>
      <c r="B81" s="2">
        <v>23.8287444932087</v>
      </c>
      <c r="C81" s="2">
        <v>8.26817522968335</v>
      </c>
    </row>
    <row r="82">
      <c r="A82" s="2" t="s">
        <v>174</v>
      </c>
      <c r="B82" s="2">
        <v>23.8859151247291</v>
      </c>
      <c r="C82" s="2">
        <v>8.26957431294632</v>
      </c>
    </row>
    <row r="83">
      <c r="A83" s="2" t="s">
        <v>104</v>
      </c>
      <c r="B83" s="2">
        <v>26.1140848752708</v>
      </c>
      <c r="C83" s="2">
        <v>8.26957431294632</v>
      </c>
    </row>
    <row r="84">
      <c r="A84" s="2" t="s">
        <v>74</v>
      </c>
      <c r="B84" s="2">
        <v>23.7656835270147</v>
      </c>
      <c r="C84" s="2">
        <v>8.27220733811831</v>
      </c>
    </row>
    <row r="85">
      <c r="A85" s="2" t="s">
        <v>108</v>
      </c>
      <c r="B85" s="2">
        <v>24.1018600875478</v>
      </c>
      <c r="C85" s="2">
        <v>8.27458824589004</v>
      </c>
    </row>
    <row r="86">
      <c r="A86" s="2" t="s">
        <v>171</v>
      </c>
      <c r="B86" s="2">
        <v>24.1200046084135</v>
      </c>
      <c r="C86" s="2">
        <v>8.27746950025621</v>
      </c>
    </row>
    <row r="87">
      <c r="A87" s="2" t="s">
        <v>156</v>
      </c>
      <c r="B87" s="2">
        <v>25.8489267745966</v>
      </c>
      <c r="C87" s="2">
        <v>8.27910964388814</v>
      </c>
    </row>
    <row r="88">
      <c r="A88" s="2" t="s">
        <v>157</v>
      </c>
      <c r="B88" s="2">
        <v>25.7741092017007</v>
      </c>
      <c r="C88" s="2">
        <v>8.28169020464689</v>
      </c>
    </row>
    <row r="89">
      <c r="A89" s="2" t="s">
        <v>170</v>
      </c>
      <c r="B89" s="2">
        <v>24.2766790923824</v>
      </c>
      <c r="C89" s="2">
        <v>8.2823111313004</v>
      </c>
    </row>
    <row r="90">
      <c r="A90" s="2" t="s">
        <v>168</v>
      </c>
      <c r="B90" s="2">
        <v>24.3928200493331</v>
      </c>
      <c r="C90" s="2">
        <v>8.28651393063344</v>
      </c>
    </row>
    <row r="91">
      <c r="A91" s="2" t="s">
        <v>169</v>
      </c>
      <c r="B91" s="2">
        <v>24.2894039611772</v>
      </c>
      <c r="C91" s="2">
        <v>8.28715979725711</v>
      </c>
    </row>
    <row r="92">
      <c r="A92" s="2" t="s">
        <v>109</v>
      </c>
      <c r="B92" s="2">
        <v>24.4079560326138</v>
      </c>
      <c r="C92" s="2">
        <v>8.28716972953263</v>
      </c>
    </row>
    <row r="93">
      <c r="A93" s="2" t="s">
        <v>166</v>
      </c>
      <c r="B93" s="2">
        <v>24.4079560326138</v>
      </c>
      <c r="C93" s="2">
        <v>8.28716972953263</v>
      </c>
    </row>
    <row r="94">
      <c r="A94" s="2" t="s">
        <v>167</v>
      </c>
      <c r="B94" s="2">
        <v>24.4079560326138</v>
      </c>
      <c r="C94" s="2">
        <v>8.28716972953263</v>
      </c>
    </row>
    <row r="95">
      <c r="A95" s="2" t="s">
        <v>165</v>
      </c>
      <c r="B95" s="2">
        <v>24.4176315532745</v>
      </c>
      <c r="C95" s="2">
        <v>8.28846801422415</v>
      </c>
    </row>
    <row r="96">
      <c r="A96" s="2" t="s">
        <v>118</v>
      </c>
      <c r="B96" s="2">
        <v>24.4364104780276</v>
      </c>
      <c r="C96" s="2">
        <v>8.29143274407048</v>
      </c>
    </row>
    <row r="97">
      <c r="A97" s="2" t="s">
        <v>164</v>
      </c>
      <c r="B97" s="2">
        <v>24.4905426605551</v>
      </c>
      <c r="C97" s="2">
        <v>8.29147077028792</v>
      </c>
    </row>
    <row r="98">
      <c r="A98" s="2" t="s">
        <v>88</v>
      </c>
      <c r="B98" s="2">
        <v>24.5575448364605</v>
      </c>
      <c r="C98" s="2">
        <v>8.29494047264077</v>
      </c>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132</v>
      </c>
      <c r="B1" s="2" t="s">
        <v>127</v>
      </c>
      <c r="C1" s="2" t="s">
        <v>133</v>
      </c>
      <c r="D1" s="2" t="s">
        <v>134</v>
      </c>
      <c r="E1" s="2" t="s">
        <v>135</v>
      </c>
      <c r="F1" s="2" t="s">
        <v>136</v>
      </c>
      <c r="G1" s="2" t="s">
        <v>137</v>
      </c>
      <c r="H1" s="2" t="s">
        <v>138</v>
      </c>
      <c r="I1" s="2" t="s">
        <v>139</v>
      </c>
      <c r="J1" s="2" t="s">
        <v>140</v>
      </c>
      <c r="K1" s="2" t="s">
        <v>141</v>
      </c>
    </row>
    <row r="2">
      <c r="A2" s="2">
        <v>45.0</v>
      </c>
      <c r="B2" s="2" t="s">
        <v>28</v>
      </c>
      <c r="C2" s="2" t="s">
        <v>142</v>
      </c>
      <c r="D2" s="2" t="s">
        <v>145</v>
      </c>
      <c r="E2" s="2">
        <v>-71.0</v>
      </c>
      <c r="F2" s="2">
        <v>21.7515661136132</v>
      </c>
      <c r="G2" s="2">
        <v>20.6393499387985</v>
      </c>
      <c r="H2" s="2">
        <v>7.67677027594225</v>
      </c>
      <c r="I2" s="2">
        <v>691.0</v>
      </c>
      <c r="J2" s="2">
        <v>620.0</v>
      </c>
      <c r="K2" s="2">
        <v>7.73027378070993</v>
      </c>
    </row>
    <row r="3">
      <c r="A3" s="2">
        <v>45.0</v>
      </c>
      <c r="B3" s="2" t="s">
        <v>116</v>
      </c>
      <c r="C3" s="2" t="s">
        <v>142</v>
      </c>
      <c r="D3" s="2" t="s">
        <v>145</v>
      </c>
      <c r="E3" s="2">
        <v>-79.0</v>
      </c>
      <c r="F3" s="2">
        <v>26.2130677518111</v>
      </c>
      <c r="G3" s="2">
        <v>24.9410270604049</v>
      </c>
      <c r="H3" s="2">
        <v>8.20067840434621</v>
      </c>
      <c r="I3" s="2">
        <v>939.0</v>
      </c>
      <c r="J3" s="2">
        <v>860.0</v>
      </c>
      <c r="K3" s="2">
        <v>8.26783615591169</v>
      </c>
    </row>
    <row r="4">
      <c r="A4" s="2">
        <v>45.0</v>
      </c>
      <c r="B4" s="2" t="s">
        <v>162</v>
      </c>
      <c r="C4" s="2" t="s">
        <v>142</v>
      </c>
      <c r="D4" s="2" t="s">
        <v>145</v>
      </c>
      <c r="E4" s="2">
        <v>-80.0</v>
      </c>
      <c r="F4" s="2">
        <v>25.8988262265798</v>
      </c>
      <c r="G4" s="2">
        <v>24.6243123545318</v>
      </c>
      <c r="H4" s="2">
        <v>8.20850475291509</v>
      </c>
      <c r="I4" s="2">
        <v>917.0</v>
      </c>
      <c r="J4" s="2">
        <v>837.0</v>
      </c>
      <c r="K4" s="2">
        <v>8.27588024558539</v>
      </c>
    </row>
    <row r="5">
      <c r="A5" s="2">
        <v>45.0</v>
      </c>
      <c r="B5" s="2" t="s">
        <v>23</v>
      </c>
      <c r="C5" s="2" t="s">
        <v>144</v>
      </c>
      <c r="D5" s="2" t="s">
        <v>143</v>
      </c>
      <c r="E5" s="2">
        <v>89.0</v>
      </c>
      <c r="F5" s="2">
        <v>23.4106577249412</v>
      </c>
      <c r="G5" s="2">
        <v>24.6265836185249</v>
      </c>
      <c r="H5" s="2">
        <v>8.02090037116575</v>
      </c>
      <c r="I5" s="2">
        <v>767.0</v>
      </c>
      <c r="J5" s="2">
        <v>856.0</v>
      </c>
      <c r="K5" s="2">
        <v>8.08317010614893</v>
      </c>
    </row>
    <row r="6">
      <c r="A6" s="2">
        <v>45.0</v>
      </c>
      <c r="B6" s="2" t="s">
        <v>24</v>
      </c>
      <c r="C6" s="2" t="s">
        <v>144</v>
      </c>
      <c r="D6" s="2" t="s">
        <v>143</v>
      </c>
      <c r="E6" s="2">
        <v>88.0</v>
      </c>
      <c r="F6" s="2">
        <v>26.0431158789108</v>
      </c>
      <c r="G6" s="2">
        <v>27.2395386133759</v>
      </c>
      <c r="H6" s="2">
        <v>7.95739746323219</v>
      </c>
      <c r="I6" s="2">
        <v>953.0</v>
      </c>
      <c r="J6" s="2">
        <v>1041.0</v>
      </c>
      <c r="K6" s="2">
        <v>8.01799197802564</v>
      </c>
    </row>
    <row r="7">
      <c r="A7" s="2">
        <v>45.0</v>
      </c>
      <c r="B7" s="2" t="s">
        <v>19</v>
      </c>
      <c r="C7" s="2" t="s">
        <v>144</v>
      </c>
      <c r="D7" s="2" t="s">
        <v>143</v>
      </c>
      <c r="E7" s="2">
        <v>89.0</v>
      </c>
      <c r="F7" s="2">
        <v>21.5894649694713</v>
      </c>
      <c r="G7" s="2">
        <v>22.811316743402</v>
      </c>
      <c r="H7" s="2">
        <v>8.0400889503476</v>
      </c>
      <c r="I7" s="2">
        <v>642.0</v>
      </c>
      <c r="J7" s="2">
        <v>731.0</v>
      </c>
      <c r="K7" s="2">
        <v>8.10287011423513</v>
      </c>
    </row>
    <row r="8">
      <c r="A8" s="2">
        <v>45.0</v>
      </c>
      <c r="B8" s="2" t="s">
        <v>67</v>
      </c>
      <c r="C8" s="2" t="s">
        <v>144</v>
      </c>
      <c r="D8" s="2" t="s">
        <v>143</v>
      </c>
      <c r="E8" s="2">
        <v>77.0</v>
      </c>
      <c r="F8" s="2">
        <v>24.3082308313111</v>
      </c>
      <c r="G8" s="2">
        <v>25.378319467913</v>
      </c>
      <c r="H8" s="2">
        <v>7.53219210413708</v>
      </c>
      <c r="I8" s="2">
        <v>880.0</v>
      </c>
      <c r="J8" s="2">
        <v>957.0</v>
      </c>
      <c r="K8" s="2">
        <v>7.58223556017743</v>
      </c>
    </row>
    <row r="9">
      <c r="A9" s="2">
        <v>45.0</v>
      </c>
      <c r="B9" s="2" t="s">
        <v>64</v>
      </c>
      <c r="C9" s="2" t="s">
        <v>144</v>
      </c>
      <c r="D9" s="2" t="s">
        <v>143</v>
      </c>
      <c r="E9" s="2">
        <v>62.0</v>
      </c>
      <c r="F9" s="2">
        <v>32.4019887245516</v>
      </c>
      <c r="G9" s="2">
        <v>33.2591480651721</v>
      </c>
      <c r="H9" s="2">
        <v>6.75127719987352</v>
      </c>
      <c r="I9" s="2">
        <v>1511.0</v>
      </c>
      <c r="J9" s="2">
        <v>1573.0</v>
      </c>
      <c r="K9" s="2">
        <v>6.78474790753551</v>
      </c>
    </row>
    <row r="10">
      <c r="A10" s="2">
        <v>45.0</v>
      </c>
      <c r="B10" s="2" t="s">
        <v>18</v>
      </c>
      <c r="C10" s="2" t="s">
        <v>144</v>
      </c>
      <c r="D10" s="2" t="s">
        <v>143</v>
      </c>
      <c r="E10" s="2">
        <v>63.0</v>
      </c>
      <c r="F10" s="2">
        <v>28.6734364896442</v>
      </c>
      <c r="G10" s="2">
        <v>29.5451228350956</v>
      </c>
      <c r="H10" s="2">
        <v>6.80755922779894</v>
      </c>
      <c r="I10" s="2">
        <v>1252.0</v>
      </c>
      <c r="J10" s="2">
        <v>1315.0</v>
      </c>
      <c r="K10" s="2">
        <v>6.8421112508222</v>
      </c>
    </row>
    <row r="11">
      <c r="A11" s="2">
        <v>45.0</v>
      </c>
      <c r="B11" s="2" t="s">
        <v>47</v>
      </c>
      <c r="C11" s="2" t="s">
        <v>144</v>
      </c>
      <c r="D11" s="2" t="s">
        <v>143</v>
      </c>
      <c r="E11" s="2">
        <v>87.0</v>
      </c>
      <c r="F11" s="2">
        <v>24.1007710692508</v>
      </c>
      <c r="G11" s="2">
        <v>25.2976813554043</v>
      </c>
      <c r="H11" s="2">
        <v>7.95899155233292</v>
      </c>
      <c r="I11" s="2">
        <v>821.0</v>
      </c>
      <c r="J11" s="2">
        <v>908.0</v>
      </c>
      <c r="K11" s="2">
        <v>8.0196277956894</v>
      </c>
    </row>
    <row r="12">
      <c r="A12" s="2">
        <v>45.0</v>
      </c>
      <c r="B12" s="2" t="s">
        <v>16</v>
      </c>
      <c r="C12" s="2" t="s">
        <v>144</v>
      </c>
      <c r="D12" s="2" t="s">
        <v>143</v>
      </c>
      <c r="E12" s="2">
        <v>76.0</v>
      </c>
      <c r="F12" s="2">
        <v>20.1531634998542</v>
      </c>
      <c r="G12" s="2">
        <v>21.1953494828166</v>
      </c>
      <c r="H12" s="2">
        <v>7.43478782528736</v>
      </c>
      <c r="I12" s="2">
        <v>607.0</v>
      </c>
      <c r="J12" s="2">
        <v>683.0</v>
      </c>
      <c r="K12" s="2">
        <v>7.4825720775261</v>
      </c>
    </row>
    <row r="13">
      <c r="A13" s="2">
        <v>45.0</v>
      </c>
      <c r="B13" s="2" t="s">
        <v>31</v>
      </c>
      <c r="C13" s="2" t="s">
        <v>144</v>
      </c>
      <c r="D13" s="2" t="s">
        <v>143</v>
      </c>
      <c r="E13" s="2">
        <v>73.0</v>
      </c>
      <c r="F13" s="2">
        <v>23.6729517254993</v>
      </c>
      <c r="G13" s="2">
        <v>24.6765999958666</v>
      </c>
      <c r="H13" s="2">
        <v>7.29799101301596</v>
      </c>
      <c r="I13" s="2">
        <v>861.0</v>
      </c>
      <c r="J13" s="2">
        <v>934.0</v>
      </c>
      <c r="K13" s="2">
        <v>7.34269792655218</v>
      </c>
    </row>
    <row r="14">
      <c r="A14" s="2">
        <v>45.0</v>
      </c>
      <c r="B14" s="2" t="s">
        <v>40</v>
      </c>
      <c r="C14" s="2" t="s">
        <v>144</v>
      </c>
      <c r="D14" s="2" t="s">
        <v>143</v>
      </c>
      <c r="E14" s="2">
        <v>87.0</v>
      </c>
      <c r="F14" s="2">
        <v>26.6825156540195</v>
      </c>
      <c r="G14" s="2">
        <v>27.8711240448787</v>
      </c>
      <c r="H14" s="2">
        <v>7.93180110435482</v>
      </c>
      <c r="I14" s="2">
        <v>999.0</v>
      </c>
      <c r="J14" s="2">
        <v>1086.0</v>
      </c>
      <c r="K14" s="2">
        <v>7.99172785443551</v>
      </c>
    </row>
    <row r="15">
      <c r="A15" s="2">
        <v>44.0</v>
      </c>
      <c r="B15" s="2" t="s">
        <v>183</v>
      </c>
      <c r="C15" s="2" t="s">
        <v>142</v>
      </c>
      <c r="D15" s="2" t="s">
        <v>145</v>
      </c>
      <c r="E15" s="2">
        <v>-82.0</v>
      </c>
      <c r="F15" s="2">
        <v>24.3928200493331</v>
      </c>
      <c r="G15" s="2">
        <v>23.0790416665462</v>
      </c>
      <c r="H15" s="2">
        <v>8.21753949017795</v>
      </c>
      <c r="I15" s="2">
        <v>813.0</v>
      </c>
      <c r="J15" s="2">
        <v>731.0</v>
      </c>
      <c r="K15" s="2">
        <v>8.28651393063344</v>
      </c>
    </row>
    <row r="16">
      <c r="A16" s="2">
        <v>44.0</v>
      </c>
      <c r="B16" s="2" t="s">
        <v>82</v>
      </c>
      <c r="C16" s="2" t="s">
        <v>142</v>
      </c>
      <c r="D16" s="2" t="s">
        <v>145</v>
      </c>
      <c r="E16" s="2">
        <v>-80.0</v>
      </c>
      <c r="F16" s="2">
        <v>25.9001922270057</v>
      </c>
      <c r="G16" s="2">
        <v>24.6174654745324</v>
      </c>
      <c r="H16" s="2">
        <v>8.1215918362939</v>
      </c>
      <c r="I16" s="2">
        <v>926.0</v>
      </c>
      <c r="J16" s="2">
        <v>846.0</v>
      </c>
      <c r="K16" s="2">
        <v>8.18787106844809</v>
      </c>
    </row>
    <row r="17">
      <c r="A17" s="2">
        <v>44.0</v>
      </c>
      <c r="B17" s="2" t="s">
        <v>113</v>
      </c>
      <c r="C17" s="2" t="s">
        <v>142</v>
      </c>
      <c r="D17" s="2" t="s">
        <v>145</v>
      </c>
      <c r="E17" s="2">
        <v>-67.0</v>
      </c>
      <c r="F17" s="2">
        <v>22.9212220453809</v>
      </c>
      <c r="G17" s="2">
        <v>21.873399027042</v>
      </c>
      <c r="H17" s="2">
        <v>7.35229391663014</v>
      </c>
      <c r="I17" s="2">
        <v>804.0</v>
      </c>
      <c r="J17" s="2">
        <v>737.0</v>
      </c>
      <c r="K17" s="2">
        <v>7.3991618113601</v>
      </c>
    </row>
    <row r="18">
      <c r="A18" s="2">
        <v>44.0</v>
      </c>
      <c r="B18" s="2" t="s">
        <v>32</v>
      </c>
      <c r="C18" s="2" t="s">
        <v>144</v>
      </c>
      <c r="D18" s="2" t="s">
        <v>143</v>
      </c>
      <c r="E18" s="2">
        <v>78.0</v>
      </c>
      <c r="F18" s="2">
        <v>16.8183737345679</v>
      </c>
      <c r="G18" s="2">
        <v>17.8905255560402</v>
      </c>
      <c r="H18" s="2">
        <v>7.43591036839882</v>
      </c>
      <c r="I18" s="2">
        <v>380.0</v>
      </c>
      <c r="J18" s="2">
        <v>458.0</v>
      </c>
      <c r="K18" s="2">
        <v>7.48470695916721</v>
      </c>
    </row>
    <row r="19">
      <c r="A19" s="2">
        <v>44.0</v>
      </c>
      <c r="B19" s="2" t="s">
        <v>31</v>
      </c>
      <c r="C19" s="2" t="s">
        <v>144</v>
      </c>
      <c r="D19" s="2" t="s">
        <v>143</v>
      </c>
      <c r="E19" s="2">
        <v>76.0</v>
      </c>
      <c r="F19" s="2">
        <v>22.6279020779019</v>
      </c>
      <c r="G19" s="2">
        <v>23.6729517254993</v>
      </c>
      <c r="H19" s="2">
        <v>7.34269792655218</v>
      </c>
      <c r="I19" s="2">
        <v>785.0</v>
      </c>
      <c r="J19" s="2">
        <v>861.0</v>
      </c>
      <c r="K19" s="2">
        <v>7.38934717961802</v>
      </c>
    </row>
    <row r="20">
      <c r="A20" s="2">
        <v>44.0</v>
      </c>
      <c r="B20" s="2" t="s">
        <v>26</v>
      </c>
      <c r="C20" s="2" t="s">
        <v>144</v>
      </c>
      <c r="D20" s="2" t="s">
        <v>143</v>
      </c>
      <c r="E20" s="2">
        <v>91.0</v>
      </c>
      <c r="F20" s="2">
        <v>25.3847917965442</v>
      </c>
      <c r="G20" s="2">
        <v>26.6345009490693</v>
      </c>
      <c r="H20" s="2">
        <v>8.01821622276458</v>
      </c>
      <c r="I20" s="2">
        <v>902.0</v>
      </c>
      <c r="J20" s="2">
        <v>993.0</v>
      </c>
      <c r="K20" s="2">
        <v>8.08166217683325</v>
      </c>
    </row>
    <row r="21">
      <c r="A21" s="2">
        <v>44.0</v>
      </c>
      <c r="B21" s="2" t="s">
        <v>40</v>
      </c>
      <c r="C21" s="2" t="s">
        <v>144</v>
      </c>
      <c r="D21" s="2" t="s">
        <v>143</v>
      </c>
      <c r="E21" s="2">
        <v>91.0</v>
      </c>
      <c r="F21" s="2">
        <v>25.4411937765042</v>
      </c>
      <c r="G21" s="2">
        <v>26.6825156540195</v>
      </c>
      <c r="H21" s="2">
        <v>7.99172785443551</v>
      </c>
      <c r="I21" s="2">
        <v>908.0</v>
      </c>
      <c r="J21" s="2">
        <v>999.0</v>
      </c>
      <c r="K21" s="2">
        <v>8.05445946547916</v>
      </c>
    </row>
    <row r="22">
      <c r="A22" s="2">
        <v>44.0</v>
      </c>
      <c r="B22" s="2" t="s">
        <v>66</v>
      </c>
      <c r="C22" s="2" t="s">
        <v>144</v>
      </c>
      <c r="D22" s="2" t="s">
        <v>143</v>
      </c>
      <c r="E22" s="2">
        <v>92.0</v>
      </c>
      <c r="F22" s="2">
        <v>25.9653097896841</v>
      </c>
      <c r="G22" s="2">
        <v>27.2184339079529</v>
      </c>
      <c r="H22" s="2">
        <v>8.02897441566366</v>
      </c>
      <c r="I22" s="2">
        <v>940.0</v>
      </c>
      <c r="J22" s="2">
        <v>1032.0</v>
      </c>
      <c r="K22" s="2">
        <v>8.09271184762142</v>
      </c>
    </row>
    <row r="23">
      <c r="A23" s="2">
        <v>44.0</v>
      </c>
      <c r="B23" s="2" t="s">
        <v>39</v>
      </c>
      <c r="C23" s="2" t="s">
        <v>144</v>
      </c>
      <c r="D23" s="2" t="s">
        <v>143</v>
      </c>
      <c r="E23" s="2">
        <v>80.0</v>
      </c>
      <c r="F23" s="2">
        <v>27.2297373051868</v>
      </c>
      <c r="G23" s="2">
        <v>28.3311624184475</v>
      </c>
      <c r="H23" s="2">
        <v>7.53521680863249</v>
      </c>
      <c r="I23" s="2">
        <v>1078.0</v>
      </c>
      <c r="J23" s="2">
        <v>1158.0</v>
      </c>
      <c r="K23" s="2">
        <v>7.58635945523144</v>
      </c>
    </row>
    <row r="24">
      <c r="A24" s="2">
        <v>44.0</v>
      </c>
      <c r="B24" s="2" t="s">
        <v>70</v>
      </c>
      <c r="C24" s="2" t="s">
        <v>144</v>
      </c>
      <c r="D24" s="2" t="s">
        <v>143</v>
      </c>
      <c r="E24" s="2">
        <v>83.0</v>
      </c>
      <c r="F24" s="2">
        <v>20.0318181870176</v>
      </c>
      <c r="G24" s="2">
        <v>21.1693892568051</v>
      </c>
      <c r="H24" s="2">
        <v>7.65595109272594</v>
      </c>
      <c r="I24" s="2">
        <v>576.0</v>
      </c>
      <c r="J24" s="2">
        <v>659.0</v>
      </c>
      <c r="K24" s="2">
        <v>7.71002858330189</v>
      </c>
    </row>
    <row r="25">
      <c r="A25" s="2">
        <v>44.0</v>
      </c>
      <c r="B25" s="2" t="s">
        <v>18</v>
      </c>
      <c r="C25" s="2" t="s">
        <v>144</v>
      </c>
      <c r="D25" s="2" t="s">
        <v>143</v>
      </c>
      <c r="E25" s="2">
        <v>65.0</v>
      </c>
      <c r="F25" s="2">
        <v>27.7677629528633</v>
      </c>
      <c r="G25" s="2">
        <v>28.6734364896442</v>
      </c>
      <c r="H25" s="2">
        <v>6.8421112508222</v>
      </c>
      <c r="I25" s="2">
        <v>1187.0</v>
      </c>
      <c r="J25" s="2">
        <v>1252.0</v>
      </c>
      <c r="K25" s="2">
        <v>6.87809803151705</v>
      </c>
    </row>
    <row r="26">
      <c r="A26" s="2">
        <v>44.0</v>
      </c>
      <c r="B26" s="2" t="s">
        <v>51</v>
      </c>
      <c r="C26" s="2" t="s">
        <v>144</v>
      </c>
      <c r="D26" s="2" t="s">
        <v>143</v>
      </c>
      <c r="E26" s="2">
        <v>91.0</v>
      </c>
      <c r="F26" s="2">
        <v>24.8404888544389</v>
      </c>
      <c r="G26" s="2">
        <v>26.0847533256407</v>
      </c>
      <c r="H26" s="2">
        <v>8.00103173891463</v>
      </c>
      <c r="I26" s="2">
        <v>867.0</v>
      </c>
      <c r="J26" s="2">
        <v>958.0</v>
      </c>
      <c r="K26" s="2">
        <v>8.06401372132711</v>
      </c>
    </row>
    <row r="27">
      <c r="A27" s="2">
        <v>44.0</v>
      </c>
      <c r="B27" s="2" t="s">
        <v>64</v>
      </c>
      <c r="C27" s="2" t="s">
        <v>144</v>
      </c>
      <c r="D27" s="2" t="s">
        <v>143</v>
      </c>
      <c r="E27" s="2">
        <v>64.0</v>
      </c>
      <c r="F27" s="2">
        <v>31.5116252995851</v>
      </c>
      <c r="G27" s="2">
        <v>32.4019887245516</v>
      </c>
      <c r="H27" s="2">
        <v>6.78474790753551</v>
      </c>
      <c r="I27" s="2">
        <v>1447.0</v>
      </c>
      <c r="J27" s="2">
        <v>1511.0</v>
      </c>
      <c r="K27" s="2">
        <v>6.81960270656037</v>
      </c>
    </row>
    <row r="28">
      <c r="A28" s="2">
        <v>43.0</v>
      </c>
      <c r="B28" s="2" t="s">
        <v>22</v>
      </c>
      <c r="C28" s="2" t="s">
        <v>142</v>
      </c>
      <c r="D28" s="2" t="s">
        <v>145</v>
      </c>
      <c r="E28" s="2">
        <v>-78.0</v>
      </c>
      <c r="F28" s="2">
        <v>25.7176048962079</v>
      </c>
      <c r="G28" s="2">
        <v>24.4668043690512</v>
      </c>
      <c r="H28" s="2">
        <v>8.21488907159278</v>
      </c>
      <c r="I28" s="2">
        <v>904.0</v>
      </c>
      <c r="J28" s="2">
        <v>826.0</v>
      </c>
      <c r="K28" s="2">
        <v>8.28140272302984</v>
      </c>
    </row>
    <row r="29">
      <c r="A29" s="2">
        <v>43.0</v>
      </c>
      <c r="B29" s="2" t="s">
        <v>26</v>
      </c>
      <c r="C29" s="2" t="s">
        <v>142</v>
      </c>
      <c r="D29" s="2" t="s">
        <v>145</v>
      </c>
      <c r="E29" s="2">
        <v>-76.0</v>
      </c>
      <c r="F29" s="2">
        <v>26.5946543650004</v>
      </c>
      <c r="G29" s="2">
        <v>25.3847917965442</v>
      </c>
      <c r="H29" s="2">
        <v>8.08166217683325</v>
      </c>
      <c r="I29" s="2">
        <v>978.0</v>
      </c>
      <c r="J29" s="2">
        <v>902.0</v>
      </c>
      <c r="K29" s="2">
        <v>8.14457177168611</v>
      </c>
    </row>
    <row r="30">
      <c r="A30" s="2">
        <v>43.0</v>
      </c>
      <c r="B30" s="2" t="s">
        <v>16</v>
      </c>
      <c r="C30" s="2" t="s">
        <v>142</v>
      </c>
      <c r="D30" s="2" t="s">
        <v>145</v>
      </c>
      <c r="E30" s="2">
        <v>-66.0</v>
      </c>
      <c r="F30" s="2">
        <v>21.1877522789603</v>
      </c>
      <c r="G30" s="2">
        <v>20.1531634998542</v>
      </c>
      <c r="H30" s="2">
        <v>7.4825720775261</v>
      </c>
      <c r="I30" s="2">
        <v>673.0</v>
      </c>
      <c r="J30" s="2">
        <v>607.0</v>
      </c>
      <c r="K30" s="2">
        <v>7.53068007986308</v>
      </c>
    </row>
    <row r="31">
      <c r="A31" s="2">
        <v>43.0</v>
      </c>
      <c r="B31" s="2" t="s">
        <v>38</v>
      </c>
      <c r="C31" s="2" t="s">
        <v>144</v>
      </c>
      <c r="D31" s="2" t="s">
        <v>143</v>
      </c>
      <c r="E31" s="2">
        <v>88.0</v>
      </c>
      <c r="F31" s="2">
        <v>27.0190363226769</v>
      </c>
      <c r="G31" s="2">
        <v>28.2213839164266</v>
      </c>
      <c r="H31" s="2">
        <v>8.05694927322532</v>
      </c>
      <c r="I31" s="2">
        <v>1009.0</v>
      </c>
      <c r="J31" s="2">
        <v>1097.0</v>
      </c>
      <c r="K31" s="2">
        <v>8.1192032317355</v>
      </c>
    </row>
    <row r="32">
      <c r="A32" s="2">
        <v>43.0</v>
      </c>
      <c r="B32" s="2" t="s">
        <v>55</v>
      </c>
      <c r="C32" s="2" t="s">
        <v>144</v>
      </c>
      <c r="D32" s="2" t="s">
        <v>143</v>
      </c>
      <c r="E32" s="2">
        <v>80.0</v>
      </c>
      <c r="F32" s="2">
        <v>30.6339889830567</v>
      </c>
      <c r="G32" s="2">
        <v>31.7342900186505</v>
      </c>
      <c r="H32" s="2">
        <v>7.71298711575653</v>
      </c>
      <c r="I32" s="2">
        <v>1291.0</v>
      </c>
      <c r="J32" s="2">
        <v>1371.0</v>
      </c>
      <c r="K32" s="2">
        <v>7.76652343424665</v>
      </c>
    </row>
    <row r="33">
      <c r="A33" s="2">
        <v>43.0</v>
      </c>
      <c r="B33" s="2" t="s">
        <v>23</v>
      </c>
      <c r="C33" s="2" t="s">
        <v>144</v>
      </c>
      <c r="D33" s="2" t="s">
        <v>143</v>
      </c>
      <c r="E33" s="2">
        <v>88.0</v>
      </c>
      <c r="F33" s="2">
        <v>22.2003358111695</v>
      </c>
      <c r="G33" s="2">
        <v>23.4106577249412</v>
      </c>
      <c r="H33" s="2">
        <v>8.08317010614893</v>
      </c>
      <c r="I33" s="2">
        <v>679.0</v>
      </c>
      <c r="J33" s="2">
        <v>767.0</v>
      </c>
      <c r="K33" s="2">
        <v>8.14611983627488</v>
      </c>
    </row>
    <row r="34">
      <c r="A34" s="2">
        <v>43.0</v>
      </c>
      <c r="B34" s="2" t="s">
        <v>28</v>
      </c>
      <c r="C34" s="2" t="s">
        <v>144</v>
      </c>
      <c r="D34" s="2" t="s">
        <v>143</v>
      </c>
      <c r="E34" s="2">
        <v>81.0</v>
      </c>
      <c r="F34" s="2">
        <v>20.6462496639973</v>
      </c>
      <c r="G34" s="2">
        <v>21.7515661136132</v>
      </c>
      <c r="H34" s="2">
        <v>7.73027378070993</v>
      </c>
      <c r="I34" s="2">
        <v>610.0</v>
      </c>
      <c r="J34" s="2">
        <v>691.0</v>
      </c>
      <c r="K34" s="2">
        <v>7.78423042048396</v>
      </c>
    </row>
    <row r="35">
      <c r="A35" s="2">
        <v>43.0</v>
      </c>
      <c r="B35" s="2" t="s">
        <v>149</v>
      </c>
      <c r="C35" s="2" t="s">
        <v>144</v>
      </c>
      <c r="D35" s="2" t="s">
        <v>143</v>
      </c>
      <c r="E35" s="2">
        <v>86.0</v>
      </c>
      <c r="F35" s="2">
        <v>25.8832138308131</v>
      </c>
      <c r="G35" s="2">
        <v>27.0500586559952</v>
      </c>
      <c r="H35" s="2">
        <v>7.93908577057087</v>
      </c>
      <c r="I35" s="2">
        <v>944.0</v>
      </c>
      <c r="J35" s="2">
        <v>1030.0</v>
      </c>
      <c r="K35" s="2">
        <v>7.99826749955685</v>
      </c>
    </row>
    <row r="36">
      <c r="A36" s="2">
        <v>43.0</v>
      </c>
      <c r="B36" s="2" t="s">
        <v>67</v>
      </c>
      <c r="C36" s="2" t="s">
        <v>144</v>
      </c>
      <c r="D36" s="2" t="s">
        <v>143</v>
      </c>
      <c r="E36" s="2">
        <v>78.0</v>
      </c>
      <c r="F36" s="2">
        <v>23.2454785710621</v>
      </c>
      <c r="G36" s="2">
        <v>24.3082308313111</v>
      </c>
      <c r="H36" s="2">
        <v>7.58223556017743</v>
      </c>
      <c r="I36" s="2">
        <v>802.0</v>
      </c>
      <c r="J36" s="2">
        <v>880.0</v>
      </c>
      <c r="K36" s="2">
        <v>7.63265209292169</v>
      </c>
    </row>
    <row r="37">
      <c r="A37" s="2">
        <v>43.0</v>
      </c>
      <c r="B37" s="2" t="s">
        <v>78</v>
      </c>
      <c r="C37" s="2" t="s">
        <v>144</v>
      </c>
      <c r="D37" s="2" t="s">
        <v>143</v>
      </c>
      <c r="E37" s="2">
        <v>92.0</v>
      </c>
      <c r="F37" s="2">
        <v>24.1214027145434</v>
      </c>
      <c r="G37" s="2">
        <v>25.3700648959569</v>
      </c>
      <c r="H37" s="2">
        <v>8.20798748480845</v>
      </c>
      <c r="I37" s="2">
        <v>796.0</v>
      </c>
      <c r="J37" s="2">
        <v>888.0</v>
      </c>
      <c r="K37" s="2">
        <v>8.27431152993395</v>
      </c>
    </row>
    <row r="38">
      <c r="A38" s="2">
        <v>43.0</v>
      </c>
      <c r="B38" s="2" t="s">
        <v>64</v>
      </c>
      <c r="C38" s="2" t="s">
        <v>144</v>
      </c>
      <c r="D38" s="2" t="s">
        <v>143</v>
      </c>
      <c r="E38" s="2">
        <v>62.0</v>
      </c>
      <c r="F38" s="2">
        <v>30.6543793545784</v>
      </c>
      <c r="G38" s="2">
        <v>31.5116252995851</v>
      </c>
      <c r="H38" s="2">
        <v>6.81960270656037</v>
      </c>
      <c r="I38" s="2">
        <v>1385.0</v>
      </c>
      <c r="J38" s="2">
        <v>1447.0</v>
      </c>
      <c r="K38" s="2">
        <v>6.85380482599989</v>
      </c>
    </row>
    <row r="39">
      <c r="A39" s="2">
        <v>43.0</v>
      </c>
      <c r="B39" s="2" t="s">
        <v>46</v>
      </c>
      <c r="C39" s="2" t="s">
        <v>144</v>
      </c>
      <c r="D39" s="2" t="s">
        <v>143</v>
      </c>
      <c r="E39" s="2">
        <v>87.0</v>
      </c>
      <c r="F39" s="2">
        <v>22.092413791833</v>
      </c>
      <c r="G39" s="2">
        <v>23.2707512079236</v>
      </c>
      <c r="H39" s="2">
        <v>7.97744307134669</v>
      </c>
      <c r="I39" s="2">
        <v>682.0</v>
      </c>
      <c r="J39" s="2">
        <v>769.0</v>
      </c>
      <c r="K39" s="2">
        <v>8.03761475060658</v>
      </c>
    </row>
    <row r="40">
      <c r="A40" s="2">
        <v>43.0</v>
      </c>
      <c r="B40" s="2" t="s">
        <v>40</v>
      </c>
      <c r="C40" s="2" t="s">
        <v>144</v>
      </c>
      <c r="D40" s="2" t="s">
        <v>143</v>
      </c>
      <c r="E40" s="2">
        <v>88.0</v>
      </c>
      <c r="F40" s="2">
        <v>24.2396019456301</v>
      </c>
      <c r="G40" s="2">
        <v>25.4411937765042</v>
      </c>
      <c r="H40" s="2">
        <v>8.05445946547916</v>
      </c>
      <c r="I40" s="2">
        <v>820.0</v>
      </c>
      <c r="J40" s="2">
        <v>908.0</v>
      </c>
      <c r="K40" s="2">
        <v>8.11664759095514</v>
      </c>
    </row>
    <row r="41">
      <c r="A41" s="2">
        <v>42.0</v>
      </c>
      <c r="B41" s="2" t="s">
        <v>16</v>
      </c>
      <c r="C41" s="2" t="s">
        <v>142</v>
      </c>
      <c r="D41" s="2" t="s">
        <v>145</v>
      </c>
      <c r="E41" s="2">
        <v>-36.0</v>
      </c>
      <c r="F41" s="2">
        <v>21.7797101608629</v>
      </c>
      <c r="G41" s="2">
        <v>21.1877522789603</v>
      </c>
      <c r="H41" s="2">
        <v>7.53068007986308</v>
      </c>
      <c r="I41" s="2">
        <v>709.0</v>
      </c>
      <c r="J41" s="2">
        <v>673.0</v>
      </c>
      <c r="K41" s="2">
        <v>7.56766186767356</v>
      </c>
    </row>
    <row r="42">
      <c r="A42" s="2">
        <v>42.0</v>
      </c>
      <c r="B42" s="2" t="s">
        <v>40</v>
      </c>
      <c r="C42" s="2" t="s">
        <v>142</v>
      </c>
      <c r="D42" s="2" t="s">
        <v>145</v>
      </c>
      <c r="E42" s="2">
        <v>-42.0</v>
      </c>
      <c r="F42" s="2">
        <v>24.9285557921584</v>
      </c>
      <c r="G42" s="2">
        <v>24.2396019456301</v>
      </c>
      <c r="H42" s="2">
        <v>8.11664759095514</v>
      </c>
      <c r="I42" s="2">
        <v>862.0</v>
      </c>
      <c r="J42" s="2">
        <v>820.0</v>
      </c>
      <c r="K42" s="2">
        <v>8.16506071144255</v>
      </c>
    </row>
    <row r="43">
      <c r="A43" s="2">
        <v>42.0</v>
      </c>
      <c r="B43" s="2" t="s">
        <v>32</v>
      </c>
      <c r="C43" s="2" t="s">
        <v>142</v>
      </c>
      <c r="D43" s="2" t="s">
        <v>145</v>
      </c>
      <c r="E43" s="2">
        <v>-36.0</v>
      </c>
      <c r="F43" s="2">
        <v>17.4030438428561</v>
      </c>
      <c r="G43" s="2">
        <v>16.8183737345679</v>
      </c>
      <c r="H43" s="2">
        <v>7.48470695916721</v>
      </c>
      <c r="I43" s="2">
        <v>416.0</v>
      </c>
      <c r="J43" s="2">
        <v>380.0</v>
      </c>
      <c r="K43" s="2">
        <v>7.5208600445063</v>
      </c>
    </row>
    <row r="44">
      <c r="A44" s="2">
        <v>42.0</v>
      </c>
      <c r="B44" s="2" t="s">
        <v>82</v>
      </c>
      <c r="C44" s="2" t="s">
        <v>144</v>
      </c>
      <c r="D44" s="2" t="s">
        <v>143</v>
      </c>
      <c r="E44" s="2">
        <v>53.0</v>
      </c>
      <c r="F44" s="2">
        <v>25.1989271544239</v>
      </c>
      <c r="G44" s="2">
        <v>25.9001922270057</v>
      </c>
      <c r="H44" s="2">
        <v>8.18787106844809</v>
      </c>
      <c r="I44" s="2">
        <v>873.0</v>
      </c>
      <c r="J44" s="2">
        <v>926.0</v>
      </c>
      <c r="K44" s="2">
        <v>8.23778787095447</v>
      </c>
    </row>
    <row r="45">
      <c r="A45" s="2">
        <v>42.0</v>
      </c>
      <c r="B45" s="2" t="s">
        <v>67</v>
      </c>
      <c r="C45" s="2" t="s">
        <v>144</v>
      </c>
      <c r="D45" s="2" t="s">
        <v>143</v>
      </c>
      <c r="E45" s="2">
        <v>45.0</v>
      </c>
      <c r="F45" s="2">
        <v>22.6371890257367</v>
      </c>
      <c r="G45" s="2">
        <v>23.2454785710621</v>
      </c>
      <c r="H45" s="2">
        <v>7.63265209292169</v>
      </c>
      <c r="I45" s="2">
        <v>757.0</v>
      </c>
      <c r="J45" s="2">
        <v>802.0</v>
      </c>
      <c r="K45" s="2">
        <v>7.67150642794818</v>
      </c>
    </row>
    <row r="46">
      <c r="A46" s="2">
        <v>42.0</v>
      </c>
      <c r="B46" s="2" t="s">
        <v>26</v>
      </c>
      <c r="C46" s="2" t="s">
        <v>144</v>
      </c>
      <c r="D46" s="2" t="s">
        <v>143</v>
      </c>
      <c r="E46" s="2">
        <v>52.0</v>
      </c>
      <c r="F46" s="2">
        <v>25.9008872528723</v>
      </c>
      <c r="G46" s="2">
        <v>26.5946543650004</v>
      </c>
      <c r="H46" s="2">
        <v>8.14457177168611</v>
      </c>
      <c r="I46" s="2">
        <v>926.0</v>
      </c>
      <c r="J46" s="2">
        <v>978.0</v>
      </c>
      <c r="K46" s="2">
        <v>8.19357138238799</v>
      </c>
    </row>
    <row r="47">
      <c r="A47" s="2">
        <v>42.0</v>
      </c>
      <c r="B47" s="2" t="s">
        <v>29</v>
      </c>
      <c r="C47" s="2" t="s">
        <v>144</v>
      </c>
      <c r="D47" s="2" t="s">
        <v>143</v>
      </c>
      <c r="E47" s="2">
        <v>40.0</v>
      </c>
      <c r="F47" s="2">
        <v>24.5142070494991</v>
      </c>
      <c r="G47" s="2">
        <v>25.045919683418</v>
      </c>
      <c r="H47" s="2">
        <v>7.14134143105037</v>
      </c>
      <c r="I47" s="2">
        <v>935.0</v>
      </c>
      <c r="J47" s="2">
        <v>975.0</v>
      </c>
      <c r="K47" s="2">
        <v>7.17160128736284</v>
      </c>
    </row>
    <row r="48">
      <c r="A48" s="2">
        <v>42.0</v>
      </c>
      <c r="B48" s="2" t="s">
        <v>22</v>
      </c>
      <c r="C48" s="2" t="s">
        <v>144</v>
      </c>
      <c r="D48" s="2" t="s">
        <v>143</v>
      </c>
      <c r="E48" s="2">
        <v>54.0</v>
      </c>
      <c r="F48" s="2">
        <v>25.0</v>
      </c>
      <c r="G48" s="2">
        <v>25.7176048962079</v>
      </c>
      <c r="H48" s="2">
        <v>8.28140272302984</v>
      </c>
      <c r="I48" s="2">
        <v>850.0</v>
      </c>
      <c r="J48" s="2">
        <v>904.0</v>
      </c>
      <c r="K48" s="2">
        <v>8.33333333333333</v>
      </c>
    </row>
    <row r="49">
      <c r="A49" s="2">
        <v>42.0</v>
      </c>
      <c r="B49" s="2" t="s">
        <v>24</v>
      </c>
      <c r="C49" s="2" t="s">
        <v>144</v>
      </c>
      <c r="D49" s="2" t="s">
        <v>143</v>
      </c>
      <c r="E49" s="2">
        <v>50.0</v>
      </c>
      <c r="F49" s="2">
        <v>25.371027668588</v>
      </c>
      <c r="G49" s="2">
        <v>26.0431158789108</v>
      </c>
      <c r="H49" s="2">
        <v>8.01799197802564</v>
      </c>
      <c r="I49" s="2">
        <v>903.0</v>
      </c>
      <c r="J49" s="2">
        <v>953.0</v>
      </c>
      <c r="K49" s="2">
        <v>8.06436425405737</v>
      </c>
    </row>
    <row r="50">
      <c r="A50" s="2">
        <v>42.0</v>
      </c>
      <c r="B50" s="2" t="s">
        <v>64</v>
      </c>
      <c r="C50" s="2" t="s">
        <v>144</v>
      </c>
      <c r="D50" s="2" t="s">
        <v>143</v>
      </c>
      <c r="E50" s="2">
        <v>35.0</v>
      </c>
      <c r="F50" s="2">
        <v>30.1650219719026</v>
      </c>
      <c r="G50" s="2">
        <v>30.6543793545784</v>
      </c>
      <c r="H50" s="2">
        <v>6.85380482599989</v>
      </c>
      <c r="I50" s="2">
        <v>1350.0</v>
      </c>
      <c r="J50" s="2">
        <v>1385.0</v>
      </c>
      <c r="K50" s="2">
        <v>6.87951509506823</v>
      </c>
    </row>
    <row r="51">
      <c r="A51" s="2">
        <v>42.0</v>
      </c>
      <c r="B51" s="2" t="s">
        <v>55</v>
      </c>
      <c r="C51" s="2" t="s">
        <v>144</v>
      </c>
      <c r="D51" s="2" t="s">
        <v>143</v>
      </c>
      <c r="E51" s="2">
        <v>47.0</v>
      </c>
      <c r="F51" s="2">
        <v>30.0039091210699</v>
      </c>
      <c r="G51" s="2">
        <v>30.6339889830567</v>
      </c>
      <c r="H51" s="2">
        <v>7.76652343424665</v>
      </c>
      <c r="I51" s="2">
        <v>1244.0</v>
      </c>
      <c r="J51" s="2">
        <v>1291.0</v>
      </c>
      <c r="K51" s="2">
        <v>7.80790931822061</v>
      </c>
    </row>
    <row r="52">
      <c r="A52" s="2">
        <v>42.0</v>
      </c>
      <c r="B52" s="2" t="s">
        <v>28</v>
      </c>
      <c r="C52" s="2" t="s">
        <v>144</v>
      </c>
      <c r="D52" s="2" t="s">
        <v>143</v>
      </c>
      <c r="E52" s="2">
        <v>47.0</v>
      </c>
      <c r="F52" s="2">
        <v>20.0132578486142</v>
      </c>
      <c r="G52" s="2">
        <v>20.6462496639973</v>
      </c>
      <c r="H52" s="2">
        <v>7.78423042048396</v>
      </c>
      <c r="I52" s="2">
        <v>563.0</v>
      </c>
      <c r="J52" s="2">
        <v>610.0</v>
      </c>
      <c r="K52" s="2">
        <v>7.82595746478214</v>
      </c>
    </row>
    <row r="53">
      <c r="A53" s="2">
        <v>42.0</v>
      </c>
      <c r="B53" s="2" t="s">
        <v>99</v>
      </c>
      <c r="C53" s="2" t="s">
        <v>144</v>
      </c>
      <c r="D53" s="2" t="s">
        <v>143</v>
      </c>
      <c r="E53" s="2">
        <v>50.0</v>
      </c>
      <c r="F53" s="2">
        <v>25.230357494333</v>
      </c>
      <c r="G53" s="2">
        <v>25.898828859453</v>
      </c>
      <c r="H53" s="2">
        <v>7.99666816377496</v>
      </c>
      <c r="I53" s="2">
        <v>895.0</v>
      </c>
      <c r="J53" s="2">
        <v>945.0</v>
      </c>
      <c r="K53" s="2">
        <v>8.04260566800298</v>
      </c>
    </row>
    <row r="54">
      <c r="A54" s="2">
        <v>41.0</v>
      </c>
      <c r="B54" s="2" t="s">
        <v>18</v>
      </c>
      <c r="C54" s="2" t="s">
        <v>142</v>
      </c>
      <c r="D54" s="2" t="s">
        <v>143</v>
      </c>
      <c r="E54" s="2">
        <v>29.0</v>
      </c>
      <c r="F54" s="2">
        <v>27.3813235706427</v>
      </c>
      <c r="G54" s="2">
        <v>27.7677629528633</v>
      </c>
      <c r="H54" s="2">
        <v>6.87809803151705</v>
      </c>
      <c r="I54" s="2">
        <v>1158.0</v>
      </c>
      <c r="J54" s="2">
        <v>1187.0</v>
      </c>
      <c r="K54" s="2">
        <v>6.89840902421667</v>
      </c>
    </row>
    <row r="55">
      <c r="A55" s="2">
        <v>41.0</v>
      </c>
      <c r="B55" s="2" t="s">
        <v>67</v>
      </c>
      <c r="C55" s="2" t="s">
        <v>142</v>
      </c>
      <c r="D55" s="2" t="s">
        <v>143</v>
      </c>
      <c r="E55" s="2">
        <v>36.0</v>
      </c>
      <c r="F55" s="2">
        <v>22.1555259820326</v>
      </c>
      <c r="G55" s="2">
        <v>22.6371890257367</v>
      </c>
      <c r="H55" s="2">
        <v>7.67150642794818</v>
      </c>
      <c r="I55" s="2">
        <v>721.0</v>
      </c>
      <c r="J55" s="2">
        <v>757.0</v>
      </c>
      <c r="K55" s="2">
        <v>7.70302112603607</v>
      </c>
    </row>
    <row r="56">
      <c r="A56" s="2">
        <v>41.0</v>
      </c>
      <c r="B56" s="2" t="s">
        <v>83</v>
      </c>
      <c r="C56" s="2" t="s">
        <v>142</v>
      </c>
      <c r="D56" s="2" t="s">
        <v>143</v>
      </c>
      <c r="E56" s="2">
        <v>41.0</v>
      </c>
      <c r="F56" s="2">
        <v>27.6602425292726</v>
      </c>
      <c r="G56" s="2">
        <v>28.2064373795293</v>
      </c>
      <c r="H56" s="2">
        <v>8.1639172975453</v>
      </c>
      <c r="I56" s="2">
        <v>1044.0</v>
      </c>
      <c r="J56" s="2">
        <v>1085.0</v>
      </c>
      <c r="K56" s="2">
        <v>8.20355580434155</v>
      </c>
    </row>
    <row r="57">
      <c r="A57" s="2">
        <v>41.0</v>
      </c>
      <c r="B57" s="2" t="s">
        <v>31</v>
      </c>
      <c r="C57" s="2" t="s">
        <v>144</v>
      </c>
      <c r="D57" s="2" t="s">
        <v>145</v>
      </c>
      <c r="E57" s="2">
        <v>-28.0</v>
      </c>
      <c r="F57" s="2">
        <v>23.0744677560292</v>
      </c>
      <c r="G57" s="2">
        <v>22.6279020779019</v>
      </c>
      <c r="H57" s="2">
        <v>7.38934717961802</v>
      </c>
      <c r="I57" s="2">
        <v>813.0</v>
      </c>
      <c r="J57" s="2">
        <v>785.0</v>
      </c>
      <c r="K57" s="2">
        <v>7.41662309609461</v>
      </c>
    </row>
    <row r="58">
      <c r="A58" s="2">
        <v>41.0</v>
      </c>
      <c r="B58" s="2" t="s">
        <v>16</v>
      </c>
      <c r="C58" s="2" t="s">
        <v>144</v>
      </c>
      <c r="D58" s="2" t="s">
        <v>145</v>
      </c>
      <c r="E58" s="2">
        <v>-29.0</v>
      </c>
      <c r="F58" s="2">
        <v>22.2482973130254</v>
      </c>
      <c r="G58" s="2">
        <v>21.7797101608629</v>
      </c>
      <c r="H58" s="2">
        <v>7.56766186767356</v>
      </c>
      <c r="I58" s="2">
        <v>738.0</v>
      </c>
      <c r="J58" s="2">
        <v>709.0</v>
      </c>
      <c r="K58" s="2">
        <v>7.59758247899334</v>
      </c>
    </row>
    <row r="59">
      <c r="A59" s="2">
        <v>41.0</v>
      </c>
      <c r="B59" s="2" t="s">
        <v>40</v>
      </c>
      <c r="C59" s="2" t="s">
        <v>144</v>
      </c>
      <c r="D59" s="2" t="s">
        <v>145</v>
      </c>
      <c r="E59" s="2">
        <v>-33.0</v>
      </c>
      <c r="F59" s="2">
        <v>25.4749053654974</v>
      </c>
      <c r="G59" s="2">
        <v>24.9285557921584</v>
      </c>
      <c r="H59" s="2">
        <v>8.16506071144255</v>
      </c>
      <c r="I59" s="2">
        <v>895.0</v>
      </c>
      <c r="J59" s="2">
        <v>862.0</v>
      </c>
      <c r="K59" s="2">
        <v>8.20471920488144</v>
      </c>
    </row>
    <row r="60">
      <c r="A60" s="2">
        <v>41.0</v>
      </c>
      <c r="B60" s="2" t="s">
        <v>32</v>
      </c>
      <c r="C60" s="2" t="s">
        <v>144</v>
      </c>
      <c r="D60" s="2" t="s">
        <v>145</v>
      </c>
      <c r="E60" s="2">
        <v>-29.0</v>
      </c>
      <c r="F60" s="2">
        <v>17.8657983202182</v>
      </c>
      <c r="G60" s="2">
        <v>17.4030438428561</v>
      </c>
      <c r="H60" s="2">
        <v>7.5208600445063</v>
      </c>
      <c r="I60" s="2">
        <v>445.0</v>
      </c>
      <c r="J60" s="2">
        <v>416.0</v>
      </c>
      <c r="K60" s="2">
        <v>7.55007528742197</v>
      </c>
    </row>
    <row r="61">
      <c r="A61" s="2">
        <v>41.0</v>
      </c>
      <c r="B61" s="2" t="s">
        <v>118</v>
      </c>
      <c r="C61" s="2" t="s">
        <v>144</v>
      </c>
      <c r="D61" s="2" t="s">
        <v>145</v>
      </c>
      <c r="E61" s="2">
        <v>-34.0</v>
      </c>
      <c r="F61" s="2">
        <v>25.0</v>
      </c>
      <c r="G61" s="2">
        <v>24.4364104780276</v>
      </c>
      <c r="H61" s="2">
        <v>8.29143274407048</v>
      </c>
      <c r="I61" s="2">
        <v>850.0</v>
      </c>
      <c r="J61" s="2">
        <v>816.0</v>
      </c>
      <c r="K61" s="2">
        <v>8.33333333333333</v>
      </c>
    </row>
    <row r="62">
      <c r="A62" s="2">
        <v>41.0</v>
      </c>
      <c r="B62" s="2" t="s">
        <v>26</v>
      </c>
      <c r="C62" s="2" t="s">
        <v>144</v>
      </c>
      <c r="D62" s="2" t="s">
        <v>145</v>
      </c>
      <c r="E62" s="2">
        <v>-33.0</v>
      </c>
      <c r="F62" s="2">
        <v>26.4511021233987</v>
      </c>
      <c r="G62" s="2">
        <v>25.9008872528723</v>
      </c>
      <c r="H62" s="2">
        <v>8.19357138238799</v>
      </c>
      <c r="I62" s="2">
        <v>959.0</v>
      </c>
      <c r="J62" s="2">
        <v>926.0</v>
      </c>
      <c r="K62" s="2">
        <v>8.23372996623178</v>
      </c>
    </row>
    <row r="63">
      <c r="A63" s="2">
        <v>41.0</v>
      </c>
      <c r="B63" s="2" t="s">
        <v>64</v>
      </c>
      <c r="C63" s="2" t="s">
        <v>144</v>
      </c>
      <c r="D63" s="2" t="s">
        <v>145</v>
      </c>
      <c r="E63" s="2">
        <v>-24.0</v>
      </c>
      <c r="F63" s="2">
        <v>30.5516218584603</v>
      </c>
      <c r="G63" s="2">
        <v>30.1650219719026</v>
      </c>
      <c r="H63" s="2">
        <v>6.87951509506823</v>
      </c>
      <c r="I63" s="2">
        <v>1374.0</v>
      </c>
      <c r="J63" s="2">
        <v>1350.0</v>
      </c>
      <c r="K63" s="2">
        <v>6.89984418229837</v>
      </c>
    </row>
    <row r="64">
      <c r="A64" s="2">
        <v>41.0</v>
      </c>
      <c r="B64" s="2" t="s">
        <v>23</v>
      </c>
      <c r="C64" s="2" t="s">
        <v>144</v>
      </c>
      <c r="D64" s="2" t="s">
        <v>145</v>
      </c>
      <c r="E64" s="2">
        <v>-33.0</v>
      </c>
      <c r="F64" s="2">
        <v>22.744125286231</v>
      </c>
      <c r="G64" s="2">
        <v>22.2003358111695</v>
      </c>
      <c r="H64" s="2">
        <v>8.14611983627488</v>
      </c>
      <c r="I64" s="2">
        <v>712.0</v>
      </c>
      <c r="J64" s="2">
        <v>679.0</v>
      </c>
      <c r="K64" s="2">
        <v>8.18544793497972</v>
      </c>
    </row>
    <row r="65">
      <c r="A65" s="2">
        <v>41.0</v>
      </c>
      <c r="B65" s="2" t="s">
        <v>28</v>
      </c>
      <c r="C65" s="2" t="s">
        <v>144</v>
      </c>
      <c r="D65" s="2" t="s">
        <v>145</v>
      </c>
      <c r="E65" s="2">
        <v>-30.0</v>
      </c>
      <c r="F65" s="2">
        <v>20.5147119919659</v>
      </c>
      <c r="G65" s="2">
        <v>20.0132578486142</v>
      </c>
      <c r="H65" s="2">
        <v>7.82595746478214</v>
      </c>
      <c r="I65" s="2">
        <v>593.0</v>
      </c>
      <c r="J65" s="2">
        <v>563.0</v>
      </c>
      <c r="K65" s="2">
        <v>7.859918391595</v>
      </c>
    </row>
    <row r="66">
      <c r="A66" s="2">
        <v>41.0</v>
      </c>
      <c r="B66" s="2" t="s">
        <v>39</v>
      </c>
      <c r="C66" s="2" t="s">
        <v>144</v>
      </c>
      <c r="D66" s="2" t="s">
        <v>145</v>
      </c>
      <c r="E66" s="2">
        <v>-29.0</v>
      </c>
      <c r="F66" s="2">
        <v>27.7006651499067</v>
      </c>
      <c r="G66" s="2">
        <v>27.2297373051868</v>
      </c>
      <c r="H66" s="2">
        <v>7.58635945523144</v>
      </c>
      <c r="I66" s="2">
        <v>1107.0</v>
      </c>
      <c r="J66" s="2">
        <v>1078.0</v>
      </c>
      <c r="K66" s="2">
        <v>7.61656412440716</v>
      </c>
    </row>
    <row r="67">
      <c r="A67" s="2">
        <v>41.0</v>
      </c>
      <c r="B67" s="2" t="s">
        <v>24</v>
      </c>
      <c r="C67" s="2" t="s">
        <v>144</v>
      </c>
      <c r="D67" s="2" t="s">
        <v>145</v>
      </c>
      <c r="E67" s="2">
        <v>-32.0</v>
      </c>
      <c r="F67" s="2">
        <v>25.9038381140423</v>
      </c>
      <c r="G67" s="2">
        <v>25.371027668588</v>
      </c>
      <c r="H67" s="2">
        <v>8.06436425405737</v>
      </c>
      <c r="I67" s="2">
        <v>935.0</v>
      </c>
      <c r="J67" s="2">
        <v>903.0</v>
      </c>
      <c r="K67" s="2">
        <v>8.10228296219764</v>
      </c>
    </row>
    <row r="68">
      <c r="A68" s="2">
        <v>40.0</v>
      </c>
      <c r="B68" s="2" t="s">
        <v>91</v>
      </c>
      <c r="C68" s="2" t="s">
        <v>142</v>
      </c>
      <c r="D68" s="2" t="s">
        <v>145</v>
      </c>
      <c r="E68" s="2">
        <v>-97.0</v>
      </c>
      <c r="F68" s="2">
        <v>22.6119340322016</v>
      </c>
      <c r="G68" s="2">
        <v>21.0994030767743</v>
      </c>
      <c r="H68" s="2">
        <v>7.87192435073585</v>
      </c>
      <c r="I68" s="2">
        <v>729.0</v>
      </c>
      <c r="J68" s="2">
        <v>632.0</v>
      </c>
      <c r="K68" s="2">
        <v>7.93058222505662</v>
      </c>
    </row>
    <row r="69">
      <c r="A69" s="2">
        <v>40.0</v>
      </c>
      <c r="B69" s="2" t="s">
        <v>71</v>
      </c>
      <c r="C69" s="2" t="s">
        <v>142</v>
      </c>
      <c r="D69" s="2" t="s">
        <v>145</v>
      </c>
      <c r="E69" s="2">
        <v>-102.0</v>
      </c>
      <c r="F69" s="2">
        <v>26.5227119715331</v>
      </c>
      <c r="G69" s="2">
        <v>24.9342272487845</v>
      </c>
      <c r="H69" s="2">
        <v>8.06382831415451</v>
      </c>
      <c r="I69" s="2">
        <v>975.0</v>
      </c>
      <c r="J69" s="2">
        <v>873.0</v>
      </c>
      <c r="K69" s="2">
        <v>8.12754372976693</v>
      </c>
    </row>
    <row r="70">
      <c r="A70" s="2">
        <v>40.0</v>
      </c>
      <c r="B70" s="2" t="s">
        <v>24</v>
      </c>
      <c r="C70" s="2" t="s">
        <v>142</v>
      </c>
      <c r="D70" s="2" t="s">
        <v>145</v>
      </c>
      <c r="E70" s="2">
        <v>-102.0</v>
      </c>
      <c r="F70" s="2">
        <v>27.5077784309198</v>
      </c>
      <c r="G70" s="2">
        <v>25.9038381140423</v>
      </c>
      <c r="H70" s="2">
        <v>8.10228296219764</v>
      </c>
      <c r="I70" s="2">
        <v>1037.0</v>
      </c>
      <c r="J70" s="2">
        <v>935.0</v>
      </c>
      <c r="K70" s="2">
        <v>8.16704120140288</v>
      </c>
    </row>
    <row r="71">
      <c r="A71" s="2">
        <v>40.0</v>
      </c>
      <c r="B71" s="2" t="s">
        <v>39</v>
      </c>
      <c r="C71" s="2" t="s">
        <v>144</v>
      </c>
      <c r="D71" s="2" t="s">
        <v>143</v>
      </c>
      <c r="E71" s="2">
        <v>102.0</v>
      </c>
      <c r="F71" s="2">
        <v>26.2861783280797</v>
      </c>
      <c r="G71" s="2">
        <v>27.7006651499067</v>
      </c>
      <c r="H71" s="2">
        <v>7.61656412440716</v>
      </c>
      <c r="I71" s="2">
        <v>1005.0</v>
      </c>
      <c r="J71" s="2">
        <v>1107.0</v>
      </c>
      <c r="K71" s="2">
        <v>7.66886071529896</v>
      </c>
    </row>
    <row r="72">
      <c r="A72" s="2">
        <v>40.0</v>
      </c>
      <c r="B72" s="2" t="s">
        <v>83</v>
      </c>
      <c r="C72" s="2" t="s">
        <v>144</v>
      </c>
      <c r="D72" s="2" t="s">
        <v>143</v>
      </c>
      <c r="E72" s="2">
        <v>119.0</v>
      </c>
      <c r="F72" s="2">
        <v>26.0152214138178</v>
      </c>
      <c r="G72" s="2">
        <v>27.6602425292726</v>
      </c>
      <c r="H72" s="2">
        <v>8.20355580434155</v>
      </c>
      <c r="I72" s="2">
        <v>925.0</v>
      </c>
      <c r="J72" s="2">
        <v>1044.0</v>
      </c>
      <c r="K72" s="2">
        <v>8.27110815677971</v>
      </c>
    </row>
    <row r="73">
      <c r="A73" s="2">
        <v>40.0</v>
      </c>
      <c r="B73" s="2" t="s">
        <v>16</v>
      </c>
      <c r="C73" s="2" t="s">
        <v>144</v>
      </c>
      <c r="D73" s="2" t="s">
        <v>143</v>
      </c>
      <c r="E73" s="2">
        <v>101.0</v>
      </c>
      <c r="F73" s="2">
        <v>20.8409610116457</v>
      </c>
      <c r="G73" s="2">
        <v>22.2482973130254</v>
      </c>
      <c r="H73" s="2">
        <v>7.59758247899334</v>
      </c>
      <c r="I73" s="2">
        <v>637.0</v>
      </c>
      <c r="J73" s="2">
        <v>738.0</v>
      </c>
      <c r="K73" s="2">
        <v>7.64942258677673</v>
      </c>
    </row>
    <row r="74">
      <c r="A74" s="2">
        <v>40.0</v>
      </c>
      <c r="B74" s="2" t="s">
        <v>29</v>
      </c>
      <c r="C74" s="2" t="s">
        <v>144</v>
      </c>
      <c r="D74" s="2" t="s">
        <v>143</v>
      </c>
      <c r="E74" s="2">
        <v>89.0</v>
      </c>
      <c r="F74" s="2">
        <v>23.2623693006061</v>
      </c>
      <c r="G74" s="2">
        <v>24.5142070494991</v>
      </c>
      <c r="H74" s="2">
        <v>7.17160128736284</v>
      </c>
      <c r="I74" s="2">
        <v>846.0</v>
      </c>
      <c r="J74" s="2">
        <v>935.0</v>
      </c>
      <c r="K74" s="2">
        <v>7.21376912978122</v>
      </c>
    </row>
    <row r="75">
      <c r="A75" s="2">
        <v>40.0</v>
      </c>
      <c r="B75" s="2" t="s">
        <v>32</v>
      </c>
      <c r="C75" s="2" t="s">
        <v>144</v>
      </c>
      <c r="D75" s="2" t="s">
        <v>143</v>
      </c>
      <c r="E75" s="2">
        <v>100.0</v>
      </c>
      <c r="F75" s="2">
        <v>16.4762752101244</v>
      </c>
      <c r="G75" s="2">
        <v>17.8657983202182</v>
      </c>
      <c r="H75" s="2">
        <v>7.55007528742197</v>
      </c>
      <c r="I75" s="2">
        <v>345.0</v>
      </c>
      <c r="J75" s="2">
        <v>445.0</v>
      </c>
      <c r="K75" s="2">
        <v>7.60078265729734</v>
      </c>
    </row>
    <row r="76">
      <c r="A76" s="2">
        <v>40.0</v>
      </c>
      <c r="B76" s="2" t="s">
        <v>47</v>
      </c>
      <c r="C76" s="2" t="s">
        <v>144</v>
      </c>
      <c r="D76" s="2" t="s">
        <v>143</v>
      </c>
      <c r="E76" s="2">
        <v>113.0</v>
      </c>
      <c r="F76" s="2">
        <v>22.5299540089448</v>
      </c>
      <c r="G76" s="2">
        <v>24.1007710692508</v>
      </c>
      <c r="H76" s="2">
        <v>8.0196277956894</v>
      </c>
      <c r="I76" s="2">
        <v>708.0</v>
      </c>
      <c r="J76" s="2">
        <v>821.0</v>
      </c>
      <c r="K76" s="2">
        <v>8.08215678011476</v>
      </c>
    </row>
    <row r="77">
      <c r="A77" s="2">
        <v>40.0</v>
      </c>
      <c r="B77" s="2" t="s">
        <v>64</v>
      </c>
      <c r="C77" s="2" t="s">
        <v>144</v>
      </c>
      <c r="D77" s="2" t="s">
        <v>143</v>
      </c>
      <c r="E77" s="2">
        <v>83.0</v>
      </c>
      <c r="F77" s="2">
        <v>29.394040106293</v>
      </c>
      <c r="G77" s="2">
        <v>30.5516218584603</v>
      </c>
      <c r="H77" s="2">
        <v>6.89984418229837</v>
      </c>
      <c r="I77" s="2">
        <v>1291.0</v>
      </c>
      <c r="J77" s="2">
        <v>1374.0</v>
      </c>
      <c r="K77" s="2">
        <v>6.93638949264485</v>
      </c>
    </row>
    <row r="78">
      <c r="A78" s="2">
        <v>40.0</v>
      </c>
      <c r="B78" s="2" t="s">
        <v>40</v>
      </c>
      <c r="C78" s="2" t="s">
        <v>144</v>
      </c>
      <c r="D78" s="2" t="s">
        <v>143</v>
      </c>
      <c r="E78" s="2">
        <v>118.0</v>
      </c>
      <c r="F78" s="2">
        <v>23.8294091396349</v>
      </c>
      <c r="G78" s="2">
        <v>25.4749053654974</v>
      </c>
      <c r="H78" s="2">
        <v>8.20471920488144</v>
      </c>
      <c r="I78" s="2">
        <v>777.0</v>
      </c>
      <c r="J78" s="2">
        <v>895.0</v>
      </c>
      <c r="K78" s="2">
        <v>8.27230406085674</v>
      </c>
    </row>
    <row r="79">
      <c r="A79" s="2">
        <v>40.0</v>
      </c>
      <c r="B79" s="2" t="s">
        <v>38</v>
      </c>
      <c r="C79" s="2" t="s">
        <v>144</v>
      </c>
      <c r="D79" s="2" t="s">
        <v>143</v>
      </c>
      <c r="E79" s="2">
        <v>116.0</v>
      </c>
      <c r="F79" s="2">
        <v>25.4082704790786</v>
      </c>
      <c r="G79" s="2">
        <v>27.0190363226769</v>
      </c>
      <c r="H79" s="2">
        <v>8.1192032317355</v>
      </c>
      <c r="I79" s="2">
        <v>893.0</v>
      </c>
      <c r="J79" s="2">
        <v>1009.0</v>
      </c>
      <c r="K79" s="2">
        <v>8.18442346792001</v>
      </c>
    </row>
    <row r="80">
      <c r="A80" s="2">
        <v>40.0</v>
      </c>
      <c r="B80" s="2" t="s">
        <v>31</v>
      </c>
      <c r="C80" s="2" t="s">
        <v>144</v>
      </c>
      <c r="D80" s="2" t="s">
        <v>143</v>
      </c>
      <c r="E80" s="2">
        <v>96.0</v>
      </c>
      <c r="F80" s="2">
        <v>21.7343492600552</v>
      </c>
      <c r="G80" s="2">
        <v>23.0744677560292</v>
      </c>
      <c r="H80" s="2">
        <v>7.41662309609461</v>
      </c>
      <c r="I80" s="2">
        <v>717.0</v>
      </c>
      <c r="J80" s="2">
        <v>813.0</v>
      </c>
      <c r="K80" s="2">
        <v>7.46422214708322</v>
      </c>
    </row>
    <row r="81">
      <c r="A81" s="2">
        <v>40.0</v>
      </c>
      <c r="B81" s="2" t="s">
        <v>151</v>
      </c>
      <c r="C81" s="2" t="s">
        <v>144</v>
      </c>
      <c r="D81" s="2" t="s">
        <v>143</v>
      </c>
      <c r="E81" s="2">
        <v>121.0</v>
      </c>
      <c r="F81" s="2">
        <v>25.0</v>
      </c>
      <c r="G81" s="2">
        <v>26.6698332150654</v>
      </c>
      <c r="H81" s="2">
        <v>8.2640777685933</v>
      </c>
      <c r="I81" s="2">
        <v>850.0</v>
      </c>
      <c r="J81" s="2">
        <v>971.0</v>
      </c>
      <c r="K81" s="2">
        <v>8.33333333333333</v>
      </c>
    </row>
    <row r="82">
      <c r="A82" s="2">
        <v>39.0</v>
      </c>
      <c r="B82" s="2" t="s">
        <v>18</v>
      </c>
      <c r="C82" s="2" t="s">
        <v>142</v>
      </c>
      <c r="D82" s="2" t="s">
        <v>143</v>
      </c>
      <c r="E82" s="2">
        <v>22.0</v>
      </c>
      <c r="F82" s="2">
        <v>27.076313105321</v>
      </c>
      <c r="G82" s="2">
        <v>27.3813235706427</v>
      </c>
      <c r="H82" s="2">
        <v>6.89840902421667</v>
      </c>
      <c r="I82" s="2">
        <v>1136.0</v>
      </c>
      <c r="J82" s="2">
        <v>1158.0</v>
      </c>
      <c r="K82" s="2">
        <v>6.9169500243878</v>
      </c>
    </row>
    <row r="83">
      <c r="A83" s="2">
        <v>39.0</v>
      </c>
      <c r="B83" s="2" t="s">
        <v>86</v>
      </c>
      <c r="C83" s="2" t="s">
        <v>142</v>
      </c>
      <c r="D83" s="2" t="s">
        <v>143</v>
      </c>
      <c r="E83" s="2">
        <v>32.0</v>
      </c>
      <c r="F83" s="2">
        <v>24.6920266180919</v>
      </c>
      <c r="G83" s="2">
        <v>25.1132196253933</v>
      </c>
      <c r="H83" s="2">
        <v>8.09523865736746</v>
      </c>
      <c r="I83" s="2">
        <v>850.0</v>
      </c>
      <c r="J83" s="2">
        <v>882.0</v>
      </c>
      <c r="K83" s="2">
        <v>8.13037335576998</v>
      </c>
    </row>
    <row r="84">
      <c r="A84" s="2">
        <v>39.0</v>
      </c>
      <c r="B84" s="2" t="s">
        <v>26</v>
      </c>
      <c r="C84" s="2" t="s">
        <v>142</v>
      </c>
      <c r="D84" s="2" t="s">
        <v>143</v>
      </c>
      <c r="E84" s="2">
        <v>34.0</v>
      </c>
      <c r="F84" s="2">
        <v>26.0152214138178</v>
      </c>
      <c r="G84" s="2">
        <v>26.4511021233987</v>
      </c>
      <c r="H84" s="2">
        <v>8.23372996623178</v>
      </c>
      <c r="I84" s="2">
        <v>925.0</v>
      </c>
      <c r="J84" s="2">
        <v>959.0</v>
      </c>
      <c r="K84" s="2">
        <v>8.27110815677971</v>
      </c>
    </row>
    <row r="85">
      <c r="A85" s="2">
        <v>39.0</v>
      </c>
      <c r="B85" s="2" t="s">
        <v>67</v>
      </c>
      <c r="C85" s="2" t="s">
        <v>144</v>
      </c>
      <c r="D85" s="2" t="s">
        <v>145</v>
      </c>
      <c r="E85" s="2">
        <v>-23.0</v>
      </c>
      <c r="F85" s="2">
        <v>22.5365275785094</v>
      </c>
      <c r="G85" s="2">
        <v>22.1555259820326</v>
      </c>
      <c r="H85" s="2">
        <v>7.70302112603607</v>
      </c>
      <c r="I85" s="2">
        <v>744.0</v>
      </c>
      <c r="J85" s="2">
        <v>721.0</v>
      </c>
      <c r="K85" s="2">
        <v>7.73218294589696</v>
      </c>
    </row>
    <row r="86">
      <c r="A86" s="2">
        <v>39.0</v>
      </c>
      <c r="B86" s="2" t="s">
        <v>111</v>
      </c>
      <c r="C86" s="2" t="s">
        <v>144</v>
      </c>
      <c r="D86" s="2" t="s">
        <v>145</v>
      </c>
      <c r="E86" s="2">
        <v>-23.0</v>
      </c>
      <c r="F86" s="2">
        <v>24.419477411662</v>
      </c>
      <c r="G86" s="2">
        <v>24.0362105211305</v>
      </c>
      <c r="H86" s="2">
        <v>7.72567777197567</v>
      </c>
      <c r="I86" s="2">
        <v>869.0</v>
      </c>
      <c r="J86" s="2">
        <v>846.0</v>
      </c>
      <c r="K86" s="2">
        <v>7.75516972479567</v>
      </c>
    </row>
    <row r="87">
      <c r="A87" s="2">
        <v>39.0</v>
      </c>
      <c r="B87" s="2" t="s">
        <v>64</v>
      </c>
      <c r="C87" s="2" t="s">
        <v>144</v>
      </c>
      <c r="D87" s="2" t="s">
        <v>145</v>
      </c>
      <c r="E87" s="2">
        <v>-19.0</v>
      </c>
      <c r="F87" s="2">
        <v>29.7024433537348</v>
      </c>
      <c r="G87" s="2">
        <v>29.394040106293</v>
      </c>
      <c r="H87" s="2">
        <v>6.93638949264485</v>
      </c>
      <c r="I87" s="2">
        <v>1310.0</v>
      </c>
      <c r="J87" s="2">
        <v>1291.0</v>
      </c>
      <c r="K87" s="2">
        <v>6.95538592788846</v>
      </c>
    </row>
    <row r="88">
      <c r="A88" s="2">
        <v>39.0</v>
      </c>
      <c r="B88" s="2" t="s">
        <v>31</v>
      </c>
      <c r="C88" s="2" t="s">
        <v>144</v>
      </c>
      <c r="D88" s="2" t="s">
        <v>145</v>
      </c>
      <c r="E88" s="2">
        <v>-21.0</v>
      </c>
      <c r="F88" s="2">
        <v>22.0918940163209</v>
      </c>
      <c r="G88" s="2">
        <v>21.7343492600552</v>
      </c>
      <c r="H88" s="2">
        <v>7.46422214708322</v>
      </c>
      <c r="I88" s="2">
        <v>738.0</v>
      </c>
      <c r="J88" s="2">
        <v>717.0</v>
      </c>
      <c r="K88" s="2">
        <v>7.49001148255136</v>
      </c>
    </row>
    <row r="89">
      <c r="A89" s="2">
        <v>39.0</v>
      </c>
      <c r="B89" s="2" t="s">
        <v>32</v>
      </c>
      <c r="C89" s="2" t="s">
        <v>144</v>
      </c>
      <c r="D89" s="2" t="s">
        <v>145</v>
      </c>
      <c r="E89" s="2">
        <v>-23.0</v>
      </c>
      <c r="F89" s="2">
        <v>16.8471404112579</v>
      </c>
      <c r="G89" s="2">
        <v>16.4762752101244</v>
      </c>
      <c r="H89" s="2">
        <v>7.60078265729734</v>
      </c>
      <c r="I89" s="2">
        <v>368.0</v>
      </c>
      <c r="J89" s="2">
        <v>345.0</v>
      </c>
      <c r="K89" s="2">
        <v>7.62847682444862</v>
      </c>
    </row>
    <row r="90">
      <c r="A90" s="2">
        <v>39.0</v>
      </c>
      <c r="B90" s="2" t="s">
        <v>16</v>
      </c>
      <c r="C90" s="2" t="s">
        <v>144</v>
      </c>
      <c r="D90" s="2" t="s">
        <v>145</v>
      </c>
      <c r="E90" s="2">
        <v>-23.0</v>
      </c>
      <c r="F90" s="2">
        <v>21.2166310937202</v>
      </c>
      <c r="G90" s="2">
        <v>20.8409610116457</v>
      </c>
      <c r="H90" s="2">
        <v>7.64942258677673</v>
      </c>
      <c r="I90" s="2">
        <v>660.0</v>
      </c>
      <c r="J90" s="2">
        <v>637.0</v>
      </c>
      <c r="K90" s="2">
        <v>7.67781050197373</v>
      </c>
    </row>
    <row r="91">
      <c r="A91" s="2">
        <v>39.0</v>
      </c>
      <c r="B91" s="2" t="s">
        <v>28</v>
      </c>
      <c r="C91" s="2" t="s">
        <v>144</v>
      </c>
      <c r="D91" s="2" t="s">
        <v>145</v>
      </c>
      <c r="E91" s="2">
        <v>-24.0</v>
      </c>
      <c r="F91" s="2">
        <v>20.9115424151785</v>
      </c>
      <c r="G91" s="2">
        <v>20.5147119919659</v>
      </c>
      <c r="H91" s="2">
        <v>7.859918391595</v>
      </c>
      <c r="I91" s="2">
        <v>617.0</v>
      </c>
      <c r="J91" s="2">
        <v>593.0</v>
      </c>
      <c r="K91" s="2">
        <v>7.89140334792395</v>
      </c>
    </row>
    <row r="92">
      <c r="A92" s="2">
        <v>39.0</v>
      </c>
      <c r="B92" s="2" t="s">
        <v>88</v>
      </c>
      <c r="C92" s="2" t="s">
        <v>144</v>
      </c>
      <c r="D92" s="2" t="s">
        <v>145</v>
      </c>
      <c r="E92" s="2">
        <v>-26.0</v>
      </c>
      <c r="F92" s="2">
        <v>25.0</v>
      </c>
      <c r="G92" s="2">
        <v>24.5575448364605</v>
      </c>
      <c r="H92" s="2">
        <v>8.29494047264077</v>
      </c>
      <c r="I92" s="2">
        <v>850.0</v>
      </c>
      <c r="J92" s="2">
        <v>824.0</v>
      </c>
      <c r="K92" s="2">
        <v>8.33333333333333</v>
      </c>
    </row>
    <row r="93">
      <c r="A93" s="2">
        <v>39.0</v>
      </c>
      <c r="B93" s="2" t="s">
        <v>65</v>
      </c>
      <c r="C93" s="2" t="s">
        <v>144</v>
      </c>
      <c r="D93" s="2" t="s">
        <v>145</v>
      </c>
      <c r="E93" s="2">
        <v>-25.0</v>
      </c>
      <c r="F93" s="2">
        <v>25.818495858342</v>
      </c>
      <c r="G93" s="2">
        <v>25.386163640866</v>
      </c>
      <c r="H93" s="2">
        <v>8.20049424369652</v>
      </c>
      <c r="I93" s="2">
        <v>915.0</v>
      </c>
      <c r="J93" s="2">
        <v>890.0</v>
      </c>
      <c r="K93" s="2">
        <v>8.23732745680262</v>
      </c>
    </row>
    <row r="94">
      <c r="A94" s="2">
        <v>39.0</v>
      </c>
      <c r="B94" s="2" t="s">
        <v>47</v>
      </c>
      <c r="C94" s="2" t="s">
        <v>144</v>
      </c>
      <c r="D94" s="2" t="s">
        <v>145</v>
      </c>
      <c r="E94" s="2">
        <v>-25.0</v>
      </c>
      <c r="F94" s="2">
        <v>22.9497730289441</v>
      </c>
      <c r="G94" s="2">
        <v>22.5299540089448</v>
      </c>
      <c r="H94" s="2">
        <v>8.08215678011476</v>
      </c>
      <c r="I94" s="2">
        <v>733.0</v>
      </c>
      <c r="J94" s="2">
        <v>708.0</v>
      </c>
      <c r="K94" s="2">
        <v>8.11708326171487</v>
      </c>
    </row>
    <row r="95">
      <c r="A95" s="2">
        <v>38.0</v>
      </c>
      <c r="B95" s="2" t="s">
        <v>64</v>
      </c>
      <c r="C95" s="2" t="s">
        <v>142</v>
      </c>
      <c r="D95" s="2" t="s">
        <v>143</v>
      </c>
      <c r="E95" s="2">
        <v>45.0</v>
      </c>
      <c r="F95" s="2">
        <v>29.0844848245459</v>
      </c>
      <c r="G95" s="2">
        <v>29.7024433537348</v>
      </c>
      <c r="H95" s="2">
        <v>6.95538592788846</v>
      </c>
      <c r="I95" s="2">
        <v>1265.0</v>
      </c>
      <c r="J95" s="2">
        <v>1310.0</v>
      </c>
      <c r="K95" s="2">
        <v>6.98690376627516</v>
      </c>
    </row>
    <row r="96">
      <c r="A96" s="2">
        <v>38.0</v>
      </c>
      <c r="B96" s="2" t="s">
        <v>67</v>
      </c>
      <c r="C96" s="2" t="s">
        <v>142</v>
      </c>
      <c r="D96" s="2" t="s">
        <v>143</v>
      </c>
      <c r="E96" s="2">
        <v>57.0</v>
      </c>
      <c r="F96" s="2">
        <v>21.7708271258397</v>
      </c>
      <c r="G96" s="2">
        <v>22.5365275785094</v>
      </c>
      <c r="H96" s="2">
        <v>7.73218294589696</v>
      </c>
      <c r="I96" s="2">
        <v>687.0</v>
      </c>
      <c r="J96" s="2">
        <v>744.0</v>
      </c>
      <c r="K96" s="2">
        <v>7.77878520737982</v>
      </c>
    </row>
    <row r="97">
      <c r="A97" s="2">
        <v>38.0</v>
      </c>
      <c r="B97" s="2" t="s">
        <v>31</v>
      </c>
      <c r="C97" s="2" t="s">
        <v>142</v>
      </c>
      <c r="D97" s="2" t="s">
        <v>143</v>
      </c>
      <c r="E97" s="2">
        <v>53.0</v>
      </c>
      <c r="F97" s="2">
        <v>21.3740154033011</v>
      </c>
      <c r="G97" s="2">
        <v>22.0918940163209</v>
      </c>
      <c r="H97" s="2">
        <v>7.49001148255136</v>
      </c>
      <c r="I97" s="2">
        <v>685.0</v>
      </c>
      <c r="J97" s="2">
        <v>738.0</v>
      </c>
      <c r="K97" s="2">
        <v>7.53158390769606</v>
      </c>
    </row>
    <row r="98">
      <c r="A98" s="2">
        <v>38.0</v>
      </c>
      <c r="B98" s="2" t="s">
        <v>91</v>
      </c>
      <c r="C98" s="2" t="s">
        <v>144</v>
      </c>
      <c r="D98" s="2" t="s">
        <v>145</v>
      </c>
      <c r="E98" s="2">
        <v>-49.0</v>
      </c>
      <c r="F98" s="2">
        <v>23.4180105531786</v>
      </c>
      <c r="G98" s="2">
        <v>22.6119340322016</v>
      </c>
      <c r="H98" s="2">
        <v>7.93058222505662</v>
      </c>
      <c r="I98" s="2">
        <v>778.0</v>
      </c>
      <c r="J98" s="2">
        <v>729.0</v>
      </c>
      <c r="K98" s="2">
        <v>7.98153901135703</v>
      </c>
    </row>
    <row r="99">
      <c r="A99" s="2">
        <v>38.0</v>
      </c>
      <c r="B99" s="2" t="s">
        <v>123</v>
      </c>
      <c r="C99" s="2" t="s">
        <v>144</v>
      </c>
      <c r="D99" s="2" t="s">
        <v>145</v>
      </c>
      <c r="E99" s="2">
        <v>-43.0</v>
      </c>
      <c r="F99" s="2">
        <v>32.4876108765234</v>
      </c>
      <c r="G99" s="2">
        <v>31.7994802971253</v>
      </c>
      <c r="H99" s="2">
        <v>7.3351158215612</v>
      </c>
      <c r="I99" s="2">
        <v>1457.0</v>
      </c>
      <c r="J99" s="2">
        <v>1414.0</v>
      </c>
      <c r="K99" s="2">
        <v>7.37363007056538</v>
      </c>
    </row>
    <row r="100">
      <c r="A100" s="2">
        <v>38.0</v>
      </c>
      <c r="B100" s="2" t="s">
        <v>78</v>
      </c>
      <c r="C100" s="2" t="s">
        <v>144</v>
      </c>
      <c r="D100" s="2" t="s">
        <v>145</v>
      </c>
      <c r="E100" s="2">
        <v>-54.0</v>
      </c>
      <c r="F100" s="2">
        <v>25.0</v>
      </c>
      <c r="G100" s="2">
        <v>24.1214027145434</v>
      </c>
      <c r="H100" s="2">
        <v>8.27431152993395</v>
      </c>
      <c r="I100" s="2">
        <v>850.0</v>
      </c>
      <c r="J100" s="2">
        <v>796.0</v>
      </c>
      <c r="K100" s="2">
        <v>8.33333333333333</v>
      </c>
    </row>
    <row r="101">
      <c r="A101" s="2">
        <v>38.0</v>
      </c>
      <c r="B101" s="2" t="s">
        <v>18</v>
      </c>
      <c r="C101" s="2" t="s">
        <v>144</v>
      </c>
      <c r="D101" s="2" t="s">
        <v>145</v>
      </c>
      <c r="E101" s="2">
        <v>-38.0</v>
      </c>
      <c r="F101" s="2">
        <v>27.68738623675</v>
      </c>
      <c r="G101" s="2">
        <v>27.076313105321</v>
      </c>
      <c r="H101" s="2">
        <v>6.9169500243878</v>
      </c>
      <c r="I101" s="2">
        <v>1174.0</v>
      </c>
      <c r="J101" s="2">
        <v>1136.0</v>
      </c>
      <c r="K101" s="2">
        <v>6.94779793793209</v>
      </c>
    </row>
    <row r="102">
      <c r="A102" s="2">
        <v>38.0</v>
      </c>
      <c r="B102" s="2" t="s">
        <v>32</v>
      </c>
      <c r="C102" s="2" t="s">
        <v>144</v>
      </c>
      <c r="D102" s="2" t="s">
        <v>145</v>
      </c>
      <c r="E102" s="2">
        <v>-46.0</v>
      </c>
      <c r="F102" s="2">
        <v>17.5921655362841</v>
      </c>
      <c r="G102" s="2">
        <v>16.8471404112579</v>
      </c>
      <c r="H102" s="2">
        <v>7.62847682444862</v>
      </c>
      <c r="I102" s="2">
        <v>414.0</v>
      </c>
      <c r="J102" s="2">
        <v>368.0</v>
      </c>
      <c r="K102" s="2">
        <v>7.67288738359248</v>
      </c>
    </row>
    <row r="103">
      <c r="A103" s="2">
        <v>38.0</v>
      </c>
      <c r="B103" s="2" t="s">
        <v>28</v>
      </c>
      <c r="C103" s="2" t="s">
        <v>144</v>
      </c>
      <c r="D103" s="2" t="s">
        <v>145</v>
      </c>
      <c r="E103" s="2">
        <v>-49.0</v>
      </c>
      <c r="F103" s="2">
        <v>21.7095599322</v>
      </c>
      <c r="G103" s="2">
        <v>20.9115424151785</v>
      </c>
      <c r="H103" s="2">
        <v>7.89140334792395</v>
      </c>
      <c r="I103" s="2">
        <v>666.0</v>
      </c>
      <c r="J103" s="2">
        <v>617.0</v>
      </c>
      <c r="K103" s="2">
        <v>7.94148315682277</v>
      </c>
    </row>
    <row r="104">
      <c r="A104" s="2">
        <v>38.0</v>
      </c>
      <c r="B104" s="2" t="s">
        <v>113</v>
      </c>
      <c r="C104" s="2" t="s">
        <v>144</v>
      </c>
      <c r="D104" s="2" t="s">
        <v>145</v>
      </c>
      <c r="E104" s="2">
        <v>-43.0</v>
      </c>
      <c r="F104" s="2">
        <v>23.6215735667143</v>
      </c>
      <c r="G104" s="2">
        <v>22.9212220453809</v>
      </c>
      <c r="H104" s="2">
        <v>7.3991618113601</v>
      </c>
      <c r="I104" s="2">
        <v>847.0</v>
      </c>
      <c r="J104" s="2">
        <v>804.0</v>
      </c>
      <c r="K104" s="2">
        <v>7.43892580499811</v>
      </c>
    </row>
    <row r="105">
      <c r="A105" s="2">
        <v>38.0</v>
      </c>
      <c r="B105" s="2" t="s">
        <v>39</v>
      </c>
      <c r="C105" s="2" t="s">
        <v>144</v>
      </c>
      <c r="D105" s="2" t="s">
        <v>145</v>
      </c>
      <c r="E105" s="2">
        <v>-47.0</v>
      </c>
      <c r="F105" s="2">
        <v>27.0392195550299</v>
      </c>
      <c r="G105" s="2">
        <v>26.2861783280797</v>
      </c>
      <c r="H105" s="2">
        <v>7.66886071529896</v>
      </c>
      <c r="I105" s="2">
        <v>1052.0</v>
      </c>
      <c r="J105" s="2">
        <v>1005.0</v>
      </c>
      <c r="K105" s="2">
        <v>7.7141179459558</v>
      </c>
    </row>
    <row r="106">
      <c r="A106" s="2">
        <v>38.0</v>
      </c>
      <c r="B106" s="2" t="s">
        <v>19</v>
      </c>
      <c r="C106" s="2" t="s">
        <v>144</v>
      </c>
      <c r="D106" s="2" t="s">
        <v>145</v>
      </c>
      <c r="E106" s="2">
        <v>-51.0</v>
      </c>
      <c r="F106" s="2">
        <v>22.4314828714937</v>
      </c>
      <c r="G106" s="2">
        <v>21.5894649694713</v>
      </c>
      <c r="H106" s="2">
        <v>8.10287011423513</v>
      </c>
      <c r="I106" s="2">
        <v>693.0</v>
      </c>
      <c r="J106" s="2">
        <v>642.0</v>
      </c>
      <c r="K106" s="2">
        <v>8.15778512488319</v>
      </c>
    </row>
    <row r="107">
      <c r="A107" s="2">
        <v>38.0</v>
      </c>
      <c r="B107" s="2" t="s">
        <v>47</v>
      </c>
      <c r="C107" s="2" t="s">
        <v>144</v>
      </c>
      <c r="D107" s="2" t="s">
        <v>145</v>
      </c>
      <c r="E107" s="2">
        <v>-51.0</v>
      </c>
      <c r="F107" s="2">
        <v>23.7947925669238</v>
      </c>
      <c r="G107" s="2">
        <v>22.9497730289441</v>
      </c>
      <c r="H107" s="2">
        <v>8.11708326171487</v>
      </c>
      <c r="I107" s="2">
        <v>784.0</v>
      </c>
      <c r="J107" s="2">
        <v>733.0</v>
      </c>
      <c r="K107" s="2">
        <v>8.17233230591647</v>
      </c>
    </row>
    <row r="108">
      <c r="A108" s="2">
        <v>37.0</v>
      </c>
      <c r="B108" s="2" t="s">
        <v>18</v>
      </c>
      <c r="C108" s="2" t="s">
        <v>142</v>
      </c>
      <c r="D108" s="2" t="s">
        <v>143</v>
      </c>
      <c r="E108" s="2">
        <v>42.0</v>
      </c>
      <c r="F108" s="2">
        <v>27.1200251648003</v>
      </c>
      <c r="G108" s="2">
        <v>27.68738623675</v>
      </c>
      <c r="H108" s="2">
        <v>6.94779793793209</v>
      </c>
      <c r="I108" s="2">
        <v>1132.0</v>
      </c>
      <c r="J108" s="2">
        <v>1174.0</v>
      </c>
      <c r="K108" s="2">
        <v>6.97712381265073</v>
      </c>
    </row>
    <row r="109">
      <c r="A109" s="2">
        <v>37.0</v>
      </c>
      <c r="B109" s="2" t="s">
        <v>51</v>
      </c>
      <c r="C109" s="2" t="s">
        <v>142</v>
      </c>
      <c r="D109" s="2" t="s">
        <v>143</v>
      </c>
      <c r="E109" s="2">
        <v>58.0</v>
      </c>
      <c r="F109" s="2">
        <v>24.0733941282151</v>
      </c>
      <c r="G109" s="2">
        <v>24.8404888544389</v>
      </c>
      <c r="H109" s="2">
        <v>8.06401372132711</v>
      </c>
      <c r="I109" s="2">
        <v>809.0</v>
      </c>
      <c r="J109" s="2">
        <v>867.0</v>
      </c>
      <c r="K109" s="2">
        <v>8.1147597651216</v>
      </c>
    </row>
    <row r="110">
      <c r="A110" s="2">
        <v>37.0</v>
      </c>
      <c r="B110" s="2" t="s">
        <v>77</v>
      </c>
      <c r="C110" s="2" t="s">
        <v>142</v>
      </c>
      <c r="D110" s="2" t="s">
        <v>143</v>
      </c>
      <c r="E110" s="2">
        <v>52.0</v>
      </c>
      <c r="F110" s="2">
        <v>24.8258245407723</v>
      </c>
      <c r="G110" s="2">
        <v>25.5225114840145</v>
      </c>
      <c r="H110" s="2">
        <v>7.68996982397346</v>
      </c>
      <c r="I110" s="2">
        <v>899.0</v>
      </c>
      <c r="J110" s="2">
        <v>951.0</v>
      </c>
      <c r="K110" s="2">
        <v>7.73285752876976</v>
      </c>
    </row>
    <row r="111">
      <c r="A111" s="2">
        <v>37.0</v>
      </c>
      <c r="B111" s="2" t="s">
        <v>99</v>
      </c>
      <c r="C111" s="2" t="s">
        <v>144</v>
      </c>
      <c r="D111" s="2" t="s">
        <v>145</v>
      </c>
      <c r="E111" s="2">
        <v>-47.0</v>
      </c>
      <c r="F111" s="2">
        <v>25.9933272380955</v>
      </c>
      <c r="G111" s="2">
        <v>25.230357494333</v>
      </c>
      <c r="H111" s="2">
        <v>8.04260566800298</v>
      </c>
      <c r="I111" s="2">
        <v>942.0</v>
      </c>
      <c r="J111" s="2">
        <v>895.0</v>
      </c>
      <c r="K111" s="2">
        <v>8.09288226084611</v>
      </c>
    </row>
    <row r="112">
      <c r="A112" s="2">
        <v>37.0</v>
      </c>
      <c r="B112" s="2" t="s">
        <v>67</v>
      </c>
      <c r="C112" s="2" t="s">
        <v>144</v>
      </c>
      <c r="D112" s="2" t="s">
        <v>145</v>
      </c>
      <c r="E112" s="2">
        <v>-44.0</v>
      </c>
      <c r="F112" s="2">
        <v>22.4839130775645</v>
      </c>
      <c r="G112" s="2">
        <v>21.7708271258397</v>
      </c>
      <c r="H112" s="2">
        <v>7.77878520737982</v>
      </c>
      <c r="I112" s="2">
        <v>731.0</v>
      </c>
      <c r="J112" s="2">
        <v>687.0</v>
      </c>
      <c r="K112" s="2">
        <v>7.82347374308437</v>
      </c>
    </row>
    <row r="113">
      <c r="A113" s="2">
        <v>37.0</v>
      </c>
      <c r="B113" s="2" t="s">
        <v>29</v>
      </c>
      <c r="C113" s="2" t="s">
        <v>144</v>
      </c>
      <c r="D113" s="2" t="s">
        <v>145</v>
      </c>
      <c r="E113" s="2">
        <v>-38.0</v>
      </c>
      <c r="F113" s="2">
        <v>23.8744991973872</v>
      </c>
      <c r="G113" s="2">
        <v>23.2623693006061</v>
      </c>
      <c r="H113" s="2">
        <v>7.21376912978122</v>
      </c>
      <c r="I113" s="2">
        <v>884.0</v>
      </c>
      <c r="J113" s="2">
        <v>846.0</v>
      </c>
      <c r="K113" s="2">
        <v>7.24766009869252</v>
      </c>
    </row>
    <row r="114">
      <c r="A114" s="2">
        <v>37.0</v>
      </c>
      <c r="B114" s="2" t="s">
        <v>47</v>
      </c>
      <c r="C114" s="2" t="s">
        <v>144</v>
      </c>
      <c r="D114" s="2" t="s">
        <v>145</v>
      </c>
      <c r="E114" s="2">
        <v>-49.0</v>
      </c>
      <c r="F114" s="2">
        <v>24.5829364325564</v>
      </c>
      <c r="G114" s="2">
        <v>23.7947925669238</v>
      </c>
      <c r="H114" s="2">
        <v>8.17233230591647</v>
      </c>
      <c r="I114" s="2">
        <v>833.0</v>
      </c>
      <c r="J114" s="2">
        <v>784.0</v>
      </c>
      <c r="K114" s="2">
        <v>8.22549125100319</v>
      </c>
    </row>
    <row r="115">
      <c r="A115" s="2">
        <v>37.0</v>
      </c>
      <c r="B115" s="2" t="s">
        <v>61</v>
      </c>
      <c r="C115" s="2" t="s">
        <v>144</v>
      </c>
      <c r="D115" s="2" t="s">
        <v>145</v>
      </c>
      <c r="E115" s="2">
        <v>-46.0</v>
      </c>
      <c r="F115" s="2">
        <v>25.5458732795092</v>
      </c>
      <c r="G115" s="2">
        <v>24.8028212171345</v>
      </c>
      <c r="H115" s="2">
        <v>7.93837677621357</v>
      </c>
      <c r="I115" s="2">
        <v>923.0</v>
      </c>
      <c r="J115" s="2">
        <v>877.0</v>
      </c>
      <c r="K115" s="2">
        <v>7.98640237799187</v>
      </c>
    </row>
    <row r="116">
      <c r="A116" s="2">
        <v>37.0</v>
      </c>
      <c r="B116" s="2" t="s">
        <v>35</v>
      </c>
      <c r="C116" s="2" t="s">
        <v>144</v>
      </c>
      <c r="D116" s="2" t="s">
        <v>145</v>
      </c>
      <c r="E116" s="2">
        <v>-46.0</v>
      </c>
      <c r="F116" s="2">
        <v>30.5161475945743</v>
      </c>
      <c r="G116" s="2">
        <v>29.7628492587963</v>
      </c>
      <c r="H116" s="2">
        <v>7.99217472213321</v>
      </c>
      <c r="I116" s="2">
        <v>1255.0</v>
      </c>
      <c r="J116" s="2">
        <v>1209.0</v>
      </c>
      <c r="K116" s="2">
        <v>8.04135503382742</v>
      </c>
    </row>
    <row r="117">
      <c r="A117" s="2">
        <v>37.0</v>
      </c>
      <c r="B117" s="2" t="s">
        <v>20</v>
      </c>
      <c r="C117" s="2" t="s">
        <v>144</v>
      </c>
      <c r="D117" s="2" t="s">
        <v>145</v>
      </c>
      <c r="E117" s="2">
        <v>-48.0</v>
      </c>
      <c r="F117" s="2">
        <v>25.2296181511353</v>
      </c>
      <c r="G117" s="2">
        <v>24.443990363208</v>
      </c>
      <c r="H117" s="2">
        <v>8.15946469740503</v>
      </c>
      <c r="I117" s="2">
        <v>878.0</v>
      </c>
      <c r="J117" s="2">
        <v>830.0</v>
      </c>
      <c r="K117" s="2">
        <v>8.2123336956619</v>
      </c>
    </row>
    <row r="118">
      <c r="A118" s="2">
        <v>37.0</v>
      </c>
      <c r="B118" s="2" t="s">
        <v>23</v>
      </c>
      <c r="C118" s="2" t="s">
        <v>144</v>
      </c>
      <c r="D118" s="2" t="s">
        <v>145</v>
      </c>
      <c r="E118" s="2">
        <v>-48.0</v>
      </c>
      <c r="F118" s="2">
        <v>23.5348380487257</v>
      </c>
      <c r="G118" s="2">
        <v>22.744125286231</v>
      </c>
      <c r="H118" s="2">
        <v>8.18544793497972</v>
      </c>
      <c r="I118" s="2">
        <v>760.0</v>
      </c>
      <c r="J118" s="2">
        <v>712.0</v>
      </c>
      <c r="K118" s="2">
        <v>8.23890333946647</v>
      </c>
    </row>
    <row r="119">
      <c r="A119" s="2">
        <v>37.0</v>
      </c>
      <c r="B119" s="2" t="s">
        <v>43</v>
      </c>
      <c r="C119" s="2" t="s">
        <v>144</v>
      </c>
      <c r="D119" s="2" t="s">
        <v>145</v>
      </c>
      <c r="E119" s="2">
        <v>-44.0</v>
      </c>
      <c r="F119" s="2">
        <v>25.1624626481598</v>
      </c>
      <c r="G119" s="2">
        <v>24.4470934394547</v>
      </c>
      <c r="H119" s="2">
        <v>7.79106656331631</v>
      </c>
      <c r="I119" s="2">
        <v>912.0</v>
      </c>
      <c r="J119" s="2">
        <v>868.0</v>
      </c>
      <c r="K119" s="2">
        <v>7.83600725957448</v>
      </c>
    </row>
    <row r="120">
      <c r="A120" s="2">
        <v>37.0</v>
      </c>
      <c r="B120" s="2" t="s">
        <v>39</v>
      </c>
      <c r="C120" s="2" t="s">
        <v>144</v>
      </c>
      <c r="D120" s="2" t="s">
        <v>145</v>
      </c>
      <c r="E120" s="2">
        <v>-43.0</v>
      </c>
      <c r="F120" s="2">
        <v>27.7403456235685</v>
      </c>
      <c r="G120" s="2">
        <v>27.0392195550299</v>
      </c>
      <c r="H120" s="2">
        <v>7.7141179459558</v>
      </c>
      <c r="I120" s="2">
        <v>1095.0</v>
      </c>
      <c r="J120" s="2">
        <v>1052.0</v>
      </c>
      <c r="K120" s="2">
        <v>7.75749134579686</v>
      </c>
    </row>
    <row r="121">
      <c r="A121" s="2">
        <v>36.0</v>
      </c>
      <c r="B121" s="2" t="s">
        <v>47</v>
      </c>
      <c r="C121" s="2" t="s">
        <v>142</v>
      </c>
      <c r="D121" s="2" t="s">
        <v>143</v>
      </c>
      <c r="E121" s="2">
        <v>46.0</v>
      </c>
      <c r="F121" s="2">
        <v>23.9847785861821</v>
      </c>
      <c r="G121" s="2">
        <v>24.5829364325564</v>
      </c>
      <c r="H121" s="2">
        <v>8.22549125100319</v>
      </c>
      <c r="I121" s="2">
        <v>787.0</v>
      </c>
      <c r="J121" s="2">
        <v>833.0</v>
      </c>
      <c r="K121" s="2">
        <v>8.27110815677971</v>
      </c>
    </row>
    <row r="122">
      <c r="A122" s="2">
        <v>36.0</v>
      </c>
      <c r="B122" s="2" t="s">
        <v>123</v>
      </c>
      <c r="C122" s="2" t="s">
        <v>142</v>
      </c>
      <c r="D122" s="2" t="s">
        <v>143</v>
      </c>
      <c r="E122" s="2">
        <v>36.0</v>
      </c>
      <c r="F122" s="2">
        <v>32.0081167810003</v>
      </c>
      <c r="G122" s="2">
        <v>32.4876108765234</v>
      </c>
      <c r="H122" s="2">
        <v>7.37363007056538</v>
      </c>
      <c r="I122" s="2">
        <v>1421.0</v>
      </c>
      <c r="J122" s="2">
        <v>1457.0</v>
      </c>
      <c r="K122" s="2">
        <v>7.40417578073385</v>
      </c>
    </row>
    <row r="123">
      <c r="A123" s="2">
        <v>36.0</v>
      </c>
      <c r="B123" s="2" t="s">
        <v>111</v>
      </c>
      <c r="C123" s="2" t="s">
        <v>142</v>
      </c>
      <c r="D123" s="2" t="s">
        <v>143</v>
      </c>
      <c r="E123" s="2">
        <v>39.0</v>
      </c>
      <c r="F123" s="2">
        <v>23.888510244185</v>
      </c>
      <c r="G123" s="2">
        <v>24.419477411662</v>
      </c>
      <c r="H123" s="2">
        <v>7.75516972479567</v>
      </c>
      <c r="I123" s="2">
        <v>830.0</v>
      </c>
      <c r="J123" s="2">
        <v>869.0</v>
      </c>
      <c r="K123" s="2">
        <v>7.79208135543701</v>
      </c>
    </row>
    <row r="124">
      <c r="A124" s="2">
        <v>36.0</v>
      </c>
      <c r="B124" s="2" t="s">
        <v>113</v>
      </c>
      <c r="C124" s="2" t="s">
        <v>144</v>
      </c>
      <c r="D124" s="2" t="s">
        <v>145</v>
      </c>
      <c r="E124" s="2">
        <v>-30.0</v>
      </c>
      <c r="F124" s="2">
        <v>24.1096847416226</v>
      </c>
      <c r="G124" s="2">
        <v>23.6215735667143</v>
      </c>
      <c r="H124" s="2">
        <v>7.43892580499811</v>
      </c>
      <c r="I124" s="2">
        <v>877.0</v>
      </c>
      <c r="J124" s="2">
        <v>847.0</v>
      </c>
      <c r="K124" s="2">
        <v>7.47051870433644</v>
      </c>
    </row>
    <row r="125">
      <c r="A125" s="2">
        <v>36.0</v>
      </c>
      <c r="B125" s="2" t="s">
        <v>39</v>
      </c>
      <c r="C125" s="2" t="s">
        <v>144</v>
      </c>
      <c r="D125" s="2" t="s">
        <v>145</v>
      </c>
      <c r="E125" s="2">
        <v>-32.0</v>
      </c>
      <c r="F125" s="2">
        <v>28.2716342948789</v>
      </c>
      <c r="G125" s="2">
        <v>27.7403456235685</v>
      </c>
      <c r="H125" s="2">
        <v>7.75749134579686</v>
      </c>
      <c r="I125" s="2">
        <v>1127.0</v>
      </c>
      <c r="J125" s="2">
        <v>1095.0</v>
      </c>
      <c r="K125" s="2">
        <v>7.79444357044154</v>
      </c>
    </row>
    <row r="126">
      <c r="A126" s="2">
        <v>36.0</v>
      </c>
      <c r="B126" s="2" t="s">
        <v>19</v>
      </c>
      <c r="C126" s="2" t="s">
        <v>144</v>
      </c>
      <c r="D126" s="2" t="s">
        <v>145</v>
      </c>
      <c r="E126" s="2">
        <v>-36.0</v>
      </c>
      <c r="F126" s="2">
        <v>23.0197124843633</v>
      </c>
      <c r="G126" s="2">
        <v>22.4314828714937</v>
      </c>
      <c r="H126" s="2">
        <v>8.15778512488319</v>
      </c>
      <c r="I126" s="2">
        <v>729.0</v>
      </c>
      <c r="J126" s="2">
        <v>693.0</v>
      </c>
      <c r="K126" s="2">
        <v>8.20208788219425</v>
      </c>
    </row>
    <row r="127">
      <c r="A127" s="2">
        <v>36.0</v>
      </c>
      <c r="B127" s="2" t="s">
        <v>16</v>
      </c>
      <c r="C127" s="2" t="s">
        <v>144</v>
      </c>
      <c r="D127" s="2" t="s">
        <v>145</v>
      </c>
      <c r="E127" s="2">
        <v>-31.0</v>
      </c>
      <c r="F127" s="2">
        <v>21.7369428497448</v>
      </c>
      <c r="G127" s="2">
        <v>21.2166310937202</v>
      </c>
      <c r="H127" s="2">
        <v>7.67781050197373</v>
      </c>
      <c r="I127" s="2">
        <v>691.0</v>
      </c>
      <c r="J127" s="2">
        <v>660.0</v>
      </c>
      <c r="K127" s="2">
        <v>7.71338257069795</v>
      </c>
    </row>
    <row r="128">
      <c r="A128" s="2">
        <v>36.0</v>
      </c>
      <c r="B128" s="2" t="s">
        <v>44</v>
      </c>
      <c r="C128" s="2" t="s">
        <v>144</v>
      </c>
      <c r="D128" s="2" t="s">
        <v>145</v>
      </c>
      <c r="E128" s="2">
        <v>-34.0</v>
      </c>
      <c r="F128" s="2">
        <v>28.0007736586063</v>
      </c>
      <c r="G128" s="2">
        <v>27.43453807727</v>
      </c>
      <c r="H128" s="2">
        <v>8.00565335228851</v>
      </c>
      <c r="I128" s="2">
        <v>1083.0</v>
      </c>
      <c r="J128" s="2">
        <v>1049.0</v>
      </c>
      <c r="K128" s="2">
        <v>8.04707909855489</v>
      </c>
    </row>
    <row r="129">
      <c r="A129" s="2">
        <v>36.0</v>
      </c>
      <c r="B129" s="2" t="s">
        <v>64</v>
      </c>
      <c r="C129" s="2" t="s">
        <v>144</v>
      </c>
      <c r="D129" s="2" t="s">
        <v>145</v>
      </c>
      <c r="E129" s="2">
        <v>-27.0</v>
      </c>
      <c r="F129" s="2">
        <v>29.5145602425269</v>
      </c>
      <c r="G129" s="2">
        <v>29.0844848245459</v>
      </c>
      <c r="H129" s="2">
        <v>6.98690376627516</v>
      </c>
      <c r="I129" s="2">
        <v>1292.0</v>
      </c>
      <c r="J129" s="2">
        <v>1265.0</v>
      </c>
      <c r="K129" s="2">
        <v>7.01158869637446</v>
      </c>
    </row>
    <row r="130">
      <c r="A130" s="2">
        <v>36.0</v>
      </c>
      <c r="B130" s="2" t="s">
        <v>51</v>
      </c>
      <c r="C130" s="2" t="s">
        <v>144</v>
      </c>
      <c r="D130" s="2" t="s">
        <v>145</v>
      </c>
      <c r="E130" s="2">
        <v>-35.0</v>
      </c>
      <c r="F130" s="2">
        <v>24.6553594048844</v>
      </c>
      <c r="G130" s="2">
        <v>24.0733941282151</v>
      </c>
      <c r="H130" s="2">
        <v>8.1147597651216</v>
      </c>
      <c r="I130" s="2">
        <v>844.0</v>
      </c>
      <c r="J130" s="2">
        <v>809.0</v>
      </c>
      <c r="K130" s="2">
        <v>8.15823827908552</v>
      </c>
    </row>
    <row r="131">
      <c r="A131" s="2">
        <v>36.0</v>
      </c>
      <c r="B131" s="2" t="s">
        <v>168</v>
      </c>
      <c r="C131" s="2" t="s">
        <v>144</v>
      </c>
      <c r="D131" s="2" t="s">
        <v>145</v>
      </c>
      <c r="E131" s="2">
        <v>-37.0</v>
      </c>
      <c r="F131" s="2">
        <v>25.0</v>
      </c>
      <c r="G131" s="2">
        <v>24.3928200493331</v>
      </c>
      <c r="H131" s="2">
        <v>8.28651393063344</v>
      </c>
      <c r="I131" s="2">
        <v>850.0</v>
      </c>
      <c r="J131" s="2">
        <v>813.0</v>
      </c>
      <c r="K131" s="2">
        <v>8.33333333333333</v>
      </c>
    </row>
    <row r="132">
      <c r="A132" s="2">
        <v>36.0</v>
      </c>
      <c r="B132" s="2" t="s">
        <v>183</v>
      </c>
      <c r="C132" s="2" t="s">
        <v>144</v>
      </c>
      <c r="D132" s="2" t="s">
        <v>145</v>
      </c>
      <c r="E132" s="2">
        <v>-37.0</v>
      </c>
      <c r="F132" s="2">
        <v>25.0</v>
      </c>
      <c r="G132" s="2">
        <v>24.3928200493331</v>
      </c>
      <c r="H132" s="2">
        <v>8.28651393063344</v>
      </c>
      <c r="I132" s="2">
        <v>850.0</v>
      </c>
      <c r="J132" s="2">
        <v>813.0</v>
      </c>
      <c r="K132" s="2">
        <v>8.33333333333333</v>
      </c>
    </row>
    <row r="133">
      <c r="A133" s="2">
        <v>36.0</v>
      </c>
      <c r="B133" s="2" t="s">
        <v>31</v>
      </c>
      <c r="C133" s="2" t="s">
        <v>144</v>
      </c>
      <c r="D133" s="2" t="s">
        <v>145</v>
      </c>
      <c r="E133" s="2">
        <v>-31.0</v>
      </c>
      <c r="F133" s="2">
        <v>21.8744905065143</v>
      </c>
      <c r="G133" s="2">
        <v>21.3740154033011</v>
      </c>
      <c r="H133" s="2">
        <v>7.53158390769606</v>
      </c>
      <c r="I133" s="2">
        <v>716.0</v>
      </c>
      <c r="J133" s="2">
        <v>685.0</v>
      </c>
      <c r="K133" s="2">
        <v>7.56469237857687</v>
      </c>
    </row>
    <row r="134">
      <c r="A134" s="2">
        <v>35.0</v>
      </c>
      <c r="B134" s="2" t="s">
        <v>18</v>
      </c>
      <c r="C134" s="2" t="s">
        <v>142</v>
      </c>
      <c r="D134" s="2" t="s">
        <v>145</v>
      </c>
      <c r="E134" s="2">
        <v>-46.0</v>
      </c>
      <c r="F134" s="2">
        <v>27.8389946327278</v>
      </c>
      <c r="G134" s="2">
        <v>27.1200251648003</v>
      </c>
      <c r="H134" s="2">
        <v>6.97712381265073</v>
      </c>
      <c r="I134" s="2">
        <v>1178.0</v>
      </c>
      <c r="J134" s="2">
        <v>1132.0</v>
      </c>
      <c r="K134" s="2">
        <v>7.01096181216328</v>
      </c>
    </row>
    <row r="135">
      <c r="A135" s="2">
        <v>35.0</v>
      </c>
      <c r="B135" s="2" t="s">
        <v>32</v>
      </c>
      <c r="C135" s="2" t="s">
        <v>142</v>
      </c>
      <c r="D135" s="2" t="s">
        <v>145</v>
      </c>
      <c r="E135" s="2">
        <v>-54.0</v>
      </c>
      <c r="F135" s="2">
        <v>18.4638189286234</v>
      </c>
      <c r="G135" s="2">
        <v>17.5921655362841</v>
      </c>
      <c r="H135" s="2">
        <v>7.67288738359248</v>
      </c>
      <c r="I135" s="2">
        <v>468.0</v>
      </c>
      <c r="J135" s="2">
        <v>414.0</v>
      </c>
      <c r="K135" s="2">
        <v>7.72082882520306</v>
      </c>
    </row>
    <row r="136">
      <c r="A136" s="2">
        <v>35.0</v>
      </c>
      <c r="B136" s="2" t="s">
        <v>47</v>
      </c>
      <c r="C136" s="2" t="s">
        <v>142</v>
      </c>
      <c r="D136" s="2" t="s">
        <v>145</v>
      </c>
      <c r="E136" s="2">
        <v>-63.0</v>
      </c>
      <c r="F136" s="2">
        <v>25.0</v>
      </c>
      <c r="G136" s="2">
        <v>23.9847785861821</v>
      </c>
      <c r="H136" s="2">
        <v>8.27110815677971</v>
      </c>
      <c r="I136" s="2">
        <v>850.0</v>
      </c>
      <c r="J136" s="2">
        <v>787.0</v>
      </c>
      <c r="K136" s="2">
        <v>8.33333333333333</v>
      </c>
    </row>
    <row r="137">
      <c r="A137" s="2">
        <v>35.0</v>
      </c>
      <c r="B137" s="2" t="s">
        <v>31</v>
      </c>
      <c r="C137" s="2" t="s">
        <v>144</v>
      </c>
      <c r="D137" s="2" t="s">
        <v>143</v>
      </c>
      <c r="E137" s="2">
        <v>62.0</v>
      </c>
      <c r="F137" s="2">
        <v>21.0275842440949</v>
      </c>
      <c r="G137" s="2">
        <v>21.8744905065143</v>
      </c>
      <c r="H137" s="2">
        <v>7.56469237857687</v>
      </c>
      <c r="I137" s="2">
        <v>654.0</v>
      </c>
      <c r="J137" s="2">
        <v>716.0</v>
      </c>
      <c r="K137" s="2">
        <v>7.61027067709165</v>
      </c>
    </row>
    <row r="138">
      <c r="A138" s="2">
        <v>35.0</v>
      </c>
      <c r="B138" s="2" t="s">
        <v>27</v>
      </c>
      <c r="C138" s="2" t="s">
        <v>144</v>
      </c>
      <c r="D138" s="2" t="s">
        <v>143</v>
      </c>
      <c r="E138" s="2">
        <v>71.0</v>
      </c>
      <c r="F138" s="2">
        <v>27.6539661740349</v>
      </c>
      <c r="G138" s="2">
        <v>28.6166904462834</v>
      </c>
      <c r="H138" s="2">
        <v>8.0578384599425</v>
      </c>
      <c r="I138" s="2">
        <v>1053.0</v>
      </c>
      <c r="J138" s="2">
        <v>1124.0</v>
      </c>
      <c r="K138" s="2">
        <v>8.11472830276505</v>
      </c>
    </row>
    <row r="139">
      <c r="A139" s="2">
        <v>35.0</v>
      </c>
      <c r="B139" s="2" t="s">
        <v>67</v>
      </c>
      <c r="C139" s="2" t="s">
        <v>144</v>
      </c>
      <c r="D139" s="2" t="s">
        <v>143</v>
      </c>
      <c r="E139" s="2">
        <v>67.0</v>
      </c>
      <c r="F139" s="2">
        <v>21.5771972467583</v>
      </c>
      <c r="G139" s="2">
        <v>22.4839130775645</v>
      </c>
      <c r="H139" s="2">
        <v>7.82347374308437</v>
      </c>
      <c r="I139" s="2">
        <v>664.0</v>
      </c>
      <c r="J139" s="2">
        <v>731.0</v>
      </c>
      <c r="K139" s="2">
        <v>7.87481369989782</v>
      </c>
    </row>
    <row r="140">
      <c r="A140" s="2">
        <v>35.0</v>
      </c>
      <c r="B140" s="2" t="s">
        <v>64</v>
      </c>
      <c r="C140" s="2" t="s">
        <v>144</v>
      </c>
      <c r="D140" s="2" t="s">
        <v>143</v>
      </c>
      <c r="E140" s="2">
        <v>53.0</v>
      </c>
      <c r="F140" s="2">
        <v>28.7883860385685</v>
      </c>
      <c r="G140" s="2">
        <v>29.5145602425269</v>
      </c>
      <c r="H140" s="2">
        <v>7.01158869637446</v>
      </c>
      <c r="I140" s="2">
        <v>1239.0</v>
      </c>
      <c r="J140" s="2">
        <v>1292.0</v>
      </c>
      <c r="K140" s="2">
        <v>7.04606639180217</v>
      </c>
    </row>
    <row r="141">
      <c r="A141" s="2">
        <v>35.0</v>
      </c>
      <c r="B141" s="2" t="s">
        <v>43</v>
      </c>
      <c r="C141" s="2" t="s">
        <v>144</v>
      </c>
      <c r="D141" s="2" t="s">
        <v>143</v>
      </c>
      <c r="E141" s="2">
        <v>67.0</v>
      </c>
      <c r="F141" s="2">
        <v>24.2527959651038</v>
      </c>
      <c r="G141" s="2">
        <v>25.1624626481598</v>
      </c>
      <c r="H141" s="2">
        <v>7.83600725957448</v>
      </c>
      <c r="I141" s="2">
        <v>845.0</v>
      </c>
      <c r="J141" s="2">
        <v>912.0</v>
      </c>
      <c r="K141" s="2">
        <v>7.88763591248366</v>
      </c>
    </row>
    <row r="142">
      <c r="A142" s="2">
        <v>35.0</v>
      </c>
      <c r="B142" s="2" t="s">
        <v>39</v>
      </c>
      <c r="C142" s="2" t="s">
        <v>144</v>
      </c>
      <c r="D142" s="2" t="s">
        <v>143</v>
      </c>
      <c r="E142" s="2">
        <v>66.0</v>
      </c>
      <c r="F142" s="2">
        <v>27.3717340062791</v>
      </c>
      <c r="G142" s="2">
        <v>28.2716342948789</v>
      </c>
      <c r="H142" s="2">
        <v>7.79444357044154</v>
      </c>
      <c r="I142" s="2">
        <v>1061.0</v>
      </c>
      <c r="J142" s="2">
        <v>1127.0</v>
      </c>
      <c r="K142" s="2">
        <v>7.84511831439597</v>
      </c>
    </row>
    <row r="143">
      <c r="A143" s="2">
        <v>35.0</v>
      </c>
      <c r="B143" s="2" t="s">
        <v>44</v>
      </c>
      <c r="C143" s="2" t="s">
        <v>144</v>
      </c>
      <c r="D143" s="2" t="s">
        <v>143</v>
      </c>
      <c r="E143" s="2">
        <v>71.0</v>
      </c>
      <c r="F143" s="2">
        <v>27.0406591450071</v>
      </c>
      <c r="G143" s="2">
        <v>28.0007736586063</v>
      </c>
      <c r="H143" s="2">
        <v>8.04707909855489</v>
      </c>
      <c r="I143" s="2">
        <v>1012.0</v>
      </c>
      <c r="J143" s="2">
        <v>1083.0</v>
      </c>
      <c r="K143" s="2">
        <v>8.10370705893156</v>
      </c>
    </row>
    <row r="144">
      <c r="A144" s="2">
        <v>35.0</v>
      </c>
      <c r="B144" s="2" t="s">
        <v>26</v>
      </c>
      <c r="C144" s="2" t="s">
        <v>144</v>
      </c>
      <c r="D144" s="2" t="s">
        <v>143</v>
      </c>
      <c r="E144" s="2">
        <v>75.0</v>
      </c>
      <c r="F144" s="2">
        <v>25.0</v>
      </c>
      <c r="G144" s="2">
        <v>26.0152214138178</v>
      </c>
      <c r="H144" s="2">
        <v>8.27110815677971</v>
      </c>
      <c r="I144" s="2">
        <v>850.0</v>
      </c>
      <c r="J144" s="2">
        <v>925.0</v>
      </c>
      <c r="K144" s="2">
        <v>8.33333333333333</v>
      </c>
    </row>
    <row r="145">
      <c r="A145" s="2">
        <v>35.0</v>
      </c>
      <c r="B145" s="2" t="s">
        <v>83</v>
      </c>
      <c r="C145" s="2" t="s">
        <v>144</v>
      </c>
      <c r="D145" s="2" t="s">
        <v>143</v>
      </c>
      <c r="E145" s="2">
        <v>75.0</v>
      </c>
      <c r="F145" s="2">
        <v>25.0</v>
      </c>
      <c r="G145" s="2">
        <v>26.0152214138178</v>
      </c>
      <c r="H145" s="2">
        <v>8.27110815677971</v>
      </c>
      <c r="I145" s="2">
        <v>850.0</v>
      </c>
      <c r="J145" s="2">
        <v>925.0</v>
      </c>
      <c r="K145" s="2">
        <v>8.33333333333333</v>
      </c>
    </row>
    <row r="146">
      <c r="A146" s="2">
        <v>35.0</v>
      </c>
      <c r="B146" s="2" t="s">
        <v>35</v>
      </c>
      <c r="C146" s="2" t="s">
        <v>144</v>
      </c>
      <c r="D146" s="2" t="s">
        <v>143</v>
      </c>
      <c r="E146" s="2">
        <v>71.0</v>
      </c>
      <c r="F146" s="2">
        <v>29.5574199810431</v>
      </c>
      <c r="G146" s="2">
        <v>30.5161475945743</v>
      </c>
      <c r="H146" s="2">
        <v>8.04135503382742</v>
      </c>
      <c r="I146" s="2">
        <v>1184.0</v>
      </c>
      <c r="J146" s="2">
        <v>1255.0</v>
      </c>
      <c r="K146" s="2">
        <v>8.09784395224981</v>
      </c>
    </row>
    <row r="147">
      <c r="A147" s="2">
        <v>34.0</v>
      </c>
      <c r="B147" s="2" t="s">
        <v>67</v>
      </c>
      <c r="C147" s="2" t="s">
        <v>142</v>
      </c>
      <c r="D147" s="2" t="s">
        <v>143</v>
      </c>
      <c r="E147" s="2">
        <v>77.0</v>
      </c>
      <c r="F147" s="2">
        <v>20.5180247487888</v>
      </c>
      <c r="G147" s="2">
        <v>21.5771972467583</v>
      </c>
      <c r="H147" s="2">
        <v>7.87481369989782</v>
      </c>
      <c r="I147" s="2">
        <v>587.0</v>
      </c>
      <c r="J147" s="2">
        <v>664.0</v>
      </c>
      <c r="K147" s="2">
        <v>7.92628951506879</v>
      </c>
    </row>
    <row r="148">
      <c r="A148" s="2">
        <v>34.0</v>
      </c>
      <c r="B148" s="2" t="s">
        <v>39</v>
      </c>
      <c r="C148" s="2" t="s">
        <v>142</v>
      </c>
      <c r="D148" s="2" t="s">
        <v>143</v>
      </c>
      <c r="E148" s="2">
        <v>77.0</v>
      </c>
      <c r="F148" s="2">
        <v>26.3206515333948</v>
      </c>
      <c r="G148" s="2">
        <v>27.3717340062791</v>
      </c>
      <c r="H148" s="2">
        <v>7.84511831439597</v>
      </c>
      <c r="I148" s="2">
        <v>984.0</v>
      </c>
      <c r="J148" s="2">
        <v>1061.0</v>
      </c>
      <c r="K148" s="2">
        <v>7.89591721556682</v>
      </c>
    </row>
    <row r="149">
      <c r="A149" s="2">
        <v>34.0</v>
      </c>
      <c r="B149" s="2" t="s">
        <v>16</v>
      </c>
      <c r="C149" s="2" t="s">
        <v>142</v>
      </c>
      <c r="D149" s="2" t="s">
        <v>143</v>
      </c>
      <c r="E149" s="2">
        <v>74.0</v>
      </c>
      <c r="F149" s="2">
        <v>20.7213594904954</v>
      </c>
      <c r="G149" s="2">
        <v>21.7369428497448</v>
      </c>
      <c r="H149" s="2">
        <v>7.71338257069795</v>
      </c>
      <c r="I149" s="2">
        <v>617.0</v>
      </c>
      <c r="J149" s="2">
        <v>691.0</v>
      </c>
      <c r="K149" s="2">
        <v>7.76123833328412</v>
      </c>
    </row>
    <row r="150">
      <c r="A150" s="2">
        <v>34.0</v>
      </c>
      <c r="B150" s="2" t="s">
        <v>117</v>
      </c>
      <c r="C150" s="2" t="s">
        <v>144</v>
      </c>
      <c r="D150" s="2" t="s">
        <v>145</v>
      </c>
      <c r="E150" s="2">
        <v>-71.0</v>
      </c>
      <c r="F150" s="2">
        <v>27.6322310920737</v>
      </c>
      <c r="G150" s="2">
        <v>26.4982435046272</v>
      </c>
      <c r="H150" s="2">
        <v>8.14399567050313</v>
      </c>
      <c r="I150" s="2">
        <v>1042.0</v>
      </c>
      <c r="J150" s="2">
        <v>971.0</v>
      </c>
      <c r="K150" s="2">
        <v>8.20183930000269</v>
      </c>
    </row>
    <row r="151">
      <c r="A151" s="2">
        <v>34.0</v>
      </c>
      <c r="B151" s="2" t="s">
        <v>18</v>
      </c>
      <c r="C151" s="2" t="s">
        <v>144</v>
      </c>
      <c r="D151" s="2" t="s">
        <v>145</v>
      </c>
      <c r="E151" s="2">
        <v>-53.0</v>
      </c>
      <c r="F151" s="2">
        <v>28.6759767225081</v>
      </c>
      <c r="G151" s="2">
        <v>27.8389946327278</v>
      </c>
      <c r="H151" s="2">
        <v>7.01096181216328</v>
      </c>
      <c r="I151" s="2">
        <v>1231.0</v>
      </c>
      <c r="J151" s="2">
        <v>1178.0</v>
      </c>
      <c r="K151" s="2">
        <v>7.04469300191581</v>
      </c>
    </row>
    <row r="152">
      <c r="A152" s="2">
        <v>34.0</v>
      </c>
      <c r="B152" s="2" t="s">
        <v>19</v>
      </c>
      <c r="C152" s="2" t="s">
        <v>144</v>
      </c>
      <c r="D152" s="2" t="s">
        <v>145</v>
      </c>
      <c r="E152" s="2">
        <v>-72.0</v>
      </c>
      <c r="F152" s="2">
        <v>24.1701968464161</v>
      </c>
      <c r="G152" s="2">
        <v>23.0197124843633</v>
      </c>
      <c r="H152" s="2">
        <v>8.20208788219425</v>
      </c>
      <c r="I152" s="2">
        <v>801.0</v>
      </c>
      <c r="J152" s="2">
        <v>729.0</v>
      </c>
      <c r="K152" s="2">
        <v>8.26136158888539</v>
      </c>
    </row>
    <row r="153">
      <c r="A153" s="2">
        <v>34.0</v>
      </c>
      <c r="B153" s="2" t="s">
        <v>46</v>
      </c>
      <c r="C153" s="2" t="s">
        <v>144</v>
      </c>
      <c r="D153" s="2" t="s">
        <v>145</v>
      </c>
      <c r="E153" s="2">
        <v>-70.0</v>
      </c>
      <c r="F153" s="2">
        <v>23.196515145713</v>
      </c>
      <c r="G153" s="2">
        <v>22.092413791833</v>
      </c>
      <c r="H153" s="2">
        <v>8.03761475060658</v>
      </c>
      <c r="I153" s="2">
        <v>752.0</v>
      </c>
      <c r="J153" s="2">
        <v>682.0</v>
      </c>
      <c r="K153" s="2">
        <v>8.09289140112819</v>
      </c>
    </row>
    <row r="154">
      <c r="A154" s="2">
        <v>34.0</v>
      </c>
      <c r="B154" s="2" t="s">
        <v>32</v>
      </c>
      <c r="C154" s="2" t="s">
        <v>144</v>
      </c>
      <c r="D154" s="2" t="s">
        <v>145</v>
      </c>
      <c r="E154" s="2">
        <v>-64.0</v>
      </c>
      <c r="F154" s="2">
        <v>19.4813918867629</v>
      </c>
      <c r="G154" s="2">
        <v>18.4638189286234</v>
      </c>
      <c r="H154" s="2">
        <v>7.72082882520306</v>
      </c>
      <c r="I154" s="2">
        <v>532.0</v>
      </c>
      <c r="J154" s="2">
        <v>468.0</v>
      </c>
      <c r="K154" s="2">
        <v>7.76884836575666</v>
      </c>
    </row>
    <row r="155">
      <c r="A155" s="2">
        <v>34.0</v>
      </c>
      <c r="B155" s="2" t="s">
        <v>61</v>
      </c>
      <c r="C155" s="2" t="s">
        <v>144</v>
      </c>
      <c r="D155" s="2" t="s">
        <v>145</v>
      </c>
      <c r="E155" s="2">
        <v>-68.0</v>
      </c>
      <c r="F155" s="2">
        <v>26.6357361355099</v>
      </c>
      <c r="G155" s="2">
        <v>25.5458732795092</v>
      </c>
      <c r="H155" s="2">
        <v>7.98640237799187</v>
      </c>
      <c r="I155" s="2">
        <v>991.0</v>
      </c>
      <c r="J155" s="2">
        <v>923.0</v>
      </c>
      <c r="K155" s="2">
        <v>8.04046690609762</v>
      </c>
    </row>
    <row r="156">
      <c r="A156" s="2">
        <v>34.0</v>
      </c>
      <c r="B156" s="2" t="s">
        <v>31</v>
      </c>
      <c r="C156" s="2" t="s">
        <v>144</v>
      </c>
      <c r="D156" s="2" t="s">
        <v>145</v>
      </c>
      <c r="E156" s="2">
        <v>-62.0</v>
      </c>
      <c r="F156" s="2">
        <v>22.0158251965303</v>
      </c>
      <c r="G156" s="2">
        <v>21.0275842440949</v>
      </c>
      <c r="H156" s="2">
        <v>7.61027067709165</v>
      </c>
      <c r="I156" s="2">
        <v>716.0</v>
      </c>
      <c r="J156" s="2">
        <v>654.0</v>
      </c>
      <c r="K156" s="2">
        <v>7.6558898914786</v>
      </c>
    </row>
    <row r="157">
      <c r="A157" s="2">
        <v>34.0</v>
      </c>
      <c r="B157" s="2" t="s">
        <v>29</v>
      </c>
      <c r="C157" s="2" t="s">
        <v>144</v>
      </c>
      <c r="D157" s="2" t="s">
        <v>145</v>
      </c>
      <c r="E157" s="2">
        <v>-57.0</v>
      </c>
      <c r="F157" s="2">
        <v>24.7696644464516</v>
      </c>
      <c r="G157" s="2">
        <v>23.8744991973872</v>
      </c>
      <c r="H157" s="2">
        <v>7.24766009869252</v>
      </c>
      <c r="I157" s="2">
        <v>941.0</v>
      </c>
      <c r="J157" s="2">
        <v>884.0</v>
      </c>
      <c r="K157" s="2">
        <v>7.28586618879121</v>
      </c>
    </row>
    <row r="158">
      <c r="A158" s="2">
        <v>34.0</v>
      </c>
      <c r="B158" s="2" t="s">
        <v>40</v>
      </c>
      <c r="C158" s="2" t="s">
        <v>144</v>
      </c>
      <c r="D158" s="2" t="s">
        <v>145</v>
      </c>
      <c r="E158" s="2">
        <v>-73.0</v>
      </c>
      <c r="F158" s="2">
        <v>25.0</v>
      </c>
      <c r="G158" s="2">
        <v>23.8294091396349</v>
      </c>
      <c r="H158" s="2">
        <v>8.27230406085674</v>
      </c>
      <c r="I158" s="2">
        <v>850.0</v>
      </c>
      <c r="J158" s="2">
        <v>777.0</v>
      </c>
      <c r="K158" s="2">
        <v>8.33333333333333</v>
      </c>
    </row>
    <row r="159">
      <c r="A159" s="2">
        <v>34.0</v>
      </c>
      <c r="B159" s="2" t="s">
        <v>43</v>
      </c>
      <c r="C159" s="2" t="s">
        <v>144</v>
      </c>
      <c r="D159" s="2" t="s">
        <v>145</v>
      </c>
      <c r="E159" s="2">
        <v>-67.0</v>
      </c>
      <c r="F159" s="2">
        <v>25.3154716812965</v>
      </c>
      <c r="G159" s="2">
        <v>24.2527959651038</v>
      </c>
      <c r="H159" s="2">
        <v>7.88763591248366</v>
      </c>
      <c r="I159" s="2">
        <v>912.0</v>
      </c>
      <c r="J159" s="2">
        <v>845.0</v>
      </c>
      <c r="K159" s="2">
        <v>7.93940556158455</v>
      </c>
    </row>
    <row r="160">
      <c r="A160" s="2">
        <v>34.0</v>
      </c>
      <c r="B160" s="2" t="s">
        <v>64</v>
      </c>
      <c r="C160" s="2" t="s">
        <v>144</v>
      </c>
      <c r="D160" s="2" t="s">
        <v>145</v>
      </c>
      <c r="E160" s="2">
        <v>-54.0</v>
      </c>
      <c r="F160" s="2">
        <v>29.6338693726632</v>
      </c>
      <c r="G160" s="2">
        <v>28.7883860385685</v>
      </c>
      <c r="H160" s="2">
        <v>7.04606639180217</v>
      </c>
      <c r="I160" s="2">
        <v>1293.0</v>
      </c>
      <c r="J160" s="2">
        <v>1239.0</v>
      </c>
      <c r="K160" s="2">
        <v>7.08044371408796</v>
      </c>
    </row>
    <row r="161">
      <c r="A161" s="2">
        <v>33.0</v>
      </c>
      <c r="B161" s="2" t="s">
        <v>18</v>
      </c>
      <c r="C161" s="2" t="s">
        <v>142</v>
      </c>
      <c r="D161" s="2" t="s">
        <v>143</v>
      </c>
      <c r="E161" s="2">
        <v>27.0</v>
      </c>
      <c r="F161" s="2">
        <v>28.3093883455334</v>
      </c>
      <c r="G161" s="2">
        <v>28.6759767225081</v>
      </c>
      <c r="H161" s="2">
        <v>7.04469300191581</v>
      </c>
      <c r="I161" s="2">
        <v>1204.0</v>
      </c>
      <c r="J161" s="2">
        <v>1231.0</v>
      </c>
      <c r="K161" s="2">
        <v>7.06715281759616</v>
      </c>
    </row>
    <row r="162">
      <c r="A162" s="2">
        <v>33.0</v>
      </c>
      <c r="B162" s="2" t="s">
        <v>71</v>
      </c>
      <c r="C162" s="2" t="s">
        <v>142</v>
      </c>
      <c r="D162" s="2" t="s">
        <v>143</v>
      </c>
      <c r="E162" s="2">
        <v>38.0</v>
      </c>
      <c r="F162" s="2">
        <v>26.0334214417635</v>
      </c>
      <c r="G162" s="2">
        <v>26.5227119715331</v>
      </c>
      <c r="H162" s="2">
        <v>8.12754372976693</v>
      </c>
      <c r="I162" s="2">
        <v>937.0</v>
      </c>
      <c r="J162" s="2">
        <v>975.0</v>
      </c>
      <c r="K162" s="2">
        <v>8.16651281321608</v>
      </c>
    </row>
    <row r="163">
      <c r="A163" s="2">
        <v>33.0</v>
      </c>
      <c r="B163" s="2" t="s">
        <v>44</v>
      </c>
      <c r="C163" s="2" t="s">
        <v>142</v>
      </c>
      <c r="D163" s="2" t="s">
        <v>143</v>
      </c>
      <c r="E163" s="2">
        <v>37.0</v>
      </c>
      <c r="F163" s="2">
        <v>26.5542660248047</v>
      </c>
      <c r="G163" s="2">
        <v>27.0406591450071</v>
      </c>
      <c r="H163" s="2">
        <v>8.10370705893156</v>
      </c>
      <c r="I163" s="2">
        <v>975.0</v>
      </c>
      <c r="J163" s="2">
        <v>1012.0</v>
      </c>
      <c r="K163" s="2">
        <v>8.1422645492175</v>
      </c>
    </row>
    <row r="164">
      <c r="A164" s="2">
        <v>33.0</v>
      </c>
      <c r="B164" s="2" t="s">
        <v>164</v>
      </c>
      <c r="C164" s="2" t="s">
        <v>144</v>
      </c>
      <c r="D164" s="2" t="s">
        <v>145</v>
      </c>
      <c r="E164" s="2">
        <v>-30.0</v>
      </c>
      <c r="F164" s="2">
        <v>25.0</v>
      </c>
      <c r="G164" s="2">
        <v>24.4905426605551</v>
      </c>
      <c r="H164" s="2">
        <v>8.29147077028792</v>
      </c>
      <c r="I164" s="2">
        <v>850.0</v>
      </c>
      <c r="J164" s="2">
        <v>820.0</v>
      </c>
      <c r="K164" s="2">
        <v>8.33333333333333</v>
      </c>
    </row>
    <row r="165">
      <c r="A165" s="2">
        <v>33.0</v>
      </c>
      <c r="B165" s="2" t="s">
        <v>64</v>
      </c>
      <c r="C165" s="2" t="s">
        <v>144</v>
      </c>
      <c r="D165" s="2" t="s">
        <v>145</v>
      </c>
      <c r="E165" s="2">
        <v>-23.0</v>
      </c>
      <c r="F165" s="2">
        <v>30.004219107587</v>
      </c>
      <c r="G165" s="2">
        <v>29.6338693726632</v>
      </c>
      <c r="H165" s="2">
        <v>7.08044371408796</v>
      </c>
      <c r="I165" s="2">
        <v>1316.0</v>
      </c>
      <c r="J165" s="2">
        <v>1293.0</v>
      </c>
      <c r="K165" s="2">
        <v>7.10338133900923</v>
      </c>
    </row>
    <row r="166">
      <c r="A166" s="2">
        <v>33.0</v>
      </c>
      <c r="B166" s="2" t="s">
        <v>39</v>
      </c>
      <c r="C166" s="2" t="s">
        <v>144</v>
      </c>
      <c r="D166" s="2" t="s">
        <v>145</v>
      </c>
      <c r="E166" s="2">
        <v>-28.0</v>
      </c>
      <c r="F166" s="2">
        <v>26.7821633629853</v>
      </c>
      <c r="G166" s="2">
        <v>26.3206515333948</v>
      </c>
      <c r="H166" s="2">
        <v>7.89591721556682</v>
      </c>
      <c r="I166" s="2">
        <v>1012.0</v>
      </c>
      <c r="J166" s="2">
        <v>984.0</v>
      </c>
      <c r="K166" s="2">
        <v>7.93098306725758</v>
      </c>
    </row>
    <row r="167">
      <c r="A167" s="2">
        <v>33.0</v>
      </c>
      <c r="B167" s="2" t="s">
        <v>87</v>
      </c>
      <c r="C167" s="2" t="s">
        <v>144</v>
      </c>
      <c r="D167" s="2" t="s">
        <v>145</v>
      </c>
      <c r="E167" s="2">
        <v>-29.0</v>
      </c>
      <c r="F167" s="2">
        <v>25.3286548018163</v>
      </c>
      <c r="G167" s="2">
        <v>24.8355267511968</v>
      </c>
      <c r="H167" s="2">
        <v>8.15900259921166</v>
      </c>
      <c r="I167" s="2">
        <v>886.0</v>
      </c>
      <c r="J167" s="2">
        <v>857.0</v>
      </c>
      <c r="K167" s="2">
        <v>8.19851842075105</v>
      </c>
    </row>
    <row r="168">
      <c r="A168" s="2">
        <v>33.0</v>
      </c>
      <c r="B168" s="2" t="s">
        <v>31</v>
      </c>
      <c r="C168" s="2" t="s">
        <v>144</v>
      </c>
      <c r="D168" s="2" t="s">
        <v>145</v>
      </c>
      <c r="E168" s="2">
        <v>-26.0</v>
      </c>
      <c r="F168" s="2">
        <v>22.449433369289</v>
      </c>
      <c r="G168" s="2">
        <v>22.0158251965303</v>
      </c>
      <c r="H168" s="2">
        <v>7.6558898914786</v>
      </c>
      <c r="I168" s="2">
        <v>742.0</v>
      </c>
      <c r="J168" s="2">
        <v>716.0</v>
      </c>
      <c r="K168" s="2">
        <v>7.68713199475046</v>
      </c>
    </row>
    <row r="169">
      <c r="A169" s="2">
        <v>33.0</v>
      </c>
      <c r="B169" s="2" t="s">
        <v>19</v>
      </c>
      <c r="C169" s="2" t="s">
        <v>144</v>
      </c>
      <c r="D169" s="2" t="s">
        <v>145</v>
      </c>
      <c r="E169" s="2">
        <v>-30.0</v>
      </c>
      <c r="F169" s="2">
        <v>24.6759184796022</v>
      </c>
      <c r="G169" s="2">
        <v>24.1701968464161</v>
      </c>
      <c r="H169" s="2">
        <v>8.26136158888539</v>
      </c>
      <c r="I169" s="2">
        <v>831.0</v>
      </c>
      <c r="J169" s="2">
        <v>801.0</v>
      </c>
      <c r="K169" s="2">
        <v>8.30268438962116</v>
      </c>
    </row>
    <row r="170">
      <c r="A170" s="2">
        <v>33.0</v>
      </c>
      <c r="B170" s="2" t="s">
        <v>86</v>
      </c>
      <c r="C170" s="2" t="s">
        <v>144</v>
      </c>
      <c r="D170" s="2" t="s">
        <v>145</v>
      </c>
      <c r="E170" s="2">
        <v>-29.0</v>
      </c>
      <c r="F170" s="2">
        <v>25.1816616866917</v>
      </c>
      <c r="G170" s="2">
        <v>24.6920266180919</v>
      </c>
      <c r="H170" s="2">
        <v>8.13037335576998</v>
      </c>
      <c r="I170" s="2">
        <v>879.0</v>
      </c>
      <c r="J170" s="2">
        <v>850.0</v>
      </c>
      <c r="K170" s="2">
        <v>8.16939145192561</v>
      </c>
    </row>
    <row r="171">
      <c r="A171" s="2">
        <v>33.0</v>
      </c>
      <c r="B171" s="2" t="s">
        <v>77</v>
      </c>
      <c r="C171" s="2" t="s">
        <v>144</v>
      </c>
      <c r="D171" s="2" t="s">
        <v>145</v>
      </c>
      <c r="E171" s="2">
        <v>-27.0</v>
      </c>
      <c r="F171" s="2">
        <v>25.2682827229498</v>
      </c>
      <c r="G171" s="2">
        <v>24.8258245407723</v>
      </c>
      <c r="H171" s="2">
        <v>7.73285752876976</v>
      </c>
      <c r="I171" s="2">
        <v>926.0</v>
      </c>
      <c r="J171" s="2">
        <v>899.0</v>
      </c>
      <c r="K171" s="2">
        <v>7.76530179593232</v>
      </c>
    </row>
    <row r="172">
      <c r="A172" s="2">
        <v>33.0</v>
      </c>
      <c r="B172" s="2" t="s">
        <v>28</v>
      </c>
      <c r="C172" s="2" t="s">
        <v>144</v>
      </c>
      <c r="D172" s="2" t="s">
        <v>145</v>
      </c>
      <c r="E172" s="2">
        <v>-28.0</v>
      </c>
      <c r="F172" s="2">
        <v>22.1764702396958</v>
      </c>
      <c r="G172" s="2">
        <v>21.7095599322</v>
      </c>
      <c r="H172" s="2">
        <v>7.94148315682277</v>
      </c>
      <c r="I172" s="2">
        <v>694.0</v>
      </c>
      <c r="J172" s="2">
        <v>666.0</v>
      </c>
      <c r="K172" s="2">
        <v>7.97730004176814</v>
      </c>
    </row>
    <row r="173">
      <c r="A173" s="2">
        <v>33.0</v>
      </c>
      <c r="B173" s="2" t="s">
        <v>16</v>
      </c>
      <c r="C173" s="2" t="s">
        <v>144</v>
      </c>
      <c r="D173" s="2" t="s">
        <v>145</v>
      </c>
      <c r="E173" s="2">
        <v>-27.0</v>
      </c>
      <c r="F173" s="2">
        <v>21.1671042399281</v>
      </c>
      <c r="G173" s="2">
        <v>20.7213594904954</v>
      </c>
      <c r="H173" s="2">
        <v>7.76123833328412</v>
      </c>
      <c r="I173" s="2">
        <v>644.0</v>
      </c>
      <c r="J173" s="2">
        <v>617.0</v>
      </c>
      <c r="K173" s="2">
        <v>7.79413154838944</v>
      </c>
    </row>
    <row r="174">
      <c r="A174" s="2">
        <v>32.0</v>
      </c>
      <c r="B174" s="2" t="s">
        <v>18</v>
      </c>
      <c r="C174" s="2" t="s">
        <v>142</v>
      </c>
      <c r="D174" s="2" t="s">
        <v>145</v>
      </c>
      <c r="E174" s="2">
        <v>-68.0</v>
      </c>
      <c r="F174" s="2">
        <v>29.3762050953852</v>
      </c>
      <c r="G174" s="2">
        <v>28.3093883455334</v>
      </c>
      <c r="H174" s="2">
        <v>7.06715281759616</v>
      </c>
      <c r="I174" s="2">
        <v>1272.0</v>
      </c>
      <c r="J174" s="2">
        <v>1204.0</v>
      </c>
      <c r="K174" s="2">
        <v>7.1094066108275</v>
      </c>
    </row>
    <row r="175">
      <c r="A175" s="2">
        <v>32.0</v>
      </c>
      <c r="B175" s="2" t="s">
        <v>16</v>
      </c>
      <c r="C175" s="2" t="s">
        <v>142</v>
      </c>
      <c r="D175" s="2" t="s">
        <v>145</v>
      </c>
      <c r="E175" s="2">
        <v>-83.0</v>
      </c>
      <c r="F175" s="2">
        <v>22.4686412925324</v>
      </c>
      <c r="G175" s="2">
        <v>21.1671042399281</v>
      </c>
      <c r="H175" s="2">
        <v>7.79413154838944</v>
      </c>
      <c r="I175" s="2">
        <v>727.0</v>
      </c>
      <c r="J175" s="2">
        <v>644.0</v>
      </c>
      <c r="K175" s="2">
        <v>7.85391919018884</v>
      </c>
    </row>
    <row r="176">
      <c r="A176" s="2">
        <v>32.0</v>
      </c>
      <c r="B176" s="2" t="s">
        <v>112</v>
      </c>
      <c r="C176" s="2" t="s">
        <v>142</v>
      </c>
      <c r="D176" s="2" t="s">
        <v>145</v>
      </c>
      <c r="E176" s="2">
        <v>-92.0</v>
      </c>
      <c r="F176" s="2">
        <v>25.0</v>
      </c>
      <c r="G176" s="2">
        <v>23.5349566559027</v>
      </c>
      <c r="H176" s="2">
        <v>8.26044951369215</v>
      </c>
      <c r="I176" s="2">
        <v>850.0</v>
      </c>
      <c r="J176" s="2">
        <v>758.0</v>
      </c>
      <c r="K176" s="2">
        <v>8.33333333333333</v>
      </c>
    </row>
    <row r="177">
      <c r="A177" s="2">
        <v>32.0</v>
      </c>
      <c r="B177" s="2" t="s">
        <v>35</v>
      </c>
      <c r="C177" s="2" t="s">
        <v>144</v>
      </c>
      <c r="D177" s="2" t="s">
        <v>143</v>
      </c>
      <c r="E177" s="2">
        <v>103.0</v>
      </c>
      <c r="F177" s="2">
        <v>28.150551048988</v>
      </c>
      <c r="G177" s="2">
        <v>29.5574199810431</v>
      </c>
      <c r="H177" s="2">
        <v>8.09784395224981</v>
      </c>
      <c r="I177" s="2">
        <v>1081.0</v>
      </c>
      <c r="J177" s="2">
        <v>1184.0</v>
      </c>
      <c r="K177" s="2">
        <v>8.16598728708055</v>
      </c>
    </row>
    <row r="178">
      <c r="A178" s="2">
        <v>32.0</v>
      </c>
      <c r="B178" s="2" t="s">
        <v>64</v>
      </c>
      <c r="C178" s="2" t="s">
        <v>144</v>
      </c>
      <c r="D178" s="2" t="s">
        <v>143</v>
      </c>
      <c r="E178" s="2">
        <v>78.0</v>
      </c>
      <c r="F178" s="2">
        <v>28.9262816081141</v>
      </c>
      <c r="G178" s="2">
        <v>30.004219107587</v>
      </c>
      <c r="H178" s="2">
        <v>7.10338133900923</v>
      </c>
      <c r="I178" s="2">
        <v>1238.0</v>
      </c>
      <c r="J178" s="2">
        <v>1316.0</v>
      </c>
      <c r="K178" s="2">
        <v>7.14643124968742</v>
      </c>
    </row>
    <row r="179">
      <c r="A179" s="2">
        <v>32.0</v>
      </c>
      <c r="B179" s="2" t="s">
        <v>99</v>
      </c>
      <c r="C179" s="2" t="s">
        <v>144</v>
      </c>
      <c r="D179" s="2" t="s">
        <v>143</v>
      </c>
      <c r="E179" s="2">
        <v>102.0</v>
      </c>
      <c r="F179" s="2">
        <v>24.5882138439481</v>
      </c>
      <c r="G179" s="2">
        <v>25.9933272380955</v>
      </c>
      <c r="H179" s="2">
        <v>8.09288226084611</v>
      </c>
      <c r="I179" s="2">
        <v>840.0</v>
      </c>
      <c r="J179" s="2">
        <v>942.0</v>
      </c>
      <c r="K179" s="2">
        <v>8.16088392055915</v>
      </c>
    </row>
    <row r="180">
      <c r="A180" s="2">
        <v>32.0</v>
      </c>
      <c r="B180" s="2" t="s">
        <v>55</v>
      </c>
      <c r="C180" s="2" t="s">
        <v>144</v>
      </c>
      <c r="D180" s="2" t="s">
        <v>143</v>
      </c>
      <c r="E180" s="2">
        <v>95.0</v>
      </c>
      <c r="F180" s="2">
        <v>28.6976871435299</v>
      </c>
      <c r="G180" s="2">
        <v>30.0039091210699</v>
      </c>
      <c r="H180" s="2">
        <v>7.80790931822061</v>
      </c>
      <c r="I180" s="2">
        <v>1149.0</v>
      </c>
      <c r="J180" s="2">
        <v>1244.0</v>
      </c>
      <c r="K180" s="2">
        <v>7.86806229864011</v>
      </c>
    </row>
    <row r="181">
      <c r="A181" s="2">
        <v>32.0</v>
      </c>
      <c r="B181" s="2" t="s">
        <v>113</v>
      </c>
      <c r="C181" s="2" t="s">
        <v>144</v>
      </c>
      <c r="D181" s="2" t="s">
        <v>143</v>
      </c>
      <c r="E181" s="2">
        <v>86.0</v>
      </c>
      <c r="F181" s="2">
        <v>22.9156486951798</v>
      </c>
      <c r="G181" s="2">
        <v>24.1096847416226</v>
      </c>
      <c r="H181" s="2">
        <v>7.47051870433644</v>
      </c>
      <c r="I181" s="2">
        <v>791.0</v>
      </c>
      <c r="J181" s="2">
        <v>877.0</v>
      </c>
      <c r="K181" s="2">
        <v>7.52208701108108</v>
      </c>
    </row>
    <row r="182">
      <c r="A182" s="2">
        <v>32.0</v>
      </c>
      <c r="B182" s="2" t="s">
        <v>67</v>
      </c>
      <c r="C182" s="2" t="s">
        <v>144</v>
      </c>
      <c r="D182" s="2" t="s">
        <v>143</v>
      </c>
      <c r="E182" s="2">
        <v>98.0</v>
      </c>
      <c r="F182" s="2">
        <v>19.1711841038207</v>
      </c>
      <c r="G182" s="2">
        <v>20.5180247487888</v>
      </c>
      <c r="H182" s="2">
        <v>7.92628951506879</v>
      </c>
      <c r="I182" s="2">
        <v>489.0</v>
      </c>
      <c r="J182" s="2">
        <v>587.0</v>
      </c>
      <c r="K182" s="2">
        <v>7.98963472122203</v>
      </c>
    </row>
    <row r="183">
      <c r="A183" s="2">
        <v>32.0</v>
      </c>
      <c r="B183" s="2" t="s">
        <v>53</v>
      </c>
      <c r="C183" s="2" t="s">
        <v>144</v>
      </c>
      <c r="D183" s="2" t="s">
        <v>143</v>
      </c>
      <c r="E183" s="2">
        <v>83.0</v>
      </c>
      <c r="F183" s="2">
        <v>24.9557010901048</v>
      </c>
      <c r="G183" s="2">
        <v>26.1131497474363</v>
      </c>
      <c r="H183" s="2">
        <v>7.35691587586964</v>
      </c>
      <c r="I183" s="2">
        <v>942.0</v>
      </c>
      <c r="J183" s="2">
        <v>1025.0</v>
      </c>
      <c r="K183" s="2">
        <v>7.40575913892834</v>
      </c>
    </row>
    <row r="184">
      <c r="A184" s="2">
        <v>32.0</v>
      </c>
      <c r="B184" s="2" t="s">
        <v>87</v>
      </c>
      <c r="C184" s="2" t="s">
        <v>144</v>
      </c>
      <c r="D184" s="2" t="s">
        <v>143</v>
      </c>
      <c r="E184" s="2">
        <v>105.0</v>
      </c>
      <c r="F184" s="2">
        <v>23.8859151247291</v>
      </c>
      <c r="G184" s="2">
        <v>25.3286548018163</v>
      </c>
      <c r="H184" s="2">
        <v>8.19851842075105</v>
      </c>
      <c r="I184" s="2">
        <v>781.0</v>
      </c>
      <c r="J184" s="2">
        <v>886.0</v>
      </c>
      <c r="K184" s="2">
        <v>8.26957431294632</v>
      </c>
    </row>
    <row r="185">
      <c r="A185" s="2">
        <v>32.0</v>
      </c>
      <c r="B185" s="2" t="s">
        <v>39</v>
      </c>
      <c r="C185" s="2" t="s">
        <v>144</v>
      </c>
      <c r="D185" s="2" t="s">
        <v>143</v>
      </c>
      <c r="E185" s="2">
        <v>98.0</v>
      </c>
      <c r="F185" s="2">
        <v>25.4336987615007</v>
      </c>
      <c r="G185" s="2">
        <v>26.7821633629853</v>
      </c>
      <c r="H185" s="2">
        <v>7.93098306725758</v>
      </c>
      <c r="I185" s="2">
        <v>914.0</v>
      </c>
      <c r="J185" s="2">
        <v>1012.0</v>
      </c>
      <c r="K185" s="2">
        <v>7.994456818348</v>
      </c>
    </row>
    <row r="186">
      <c r="A186" s="2">
        <v>32.0</v>
      </c>
      <c r="B186" s="2" t="s">
        <v>66</v>
      </c>
      <c r="C186" s="2" t="s">
        <v>144</v>
      </c>
      <c r="D186" s="2" t="s">
        <v>143</v>
      </c>
      <c r="E186" s="2">
        <v>102.0</v>
      </c>
      <c r="F186" s="2">
        <v>24.5602566703176</v>
      </c>
      <c r="G186" s="2">
        <v>25.9653097896841</v>
      </c>
      <c r="H186" s="2">
        <v>8.09271184762142</v>
      </c>
      <c r="I186" s="2">
        <v>838.0</v>
      </c>
      <c r="J186" s="2">
        <v>940.0</v>
      </c>
      <c r="K186" s="2">
        <v>8.1607086444907</v>
      </c>
    </row>
    <row r="187">
      <c r="A187" s="2">
        <v>31.0</v>
      </c>
      <c r="B187" s="2" t="s">
        <v>18</v>
      </c>
      <c r="C187" s="2" t="s">
        <v>142</v>
      </c>
      <c r="D187" s="2" t="s">
        <v>143</v>
      </c>
      <c r="E187" s="2">
        <v>48.0</v>
      </c>
      <c r="F187" s="2">
        <v>28.7159199302073</v>
      </c>
      <c r="G187" s="2">
        <v>29.3762050953852</v>
      </c>
      <c r="H187" s="2">
        <v>7.1094066108275</v>
      </c>
      <c r="I187" s="2">
        <v>1224.0</v>
      </c>
      <c r="J187" s="2">
        <v>1272.0</v>
      </c>
      <c r="K187" s="2">
        <v>7.14350124905682</v>
      </c>
    </row>
    <row r="188">
      <c r="A188" s="2">
        <v>31.0</v>
      </c>
      <c r="B188" s="2" t="s">
        <v>70</v>
      </c>
      <c r="C188" s="2" t="s">
        <v>142</v>
      </c>
      <c r="D188" s="2" t="s">
        <v>143</v>
      </c>
      <c r="E188" s="2">
        <v>58.0</v>
      </c>
      <c r="F188" s="2">
        <v>19.253672221651</v>
      </c>
      <c r="G188" s="2">
        <v>20.0318181870176</v>
      </c>
      <c r="H188" s="2">
        <v>7.71002858330189</v>
      </c>
      <c r="I188" s="2">
        <v>518.0</v>
      </c>
      <c r="J188" s="2">
        <v>576.0</v>
      </c>
      <c r="K188" s="2">
        <v>7.75593015802837</v>
      </c>
    </row>
    <row r="189">
      <c r="A189" s="2">
        <v>31.0</v>
      </c>
      <c r="B189" s="2" t="s">
        <v>61</v>
      </c>
      <c r="C189" s="2" t="s">
        <v>142</v>
      </c>
      <c r="D189" s="2" t="s">
        <v>143</v>
      </c>
      <c r="E189" s="2">
        <v>63.0</v>
      </c>
      <c r="F189" s="2">
        <v>25.7884478203815</v>
      </c>
      <c r="G189" s="2">
        <v>26.6357361355099</v>
      </c>
      <c r="H189" s="2">
        <v>8.04046690609762</v>
      </c>
      <c r="I189" s="2">
        <v>928.0</v>
      </c>
      <c r="J189" s="2">
        <v>991.0</v>
      </c>
      <c r="K189" s="2">
        <v>8.09366963521692</v>
      </c>
    </row>
    <row r="190">
      <c r="A190" s="2">
        <v>31.0</v>
      </c>
      <c r="B190" s="2" t="s">
        <v>43</v>
      </c>
      <c r="C190" s="2" t="s">
        <v>144</v>
      </c>
      <c r="D190" s="2" t="s">
        <v>145</v>
      </c>
      <c r="E190" s="2">
        <v>-51.0</v>
      </c>
      <c r="F190" s="2">
        <v>26.141287557632</v>
      </c>
      <c r="G190" s="2">
        <v>25.3154716812965</v>
      </c>
      <c r="H190" s="2">
        <v>7.93940556158455</v>
      </c>
      <c r="I190" s="2">
        <v>963.0</v>
      </c>
      <c r="J190" s="2">
        <v>912.0</v>
      </c>
      <c r="K190" s="2">
        <v>7.99031170457806</v>
      </c>
    </row>
    <row r="191">
      <c r="A191" s="2">
        <v>31.0</v>
      </c>
      <c r="B191" s="2" t="s">
        <v>32</v>
      </c>
      <c r="C191" s="2" t="s">
        <v>144</v>
      </c>
      <c r="D191" s="2" t="s">
        <v>145</v>
      </c>
      <c r="E191" s="2">
        <v>-49.0</v>
      </c>
      <c r="F191" s="2">
        <v>20.2716212113254</v>
      </c>
      <c r="G191" s="2">
        <v>19.4813918867629</v>
      </c>
      <c r="H191" s="2">
        <v>7.76884836575666</v>
      </c>
      <c r="I191" s="2">
        <v>581.0</v>
      </c>
      <c r="J191" s="2">
        <v>532.0</v>
      </c>
      <c r="K191" s="2">
        <v>7.81600616503979</v>
      </c>
    </row>
    <row r="192">
      <c r="A192" s="2">
        <v>31.0</v>
      </c>
      <c r="B192" s="2" t="s">
        <v>53</v>
      </c>
      <c r="C192" s="2" t="s">
        <v>144</v>
      </c>
      <c r="D192" s="2" t="s">
        <v>145</v>
      </c>
      <c r="E192" s="2">
        <v>-44.0</v>
      </c>
      <c r="F192" s="2">
        <v>25.6728852082019</v>
      </c>
      <c r="G192" s="2">
        <v>24.9557010901048</v>
      </c>
      <c r="H192" s="2">
        <v>7.40575913892834</v>
      </c>
      <c r="I192" s="2">
        <v>986.0</v>
      </c>
      <c r="J192" s="2">
        <v>942.0</v>
      </c>
      <c r="K192" s="2">
        <v>7.4454520139571</v>
      </c>
    </row>
    <row r="193">
      <c r="A193" s="2">
        <v>31.0</v>
      </c>
      <c r="B193" s="2" t="s">
        <v>184</v>
      </c>
      <c r="C193" s="2" t="s">
        <v>144</v>
      </c>
      <c r="D193" s="2" t="s">
        <v>145</v>
      </c>
      <c r="E193" s="2">
        <v>-55.0</v>
      </c>
      <c r="F193" s="2">
        <v>23.8859151247291</v>
      </c>
      <c r="G193" s="2">
        <v>23.0014484005936</v>
      </c>
      <c r="H193" s="2">
        <v>8.2123336956619</v>
      </c>
      <c r="I193" s="2">
        <v>781.0</v>
      </c>
      <c r="J193" s="2">
        <v>726.0</v>
      </c>
      <c r="K193" s="2">
        <v>8.26957431294632</v>
      </c>
    </row>
    <row r="194">
      <c r="A194" s="2">
        <v>31.0</v>
      </c>
      <c r="B194" s="2" t="s">
        <v>20</v>
      </c>
      <c r="C194" s="2" t="s">
        <v>144</v>
      </c>
      <c r="D194" s="2" t="s">
        <v>145</v>
      </c>
      <c r="E194" s="2">
        <v>-54.0</v>
      </c>
      <c r="F194" s="2">
        <v>26.1140848752708</v>
      </c>
      <c r="G194" s="2">
        <v>25.2296181511353</v>
      </c>
      <c r="H194" s="2">
        <v>8.2123336956619</v>
      </c>
      <c r="I194" s="2">
        <v>932.0</v>
      </c>
      <c r="J194" s="2">
        <v>878.0</v>
      </c>
      <c r="K194" s="2">
        <v>8.26957431294632</v>
      </c>
    </row>
    <row r="195">
      <c r="A195" s="2">
        <v>31.0</v>
      </c>
      <c r="B195" s="2" t="s">
        <v>64</v>
      </c>
      <c r="C195" s="2" t="s">
        <v>144</v>
      </c>
      <c r="D195" s="2" t="s">
        <v>145</v>
      </c>
      <c r="E195" s="2">
        <v>-42.0</v>
      </c>
      <c r="F195" s="2">
        <v>29.5935423243044</v>
      </c>
      <c r="G195" s="2">
        <v>28.9262816081141</v>
      </c>
      <c r="H195" s="2">
        <v>7.14643124968742</v>
      </c>
      <c r="I195" s="2">
        <v>1280.0</v>
      </c>
      <c r="J195" s="2">
        <v>1238.0</v>
      </c>
      <c r="K195" s="2">
        <v>7.1812019027782</v>
      </c>
    </row>
    <row r="196">
      <c r="A196" s="2">
        <v>31.0</v>
      </c>
      <c r="B196" s="2" t="s">
        <v>108</v>
      </c>
      <c r="C196" s="2" t="s">
        <v>144</v>
      </c>
      <c r="D196" s="2" t="s">
        <v>145</v>
      </c>
      <c r="E196" s="2">
        <v>-55.0</v>
      </c>
      <c r="F196" s="2">
        <v>25.0</v>
      </c>
      <c r="G196" s="2">
        <v>24.1018600875478</v>
      </c>
      <c r="H196" s="2">
        <v>8.27458824589004</v>
      </c>
      <c r="I196" s="2">
        <v>850.0</v>
      </c>
      <c r="J196" s="2">
        <v>795.0</v>
      </c>
      <c r="K196" s="2">
        <v>8.33333333333333</v>
      </c>
    </row>
    <row r="197">
      <c r="A197" s="2">
        <v>31.0</v>
      </c>
      <c r="B197" s="2" t="s">
        <v>51</v>
      </c>
      <c r="C197" s="2" t="s">
        <v>144</v>
      </c>
      <c r="D197" s="2" t="s">
        <v>145</v>
      </c>
      <c r="E197" s="2">
        <v>-54.0</v>
      </c>
      <c r="F197" s="2">
        <v>25.528034091567</v>
      </c>
      <c r="G197" s="2">
        <v>24.6553594048844</v>
      </c>
      <c r="H197" s="2">
        <v>8.15823827908552</v>
      </c>
      <c r="I197" s="2">
        <v>898.0</v>
      </c>
      <c r="J197" s="2">
        <v>844.0</v>
      </c>
      <c r="K197" s="2">
        <v>8.21418978583445</v>
      </c>
    </row>
    <row r="198">
      <c r="A198" s="2">
        <v>31.0</v>
      </c>
      <c r="B198" s="2" t="s">
        <v>16</v>
      </c>
      <c r="C198" s="2" t="s">
        <v>144</v>
      </c>
      <c r="D198" s="2" t="s">
        <v>145</v>
      </c>
      <c r="E198" s="2">
        <v>-50.0</v>
      </c>
      <c r="F198" s="2">
        <v>23.2765183888036</v>
      </c>
      <c r="G198" s="2">
        <v>22.4686412925324</v>
      </c>
      <c r="H198" s="2">
        <v>7.85391919018884</v>
      </c>
      <c r="I198" s="2">
        <v>777.0</v>
      </c>
      <c r="J198" s="2">
        <v>727.0</v>
      </c>
      <c r="K198" s="2">
        <v>7.90292678362818</v>
      </c>
    </row>
    <row r="199">
      <c r="A199" s="2">
        <v>31.0</v>
      </c>
      <c r="B199" s="2" t="s">
        <v>29</v>
      </c>
      <c r="C199" s="2" t="s">
        <v>144</v>
      </c>
      <c r="D199" s="2" t="s">
        <v>145</v>
      </c>
      <c r="E199" s="2">
        <v>-44.0</v>
      </c>
      <c r="F199" s="2">
        <v>25.4635358907578</v>
      </c>
      <c r="G199" s="2">
        <v>24.7696644464516</v>
      </c>
      <c r="H199" s="2">
        <v>7.28586618879121</v>
      </c>
      <c r="I199" s="2">
        <v>985.0</v>
      </c>
      <c r="J199" s="2">
        <v>941.0</v>
      </c>
      <c r="K199" s="2">
        <v>7.323242228951</v>
      </c>
    </row>
    <row r="200">
      <c r="A200" s="2">
        <v>30.0</v>
      </c>
      <c r="B200" s="2" t="s">
        <v>104</v>
      </c>
      <c r="C200" s="2" t="s">
        <v>142</v>
      </c>
      <c r="D200" s="2" t="s">
        <v>143</v>
      </c>
      <c r="E200" s="2">
        <v>82.0</v>
      </c>
      <c r="F200" s="2">
        <v>25.0</v>
      </c>
      <c r="G200" s="2">
        <v>26.1140848752708</v>
      </c>
      <c r="H200" s="2">
        <v>8.26957431294632</v>
      </c>
      <c r="I200" s="2">
        <v>850.0</v>
      </c>
      <c r="J200" s="2">
        <v>932.0</v>
      </c>
      <c r="K200" s="2">
        <v>8.33333333333333</v>
      </c>
    </row>
    <row r="201">
      <c r="A201" s="2">
        <v>30.0</v>
      </c>
      <c r="B201" s="2" t="s">
        <v>113</v>
      </c>
      <c r="C201" s="2" t="s">
        <v>142</v>
      </c>
      <c r="D201" s="2" t="s">
        <v>143</v>
      </c>
      <c r="E201" s="2">
        <v>67.0</v>
      </c>
      <c r="F201" s="2">
        <v>21.9965676748818</v>
      </c>
      <c r="G201" s="2">
        <v>22.9156486951798</v>
      </c>
      <c r="H201" s="2">
        <v>7.52208701108108</v>
      </c>
      <c r="I201" s="2">
        <v>724.0</v>
      </c>
      <c r="J201" s="2">
        <v>791.0</v>
      </c>
      <c r="K201" s="2">
        <v>7.56792457745221</v>
      </c>
    </row>
    <row r="202">
      <c r="A202" s="2">
        <v>30.0</v>
      </c>
      <c r="B202" s="2" t="s">
        <v>20</v>
      </c>
      <c r="C202" s="2" t="s">
        <v>142</v>
      </c>
      <c r="D202" s="2" t="s">
        <v>143</v>
      </c>
      <c r="E202" s="2">
        <v>82.0</v>
      </c>
      <c r="F202" s="2">
        <v>25.0</v>
      </c>
      <c r="G202" s="2">
        <v>26.1140848752708</v>
      </c>
      <c r="H202" s="2">
        <v>8.26957431294632</v>
      </c>
      <c r="I202" s="2">
        <v>850.0</v>
      </c>
      <c r="J202" s="2">
        <v>932.0</v>
      </c>
      <c r="K202" s="2">
        <v>8.33333333333333</v>
      </c>
    </row>
    <row r="203">
      <c r="A203" s="2">
        <v>30.0</v>
      </c>
      <c r="B203" s="2" t="s">
        <v>184</v>
      </c>
      <c r="C203" s="2" t="s">
        <v>144</v>
      </c>
      <c r="D203" s="2" t="s">
        <v>145</v>
      </c>
      <c r="E203" s="2">
        <v>-69.0</v>
      </c>
      <c r="F203" s="2">
        <v>25.0</v>
      </c>
      <c r="G203" s="2">
        <v>23.8859151247291</v>
      </c>
      <c r="H203" s="2">
        <v>8.26957431294632</v>
      </c>
      <c r="I203" s="2">
        <v>850.0</v>
      </c>
      <c r="J203" s="2">
        <v>781.0</v>
      </c>
      <c r="K203" s="2">
        <v>8.33333333333333</v>
      </c>
    </row>
    <row r="204">
      <c r="A204" s="2">
        <v>30.0</v>
      </c>
      <c r="B204" s="2" t="s">
        <v>64</v>
      </c>
      <c r="C204" s="2" t="s">
        <v>144</v>
      </c>
      <c r="D204" s="2" t="s">
        <v>145</v>
      </c>
      <c r="E204" s="2">
        <v>-53.0</v>
      </c>
      <c r="F204" s="2">
        <v>30.4301723563451</v>
      </c>
      <c r="G204" s="2">
        <v>29.5935423243044</v>
      </c>
      <c r="H204" s="2">
        <v>7.1812019027782</v>
      </c>
      <c r="I204" s="2">
        <v>1333.0</v>
      </c>
      <c r="J204" s="2">
        <v>1280.0</v>
      </c>
      <c r="K204" s="2">
        <v>7.2199300586912</v>
      </c>
    </row>
    <row r="205">
      <c r="A205" s="2">
        <v>30.0</v>
      </c>
      <c r="B205" s="2" t="s">
        <v>66</v>
      </c>
      <c r="C205" s="2" t="s">
        <v>144</v>
      </c>
      <c r="D205" s="2" t="s">
        <v>145</v>
      </c>
      <c r="E205" s="2">
        <v>-67.0</v>
      </c>
      <c r="F205" s="2">
        <v>25.644717324623</v>
      </c>
      <c r="G205" s="2">
        <v>24.5602566703176</v>
      </c>
      <c r="H205" s="2">
        <v>8.1607086444907</v>
      </c>
      <c r="I205" s="2">
        <v>905.0</v>
      </c>
      <c r="J205" s="2">
        <v>838.0</v>
      </c>
      <c r="K205" s="2">
        <v>8.22164701376801</v>
      </c>
    </row>
    <row r="206">
      <c r="A206" s="2">
        <v>30.0</v>
      </c>
      <c r="B206" s="2" t="s">
        <v>18</v>
      </c>
      <c r="C206" s="2" t="s">
        <v>144</v>
      </c>
      <c r="D206" s="2" t="s">
        <v>145</v>
      </c>
      <c r="E206" s="2">
        <v>-52.0</v>
      </c>
      <c r="F206" s="2">
        <v>29.5436783098279</v>
      </c>
      <c r="G206" s="2">
        <v>28.7159199302073</v>
      </c>
      <c r="H206" s="2">
        <v>7.14350124905682</v>
      </c>
      <c r="I206" s="2">
        <v>1276.0</v>
      </c>
      <c r="J206" s="2">
        <v>1224.0</v>
      </c>
      <c r="K206" s="2">
        <v>7.18148140205959</v>
      </c>
    </row>
    <row r="207">
      <c r="A207" s="2">
        <v>30.0</v>
      </c>
      <c r="B207" s="2" t="s">
        <v>43</v>
      </c>
      <c r="C207" s="2" t="s">
        <v>144</v>
      </c>
      <c r="D207" s="2" t="s">
        <v>145</v>
      </c>
      <c r="E207" s="2">
        <v>-64.0</v>
      </c>
      <c r="F207" s="2">
        <v>27.1802208195602</v>
      </c>
      <c r="G207" s="2">
        <v>26.141287557632</v>
      </c>
      <c r="H207" s="2">
        <v>7.99031170457806</v>
      </c>
      <c r="I207" s="2">
        <v>1027.0</v>
      </c>
      <c r="J207" s="2">
        <v>963.0</v>
      </c>
      <c r="K207" s="2">
        <v>8.04698297201912</v>
      </c>
    </row>
    <row r="208">
      <c r="A208" s="2">
        <v>30.0</v>
      </c>
      <c r="B208" s="2" t="s">
        <v>70</v>
      </c>
      <c r="C208" s="2" t="s">
        <v>144</v>
      </c>
      <c r="D208" s="2" t="s">
        <v>145</v>
      </c>
      <c r="E208" s="2">
        <v>-61.0</v>
      </c>
      <c r="F208" s="2">
        <v>20.2316512337962</v>
      </c>
      <c r="G208" s="2">
        <v>19.253672221651</v>
      </c>
      <c r="H208" s="2">
        <v>7.75593015802837</v>
      </c>
      <c r="I208" s="2">
        <v>579.0</v>
      </c>
      <c r="J208" s="2">
        <v>518.0</v>
      </c>
      <c r="K208" s="2">
        <v>7.80701857848244</v>
      </c>
    </row>
    <row r="209">
      <c r="A209" s="2">
        <v>30.0</v>
      </c>
      <c r="B209" s="2" t="s">
        <v>53</v>
      </c>
      <c r="C209" s="2" t="s">
        <v>144</v>
      </c>
      <c r="D209" s="2" t="s">
        <v>145</v>
      </c>
      <c r="E209" s="2">
        <v>-57.0</v>
      </c>
      <c r="F209" s="2">
        <v>26.5730788654274</v>
      </c>
      <c r="G209" s="2">
        <v>25.6728852082019</v>
      </c>
      <c r="H209" s="2">
        <v>7.4454520139571</v>
      </c>
      <c r="I209" s="2">
        <v>1043.0</v>
      </c>
      <c r="J209" s="2">
        <v>986.0</v>
      </c>
      <c r="K209" s="2">
        <v>7.48963599657829</v>
      </c>
    </row>
    <row r="210">
      <c r="A210" s="2">
        <v>30.0</v>
      </c>
      <c r="B210" s="2" t="s">
        <v>61</v>
      </c>
      <c r="C210" s="2" t="s">
        <v>144</v>
      </c>
      <c r="D210" s="2" t="s">
        <v>145</v>
      </c>
      <c r="E210" s="2">
        <v>-67.0</v>
      </c>
      <c r="F210" s="2">
        <v>26.8548744857583</v>
      </c>
      <c r="G210" s="2">
        <v>25.7884478203815</v>
      </c>
      <c r="H210" s="2">
        <v>8.09366963521692</v>
      </c>
      <c r="I210" s="2">
        <v>995.0</v>
      </c>
      <c r="J210" s="2">
        <v>928.0</v>
      </c>
      <c r="K210" s="2">
        <v>8.15290788777569</v>
      </c>
    </row>
    <row r="211">
      <c r="A211" s="2">
        <v>30.0</v>
      </c>
      <c r="B211" s="2" t="s">
        <v>174</v>
      </c>
      <c r="C211" s="2" t="s">
        <v>144</v>
      </c>
      <c r="D211" s="2" t="s">
        <v>145</v>
      </c>
      <c r="E211" s="2">
        <v>-69.0</v>
      </c>
      <c r="F211" s="2">
        <v>25.0</v>
      </c>
      <c r="G211" s="2">
        <v>23.8859151247291</v>
      </c>
      <c r="H211" s="2">
        <v>8.26957431294632</v>
      </c>
      <c r="I211" s="2">
        <v>850.0</v>
      </c>
      <c r="J211" s="2">
        <v>781.0</v>
      </c>
      <c r="K211" s="2">
        <v>8.33333333333333</v>
      </c>
    </row>
    <row r="212">
      <c r="A212" s="2">
        <v>30.0</v>
      </c>
      <c r="B212" s="2" t="s">
        <v>87</v>
      </c>
      <c r="C212" s="2" t="s">
        <v>144</v>
      </c>
      <c r="D212" s="2" t="s">
        <v>145</v>
      </c>
      <c r="E212" s="2">
        <v>-69.0</v>
      </c>
      <c r="F212" s="2">
        <v>25.0</v>
      </c>
      <c r="G212" s="2">
        <v>23.8859151247291</v>
      </c>
      <c r="H212" s="2">
        <v>8.26957431294632</v>
      </c>
      <c r="I212" s="2">
        <v>850.0</v>
      </c>
      <c r="J212" s="2">
        <v>781.0</v>
      </c>
      <c r="K212" s="2">
        <v>8.33333333333333</v>
      </c>
    </row>
    <row r="213">
      <c r="A213" s="2">
        <v>29.0</v>
      </c>
      <c r="B213" s="2" t="s">
        <v>18</v>
      </c>
      <c r="C213" s="2" t="s">
        <v>142</v>
      </c>
      <c r="D213" s="2" t="s">
        <v>143</v>
      </c>
      <c r="E213" s="2">
        <v>18.0</v>
      </c>
      <c r="F213" s="2">
        <v>29.3017490902692</v>
      </c>
      <c r="G213" s="2">
        <v>29.5436783098279</v>
      </c>
      <c r="H213" s="2">
        <v>7.18148140205959</v>
      </c>
      <c r="I213" s="2">
        <v>1258.0</v>
      </c>
      <c r="J213" s="2">
        <v>1276.0</v>
      </c>
      <c r="K213" s="2">
        <v>7.19846998458042</v>
      </c>
    </row>
    <row r="214">
      <c r="A214" s="2">
        <v>29.0</v>
      </c>
      <c r="B214" s="2" t="s">
        <v>64</v>
      </c>
      <c r="C214" s="2" t="s">
        <v>142</v>
      </c>
      <c r="D214" s="2" t="s">
        <v>143</v>
      </c>
      <c r="E214" s="2">
        <v>19.0</v>
      </c>
      <c r="F214" s="2">
        <v>30.1856285605553</v>
      </c>
      <c r="G214" s="2">
        <v>30.4301723563451</v>
      </c>
      <c r="H214" s="2">
        <v>7.2199300586912</v>
      </c>
      <c r="I214" s="2">
        <v>1314.0</v>
      </c>
      <c r="J214" s="2">
        <v>1333.0</v>
      </c>
      <c r="K214" s="2">
        <v>7.2373302860624</v>
      </c>
    </row>
    <row r="215">
      <c r="A215" s="2">
        <v>29.0</v>
      </c>
      <c r="B215" s="2" t="s">
        <v>38</v>
      </c>
      <c r="C215" s="2" t="s">
        <v>142</v>
      </c>
      <c r="D215" s="2" t="s">
        <v>143</v>
      </c>
      <c r="E215" s="2">
        <v>24.0</v>
      </c>
      <c r="F215" s="2">
        <v>25.0934335991875</v>
      </c>
      <c r="G215" s="2">
        <v>25.4082704790786</v>
      </c>
      <c r="H215" s="2">
        <v>8.18442346792001</v>
      </c>
      <c r="I215" s="2">
        <v>869.0</v>
      </c>
      <c r="J215" s="2">
        <v>893.0</v>
      </c>
      <c r="K215" s="2">
        <v>8.21346018783384</v>
      </c>
    </row>
    <row r="216">
      <c r="A216" s="2">
        <v>29.0</v>
      </c>
      <c r="B216" s="2" t="s">
        <v>31</v>
      </c>
      <c r="C216" s="2" t="s">
        <v>144</v>
      </c>
      <c r="D216" s="2" t="s">
        <v>145</v>
      </c>
      <c r="E216" s="2">
        <v>-17.0</v>
      </c>
      <c r="F216" s="2">
        <v>22.7268947637194</v>
      </c>
      <c r="G216" s="2">
        <v>22.449433369289</v>
      </c>
      <c r="H216" s="2">
        <v>7.68713199475046</v>
      </c>
      <c r="I216" s="2">
        <v>759.0</v>
      </c>
      <c r="J216" s="2">
        <v>742.0</v>
      </c>
      <c r="K216" s="2">
        <v>7.70984437013946</v>
      </c>
    </row>
    <row r="217">
      <c r="A217" s="2">
        <v>29.0</v>
      </c>
      <c r="B217" s="2" t="s">
        <v>32</v>
      </c>
      <c r="C217" s="2" t="s">
        <v>144</v>
      </c>
      <c r="D217" s="2" t="s">
        <v>145</v>
      </c>
      <c r="E217" s="2">
        <v>-17.0</v>
      </c>
      <c r="F217" s="2">
        <v>20.5585365708151</v>
      </c>
      <c r="G217" s="2">
        <v>20.2716212113254</v>
      </c>
      <c r="H217" s="2">
        <v>7.81600616503979</v>
      </c>
      <c r="I217" s="2">
        <v>598.0</v>
      </c>
      <c r="J217" s="2">
        <v>581.0</v>
      </c>
      <c r="K217" s="2">
        <v>7.84028881871416</v>
      </c>
    </row>
    <row r="218">
      <c r="A218" s="2">
        <v>29.0</v>
      </c>
      <c r="B218" s="2" t="s">
        <v>55</v>
      </c>
      <c r="C218" s="2" t="s">
        <v>144</v>
      </c>
      <c r="D218" s="2" t="s">
        <v>145</v>
      </c>
      <c r="E218" s="2">
        <v>-17.0</v>
      </c>
      <c r="F218" s="2">
        <v>28.9884672003173</v>
      </c>
      <c r="G218" s="2">
        <v>28.6976871435299</v>
      </c>
      <c r="H218" s="2">
        <v>7.86806229864011</v>
      </c>
      <c r="I218" s="2">
        <v>1166.0</v>
      </c>
      <c r="J218" s="2">
        <v>1149.0</v>
      </c>
      <c r="K218" s="2">
        <v>7.89299261437906</v>
      </c>
    </row>
    <row r="219">
      <c r="A219" s="2">
        <v>29.0</v>
      </c>
      <c r="B219" s="2" t="s">
        <v>23</v>
      </c>
      <c r="C219" s="2" t="s">
        <v>144</v>
      </c>
      <c r="D219" s="2" t="s">
        <v>145</v>
      </c>
      <c r="E219" s="2">
        <v>-19.0</v>
      </c>
      <c r="F219" s="2">
        <v>23.8539166551315</v>
      </c>
      <c r="G219" s="2">
        <v>23.5348380487257</v>
      </c>
      <c r="H219" s="2">
        <v>8.23890333946647</v>
      </c>
      <c r="I219" s="2">
        <v>779.0</v>
      </c>
      <c r="J219" s="2">
        <v>760.0</v>
      </c>
      <c r="K219" s="2">
        <v>8.26867744743098</v>
      </c>
    </row>
    <row r="220">
      <c r="A220" s="2">
        <v>29.0</v>
      </c>
      <c r="B220" s="2" t="s">
        <v>67</v>
      </c>
      <c r="C220" s="2" t="s">
        <v>144</v>
      </c>
      <c r="D220" s="2" t="s">
        <v>145</v>
      </c>
      <c r="E220" s="2">
        <v>-17.0</v>
      </c>
      <c r="F220" s="2">
        <v>19.4710929381072</v>
      </c>
      <c r="G220" s="2">
        <v>19.1711841038207</v>
      </c>
      <c r="H220" s="2">
        <v>7.98963472122203</v>
      </c>
      <c r="I220" s="2">
        <v>506.0</v>
      </c>
      <c r="J220" s="2">
        <v>489.0</v>
      </c>
      <c r="K220" s="2">
        <v>8.01610810836596</v>
      </c>
    </row>
    <row r="221">
      <c r="A221" s="2">
        <v>29.0</v>
      </c>
      <c r="B221" s="2" t="s">
        <v>19</v>
      </c>
      <c r="C221" s="2" t="s">
        <v>144</v>
      </c>
      <c r="D221" s="2" t="s">
        <v>145</v>
      </c>
      <c r="E221" s="2">
        <v>-19.0</v>
      </c>
      <c r="F221" s="2">
        <v>25.0</v>
      </c>
      <c r="G221" s="2">
        <v>24.6759184796022</v>
      </c>
      <c r="H221" s="2">
        <v>8.30268438962116</v>
      </c>
      <c r="I221" s="2">
        <v>850.0</v>
      </c>
      <c r="J221" s="2">
        <v>831.0</v>
      </c>
      <c r="K221" s="2">
        <v>8.33333333333333</v>
      </c>
    </row>
    <row r="222">
      <c r="A222" s="2">
        <v>29.0</v>
      </c>
      <c r="B222" s="2" t="s">
        <v>28</v>
      </c>
      <c r="C222" s="2" t="s">
        <v>144</v>
      </c>
      <c r="D222" s="2" t="s">
        <v>145</v>
      </c>
      <c r="E222" s="2">
        <v>-18.0</v>
      </c>
      <c r="F222" s="2">
        <v>22.4754462855942</v>
      </c>
      <c r="G222" s="2">
        <v>22.1764702396958</v>
      </c>
      <c r="H222" s="2">
        <v>7.97730004176814</v>
      </c>
      <c r="I222" s="2">
        <v>712.0</v>
      </c>
      <c r="J222" s="2">
        <v>694.0</v>
      </c>
      <c r="K222" s="2">
        <v>8.0036149038375</v>
      </c>
    </row>
    <row r="223">
      <c r="A223" s="2">
        <v>29.0</v>
      </c>
      <c r="B223" s="2" t="s">
        <v>53</v>
      </c>
      <c r="C223" s="2" t="s">
        <v>144</v>
      </c>
      <c r="D223" s="2" t="s">
        <v>145</v>
      </c>
      <c r="E223" s="2">
        <v>-16.0</v>
      </c>
      <c r="F223" s="2">
        <v>26.8363663766094</v>
      </c>
      <c r="G223" s="2">
        <v>26.5730788654274</v>
      </c>
      <c r="H223" s="2">
        <v>7.48963599657829</v>
      </c>
      <c r="I223" s="2">
        <v>1059.0</v>
      </c>
      <c r="J223" s="2">
        <v>1043.0</v>
      </c>
      <c r="K223" s="2">
        <v>7.51003149810415</v>
      </c>
    </row>
    <row r="224">
      <c r="A224" s="2">
        <v>29.0</v>
      </c>
      <c r="B224" s="2" t="s">
        <v>24</v>
      </c>
      <c r="C224" s="2" t="s">
        <v>144</v>
      </c>
      <c r="D224" s="2" t="s">
        <v>145</v>
      </c>
      <c r="E224" s="2">
        <v>-19.0</v>
      </c>
      <c r="F224" s="2">
        <v>27.8212680775341</v>
      </c>
      <c r="G224" s="2">
        <v>27.5077784309198</v>
      </c>
      <c r="H224" s="2">
        <v>8.16704120140288</v>
      </c>
      <c r="I224" s="2">
        <v>1056.0</v>
      </c>
      <c r="J224" s="2">
        <v>1037.0</v>
      </c>
      <c r="K224" s="2">
        <v>8.19584455123357</v>
      </c>
    </row>
    <row r="225">
      <c r="A225" s="2">
        <v>29.0</v>
      </c>
      <c r="B225" s="2" t="s">
        <v>182</v>
      </c>
      <c r="C225" s="2" t="s">
        <v>144</v>
      </c>
      <c r="D225" s="2" t="s">
        <v>145</v>
      </c>
      <c r="E225" s="2">
        <v>-19.0</v>
      </c>
      <c r="F225" s="2">
        <v>23.5187149497757</v>
      </c>
      <c r="G225" s="2">
        <v>23.20200997749</v>
      </c>
      <c r="H225" s="2">
        <v>8.20846296510346</v>
      </c>
      <c r="I225" s="2">
        <v>759.0</v>
      </c>
      <c r="J225" s="2">
        <v>740.0</v>
      </c>
      <c r="K225" s="2">
        <v>8.23782394547234</v>
      </c>
    </row>
    <row r="226">
      <c r="A226" s="2">
        <v>28.0</v>
      </c>
      <c r="B226" s="2" t="s">
        <v>38</v>
      </c>
      <c r="C226" s="2" t="s">
        <v>142</v>
      </c>
      <c r="D226" s="2" t="s">
        <v>143</v>
      </c>
      <c r="E226" s="2">
        <v>84.0</v>
      </c>
      <c r="F226" s="2">
        <v>23.962866418696</v>
      </c>
      <c r="G226" s="2">
        <v>25.0934335991875</v>
      </c>
      <c r="H226" s="2">
        <v>8.21346018783384</v>
      </c>
      <c r="I226" s="2">
        <v>785.0</v>
      </c>
      <c r="J226" s="2">
        <v>869.0</v>
      </c>
      <c r="K226" s="2">
        <v>8.27665738838115</v>
      </c>
    </row>
    <row r="227">
      <c r="A227" s="2">
        <v>28.0</v>
      </c>
      <c r="B227" s="2" t="s">
        <v>16</v>
      </c>
      <c r="C227" s="2" t="s">
        <v>142</v>
      </c>
      <c r="D227" s="2" t="s">
        <v>143</v>
      </c>
      <c r="E227" s="2">
        <v>77.0</v>
      </c>
      <c r="F227" s="2">
        <v>22.231145798751</v>
      </c>
      <c r="G227" s="2">
        <v>23.2765183888036</v>
      </c>
      <c r="H227" s="2">
        <v>7.90292678362818</v>
      </c>
      <c r="I227" s="2">
        <v>700.0</v>
      </c>
      <c r="J227" s="2">
        <v>777.0</v>
      </c>
      <c r="K227" s="2">
        <v>7.95827777671579</v>
      </c>
    </row>
    <row r="228">
      <c r="A228" s="2">
        <v>28.0</v>
      </c>
      <c r="B228" s="2" t="s">
        <v>46</v>
      </c>
      <c r="C228" s="2" t="s">
        <v>142</v>
      </c>
      <c r="D228" s="2" t="s">
        <v>143</v>
      </c>
      <c r="E228" s="2">
        <v>81.0</v>
      </c>
      <c r="F228" s="2">
        <v>22.0994419162209</v>
      </c>
      <c r="G228" s="2">
        <v>23.196515145713</v>
      </c>
      <c r="H228" s="2">
        <v>8.09289140112819</v>
      </c>
      <c r="I228" s="2">
        <v>671.0</v>
      </c>
      <c r="J228" s="2">
        <v>752.0</v>
      </c>
      <c r="K228" s="2">
        <v>8.15297085090862</v>
      </c>
    </row>
    <row r="229">
      <c r="A229" s="2">
        <v>28.0</v>
      </c>
      <c r="B229" s="2" t="s">
        <v>64</v>
      </c>
      <c r="C229" s="2" t="s">
        <v>144</v>
      </c>
      <c r="D229" s="2" t="s">
        <v>145</v>
      </c>
      <c r="E229" s="2">
        <v>-56.0</v>
      </c>
      <c r="F229" s="2">
        <v>31.0601150889138</v>
      </c>
      <c r="G229" s="2">
        <v>30.1856285605553</v>
      </c>
      <c r="H229" s="2">
        <v>7.2373302860624</v>
      </c>
      <c r="I229" s="2">
        <v>1370.0</v>
      </c>
      <c r="J229" s="2">
        <v>1314.0</v>
      </c>
      <c r="K229" s="2">
        <v>7.27779458530731</v>
      </c>
    </row>
    <row r="230">
      <c r="A230" s="2">
        <v>28.0</v>
      </c>
      <c r="B230" s="2" t="s">
        <v>173</v>
      </c>
      <c r="C230" s="2" t="s">
        <v>144</v>
      </c>
      <c r="D230" s="2" t="s">
        <v>145</v>
      </c>
      <c r="E230" s="2">
        <v>-67.0</v>
      </c>
      <c r="F230" s="2">
        <v>24.5367964262276</v>
      </c>
      <c r="G230" s="2">
        <v>23.4683836967978</v>
      </c>
      <c r="H230" s="2">
        <v>7.98817823988571</v>
      </c>
      <c r="I230" s="2">
        <v>848.0</v>
      </c>
      <c r="J230" s="2">
        <v>781.0</v>
      </c>
      <c r="K230" s="2">
        <v>8.0456237761706</v>
      </c>
    </row>
    <row r="231">
      <c r="A231" s="2">
        <v>28.0</v>
      </c>
      <c r="B231" s="2" t="s">
        <v>28</v>
      </c>
      <c r="C231" s="2" t="s">
        <v>144</v>
      </c>
      <c r="D231" s="2" t="s">
        <v>145</v>
      </c>
      <c r="E231" s="2">
        <v>-67.0</v>
      </c>
      <c r="F231" s="2">
        <v>23.5480590997938</v>
      </c>
      <c r="G231" s="2">
        <v>22.4754462855942</v>
      </c>
      <c r="H231" s="2">
        <v>8.0036149038375</v>
      </c>
      <c r="I231" s="2">
        <v>779.0</v>
      </c>
      <c r="J231" s="2">
        <v>712.0</v>
      </c>
      <c r="K231" s="2">
        <v>8.06144446340942</v>
      </c>
    </row>
    <row r="232">
      <c r="A232" s="2">
        <v>28.0</v>
      </c>
      <c r="B232" s="2" t="s">
        <v>18</v>
      </c>
      <c r="C232" s="2" t="s">
        <v>144</v>
      </c>
      <c r="D232" s="2" t="s">
        <v>145</v>
      </c>
      <c r="E232" s="2">
        <v>-55.0</v>
      </c>
      <c r="F232" s="2">
        <v>30.1667484984131</v>
      </c>
      <c r="G232" s="2">
        <v>29.3017490902692</v>
      </c>
      <c r="H232" s="2">
        <v>7.19846998458042</v>
      </c>
      <c r="I232" s="2">
        <v>1313.0</v>
      </c>
      <c r="J232" s="2">
        <v>1258.0</v>
      </c>
      <c r="K232" s="2">
        <v>7.23814185157728</v>
      </c>
    </row>
    <row r="233">
      <c r="A233" s="2">
        <v>28.0</v>
      </c>
      <c r="B233" s="2" t="s">
        <v>67</v>
      </c>
      <c r="C233" s="2" t="s">
        <v>144</v>
      </c>
      <c r="D233" s="2" t="s">
        <v>145</v>
      </c>
      <c r="E233" s="2">
        <v>-68.0</v>
      </c>
      <c r="F233" s="2">
        <v>20.5471112930075</v>
      </c>
      <c r="G233" s="2">
        <v>19.4710929381072</v>
      </c>
      <c r="H233" s="2">
        <v>8.01610810836596</v>
      </c>
      <c r="I233" s="2">
        <v>574.0</v>
      </c>
      <c r="J233" s="2">
        <v>506.0</v>
      </c>
      <c r="K233" s="2">
        <v>8.07424954097474</v>
      </c>
    </row>
    <row r="234">
      <c r="A234" s="2">
        <v>28.0</v>
      </c>
      <c r="B234" s="2" t="s">
        <v>32</v>
      </c>
      <c r="C234" s="2" t="s">
        <v>144</v>
      </c>
      <c r="D234" s="2" t="s">
        <v>145</v>
      </c>
      <c r="E234" s="2">
        <v>-65.0</v>
      </c>
      <c r="F234" s="2">
        <v>21.5871481589686</v>
      </c>
      <c r="G234" s="2">
        <v>20.5585365708151</v>
      </c>
      <c r="H234" s="2">
        <v>7.84028881871416</v>
      </c>
      <c r="I234" s="2">
        <v>663.0</v>
      </c>
      <c r="J234" s="2">
        <v>598.0</v>
      </c>
      <c r="K234" s="2">
        <v>7.8941289738694</v>
      </c>
    </row>
    <row r="235">
      <c r="A235" s="2">
        <v>28.0</v>
      </c>
      <c r="B235" s="2" t="s">
        <v>23</v>
      </c>
      <c r="C235" s="2" t="s">
        <v>144</v>
      </c>
      <c r="D235" s="2" t="s">
        <v>145</v>
      </c>
      <c r="E235" s="2">
        <v>-71.0</v>
      </c>
      <c r="F235" s="2">
        <v>25.0</v>
      </c>
      <c r="G235" s="2">
        <v>23.8539166551315</v>
      </c>
      <c r="H235" s="2">
        <v>8.26867744743098</v>
      </c>
      <c r="I235" s="2">
        <v>850.0</v>
      </c>
      <c r="J235" s="2">
        <v>779.0</v>
      </c>
      <c r="K235" s="2">
        <v>8.33333333333333</v>
      </c>
    </row>
    <row r="236">
      <c r="A236" s="2">
        <v>28.0</v>
      </c>
      <c r="B236" s="2" t="s">
        <v>31</v>
      </c>
      <c r="C236" s="2" t="s">
        <v>144</v>
      </c>
      <c r="D236" s="2" t="s">
        <v>145</v>
      </c>
      <c r="E236" s="2">
        <v>-62.0</v>
      </c>
      <c r="F236" s="2">
        <v>23.7210559805356</v>
      </c>
      <c r="G236" s="2">
        <v>22.7268947637194</v>
      </c>
      <c r="H236" s="2">
        <v>7.70984437013946</v>
      </c>
      <c r="I236" s="2">
        <v>821.0</v>
      </c>
      <c r="J236" s="2">
        <v>759.0</v>
      </c>
      <c r="K236" s="2">
        <v>7.76061344848859</v>
      </c>
    </row>
    <row r="237">
      <c r="A237" s="2">
        <v>28.0</v>
      </c>
      <c r="B237" s="2" t="s">
        <v>29</v>
      </c>
      <c r="C237" s="2" t="s">
        <v>144</v>
      </c>
      <c r="D237" s="2" t="s">
        <v>145</v>
      </c>
      <c r="E237" s="2">
        <v>-56.0</v>
      </c>
      <c r="F237" s="2">
        <v>26.3591874456086</v>
      </c>
      <c r="G237" s="2">
        <v>25.4635358907578</v>
      </c>
      <c r="H237" s="2">
        <v>7.323242228951</v>
      </c>
      <c r="I237" s="2">
        <v>1041.0</v>
      </c>
      <c r="J237" s="2">
        <v>985.0</v>
      </c>
      <c r="K237" s="2">
        <v>7.36548743385293</v>
      </c>
    </row>
    <row r="238">
      <c r="A238" s="2">
        <v>28.0</v>
      </c>
      <c r="B238" s="2" t="s">
        <v>182</v>
      </c>
      <c r="C238" s="2" t="s">
        <v>144</v>
      </c>
      <c r="D238" s="2" t="s">
        <v>145</v>
      </c>
      <c r="E238" s="2">
        <v>-71.0</v>
      </c>
      <c r="F238" s="2">
        <v>24.656114684936</v>
      </c>
      <c r="G238" s="2">
        <v>23.5187149497757</v>
      </c>
      <c r="H238" s="2">
        <v>8.23782394547234</v>
      </c>
      <c r="I238" s="2">
        <v>830.0</v>
      </c>
      <c r="J238" s="2">
        <v>759.0</v>
      </c>
      <c r="K238" s="2">
        <v>8.30166236146372</v>
      </c>
    </row>
    <row r="239">
      <c r="A239" s="2">
        <v>27.0</v>
      </c>
      <c r="B239" s="2" t="s">
        <v>175</v>
      </c>
      <c r="C239" s="2" t="s">
        <v>142</v>
      </c>
      <c r="D239" s="2" t="s">
        <v>145</v>
      </c>
      <c r="E239" s="2">
        <v>-73.0</v>
      </c>
      <c r="F239" s="2">
        <v>25.0</v>
      </c>
      <c r="G239" s="2">
        <v>23.8287444932087</v>
      </c>
      <c r="H239" s="2">
        <v>8.26817522968335</v>
      </c>
      <c r="I239" s="2">
        <v>850.0</v>
      </c>
      <c r="J239" s="2">
        <v>777.0</v>
      </c>
      <c r="K239" s="2">
        <v>8.33333333333333</v>
      </c>
    </row>
    <row r="240">
      <c r="A240" s="2">
        <v>27.0</v>
      </c>
      <c r="B240" s="2" t="s">
        <v>28</v>
      </c>
      <c r="C240" s="2" t="s">
        <v>142</v>
      </c>
      <c r="D240" s="2" t="s">
        <v>145</v>
      </c>
      <c r="E240" s="2">
        <v>-70.0</v>
      </c>
      <c r="F240" s="2">
        <v>24.6605194270564</v>
      </c>
      <c r="G240" s="2">
        <v>23.5480590997938</v>
      </c>
      <c r="H240" s="2">
        <v>8.06144446340942</v>
      </c>
      <c r="I240" s="2">
        <v>849.0</v>
      </c>
      <c r="J240" s="2">
        <v>779.0</v>
      </c>
      <c r="K240" s="2">
        <v>8.12120218808739</v>
      </c>
    </row>
    <row r="241">
      <c r="A241" s="2">
        <v>27.0</v>
      </c>
      <c r="B241" s="2" t="s">
        <v>44</v>
      </c>
      <c r="C241" s="2" t="s">
        <v>142</v>
      </c>
      <c r="D241" s="2" t="s">
        <v>145</v>
      </c>
      <c r="E241" s="2">
        <v>-71.0</v>
      </c>
      <c r="F241" s="2">
        <v>27.6895225158798</v>
      </c>
      <c r="G241" s="2">
        <v>26.5542660248047</v>
      </c>
      <c r="H241" s="2">
        <v>8.1422645492175</v>
      </c>
      <c r="I241" s="2">
        <v>1046.0</v>
      </c>
      <c r="J241" s="2">
        <v>975.0</v>
      </c>
      <c r="K241" s="2">
        <v>8.20410110455305</v>
      </c>
    </row>
    <row r="242">
      <c r="A242" s="2">
        <v>27.0</v>
      </c>
      <c r="B242" s="2" t="s">
        <v>18</v>
      </c>
      <c r="C242" s="2" t="s">
        <v>144</v>
      </c>
      <c r="D242" s="2" t="s">
        <v>143</v>
      </c>
      <c r="E242" s="2">
        <v>65.0</v>
      </c>
      <c r="F242" s="2">
        <v>29.2727683600926</v>
      </c>
      <c r="G242" s="2">
        <v>30.1667484984131</v>
      </c>
      <c r="H242" s="2">
        <v>7.23814185157728</v>
      </c>
      <c r="I242" s="2">
        <v>1248.0</v>
      </c>
      <c r="J242" s="2">
        <v>1313.0</v>
      </c>
      <c r="K242" s="2">
        <v>7.27896385714153</v>
      </c>
    </row>
    <row r="243">
      <c r="A243" s="2">
        <v>27.0</v>
      </c>
      <c r="B243" s="2" t="s">
        <v>24</v>
      </c>
      <c r="C243" s="2" t="s">
        <v>144</v>
      </c>
      <c r="D243" s="2" t="s">
        <v>143</v>
      </c>
      <c r="E243" s="2">
        <v>85.0</v>
      </c>
      <c r="F243" s="2">
        <v>26.6707648020824</v>
      </c>
      <c r="G243" s="2">
        <v>27.8212680775341</v>
      </c>
      <c r="H243" s="2">
        <v>8.19584455123357</v>
      </c>
      <c r="I243" s="2">
        <v>971.0</v>
      </c>
      <c r="J243" s="2">
        <v>1056.0</v>
      </c>
      <c r="K243" s="2">
        <v>8.25908212423937</v>
      </c>
    </row>
    <row r="244">
      <c r="A244" s="2">
        <v>27.0</v>
      </c>
      <c r="B244" s="2" t="s">
        <v>27</v>
      </c>
      <c r="C244" s="2" t="s">
        <v>144</v>
      </c>
      <c r="D244" s="2" t="s">
        <v>143</v>
      </c>
      <c r="E244" s="2">
        <v>83.0</v>
      </c>
      <c r="F244" s="2">
        <v>26.5265038527186</v>
      </c>
      <c r="G244" s="2">
        <v>27.6539661740349</v>
      </c>
      <c r="H244" s="2">
        <v>8.11472830276505</v>
      </c>
      <c r="I244" s="2">
        <v>970.0</v>
      </c>
      <c r="J244" s="2">
        <v>1053.0</v>
      </c>
      <c r="K244" s="2">
        <v>8.17585194371013</v>
      </c>
    </row>
    <row r="245">
      <c r="A245" s="2">
        <v>27.0</v>
      </c>
      <c r="B245" s="2" t="s">
        <v>35</v>
      </c>
      <c r="C245" s="2" t="s">
        <v>144</v>
      </c>
      <c r="D245" s="2" t="s">
        <v>143</v>
      </c>
      <c r="E245" s="2">
        <v>84.0</v>
      </c>
      <c r="F245" s="2">
        <v>27.0085571787815</v>
      </c>
      <c r="G245" s="2">
        <v>28.150551048988</v>
      </c>
      <c r="H245" s="2">
        <v>8.16598728708055</v>
      </c>
      <c r="I245" s="2">
        <v>997.0</v>
      </c>
      <c r="J245" s="2">
        <v>1081.0</v>
      </c>
      <c r="K245" s="2">
        <v>8.22844188803366</v>
      </c>
    </row>
    <row r="246">
      <c r="A246" s="2">
        <v>27.0</v>
      </c>
      <c r="B246" s="2" t="s">
        <v>65</v>
      </c>
      <c r="C246" s="2" t="s">
        <v>144</v>
      </c>
      <c r="D246" s="2" t="s">
        <v>143</v>
      </c>
      <c r="E246" s="2">
        <v>85.0</v>
      </c>
      <c r="F246" s="2">
        <v>24.656114684936</v>
      </c>
      <c r="G246" s="2">
        <v>25.818495858342</v>
      </c>
      <c r="H246" s="2">
        <v>8.23732745680262</v>
      </c>
      <c r="I246" s="2">
        <v>830.0</v>
      </c>
      <c r="J246" s="2">
        <v>915.0</v>
      </c>
      <c r="K246" s="2">
        <v>8.30166236146372</v>
      </c>
    </row>
    <row r="247">
      <c r="A247" s="2">
        <v>27.0</v>
      </c>
      <c r="B247" s="2" t="s">
        <v>53</v>
      </c>
      <c r="C247" s="2" t="s">
        <v>144</v>
      </c>
      <c r="D247" s="2" t="s">
        <v>143</v>
      </c>
      <c r="E247" s="2">
        <v>70.0</v>
      </c>
      <c r="F247" s="2">
        <v>25.8729884464737</v>
      </c>
      <c r="G247" s="2">
        <v>26.8363663766094</v>
      </c>
      <c r="H247" s="2">
        <v>7.51003149810415</v>
      </c>
      <c r="I247" s="2">
        <v>989.0</v>
      </c>
      <c r="J247" s="2">
        <v>1059.0</v>
      </c>
      <c r="K247" s="2">
        <v>7.55667150787643</v>
      </c>
    </row>
    <row r="248">
      <c r="A248" s="2">
        <v>27.0</v>
      </c>
      <c r="B248" s="2" t="s">
        <v>31</v>
      </c>
      <c r="C248" s="2" t="s">
        <v>144</v>
      </c>
      <c r="D248" s="2" t="s">
        <v>143</v>
      </c>
      <c r="E248" s="2">
        <v>75.0</v>
      </c>
      <c r="F248" s="2">
        <v>22.6913198938311</v>
      </c>
      <c r="G248" s="2">
        <v>23.7210559805356</v>
      </c>
      <c r="H248" s="2">
        <v>7.76061344848859</v>
      </c>
      <c r="I248" s="2">
        <v>746.0</v>
      </c>
      <c r="J248" s="2">
        <v>821.0</v>
      </c>
      <c r="K248" s="2">
        <v>7.81298907911309</v>
      </c>
    </row>
    <row r="249">
      <c r="A249" s="2">
        <v>27.0</v>
      </c>
      <c r="B249" s="2" t="s">
        <v>29</v>
      </c>
      <c r="C249" s="2" t="s">
        <v>144</v>
      </c>
      <c r="D249" s="2" t="s">
        <v>143</v>
      </c>
      <c r="E249" s="2">
        <v>67.0</v>
      </c>
      <c r="F249" s="2">
        <v>25.4330395718685</v>
      </c>
      <c r="G249" s="2">
        <v>26.3591874456086</v>
      </c>
      <c r="H249" s="2">
        <v>7.36548743385293</v>
      </c>
      <c r="I249" s="2">
        <v>974.0</v>
      </c>
      <c r="J249" s="2">
        <v>1041.0</v>
      </c>
      <c r="K249" s="2">
        <v>7.40898313063031</v>
      </c>
    </row>
    <row r="250">
      <c r="A250" s="2">
        <v>27.0</v>
      </c>
      <c r="B250" s="2" t="s">
        <v>64</v>
      </c>
      <c r="C250" s="2" t="s">
        <v>144</v>
      </c>
      <c r="D250" s="2" t="s">
        <v>143</v>
      </c>
      <c r="E250" s="2">
        <v>66.0</v>
      </c>
      <c r="F250" s="2">
        <v>30.1561820083514</v>
      </c>
      <c r="G250" s="2">
        <v>31.0601150889138</v>
      </c>
      <c r="H250" s="2">
        <v>7.27779458530731</v>
      </c>
      <c r="I250" s="2">
        <v>1304.0</v>
      </c>
      <c r="J250" s="2">
        <v>1370.0</v>
      </c>
      <c r="K250" s="2">
        <v>7.31943956625115</v>
      </c>
    </row>
    <row r="251">
      <c r="A251" s="2">
        <v>27.0</v>
      </c>
      <c r="B251" s="2" t="s">
        <v>123</v>
      </c>
      <c r="C251" s="2" t="s">
        <v>144</v>
      </c>
      <c r="D251" s="2" t="s">
        <v>143</v>
      </c>
      <c r="E251" s="2">
        <v>68.0</v>
      </c>
      <c r="F251" s="2">
        <v>31.0720789023474</v>
      </c>
      <c r="G251" s="2">
        <v>32.0081167810003</v>
      </c>
      <c r="H251" s="2">
        <v>7.40417578073385</v>
      </c>
      <c r="I251" s="2">
        <v>1353.0</v>
      </c>
      <c r="J251" s="2">
        <v>1421.0</v>
      </c>
      <c r="K251" s="2">
        <v>7.4485015494462</v>
      </c>
    </row>
    <row r="252">
      <c r="A252" s="2">
        <v>26.0</v>
      </c>
      <c r="B252" s="2" t="s">
        <v>77</v>
      </c>
      <c r="C252" s="2" t="s">
        <v>142</v>
      </c>
      <c r="D252" s="2" t="s">
        <v>143</v>
      </c>
      <c r="E252" s="2">
        <v>23.0</v>
      </c>
      <c r="F252" s="2">
        <v>24.967736995613</v>
      </c>
      <c r="G252" s="2">
        <v>25.2682827229498</v>
      </c>
      <c r="H252" s="2">
        <v>7.76530179593232</v>
      </c>
      <c r="I252" s="2">
        <v>903.0</v>
      </c>
      <c r="J252" s="2">
        <v>926.0</v>
      </c>
      <c r="K252" s="2">
        <v>7.78980582111171</v>
      </c>
    </row>
    <row r="253">
      <c r="A253" s="2">
        <v>26.0</v>
      </c>
      <c r="B253" s="2" t="s">
        <v>123</v>
      </c>
      <c r="C253" s="2" t="s">
        <v>142</v>
      </c>
      <c r="D253" s="2" t="s">
        <v>143</v>
      </c>
      <c r="E253" s="2">
        <v>21.0</v>
      </c>
      <c r="F253" s="2">
        <v>30.79572945949</v>
      </c>
      <c r="G253" s="2">
        <v>31.0720789023474</v>
      </c>
      <c r="H253" s="2">
        <v>7.4485015494462</v>
      </c>
      <c r="I253" s="2">
        <v>1332.0</v>
      </c>
      <c r="J253" s="2">
        <v>1353.0</v>
      </c>
      <c r="K253" s="2">
        <v>7.46917179785087</v>
      </c>
    </row>
    <row r="254">
      <c r="A254" s="2">
        <v>26.0</v>
      </c>
      <c r="B254" s="2" t="s">
        <v>35</v>
      </c>
      <c r="C254" s="2" t="s">
        <v>142</v>
      </c>
      <c r="D254" s="2" t="s">
        <v>143</v>
      </c>
      <c r="E254" s="2">
        <v>26.0</v>
      </c>
      <c r="F254" s="2">
        <v>26.6707648020824</v>
      </c>
      <c r="G254" s="2">
        <v>27.0085571787815</v>
      </c>
      <c r="H254" s="2">
        <v>8.22844188803366</v>
      </c>
      <c r="I254" s="2">
        <v>971.0</v>
      </c>
      <c r="J254" s="2">
        <v>997.0</v>
      </c>
      <c r="K254" s="2">
        <v>8.25908212423937</v>
      </c>
    </row>
    <row r="255">
      <c r="A255" s="2">
        <v>26.0</v>
      </c>
      <c r="B255" s="2" t="s">
        <v>70</v>
      </c>
      <c r="C255" s="2" t="s">
        <v>144</v>
      </c>
      <c r="D255" s="2" t="s">
        <v>145</v>
      </c>
      <c r="E255" s="2">
        <v>-19.0</v>
      </c>
      <c r="F255" s="2">
        <v>20.5354605986087</v>
      </c>
      <c r="G255" s="2">
        <v>20.2316512337962</v>
      </c>
      <c r="H255" s="2">
        <v>7.80701857848244</v>
      </c>
      <c r="I255" s="2">
        <v>598.0</v>
      </c>
      <c r="J255" s="2">
        <v>579.0</v>
      </c>
      <c r="K255" s="2">
        <v>7.83204891077541</v>
      </c>
    </row>
    <row r="256">
      <c r="A256" s="2">
        <v>26.0</v>
      </c>
      <c r="B256" s="2" t="s">
        <v>53</v>
      </c>
      <c r="C256" s="2" t="s">
        <v>144</v>
      </c>
      <c r="D256" s="2" t="s">
        <v>145</v>
      </c>
      <c r="E256" s="2">
        <v>-17.0</v>
      </c>
      <c r="F256" s="2">
        <v>26.1574828789998</v>
      </c>
      <c r="G256" s="2">
        <v>25.8729884464737</v>
      </c>
      <c r="H256" s="2">
        <v>7.55667150787643</v>
      </c>
      <c r="I256" s="2">
        <v>1006.0</v>
      </c>
      <c r="J256" s="2">
        <v>989.0</v>
      </c>
      <c r="K256" s="2">
        <v>7.57861887180388</v>
      </c>
    </row>
    <row r="257">
      <c r="A257" s="2">
        <v>26.0</v>
      </c>
      <c r="B257" s="2" t="s">
        <v>173</v>
      </c>
      <c r="C257" s="2" t="s">
        <v>144</v>
      </c>
      <c r="D257" s="2" t="s">
        <v>145</v>
      </c>
      <c r="E257" s="2">
        <v>-19.0</v>
      </c>
      <c r="F257" s="2">
        <v>24.8596197673319</v>
      </c>
      <c r="G257" s="2">
        <v>24.5367964262276</v>
      </c>
      <c r="H257" s="2">
        <v>8.0456237761706</v>
      </c>
      <c r="I257" s="2">
        <v>867.0</v>
      </c>
      <c r="J257" s="2">
        <v>848.0</v>
      </c>
      <c r="K257" s="2">
        <v>8.0737638215242</v>
      </c>
    </row>
    <row r="258">
      <c r="A258" s="2">
        <v>26.0</v>
      </c>
      <c r="B258" s="2" t="s">
        <v>46</v>
      </c>
      <c r="C258" s="2" t="s">
        <v>144</v>
      </c>
      <c r="D258" s="2" t="s">
        <v>145</v>
      </c>
      <c r="E258" s="2">
        <v>-20.0</v>
      </c>
      <c r="F258" s="2">
        <v>22.4310125807119</v>
      </c>
      <c r="G258" s="2">
        <v>22.0994419162209</v>
      </c>
      <c r="H258" s="2">
        <v>8.15297085090862</v>
      </c>
      <c r="I258" s="2">
        <v>691.0</v>
      </c>
      <c r="J258" s="2">
        <v>671.0</v>
      </c>
      <c r="K258" s="2">
        <v>8.18256636038683</v>
      </c>
    </row>
    <row r="259">
      <c r="A259" s="2">
        <v>26.0</v>
      </c>
      <c r="B259" s="2" t="s">
        <v>67</v>
      </c>
      <c r="C259" s="2" t="s">
        <v>144</v>
      </c>
      <c r="D259" s="2" t="s">
        <v>145</v>
      </c>
      <c r="E259" s="2">
        <v>-19.0</v>
      </c>
      <c r="F259" s="2">
        <v>20.8722555164659</v>
      </c>
      <c r="G259" s="2">
        <v>20.5471112930075</v>
      </c>
      <c r="H259" s="2">
        <v>8.07424954097474</v>
      </c>
      <c r="I259" s="2">
        <v>593.0</v>
      </c>
      <c r="J259" s="2">
        <v>574.0</v>
      </c>
      <c r="K259" s="2">
        <v>8.10277423384427</v>
      </c>
    </row>
    <row r="260">
      <c r="A260" s="2">
        <v>26.0</v>
      </c>
      <c r="B260" s="2" t="s">
        <v>29</v>
      </c>
      <c r="C260" s="2" t="s">
        <v>144</v>
      </c>
      <c r="D260" s="2" t="s">
        <v>145</v>
      </c>
      <c r="E260" s="2">
        <v>-16.0</v>
      </c>
      <c r="F260" s="2">
        <v>25.7064434968652</v>
      </c>
      <c r="G260" s="2">
        <v>25.4330395718685</v>
      </c>
      <c r="H260" s="2">
        <v>7.40898313063031</v>
      </c>
      <c r="I260" s="2">
        <v>990.0</v>
      </c>
      <c r="J260" s="2">
        <v>974.0</v>
      </c>
      <c r="K260" s="2">
        <v>7.42919487515634</v>
      </c>
    </row>
    <row r="261">
      <c r="A261" s="2">
        <v>26.0</v>
      </c>
      <c r="B261" s="2" t="s">
        <v>16</v>
      </c>
      <c r="C261" s="2" t="s">
        <v>144</v>
      </c>
      <c r="D261" s="2" t="s">
        <v>145</v>
      </c>
      <c r="E261" s="2">
        <v>-19.0</v>
      </c>
      <c r="F261" s="2">
        <v>22.5469400875512</v>
      </c>
      <c r="G261" s="2">
        <v>22.231145798751</v>
      </c>
      <c r="H261" s="2">
        <v>7.95827777671579</v>
      </c>
      <c r="I261" s="2">
        <v>719.0</v>
      </c>
      <c r="J261" s="2">
        <v>700.0</v>
      </c>
      <c r="K261" s="2">
        <v>7.98525959679135</v>
      </c>
    </row>
    <row r="262">
      <c r="A262" s="2">
        <v>26.0</v>
      </c>
      <c r="B262" s="2" t="s">
        <v>31</v>
      </c>
      <c r="C262" s="2" t="s">
        <v>144</v>
      </c>
      <c r="D262" s="2" t="s">
        <v>145</v>
      </c>
      <c r="E262" s="2">
        <v>-18.0</v>
      </c>
      <c r="F262" s="2">
        <v>22.9955978262317</v>
      </c>
      <c r="G262" s="2">
        <v>22.6913198938311</v>
      </c>
      <c r="H262" s="2">
        <v>7.81298907911309</v>
      </c>
      <c r="I262" s="2">
        <v>764.0</v>
      </c>
      <c r="J262" s="2">
        <v>746.0</v>
      </c>
      <c r="K262" s="2">
        <v>7.83809515399835</v>
      </c>
    </row>
    <row r="263">
      <c r="A263" s="2">
        <v>26.0</v>
      </c>
      <c r="B263" s="2" t="s">
        <v>65</v>
      </c>
      <c r="C263" s="2" t="s">
        <v>144</v>
      </c>
      <c r="D263" s="2" t="s">
        <v>145</v>
      </c>
      <c r="E263" s="2">
        <v>-20.0</v>
      </c>
      <c r="F263" s="2">
        <v>25.0</v>
      </c>
      <c r="G263" s="2">
        <v>24.656114684936</v>
      </c>
      <c r="H263" s="2">
        <v>8.30166236146372</v>
      </c>
      <c r="I263" s="2">
        <v>850.0</v>
      </c>
      <c r="J263" s="2">
        <v>830.0</v>
      </c>
      <c r="K263" s="2">
        <v>8.33333333333333</v>
      </c>
    </row>
    <row r="264">
      <c r="A264" s="2">
        <v>26.0</v>
      </c>
      <c r="B264" s="2" t="s">
        <v>182</v>
      </c>
      <c r="C264" s="2" t="s">
        <v>144</v>
      </c>
      <c r="D264" s="2" t="s">
        <v>145</v>
      </c>
      <c r="E264" s="2">
        <v>-20.0</v>
      </c>
      <c r="F264" s="2">
        <v>25.0</v>
      </c>
      <c r="G264" s="2">
        <v>24.656114684936</v>
      </c>
      <c r="H264" s="2">
        <v>8.30166236146372</v>
      </c>
      <c r="I264" s="2">
        <v>850.0</v>
      </c>
      <c r="J264" s="2">
        <v>830.0</v>
      </c>
      <c r="K264" s="2">
        <v>8.33333333333333</v>
      </c>
    </row>
    <row r="265">
      <c r="A265" s="2">
        <v>25.0</v>
      </c>
      <c r="B265" s="2" t="s">
        <v>89</v>
      </c>
      <c r="C265" s="2" t="s">
        <v>142</v>
      </c>
      <c r="D265" s="2" t="s">
        <v>145</v>
      </c>
      <c r="E265" s="2">
        <v>-63.0</v>
      </c>
      <c r="F265" s="2">
        <v>24.9942557899576</v>
      </c>
      <c r="G265" s="2">
        <v>23.9937129720053</v>
      </c>
      <c r="H265" s="2">
        <v>8.13150221449884</v>
      </c>
      <c r="I265" s="2">
        <v>865.0</v>
      </c>
      <c r="J265" s="2">
        <v>802.0</v>
      </c>
      <c r="K265" s="2">
        <v>8.18481661022809</v>
      </c>
    </row>
    <row r="266">
      <c r="A266" s="2">
        <v>25.0</v>
      </c>
      <c r="B266" s="2" t="s">
        <v>38</v>
      </c>
      <c r="C266" s="2" t="s">
        <v>142</v>
      </c>
      <c r="D266" s="2" t="s">
        <v>145</v>
      </c>
      <c r="E266" s="2">
        <v>-65.0</v>
      </c>
      <c r="F266" s="2">
        <v>25.0</v>
      </c>
      <c r="G266" s="2">
        <v>23.962866418696</v>
      </c>
      <c r="H266" s="2">
        <v>8.27665738838115</v>
      </c>
      <c r="I266" s="2">
        <v>850.0</v>
      </c>
      <c r="J266" s="2">
        <v>785.0</v>
      </c>
      <c r="K266" s="2">
        <v>8.33333333333333</v>
      </c>
    </row>
    <row r="267">
      <c r="A267" s="2">
        <v>25.0</v>
      </c>
      <c r="B267" s="2" t="s">
        <v>67</v>
      </c>
      <c r="C267" s="2" t="s">
        <v>142</v>
      </c>
      <c r="D267" s="2" t="s">
        <v>145</v>
      </c>
      <c r="E267" s="2">
        <v>-62.0</v>
      </c>
      <c r="F267" s="2">
        <v>21.8656379341011</v>
      </c>
      <c r="G267" s="2">
        <v>20.8722555164659</v>
      </c>
      <c r="H267" s="2">
        <v>8.10277423384427</v>
      </c>
      <c r="I267" s="2">
        <v>655.0</v>
      </c>
      <c r="J267" s="2">
        <v>593.0</v>
      </c>
      <c r="K267" s="2">
        <v>8.15543715091129</v>
      </c>
    </row>
    <row r="268">
      <c r="A268" s="2">
        <v>25.0</v>
      </c>
      <c r="B268" s="2" t="s">
        <v>44</v>
      </c>
      <c r="C268" s="2" t="s">
        <v>144</v>
      </c>
      <c r="D268" s="2" t="s">
        <v>143</v>
      </c>
      <c r="E268" s="2">
        <v>75.0</v>
      </c>
      <c r="F268" s="2">
        <v>26.6707648020824</v>
      </c>
      <c r="G268" s="2">
        <v>27.6895225158798</v>
      </c>
      <c r="H268" s="2">
        <v>8.20410110455305</v>
      </c>
      <c r="I268" s="2">
        <v>971.0</v>
      </c>
      <c r="J268" s="2">
        <v>1046.0</v>
      </c>
      <c r="K268" s="2">
        <v>8.25908212423937</v>
      </c>
    </row>
    <row r="269">
      <c r="A269" s="2">
        <v>25.0</v>
      </c>
      <c r="B269" s="2" t="s">
        <v>123</v>
      </c>
      <c r="C269" s="2" t="s">
        <v>144</v>
      </c>
      <c r="D269" s="2" t="s">
        <v>143</v>
      </c>
      <c r="E269" s="2">
        <v>61.0</v>
      </c>
      <c r="F269" s="2">
        <v>29.953476162169</v>
      </c>
      <c r="G269" s="2">
        <v>30.79572945949</v>
      </c>
      <c r="H269" s="2">
        <v>7.46917179785087</v>
      </c>
      <c r="I269" s="2">
        <v>1271.0</v>
      </c>
      <c r="J269" s="2">
        <v>1332.0</v>
      </c>
      <c r="K269" s="2">
        <v>7.50857702712628</v>
      </c>
    </row>
    <row r="270">
      <c r="A270" s="2">
        <v>25.0</v>
      </c>
      <c r="B270" s="2" t="s">
        <v>18</v>
      </c>
      <c r="C270" s="2" t="s">
        <v>144</v>
      </c>
      <c r="D270" s="2" t="s">
        <v>143</v>
      </c>
      <c r="E270" s="2">
        <v>58.0</v>
      </c>
      <c r="F270" s="2">
        <v>28.4733618890736</v>
      </c>
      <c r="G270" s="2">
        <v>29.2727683600926</v>
      </c>
      <c r="H270" s="2">
        <v>7.27896385714153</v>
      </c>
      <c r="I270" s="2">
        <v>1190.0</v>
      </c>
      <c r="J270" s="2">
        <v>1248.0</v>
      </c>
      <c r="K270" s="2">
        <v>7.31478439840495</v>
      </c>
    </row>
    <row r="271">
      <c r="A271" s="2">
        <v>25.0</v>
      </c>
      <c r="B271" s="2" t="s">
        <v>173</v>
      </c>
      <c r="C271" s="2" t="s">
        <v>144</v>
      </c>
      <c r="D271" s="2" t="s">
        <v>143</v>
      </c>
      <c r="E271" s="2">
        <v>72.0</v>
      </c>
      <c r="F271" s="2">
        <v>23.8734409055163</v>
      </c>
      <c r="G271" s="2">
        <v>24.8596197673319</v>
      </c>
      <c r="H271" s="2">
        <v>8.0737638215242</v>
      </c>
      <c r="I271" s="2">
        <v>795.0</v>
      </c>
      <c r="J271" s="2">
        <v>867.0</v>
      </c>
      <c r="K271" s="2">
        <v>8.12577343694393</v>
      </c>
    </row>
    <row r="272">
      <c r="A272" s="2">
        <v>25.0</v>
      </c>
      <c r="B272" s="2" t="s">
        <v>180</v>
      </c>
      <c r="C272" s="2" t="s">
        <v>144</v>
      </c>
      <c r="D272" s="2" t="s">
        <v>143</v>
      </c>
      <c r="E272" s="2">
        <v>73.0</v>
      </c>
      <c r="F272" s="2">
        <v>22.1610892715368</v>
      </c>
      <c r="G272" s="2">
        <v>23.1520543217306</v>
      </c>
      <c r="H272" s="2">
        <v>8.09305120563743</v>
      </c>
      <c r="I272" s="2">
        <v>676.0</v>
      </c>
      <c r="J272" s="2">
        <v>749.0</v>
      </c>
      <c r="K272" s="2">
        <v>8.14549465249203</v>
      </c>
    </row>
    <row r="273">
      <c r="A273" s="2">
        <v>25.0</v>
      </c>
      <c r="B273" s="2" t="s">
        <v>53</v>
      </c>
      <c r="C273" s="2" t="s">
        <v>144</v>
      </c>
      <c r="D273" s="2" t="s">
        <v>143</v>
      </c>
      <c r="E273" s="2">
        <v>64.0</v>
      </c>
      <c r="F273" s="2">
        <v>25.290049177953</v>
      </c>
      <c r="G273" s="2">
        <v>26.1574828789998</v>
      </c>
      <c r="H273" s="2">
        <v>7.57861887180388</v>
      </c>
      <c r="I273" s="2">
        <v>942.0</v>
      </c>
      <c r="J273" s="2">
        <v>1006.0</v>
      </c>
      <c r="K273" s="2">
        <v>7.62016698337579</v>
      </c>
    </row>
    <row r="274">
      <c r="A274" s="2">
        <v>25.0</v>
      </c>
      <c r="B274" s="2" t="s">
        <v>29</v>
      </c>
      <c r="C274" s="2" t="s">
        <v>144</v>
      </c>
      <c r="D274" s="2" t="s">
        <v>143</v>
      </c>
      <c r="E274" s="2">
        <v>60.0</v>
      </c>
      <c r="F274" s="2">
        <v>24.8732917545823</v>
      </c>
      <c r="G274" s="2">
        <v>25.7064434968652</v>
      </c>
      <c r="H274" s="2">
        <v>7.42919487515634</v>
      </c>
      <c r="I274" s="2">
        <v>930.0</v>
      </c>
      <c r="J274" s="2">
        <v>990.0</v>
      </c>
      <c r="K274" s="2">
        <v>7.46783213280769</v>
      </c>
    </row>
    <row r="275">
      <c r="A275" s="2">
        <v>25.0</v>
      </c>
      <c r="B275" s="2" t="s">
        <v>64</v>
      </c>
      <c r="C275" s="2" t="s">
        <v>144</v>
      </c>
      <c r="D275" s="2" t="s">
        <v>143</v>
      </c>
      <c r="E275" s="2">
        <v>59.0</v>
      </c>
      <c r="F275" s="2">
        <v>29.3477548917166</v>
      </c>
      <c r="G275" s="2">
        <v>30.1561820083514</v>
      </c>
      <c r="H275" s="2">
        <v>7.31943956625115</v>
      </c>
      <c r="I275" s="2">
        <v>1245.0</v>
      </c>
      <c r="J275" s="2">
        <v>1304.0</v>
      </c>
      <c r="K275" s="2">
        <v>7.3560083228069</v>
      </c>
    </row>
    <row r="276">
      <c r="A276" s="2">
        <v>25.0</v>
      </c>
      <c r="B276" s="2" t="s">
        <v>149</v>
      </c>
      <c r="C276" s="2" t="s">
        <v>144</v>
      </c>
      <c r="D276" s="2" t="s">
        <v>143</v>
      </c>
      <c r="E276" s="2">
        <v>71.0</v>
      </c>
      <c r="F276" s="2">
        <v>24.9156532242683</v>
      </c>
      <c r="G276" s="2">
        <v>25.8832138308131</v>
      </c>
      <c r="H276" s="2">
        <v>7.99826749955685</v>
      </c>
      <c r="I276" s="2">
        <v>873.0</v>
      </c>
      <c r="J276" s="2">
        <v>944.0</v>
      </c>
      <c r="K276" s="2">
        <v>8.04859839926369</v>
      </c>
    </row>
    <row r="277">
      <c r="A277" s="2">
        <v>25.0</v>
      </c>
      <c r="B277" s="2" t="s">
        <v>16</v>
      </c>
      <c r="C277" s="2" t="s">
        <v>144</v>
      </c>
      <c r="D277" s="2" t="s">
        <v>143</v>
      </c>
      <c r="E277" s="2">
        <v>71.0</v>
      </c>
      <c r="F277" s="2">
        <v>21.5825686901419</v>
      </c>
      <c r="G277" s="2">
        <v>22.5469400875512</v>
      </c>
      <c r="H277" s="2">
        <v>7.98525959679135</v>
      </c>
      <c r="I277" s="2">
        <v>648.0</v>
      </c>
      <c r="J277" s="2">
        <v>719.0</v>
      </c>
      <c r="K277" s="2">
        <v>8.03530436317891</v>
      </c>
    </row>
    <row r="278">
      <c r="A278" s="2">
        <v>25.0</v>
      </c>
      <c r="B278" s="2" t="s">
        <v>39</v>
      </c>
      <c r="C278" s="2" t="s">
        <v>144</v>
      </c>
      <c r="D278" s="2" t="s">
        <v>143</v>
      </c>
      <c r="E278" s="2">
        <v>71.0</v>
      </c>
      <c r="F278" s="2">
        <v>24.4670730063188</v>
      </c>
      <c r="G278" s="2">
        <v>25.4336987615007</v>
      </c>
      <c r="H278" s="2">
        <v>7.994456818348</v>
      </c>
      <c r="I278" s="2">
        <v>843.0</v>
      </c>
      <c r="J278" s="2">
        <v>914.0</v>
      </c>
      <c r="K278" s="2">
        <v>8.04470380076904</v>
      </c>
    </row>
    <row r="279">
      <c r="A279" s="2">
        <v>24.0</v>
      </c>
      <c r="B279" s="2" t="s">
        <v>53</v>
      </c>
      <c r="C279" s="2" t="s">
        <v>142</v>
      </c>
      <c r="D279" s="2" t="s">
        <v>145</v>
      </c>
      <c r="E279" s="2">
        <v>-91.0</v>
      </c>
      <c r="F279" s="2">
        <v>26.7081586725794</v>
      </c>
      <c r="G279" s="2">
        <v>25.290049177953</v>
      </c>
      <c r="H279" s="2">
        <v>7.62016698337579</v>
      </c>
      <c r="I279" s="2">
        <v>1033.0</v>
      </c>
      <c r="J279" s="2">
        <v>942.0</v>
      </c>
      <c r="K279" s="2">
        <v>7.676545573648</v>
      </c>
    </row>
    <row r="280">
      <c r="A280" s="2">
        <v>24.0</v>
      </c>
      <c r="B280" s="2" t="s">
        <v>89</v>
      </c>
      <c r="C280" s="2" t="s">
        <v>142</v>
      </c>
      <c r="D280" s="2" t="s">
        <v>145</v>
      </c>
      <c r="E280" s="2">
        <v>-104.0</v>
      </c>
      <c r="F280" s="2">
        <v>26.6345285373171</v>
      </c>
      <c r="G280" s="2">
        <v>24.9942557899576</v>
      </c>
      <c r="H280" s="2">
        <v>8.18481661022809</v>
      </c>
      <c r="I280" s="2">
        <v>969.0</v>
      </c>
      <c r="J280" s="2">
        <v>865.0</v>
      </c>
      <c r="K280" s="2">
        <v>8.25684055699613</v>
      </c>
    </row>
    <row r="281">
      <c r="A281" s="2">
        <v>24.0</v>
      </c>
      <c r="B281" s="2" t="s">
        <v>155</v>
      </c>
      <c r="C281" s="2" t="s">
        <v>142</v>
      </c>
      <c r="D281" s="2" t="s">
        <v>145</v>
      </c>
      <c r="E281" s="2">
        <v>-101.0</v>
      </c>
      <c r="F281" s="2">
        <v>27.1093418018682</v>
      </c>
      <c r="G281" s="2">
        <v>25.5227987577801</v>
      </c>
      <c r="H281" s="2">
        <v>8.05215446233769</v>
      </c>
      <c r="I281" s="2">
        <v>1015.0</v>
      </c>
      <c r="J281" s="2">
        <v>914.0</v>
      </c>
      <c r="K281" s="2">
        <v>8.12030020058673</v>
      </c>
    </row>
    <row r="282">
      <c r="A282" s="2">
        <v>24.0</v>
      </c>
      <c r="B282" s="2" t="s">
        <v>24</v>
      </c>
      <c r="C282" s="2" t="s">
        <v>144</v>
      </c>
      <c r="D282" s="2" t="s">
        <v>143</v>
      </c>
      <c r="E282" s="2">
        <v>121.0</v>
      </c>
      <c r="F282" s="2">
        <v>25.0</v>
      </c>
      <c r="G282" s="2">
        <v>26.6707648020824</v>
      </c>
      <c r="H282" s="2">
        <v>8.25908212423937</v>
      </c>
      <c r="I282" s="2">
        <v>850.0</v>
      </c>
      <c r="J282" s="2">
        <v>971.0</v>
      </c>
      <c r="K282" s="2">
        <v>8.33333333333333</v>
      </c>
    </row>
    <row r="283">
      <c r="A283" s="2">
        <v>24.0</v>
      </c>
      <c r="B283" s="2" t="s">
        <v>150</v>
      </c>
      <c r="C283" s="2" t="s">
        <v>144</v>
      </c>
      <c r="D283" s="2" t="s">
        <v>143</v>
      </c>
      <c r="E283" s="2">
        <v>121.0</v>
      </c>
      <c r="F283" s="2">
        <v>25.0</v>
      </c>
      <c r="G283" s="2">
        <v>26.6707648020824</v>
      </c>
      <c r="H283" s="2">
        <v>8.25908212423937</v>
      </c>
      <c r="I283" s="2">
        <v>850.0</v>
      </c>
      <c r="J283" s="2">
        <v>971.0</v>
      </c>
      <c r="K283" s="2">
        <v>8.33333333333333</v>
      </c>
    </row>
    <row r="284">
      <c r="A284" s="2">
        <v>24.0</v>
      </c>
      <c r="B284" s="2" t="s">
        <v>154</v>
      </c>
      <c r="C284" s="2" t="s">
        <v>144</v>
      </c>
      <c r="D284" s="2" t="s">
        <v>143</v>
      </c>
      <c r="E284" s="2">
        <v>119.0</v>
      </c>
      <c r="F284" s="2">
        <v>24.1200046084135</v>
      </c>
      <c r="G284" s="2">
        <v>25.7684729111102</v>
      </c>
      <c r="H284" s="2">
        <v>8.20484878416965</v>
      </c>
      <c r="I284" s="2">
        <v>796.0</v>
      </c>
      <c r="J284" s="2">
        <v>915.0</v>
      </c>
      <c r="K284" s="2">
        <v>8.27746950025621</v>
      </c>
    </row>
    <row r="285">
      <c r="A285" s="2">
        <v>24.0</v>
      </c>
      <c r="B285" s="2" t="s">
        <v>123</v>
      </c>
      <c r="C285" s="2" t="s">
        <v>144</v>
      </c>
      <c r="D285" s="2" t="s">
        <v>143</v>
      </c>
      <c r="E285" s="2">
        <v>99.0</v>
      </c>
      <c r="F285" s="2">
        <v>28.5772631126813</v>
      </c>
      <c r="G285" s="2">
        <v>29.953476162169</v>
      </c>
      <c r="H285" s="2">
        <v>7.50857702712628</v>
      </c>
      <c r="I285" s="2">
        <v>1172.0</v>
      </c>
      <c r="J285" s="2">
        <v>1271.0</v>
      </c>
      <c r="K285" s="2">
        <v>7.5621221740618</v>
      </c>
    </row>
    <row r="286">
      <c r="A286" s="2">
        <v>24.0</v>
      </c>
      <c r="B286" s="2" t="s">
        <v>28</v>
      </c>
      <c r="C286" s="2" t="s">
        <v>144</v>
      </c>
      <c r="D286" s="2" t="s">
        <v>143</v>
      </c>
      <c r="E286" s="2">
        <v>117.0</v>
      </c>
      <c r="F286" s="2">
        <v>23.0461293342107</v>
      </c>
      <c r="G286" s="2">
        <v>24.6605194270564</v>
      </c>
      <c r="H286" s="2">
        <v>8.12120218808739</v>
      </c>
      <c r="I286" s="2">
        <v>732.0</v>
      </c>
      <c r="J286" s="2">
        <v>849.0</v>
      </c>
      <c r="K286" s="2">
        <v>8.19135050353054</v>
      </c>
    </row>
    <row r="287">
      <c r="A287" s="2">
        <v>24.0</v>
      </c>
      <c r="B287" s="2" t="s">
        <v>86</v>
      </c>
      <c r="C287" s="2" t="s">
        <v>144</v>
      </c>
      <c r="D287" s="2" t="s">
        <v>143</v>
      </c>
      <c r="E287" s="2">
        <v>118.0</v>
      </c>
      <c r="F287" s="2">
        <v>23.5476849429699</v>
      </c>
      <c r="G287" s="2">
        <v>25.1816616866917</v>
      </c>
      <c r="H287" s="2">
        <v>8.16939145192561</v>
      </c>
      <c r="I287" s="2">
        <v>761.0</v>
      </c>
      <c r="J287" s="2">
        <v>879.0</v>
      </c>
      <c r="K287" s="2">
        <v>8.24095788201659</v>
      </c>
    </row>
    <row r="288">
      <c r="A288" s="2">
        <v>24.0</v>
      </c>
      <c r="B288" s="2" t="s">
        <v>44</v>
      </c>
      <c r="C288" s="2" t="s">
        <v>144</v>
      </c>
      <c r="D288" s="2" t="s">
        <v>143</v>
      </c>
      <c r="E288" s="2">
        <v>121.0</v>
      </c>
      <c r="F288" s="2">
        <v>25.0</v>
      </c>
      <c r="G288" s="2">
        <v>26.6707648020824</v>
      </c>
      <c r="H288" s="2">
        <v>8.25908212423937</v>
      </c>
      <c r="I288" s="2">
        <v>850.0</v>
      </c>
      <c r="J288" s="2">
        <v>971.0</v>
      </c>
      <c r="K288" s="2">
        <v>8.33333333333333</v>
      </c>
    </row>
    <row r="289">
      <c r="A289" s="2">
        <v>24.0</v>
      </c>
      <c r="B289" s="2" t="s">
        <v>55</v>
      </c>
      <c r="C289" s="2" t="s">
        <v>144</v>
      </c>
      <c r="D289" s="2" t="s">
        <v>143</v>
      </c>
      <c r="E289" s="2">
        <v>110.0</v>
      </c>
      <c r="F289" s="2">
        <v>27.4651406403653</v>
      </c>
      <c r="G289" s="2">
        <v>28.9884672003173</v>
      </c>
      <c r="H289" s="2">
        <v>7.89299261437906</v>
      </c>
      <c r="I289" s="2">
        <v>1056.0</v>
      </c>
      <c r="J289" s="2">
        <v>1166.0</v>
      </c>
      <c r="K289" s="2">
        <v>7.95665197899064</v>
      </c>
    </row>
    <row r="290">
      <c r="A290" s="2">
        <v>24.0</v>
      </c>
      <c r="B290" s="2" t="s">
        <v>27</v>
      </c>
      <c r="C290" s="2" t="s">
        <v>144</v>
      </c>
      <c r="D290" s="2" t="s">
        <v>143</v>
      </c>
      <c r="E290" s="2">
        <v>119.0</v>
      </c>
      <c r="F290" s="2">
        <v>24.8898917244078</v>
      </c>
      <c r="G290" s="2">
        <v>26.5265038527186</v>
      </c>
      <c r="H290" s="2">
        <v>8.17585194371013</v>
      </c>
      <c r="I290" s="2">
        <v>851.0</v>
      </c>
      <c r="J290" s="2">
        <v>970.0</v>
      </c>
      <c r="K290" s="2">
        <v>8.24760978249345</v>
      </c>
    </row>
    <row r="291">
      <c r="A291" s="2">
        <v>24.0</v>
      </c>
      <c r="B291" s="2" t="s">
        <v>35</v>
      </c>
      <c r="C291" s="2" t="s">
        <v>144</v>
      </c>
      <c r="D291" s="2" t="s">
        <v>143</v>
      </c>
      <c r="E291" s="2">
        <v>121.0</v>
      </c>
      <c r="F291" s="2">
        <v>25.0</v>
      </c>
      <c r="G291" s="2">
        <v>26.6707648020824</v>
      </c>
      <c r="H291" s="2">
        <v>8.25908212423937</v>
      </c>
      <c r="I291" s="2">
        <v>850.0</v>
      </c>
      <c r="J291" s="2">
        <v>971.0</v>
      </c>
      <c r="K291" s="2">
        <v>8.33333333333333</v>
      </c>
    </row>
    <row r="292">
      <c r="A292" s="2">
        <v>23.0</v>
      </c>
      <c r="B292" s="2" t="s">
        <v>67</v>
      </c>
      <c r="C292" s="2" t="s">
        <v>142</v>
      </c>
      <c r="D292" s="2" t="s">
        <v>145</v>
      </c>
      <c r="E292" s="2">
        <v>-101.0</v>
      </c>
      <c r="F292" s="2">
        <v>23.4594742817894</v>
      </c>
      <c r="G292" s="2">
        <v>21.8656379341011</v>
      </c>
      <c r="H292" s="2">
        <v>8.15543715091129</v>
      </c>
      <c r="I292" s="2">
        <v>756.0</v>
      </c>
      <c r="J292" s="2">
        <v>655.0</v>
      </c>
      <c r="K292" s="2">
        <v>8.22881272441027</v>
      </c>
    </row>
    <row r="293">
      <c r="A293" s="2">
        <v>23.0</v>
      </c>
      <c r="B293" s="2" t="s">
        <v>16</v>
      </c>
      <c r="C293" s="2" t="s">
        <v>142</v>
      </c>
      <c r="D293" s="2" t="s">
        <v>145</v>
      </c>
      <c r="E293" s="2">
        <v>-98.0</v>
      </c>
      <c r="F293" s="2">
        <v>23.1288997653615</v>
      </c>
      <c r="G293" s="2">
        <v>21.5825686901419</v>
      </c>
      <c r="H293" s="2">
        <v>8.03530436317891</v>
      </c>
      <c r="I293" s="2">
        <v>746.0</v>
      </c>
      <c r="J293" s="2">
        <v>648.0</v>
      </c>
      <c r="K293" s="2">
        <v>8.10508717086227</v>
      </c>
    </row>
    <row r="294">
      <c r="A294" s="2">
        <v>23.0</v>
      </c>
      <c r="B294" s="2" t="s">
        <v>69</v>
      </c>
      <c r="C294" s="2" t="s">
        <v>142</v>
      </c>
      <c r="D294" s="2" t="s">
        <v>145</v>
      </c>
      <c r="E294" s="2">
        <v>-103.0</v>
      </c>
      <c r="F294" s="2">
        <v>25.0</v>
      </c>
      <c r="G294" s="2">
        <v>23.3654714626828</v>
      </c>
      <c r="H294" s="2">
        <v>8.25684055699613</v>
      </c>
      <c r="I294" s="2">
        <v>850.0</v>
      </c>
      <c r="J294" s="2">
        <v>747.0</v>
      </c>
      <c r="K294" s="2">
        <v>8.33333333333333</v>
      </c>
    </row>
    <row r="295">
      <c r="A295" s="2">
        <v>23.0</v>
      </c>
      <c r="B295" s="2" t="s">
        <v>29</v>
      </c>
      <c r="C295" s="2" t="s">
        <v>144</v>
      </c>
      <c r="D295" s="2" t="s">
        <v>143</v>
      </c>
      <c r="E295" s="2">
        <v>96.0</v>
      </c>
      <c r="F295" s="2">
        <v>23.5411353305319</v>
      </c>
      <c r="G295" s="2">
        <v>24.8732917545823</v>
      </c>
      <c r="H295" s="2">
        <v>7.46783213280769</v>
      </c>
      <c r="I295" s="2">
        <v>834.0</v>
      </c>
      <c r="J295" s="2">
        <v>930.0</v>
      </c>
      <c r="K295" s="2">
        <v>7.52205016435187</v>
      </c>
    </row>
    <row r="296">
      <c r="A296" s="2">
        <v>23.0</v>
      </c>
      <c r="B296" s="2" t="s">
        <v>48</v>
      </c>
      <c r="C296" s="2" t="s">
        <v>144</v>
      </c>
      <c r="D296" s="2" t="s">
        <v>143</v>
      </c>
      <c r="E296" s="2">
        <v>119.0</v>
      </c>
      <c r="F296" s="2">
        <v>25.0</v>
      </c>
      <c r="G296" s="2">
        <v>26.6345285373171</v>
      </c>
      <c r="H296" s="2">
        <v>8.25684055699613</v>
      </c>
      <c r="I296" s="2">
        <v>850.0</v>
      </c>
      <c r="J296" s="2">
        <v>969.0</v>
      </c>
      <c r="K296" s="2">
        <v>8.33333333333333</v>
      </c>
    </row>
    <row r="297">
      <c r="A297" s="2">
        <v>23.0</v>
      </c>
      <c r="B297" s="2" t="s">
        <v>39</v>
      </c>
      <c r="C297" s="2" t="s">
        <v>144</v>
      </c>
      <c r="D297" s="2" t="s">
        <v>143</v>
      </c>
      <c r="E297" s="2">
        <v>112.0</v>
      </c>
      <c r="F297" s="2">
        <v>22.9170524498854</v>
      </c>
      <c r="G297" s="2">
        <v>24.4670730063188</v>
      </c>
      <c r="H297" s="2">
        <v>8.04470380076904</v>
      </c>
      <c r="I297" s="2">
        <v>731.0</v>
      </c>
      <c r="J297" s="2">
        <v>843.0</v>
      </c>
      <c r="K297" s="2">
        <v>8.11476384072347</v>
      </c>
    </row>
    <row r="298">
      <c r="A298" s="2">
        <v>23.0</v>
      </c>
      <c r="B298" s="2" t="s">
        <v>18</v>
      </c>
      <c r="C298" s="2" t="s">
        <v>144</v>
      </c>
      <c r="D298" s="2" t="s">
        <v>143</v>
      </c>
      <c r="E298" s="2">
        <v>92.0</v>
      </c>
      <c r="F298" s="2">
        <v>27.1961010489732</v>
      </c>
      <c r="G298" s="2">
        <v>28.4733618890736</v>
      </c>
      <c r="H298" s="2">
        <v>7.31478439840495</v>
      </c>
      <c r="I298" s="2">
        <v>1098.0</v>
      </c>
      <c r="J298" s="2">
        <v>1190.0</v>
      </c>
      <c r="K298" s="2">
        <v>7.36518341809402</v>
      </c>
    </row>
    <row r="299">
      <c r="A299" s="2">
        <v>23.0</v>
      </c>
      <c r="B299" s="2" t="s">
        <v>123</v>
      </c>
      <c r="C299" s="2" t="s">
        <v>144</v>
      </c>
      <c r="D299" s="2" t="s">
        <v>143</v>
      </c>
      <c r="E299" s="2">
        <v>99.0</v>
      </c>
      <c r="F299" s="2">
        <v>27.2106826579002</v>
      </c>
      <c r="G299" s="2">
        <v>28.5772631126813</v>
      </c>
      <c r="H299" s="2">
        <v>7.5621221740618</v>
      </c>
      <c r="I299" s="2">
        <v>1073.0</v>
      </c>
      <c r="J299" s="2">
        <v>1172.0</v>
      </c>
      <c r="K299" s="2">
        <v>7.61877094083999</v>
      </c>
    </row>
    <row r="300">
      <c r="A300" s="2">
        <v>23.0</v>
      </c>
      <c r="B300" s="2" t="s">
        <v>111</v>
      </c>
      <c r="C300" s="2" t="s">
        <v>144</v>
      </c>
      <c r="D300" s="2" t="s">
        <v>143</v>
      </c>
      <c r="E300" s="2">
        <v>106.0</v>
      </c>
      <c r="F300" s="2">
        <v>22.436035871799</v>
      </c>
      <c r="G300" s="2">
        <v>23.888510244185</v>
      </c>
      <c r="H300" s="2">
        <v>7.79208135543701</v>
      </c>
      <c r="I300" s="2">
        <v>724.0</v>
      </c>
      <c r="J300" s="2">
        <v>830.0</v>
      </c>
      <c r="K300" s="2">
        <v>7.85491451308638</v>
      </c>
    </row>
    <row r="301">
      <c r="A301" s="2">
        <v>23.0</v>
      </c>
      <c r="B301" s="2" t="s">
        <v>62</v>
      </c>
      <c r="C301" s="2" t="s">
        <v>144</v>
      </c>
      <c r="D301" s="2" t="s">
        <v>143</v>
      </c>
      <c r="E301" s="2">
        <v>119.0</v>
      </c>
      <c r="F301" s="2">
        <v>25.0</v>
      </c>
      <c r="G301" s="2">
        <v>26.6345285373171</v>
      </c>
      <c r="H301" s="2">
        <v>8.25684055699613</v>
      </c>
      <c r="I301" s="2">
        <v>850.0</v>
      </c>
      <c r="J301" s="2">
        <v>969.0</v>
      </c>
      <c r="K301" s="2">
        <v>8.33333333333333</v>
      </c>
    </row>
    <row r="302">
      <c r="A302" s="2">
        <v>23.0</v>
      </c>
      <c r="B302" s="2" t="s">
        <v>64</v>
      </c>
      <c r="C302" s="2" t="s">
        <v>144</v>
      </c>
      <c r="D302" s="2" t="s">
        <v>143</v>
      </c>
      <c r="E302" s="2">
        <v>93.0</v>
      </c>
      <c r="F302" s="2">
        <v>28.0558268748739</v>
      </c>
      <c r="G302" s="2">
        <v>29.3477548917166</v>
      </c>
      <c r="H302" s="2">
        <v>7.3560083228069</v>
      </c>
      <c r="I302" s="2">
        <v>1152.0</v>
      </c>
      <c r="J302" s="2">
        <v>1245.0</v>
      </c>
      <c r="K302" s="2">
        <v>7.40742079554794</v>
      </c>
    </row>
    <row r="303">
      <c r="A303" s="2">
        <v>23.0</v>
      </c>
      <c r="B303" s="2" t="s">
        <v>89</v>
      </c>
      <c r="C303" s="2" t="s">
        <v>144</v>
      </c>
      <c r="D303" s="2" t="s">
        <v>143</v>
      </c>
      <c r="E303" s="2">
        <v>119.0</v>
      </c>
      <c r="F303" s="2">
        <v>25.0</v>
      </c>
      <c r="G303" s="2">
        <v>26.6345285373171</v>
      </c>
      <c r="H303" s="2">
        <v>8.25684055699613</v>
      </c>
      <c r="I303" s="2">
        <v>850.0</v>
      </c>
      <c r="J303" s="2">
        <v>969.0</v>
      </c>
      <c r="K303" s="2">
        <v>8.33333333333333</v>
      </c>
    </row>
    <row r="304">
      <c r="A304" s="2">
        <v>23.0</v>
      </c>
      <c r="B304" s="2" t="s">
        <v>39</v>
      </c>
      <c r="C304" s="2" t="s">
        <v>144</v>
      </c>
      <c r="D304" s="2" t="s">
        <v>143</v>
      </c>
      <c r="E304" s="2">
        <v>112.0</v>
      </c>
      <c r="F304" s="2">
        <v>22.9170524498854</v>
      </c>
      <c r="G304" s="2">
        <v>24.4670730063188</v>
      </c>
      <c r="H304" s="2">
        <v>8.04470380076904</v>
      </c>
      <c r="I304" s="2">
        <v>731.0</v>
      </c>
      <c r="J304" s="2">
        <v>843.0</v>
      </c>
      <c r="K304" s="2">
        <v>8.11476384072347</v>
      </c>
    </row>
    <row r="305">
      <c r="A305" s="2">
        <v>22.0</v>
      </c>
      <c r="B305" s="2" t="s">
        <v>155</v>
      </c>
      <c r="C305" s="2" t="s">
        <v>142</v>
      </c>
      <c r="D305" s="2" t="s">
        <v>143</v>
      </c>
      <c r="E305" s="2">
        <v>43.0</v>
      </c>
      <c r="F305" s="2">
        <v>26.5342200080906</v>
      </c>
      <c r="G305" s="2">
        <v>27.1093418018682</v>
      </c>
      <c r="H305" s="2">
        <v>8.12030020058673</v>
      </c>
      <c r="I305" s="2">
        <v>972.0</v>
      </c>
      <c r="J305" s="2">
        <v>1015.0</v>
      </c>
      <c r="K305" s="2">
        <v>8.16295029682713</v>
      </c>
    </row>
    <row r="306">
      <c r="A306" s="2">
        <v>22.0</v>
      </c>
      <c r="B306" s="2" t="s">
        <v>123</v>
      </c>
      <c r="C306" s="2" t="s">
        <v>142</v>
      </c>
      <c r="D306" s="2" t="s">
        <v>143</v>
      </c>
      <c r="E306" s="2">
        <v>38.0</v>
      </c>
      <c r="F306" s="2">
        <v>26.7051364232631</v>
      </c>
      <c r="G306" s="2">
        <v>27.2106826579002</v>
      </c>
      <c r="H306" s="2">
        <v>7.61877094083999</v>
      </c>
      <c r="I306" s="2">
        <v>1035.0</v>
      </c>
      <c r="J306" s="2">
        <v>1073.0</v>
      </c>
      <c r="K306" s="2">
        <v>7.65257001011153</v>
      </c>
    </row>
    <row r="307">
      <c r="A307" s="2">
        <v>22.0</v>
      </c>
      <c r="B307" s="2" t="s">
        <v>79</v>
      </c>
      <c r="C307" s="2" t="s">
        <v>142</v>
      </c>
      <c r="D307" s="2" t="s">
        <v>143</v>
      </c>
      <c r="E307" s="2">
        <v>44.0</v>
      </c>
      <c r="F307" s="2">
        <v>24.0502610598303</v>
      </c>
      <c r="G307" s="2">
        <v>24.6410478378712</v>
      </c>
      <c r="H307" s="2">
        <v>8.22881272441027</v>
      </c>
      <c r="I307" s="2">
        <v>792.0</v>
      </c>
      <c r="J307" s="2">
        <v>836.0</v>
      </c>
      <c r="K307" s="2">
        <v>8.2735214997888</v>
      </c>
    </row>
    <row r="308">
      <c r="A308" s="2">
        <v>22.0</v>
      </c>
      <c r="B308" s="2" t="s">
        <v>46</v>
      </c>
      <c r="C308" s="2" t="s">
        <v>144</v>
      </c>
      <c r="D308" s="2" t="s">
        <v>145</v>
      </c>
      <c r="E308" s="2">
        <v>-35.0</v>
      </c>
      <c r="F308" s="2">
        <v>23.0150964995971</v>
      </c>
      <c r="G308" s="2">
        <v>22.4310125807119</v>
      </c>
      <c r="H308" s="2">
        <v>8.18256636038683</v>
      </c>
      <c r="I308" s="2">
        <v>726.0</v>
      </c>
      <c r="J308" s="2">
        <v>691.0</v>
      </c>
      <c r="K308" s="2">
        <v>8.22639131801024</v>
      </c>
    </row>
    <row r="309">
      <c r="A309" s="2">
        <v>22.0</v>
      </c>
      <c r="B309" s="2" t="s">
        <v>28</v>
      </c>
      <c r="C309" s="2" t="s">
        <v>144</v>
      </c>
      <c r="D309" s="2" t="s">
        <v>145</v>
      </c>
      <c r="E309" s="2">
        <v>-35.0</v>
      </c>
      <c r="F309" s="2">
        <v>23.6314833591642</v>
      </c>
      <c r="G309" s="2">
        <v>23.0461293342107</v>
      </c>
      <c r="H309" s="2">
        <v>8.19135050353054</v>
      </c>
      <c r="I309" s="2">
        <v>767.0</v>
      </c>
      <c r="J309" s="2">
        <v>732.0</v>
      </c>
      <c r="K309" s="2">
        <v>8.23534259680762</v>
      </c>
    </row>
    <row r="310">
      <c r="A310" s="2">
        <v>22.0</v>
      </c>
      <c r="B310" s="2" t="s">
        <v>67</v>
      </c>
      <c r="C310" s="2" t="s">
        <v>144</v>
      </c>
      <c r="D310" s="2" t="s">
        <v>145</v>
      </c>
      <c r="E310" s="2">
        <v>-36.0</v>
      </c>
      <c r="F310" s="2">
        <v>24.0502610598303</v>
      </c>
      <c r="G310" s="2">
        <v>23.4594742817894</v>
      </c>
      <c r="H310" s="2">
        <v>8.22881272441027</v>
      </c>
      <c r="I310" s="2">
        <v>792.0</v>
      </c>
      <c r="J310" s="2">
        <v>756.0</v>
      </c>
      <c r="K310" s="2">
        <v>8.2735214997888</v>
      </c>
    </row>
    <row r="311">
      <c r="A311" s="2">
        <v>22.0</v>
      </c>
      <c r="B311" s="2" t="s">
        <v>18</v>
      </c>
      <c r="C311" s="2" t="s">
        <v>144</v>
      </c>
      <c r="D311" s="2" t="s">
        <v>145</v>
      </c>
      <c r="E311" s="2">
        <v>-29.0</v>
      </c>
      <c r="F311" s="2">
        <v>27.6682276576151</v>
      </c>
      <c r="G311" s="2">
        <v>27.1961010489732</v>
      </c>
      <c r="H311" s="2">
        <v>7.36518341809402</v>
      </c>
      <c r="I311" s="2">
        <v>1127.0</v>
      </c>
      <c r="J311" s="2">
        <v>1098.0</v>
      </c>
      <c r="K311" s="2">
        <v>7.3949030816805</v>
      </c>
    </row>
    <row r="312">
      <c r="A312" s="2">
        <v>22.0</v>
      </c>
      <c r="B312" s="2" t="s">
        <v>113</v>
      </c>
      <c r="C312" s="2" t="s">
        <v>144</v>
      </c>
      <c r="D312" s="2" t="s">
        <v>145</v>
      </c>
      <c r="E312" s="2">
        <v>-30.0</v>
      </c>
      <c r="F312" s="2">
        <v>22.4953185614036</v>
      </c>
      <c r="G312" s="2">
        <v>21.9965676748818</v>
      </c>
      <c r="H312" s="2">
        <v>7.56792457745221</v>
      </c>
      <c r="I312" s="2">
        <v>754.0</v>
      </c>
      <c r="J312" s="2">
        <v>724.0</v>
      </c>
      <c r="K312" s="2">
        <v>7.60088505381723</v>
      </c>
    </row>
    <row r="313">
      <c r="A313" s="2">
        <v>22.0</v>
      </c>
      <c r="B313" s="2" t="s">
        <v>31</v>
      </c>
      <c r="C313" s="2" t="s">
        <v>144</v>
      </c>
      <c r="D313" s="2" t="s">
        <v>145</v>
      </c>
      <c r="E313" s="2">
        <v>-33.0</v>
      </c>
      <c r="F313" s="2">
        <v>23.5309998735675</v>
      </c>
      <c r="G313" s="2">
        <v>22.9955978262317</v>
      </c>
      <c r="H313" s="2">
        <v>7.83809515399835</v>
      </c>
      <c r="I313" s="2">
        <v>797.0</v>
      </c>
      <c r="J313" s="2">
        <v>764.0</v>
      </c>
      <c r="K313" s="2">
        <v>7.87563342971768</v>
      </c>
    </row>
    <row r="314">
      <c r="A314" s="2">
        <v>22.0</v>
      </c>
      <c r="B314" s="2" t="s">
        <v>124</v>
      </c>
      <c r="C314" s="2" t="s">
        <v>144</v>
      </c>
      <c r="D314" s="2" t="s">
        <v>145</v>
      </c>
      <c r="E314" s="2">
        <v>-34.0</v>
      </c>
      <c r="F314" s="2">
        <v>22.6028667711649</v>
      </c>
      <c r="G314" s="2">
        <v>22.0264852429471</v>
      </c>
      <c r="H314" s="2">
        <v>8.12908268165456</v>
      </c>
      <c r="I314" s="2">
        <v>703.0</v>
      </c>
      <c r="J314" s="2">
        <v>669.0</v>
      </c>
      <c r="K314" s="2">
        <v>8.17189744402872</v>
      </c>
    </row>
    <row r="315">
      <c r="A315" s="2">
        <v>22.0</v>
      </c>
      <c r="B315" s="2" t="s">
        <v>64</v>
      </c>
      <c r="C315" s="2" t="s">
        <v>144</v>
      </c>
      <c r="D315" s="2" t="s">
        <v>145</v>
      </c>
      <c r="E315" s="2">
        <v>-30.0</v>
      </c>
      <c r="F315" s="2">
        <v>28.5334381253493</v>
      </c>
      <c r="G315" s="2">
        <v>28.0558268748739</v>
      </c>
      <c r="H315" s="2">
        <v>7.40742079554794</v>
      </c>
      <c r="I315" s="2">
        <v>1182.0</v>
      </c>
      <c r="J315" s="2">
        <v>1152.0</v>
      </c>
      <c r="K315" s="2">
        <v>7.4378022205119</v>
      </c>
    </row>
    <row r="316">
      <c r="A316" s="2">
        <v>22.0</v>
      </c>
      <c r="B316" s="2" t="s">
        <v>163</v>
      </c>
      <c r="C316" s="2" t="s">
        <v>144</v>
      </c>
      <c r="D316" s="2" t="s">
        <v>145</v>
      </c>
      <c r="E316" s="2">
        <v>-36.0</v>
      </c>
      <c r="F316" s="2">
        <v>25.131622279615</v>
      </c>
      <c r="G316" s="2">
        <v>24.5473224721747</v>
      </c>
      <c r="H316" s="2">
        <v>8.18406015892688</v>
      </c>
      <c r="I316" s="2">
        <v>870.0</v>
      </c>
      <c r="J316" s="2">
        <v>834.0</v>
      </c>
      <c r="K316" s="2">
        <v>8.22791351462359</v>
      </c>
    </row>
    <row r="317">
      <c r="A317" s="2">
        <v>22.0</v>
      </c>
      <c r="B317" s="2" t="s">
        <v>111</v>
      </c>
      <c r="C317" s="2" t="s">
        <v>144</v>
      </c>
      <c r="D317" s="2" t="s">
        <v>145</v>
      </c>
      <c r="E317" s="2">
        <v>-33.0</v>
      </c>
      <c r="F317" s="2">
        <v>22.9737640202382</v>
      </c>
      <c r="G317" s="2">
        <v>22.436035871799</v>
      </c>
      <c r="H317" s="2">
        <v>7.85491451308638</v>
      </c>
      <c r="I317" s="2">
        <v>757.0</v>
      </c>
      <c r="J317" s="2">
        <v>724.0</v>
      </c>
      <c r="K317" s="2">
        <v>7.89274784812178</v>
      </c>
    </row>
    <row r="318">
      <c r="A318" s="2">
        <v>21.0</v>
      </c>
      <c r="B318" s="2" t="s">
        <v>53</v>
      </c>
      <c r="C318" s="2" t="s">
        <v>142</v>
      </c>
      <c r="D318" s="2" t="s">
        <v>143</v>
      </c>
      <c r="E318" s="2">
        <v>60.0</v>
      </c>
      <c r="F318" s="2">
        <v>25.8923525617304</v>
      </c>
      <c r="G318" s="2">
        <v>26.7081586725794</v>
      </c>
      <c r="H318" s="2">
        <v>7.676545573648</v>
      </c>
      <c r="I318" s="2">
        <v>973.0</v>
      </c>
      <c r="J318" s="2">
        <v>1033.0</v>
      </c>
      <c r="K318" s="2">
        <v>7.72260642144314</v>
      </c>
    </row>
    <row r="319">
      <c r="A319" s="2">
        <v>21.0</v>
      </c>
      <c r="B319" s="2" t="s">
        <v>155</v>
      </c>
      <c r="C319" s="2" t="s">
        <v>142</v>
      </c>
      <c r="D319" s="2" t="s">
        <v>143</v>
      </c>
      <c r="E319" s="2">
        <v>69.0</v>
      </c>
      <c r="F319" s="2">
        <v>25.6100913155594</v>
      </c>
      <c r="G319" s="2">
        <v>26.5342200080906</v>
      </c>
      <c r="H319" s="2">
        <v>8.16295029682713</v>
      </c>
      <c r="I319" s="2">
        <v>903.0</v>
      </c>
      <c r="J319" s="2">
        <v>972.0</v>
      </c>
      <c r="K319" s="2">
        <v>8.22006136384531</v>
      </c>
    </row>
    <row r="320">
      <c r="A320" s="2">
        <v>21.0</v>
      </c>
      <c r="B320" s="2" t="s">
        <v>29</v>
      </c>
      <c r="C320" s="2" t="s">
        <v>142</v>
      </c>
      <c r="D320" s="2" t="s">
        <v>143</v>
      </c>
      <c r="E320" s="2">
        <v>58.0</v>
      </c>
      <c r="F320" s="2">
        <v>22.7582647190865</v>
      </c>
      <c r="G320" s="2">
        <v>23.5411353305319</v>
      </c>
      <c r="H320" s="2">
        <v>7.52205016435187</v>
      </c>
      <c r="I320" s="2">
        <v>776.0</v>
      </c>
      <c r="J320" s="2">
        <v>834.0</v>
      </c>
      <c r="K320" s="2">
        <v>7.56487285757432</v>
      </c>
    </row>
    <row r="321">
      <c r="A321" s="2">
        <v>21.0</v>
      </c>
      <c r="B321" s="2" t="s">
        <v>67</v>
      </c>
      <c r="C321" s="2" t="s">
        <v>144</v>
      </c>
      <c r="D321" s="2" t="s">
        <v>145</v>
      </c>
      <c r="E321" s="2">
        <v>-58.0</v>
      </c>
      <c r="F321" s="2">
        <v>25.0</v>
      </c>
      <c r="G321" s="2">
        <v>24.0502610598303</v>
      </c>
      <c r="H321" s="2">
        <v>8.2735214997888</v>
      </c>
      <c r="I321" s="2">
        <v>850.0</v>
      </c>
      <c r="J321" s="2">
        <v>792.0</v>
      </c>
      <c r="K321" s="2">
        <v>8.33333333333333</v>
      </c>
    </row>
    <row r="322">
      <c r="A322" s="2">
        <v>21.0</v>
      </c>
      <c r="B322" s="2" t="s">
        <v>18</v>
      </c>
      <c r="C322" s="2" t="s">
        <v>144</v>
      </c>
      <c r="D322" s="2" t="s">
        <v>145</v>
      </c>
      <c r="E322" s="2">
        <v>-47.0</v>
      </c>
      <c r="F322" s="2">
        <v>28.4245218430338</v>
      </c>
      <c r="G322" s="2">
        <v>27.6682276576151</v>
      </c>
      <c r="H322" s="2">
        <v>7.3949030816805</v>
      </c>
      <c r="I322" s="2">
        <v>1174.0</v>
      </c>
      <c r="J322" s="2">
        <v>1127.0</v>
      </c>
      <c r="K322" s="2">
        <v>7.43515485282921</v>
      </c>
    </row>
    <row r="323">
      <c r="A323" s="2">
        <v>21.0</v>
      </c>
      <c r="B323" s="2" t="s">
        <v>123</v>
      </c>
      <c r="C323" s="2" t="s">
        <v>144</v>
      </c>
      <c r="D323" s="2" t="s">
        <v>145</v>
      </c>
      <c r="E323" s="2">
        <v>-51.0</v>
      </c>
      <c r="F323" s="2">
        <v>27.5157850915437</v>
      </c>
      <c r="G323" s="2">
        <v>26.7051364232631</v>
      </c>
      <c r="H323" s="2">
        <v>7.65257001011153</v>
      </c>
      <c r="I323" s="2">
        <v>1086.0</v>
      </c>
      <c r="J323" s="2">
        <v>1035.0</v>
      </c>
      <c r="K323" s="2">
        <v>7.69812000042935</v>
      </c>
    </row>
    <row r="324">
      <c r="A324" s="2">
        <v>21.0</v>
      </c>
      <c r="B324" s="2" t="s">
        <v>111</v>
      </c>
      <c r="C324" s="2" t="s">
        <v>144</v>
      </c>
      <c r="D324" s="2" t="s">
        <v>145</v>
      </c>
      <c r="E324" s="2">
        <v>-54.0</v>
      </c>
      <c r="F324" s="2">
        <v>23.8368484036906</v>
      </c>
      <c r="G324" s="2">
        <v>22.9737640202382</v>
      </c>
      <c r="H324" s="2">
        <v>7.89274784812178</v>
      </c>
      <c r="I324" s="2">
        <v>811.0</v>
      </c>
      <c r="J324" s="2">
        <v>757.0</v>
      </c>
      <c r="K324" s="2">
        <v>7.94355677377715</v>
      </c>
    </row>
    <row r="325">
      <c r="A325" s="2">
        <v>21.0</v>
      </c>
      <c r="B325" s="2" t="s">
        <v>64</v>
      </c>
      <c r="C325" s="2" t="s">
        <v>144</v>
      </c>
      <c r="D325" s="2" t="s">
        <v>145</v>
      </c>
      <c r="E325" s="2">
        <v>-47.0</v>
      </c>
      <c r="F325" s="2">
        <v>29.2986458446678</v>
      </c>
      <c r="G325" s="2">
        <v>28.5334381253493</v>
      </c>
      <c r="H325" s="2">
        <v>7.4378022205119</v>
      </c>
      <c r="I325" s="2">
        <v>1229.0</v>
      </c>
      <c r="J325" s="2">
        <v>1182.0</v>
      </c>
      <c r="K325" s="2">
        <v>7.47891205823889</v>
      </c>
    </row>
    <row r="326">
      <c r="A326" s="2">
        <v>21.0</v>
      </c>
      <c r="B326" s="2" t="s">
        <v>39</v>
      </c>
      <c r="C326" s="2" t="s">
        <v>144</v>
      </c>
      <c r="D326" s="2" t="s">
        <v>145</v>
      </c>
      <c r="E326" s="2">
        <v>-56.0</v>
      </c>
      <c r="F326" s="2">
        <v>23.8301349600018</v>
      </c>
      <c r="G326" s="2">
        <v>22.9170524498854</v>
      </c>
      <c r="H326" s="2">
        <v>8.11476384072347</v>
      </c>
      <c r="I326" s="2">
        <v>787.0</v>
      </c>
      <c r="J326" s="2">
        <v>731.0</v>
      </c>
      <c r="K326" s="2">
        <v>8.17072032498175</v>
      </c>
    </row>
    <row r="327">
      <c r="A327" s="2">
        <v>21.0</v>
      </c>
      <c r="B327" s="2" t="s">
        <v>113</v>
      </c>
      <c r="C327" s="2" t="s">
        <v>144</v>
      </c>
      <c r="D327" s="2" t="s">
        <v>145</v>
      </c>
      <c r="E327" s="2">
        <v>-50.0</v>
      </c>
      <c r="F327" s="2">
        <v>23.2949070502391</v>
      </c>
      <c r="G327" s="2">
        <v>22.4953185614036</v>
      </c>
      <c r="H327" s="2">
        <v>7.60088505381723</v>
      </c>
      <c r="I327" s="2">
        <v>804.0</v>
      </c>
      <c r="J327" s="2">
        <v>754.0</v>
      </c>
      <c r="K327" s="2">
        <v>7.6453442409299</v>
      </c>
    </row>
    <row r="328">
      <c r="A328" s="2">
        <v>21.0</v>
      </c>
      <c r="B328" s="2" t="s">
        <v>77</v>
      </c>
      <c r="C328" s="2" t="s">
        <v>144</v>
      </c>
      <c r="D328" s="2" t="s">
        <v>145</v>
      </c>
      <c r="E328" s="2">
        <v>-52.0</v>
      </c>
      <c r="F328" s="2">
        <v>25.8081372481929</v>
      </c>
      <c r="G328" s="2">
        <v>24.967736995613</v>
      </c>
      <c r="H328" s="2">
        <v>7.78980582111171</v>
      </c>
      <c r="I328" s="2">
        <v>955.0</v>
      </c>
      <c r="J328" s="2">
        <v>903.0</v>
      </c>
      <c r="K328" s="2">
        <v>7.83832202106871</v>
      </c>
    </row>
    <row r="329">
      <c r="A329" s="2">
        <v>21.0</v>
      </c>
      <c r="B329" s="2" t="s">
        <v>159</v>
      </c>
      <c r="C329" s="2" t="s">
        <v>144</v>
      </c>
      <c r="D329" s="2" t="s">
        <v>145</v>
      </c>
      <c r="E329" s="2">
        <v>-58.0</v>
      </c>
      <c r="F329" s="2">
        <v>26.3306458214885</v>
      </c>
      <c r="G329" s="2">
        <v>25.3965849169019</v>
      </c>
      <c r="H329" s="2">
        <v>8.20602047639726</v>
      </c>
      <c r="I329" s="2">
        <v>948.0</v>
      </c>
      <c r="J329" s="2">
        <v>890.0</v>
      </c>
      <c r="K329" s="2">
        <v>8.26417500380823</v>
      </c>
    </row>
    <row r="330">
      <c r="A330" s="2">
        <v>21.0</v>
      </c>
      <c r="B330" s="2" t="s">
        <v>79</v>
      </c>
      <c r="C330" s="2" t="s">
        <v>144</v>
      </c>
      <c r="D330" s="2" t="s">
        <v>145</v>
      </c>
      <c r="E330" s="2">
        <v>-58.0</v>
      </c>
      <c r="F330" s="2">
        <v>25.0</v>
      </c>
      <c r="G330" s="2">
        <v>24.0502610598303</v>
      </c>
      <c r="H330" s="2">
        <v>8.2735214997888</v>
      </c>
      <c r="I330" s="2">
        <v>850.0</v>
      </c>
      <c r="J330" s="2">
        <v>792.0</v>
      </c>
      <c r="K330" s="2">
        <v>8.33333333333333</v>
      </c>
    </row>
    <row r="331">
      <c r="A331" s="2">
        <v>20.0</v>
      </c>
      <c r="B331" s="2" t="s">
        <v>64</v>
      </c>
      <c r="C331" s="2" t="s">
        <v>142</v>
      </c>
      <c r="D331" s="2" t="s">
        <v>143</v>
      </c>
      <c r="E331" s="2">
        <v>35.0</v>
      </c>
      <c r="F331" s="2">
        <v>28.8175813055044</v>
      </c>
      <c r="G331" s="2">
        <v>29.2986458446678</v>
      </c>
      <c r="H331" s="2">
        <v>7.47891205823889</v>
      </c>
      <c r="I331" s="2">
        <v>1194.0</v>
      </c>
      <c r="J331" s="2">
        <v>1229.0</v>
      </c>
      <c r="K331" s="2">
        <v>7.51066711125846</v>
      </c>
    </row>
    <row r="332">
      <c r="A332" s="2">
        <v>20.0</v>
      </c>
      <c r="B332" s="2" t="s">
        <v>29</v>
      </c>
      <c r="C332" s="2" t="s">
        <v>142</v>
      </c>
      <c r="D332" s="2" t="s">
        <v>143</v>
      </c>
      <c r="E332" s="2">
        <v>37.0</v>
      </c>
      <c r="F332" s="2">
        <v>22.2659617725379</v>
      </c>
      <c r="G332" s="2">
        <v>22.7582647190865</v>
      </c>
      <c r="H332" s="2">
        <v>7.56487285757432</v>
      </c>
      <c r="I332" s="2">
        <v>739.0</v>
      </c>
      <c r="J332" s="2">
        <v>776.0</v>
      </c>
      <c r="K332" s="2">
        <v>7.59802935979271</v>
      </c>
    </row>
    <row r="333">
      <c r="A333" s="2">
        <v>20.0</v>
      </c>
      <c r="B333" s="2" t="s">
        <v>123</v>
      </c>
      <c r="C333" s="2" t="s">
        <v>142</v>
      </c>
      <c r="D333" s="2" t="s">
        <v>143</v>
      </c>
      <c r="E333" s="2">
        <v>38.0</v>
      </c>
      <c r="F333" s="2">
        <v>27.0057968671923</v>
      </c>
      <c r="G333" s="2">
        <v>27.5157850915437</v>
      </c>
      <c r="H333" s="2">
        <v>7.69812000042935</v>
      </c>
      <c r="I333" s="2">
        <v>1048.0</v>
      </c>
      <c r="J333" s="2">
        <v>1086.0</v>
      </c>
      <c r="K333" s="2">
        <v>7.7335084268562</v>
      </c>
    </row>
    <row r="334">
      <c r="A334" s="2">
        <v>20.0</v>
      </c>
      <c r="B334" s="2" t="s">
        <v>18</v>
      </c>
      <c r="C334" s="2" t="s">
        <v>144</v>
      </c>
      <c r="D334" s="2" t="s">
        <v>145</v>
      </c>
      <c r="E334" s="2">
        <v>-30.0</v>
      </c>
      <c r="F334" s="2">
        <v>28.8999169856992</v>
      </c>
      <c r="G334" s="2">
        <v>28.4245218430338</v>
      </c>
      <c r="H334" s="2">
        <v>7.43515485282921</v>
      </c>
      <c r="I334" s="2">
        <v>1204.0</v>
      </c>
      <c r="J334" s="2">
        <v>1174.0</v>
      </c>
      <c r="K334" s="2">
        <v>7.46620791017695</v>
      </c>
    </row>
    <row r="335">
      <c r="A335" s="2">
        <v>20.0</v>
      </c>
      <c r="B335" s="2" t="s">
        <v>32</v>
      </c>
      <c r="C335" s="2" t="s">
        <v>144</v>
      </c>
      <c r="D335" s="2" t="s">
        <v>145</v>
      </c>
      <c r="E335" s="2">
        <v>-32.0</v>
      </c>
      <c r="F335" s="2">
        <v>22.1237380128346</v>
      </c>
      <c r="G335" s="2">
        <v>21.5871481589686</v>
      </c>
      <c r="H335" s="2">
        <v>7.8941289738694</v>
      </c>
      <c r="I335" s="2">
        <v>695.0</v>
      </c>
      <c r="J335" s="2">
        <v>663.0</v>
      </c>
      <c r="K335" s="2">
        <v>7.93293537553495</v>
      </c>
    </row>
    <row r="336">
      <c r="A336" s="2">
        <v>20.0</v>
      </c>
      <c r="B336" s="2" t="s">
        <v>149</v>
      </c>
      <c r="C336" s="2" t="s">
        <v>144</v>
      </c>
      <c r="D336" s="2" t="s">
        <v>145</v>
      </c>
      <c r="E336" s="2">
        <v>-34.0</v>
      </c>
      <c r="F336" s="2">
        <v>25.4737002862996</v>
      </c>
      <c r="G336" s="2">
        <v>24.9156532242683</v>
      </c>
      <c r="H336" s="2">
        <v>8.04859839926369</v>
      </c>
      <c r="I336" s="2">
        <v>907.0</v>
      </c>
      <c r="J336" s="2">
        <v>873.0</v>
      </c>
      <c r="K336" s="2">
        <v>8.09021459523352</v>
      </c>
    </row>
    <row r="337">
      <c r="A337" s="2">
        <v>20.0</v>
      </c>
      <c r="B337" s="2" t="s">
        <v>70</v>
      </c>
      <c r="C337" s="2" t="s">
        <v>144</v>
      </c>
      <c r="D337" s="2" t="s">
        <v>145</v>
      </c>
      <c r="E337" s="2">
        <v>-32.0</v>
      </c>
      <c r="F337" s="2">
        <v>21.0635495264894</v>
      </c>
      <c r="G337" s="2">
        <v>20.5354605986087</v>
      </c>
      <c r="H337" s="2">
        <v>7.83204891077541</v>
      </c>
      <c r="I337" s="2">
        <v>630.0</v>
      </c>
      <c r="J337" s="2">
        <v>598.0</v>
      </c>
      <c r="K337" s="2">
        <v>7.86975514169674</v>
      </c>
    </row>
    <row r="338">
      <c r="A338" s="2">
        <v>20.0</v>
      </c>
      <c r="B338" s="2" t="s">
        <v>109</v>
      </c>
      <c r="C338" s="2" t="s">
        <v>144</v>
      </c>
      <c r="D338" s="2" t="s">
        <v>145</v>
      </c>
      <c r="E338" s="2">
        <v>-36.0</v>
      </c>
      <c r="F338" s="2">
        <v>25.0</v>
      </c>
      <c r="G338" s="2">
        <v>24.4079560326138</v>
      </c>
      <c r="H338" s="2">
        <v>8.28716972953263</v>
      </c>
      <c r="I338" s="2">
        <v>850.0</v>
      </c>
      <c r="J338" s="2">
        <v>814.0</v>
      </c>
      <c r="K338" s="2">
        <v>8.33333333333333</v>
      </c>
    </row>
    <row r="339">
      <c r="A339" s="2">
        <v>20.0</v>
      </c>
      <c r="B339" s="2" t="s">
        <v>31</v>
      </c>
      <c r="C339" s="2" t="s">
        <v>144</v>
      </c>
      <c r="D339" s="2" t="s">
        <v>145</v>
      </c>
      <c r="E339" s="2">
        <v>-32.0</v>
      </c>
      <c r="F339" s="2">
        <v>24.0650497006347</v>
      </c>
      <c r="G339" s="2">
        <v>23.5309998735675</v>
      </c>
      <c r="H339" s="2">
        <v>7.87563342971768</v>
      </c>
      <c r="I339" s="2">
        <v>829.0</v>
      </c>
      <c r="J339" s="2">
        <v>797.0</v>
      </c>
      <c r="K339" s="2">
        <v>7.91411033079235</v>
      </c>
    </row>
    <row r="340">
      <c r="A340" s="2">
        <v>20.0</v>
      </c>
      <c r="B340" s="2" t="s">
        <v>16</v>
      </c>
      <c r="C340" s="2" t="s">
        <v>144</v>
      </c>
      <c r="D340" s="2" t="s">
        <v>145</v>
      </c>
      <c r="E340" s="2">
        <v>-34.0</v>
      </c>
      <c r="F340" s="2">
        <v>23.6949024488307</v>
      </c>
      <c r="G340" s="2">
        <v>23.1288997653615</v>
      </c>
      <c r="H340" s="2">
        <v>8.10508717086227</v>
      </c>
      <c r="I340" s="2">
        <v>780.0</v>
      </c>
      <c r="J340" s="2">
        <v>746.0</v>
      </c>
      <c r="K340" s="2">
        <v>8.14775704664457</v>
      </c>
    </row>
    <row r="341">
      <c r="A341" s="2">
        <v>20.0</v>
      </c>
      <c r="B341" s="2" t="s">
        <v>166</v>
      </c>
      <c r="C341" s="2" t="s">
        <v>144</v>
      </c>
      <c r="D341" s="2" t="s">
        <v>145</v>
      </c>
      <c r="E341" s="2">
        <v>-36.0</v>
      </c>
      <c r="F341" s="2">
        <v>25.0</v>
      </c>
      <c r="G341" s="2">
        <v>24.4079560326138</v>
      </c>
      <c r="H341" s="2">
        <v>8.28716972953263</v>
      </c>
      <c r="I341" s="2">
        <v>850.0</v>
      </c>
      <c r="J341" s="2">
        <v>814.0</v>
      </c>
      <c r="K341" s="2">
        <v>8.33333333333333</v>
      </c>
    </row>
    <row r="342">
      <c r="A342" s="2">
        <v>20.0</v>
      </c>
      <c r="B342" s="2" t="s">
        <v>167</v>
      </c>
      <c r="C342" s="2" t="s">
        <v>144</v>
      </c>
      <c r="D342" s="2" t="s">
        <v>145</v>
      </c>
      <c r="E342" s="2">
        <v>-36.0</v>
      </c>
      <c r="F342" s="2">
        <v>25.0</v>
      </c>
      <c r="G342" s="2">
        <v>24.4079560326138</v>
      </c>
      <c r="H342" s="2">
        <v>8.28716972953263</v>
      </c>
      <c r="I342" s="2">
        <v>850.0</v>
      </c>
      <c r="J342" s="2">
        <v>814.0</v>
      </c>
      <c r="K342" s="2">
        <v>8.33333333333333</v>
      </c>
    </row>
    <row r="343">
      <c r="A343" s="2">
        <v>20.0</v>
      </c>
      <c r="B343" s="2" t="s">
        <v>111</v>
      </c>
      <c r="C343" s="2" t="s">
        <v>144</v>
      </c>
      <c r="D343" s="2" t="s">
        <v>145</v>
      </c>
      <c r="E343" s="2">
        <v>-33.0</v>
      </c>
      <c r="F343" s="2">
        <v>24.3802568637997</v>
      </c>
      <c r="G343" s="2">
        <v>23.8368484036906</v>
      </c>
      <c r="H343" s="2">
        <v>7.94355677377715</v>
      </c>
      <c r="I343" s="2">
        <v>844.0</v>
      </c>
      <c r="J343" s="2">
        <v>811.0</v>
      </c>
      <c r="K343" s="2">
        <v>7.98325097200555</v>
      </c>
    </row>
    <row r="344">
      <c r="A344" s="2">
        <v>19.0</v>
      </c>
      <c r="B344" s="2" t="s">
        <v>123</v>
      </c>
      <c r="C344" s="2" t="s">
        <v>142</v>
      </c>
      <c r="D344" s="2" t="s">
        <v>143</v>
      </c>
      <c r="E344" s="2">
        <v>58.0</v>
      </c>
      <c r="F344" s="2">
        <v>26.2224564654911</v>
      </c>
      <c r="G344" s="2">
        <v>27.0057968671923</v>
      </c>
      <c r="H344" s="2">
        <v>7.7335084268562</v>
      </c>
      <c r="I344" s="2">
        <v>990.0</v>
      </c>
      <c r="J344" s="2">
        <v>1048.0</v>
      </c>
      <c r="K344" s="2">
        <v>7.77883672147543</v>
      </c>
    </row>
    <row r="345">
      <c r="A345" s="2">
        <v>19.0</v>
      </c>
      <c r="B345" s="2" t="s">
        <v>77</v>
      </c>
      <c r="C345" s="2" t="s">
        <v>142</v>
      </c>
      <c r="D345" s="2" t="s">
        <v>143</v>
      </c>
      <c r="E345" s="2">
        <v>59.0</v>
      </c>
      <c r="F345" s="2">
        <v>25.0031240854725</v>
      </c>
      <c r="G345" s="2">
        <v>25.8081372481929</v>
      </c>
      <c r="H345" s="2">
        <v>7.83832202106871</v>
      </c>
      <c r="I345" s="2">
        <v>896.0</v>
      </c>
      <c r="J345" s="2">
        <v>955.0</v>
      </c>
      <c r="K345" s="2">
        <v>7.885869363188</v>
      </c>
    </row>
    <row r="346">
      <c r="A346" s="2">
        <v>19.0</v>
      </c>
      <c r="B346" s="2" t="s">
        <v>162</v>
      </c>
      <c r="C346" s="2" t="s">
        <v>142</v>
      </c>
      <c r="D346" s="2" t="s">
        <v>143</v>
      </c>
      <c r="E346" s="2">
        <v>67.0</v>
      </c>
      <c r="F346" s="2">
        <v>25.0</v>
      </c>
      <c r="G346" s="2">
        <v>25.8988262265798</v>
      </c>
      <c r="H346" s="2">
        <v>8.27588024558539</v>
      </c>
      <c r="I346" s="2">
        <v>850.0</v>
      </c>
      <c r="J346" s="2">
        <v>917.0</v>
      </c>
      <c r="K346" s="2">
        <v>8.33333333333333</v>
      </c>
    </row>
    <row r="347">
      <c r="A347" s="2">
        <v>19.0</v>
      </c>
      <c r="B347" s="2" t="s">
        <v>110</v>
      </c>
      <c r="C347" s="2" t="s">
        <v>144</v>
      </c>
      <c r="D347" s="2" t="s">
        <v>145</v>
      </c>
      <c r="E347" s="2">
        <v>-55.0</v>
      </c>
      <c r="F347" s="2">
        <v>24.4176315532745</v>
      </c>
      <c r="G347" s="2">
        <v>23.5284450506069</v>
      </c>
      <c r="H347" s="2">
        <v>8.23205503181612</v>
      </c>
      <c r="I347" s="2">
        <v>815.0</v>
      </c>
      <c r="J347" s="2">
        <v>760.0</v>
      </c>
      <c r="K347" s="2">
        <v>8.28846801422415</v>
      </c>
    </row>
    <row r="348">
      <c r="A348" s="2">
        <v>19.0</v>
      </c>
      <c r="B348" s="2" t="s">
        <v>18</v>
      </c>
      <c r="C348" s="2" t="s">
        <v>144</v>
      </c>
      <c r="D348" s="2" t="s">
        <v>145</v>
      </c>
      <c r="E348" s="2">
        <v>-45.0</v>
      </c>
      <c r="F348" s="2">
        <v>29.6293771588242</v>
      </c>
      <c r="G348" s="2">
        <v>28.8999169856992</v>
      </c>
      <c r="H348" s="2">
        <v>7.46620791017695</v>
      </c>
      <c r="I348" s="2">
        <v>1249.0</v>
      </c>
      <c r="J348" s="2">
        <v>1204.0</v>
      </c>
      <c r="K348" s="2">
        <v>7.50613425618311</v>
      </c>
    </row>
    <row r="349">
      <c r="A349" s="2">
        <v>19.0</v>
      </c>
      <c r="B349" s="2" t="s">
        <v>31</v>
      </c>
      <c r="C349" s="2" t="s">
        <v>144</v>
      </c>
      <c r="D349" s="2" t="s">
        <v>145</v>
      </c>
      <c r="E349" s="2">
        <v>-51.0</v>
      </c>
      <c r="F349" s="2">
        <v>24.8859259133118</v>
      </c>
      <c r="G349" s="2">
        <v>24.0650497006347</v>
      </c>
      <c r="H349" s="2">
        <v>7.91411033079235</v>
      </c>
      <c r="I349" s="2">
        <v>880.0</v>
      </c>
      <c r="J349" s="2">
        <v>829.0</v>
      </c>
      <c r="K349" s="2">
        <v>7.96329851101732</v>
      </c>
    </row>
    <row r="350">
      <c r="A350" s="2">
        <v>19.0</v>
      </c>
      <c r="B350" s="2" t="s">
        <v>149</v>
      </c>
      <c r="C350" s="2" t="s">
        <v>144</v>
      </c>
      <c r="D350" s="2" t="s">
        <v>145</v>
      </c>
      <c r="E350" s="2">
        <v>-53.0</v>
      </c>
      <c r="F350" s="2">
        <v>26.3320601745305</v>
      </c>
      <c r="G350" s="2">
        <v>25.4737002862996</v>
      </c>
      <c r="H350" s="2">
        <v>8.09021459523352</v>
      </c>
      <c r="I350" s="2">
        <v>960.0</v>
      </c>
      <c r="J350" s="2">
        <v>907.0</v>
      </c>
      <c r="K350" s="2">
        <v>8.14333545564412</v>
      </c>
    </row>
    <row r="351">
      <c r="A351" s="2">
        <v>19.0</v>
      </c>
      <c r="B351" s="2" t="s">
        <v>178</v>
      </c>
      <c r="C351" s="2" t="s">
        <v>144</v>
      </c>
      <c r="D351" s="2" t="s">
        <v>145</v>
      </c>
      <c r="E351" s="2">
        <v>-55.0</v>
      </c>
      <c r="F351" s="2">
        <v>24.4176315532745</v>
      </c>
      <c r="G351" s="2">
        <v>23.5284450506069</v>
      </c>
      <c r="H351" s="2">
        <v>8.23205503181612</v>
      </c>
      <c r="I351" s="2">
        <v>815.0</v>
      </c>
      <c r="J351" s="2">
        <v>760.0</v>
      </c>
      <c r="K351" s="2">
        <v>8.28846801422415</v>
      </c>
    </row>
    <row r="352">
      <c r="A352" s="2">
        <v>19.0</v>
      </c>
      <c r="B352" s="2" t="s">
        <v>64</v>
      </c>
      <c r="C352" s="2" t="s">
        <v>144</v>
      </c>
      <c r="D352" s="2" t="s">
        <v>145</v>
      </c>
      <c r="E352" s="2">
        <v>-46.0</v>
      </c>
      <c r="F352" s="2">
        <v>29.5558649954088</v>
      </c>
      <c r="G352" s="2">
        <v>28.8175813055044</v>
      </c>
      <c r="H352" s="2">
        <v>7.51066711125846</v>
      </c>
      <c r="I352" s="2">
        <v>1240.0</v>
      </c>
      <c r="J352" s="2">
        <v>1194.0</v>
      </c>
      <c r="K352" s="2">
        <v>7.55146680962023</v>
      </c>
    </row>
    <row r="353">
      <c r="A353" s="2">
        <v>19.0</v>
      </c>
      <c r="B353" s="2" t="s">
        <v>71</v>
      </c>
      <c r="C353" s="2" t="s">
        <v>144</v>
      </c>
      <c r="D353" s="2" t="s">
        <v>145</v>
      </c>
      <c r="E353" s="2">
        <v>-54.0</v>
      </c>
      <c r="F353" s="2">
        <v>26.9082928006207</v>
      </c>
      <c r="G353" s="2">
        <v>26.0334214417635</v>
      </c>
      <c r="H353" s="2">
        <v>8.16651281321608</v>
      </c>
      <c r="I353" s="2">
        <v>991.0</v>
      </c>
      <c r="J353" s="2">
        <v>937.0</v>
      </c>
      <c r="K353" s="2">
        <v>8.22139055321263</v>
      </c>
    </row>
    <row r="354">
      <c r="A354" s="2">
        <v>19.0</v>
      </c>
      <c r="B354" s="2" t="s">
        <v>53</v>
      </c>
      <c r="C354" s="2" t="s">
        <v>144</v>
      </c>
      <c r="D354" s="2" t="s">
        <v>145</v>
      </c>
      <c r="E354" s="2">
        <v>-48.0</v>
      </c>
      <c r="F354" s="2">
        <v>26.6734563779281</v>
      </c>
      <c r="G354" s="2">
        <v>25.8923525617304</v>
      </c>
      <c r="H354" s="2">
        <v>7.72260642144314</v>
      </c>
      <c r="I354" s="2">
        <v>1021.0</v>
      </c>
      <c r="J354" s="2">
        <v>973.0</v>
      </c>
      <c r="K354" s="2">
        <v>7.76770721516233</v>
      </c>
    </row>
    <row r="355">
      <c r="A355" s="2">
        <v>19.0</v>
      </c>
      <c r="B355" s="2" t="s">
        <v>111</v>
      </c>
      <c r="C355" s="2" t="s">
        <v>144</v>
      </c>
      <c r="D355" s="2" t="s">
        <v>145</v>
      </c>
      <c r="E355" s="2">
        <v>-51.0</v>
      </c>
      <c r="F355" s="2">
        <v>25.2157455140199</v>
      </c>
      <c r="G355" s="2">
        <v>24.3802568637997</v>
      </c>
      <c r="H355" s="2">
        <v>7.98325097200555</v>
      </c>
      <c r="I355" s="2">
        <v>895.0</v>
      </c>
      <c r="J355" s="2">
        <v>844.0</v>
      </c>
      <c r="K355" s="2">
        <v>8.03396300873566</v>
      </c>
    </row>
    <row r="356">
      <c r="A356" s="2">
        <v>19.0</v>
      </c>
      <c r="B356" s="2" t="s">
        <v>181</v>
      </c>
      <c r="C356" s="2" t="s">
        <v>144</v>
      </c>
      <c r="D356" s="2" t="s">
        <v>145</v>
      </c>
      <c r="E356" s="2">
        <v>-55.0</v>
      </c>
      <c r="F356" s="2">
        <v>24.1510732254033</v>
      </c>
      <c r="G356" s="2">
        <v>23.2638908947307</v>
      </c>
      <c r="H356" s="2">
        <v>8.22291227317623</v>
      </c>
      <c r="I356" s="2">
        <v>798.0</v>
      </c>
      <c r="J356" s="2">
        <v>743.0</v>
      </c>
      <c r="K356" s="2">
        <v>8.27910964388814</v>
      </c>
    </row>
    <row r="357">
      <c r="A357" s="2">
        <v>18.0</v>
      </c>
      <c r="B357" s="2" t="s">
        <v>27</v>
      </c>
      <c r="C357" s="2" t="s">
        <v>142</v>
      </c>
      <c r="D357" s="2" t="s">
        <v>143</v>
      </c>
      <c r="E357" s="2">
        <v>43.0</v>
      </c>
      <c r="F357" s="2">
        <v>24.3133205523394</v>
      </c>
      <c r="G357" s="2">
        <v>24.8898917244078</v>
      </c>
      <c r="H357" s="2">
        <v>8.24760978249345</v>
      </c>
      <c r="I357" s="2">
        <v>808.0</v>
      </c>
      <c r="J357" s="2">
        <v>851.0</v>
      </c>
      <c r="K357" s="2">
        <v>8.29169785481571</v>
      </c>
    </row>
    <row r="358">
      <c r="A358" s="2">
        <v>18.0</v>
      </c>
      <c r="B358" s="2" t="s">
        <v>71</v>
      </c>
      <c r="C358" s="2" t="s">
        <v>142</v>
      </c>
      <c r="D358" s="2" t="s">
        <v>143</v>
      </c>
      <c r="E358" s="2">
        <v>43.0</v>
      </c>
      <c r="F358" s="2">
        <v>26.3354259760463</v>
      </c>
      <c r="G358" s="2">
        <v>26.9082928006207</v>
      </c>
      <c r="H358" s="2">
        <v>8.22139055321263</v>
      </c>
      <c r="I358" s="2">
        <v>948.0</v>
      </c>
      <c r="J358" s="2">
        <v>991.0</v>
      </c>
      <c r="K358" s="2">
        <v>8.26498375309606</v>
      </c>
    </row>
    <row r="359">
      <c r="A359" s="2">
        <v>18.0</v>
      </c>
      <c r="B359" s="2" t="s">
        <v>18</v>
      </c>
      <c r="C359" s="2" t="s">
        <v>142</v>
      </c>
      <c r="D359" s="2" t="s">
        <v>143</v>
      </c>
      <c r="E359" s="2">
        <v>35.0</v>
      </c>
      <c r="F359" s="2">
        <v>29.1528110380013</v>
      </c>
      <c r="G359" s="2">
        <v>29.6293771588242</v>
      </c>
      <c r="H359" s="2">
        <v>7.50613425618311</v>
      </c>
      <c r="I359" s="2">
        <v>1214.0</v>
      </c>
      <c r="J359" s="2">
        <v>1249.0</v>
      </c>
      <c r="K359" s="2">
        <v>7.53735430851436</v>
      </c>
    </row>
    <row r="360">
      <c r="A360" s="2">
        <v>18.0</v>
      </c>
      <c r="B360" s="2" t="s">
        <v>82</v>
      </c>
      <c r="C360" s="2" t="s">
        <v>144</v>
      </c>
      <c r="D360" s="2" t="s">
        <v>145</v>
      </c>
      <c r="E360" s="2">
        <v>-35.0</v>
      </c>
      <c r="F360" s="2">
        <v>25.7741092017007</v>
      </c>
      <c r="G360" s="2">
        <v>25.1989271544239</v>
      </c>
      <c r="H360" s="2">
        <v>8.23778787095447</v>
      </c>
      <c r="I360" s="2">
        <v>908.0</v>
      </c>
      <c r="J360" s="2">
        <v>873.0</v>
      </c>
      <c r="K360" s="2">
        <v>8.28169020464689</v>
      </c>
    </row>
    <row r="361">
      <c r="A361" s="2">
        <v>18.0</v>
      </c>
      <c r="B361" s="2" t="s">
        <v>64</v>
      </c>
      <c r="C361" s="2" t="s">
        <v>144</v>
      </c>
      <c r="D361" s="2" t="s">
        <v>145</v>
      </c>
      <c r="E361" s="2">
        <v>-29.0</v>
      </c>
      <c r="F361" s="2">
        <v>30.0382634896457</v>
      </c>
      <c r="G361" s="2">
        <v>29.5558649954088</v>
      </c>
      <c r="H361" s="2">
        <v>7.55146680962023</v>
      </c>
      <c r="I361" s="2">
        <v>1269.0</v>
      </c>
      <c r="J361" s="2">
        <v>1240.0</v>
      </c>
      <c r="K361" s="2">
        <v>7.58340898749225</v>
      </c>
    </row>
    <row r="362">
      <c r="A362" s="2">
        <v>18.0</v>
      </c>
      <c r="B362" s="2" t="s">
        <v>113</v>
      </c>
      <c r="C362" s="2" t="s">
        <v>144</v>
      </c>
      <c r="D362" s="2" t="s">
        <v>145</v>
      </c>
      <c r="E362" s="2">
        <v>-30.0</v>
      </c>
      <c r="F362" s="2">
        <v>23.7894998727814</v>
      </c>
      <c r="G362" s="2">
        <v>23.2949070502391</v>
      </c>
      <c r="H362" s="2">
        <v>7.6453442409299</v>
      </c>
      <c r="I362" s="2">
        <v>834.0</v>
      </c>
      <c r="J362" s="2">
        <v>804.0</v>
      </c>
      <c r="K362" s="2">
        <v>7.67880767973915</v>
      </c>
    </row>
    <row r="363">
      <c r="A363" s="2">
        <v>18.0</v>
      </c>
      <c r="B363" s="2" t="s">
        <v>70</v>
      </c>
      <c r="C363" s="2" t="s">
        <v>144</v>
      </c>
      <c r="D363" s="2" t="s">
        <v>145</v>
      </c>
      <c r="E363" s="2">
        <v>-31.0</v>
      </c>
      <c r="F363" s="2">
        <v>21.5879293602682</v>
      </c>
      <c r="G363" s="2">
        <v>21.0635495264894</v>
      </c>
      <c r="H363" s="2">
        <v>7.86975514169674</v>
      </c>
      <c r="I363" s="2">
        <v>661.0</v>
      </c>
      <c r="J363" s="2">
        <v>630.0</v>
      </c>
      <c r="K363" s="2">
        <v>7.90699934992405</v>
      </c>
    </row>
    <row r="364">
      <c r="A364" s="2">
        <v>18.0</v>
      </c>
      <c r="B364" s="2" t="s">
        <v>53</v>
      </c>
      <c r="C364" s="2" t="s">
        <v>144</v>
      </c>
      <c r="D364" s="2" t="s">
        <v>145</v>
      </c>
      <c r="E364" s="2">
        <v>-32.0</v>
      </c>
      <c r="F364" s="2">
        <v>27.1841794859267</v>
      </c>
      <c r="G364" s="2">
        <v>26.6734563779281</v>
      </c>
      <c r="H364" s="2">
        <v>7.76770721516233</v>
      </c>
      <c r="I364" s="2">
        <v>1053.0</v>
      </c>
      <c r="J364" s="2">
        <v>1021.0</v>
      </c>
      <c r="K364" s="2">
        <v>7.80320663730515</v>
      </c>
    </row>
    <row r="365">
      <c r="A365" s="2">
        <v>18.0</v>
      </c>
      <c r="B365" s="2" t="s">
        <v>28</v>
      </c>
      <c r="C365" s="2" t="s">
        <v>144</v>
      </c>
      <c r="D365" s="2" t="s">
        <v>145</v>
      </c>
      <c r="E365" s="2">
        <v>-35.0</v>
      </c>
      <c r="F365" s="2">
        <v>24.2063198383895</v>
      </c>
      <c r="G365" s="2">
        <v>23.6314833591642</v>
      </c>
      <c r="H365" s="2">
        <v>8.23534259680762</v>
      </c>
      <c r="I365" s="2">
        <v>802.0</v>
      </c>
      <c r="J365" s="2">
        <v>767.0</v>
      </c>
      <c r="K365" s="2">
        <v>8.27919875513054</v>
      </c>
    </row>
    <row r="366">
      <c r="A366" s="2">
        <v>18.0</v>
      </c>
      <c r="B366" s="2" t="s">
        <v>29</v>
      </c>
      <c r="C366" s="2" t="s">
        <v>144</v>
      </c>
      <c r="D366" s="2" t="s">
        <v>145</v>
      </c>
      <c r="E366" s="2">
        <v>-30.0</v>
      </c>
      <c r="F366" s="2">
        <v>22.7543889542737</v>
      </c>
      <c r="G366" s="2">
        <v>22.2659617725379</v>
      </c>
      <c r="H366" s="2">
        <v>7.59802935979271</v>
      </c>
      <c r="I366" s="2">
        <v>769.0</v>
      </c>
      <c r="J366" s="2">
        <v>739.0</v>
      </c>
      <c r="K366" s="2">
        <v>7.63072169296293</v>
      </c>
    </row>
    <row r="367">
      <c r="A367" s="2">
        <v>18.0</v>
      </c>
      <c r="B367" s="2" t="s">
        <v>110</v>
      </c>
      <c r="C367" s="2" t="s">
        <v>144</v>
      </c>
      <c r="D367" s="2" t="s">
        <v>145</v>
      </c>
      <c r="E367" s="2">
        <v>-35.0</v>
      </c>
      <c r="F367" s="2">
        <v>25.0</v>
      </c>
      <c r="G367" s="2">
        <v>24.4176315532745</v>
      </c>
      <c r="H367" s="2">
        <v>8.28846801422415</v>
      </c>
      <c r="I367" s="2">
        <v>850.0</v>
      </c>
      <c r="J367" s="2">
        <v>815.0</v>
      </c>
      <c r="K367" s="2">
        <v>8.33333333333333</v>
      </c>
    </row>
    <row r="368">
      <c r="A368" s="2">
        <v>18.0</v>
      </c>
      <c r="B368" s="2" t="s">
        <v>178</v>
      </c>
      <c r="C368" s="2" t="s">
        <v>144</v>
      </c>
      <c r="D368" s="2" t="s">
        <v>145</v>
      </c>
      <c r="E368" s="2">
        <v>-35.0</v>
      </c>
      <c r="F368" s="2">
        <v>25.0</v>
      </c>
      <c r="G368" s="2">
        <v>24.4176315532745</v>
      </c>
      <c r="H368" s="2">
        <v>8.28846801422415</v>
      </c>
      <c r="I368" s="2">
        <v>850.0</v>
      </c>
      <c r="J368" s="2">
        <v>815.0</v>
      </c>
      <c r="K368" s="2">
        <v>8.33333333333333</v>
      </c>
    </row>
    <row r="369">
      <c r="A369" s="2">
        <v>18.0</v>
      </c>
      <c r="B369" s="2" t="s">
        <v>165</v>
      </c>
      <c r="C369" s="2" t="s">
        <v>144</v>
      </c>
      <c r="D369" s="2" t="s">
        <v>145</v>
      </c>
      <c r="E369" s="2">
        <v>-35.0</v>
      </c>
      <c r="F369" s="2">
        <v>25.0</v>
      </c>
      <c r="G369" s="2">
        <v>24.4176315532745</v>
      </c>
      <c r="H369" s="2">
        <v>8.28846801422415</v>
      </c>
      <c r="I369" s="2">
        <v>850.0</v>
      </c>
      <c r="J369" s="2">
        <v>815.0</v>
      </c>
      <c r="K369" s="2">
        <v>8.33333333333333</v>
      </c>
    </row>
    <row r="370">
      <c r="A370" s="2">
        <v>17.0</v>
      </c>
      <c r="B370" s="2" t="s">
        <v>18</v>
      </c>
      <c r="C370" s="2" t="s">
        <v>142</v>
      </c>
      <c r="D370" s="2" t="s">
        <v>143</v>
      </c>
      <c r="E370" s="2">
        <v>49.0</v>
      </c>
      <c r="F370" s="2">
        <v>28.496632241835</v>
      </c>
      <c r="G370" s="2">
        <v>29.1528110380013</v>
      </c>
      <c r="H370" s="2">
        <v>7.53735430851436</v>
      </c>
      <c r="I370" s="2">
        <v>1165.0</v>
      </c>
      <c r="J370" s="2">
        <v>1214.0</v>
      </c>
      <c r="K370" s="2">
        <v>7.57614203127592</v>
      </c>
    </row>
    <row r="371">
      <c r="A371" s="2">
        <v>17.0</v>
      </c>
      <c r="B371" s="2" t="s">
        <v>113</v>
      </c>
      <c r="C371" s="2" t="s">
        <v>142</v>
      </c>
      <c r="D371" s="2" t="s">
        <v>143</v>
      </c>
      <c r="E371" s="2">
        <v>50.0</v>
      </c>
      <c r="F371" s="2">
        <v>23.1081498826078</v>
      </c>
      <c r="G371" s="2">
        <v>23.7894998727814</v>
      </c>
      <c r="H371" s="2">
        <v>7.67880767973915</v>
      </c>
      <c r="I371" s="2">
        <v>784.0</v>
      </c>
      <c r="J371" s="2">
        <v>834.0</v>
      </c>
      <c r="K371" s="2">
        <v>7.7203096029084</v>
      </c>
    </row>
    <row r="372">
      <c r="A372" s="2">
        <v>17.0</v>
      </c>
      <c r="B372" s="2" t="s">
        <v>39</v>
      </c>
      <c r="C372" s="2" t="s">
        <v>142</v>
      </c>
      <c r="D372" s="2" t="s">
        <v>143</v>
      </c>
      <c r="E372" s="2">
        <v>58.0</v>
      </c>
      <c r="F372" s="2">
        <v>23.0574114559316</v>
      </c>
      <c r="G372" s="2">
        <v>23.8301349600018</v>
      </c>
      <c r="H372" s="2">
        <v>8.17072032498175</v>
      </c>
      <c r="I372" s="2">
        <v>729.0</v>
      </c>
      <c r="J372" s="2">
        <v>787.0</v>
      </c>
      <c r="K372" s="2">
        <v>8.22243445482931</v>
      </c>
    </row>
    <row r="373">
      <c r="A373" s="2">
        <v>17.0</v>
      </c>
      <c r="B373" s="2" t="s">
        <v>111</v>
      </c>
      <c r="C373" s="2" t="s">
        <v>144</v>
      </c>
      <c r="D373" s="2" t="s">
        <v>145</v>
      </c>
      <c r="E373" s="2">
        <v>-46.0</v>
      </c>
      <c r="F373" s="2">
        <v>25.9624656273455</v>
      </c>
      <c r="G373" s="2">
        <v>25.2157455140199</v>
      </c>
      <c r="H373" s="2">
        <v>8.03396300873566</v>
      </c>
      <c r="I373" s="2">
        <v>941.0</v>
      </c>
      <c r="J373" s="2">
        <v>895.0</v>
      </c>
      <c r="K373" s="2">
        <v>8.08271409797038</v>
      </c>
    </row>
    <row r="374">
      <c r="A374" s="2">
        <v>17.0</v>
      </c>
      <c r="B374" s="2" t="s">
        <v>73</v>
      </c>
      <c r="C374" s="2" t="s">
        <v>144</v>
      </c>
      <c r="D374" s="2" t="s">
        <v>145</v>
      </c>
      <c r="E374" s="2">
        <v>-48.0</v>
      </c>
      <c r="F374" s="2">
        <v>23.6645740239536</v>
      </c>
      <c r="G374" s="2">
        <v>22.8838431370623</v>
      </c>
      <c r="H374" s="2">
        <v>8.21234819586736</v>
      </c>
      <c r="I374" s="2">
        <v>766.0</v>
      </c>
      <c r="J374" s="2">
        <v>718.0</v>
      </c>
      <c r="K374" s="2">
        <v>8.26498375309606</v>
      </c>
    </row>
    <row r="375">
      <c r="A375" s="2">
        <v>17.0</v>
      </c>
      <c r="B375" s="2" t="s">
        <v>16</v>
      </c>
      <c r="C375" s="2" t="s">
        <v>144</v>
      </c>
      <c r="D375" s="2" t="s">
        <v>145</v>
      </c>
      <c r="E375" s="2">
        <v>-47.0</v>
      </c>
      <c r="F375" s="2">
        <v>24.4632272429151</v>
      </c>
      <c r="G375" s="2">
        <v>23.6949024488307</v>
      </c>
      <c r="H375" s="2">
        <v>8.14775704664457</v>
      </c>
      <c r="I375" s="2">
        <v>827.0</v>
      </c>
      <c r="J375" s="2">
        <v>780.0</v>
      </c>
      <c r="K375" s="2">
        <v>8.19896680604612</v>
      </c>
    </row>
    <row r="376">
      <c r="A376" s="2">
        <v>17.0</v>
      </c>
      <c r="B376" s="2" t="s">
        <v>29</v>
      </c>
      <c r="C376" s="2" t="s">
        <v>144</v>
      </c>
      <c r="D376" s="2" t="s">
        <v>145</v>
      </c>
      <c r="E376" s="2">
        <v>-42.0</v>
      </c>
      <c r="F376" s="2">
        <v>23.4271270664226</v>
      </c>
      <c r="G376" s="2">
        <v>22.7543889542737</v>
      </c>
      <c r="H376" s="2">
        <v>7.63072169296293</v>
      </c>
      <c r="I376" s="2">
        <v>811.0</v>
      </c>
      <c r="J376" s="2">
        <v>769.0</v>
      </c>
      <c r="K376" s="2">
        <v>7.67129013722159</v>
      </c>
    </row>
    <row r="377">
      <c r="A377" s="2">
        <v>17.0</v>
      </c>
      <c r="B377" s="2" t="s">
        <v>70</v>
      </c>
      <c r="C377" s="2" t="s">
        <v>144</v>
      </c>
      <c r="D377" s="2" t="s">
        <v>145</v>
      </c>
      <c r="E377" s="2">
        <v>-45.0</v>
      </c>
      <c r="F377" s="2">
        <v>22.3109229007738</v>
      </c>
      <c r="G377" s="2">
        <v>21.5879293602682</v>
      </c>
      <c r="H377" s="2">
        <v>7.90699934992405</v>
      </c>
      <c r="I377" s="2">
        <v>706.0</v>
      </c>
      <c r="J377" s="2">
        <v>661.0</v>
      </c>
      <c r="K377" s="2">
        <v>7.9530860924205</v>
      </c>
    </row>
    <row r="378">
      <c r="A378" s="2">
        <v>17.0</v>
      </c>
      <c r="B378" s="2" t="s">
        <v>51</v>
      </c>
      <c r="C378" s="2" t="s">
        <v>144</v>
      </c>
      <c r="D378" s="2" t="s">
        <v>145</v>
      </c>
      <c r="E378" s="2">
        <v>-48.0</v>
      </c>
      <c r="F378" s="2">
        <v>26.3091202145662</v>
      </c>
      <c r="G378" s="2">
        <v>25.528034091567</v>
      </c>
      <c r="H378" s="2">
        <v>8.21418978583445</v>
      </c>
      <c r="I378" s="2">
        <v>946.0</v>
      </c>
      <c r="J378" s="2">
        <v>898.0</v>
      </c>
      <c r="K378" s="2">
        <v>8.26686631865523</v>
      </c>
    </row>
    <row r="379">
      <c r="A379" s="2">
        <v>17.0</v>
      </c>
      <c r="B379" s="2" t="s">
        <v>32</v>
      </c>
      <c r="C379" s="2" t="s">
        <v>144</v>
      </c>
      <c r="D379" s="2" t="s">
        <v>145</v>
      </c>
      <c r="E379" s="2">
        <v>-45.0</v>
      </c>
      <c r="F379" s="2">
        <v>22.8515460031792</v>
      </c>
      <c r="G379" s="2">
        <v>22.1237380128346</v>
      </c>
      <c r="H379" s="2">
        <v>7.93293537553495</v>
      </c>
      <c r="I379" s="2">
        <v>740.0</v>
      </c>
      <c r="J379" s="2">
        <v>695.0</v>
      </c>
      <c r="K379" s="2">
        <v>7.97955970621447</v>
      </c>
    </row>
    <row r="380">
      <c r="A380" s="2">
        <v>17.0</v>
      </c>
      <c r="B380" s="2" t="s">
        <v>53</v>
      </c>
      <c r="C380" s="2" t="s">
        <v>144</v>
      </c>
      <c r="D380" s="2" t="s">
        <v>145</v>
      </c>
      <c r="E380" s="2">
        <v>-43.0</v>
      </c>
      <c r="F380" s="2">
        <v>27.8880724057528</v>
      </c>
      <c r="G380" s="2">
        <v>27.1841794859267</v>
      </c>
      <c r="H380" s="2">
        <v>7.80320663730515</v>
      </c>
      <c r="I380" s="2">
        <v>1096.0</v>
      </c>
      <c r="J380" s="2">
        <v>1053.0</v>
      </c>
      <c r="K380" s="2">
        <v>7.84717592486592</v>
      </c>
    </row>
    <row r="381">
      <c r="A381" s="2">
        <v>17.0</v>
      </c>
      <c r="B381" s="2" t="s">
        <v>123</v>
      </c>
      <c r="C381" s="2" t="s">
        <v>144</v>
      </c>
      <c r="D381" s="2" t="s">
        <v>145</v>
      </c>
      <c r="E381" s="2">
        <v>-43.0</v>
      </c>
      <c r="F381" s="2">
        <v>26.9219031843711</v>
      </c>
      <c r="G381" s="2">
        <v>26.2224564654911</v>
      </c>
      <c r="H381" s="2">
        <v>7.77883672147543</v>
      </c>
      <c r="I381" s="2">
        <v>1033.0</v>
      </c>
      <c r="J381" s="2">
        <v>990.0</v>
      </c>
      <c r="K381" s="2">
        <v>7.8223166407357</v>
      </c>
    </row>
    <row r="382">
      <c r="A382" s="2">
        <v>17.0</v>
      </c>
      <c r="B382" s="2" t="s">
        <v>28</v>
      </c>
      <c r="C382" s="2" t="s">
        <v>144</v>
      </c>
      <c r="D382" s="2" t="s">
        <v>145</v>
      </c>
      <c r="E382" s="2">
        <v>-48.0</v>
      </c>
      <c r="F382" s="2">
        <v>25.0</v>
      </c>
      <c r="G382" s="2">
        <v>24.2063198383895</v>
      </c>
      <c r="H382" s="2">
        <v>8.27919875513054</v>
      </c>
      <c r="I382" s="2">
        <v>850.0</v>
      </c>
      <c r="J382" s="2">
        <v>802.0</v>
      </c>
      <c r="K382" s="2">
        <v>8.33333333333333</v>
      </c>
    </row>
    <row r="383">
      <c r="A383" s="2">
        <v>16.0</v>
      </c>
      <c r="B383" s="2" t="s">
        <v>29</v>
      </c>
      <c r="C383" s="2" t="s">
        <v>142</v>
      </c>
      <c r="D383" s="2" t="s">
        <v>145</v>
      </c>
      <c r="E383" s="2">
        <v>-72.0</v>
      </c>
      <c r="F383" s="2">
        <v>24.5707834209116</v>
      </c>
      <c r="G383" s="2">
        <v>23.4271270664226</v>
      </c>
      <c r="H383" s="2">
        <v>7.67129013722159</v>
      </c>
      <c r="I383" s="2">
        <v>883.0</v>
      </c>
      <c r="J383" s="2">
        <v>811.0</v>
      </c>
      <c r="K383" s="2">
        <v>7.7248360790175</v>
      </c>
    </row>
    <row r="384">
      <c r="A384" s="2">
        <v>16.0</v>
      </c>
      <c r="B384" s="2" t="s">
        <v>160</v>
      </c>
      <c r="C384" s="2" t="s">
        <v>142</v>
      </c>
      <c r="D384" s="2" t="s">
        <v>145</v>
      </c>
      <c r="E384" s="2">
        <v>-80.0</v>
      </c>
      <c r="F384" s="2">
        <v>26.3400607005702</v>
      </c>
      <c r="G384" s="2">
        <v>25.0586980276999</v>
      </c>
      <c r="H384" s="2">
        <v>8.11241241710975</v>
      </c>
      <c r="I384" s="2">
        <v>957.0</v>
      </c>
      <c r="J384" s="2">
        <v>877.0</v>
      </c>
      <c r="K384" s="2">
        <v>8.17735264101773</v>
      </c>
    </row>
    <row r="385">
      <c r="A385" s="2">
        <v>16.0</v>
      </c>
      <c r="B385" s="2" t="s">
        <v>70</v>
      </c>
      <c r="C385" s="2" t="s">
        <v>142</v>
      </c>
      <c r="D385" s="2" t="s">
        <v>145</v>
      </c>
      <c r="E385" s="2">
        <v>-77.0</v>
      </c>
      <c r="F385" s="2">
        <v>23.5415992720876</v>
      </c>
      <c r="G385" s="2">
        <v>22.3109229007738</v>
      </c>
      <c r="H385" s="2">
        <v>7.9530860924205</v>
      </c>
      <c r="I385" s="2">
        <v>783.0</v>
      </c>
      <c r="J385" s="2">
        <v>706.0</v>
      </c>
      <c r="K385" s="2">
        <v>8.01376469573108</v>
      </c>
    </row>
    <row r="386">
      <c r="A386" s="2">
        <v>16.0</v>
      </c>
      <c r="B386" s="2" t="s">
        <v>77</v>
      </c>
      <c r="C386" s="2" t="s">
        <v>144</v>
      </c>
      <c r="D386" s="2" t="s">
        <v>143</v>
      </c>
      <c r="E386" s="2">
        <v>88.0</v>
      </c>
      <c r="F386" s="2">
        <v>23.7935088418629</v>
      </c>
      <c r="G386" s="2">
        <v>25.0031240854725</v>
      </c>
      <c r="H386" s="2">
        <v>7.885869363188</v>
      </c>
      <c r="I386" s="2">
        <v>808.0</v>
      </c>
      <c r="J386" s="2">
        <v>896.0</v>
      </c>
      <c r="K386" s="2">
        <v>7.94480024192959</v>
      </c>
    </row>
    <row r="387">
      <c r="A387" s="2">
        <v>16.0</v>
      </c>
      <c r="B387" s="2" t="s">
        <v>55</v>
      </c>
      <c r="C387" s="2" t="s">
        <v>144</v>
      </c>
      <c r="D387" s="2" t="s">
        <v>143</v>
      </c>
      <c r="E387" s="2">
        <v>90.0</v>
      </c>
      <c r="F387" s="2">
        <v>26.2333416264333</v>
      </c>
      <c r="G387" s="2">
        <v>27.4651406403653</v>
      </c>
      <c r="H387" s="2">
        <v>7.95665197899064</v>
      </c>
      <c r="I387" s="2">
        <v>966.0</v>
      </c>
      <c r="J387" s="2">
        <v>1056.0</v>
      </c>
      <c r="K387" s="2">
        <v>8.0174241246035</v>
      </c>
    </row>
    <row r="388">
      <c r="A388" s="2">
        <v>16.0</v>
      </c>
      <c r="B388" s="2" t="s">
        <v>91</v>
      </c>
      <c r="C388" s="2" t="s">
        <v>144</v>
      </c>
      <c r="D388" s="2" t="s">
        <v>143</v>
      </c>
      <c r="E388" s="2">
        <v>90.0</v>
      </c>
      <c r="F388" s="2">
        <v>22.1783614060891</v>
      </c>
      <c r="G388" s="2">
        <v>23.4180105531786</v>
      </c>
      <c r="H388" s="2">
        <v>7.98153901135703</v>
      </c>
      <c r="I388" s="2">
        <v>688.0</v>
      </c>
      <c r="J388" s="2">
        <v>778.0</v>
      </c>
      <c r="K388" s="2">
        <v>8.0429663326838</v>
      </c>
    </row>
    <row r="389">
      <c r="A389" s="2">
        <v>16.0</v>
      </c>
      <c r="B389" s="2" t="s">
        <v>85</v>
      </c>
      <c r="C389" s="2" t="s">
        <v>144</v>
      </c>
      <c r="D389" s="2" t="s">
        <v>143</v>
      </c>
      <c r="E389" s="2">
        <v>95.0</v>
      </c>
      <c r="F389" s="2">
        <v>22.9329250660733</v>
      </c>
      <c r="G389" s="2">
        <v>24.2265963570902</v>
      </c>
      <c r="H389" s="2">
        <v>8.15059985686515</v>
      </c>
      <c r="I389" s="2">
        <v>721.0</v>
      </c>
      <c r="J389" s="2">
        <v>816.0</v>
      </c>
      <c r="K389" s="2">
        <v>8.21658672242448</v>
      </c>
    </row>
    <row r="390">
      <c r="A390" s="2">
        <v>16.0</v>
      </c>
      <c r="B390" s="2" t="s">
        <v>18</v>
      </c>
      <c r="C390" s="2" t="s">
        <v>144</v>
      </c>
      <c r="D390" s="2" t="s">
        <v>143</v>
      </c>
      <c r="E390" s="2">
        <v>81.0</v>
      </c>
      <c r="F390" s="2">
        <v>27.3816035011322</v>
      </c>
      <c r="G390" s="2">
        <v>28.496632241835</v>
      </c>
      <c r="H390" s="2">
        <v>7.57614203127592</v>
      </c>
      <c r="I390" s="2">
        <v>1084.0</v>
      </c>
      <c r="J390" s="2">
        <v>1165.0</v>
      </c>
      <c r="K390" s="2">
        <v>7.62739294950137</v>
      </c>
    </row>
    <row r="391">
      <c r="A391" s="2">
        <v>16.0</v>
      </c>
      <c r="B391" s="2" t="s">
        <v>53</v>
      </c>
      <c r="C391" s="2" t="s">
        <v>144</v>
      </c>
      <c r="D391" s="2" t="s">
        <v>143</v>
      </c>
      <c r="E391" s="2">
        <v>87.0</v>
      </c>
      <c r="F391" s="2">
        <v>26.6904944617561</v>
      </c>
      <c r="G391" s="2">
        <v>27.8880724057528</v>
      </c>
      <c r="H391" s="2">
        <v>7.84717592486592</v>
      </c>
      <c r="I391" s="2">
        <v>1009.0</v>
      </c>
      <c r="J391" s="2">
        <v>1096.0</v>
      </c>
      <c r="K391" s="2">
        <v>7.90511402814812</v>
      </c>
    </row>
    <row r="392">
      <c r="A392" s="2">
        <v>16.0</v>
      </c>
      <c r="B392" s="2" t="s">
        <v>123</v>
      </c>
      <c r="C392" s="2" t="s">
        <v>144</v>
      </c>
      <c r="D392" s="2" t="s">
        <v>143</v>
      </c>
      <c r="E392" s="2">
        <v>87.0</v>
      </c>
      <c r="F392" s="2">
        <v>25.7320254762032</v>
      </c>
      <c r="G392" s="2">
        <v>26.9219031843711</v>
      </c>
      <c r="H392" s="2">
        <v>7.8223166407357</v>
      </c>
      <c r="I392" s="2">
        <v>946.0</v>
      </c>
      <c r="J392" s="2">
        <v>1033.0</v>
      </c>
      <c r="K392" s="2">
        <v>7.8796220101156</v>
      </c>
    </row>
    <row r="393">
      <c r="A393" s="2">
        <v>16.0</v>
      </c>
      <c r="B393" s="2" t="s">
        <v>113</v>
      </c>
      <c r="C393" s="2" t="s">
        <v>144</v>
      </c>
      <c r="D393" s="2" t="s">
        <v>143</v>
      </c>
      <c r="E393" s="2">
        <v>84.0</v>
      </c>
      <c r="F393" s="2">
        <v>21.9495964370715</v>
      </c>
      <c r="G393" s="2">
        <v>23.1081498826078</v>
      </c>
      <c r="H393" s="2">
        <v>7.7203096029084</v>
      </c>
      <c r="I393" s="2">
        <v>700.0</v>
      </c>
      <c r="J393" s="2">
        <v>784.0</v>
      </c>
      <c r="K393" s="2">
        <v>7.77505995218702</v>
      </c>
    </row>
    <row r="394">
      <c r="A394" s="2">
        <v>16.0</v>
      </c>
      <c r="B394" s="2" t="s">
        <v>64</v>
      </c>
      <c r="C394" s="2" t="s">
        <v>144</v>
      </c>
      <c r="D394" s="2" t="s">
        <v>143</v>
      </c>
      <c r="E394" s="2">
        <v>81.0</v>
      </c>
      <c r="F394" s="2">
        <v>28.9210617040051</v>
      </c>
      <c r="G394" s="2">
        <v>30.0382634896457</v>
      </c>
      <c r="H394" s="2">
        <v>7.58340898749225</v>
      </c>
      <c r="I394" s="2">
        <v>1188.0</v>
      </c>
      <c r="J394" s="2">
        <v>1269.0</v>
      </c>
      <c r="K394" s="2">
        <v>7.63483321335595</v>
      </c>
    </row>
    <row r="395">
      <c r="A395" s="2">
        <v>16.0</v>
      </c>
      <c r="B395" s="2" t="s">
        <v>159</v>
      </c>
      <c r="C395" s="2" t="s">
        <v>144</v>
      </c>
      <c r="D395" s="2" t="s">
        <v>143</v>
      </c>
      <c r="E395" s="2">
        <v>98.0</v>
      </c>
      <c r="F395" s="2">
        <v>25.0</v>
      </c>
      <c r="G395" s="2">
        <v>26.3306458214885</v>
      </c>
      <c r="H395" s="2">
        <v>8.26417500380823</v>
      </c>
      <c r="I395" s="2">
        <v>850.0</v>
      </c>
      <c r="J395" s="2">
        <v>948.0</v>
      </c>
      <c r="K395" s="2">
        <v>8.33333333333333</v>
      </c>
    </row>
    <row r="396">
      <c r="A396" s="2">
        <v>15.0</v>
      </c>
      <c r="B396" s="2" t="s">
        <v>43</v>
      </c>
      <c r="C396" s="2" t="s">
        <v>142</v>
      </c>
      <c r="D396" s="2" t="s">
        <v>143</v>
      </c>
      <c r="E396" s="2">
        <v>85.0</v>
      </c>
      <c r="F396" s="2">
        <v>26.0132298297948</v>
      </c>
      <c r="G396" s="2">
        <v>27.1802208195602</v>
      </c>
      <c r="H396" s="2">
        <v>8.04698297201912</v>
      </c>
      <c r="I396" s="2">
        <v>942.0</v>
      </c>
      <c r="J396" s="2">
        <v>1027.0</v>
      </c>
      <c r="K396" s="2">
        <v>8.10257400880896</v>
      </c>
    </row>
    <row r="397">
      <c r="A397" s="2">
        <v>15.0</v>
      </c>
      <c r="B397" s="2" t="s">
        <v>113</v>
      </c>
      <c r="C397" s="2" t="s">
        <v>142</v>
      </c>
      <c r="D397" s="2" t="s">
        <v>143</v>
      </c>
      <c r="E397" s="2">
        <v>80.0</v>
      </c>
      <c r="F397" s="2">
        <v>20.8612615716246</v>
      </c>
      <c r="G397" s="2">
        <v>21.9495964370715</v>
      </c>
      <c r="H397" s="2">
        <v>7.77505995218702</v>
      </c>
      <c r="I397" s="2">
        <v>620.0</v>
      </c>
      <c r="J397" s="2">
        <v>700.0</v>
      </c>
      <c r="K397" s="2">
        <v>7.82436336907724</v>
      </c>
    </row>
    <row r="398">
      <c r="A398" s="2">
        <v>15.0</v>
      </c>
      <c r="B398" s="2" t="s">
        <v>16</v>
      </c>
      <c r="C398" s="2" t="s">
        <v>142</v>
      </c>
      <c r="D398" s="2" t="s">
        <v>143</v>
      </c>
      <c r="E398" s="2">
        <v>88.0</v>
      </c>
      <c r="F398" s="2">
        <v>23.2510214710014</v>
      </c>
      <c r="G398" s="2">
        <v>24.4632272429151</v>
      </c>
      <c r="H398" s="2">
        <v>8.19896680604612</v>
      </c>
      <c r="I398" s="2">
        <v>739.0</v>
      </c>
      <c r="J398" s="2">
        <v>827.0</v>
      </c>
      <c r="K398" s="2">
        <v>8.25825962086341</v>
      </c>
    </row>
    <row r="399">
      <c r="A399" s="2">
        <v>15.0</v>
      </c>
      <c r="B399" s="2" t="s">
        <v>53</v>
      </c>
      <c r="C399" s="2" t="s">
        <v>144</v>
      </c>
      <c r="D399" s="2" t="s">
        <v>145</v>
      </c>
      <c r="E399" s="2">
        <v>-71.0</v>
      </c>
      <c r="F399" s="2">
        <v>27.8160908447736</v>
      </c>
      <c r="G399" s="2">
        <v>26.6904944617561</v>
      </c>
      <c r="H399" s="2">
        <v>7.90511402814812</v>
      </c>
      <c r="I399" s="2">
        <v>1080.0</v>
      </c>
      <c r="J399" s="2">
        <v>1009.0</v>
      </c>
      <c r="K399" s="2">
        <v>7.95737182468942</v>
      </c>
    </row>
    <row r="400">
      <c r="A400" s="2">
        <v>15.0</v>
      </c>
      <c r="B400" s="2" t="s">
        <v>29</v>
      </c>
      <c r="C400" s="2" t="s">
        <v>144</v>
      </c>
      <c r="D400" s="2" t="s">
        <v>145</v>
      </c>
      <c r="E400" s="2">
        <v>-68.0</v>
      </c>
      <c r="F400" s="2">
        <v>25.6449038872144</v>
      </c>
      <c r="G400" s="2">
        <v>24.5707834209116</v>
      </c>
      <c r="H400" s="2">
        <v>7.7248360790175</v>
      </c>
      <c r="I400" s="2">
        <v>951.0</v>
      </c>
      <c r="J400" s="2">
        <v>883.0</v>
      </c>
      <c r="K400" s="2">
        <v>7.77302404921478</v>
      </c>
    </row>
    <row r="401">
      <c r="A401" s="2">
        <v>15.0</v>
      </c>
      <c r="B401" s="2" t="s">
        <v>74</v>
      </c>
      <c r="C401" s="2" t="s">
        <v>144</v>
      </c>
      <c r="D401" s="2" t="s">
        <v>145</v>
      </c>
      <c r="E401" s="2">
        <v>-78.0</v>
      </c>
      <c r="F401" s="2">
        <v>25.0</v>
      </c>
      <c r="G401" s="2">
        <v>23.7656835270147</v>
      </c>
      <c r="H401" s="2">
        <v>8.27220733811831</v>
      </c>
      <c r="I401" s="2">
        <v>850.0</v>
      </c>
      <c r="J401" s="2">
        <v>772.0</v>
      </c>
      <c r="K401" s="2">
        <v>8.33333333333333</v>
      </c>
    </row>
    <row r="402">
      <c r="A402" s="2">
        <v>15.0</v>
      </c>
      <c r="B402" s="2" t="s">
        <v>18</v>
      </c>
      <c r="C402" s="2" t="s">
        <v>144</v>
      </c>
      <c r="D402" s="2" t="s">
        <v>145</v>
      </c>
      <c r="E402" s="2">
        <v>-66.0</v>
      </c>
      <c r="F402" s="2">
        <v>28.4284232872215</v>
      </c>
      <c r="G402" s="2">
        <v>27.3816035011322</v>
      </c>
      <c r="H402" s="2">
        <v>7.62739294950137</v>
      </c>
      <c r="I402" s="2">
        <v>1150.0</v>
      </c>
      <c r="J402" s="2">
        <v>1084.0</v>
      </c>
      <c r="K402" s="2">
        <v>7.67345659859851</v>
      </c>
    </row>
    <row r="403">
      <c r="A403" s="2">
        <v>15.0</v>
      </c>
      <c r="B403" s="2" t="s">
        <v>70</v>
      </c>
      <c r="C403" s="2" t="s">
        <v>144</v>
      </c>
      <c r="D403" s="2" t="s">
        <v>145</v>
      </c>
      <c r="E403" s="2">
        <v>-74.0</v>
      </c>
      <c r="F403" s="2">
        <v>24.6988277002953</v>
      </c>
      <c r="G403" s="2">
        <v>23.5415992720876</v>
      </c>
      <c r="H403" s="2">
        <v>8.01376469573108</v>
      </c>
      <c r="I403" s="2">
        <v>857.0</v>
      </c>
      <c r="J403" s="2">
        <v>783.0</v>
      </c>
      <c r="K403" s="2">
        <v>8.0685647909121</v>
      </c>
    </row>
    <row r="404">
      <c r="A404" s="2">
        <v>15.0</v>
      </c>
      <c r="B404" s="2" t="s">
        <v>77</v>
      </c>
      <c r="C404" s="2" t="s">
        <v>144</v>
      </c>
      <c r="D404" s="2" t="s">
        <v>145</v>
      </c>
      <c r="E404" s="2">
        <v>-71.0</v>
      </c>
      <c r="F404" s="2">
        <v>24.9306061566519</v>
      </c>
      <c r="G404" s="2">
        <v>23.7935088418629</v>
      </c>
      <c r="H404" s="2">
        <v>7.94480024192959</v>
      </c>
      <c r="I404" s="2">
        <v>879.0</v>
      </c>
      <c r="J404" s="2">
        <v>808.0</v>
      </c>
      <c r="K404" s="2">
        <v>7.99797875311474</v>
      </c>
    </row>
    <row r="405">
      <c r="A405" s="2">
        <v>15.0</v>
      </c>
      <c r="B405" s="2" t="s">
        <v>31</v>
      </c>
      <c r="C405" s="2" t="s">
        <v>144</v>
      </c>
      <c r="D405" s="2" t="s">
        <v>145</v>
      </c>
      <c r="E405" s="2">
        <v>-72.0</v>
      </c>
      <c r="F405" s="2">
        <v>26.0284048484399</v>
      </c>
      <c r="G405" s="2">
        <v>24.8859259133118</v>
      </c>
      <c r="H405" s="2">
        <v>7.96329851101732</v>
      </c>
      <c r="I405" s="2">
        <v>952.0</v>
      </c>
      <c r="J405" s="2">
        <v>880.0</v>
      </c>
      <c r="K405" s="2">
        <v>8.01690927615942</v>
      </c>
    </row>
    <row r="406">
      <c r="A406" s="2">
        <v>15.0</v>
      </c>
      <c r="B406" s="2" t="s">
        <v>64</v>
      </c>
      <c r="C406" s="2" t="s">
        <v>144</v>
      </c>
      <c r="D406" s="2" t="s">
        <v>145</v>
      </c>
      <c r="E406" s="2">
        <v>-66.0</v>
      </c>
      <c r="F406" s="2">
        <v>29.9699531192774</v>
      </c>
      <c r="G406" s="2">
        <v>28.9210617040051</v>
      </c>
      <c r="H406" s="2">
        <v>7.63483321335595</v>
      </c>
      <c r="I406" s="2">
        <v>1254.0</v>
      </c>
      <c r="J406" s="2">
        <v>1188.0</v>
      </c>
      <c r="K406" s="2">
        <v>7.68105722550228</v>
      </c>
    </row>
    <row r="407">
      <c r="A407" s="2">
        <v>15.0</v>
      </c>
      <c r="B407" s="2" t="s">
        <v>149</v>
      </c>
      <c r="C407" s="2" t="s">
        <v>144</v>
      </c>
      <c r="D407" s="2" t="s">
        <v>145</v>
      </c>
      <c r="E407" s="2">
        <v>-75.0</v>
      </c>
      <c r="F407" s="2">
        <v>27.5276112947623</v>
      </c>
      <c r="G407" s="2">
        <v>26.3320601745305</v>
      </c>
      <c r="H407" s="2">
        <v>8.14333545564412</v>
      </c>
      <c r="I407" s="2">
        <v>1035.0</v>
      </c>
      <c r="J407" s="2">
        <v>960.0</v>
      </c>
      <c r="K407" s="2">
        <v>8.20125737966456</v>
      </c>
    </row>
    <row r="408">
      <c r="A408" s="2">
        <v>15.0</v>
      </c>
      <c r="B408" s="2" t="s">
        <v>111</v>
      </c>
      <c r="C408" s="2" t="s">
        <v>144</v>
      </c>
      <c r="D408" s="2" t="s">
        <v>145</v>
      </c>
      <c r="E408" s="2">
        <v>-74.0</v>
      </c>
      <c r="F408" s="2">
        <v>27.140005608517</v>
      </c>
      <c r="G408" s="2">
        <v>25.9624656273455</v>
      </c>
      <c r="H408" s="2">
        <v>8.08271409797038</v>
      </c>
      <c r="I408" s="2">
        <v>1015.0</v>
      </c>
      <c r="J408" s="2">
        <v>941.0</v>
      </c>
      <c r="K408" s="2">
        <v>8.13916312550845</v>
      </c>
    </row>
    <row r="409">
      <c r="A409" s="2">
        <v>15.0</v>
      </c>
      <c r="B409" s="2" t="s">
        <v>39</v>
      </c>
      <c r="C409" s="2" t="s">
        <v>144</v>
      </c>
      <c r="D409" s="2" t="s">
        <v>145</v>
      </c>
      <c r="E409" s="2">
        <v>-77.0</v>
      </c>
      <c r="F409" s="2">
        <v>24.2766790923824</v>
      </c>
      <c r="G409" s="2">
        <v>23.0574114559316</v>
      </c>
      <c r="H409" s="2">
        <v>8.22243445482931</v>
      </c>
      <c r="I409" s="2">
        <v>806.0</v>
      </c>
      <c r="J409" s="2">
        <v>729.0</v>
      </c>
      <c r="K409" s="2">
        <v>8.2823111313004</v>
      </c>
    </row>
    <row r="410">
      <c r="A410" s="2">
        <v>14.0</v>
      </c>
      <c r="B410" s="2" t="s">
        <v>77</v>
      </c>
      <c r="C410" s="2" t="s">
        <v>142</v>
      </c>
      <c r="D410" s="2" t="s">
        <v>145</v>
      </c>
      <c r="E410" s="2">
        <v>-79.0</v>
      </c>
      <c r="F410" s="2">
        <v>26.179694879805</v>
      </c>
      <c r="G410" s="2">
        <v>24.9306061566519</v>
      </c>
      <c r="H410" s="2">
        <v>7.99797875311474</v>
      </c>
      <c r="I410" s="2">
        <v>958.0</v>
      </c>
      <c r="J410" s="2">
        <v>879.0</v>
      </c>
      <c r="K410" s="2">
        <v>8.05909054243923</v>
      </c>
    </row>
    <row r="411">
      <c r="A411" s="2">
        <v>14.0</v>
      </c>
      <c r="B411" s="2" t="s">
        <v>73</v>
      </c>
      <c r="C411" s="2" t="s">
        <v>142</v>
      </c>
      <c r="D411" s="2" t="s">
        <v>145</v>
      </c>
      <c r="E411" s="2">
        <v>-84.0</v>
      </c>
      <c r="F411" s="2">
        <v>25.0</v>
      </c>
      <c r="G411" s="2">
        <v>23.6645740239536</v>
      </c>
      <c r="H411" s="2">
        <v>8.26498375309606</v>
      </c>
      <c r="I411" s="2">
        <v>850.0</v>
      </c>
      <c r="J411" s="2">
        <v>766.0</v>
      </c>
      <c r="K411" s="2">
        <v>8.33333333333333</v>
      </c>
    </row>
    <row r="412">
      <c r="A412" s="2">
        <v>14.0</v>
      </c>
      <c r="B412" s="2" t="s">
        <v>32</v>
      </c>
      <c r="C412" s="2" t="s">
        <v>142</v>
      </c>
      <c r="D412" s="2" t="s">
        <v>145</v>
      </c>
      <c r="E412" s="2">
        <v>-78.0</v>
      </c>
      <c r="F412" s="2">
        <v>24.0947907291034</v>
      </c>
      <c r="G412" s="2">
        <v>22.8515460031792</v>
      </c>
      <c r="H412" s="2">
        <v>7.97955970621447</v>
      </c>
      <c r="I412" s="2">
        <v>818.0</v>
      </c>
      <c r="J412" s="2">
        <v>740.0</v>
      </c>
      <c r="K412" s="2">
        <v>8.04018958894459</v>
      </c>
    </row>
    <row r="413">
      <c r="A413" s="2">
        <v>14.0</v>
      </c>
      <c r="B413" s="2" t="s">
        <v>71</v>
      </c>
      <c r="C413" s="2" t="s">
        <v>144</v>
      </c>
      <c r="D413" s="2" t="s">
        <v>143</v>
      </c>
      <c r="E413" s="2">
        <v>98.0</v>
      </c>
      <c r="F413" s="2">
        <v>25.0</v>
      </c>
      <c r="G413" s="2">
        <v>26.3354259760463</v>
      </c>
      <c r="H413" s="2">
        <v>8.26498375309606</v>
      </c>
      <c r="I413" s="2">
        <v>850.0</v>
      </c>
      <c r="J413" s="2">
        <v>948.0</v>
      </c>
      <c r="K413" s="2">
        <v>8.33333333333333</v>
      </c>
    </row>
    <row r="414">
      <c r="A414" s="2">
        <v>14.0</v>
      </c>
      <c r="B414" s="2" t="s">
        <v>113</v>
      </c>
      <c r="C414" s="2" t="s">
        <v>144</v>
      </c>
      <c r="D414" s="2" t="s">
        <v>143</v>
      </c>
      <c r="E414" s="2">
        <v>87.0</v>
      </c>
      <c r="F414" s="2">
        <v>19.6666863214501</v>
      </c>
      <c r="G414" s="2">
        <v>20.8612615716246</v>
      </c>
      <c r="H414" s="2">
        <v>7.82436336907724</v>
      </c>
      <c r="I414" s="2">
        <v>533.0</v>
      </c>
      <c r="J414" s="2">
        <v>620.0</v>
      </c>
      <c r="K414" s="2">
        <v>7.88101974697611</v>
      </c>
    </row>
    <row r="415">
      <c r="A415" s="2">
        <v>14.0</v>
      </c>
      <c r="B415" s="2" t="s">
        <v>64</v>
      </c>
      <c r="C415" s="2" t="s">
        <v>144</v>
      </c>
      <c r="D415" s="2" t="s">
        <v>143</v>
      </c>
      <c r="E415" s="2">
        <v>83.0</v>
      </c>
      <c r="F415" s="2">
        <v>28.8194141314809</v>
      </c>
      <c r="G415" s="2">
        <v>29.9699531192774</v>
      </c>
      <c r="H415" s="2">
        <v>7.68105722550228</v>
      </c>
      <c r="I415" s="2">
        <v>1171.0</v>
      </c>
      <c r="J415" s="2">
        <v>1254.0</v>
      </c>
      <c r="K415" s="2">
        <v>7.73418018818436</v>
      </c>
    </row>
    <row r="416">
      <c r="A416" s="2">
        <v>14.0</v>
      </c>
      <c r="B416" s="2" t="s">
        <v>155</v>
      </c>
      <c r="C416" s="2" t="s">
        <v>144</v>
      </c>
      <c r="D416" s="2" t="s">
        <v>143</v>
      </c>
      <c r="E416" s="2">
        <v>97.0</v>
      </c>
      <c r="F416" s="2">
        <v>24.2894039611772</v>
      </c>
      <c r="G416" s="2">
        <v>25.6100913155594</v>
      </c>
      <c r="H416" s="2">
        <v>8.22006136384531</v>
      </c>
      <c r="I416" s="2">
        <v>806.0</v>
      </c>
      <c r="J416" s="2">
        <v>903.0</v>
      </c>
      <c r="K416" s="2">
        <v>8.28715979725711</v>
      </c>
    </row>
    <row r="417">
      <c r="A417" s="2">
        <v>14.0</v>
      </c>
      <c r="B417" s="2" t="s">
        <v>123</v>
      </c>
      <c r="C417" s="2" t="s">
        <v>144</v>
      </c>
      <c r="D417" s="2" t="s">
        <v>143</v>
      </c>
      <c r="E417" s="2">
        <v>88.0</v>
      </c>
      <c r="F417" s="2">
        <v>24.5202381094154</v>
      </c>
      <c r="G417" s="2">
        <v>25.7320254762032</v>
      </c>
      <c r="H417" s="2">
        <v>7.8796220101156</v>
      </c>
      <c r="I417" s="2">
        <v>858.0</v>
      </c>
      <c r="J417" s="2">
        <v>946.0</v>
      </c>
      <c r="K417" s="2">
        <v>7.93767547059205</v>
      </c>
    </row>
    <row r="418">
      <c r="A418" s="2">
        <v>14.0</v>
      </c>
      <c r="B418" s="2" t="s">
        <v>18</v>
      </c>
      <c r="C418" s="2" t="s">
        <v>144</v>
      </c>
      <c r="D418" s="2" t="s">
        <v>143</v>
      </c>
      <c r="E418" s="2">
        <v>83.0</v>
      </c>
      <c r="F418" s="2">
        <v>27.280195692261</v>
      </c>
      <c r="G418" s="2">
        <v>28.4284232872215</v>
      </c>
      <c r="H418" s="2">
        <v>7.67345659859851</v>
      </c>
      <c r="I418" s="2">
        <v>1067.0</v>
      </c>
      <c r="J418" s="2">
        <v>1150.0</v>
      </c>
      <c r="K418" s="2">
        <v>7.72639573224915</v>
      </c>
    </row>
    <row r="419">
      <c r="A419" s="2">
        <v>14.0</v>
      </c>
      <c r="B419" s="2" t="s">
        <v>111</v>
      </c>
      <c r="C419" s="2" t="s">
        <v>144</v>
      </c>
      <c r="D419" s="2" t="s">
        <v>143</v>
      </c>
      <c r="E419" s="2">
        <v>94.0</v>
      </c>
      <c r="F419" s="2">
        <v>25.8456428691416</v>
      </c>
      <c r="G419" s="2">
        <v>27.140005608517</v>
      </c>
      <c r="H419" s="2">
        <v>8.13916312550845</v>
      </c>
      <c r="I419" s="2">
        <v>921.0</v>
      </c>
      <c r="J419" s="2">
        <v>1015.0</v>
      </c>
      <c r="K419" s="2">
        <v>8.20404279507635</v>
      </c>
    </row>
    <row r="420">
      <c r="A420" s="2">
        <v>14.0</v>
      </c>
      <c r="B420" s="2" t="s">
        <v>149</v>
      </c>
      <c r="C420" s="2" t="s">
        <v>144</v>
      </c>
      <c r="D420" s="2" t="s">
        <v>143</v>
      </c>
      <c r="E420" s="2">
        <v>96.0</v>
      </c>
      <c r="F420" s="2">
        <v>26.2130677518111</v>
      </c>
      <c r="G420" s="2">
        <v>27.5276112947623</v>
      </c>
      <c r="H420" s="2">
        <v>8.20125737966456</v>
      </c>
      <c r="I420" s="2">
        <v>939.0</v>
      </c>
      <c r="J420" s="2">
        <v>1035.0</v>
      </c>
      <c r="K420" s="2">
        <v>8.26783615591169</v>
      </c>
    </row>
    <row r="421">
      <c r="A421" s="2">
        <v>14.0</v>
      </c>
      <c r="B421" s="2" t="s">
        <v>53</v>
      </c>
      <c r="C421" s="2" t="s">
        <v>144</v>
      </c>
      <c r="D421" s="2" t="s">
        <v>143</v>
      </c>
      <c r="E421" s="2">
        <v>90.0</v>
      </c>
      <c r="F421" s="2">
        <v>26.5798667692846</v>
      </c>
      <c r="G421" s="2">
        <v>27.8160908447736</v>
      </c>
      <c r="H421" s="2">
        <v>7.95737182468942</v>
      </c>
      <c r="I421" s="2">
        <v>990.0</v>
      </c>
      <c r="J421" s="2">
        <v>1080.0</v>
      </c>
      <c r="K421" s="2">
        <v>8.0174241246035</v>
      </c>
    </row>
    <row r="422">
      <c r="A422" s="2">
        <v>14.0</v>
      </c>
      <c r="B422" s="2" t="s">
        <v>29</v>
      </c>
      <c r="C422" s="2" t="s">
        <v>144</v>
      </c>
      <c r="D422" s="2" t="s">
        <v>143</v>
      </c>
      <c r="E422" s="2">
        <v>86.0</v>
      </c>
      <c r="F422" s="2">
        <v>24.466204250351</v>
      </c>
      <c r="G422" s="2">
        <v>25.6449038872144</v>
      </c>
      <c r="H422" s="2">
        <v>7.77302404921478</v>
      </c>
      <c r="I422" s="2">
        <v>865.0</v>
      </c>
      <c r="J422" s="2">
        <v>951.0</v>
      </c>
      <c r="K422" s="2">
        <v>7.8283997833444</v>
      </c>
    </row>
    <row r="423">
      <c r="A423" s="2">
        <v>13.0</v>
      </c>
      <c r="B423" s="2" t="s">
        <v>123</v>
      </c>
      <c r="C423" s="2" t="s">
        <v>142</v>
      </c>
      <c r="D423" s="2" t="s">
        <v>143</v>
      </c>
      <c r="E423" s="2">
        <v>50.0</v>
      </c>
      <c r="F423" s="2">
        <v>23.8566097677633</v>
      </c>
      <c r="G423" s="2">
        <v>24.5202381094154</v>
      </c>
      <c r="H423" s="2">
        <v>7.93767547059205</v>
      </c>
      <c r="I423" s="2">
        <v>808.0</v>
      </c>
      <c r="J423" s="2">
        <v>858.0</v>
      </c>
      <c r="K423" s="2">
        <v>7.98160795675347</v>
      </c>
    </row>
    <row r="424">
      <c r="A424" s="2">
        <v>13.0</v>
      </c>
      <c r="B424" s="2" t="s">
        <v>64</v>
      </c>
      <c r="C424" s="2" t="s">
        <v>142</v>
      </c>
      <c r="D424" s="2" t="s">
        <v>143</v>
      </c>
      <c r="E424" s="2">
        <v>47.0</v>
      </c>
      <c r="F424" s="2">
        <v>28.1897801010565</v>
      </c>
      <c r="G424" s="2">
        <v>28.8194141314809</v>
      </c>
      <c r="H424" s="2">
        <v>7.73418018818436</v>
      </c>
      <c r="I424" s="2">
        <v>1124.0</v>
      </c>
      <c r="J424" s="2">
        <v>1171.0</v>
      </c>
      <c r="K424" s="2">
        <v>7.77419558397872</v>
      </c>
    </row>
    <row r="425">
      <c r="A425" s="2">
        <v>13.0</v>
      </c>
      <c r="B425" s="2" t="s">
        <v>179</v>
      </c>
      <c r="C425" s="2" t="s">
        <v>142</v>
      </c>
      <c r="D425" s="2" t="s">
        <v>143</v>
      </c>
      <c r="E425" s="2">
        <v>50.0</v>
      </c>
      <c r="F425" s="2">
        <v>22.365059116769</v>
      </c>
      <c r="G425" s="2">
        <v>23.0323077285868</v>
      </c>
      <c r="H425" s="2">
        <v>7.95902509748532</v>
      </c>
      <c r="I425" s="2">
        <v>704.0</v>
      </c>
      <c r="J425" s="2">
        <v>754.0</v>
      </c>
      <c r="K425" s="2">
        <v>8.00337992241142</v>
      </c>
    </row>
    <row r="426">
      <c r="A426" s="2">
        <v>13.0</v>
      </c>
      <c r="B426" s="2" t="s">
        <v>18</v>
      </c>
      <c r="C426" s="2" t="s">
        <v>144</v>
      </c>
      <c r="D426" s="2" t="s">
        <v>145</v>
      </c>
      <c r="E426" s="2">
        <v>-39.0</v>
      </c>
      <c r="F426" s="2">
        <v>27.9085477085835</v>
      </c>
      <c r="G426" s="2">
        <v>27.280195692261</v>
      </c>
      <c r="H426" s="2">
        <v>7.72639573224915</v>
      </c>
      <c r="I426" s="2">
        <v>1106.0</v>
      </c>
      <c r="J426" s="2">
        <v>1067.0</v>
      </c>
      <c r="K426" s="2">
        <v>7.76626513303409</v>
      </c>
    </row>
    <row r="427">
      <c r="A427" s="2">
        <v>13.0</v>
      </c>
      <c r="B427" s="2" t="s">
        <v>32</v>
      </c>
      <c r="C427" s="2" t="s">
        <v>144</v>
      </c>
      <c r="D427" s="2" t="s">
        <v>145</v>
      </c>
      <c r="E427" s="2">
        <v>-42.0</v>
      </c>
      <c r="F427" s="2">
        <v>24.7758958419454</v>
      </c>
      <c r="G427" s="2">
        <v>24.0947907291034</v>
      </c>
      <c r="H427" s="2">
        <v>8.04018958894459</v>
      </c>
      <c r="I427" s="2">
        <v>860.0</v>
      </c>
      <c r="J427" s="2">
        <v>818.0</v>
      </c>
      <c r="K427" s="2">
        <v>8.08617006894835</v>
      </c>
    </row>
    <row r="428">
      <c r="A428" s="2">
        <v>13.0</v>
      </c>
      <c r="B428" s="2" t="s">
        <v>29</v>
      </c>
      <c r="C428" s="2" t="s">
        <v>144</v>
      </c>
      <c r="D428" s="2" t="s">
        <v>145</v>
      </c>
      <c r="E428" s="2">
        <v>-40.0</v>
      </c>
      <c r="F428" s="2">
        <v>25.1114626289814</v>
      </c>
      <c r="G428" s="2">
        <v>24.466204250351</v>
      </c>
      <c r="H428" s="2">
        <v>7.8283997833444</v>
      </c>
      <c r="I428" s="2">
        <v>905.0</v>
      </c>
      <c r="J428" s="2">
        <v>865.0</v>
      </c>
      <c r="K428" s="2">
        <v>7.87020458776124</v>
      </c>
    </row>
    <row r="429">
      <c r="A429" s="2">
        <v>13.0</v>
      </c>
      <c r="B429" s="2" t="s">
        <v>170</v>
      </c>
      <c r="C429" s="2" t="s">
        <v>144</v>
      </c>
      <c r="D429" s="2" t="s">
        <v>145</v>
      </c>
      <c r="E429" s="2">
        <v>-44.0</v>
      </c>
      <c r="F429" s="2">
        <v>25.0</v>
      </c>
      <c r="G429" s="2">
        <v>24.2766790923824</v>
      </c>
      <c r="H429" s="2">
        <v>8.2823111313004</v>
      </c>
      <c r="I429" s="2">
        <v>850.0</v>
      </c>
      <c r="J429" s="2">
        <v>806.0</v>
      </c>
      <c r="K429" s="2">
        <v>8.33333333333333</v>
      </c>
    </row>
    <row r="430">
      <c r="A430" s="2">
        <v>13.0</v>
      </c>
      <c r="B430" s="2" t="s">
        <v>113</v>
      </c>
      <c r="C430" s="2" t="s">
        <v>144</v>
      </c>
      <c r="D430" s="2" t="s">
        <v>145</v>
      </c>
      <c r="E430" s="2">
        <v>-41.0</v>
      </c>
      <c r="F430" s="2">
        <v>20.3207570655711</v>
      </c>
      <c r="G430" s="2">
        <v>19.6666863214501</v>
      </c>
      <c r="H430" s="2">
        <v>7.88101974697611</v>
      </c>
      <c r="I430" s="2">
        <v>574.0</v>
      </c>
      <c r="J430" s="2">
        <v>533.0</v>
      </c>
      <c r="K430" s="2">
        <v>7.92384202954174</v>
      </c>
    </row>
    <row r="431">
      <c r="A431" s="2">
        <v>13.0</v>
      </c>
      <c r="B431" s="2" t="s">
        <v>124</v>
      </c>
      <c r="C431" s="2" t="s">
        <v>144</v>
      </c>
      <c r="D431" s="2" t="s">
        <v>145</v>
      </c>
      <c r="E431" s="2">
        <v>-43.0</v>
      </c>
      <c r="F431" s="2">
        <v>23.3067723662919</v>
      </c>
      <c r="G431" s="2">
        <v>22.6028667711649</v>
      </c>
      <c r="H431" s="2">
        <v>8.17189744402872</v>
      </c>
      <c r="I431" s="2">
        <v>746.0</v>
      </c>
      <c r="J431" s="2">
        <v>703.0</v>
      </c>
      <c r="K431" s="2">
        <v>8.22058436837063</v>
      </c>
    </row>
    <row r="432">
      <c r="A432" s="2">
        <v>13.0</v>
      </c>
      <c r="B432" s="2" t="s">
        <v>177</v>
      </c>
      <c r="C432" s="2" t="s">
        <v>144</v>
      </c>
      <c r="D432" s="2" t="s">
        <v>145</v>
      </c>
      <c r="E432" s="2">
        <v>-44.0</v>
      </c>
      <c r="F432" s="2">
        <v>24.3133205523394</v>
      </c>
      <c r="G432" s="2">
        <v>23.5972000519387</v>
      </c>
      <c r="H432" s="2">
        <v>8.24154499475442</v>
      </c>
      <c r="I432" s="2">
        <v>808.0</v>
      </c>
      <c r="J432" s="2">
        <v>764.0</v>
      </c>
      <c r="K432" s="2">
        <v>8.29169785481571</v>
      </c>
    </row>
    <row r="433">
      <c r="A433" s="2">
        <v>13.0</v>
      </c>
      <c r="B433" s="2" t="s">
        <v>39</v>
      </c>
      <c r="C433" s="2" t="s">
        <v>144</v>
      </c>
      <c r="D433" s="2" t="s">
        <v>145</v>
      </c>
      <c r="E433" s="2">
        <v>-44.0</v>
      </c>
      <c r="F433" s="2">
        <v>25.0</v>
      </c>
      <c r="G433" s="2">
        <v>24.2766790923824</v>
      </c>
      <c r="H433" s="2">
        <v>8.2823111313004</v>
      </c>
      <c r="I433" s="2">
        <v>850.0</v>
      </c>
      <c r="J433" s="2">
        <v>806.0</v>
      </c>
      <c r="K433" s="2">
        <v>8.33333333333333</v>
      </c>
    </row>
    <row r="434">
      <c r="A434" s="2">
        <v>13.0</v>
      </c>
      <c r="B434" s="2" t="s">
        <v>172</v>
      </c>
      <c r="C434" s="2" t="s">
        <v>144</v>
      </c>
      <c r="D434" s="2" t="s">
        <v>145</v>
      </c>
      <c r="E434" s="2">
        <v>-43.0</v>
      </c>
      <c r="F434" s="2">
        <v>24.4914384939604</v>
      </c>
      <c r="G434" s="2">
        <v>23.7919543264064</v>
      </c>
      <c r="H434" s="2">
        <v>8.14653226540292</v>
      </c>
      <c r="I434" s="2">
        <v>830.0</v>
      </c>
      <c r="J434" s="2">
        <v>787.0</v>
      </c>
      <c r="K434" s="2">
        <v>8.19469131269845</v>
      </c>
    </row>
    <row r="435">
      <c r="A435" s="2">
        <v>13.0</v>
      </c>
      <c r="B435" s="2" t="s">
        <v>180</v>
      </c>
      <c r="C435" s="2" t="s">
        <v>144</v>
      </c>
      <c r="D435" s="2" t="s">
        <v>145</v>
      </c>
      <c r="E435" s="2">
        <v>-43.0</v>
      </c>
      <c r="F435" s="2">
        <v>22.8603928803792</v>
      </c>
      <c r="G435" s="2">
        <v>22.1610892715368</v>
      </c>
      <c r="H435" s="2">
        <v>8.14549465249203</v>
      </c>
      <c r="I435" s="2">
        <v>719.0</v>
      </c>
      <c r="J435" s="2">
        <v>676.0</v>
      </c>
      <c r="K435" s="2">
        <v>8.19363217386968</v>
      </c>
    </row>
    <row r="436">
      <c r="A436" s="2">
        <v>12.0</v>
      </c>
      <c r="B436" s="2" t="s">
        <v>172</v>
      </c>
      <c r="C436" s="2" t="s">
        <v>142</v>
      </c>
      <c r="D436" s="2" t="s">
        <v>145</v>
      </c>
      <c r="E436" s="2">
        <v>-109.0</v>
      </c>
      <c r="F436" s="2">
        <v>26.2130677518111</v>
      </c>
      <c r="G436" s="2">
        <v>24.4914384939604</v>
      </c>
      <c r="H436" s="2">
        <v>8.19469131269845</v>
      </c>
      <c r="I436" s="2">
        <v>939.0</v>
      </c>
      <c r="J436" s="2">
        <v>830.0</v>
      </c>
      <c r="K436" s="2">
        <v>8.26783615591169</v>
      </c>
    </row>
    <row r="437">
      <c r="A437" s="2">
        <v>12.0</v>
      </c>
      <c r="B437" s="2" t="s">
        <v>31</v>
      </c>
      <c r="C437" s="2" t="s">
        <v>142</v>
      </c>
      <c r="D437" s="2" t="s">
        <v>145</v>
      </c>
      <c r="E437" s="2">
        <v>-105.0</v>
      </c>
      <c r="F437" s="2">
        <v>27.6747563796474</v>
      </c>
      <c r="G437" s="2">
        <v>26.0284048484399</v>
      </c>
      <c r="H437" s="2">
        <v>8.01690927615942</v>
      </c>
      <c r="I437" s="2">
        <v>1057.0</v>
      </c>
      <c r="J437" s="2">
        <v>952.0</v>
      </c>
      <c r="K437" s="2">
        <v>8.08481817930789</v>
      </c>
    </row>
    <row r="438">
      <c r="A438" s="2">
        <v>12.0</v>
      </c>
      <c r="B438" s="2" t="s">
        <v>16</v>
      </c>
      <c r="C438" s="2" t="s">
        <v>142</v>
      </c>
      <c r="D438" s="2" t="s">
        <v>145</v>
      </c>
      <c r="E438" s="2">
        <v>-111.0</v>
      </c>
      <c r="F438" s="2">
        <v>25.0</v>
      </c>
      <c r="G438" s="2">
        <v>23.2510214710014</v>
      </c>
      <c r="H438" s="2">
        <v>8.25825962086341</v>
      </c>
      <c r="I438" s="2">
        <v>850.0</v>
      </c>
      <c r="J438" s="2">
        <v>739.0</v>
      </c>
      <c r="K438" s="2">
        <v>8.33333333333333</v>
      </c>
    </row>
    <row r="439">
      <c r="A439" s="2">
        <v>12.0</v>
      </c>
      <c r="B439" s="2" t="s">
        <v>123</v>
      </c>
      <c r="C439" s="2" t="s">
        <v>144</v>
      </c>
      <c r="D439" s="2" t="s">
        <v>143</v>
      </c>
      <c r="E439" s="2">
        <v>118.0</v>
      </c>
      <c r="F439" s="2">
        <v>22.2249941754516</v>
      </c>
      <c r="G439" s="2">
        <v>23.8566097677633</v>
      </c>
      <c r="H439" s="2">
        <v>7.98160795675347</v>
      </c>
      <c r="I439" s="2">
        <v>690.0</v>
      </c>
      <c r="J439" s="2">
        <v>808.0</v>
      </c>
      <c r="K439" s="2">
        <v>8.04850456292712</v>
      </c>
    </row>
    <row r="440">
      <c r="A440" s="2">
        <v>12.0</v>
      </c>
      <c r="B440" s="2" t="s">
        <v>53</v>
      </c>
      <c r="C440" s="2" t="s">
        <v>144</v>
      </c>
      <c r="D440" s="2" t="s">
        <v>143</v>
      </c>
      <c r="E440" s="2">
        <v>119.0</v>
      </c>
      <c r="F440" s="2">
        <v>24.9332998054709</v>
      </c>
      <c r="G440" s="2">
        <v>26.5798667692846</v>
      </c>
      <c r="H440" s="2">
        <v>8.0174241246035</v>
      </c>
      <c r="I440" s="2">
        <v>871.0</v>
      </c>
      <c r="J440" s="2">
        <v>990.0</v>
      </c>
      <c r="K440" s="2">
        <v>8.08534785795666</v>
      </c>
    </row>
    <row r="441">
      <c r="A441" s="2">
        <v>12.0</v>
      </c>
      <c r="B441" s="2" t="s">
        <v>179</v>
      </c>
      <c r="C441" s="2" t="s">
        <v>144</v>
      </c>
      <c r="D441" s="2" t="s">
        <v>143</v>
      </c>
      <c r="E441" s="2">
        <v>118.0</v>
      </c>
      <c r="F441" s="2">
        <v>20.7243634562555</v>
      </c>
      <c r="G441" s="2">
        <v>22.365059116769</v>
      </c>
      <c r="H441" s="2">
        <v>8.00337992241142</v>
      </c>
      <c r="I441" s="2">
        <v>586.0</v>
      </c>
      <c r="J441" s="2">
        <v>704.0</v>
      </c>
      <c r="K441" s="2">
        <v>8.07089979833435</v>
      </c>
    </row>
    <row r="442">
      <c r="A442" s="2">
        <v>12.0</v>
      </c>
      <c r="B442" s="2" t="s">
        <v>18</v>
      </c>
      <c r="C442" s="2" t="s">
        <v>144</v>
      </c>
      <c r="D442" s="2" t="s">
        <v>143</v>
      </c>
      <c r="E442" s="2">
        <v>112.0</v>
      </c>
      <c r="F442" s="2">
        <v>26.3653112165144</v>
      </c>
      <c r="G442" s="2">
        <v>27.9085477085835</v>
      </c>
      <c r="H442" s="2">
        <v>7.76626513303409</v>
      </c>
      <c r="I442" s="2">
        <v>994.0</v>
      </c>
      <c r="J442" s="2">
        <v>1106.0</v>
      </c>
      <c r="K442" s="2">
        <v>7.82717844408278</v>
      </c>
    </row>
    <row r="443">
      <c r="A443" s="2">
        <v>12.0</v>
      </c>
      <c r="B443" s="2" t="s">
        <v>29</v>
      </c>
      <c r="C443" s="2" t="s">
        <v>144</v>
      </c>
      <c r="D443" s="2" t="s">
        <v>143</v>
      </c>
      <c r="E443" s="2">
        <v>115.0</v>
      </c>
      <c r="F443" s="2">
        <v>23.5258921743439</v>
      </c>
      <c r="G443" s="2">
        <v>25.1114626289814</v>
      </c>
      <c r="H443" s="2">
        <v>7.87020458776124</v>
      </c>
      <c r="I443" s="2">
        <v>790.0</v>
      </c>
      <c r="J443" s="2">
        <v>905.0</v>
      </c>
      <c r="K443" s="2">
        <v>7.93396503203052</v>
      </c>
    </row>
    <row r="444">
      <c r="A444" s="2">
        <v>12.0</v>
      </c>
      <c r="B444" s="2" t="s">
        <v>55</v>
      </c>
      <c r="C444" s="2" t="s">
        <v>144</v>
      </c>
      <c r="D444" s="2" t="s">
        <v>143</v>
      </c>
      <c r="E444" s="2">
        <v>119.0</v>
      </c>
      <c r="F444" s="2">
        <v>24.5867746626197</v>
      </c>
      <c r="G444" s="2">
        <v>26.2333416264333</v>
      </c>
      <c r="H444" s="2">
        <v>8.0174241246035</v>
      </c>
      <c r="I444" s="2">
        <v>847.0</v>
      </c>
      <c r="J444" s="2">
        <v>966.0</v>
      </c>
      <c r="K444" s="2">
        <v>8.08534785795666</v>
      </c>
    </row>
    <row r="445">
      <c r="A445" s="2">
        <v>12.0</v>
      </c>
      <c r="B445" s="2" t="s">
        <v>77</v>
      </c>
      <c r="C445" s="2" t="s">
        <v>144</v>
      </c>
      <c r="D445" s="2" t="s">
        <v>143</v>
      </c>
      <c r="E445" s="2">
        <v>120.0</v>
      </c>
      <c r="F445" s="2">
        <v>24.5156436750877</v>
      </c>
      <c r="G445" s="2">
        <v>26.179694879805</v>
      </c>
      <c r="H445" s="2">
        <v>8.05909054243923</v>
      </c>
      <c r="I445" s="2">
        <v>838.0</v>
      </c>
      <c r="J445" s="2">
        <v>958.0</v>
      </c>
      <c r="K445" s="2">
        <v>8.12822083850302</v>
      </c>
    </row>
    <row r="446">
      <c r="A446" s="2">
        <v>12.0</v>
      </c>
      <c r="B446" s="2" t="s">
        <v>152</v>
      </c>
      <c r="C446" s="2" t="s">
        <v>144</v>
      </c>
      <c r="D446" s="2" t="s">
        <v>143</v>
      </c>
      <c r="E446" s="2">
        <v>125.0</v>
      </c>
      <c r="F446" s="2">
        <v>24.2258907982992</v>
      </c>
      <c r="G446" s="2">
        <v>25.9532870138891</v>
      </c>
      <c r="H446" s="2">
        <v>8.20813980679956</v>
      </c>
      <c r="I446" s="2">
        <v>803.0</v>
      </c>
      <c r="J446" s="2">
        <v>928.0</v>
      </c>
      <c r="K446" s="2">
        <v>8.28169020464689</v>
      </c>
    </row>
    <row r="447">
      <c r="A447" s="2">
        <v>12.0</v>
      </c>
      <c r="B447" s="2" t="s">
        <v>64</v>
      </c>
      <c r="C447" s="2" t="s">
        <v>144</v>
      </c>
      <c r="D447" s="2" t="s">
        <v>143</v>
      </c>
      <c r="E447" s="2">
        <v>111.0</v>
      </c>
      <c r="F447" s="2">
        <v>26.6433348407743</v>
      </c>
      <c r="G447" s="2">
        <v>28.1897801010565</v>
      </c>
      <c r="H447" s="2">
        <v>7.77419558397872</v>
      </c>
      <c r="I447" s="2">
        <v>1013.0</v>
      </c>
      <c r="J447" s="2">
        <v>1124.0</v>
      </c>
      <c r="K447" s="2">
        <v>7.8353234746916</v>
      </c>
    </row>
    <row r="448">
      <c r="A448" s="2">
        <v>12.0</v>
      </c>
      <c r="B448" s="2" t="s">
        <v>111</v>
      </c>
      <c r="C448" s="2" t="s">
        <v>144</v>
      </c>
      <c r="D448" s="2" t="s">
        <v>143</v>
      </c>
      <c r="E448" s="2">
        <v>125.0</v>
      </c>
      <c r="F448" s="2">
        <v>24.1200046084135</v>
      </c>
      <c r="G448" s="2">
        <v>25.8456428691416</v>
      </c>
      <c r="H448" s="2">
        <v>8.20404279507635</v>
      </c>
      <c r="I448" s="2">
        <v>796.0</v>
      </c>
      <c r="J448" s="2">
        <v>921.0</v>
      </c>
      <c r="K448" s="2">
        <v>8.27746950025621</v>
      </c>
    </row>
    <row r="449">
      <c r="A449" s="2">
        <v>11.0</v>
      </c>
      <c r="B449" s="2" t="s">
        <v>29</v>
      </c>
      <c r="C449" s="2" t="s">
        <v>142</v>
      </c>
      <c r="D449" s="2" t="s">
        <v>145</v>
      </c>
      <c r="E449" s="2">
        <v>-71.0</v>
      </c>
      <c r="F449" s="2">
        <v>24.6414212046527</v>
      </c>
      <c r="G449" s="2">
        <v>23.5258921743439</v>
      </c>
      <c r="H449" s="2">
        <v>7.93396503203052</v>
      </c>
      <c r="I449" s="2">
        <v>861.0</v>
      </c>
      <c r="J449" s="2">
        <v>790.0</v>
      </c>
      <c r="K449" s="2">
        <v>7.99083301573706</v>
      </c>
    </row>
    <row r="450">
      <c r="A450" s="2">
        <v>11.0</v>
      </c>
      <c r="B450" s="2" t="s">
        <v>91</v>
      </c>
      <c r="C450" s="2" t="s">
        <v>142</v>
      </c>
      <c r="D450" s="2" t="s">
        <v>145</v>
      </c>
      <c r="E450" s="2">
        <v>-72.0</v>
      </c>
      <c r="F450" s="2">
        <v>23.3252626808608</v>
      </c>
      <c r="G450" s="2">
        <v>22.1783614060891</v>
      </c>
      <c r="H450" s="2">
        <v>8.0429663326838</v>
      </c>
      <c r="I450" s="2">
        <v>760.0</v>
      </c>
      <c r="J450" s="2">
        <v>688.0</v>
      </c>
      <c r="K450" s="2">
        <v>8.10257400880896</v>
      </c>
    </row>
    <row r="451">
      <c r="A451" s="2">
        <v>11.0</v>
      </c>
      <c r="B451" s="2" t="s">
        <v>179</v>
      </c>
      <c r="C451" s="2" t="s">
        <v>142</v>
      </c>
      <c r="D451" s="2" t="s">
        <v>145</v>
      </c>
      <c r="E451" s="2">
        <v>-72.0</v>
      </c>
      <c r="F451" s="2">
        <v>21.8793779339593</v>
      </c>
      <c r="G451" s="2">
        <v>20.7243634562555</v>
      </c>
      <c r="H451" s="2">
        <v>8.07089979833435</v>
      </c>
      <c r="I451" s="2">
        <v>658.0</v>
      </c>
      <c r="J451" s="2">
        <v>586.0</v>
      </c>
      <c r="K451" s="2">
        <v>8.13122153983142</v>
      </c>
    </row>
    <row r="452">
      <c r="A452" s="2">
        <v>11.0</v>
      </c>
      <c r="B452" s="2" t="s">
        <v>149</v>
      </c>
      <c r="C452" s="2" t="s">
        <v>144</v>
      </c>
      <c r="D452" s="2" t="s">
        <v>143</v>
      </c>
      <c r="E452" s="2">
        <v>89.0</v>
      </c>
      <c r="F452" s="2">
        <v>25.0</v>
      </c>
      <c r="G452" s="2">
        <v>26.2130677518111</v>
      </c>
      <c r="H452" s="2">
        <v>8.26783615591169</v>
      </c>
      <c r="I452" s="2">
        <v>850.0</v>
      </c>
      <c r="J452" s="2">
        <v>939.0</v>
      </c>
      <c r="K452" s="2">
        <v>8.33333333333333</v>
      </c>
    </row>
    <row r="453">
      <c r="A453" s="2">
        <v>11.0</v>
      </c>
      <c r="B453" s="2" t="s">
        <v>64</v>
      </c>
      <c r="C453" s="2" t="s">
        <v>144</v>
      </c>
      <c r="D453" s="2" t="s">
        <v>143</v>
      </c>
      <c r="E453" s="2">
        <v>80.0</v>
      </c>
      <c r="F453" s="2">
        <v>25.5558034294495</v>
      </c>
      <c r="G453" s="2">
        <v>26.6433348407743</v>
      </c>
      <c r="H453" s="2">
        <v>7.8353234746916</v>
      </c>
      <c r="I453" s="2">
        <v>933.0</v>
      </c>
      <c r="J453" s="2">
        <v>1013.0</v>
      </c>
      <c r="K453" s="2">
        <v>7.88977543610669</v>
      </c>
    </row>
    <row r="454">
      <c r="A454" s="2">
        <v>11.0</v>
      </c>
      <c r="B454" s="2" t="s">
        <v>31</v>
      </c>
      <c r="C454" s="2" t="s">
        <v>144</v>
      </c>
      <c r="D454" s="2" t="s">
        <v>143</v>
      </c>
      <c r="E454" s="2">
        <v>85.0</v>
      </c>
      <c r="F454" s="2">
        <v>26.5156881333133</v>
      </c>
      <c r="G454" s="2">
        <v>27.6747563796474</v>
      </c>
      <c r="H454" s="2">
        <v>8.08481817930789</v>
      </c>
      <c r="I454" s="2">
        <v>972.0</v>
      </c>
      <c r="J454" s="2">
        <v>1057.0</v>
      </c>
      <c r="K454" s="2">
        <v>8.14549755565627</v>
      </c>
    </row>
    <row r="455">
      <c r="A455" s="2">
        <v>11.0</v>
      </c>
      <c r="B455" s="2" t="s">
        <v>113</v>
      </c>
      <c r="C455" s="2" t="s">
        <v>144</v>
      </c>
      <c r="D455" s="2" t="s">
        <v>143</v>
      </c>
      <c r="E455" s="2">
        <v>82.0</v>
      </c>
      <c r="F455" s="2">
        <v>19.2081184396196</v>
      </c>
      <c r="G455" s="2">
        <v>20.3207570655711</v>
      </c>
      <c r="H455" s="2">
        <v>7.92384202954174</v>
      </c>
      <c r="I455" s="2">
        <v>492.0</v>
      </c>
      <c r="J455" s="2">
        <v>574.0</v>
      </c>
      <c r="K455" s="2">
        <v>7.98045932071864</v>
      </c>
    </row>
    <row r="456">
      <c r="A456" s="2">
        <v>11.0</v>
      </c>
      <c r="B456" s="2" t="s">
        <v>53</v>
      </c>
      <c r="C456" s="2" t="s">
        <v>144</v>
      </c>
      <c r="D456" s="2" t="s">
        <v>143</v>
      </c>
      <c r="E456" s="2">
        <v>85.0</v>
      </c>
      <c r="F456" s="2">
        <v>23.7740771413648</v>
      </c>
      <c r="G456" s="2">
        <v>24.9332998054709</v>
      </c>
      <c r="H456" s="2">
        <v>8.08534785795666</v>
      </c>
      <c r="I456" s="2">
        <v>786.0</v>
      </c>
      <c r="J456" s="2">
        <v>871.0</v>
      </c>
      <c r="K456" s="2">
        <v>8.14604086868103</v>
      </c>
    </row>
    <row r="457">
      <c r="A457" s="2">
        <v>11.0</v>
      </c>
      <c r="B457" s="2" t="s">
        <v>18</v>
      </c>
      <c r="C457" s="2" t="s">
        <v>144</v>
      </c>
      <c r="D457" s="2" t="s">
        <v>143</v>
      </c>
      <c r="E457" s="2">
        <v>79.0</v>
      </c>
      <c r="F457" s="2">
        <v>25.2800749681496</v>
      </c>
      <c r="G457" s="2">
        <v>26.3653112165144</v>
      </c>
      <c r="H457" s="2">
        <v>7.82717844408278</v>
      </c>
      <c r="I457" s="2">
        <v>915.0</v>
      </c>
      <c r="J457" s="2">
        <v>994.0</v>
      </c>
      <c r="K457" s="2">
        <v>7.88143356507915</v>
      </c>
    </row>
    <row r="458">
      <c r="A458" s="2">
        <v>11.0</v>
      </c>
      <c r="B458" s="2" t="s">
        <v>173</v>
      </c>
      <c r="C458" s="2" t="s">
        <v>144</v>
      </c>
      <c r="D458" s="2" t="s">
        <v>143</v>
      </c>
      <c r="E458" s="2">
        <v>86.0</v>
      </c>
      <c r="F458" s="2">
        <v>22.7024010398895</v>
      </c>
      <c r="G458" s="2">
        <v>23.8734409055163</v>
      </c>
      <c r="H458" s="2">
        <v>8.12577343694393</v>
      </c>
      <c r="I458" s="2">
        <v>709.0</v>
      </c>
      <c r="J458" s="2">
        <v>795.0</v>
      </c>
      <c r="K458" s="2">
        <v>8.18751228838618</v>
      </c>
    </row>
    <row r="459">
      <c r="A459" s="2">
        <v>11.0</v>
      </c>
      <c r="B459" s="2" t="s">
        <v>55</v>
      </c>
      <c r="C459" s="2" t="s">
        <v>144</v>
      </c>
      <c r="D459" s="2" t="s">
        <v>143</v>
      </c>
      <c r="E459" s="2">
        <v>85.0</v>
      </c>
      <c r="F459" s="2">
        <v>23.4275519985135</v>
      </c>
      <c r="G459" s="2">
        <v>24.5867746626197</v>
      </c>
      <c r="H459" s="2">
        <v>8.08534785795666</v>
      </c>
      <c r="I459" s="2">
        <v>762.0</v>
      </c>
      <c r="J459" s="2">
        <v>847.0</v>
      </c>
      <c r="K459" s="2">
        <v>8.14604086868103</v>
      </c>
    </row>
    <row r="460">
      <c r="A460" s="2">
        <v>11.0</v>
      </c>
      <c r="B460" s="2" t="s">
        <v>172</v>
      </c>
      <c r="C460" s="2" t="s">
        <v>144</v>
      </c>
      <c r="D460" s="2" t="s">
        <v>143</v>
      </c>
      <c r="E460" s="2">
        <v>89.0</v>
      </c>
      <c r="F460" s="2">
        <v>25.0</v>
      </c>
      <c r="G460" s="2">
        <v>26.2130677518111</v>
      </c>
      <c r="H460" s="2">
        <v>8.26783615591169</v>
      </c>
      <c r="I460" s="2">
        <v>850.0</v>
      </c>
      <c r="J460" s="2">
        <v>939.0</v>
      </c>
      <c r="K460" s="2">
        <v>8.33333333333333</v>
      </c>
    </row>
    <row r="461">
      <c r="A461" s="2">
        <v>11.0</v>
      </c>
      <c r="B461" s="2" t="s">
        <v>116</v>
      </c>
      <c r="C461" s="2" t="s">
        <v>144</v>
      </c>
      <c r="D461" s="2" t="s">
        <v>143</v>
      </c>
      <c r="E461" s="2">
        <v>89.0</v>
      </c>
      <c r="F461" s="2">
        <v>25.0</v>
      </c>
      <c r="G461" s="2">
        <v>26.2130677518111</v>
      </c>
      <c r="H461" s="2">
        <v>8.26783615591169</v>
      </c>
      <c r="I461" s="2">
        <v>850.0</v>
      </c>
      <c r="J461" s="2">
        <v>939.0</v>
      </c>
      <c r="K461" s="2">
        <v>8.33333333333333</v>
      </c>
    </row>
    <row r="462">
      <c r="A462" s="2">
        <v>10.0</v>
      </c>
      <c r="B462" s="2" t="s">
        <v>31</v>
      </c>
      <c r="C462" s="2" t="s">
        <v>142</v>
      </c>
      <c r="D462" s="2" t="s">
        <v>143</v>
      </c>
      <c r="E462" s="2">
        <v>63.0</v>
      </c>
      <c r="F462" s="2">
        <v>25.6639356220467</v>
      </c>
      <c r="G462" s="2">
        <v>26.5156881333133</v>
      </c>
      <c r="H462" s="2">
        <v>8.14549755565627</v>
      </c>
      <c r="I462" s="2">
        <v>909.0</v>
      </c>
      <c r="J462" s="2">
        <v>972.0</v>
      </c>
      <c r="K462" s="2">
        <v>8.19834017528516</v>
      </c>
    </row>
    <row r="463">
      <c r="A463" s="2">
        <v>10.0</v>
      </c>
      <c r="B463" s="2" t="s">
        <v>123</v>
      </c>
      <c r="C463" s="2" t="s">
        <v>142</v>
      </c>
      <c r="D463" s="2" t="s">
        <v>143</v>
      </c>
      <c r="E463" s="2">
        <v>61.0</v>
      </c>
      <c r="F463" s="2">
        <v>21.393692365791</v>
      </c>
      <c r="G463" s="2">
        <v>22.2249941754516</v>
      </c>
      <c r="H463" s="2">
        <v>8.04850456292712</v>
      </c>
      <c r="I463" s="2">
        <v>629.0</v>
      </c>
      <c r="J463" s="2">
        <v>690.0</v>
      </c>
      <c r="K463" s="2">
        <v>8.09918712338804</v>
      </c>
    </row>
    <row r="464">
      <c r="A464" s="2">
        <v>10.0</v>
      </c>
      <c r="B464" s="2" t="s">
        <v>53</v>
      </c>
      <c r="C464" s="2" t="s">
        <v>142</v>
      </c>
      <c r="D464" s="2" t="s">
        <v>143</v>
      </c>
      <c r="E464" s="2">
        <v>64.0</v>
      </c>
      <c r="F464" s="2">
        <v>22.9222093435153</v>
      </c>
      <c r="G464" s="2">
        <v>23.7740771413648</v>
      </c>
      <c r="H464" s="2">
        <v>8.14604086868103</v>
      </c>
      <c r="I464" s="2">
        <v>722.0</v>
      </c>
      <c r="J464" s="2">
        <v>786.0</v>
      </c>
      <c r="K464" s="2">
        <v>8.19889573111989</v>
      </c>
    </row>
    <row r="465">
      <c r="A465" s="2">
        <v>10.0</v>
      </c>
      <c r="B465" s="2" t="s">
        <v>111</v>
      </c>
      <c r="C465" s="2" t="s">
        <v>144</v>
      </c>
      <c r="D465" s="2" t="s">
        <v>145</v>
      </c>
      <c r="E465" s="2">
        <v>-54.0</v>
      </c>
      <c r="F465" s="2">
        <v>25.0</v>
      </c>
      <c r="G465" s="2">
        <v>24.1200046084135</v>
      </c>
      <c r="H465" s="2">
        <v>8.27746950025621</v>
      </c>
      <c r="I465" s="2">
        <v>850.0</v>
      </c>
      <c r="J465" s="2">
        <v>796.0</v>
      </c>
      <c r="K465" s="2">
        <v>8.33333333333333</v>
      </c>
    </row>
    <row r="466">
      <c r="A466" s="2">
        <v>10.0</v>
      </c>
      <c r="B466" s="2" t="s">
        <v>102</v>
      </c>
      <c r="C466" s="2" t="s">
        <v>144</v>
      </c>
      <c r="D466" s="2" t="s">
        <v>145</v>
      </c>
      <c r="E466" s="2">
        <v>-51.0</v>
      </c>
      <c r="F466" s="2">
        <v>23.0677603476924</v>
      </c>
      <c r="G466" s="2">
        <v>22.2364585380318</v>
      </c>
      <c r="H466" s="2">
        <v>8.04850456292712</v>
      </c>
      <c r="I466" s="2">
        <v>742.0</v>
      </c>
      <c r="J466" s="2">
        <v>691.0</v>
      </c>
      <c r="K466" s="2">
        <v>8.09918712338804</v>
      </c>
    </row>
    <row r="467">
      <c r="A467" s="2">
        <v>10.0</v>
      </c>
      <c r="B467" s="2" t="s">
        <v>99</v>
      </c>
      <c r="C467" s="2" t="s">
        <v>144</v>
      </c>
      <c r="D467" s="2" t="s">
        <v>145</v>
      </c>
      <c r="E467" s="2">
        <v>-52.0</v>
      </c>
      <c r="F467" s="2">
        <v>25.4432343670612</v>
      </c>
      <c r="G467" s="2">
        <v>24.5882138439481</v>
      </c>
      <c r="H467" s="2">
        <v>8.16088392055915</v>
      </c>
      <c r="I467" s="2">
        <v>892.0</v>
      </c>
      <c r="J467" s="2">
        <v>840.0</v>
      </c>
      <c r="K467" s="2">
        <v>8.21407387107495</v>
      </c>
    </row>
    <row r="468">
      <c r="A468" s="2">
        <v>10.0</v>
      </c>
      <c r="B468" s="2" t="s">
        <v>18</v>
      </c>
      <c r="C468" s="2" t="s">
        <v>144</v>
      </c>
      <c r="D468" s="2" t="s">
        <v>145</v>
      </c>
      <c r="E468" s="2">
        <v>-50.0</v>
      </c>
      <c r="F468" s="2">
        <v>26.0767573667153</v>
      </c>
      <c r="G468" s="2">
        <v>25.2800749681496</v>
      </c>
      <c r="H468" s="2">
        <v>7.88143356507915</v>
      </c>
      <c r="I468" s="2">
        <v>965.0</v>
      </c>
      <c r="J468" s="2">
        <v>915.0</v>
      </c>
      <c r="K468" s="2">
        <v>7.92851284982289</v>
      </c>
    </row>
    <row r="469">
      <c r="A469" s="2">
        <v>10.0</v>
      </c>
      <c r="B469" s="2" t="s">
        <v>171</v>
      </c>
      <c r="C469" s="2" t="s">
        <v>144</v>
      </c>
      <c r="D469" s="2" t="s">
        <v>145</v>
      </c>
      <c r="E469" s="2">
        <v>-54.0</v>
      </c>
      <c r="F469" s="2">
        <v>25.0</v>
      </c>
      <c r="G469" s="2">
        <v>24.1200046084135</v>
      </c>
      <c r="H469" s="2">
        <v>8.27746950025621</v>
      </c>
      <c r="I469" s="2">
        <v>850.0</v>
      </c>
      <c r="J469" s="2">
        <v>796.0</v>
      </c>
      <c r="K469" s="2">
        <v>8.33333333333333</v>
      </c>
    </row>
    <row r="470">
      <c r="A470" s="2">
        <v>10.0</v>
      </c>
      <c r="B470" s="2" t="s">
        <v>154</v>
      </c>
      <c r="C470" s="2" t="s">
        <v>144</v>
      </c>
      <c r="D470" s="2" t="s">
        <v>145</v>
      </c>
      <c r="E470" s="2">
        <v>-54.0</v>
      </c>
      <c r="F470" s="2">
        <v>25.0</v>
      </c>
      <c r="G470" s="2">
        <v>24.1200046084135</v>
      </c>
      <c r="H470" s="2">
        <v>8.27746950025621</v>
      </c>
      <c r="I470" s="2">
        <v>850.0</v>
      </c>
      <c r="J470" s="2">
        <v>796.0</v>
      </c>
      <c r="K470" s="2">
        <v>8.33333333333333</v>
      </c>
    </row>
    <row r="471">
      <c r="A471" s="2">
        <v>10.0</v>
      </c>
      <c r="B471" s="2" t="s">
        <v>173</v>
      </c>
      <c r="C471" s="2" t="s">
        <v>144</v>
      </c>
      <c r="D471" s="2" t="s">
        <v>145</v>
      </c>
      <c r="E471" s="2">
        <v>-53.0</v>
      </c>
      <c r="F471" s="2">
        <v>23.5630927788219</v>
      </c>
      <c r="G471" s="2">
        <v>22.7024010398895</v>
      </c>
      <c r="H471" s="2">
        <v>8.18751228838618</v>
      </c>
      <c r="I471" s="2">
        <v>762.0</v>
      </c>
      <c r="J471" s="2">
        <v>709.0</v>
      </c>
      <c r="K471" s="2">
        <v>8.24130639183328</v>
      </c>
    </row>
    <row r="472">
      <c r="A472" s="2">
        <v>10.0</v>
      </c>
      <c r="B472" s="2" t="s">
        <v>55</v>
      </c>
      <c r="C472" s="2" t="s">
        <v>144</v>
      </c>
      <c r="D472" s="2" t="s">
        <v>145</v>
      </c>
      <c r="E472" s="2">
        <v>-53.0</v>
      </c>
      <c r="F472" s="2">
        <v>24.279419796363</v>
      </c>
      <c r="G472" s="2">
        <v>23.4275519985135</v>
      </c>
      <c r="H472" s="2">
        <v>8.14604086868103</v>
      </c>
      <c r="I472" s="2">
        <v>815.0</v>
      </c>
      <c r="J472" s="2">
        <v>762.0</v>
      </c>
      <c r="K472" s="2">
        <v>8.19889573111989</v>
      </c>
    </row>
    <row r="473">
      <c r="A473" s="2">
        <v>10.0</v>
      </c>
      <c r="B473" s="2" t="s">
        <v>179</v>
      </c>
      <c r="C473" s="2" t="s">
        <v>144</v>
      </c>
      <c r="D473" s="2" t="s">
        <v>145</v>
      </c>
      <c r="E473" s="2">
        <v>-53.0</v>
      </c>
      <c r="F473" s="2">
        <v>22.7281041096494</v>
      </c>
      <c r="G473" s="2">
        <v>21.8793779339593</v>
      </c>
      <c r="H473" s="2">
        <v>8.13122153983142</v>
      </c>
      <c r="I473" s="2">
        <v>711.0</v>
      </c>
      <c r="J473" s="2">
        <v>658.0</v>
      </c>
      <c r="K473" s="2">
        <v>8.18374304289654</v>
      </c>
    </row>
    <row r="474">
      <c r="A474" s="2">
        <v>10.0</v>
      </c>
      <c r="B474" s="2" t="s">
        <v>113</v>
      </c>
      <c r="C474" s="2" t="s">
        <v>144</v>
      </c>
      <c r="D474" s="2" t="s">
        <v>145</v>
      </c>
      <c r="E474" s="2">
        <v>-51.0</v>
      </c>
      <c r="F474" s="2">
        <v>20.0252277313857</v>
      </c>
      <c r="G474" s="2">
        <v>19.2081184396196</v>
      </c>
      <c r="H474" s="2">
        <v>7.98045932071864</v>
      </c>
      <c r="I474" s="2">
        <v>543.0</v>
      </c>
      <c r="J474" s="2">
        <v>492.0</v>
      </c>
      <c r="K474" s="2">
        <v>8.02965655026162</v>
      </c>
    </row>
    <row r="475">
      <c r="A475" s="2">
        <v>9.0</v>
      </c>
      <c r="B475" s="2" t="s">
        <v>29</v>
      </c>
      <c r="C475" s="2" t="s">
        <v>142</v>
      </c>
      <c r="D475" s="2" t="s">
        <v>143</v>
      </c>
      <c r="E475" s="2">
        <v>49.0</v>
      </c>
      <c r="F475" s="2">
        <v>23.9813202826369</v>
      </c>
      <c r="G475" s="2">
        <v>24.6414212046527</v>
      </c>
      <c r="H475" s="2">
        <v>7.99083301573706</v>
      </c>
      <c r="I475" s="2">
        <v>812.0</v>
      </c>
      <c r="J475" s="2">
        <v>861.0</v>
      </c>
      <c r="K475" s="2">
        <v>8.03139532968708</v>
      </c>
    </row>
    <row r="476">
      <c r="A476" s="2">
        <v>9.0</v>
      </c>
      <c r="B476" s="2" t="s">
        <v>64</v>
      </c>
      <c r="C476" s="2" t="s">
        <v>142</v>
      </c>
      <c r="D476" s="2" t="s">
        <v>143</v>
      </c>
      <c r="E476" s="2">
        <v>48.0</v>
      </c>
      <c r="F476" s="2">
        <v>24.9124826097802</v>
      </c>
      <c r="G476" s="2">
        <v>25.5558034294495</v>
      </c>
      <c r="H476" s="2">
        <v>7.88977543610669</v>
      </c>
      <c r="I476" s="2">
        <v>885.0</v>
      </c>
      <c r="J476" s="2">
        <v>933.0</v>
      </c>
      <c r="K476" s="2">
        <v>7.92851284982289</v>
      </c>
    </row>
    <row r="477">
      <c r="A477" s="2">
        <v>9.0</v>
      </c>
      <c r="B477" s="2" t="s">
        <v>32</v>
      </c>
      <c r="C477" s="2" t="s">
        <v>142</v>
      </c>
      <c r="D477" s="2" t="s">
        <v>143</v>
      </c>
      <c r="E477" s="2">
        <v>50.0</v>
      </c>
      <c r="F477" s="2">
        <v>24.0997595679105</v>
      </c>
      <c r="G477" s="2">
        <v>24.7758958419454</v>
      </c>
      <c r="H477" s="2">
        <v>8.08617006894835</v>
      </c>
      <c r="I477" s="2">
        <v>810.0</v>
      </c>
      <c r="J477" s="2">
        <v>860.0</v>
      </c>
      <c r="K477" s="2">
        <v>8.12849489795147</v>
      </c>
    </row>
    <row r="478">
      <c r="A478" s="2">
        <v>9.0</v>
      </c>
      <c r="B478" s="2" t="s">
        <v>55</v>
      </c>
      <c r="C478" s="2" t="s">
        <v>144</v>
      </c>
      <c r="D478" s="2" t="s">
        <v>145</v>
      </c>
      <c r="E478" s="2">
        <v>-42.0</v>
      </c>
      <c r="F478" s="2">
        <v>24.9747735336744</v>
      </c>
      <c r="G478" s="2">
        <v>24.279419796363</v>
      </c>
      <c r="H478" s="2">
        <v>8.19889573111989</v>
      </c>
      <c r="I478" s="2">
        <v>857.0</v>
      </c>
      <c r="J478" s="2">
        <v>815.0</v>
      </c>
      <c r="K478" s="2">
        <v>8.2433566584626</v>
      </c>
    </row>
    <row r="479">
      <c r="A479" s="2">
        <v>9.0</v>
      </c>
      <c r="B479" s="2" t="s">
        <v>179</v>
      </c>
      <c r="C479" s="2" t="s">
        <v>144</v>
      </c>
      <c r="D479" s="2" t="s">
        <v>145</v>
      </c>
      <c r="E479" s="2">
        <v>-42.0</v>
      </c>
      <c r="F479" s="2">
        <v>23.4208583722278</v>
      </c>
      <c r="G479" s="2">
        <v>22.7281041096494</v>
      </c>
      <c r="H479" s="2">
        <v>8.18374304289654</v>
      </c>
      <c r="I479" s="2">
        <v>753.0</v>
      </c>
      <c r="J479" s="2">
        <v>711.0</v>
      </c>
      <c r="K479" s="2">
        <v>8.22791351462359</v>
      </c>
    </row>
    <row r="480">
      <c r="A480" s="2">
        <v>9.0</v>
      </c>
      <c r="B480" s="2" t="s">
        <v>123</v>
      </c>
      <c r="C480" s="2" t="s">
        <v>144</v>
      </c>
      <c r="D480" s="2" t="s">
        <v>145</v>
      </c>
      <c r="E480" s="2">
        <v>-41.0</v>
      </c>
      <c r="F480" s="2">
        <v>22.0720335324189</v>
      </c>
      <c r="G480" s="2">
        <v>21.393692365791</v>
      </c>
      <c r="H480" s="2">
        <v>8.09918712338804</v>
      </c>
      <c r="I480" s="2">
        <v>670.0</v>
      </c>
      <c r="J480" s="2">
        <v>629.0</v>
      </c>
      <c r="K480" s="2">
        <v>8.1417557186481</v>
      </c>
    </row>
    <row r="481">
      <c r="A481" s="2">
        <v>9.0</v>
      </c>
      <c r="B481" s="2" t="s">
        <v>53</v>
      </c>
      <c r="C481" s="2" t="s">
        <v>144</v>
      </c>
      <c r="D481" s="2" t="s">
        <v>145</v>
      </c>
      <c r="E481" s="2">
        <v>-43.0</v>
      </c>
      <c r="F481" s="2">
        <v>23.6175630808268</v>
      </c>
      <c r="G481" s="2">
        <v>22.9222093435153</v>
      </c>
      <c r="H481" s="2">
        <v>8.19889573111989</v>
      </c>
      <c r="I481" s="2">
        <v>765.0</v>
      </c>
      <c r="J481" s="2">
        <v>722.0</v>
      </c>
      <c r="K481" s="2">
        <v>8.2433566584626</v>
      </c>
    </row>
    <row r="482">
      <c r="A482" s="2">
        <v>9.0</v>
      </c>
      <c r="B482" s="2" t="s">
        <v>113</v>
      </c>
      <c r="C482" s="2" t="s">
        <v>144</v>
      </c>
      <c r="D482" s="2" t="s">
        <v>145</v>
      </c>
      <c r="E482" s="2">
        <v>-41.0</v>
      </c>
      <c r="F482" s="2">
        <v>20.6918345778947</v>
      </c>
      <c r="G482" s="2">
        <v>20.0252277313857</v>
      </c>
      <c r="H482" s="2">
        <v>8.02965655026162</v>
      </c>
      <c r="I482" s="2">
        <v>584.0</v>
      </c>
      <c r="J482" s="2">
        <v>543.0</v>
      </c>
      <c r="K482" s="2">
        <v>8.0709317714712</v>
      </c>
    </row>
    <row r="483">
      <c r="A483" s="2">
        <v>9.0</v>
      </c>
      <c r="B483" s="2" t="s">
        <v>160</v>
      </c>
      <c r="C483" s="2" t="s">
        <v>144</v>
      </c>
      <c r="D483" s="2" t="s">
        <v>145</v>
      </c>
      <c r="E483" s="2">
        <v>-43.0</v>
      </c>
      <c r="F483" s="2">
        <v>27.0317201901292</v>
      </c>
      <c r="G483" s="2">
        <v>26.3400607005702</v>
      </c>
      <c r="H483" s="2">
        <v>8.17735264101773</v>
      </c>
      <c r="I483" s="2">
        <v>1000.0</v>
      </c>
      <c r="J483" s="2">
        <v>957.0</v>
      </c>
      <c r="K483" s="2">
        <v>8.22140092834245</v>
      </c>
    </row>
    <row r="484">
      <c r="A484" s="2">
        <v>9.0</v>
      </c>
      <c r="B484" s="2" t="s">
        <v>173</v>
      </c>
      <c r="C484" s="2" t="s">
        <v>144</v>
      </c>
      <c r="D484" s="2" t="s">
        <v>145</v>
      </c>
      <c r="E484" s="2">
        <v>-43.0</v>
      </c>
      <c r="F484" s="2">
        <v>24.2657490019379</v>
      </c>
      <c r="G484" s="2">
        <v>23.5630927788219</v>
      </c>
      <c r="H484" s="2">
        <v>8.24130639183328</v>
      </c>
      <c r="I484" s="2">
        <v>805.0</v>
      </c>
      <c r="J484" s="2">
        <v>762.0</v>
      </c>
      <c r="K484" s="2">
        <v>8.28658579755386</v>
      </c>
    </row>
    <row r="485">
      <c r="A485" s="2">
        <v>9.0</v>
      </c>
      <c r="B485" s="2" t="s">
        <v>102</v>
      </c>
      <c r="C485" s="2" t="s">
        <v>144</v>
      </c>
      <c r="D485" s="2" t="s">
        <v>145</v>
      </c>
      <c r="E485" s="2">
        <v>-42.0</v>
      </c>
      <c r="F485" s="2">
        <v>23.7461015143204</v>
      </c>
      <c r="G485" s="2">
        <v>23.0677603476924</v>
      </c>
      <c r="H485" s="2">
        <v>8.09918712338804</v>
      </c>
      <c r="I485" s="2">
        <v>784.0</v>
      </c>
      <c r="J485" s="2">
        <v>742.0</v>
      </c>
      <c r="K485" s="2">
        <v>8.1417557186481</v>
      </c>
    </row>
    <row r="486">
      <c r="A486" s="2">
        <v>9.0</v>
      </c>
      <c r="B486" s="2" t="s">
        <v>155</v>
      </c>
      <c r="C486" s="2" t="s">
        <v>144</v>
      </c>
      <c r="D486" s="2" t="s">
        <v>145</v>
      </c>
      <c r="E486" s="2">
        <v>-44.0</v>
      </c>
      <c r="F486" s="2">
        <v>25.0</v>
      </c>
      <c r="G486" s="2">
        <v>24.2894039611772</v>
      </c>
      <c r="H486" s="2">
        <v>8.28715979725711</v>
      </c>
      <c r="I486" s="2">
        <v>850.0</v>
      </c>
      <c r="J486" s="2">
        <v>806.0</v>
      </c>
      <c r="K486" s="2">
        <v>8.33333333333333</v>
      </c>
    </row>
    <row r="487">
      <c r="A487" s="2">
        <v>9.0</v>
      </c>
      <c r="B487" s="2" t="s">
        <v>66</v>
      </c>
      <c r="C487" s="2" t="s">
        <v>144</v>
      </c>
      <c r="D487" s="2" t="s">
        <v>145</v>
      </c>
      <c r="E487" s="2">
        <v>-43.0</v>
      </c>
      <c r="F487" s="2">
        <v>26.343983574467</v>
      </c>
      <c r="G487" s="2">
        <v>25.644717324623</v>
      </c>
      <c r="H487" s="2">
        <v>8.22164701376801</v>
      </c>
      <c r="I487" s="2">
        <v>948.0</v>
      </c>
      <c r="J487" s="2">
        <v>905.0</v>
      </c>
      <c r="K487" s="2">
        <v>8.26654600100898</v>
      </c>
    </row>
    <row r="488">
      <c r="A488" s="2">
        <v>9.0</v>
      </c>
      <c r="B488" s="2" t="s">
        <v>169</v>
      </c>
      <c r="C488" s="2" t="s">
        <v>144</v>
      </c>
      <c r="D488" s="2" t="s">
        <v>145</v>
      </c>
      <c r="E488" s="2">
        <v>-44.0</v>
      </c>
      <c r="F488" s="2">
        <v>25.0</v>
      </c>
      <c r="G488" s="2">
        <v>24.2894039611772</v>
      </c>
      <c r="H488" s="2">
        <v>8.28715979725711</v>
      </c>
      <c r="I488" s="2">
        <v>850.0</v>
      </c>
      <c r="J488" s="2">
        <v>806.0</v>
      </c>
      <c r="K488" s="2">
        <v>8.33333333333333</v>
      </c>
    </row>
    <row r="489">
      <c r="A489" s="2">
        <v>8.0</v>
      </c>
      <c r="B489" s="2" t="s">
        <v>160</v>
      </c>
      <c r="C489" s="2" t="s">
        <v>142</v>
      </c>
      <c r="D489" s="2" t="s">
        <v>143</v>
      </c>
      <c r="E489" s="2">
        <v>54.0</v>
      </c>
      <c r="F489" s="2">
        <v>26.3091202145662</v>
      </c>
      <c r="G489" s="2">
        <v>27.0317201901292</v>
      </c>
      <c r="H489" s="2">
        <v>8.22140092834245</v>
      </c>
      <c r="I489" s="2">
        <v>946.0</v>
      </c>
      <c r="J489" s="2">
        <v>1000.0</v>
      </c>
      <c r="K489" s="2">
        <v>8.26686631865523</v>
      </c>
    </row>
    <row r="490">
      <c r="A490" s="2">
        <v>8.0</v>
      </c>
      <c r="B490" s="2" t="s">
        <v>161</v>
      </c>
      <c r="C490" s="2" t="s">
        <v>142</v>
      </c>
      <c r="D490" s="2" t="s">
        <v>143</v>
      </c>
      <c r="E490" s="2">
        <v>54.0</v>
      </c>
      <c r="F490" s="2">
        <v>24.1446180463064</v>
      </c>
      <c r="G490" s="2">
        <v>24.8683777203849</v>
      </c>
      <c r="H490" s="2">
        <v>8.22791351462359</v>
      </c>
      <c r="I490" s="2">
        <v>798.0</v>
      </c>
      <c r="J490" s="2">
        <v>852.0</v>
      </c>
      <c r="K490" s="2">
        <v>8.27350612266822</v>
      </c>
    </row>
    <row r="491">
      <c r="A491" s="2">
        <v>8.0</v>
      </c>
      <c r="B491" s="2" t="s">
        <v>70</v>
      </c>
      <c r="C491" s="2" t="s">
        <v>142</v>
      </c>
      <c r="D491" s="2" t="s">
        <v>143</v>
      </c>
      <c r="E491" s="2">
        <v>52.0</v>
      </c>
      <c r="F491" s="2">
        <v>24.0031664881868</v>
      </c>
      <c r="G491" s="2">
        <v>24.6988277002953</v>
      </c>
      <c r="H491" s="2">
        <v>8.0685647909121</v>
      </c>
      <c r="I491" s="2">
        <v>805.0</v>
      </c>
      <c r="J491" s="2">
        <v>857.0</v>
      </c>
      <c r="K491" s="2">
        <v>8.11110015542549</v>
      </c>
    </row>
    <row r="492">
      <c r="A492" s="2">
        <v>8.0</v>
      </c>
      <c r="B492" s="2" t="s">
        <v>179</v>
      </c>
      <c r="C492" s="2" t="s">
        <v>144</v>
      </c>
      <c r="D492" s="2" t="s">
        <v>145</v>
      </c>
      <c r="E492" s="2">
        <v>-45.0</v>
      </c>
      <c r="F492" s="2">
        <v>24.1446180463064</v>
      </c>
      <c r="G492" s="2">
        <v>23.4208583722278</v>
      </c>
      <c r="H492" s="2">
        <v>8.22791351462359</v>
      </c>
      <c r="I492" s="2">
        <v>798.0</v>
      </c>
      <c r="J492" s="2">
        <v>753.0</v>
      </c>
      <c r="K492" s="2">
        <v>8.27350612266822</v>
      </c>
    </row>
    <row r="493">
      <c r="A493" s="2">
        <v>8.0</v>
      </c>
      <c r="B493" s="2" t="s">
        <v>31</v>
      </c>
      <c r="C493" s="2" t="s">
        <v>144</v>
      </c>
      <c r="D493" s="2" t="s">
        <v>145</v>
      </c>
      <c r="E493" s="2">
        <v>-44.0</v>
      </c>
      <c r="F493" s="2">
        <v>26.3824369191731</v>
      </c>
      <c r="G493" s="2">
        <v>25.6639356220467</v>
      </c>
      <c r="H493" s="2">
        <v>8.19834017528516</v>
      </c>
      <c r="I493" s="2">
        <v>953.0</v>
      </c>
      <c r="J493" s="2">
        <v>909.0</v>
      </c>
      <c r="K493" s="2">
        <v>8.2433566584626</v>
      </c>
    </row>
    <row r="494">
      <c r="A494" s="2">
        <v>8.0</v>
      </c>
      <c r="B494" s="2" t="s">
        <v>113</v>
      </c>
      <c r="C494" s="2" t="s">
        <v>144</v>
      </c>
      <c r="D494" s="2" t="s">
        <v>145</v>
      </c>
      <c r="E494" s="2">
        <v>-43.0</v>
      </c>
      <c r="F494" s="2">
        <v>21.3879089475741</v>
      </c>
      <c r="G494" s="2">
        <v>20.6918345778947</v>
      </c>
      <c r="H494" s="2">
        <v>8.0709317714712</v>
      </c>
      <c r="I494" s="2">
        <v>627.0</v>
      </c>
      <c r="J494" s="2">
        <v>584.0</v>
      </c>
      <c r="K494" s="2">
        <v>8.11351170860217</v>
      </c>
    </row>
    <row r="495">
      <c r="A495" s="2">
        <v>8.0</v>
      </c>
      <c r="B495" s="2" t="s">
        <v>153</v>
      </c>
      <c r="C495" s="2" t="s">
        <v>144</v>
      </c>
      <c r="D495" s="2" t="s">
        <v>145</v>
      </c>
      <c r="E495" s="2">
        <v>-44.0</v>
      </c>
      <c r="F495" s="2">
        <v>26.4137740660585</v>
      </c>
      <c r="G495" s="2">
        <v>25.7098367861021</v>
      </c>
      <c r="H495" s="2">
        <v>8.1158403711053</v>
      </c>
      <c r="I495" s="2">
        <v>964.0</v>
      </c>
      <c r="J495" s="2">
        <v>920.0</v>
      </c>
      <c r="K495" s="2">
        <v>8.15927075284561</v>
      </c>
    </row>
    <row r="496">
      <c r="A496" s="2">
        <v>8.0</v>
      </c>
      <c r="B496" s="2" t="s">
        <v>102</v>
      </c>
      <c r="C496" s="2" t="s">
        <v>144</v>
      </c>
      <c r="D496" s="2" t="s">
        <v>145</v>
      </c>
      <c r="E496" s="2">
        <v>-44.0</v>
      </c>
      <c r="F496" s="2">
        <v>24.4545970717775</v>
      </c>
      <c r="G496" s="2">
        <v>23.7461015143204</v>
      </c>
      <c r="H496" s="2">
        <v>8.1417557186481</v>
      </c>
      <c r="I496" s="2">
        <v>828.0</v>
      </c>
      <c r="J496" s="2">
        <v>784.0</v>
      </c>
      <c r="K496" s="2">
        <v>8.18568100582813</v>
      </c>
    </row>
    <row r="497">
      <c r="A497" s="2">
        <v>8.0</v>
      </c>
      <c r="B497" s="2" t="s">
        <v>163</v>
      </c>
      <c r="C497" s="2" t="s">
        <v>144</v>
      </c>
      <c r="D497" s="2" t="s">
        <v>145</v>
      </c>
      <c r="E497" s="2">
        <v>-44.0</v>
      </c>
      <c r="F497" s="2">
        <v>25.8553819536935</v>
      </c>
      <c r="G497" s="2">
        <v>25.131622279615</v>
      </c>
      <c r="H497" s="2">
        <v>8.22791351462359</v>
      </c>
      <c r="I497" s="2">
        <v>914.0</v>
      </c>
      <c r="J497" s="2">
        <v>870.0</v>
      </c>
      <c r="K497" s="2">
        <v>8.27350612266822</v>
      </c>
    </row>
    <row r="498">
      <c r="A498" s="2">
        <v>8.0</v>
      </c>
      <c r="B498" s="2" t="s">
        <v>123</v>
      </c>
      <c r="C498" s="2" t="s">
        <v>144</v>
      </c>
      <c r="D498" s="2" t="s">
        <v>145</v>
      </c>
      <c r="E498" s="2">
        <v>-44.0</v>
      </c>
      <c r="F498" s="2">
        <v>22.7805290898761</v>
      </c>
      <c r="G498" s="2">
        <v>22.0720335324189</v>
      </c>
      <c r="H498" s="2">
        <v>8.1417557186481</v>
      </c>
      <c r="I498" s="2">
        <v>714.0</v>
      </c>
      <c r="J498" s="2">
        <v>670.0</v>
      </c>
      <c r="K498" s="2">
        <v>8.18568100582813</v>
      </c>
    </row>
    <row r="499">
      <c r="A499" s="2">
        <v>8.0</v>
      </c>
      <c r="B499" s="2" t="s">
        <v>29</v>
      </c>
      <c r="C499" s="2" t="s">
        <v>144</v>
      </c>
      <c r="D499" s="2" t="s">
        <v>145</v>
      </c>
      <c r="E499" s="2">
        <v>-42.0</v>
      </c>
      <c r="F499" s="2">
        <v>24.6705102159195</v>
      </c>
      <c r="G499" s="2">
        <v>23.9813202826369</v>
      </c>
      <c r="H499" s="2">
        <v>8.03139532968708</v>
      </c>
      <c r="I499" s="2">
        <v>854.0</v>
      </c>
      <c r="J499" s="2">
        <v>812.0</v>
      </c>
      <c r="K499" s="2">
        <v>8.07323404314545</v>
      </c>
    </row>
    <row r="500">
      <c r="A500" s="2">
        <v>8.0</v>
      </c>
      <c r="B500" s="2" t="s">
        <v>64</v>
      </c>
      <c r="C500" s="2" t="s">
        <v>144</v>
      </c>
      <c r="D500" s="2" t="s">
        <v>145</v>
      </c>
      <c r="E500" s="2">
        <v>-42.0</v>
      </c>
      <c r="F500" s="2">
        <v>25.5839237842953</v>
      </c>
      <c r="G500" s="2">
        <v>24.9124826097802</v>
      </c>
      <c r="H500" s="2">
        <v>7.92851284982289</v>
      </c>
      <c r="I500" s="2">
        <v>927.0</v>
      </c>
      <c r="J500" s="2">
        <v>885.0</v>
      </c>
      <c r="K500" s="2">
        <v>7.96845526503344</v>
      </c>
    </row>
    <row r="501">
      <c r="A501" s="2">
        <v>8.0</v>
      </c>
      <c r="B501" s="2" t="s">
        <v>18</v>
      </c>
      <c r="C501" s="2" t="s">
        <v>144</v>
      </c>
      <c r="D501" s="2" t="s">
        <v>145</v>
      </c>
      <c r="E501" s="2">
        <v>-41.0</v>
      </c>
      <c r="F501" s="2">
        <v>26.7481985412304</v>
      </c>
      <c r="G501" s="2">
        <v>26.0767573667153</v>
      </c>
      <c r="H501" s="2">
        <v>7.92851284982289</v>
      </c>
      <c r="I501" s="2">
        <v>1006.0</v>
      </c>
      <c r="J501" s="2">
        <v>965.0</v>
      </c>
      <c r="K501" s="2">
        <v>7.96845526503344</v>
      </c>
    </row>
    <row r="502">
      <c r="A502" s="2">
        <v>8.0</v>
      </c>
      <c r="B502" s="2" t="s">
        <v>173</v>
      </c>
      <c r="C502" s="2" t="s">
        <v>144</v>
      </c>
      <c r="D502" s="2" t="s">
        <v>145</v>
      </c>
      <c r="E502" s="2">
        <v>-45.0</v>
      </c>
      <c r="F502" s="2">
        <v>25.0</v>
      </c>
      <c r="G502" s="2">
        <v>24.2657490019379</v>
      </c>
      <c r="H502" s="2">
        <v>8.28658579755386</v>
      </c>
      <c r="I502" s="2">
        <v>850.0</v>
      </c>
      <c r="J502" s="2">
        <v>805.0</v>
      </c>
      <c r="K502" s="2">
        <v>8.33333333333333</v>
      </c>
    </row>
    <row r="503">
      <c r="A503" s="2">
        <v>7.0</v>
      </c>
      <c r="B503" s="2" t="s">
        <v>163</v>
      </c>
      <c r="C503" s="2" t="s">
        <v>142</v>
      </c>
      <c r="D503" s="2" t="s">
        <v>143</v>
      </c>
      <c r="E503" s="2">
        <v>64.0</v>
      </c>
      <c r="F503" s="2">
        <v>25.0</v>
      </c>
      <c r="G503" s="2">
        <v>25.8553819536935</v>
      </c>
      <c r="H503" s="2">
        <v>8.27350612266822</v>
      </c>
      <c r="I503" s="2">
        <v>850.0</v>
      </c>
      <c r="J503" s="2">
        <v>914.0</v>
      </c>
      <c r="K503" s="2">
        <v>8.33333333333333</v>
      </c>
    </row>
    <row r="504">
      <c r="A504" s="2">
        <v>7.0</v>
      </c>
      <c r="B504" s="2" t="s">
        <v>153</v>
      </c>
      <c r="C504" s="2" t="s">
        <v>142</v>
      </c>
      <c r="D504" s="2" t="s">
        <v>143</v>
      </c>
      <c r="E504" s="2">
        <v>62.0</v>
      </c>
      <c r="F504" s="2">
        <v>25.5822168197019</v>
      </c>
      <c r="G504" s="2">
        <v>26.4137740660585</v>
      </c>
      <c r="H504" s="2">
        <v>8.15927075284561</v>
      </c>
      <c r="I504" s="2">
        <v>902.0</v>
      </c>
      <c r="J504" s="2">
        <v>964.0</v>
      </c>
      <c r="K504" s="2">
        <v>8.21630826944937</v>
      </c>
    </row>
    <row r="505">
      <c r="A505" s="2">
        <v>7.0</v>
      </c>
      <c r="B505" s="2" t="s">
        <v>102</v>
      </c>
      <c r="C505" s="2" t="s">
        <v>142</v>
      </c>
      <c r="D505" s="2" t="s">
        <v>143</v>
      </c>
      <c r="E505" s="2">
        <v>63.0</v>
      </c>
      <c r="F505" s="2">
        <v>23.6175630808268</v>
      </c>
      <c r="G505" s="2">
        <v>24.4545970717775</v>
      </c>
      <c r="H505" s="2">
        <v>8.18568100582813</v>
      </c>
      <c r="I505" s="2">
        <v>765.0</v>
      </c>
      <c r="J505" s="2">
        <v>828.0</v>
      </c>
      <c r="K505" s="2">
        <v>8.2433566584626</v>
      </c>
    </row>
    <row r="506">
      <c r="A506" s="2">
        <v>7.0</v>
      </c>
      <c r="B506" s="2" t="s">
        <v>179</v>
      </c>
      <c r="C506" s="2" t="s">
        <v>144</v>
      </c>
      <c r="D506" s="2" t="s">
        <v>145</v>
      </c>
      <c r="E506" s="2">
        <v>-52.0</v>
      </c>
      <c r="F506" s="2">
        <v>25.0</v>
      </c>
      <c r="G506" s="2">
        <v>24.1446180463064</v>
      </c>
      <c r="H506" s="2">
        <v>8.27350612266822</v>
      </c>
      <c r="I506" s="2">
        <v>850.0</v>
      </c>
      <c r="J506" s="2">
        <v>798.0</v>
      </c>
      <c r="K506" s="2">
        <v>8.33333333333333</v>
      </c>
    </row>
    <row r="507">
      <c r="A507" s="2">
        <v>7.0</v>
      </c>
      <c r="B507" s="2" t="s">
        <v>124</v>
      </c>
      <c r="C507" s="2" t="s">
        <v>144</v>
      </c>
      <c r="D507" s="2" t="s">
        <v>145</v>
      </c>
      <c r="E507" s="2">
        <v>-52.0</v>
      </c>
      <c r="F507" s="2">
        <v>24.1510732254033</v>
      </c>
      <c r="G507" s="2">
        <v>23.3067723662919</v>
      </c>
      <c r="H507" s="2">
        <v>8.22058436837063</v>
      </c>
      <c r="I507" s="2">
        <v>798.0</v>
      </c>
      <c r="J507" s="2">
        <v>746.0</v>
      </c>
      <c r="K507" s="2">
        <v>8.27910964388814</v>
      </c>
    </row>
    <row r="508">
      <c r="A508" s="2">
        <v>7.0</v>
      </c>
      <c r="B508" s="2" t="s">
        <v>161</v>
      </c>
      <c r="C508" s="2" t="s">
        <v>144</v>
      </c>
      <c r="D508" s="2" t="s">
        <v>145</v>
      </c>
      <c r="E508" s="2">
        <v>-52.0</v>
      </c>
      <c r="F508" s="2">
        <v>25.0</v>
      </c>
      <c r="G508" s="2">
        <v>24.1446180463064</v>
      </c>
      <c r="H508" s="2">
        <v>8.27350612266822</v>
      </c>
      <c r="I508" s="2">
        <v>850.0</v>
      </c>
      <c r="J508" s="2">
        <v>798.0</v>
      </c>
      <c r="K508" s="2">
        <v>8.33333333333333</v>
      </c>
    </row>
    <row r="509">
      <c r="A509" s="2">
        <v>7.0</v>
      </c>
      <c r="B509" s="2" t="s">
        <v>123</v>
      </c>
      <c r="C509" s="2" t="s">
        <v>144</v>
      </c>
      <c r="D509" s="2" t="s">
        <v>145</v>
      </c>
      <c r="E509" s="2">
        <v>-51.0</v>
      </c>
      <c r="F509" s="2">
        <v>23.6175630808268</v>
      </c>
      <c r="G509" s="2">
        <v>22.7805290898761</v>
      </c>
      <c r="H509" s="2">
        <v>8.18568100582813</v>
      </c>
      <c r="I509" s="2">
        <v>765.0</v>
      </c>
      <c r="J509" s="2">
        <v>714.0</v>
      </c>
      <c r="K509" s="2">
        <v>8.2433566584626</v>
      </c>
    </row>
    <row r="510">
      <c r="A510" s="2">
        <v>7.0</v>
      </c>
      <c r="B510" s="2" t="s">
        <v>113</v>
      </c>
      <c r="C510" s="2" t="s">
        <v>144</v>
      </c>
      <c r="D510" s="2" t="s">
        <v>145</v>
      </c>
      <c r="E510" s="2">
        <v>-50.0</v>
      </c>
      <c r="F510" s="2">
        <v>22.2100215995608</v>
      </c>
      <c r="G510" s="2">
        <v>21.3879089475741</v>
      </c>
      <c r="H510" s="2">
        <v>8.11351170860217</v>
      </c>
      <c r="I510" s="2">
        <v>677.0</v>
      </c>
      <c r="J510" s="2">
        <v>627.0</v>
      </c>
      <c r="K510" s="2">
        <v>8.16945319982618</v>
      </c>
    </row>
    <row r="511">
      <c r="A511" s="2">
        <v>7.0</v>
      </c>
      <c r="B511" s="2" t="s">
        <v>70</v>
      </c>
      <c r="C511" s="2" t="s">
        <v>144</v>
      </c>
      <c r="D511" s="2" t="s">
        <v>145</v>
      </c>
      <c r="E511" s="2">
        <v>-50.0</v>
      </c>
      <c r="F511" s="2">
        <v>24.8247829654663</v>
      </c>
      <c r="G511" s="2">
        <v>24.0031664881868</v>
      </c>
      <c r="H511" s="2">
        <v>8.11110015542549</v>
      </c>
      <c r="I511" s="2">
        <v>855.0</v>
      </c>
      <c r="J511" s="2">
        <v>805.0</v>
      </c>
      <c r="K511" s="2">
        <v>8.16698422208713</v>
      </c>
    </row>
    <row r="512">
      <c r="A512" s="2">
        <v>7.0</v>
      </c>
      <c r="B512" s="2" t="s">
        <v>29</v>
      </c>
      <c r="C512" s="2" t="s">
        <v>144</v>
      </c>
      <c r="D512" s="2" t="s">
        <v>145</v>
      </c>
      <c r="E512" s="2">
        <v>-50.0</v>
      </c>
      <c r="F512" s="2">
        <v>25.4843563249122</v>
      </c>
      <c r="G512" s="2">
        <v>24.6705102159195</v>
      </c>
      <c r="H512" s="2">
        <v>8.07323404314545</v>
      </c>
      <c r="I512" s="2">
        <v>904.0</v>
      </c>
      <c r="J512" s="2">
        <v>854.0</v>
      </c>
      <c r="K512" s="2">
        <v>8.12822083850302</v>
      </c>
    </row>
    <row r="513">
      <c r="A513" s="2">
        <v>7.0</v>
      </c>
      <c r="B513" s="2" t="s">
        <v>64</v>
      </c>
      <c r="C513" s="2" t="s">
        <v>144</v>
      </c>
      <c r="D513" s="2" t="s">
        <v>145</v>
      </c>
      <c r="E513" s="2">
        <v>-48.0</v>
      </c>
      <c r="F513" s="2">
        <v>26.3764697520989</v>
      </c>
      <c r="G513" s="2">
        <v>25.5839237842953</v>
      </c>
      <c r="H513" s="2">
        <v>7.96845526503344</v>
      </c>
      <c r="I513" s="2">
        <v>975.0</v>
      </c>
      <c r="J513" s="2">
        <v>927.0</v>
      </c>
      <c r="K513" s="2">
        <v>8.02100208393256</v>
      </c>
    </row>
    <row r="514">
      <c r="A514" s="2">
        <v>7.0</v>
      </c>
      <c r="B514" s="2" t="s">
        <v>18</v>
      </c>
      <c r="C514" s="2" t="s">
        <v>144</v>
      </c>
      <c r="D514" s="2" t="s">
        <v>145</v>
      </c>
      <c r="E514" s="2">
        <v>-49.0</v>
      </c>
      <c r="F514" s="2">
        <v>27.540744509034</v>
      </c>
      <c r="G514" s="2">
        <v>26.7481985412304</v>
      </c>
      <c r="H514" s="2">
        <v>7.96845526503344</v>
      </c>
      <c r="I514" s="2">
        <v>1055.0</v>
      </c>
      <c r="J514" s="2">
        <v>1006.0</v>
      </c>
      <c r="K514" s="2">
        <v>8.02100208393256</v>
      </c>
    </row>
    <row r="515">
      <c r="A515" s="2">
        <v>6.0</v>
      </c>
      <c r="B515" s="2" t="s">
        <v>29</v>
      </c>
      <c r="C515" s="2" t="s">
        <v>142</v>
      </c>
      <c r="D515" s="2" t="s">
        <v>143</v>
      </c>
      <c r="E515" s="2">
        <v>49.0</v>
      </c>
      <c r="F515" s="2">
        <v>24.8247829654663</v>
      </c>
      <c r="G515" s="2">
        <v>25.4843563249122</v>
      </c>
      <c r="H515" s="2">
        <v>8.12822083850302</v>
      </c>
      <c r="I515" s="2">
        <v>855.0</v>
      </c>
      <c r="J515" s="2">
        <v>904.0</v>
      </c>
      <c r="K515" s="2">
        <v>8.16698422208713</v>
      </c>
    </row>
    <row r="516">
      <c r="A516" s="2">
        <v>6.0</v>
      </c>
      <c r="B516" s="2" t="s">
        <v>31</v>
      </c>
      <c r="C516" s="2" t="s">
        <v>142</v>
      </c>
      <c r="D516" s="2" t="s">
        <v>143</v>
      </c>
      <c r="E516" s="2">
        <v>50.0</v>
      </c>
      <c r="F516" s="2">
        <v>25.7038316927493</v>
      </c>
      <c r="G516" s="2">
        <v>26.3824369191731</v>
      </c>
      <c r="H516" s="2">
        <v>8.2433566584626</v>
      </c>
      <c r="I516" s="2">
        <v>903.0</v>
      </c>
      <c r="J516" s="2">
        <v>953.0</v>
      </c>
      <c r="K516" s="2">
        <v>8.28413143964352</v>
      </c>
    </row>
    <row r="517">
      <c r="A517" s="2">
        <v>6.0</v>
      </c>
      <c r="B517" s="2" t="s">
        <v>55</v>
      </c>
      <c r="C517" s="2" t="s">
        <v>142</v>
      </c>
      <c r="D517" s="2" t="s">
        <v>143</v>
      </c>
      <c r="E517" s="2">
        <v>50.0</v>
      </c>
      <c r="F517" s="2">
        <v>24.2961683072506</v>
      </c>
      <c r="G517" s="2">
        <v>24.9747735336744</v>
      </c>
      <c r="H517" s="2">
        <v>8.2433566584626</v>
      </c>
      <c r="I517" s="2">
        <v>807.0</v>
      </c>
      <c r="J517" s="2">
        <v>857.0</v>
      </c>
      <c r="K517" s="2">
        <v>8.28413143964352</v>
      </c>
    </row>
    <row r="518">
      <c r="A518" s="2">
        <v>6.0</v>
      </c>
      <c r="B518" s="2" t="s">
        <v>18</v>
      </c>
      <c r="C518" s="2" t="s">
        <v>144</v>
      </c>
      <c r="D518" s="2" t="s">
        <v>145</v>
      </c>
      <c r="E518" s="2">
        <v>-40.0</v>
      </c>
      <c r="F518" s="2">
        <v>28.1828460805048</v>
      </c>
      <c r="G518" s="2">
        <v>27.540744509034</v>
      </c>
      <c r="H518" s="2">
        <v>8.02100208393256</v>
      </c>
      <c r="I518" s="2">
        <v>1095.0</v>
      </c>
      <c r="J518" s="2">
        <v>1055.0</v>
      </c>
      <c r="K518" s="2">
        <v>8.05794051692844</v>
      </c>
    </row>
    <row r="519">
      <c r="A519" s="2">
        <v>6.0</v>
      </c>
      <c r="B519" s="2" t="s">
        <v>77</v>
      </c>
      <c r="C519" s="2" t="s">
        <v>144</v>
      </c>
      <c r="D519" s="2" t="s">
        <v>145</v>
      </c>
      <c r="E519" s="2">
        <v>-41.0</v>
      </c>
      <c r="F519" s="2">
        <v>25.1752170345336</v>
      </c>
      <c r="G519" s="2">
        <v>24.5156436750877</v>
      </c>
      <c r="H519" s="2">
        <v>8.12822083850302</v>
      </c>
      <c r="I519" s="2">
        <v>879.0</v>
      </c>
      <c r="J519" s="2">
        <v>838.0</v>
      </c>
      <c r="K519" s="2">
        <v>8.16698422208713</v>
      </c>
    </row>
    <row r="520">
      <c r="A520" s="2">
        <v>6.0</v>
      </c>
      <c r="B520" s="2" t="s">
        <v>86</v>
      </c>
      <c r="C520" s="2" t="s">
        <v>144</v>
      </c>
      <c r="D520" s="2" t="s">
        <v>145</v>
      </c>
      <c r="E520" s="2">
        <v>-42.0</v>
      </c>
      <c r="F520" s="2">
        <v>24.2258907982992</v>
      </c>
      <c r="G520" s="2">
        <v>23.5476849429699</v>
      </c>
      <c r="H520" s="2">
        <v>8.24095788201659</v>
      </c>
      <c r="I520" s="2">
        <v>803.0</v>
      </c>
      <c r="J520" s="2">
        <v>761.0</v>
      </c>
      <c r="K520" s="2">
        <v>8.28169020464689</v>
      </c>
    </row>
    <row r="521">
      <c r="A521" s="2">
        <v>6.0</v>
      </c>
      <c r="B521" s="2" t="s">
        <v>53</v>
      </c>
      <c r="C521" s="2" t="s">
        <v>144</v>
      </c>
      <c r="D521" s="2" t="s">
        <v>145</v>
      </c>
      <c r="E521" s="2">
        <v>-42.0</v>
      </c>
      <c r="F521" s="2">
        <v>24.2961683072506</v>
      </c>
      <c r="G521" s="2">
        <v>23.6175630808268</v>
      </c>
      <c r="H521" s="2">
        <v>8.2433566584626</v>
      </c>
      <c r="I521" s="2">
        <v>807.0</v>
      </c>
      <c r="J521" s="2">
        <v>765.0</v>
      </c>
      <c r="K521" s="2">
        <v>8.28413143964352</v>
      </c>
    </row>
    <row r="522">
      <c r="A522" s="2">
        <v>6.0</v>
      </c>
      <c r="B522" s="2" t="s">
        <v>32</v>
      </c>
      <c r="C522" s="2" t="s">
        <v>144</v>
      </c>
      <c r="D522" s="2" t="s">
        <v>145</v>
      </c>
      <c r="E522" s="2">
        <v>-41.0</v>
      </c>
      <c r="F522" s="2">
        <v>24.7593778970481</v>
      </c>
      <c r="G522" s="2">
        <v>24.0997595679105</v>
      </c>
      <c r="H522" s="2">
        <v>8.12849489795147</v>
      </c>
      <c r="I522" s="2">
        <v>851.0</v>
      </c>
      <c r="J522" s="2">
        <v>810.0</v>
      </c>
      <c r="K522" s="2">
        <v>8.16726300536887</v>
      </c>
    </row>
    <row r="523">
      <c r="A523" s="2">
        <v>6.0</v>
      </c>
      <c r="B523" s="2" t="s">
        <v>180</v>
      </c>
      <c r="C523" s="2" t="s">
        <v>144</v>
      </c>
      <c r="D523" s="2" t="s">
        <v>145</v>
      </c>
      <c r="E523" s="2">
        <v>-41.0</v>
      </c>
      <c r="F523" s="2">
        <v>23.5307443557848</v>
      </c>
      <c r="G523" s="2">
        <v>22.8603928803792</v>
      </c>
      <c r="H523" s="2">
        <v>8.19363217386968</v>
      </c>
      <c r="I523" s="2">
        <v>760.0</v>
      </c>
      <c r="J523" s="2">
        <v>719.0</v>
      </c>
      <c r="K523" s="2">
        <v>8.23353165129513</v>
      </c>
    </row>
    <row r="524">
      <c r="A524" s="2">
        <v>6.0</v>
      </c>
      <c r="B524" s="2" t="s">
        <v>64</v>
      </c>
      <c r="C524" s="2" t="s">
        <v>144</v>
      </c>
      <c r="D524" s="2" t="s">
        <v>145</v>
      </c>
      <c r="E524" s="2">
        <v>-40.0</v>
      </c>
      <c r="F524" s="2">
        <v>27.0185713235697</v>
      </c>
      <c r="G524" s="2">
        <v>26.3764697520989</v>
      </c>
      <c r="H524" s="2">
        <v>8.02100208393256</v>
      </c>
      <c r="I524" s="2">
        <v>1015.0</v>
      </c>
      <c r="J524" s="2">
        <v>975.0</v>
      </c>
      <c r="K524" s="2">
        <v>8.05794051692844</v>
      </c>
    </row>
    <row r="525">
      <c r="A525" s="2">
        <v>6.0</v>
      </c>
      <c r="B525" s="2" t="s">
        <v>102</v>
      </c>
      <c r="C525" s="2" t="s">
        <v>144</v>
      </c>
      <c r="D525" s="2" t="s">
        <v>145</v>
      </c>
      <c r="E525" s="2">
        <v>-42.0</v>
      </c>
      <c r="F525" s="2">
        <v>24.2961683072506</v>
      </c>
      <c r="G525" s="2">
        <v>23.6175630808268</v>
      </c>
      <c r="H525" s="2">
        <v>8.2433566584626</v>
      </c>
      <c r="I525" s="2">
        <v>807.0</v>
      </c>
      <c r="J525" s="2">
        <v>765.0</v>
      </c>
      <c r="K525" s="2">
        <v>8.28413143964352</v>
      </c>
    </row>
    <row r="526">
      <c r="A526" s="2">
        <v>6.0</v>
      </c>
      <c r="B526" s="2" t="s">
        <v>46</v>
      </c>
      <c r="C526" s="2" t="s">
        <v>144</v>
      </c>
      <c r="D526" s="2" t="s">
        <v>145</v>
      </c>
      <c r="E526" s="2">
        <v>-42.0</v>
      </c>
      <c r="F526" s="2">
        <v>23.6908797854337</v>
      </c>
      <c r="G526" s="2">
        <v>23.0150964995971</v>
      </c>
      <c r="H526" s="2">
        <v>8.22639131801024</v>
      </c>
      <c r="I526" s="2">
        <v>768.0</v>
      </c>
      <c r="J526" s="2">
        <v>726.0</v>
      </c>
      <c r="K526" s="2">
        <v>8.26686631865523</v>
      </c>
    </row>
    <row r="527">
      <c r="A527" s="2">
        <v>6.0</v>
      </c>
      <c r="B527" s="2" t="s">
        <v>27</v>
      </c>
      <c r="C527" s="2" t="s">
        <v>144</v>
      </c>
      <c r="D527" s="2" t="s">
        <v>145</v>
      </c>
      <c r="E527" s="2">
        <v>-42.0</v>
      </c>
      <c r="F527" s="2">
        <v>25.0</v>
      </c>
      <c r="G527" s="2">
        <v>24.3133205523394</v>
      </c>
      <c r="H527" s="2">
        <v>8.29169785481571</v>
      </c>
      <c r="I527" s="2">
        <v>850.0</v>
      </c>
      <c r="J527" s="2">
        <v>808.0</v>
      </c>
      <c r="K527" s="2">
        <v>8.33333333333333</v>
      </c>
    </row>
    <row r="528">
      <c r="A528" s="2">
        <v>6.0</v>
      </c>
      <c r="B528" s="2" t="s">
        <v>177</v>
      </c>
      <c r="C528" s="2" t="s">
        <v>144</v>
      </c>
      <c r="D528" s="2" t="s">
        <v>145</v>
      </c>
      <c r="E528" s="2">
        <v>-42.0</v>
      </c>
      <c r="F528" s="2">
        <v>25.0</v>
      </c>
      <c r="G528" s="2">
        <v>24.3133205523394</v>
      </c>
      <c r="H528" s="2">
        <v>8.29169785481571</v>
      </c>
      <c r="I528" s="2">
        <v>850.0</v>
      </c>
      <c r="J528" s="2">
        <v>808.0</v>
      </c>
      <c r="K528" s="2">
        <v>8.33333333333333</v>
      </c>
    </row>
    <row r="529">
      <c r="A529" s="2">
        <v>6.0</v>
      </c>
      <c r="B529" s="2" t="s">
        <v>123</v>
      </c>
      <c r="C529" s="2" t="s">
        <v>144</v>
      </c>
      <c r="D529" s="2" t="s">
        <v>145</v>
      </c>
      <c r="E529" s="2">
        <v>-42.0</v>
      </c>
      <c r="F529" s="2">
        <v>24.2961683072506</v>
      </c>
      <c r="G529" s="2">
        <v>23.6175630808268</v>
      </c>
      <c r="H529" s="2">
        <v>8.2433566584626</v>
      </c>
      <c r="I529" s="2">
        <v>807.0</v>
      </c>
      <c r="J529" s="2">
        <v>765.0</v>
      </c>
      <c r="K529" s="2">
        <v>8.28413143964352</v>
      </c>
    </row>
    <row r="530">
      <c r="A530" s="2">
        <v>5.0</v>
      </c>
      <c r="B530" s="2" t="s">
        <v>77</v>
      </c>
      <c r="C530" s="2" t="s">
        <v>142</v>
      </c>
      <c r="D530" s="2" t="s">
        <v>143</v>
      </c>
      <c r="E530" s="2">
        <v>51.0</v>
      </c>
      <c r="F530" s="2">
        <v>24.4914078569962</v>
      </c>
      <c r="G530" s="2">
        <v>25.1752170345336</v>
      </c>
      <c r="H530" s="2">
        <v>8.16698422208713</v>
      </c>
      <c r="I530" s="2">
        <v>828.0</v>
      </c>
      <c r="J530" s="2">
        <v>879.0</v>
      </c>
      <c r="K530" s="2">
        <v>8.21378946285855</v>
      </c>
    </row>
    <row r="531">
      <c r="A531" s="2">
        <v>5.0</v>
      </c>
      <c r="B531" s="2" t="s">
        <v>31</v>
      </c>
      <c r="C531" s="2" t="s">
        <v>142</v>
      </c>
      <c r="D531" s="2" t="s">
        <v>143</v>
      </c>
      <c r="E531" s="2">
        <v>53.0</v>
      </c>
      <c r="F531" s="2">
        <v>25.0</v>
      </c>
      <c r="G531" s="2">
        <v>25.7038316927493</v>
      </c>
      <c r="H531" s="2">
        <v>8.28413143964352</v>
      </c>
      <c r="I531" s="2">
        <v>850.0</v>
      </c>
      <c r="J531" s="2">
        <v>903.0</v>
      </c>
      <c r="K531" s="2">
        <v>8.33333333333333</v>
      </c>
    </row>
    <row r="532">
      <c r="A532" s="2">
        <v>5.0</v>
      </c>
      <c r="B532" s="2" t="s">
        <v>18</v>
      </c>
      <c r="C532" s="2" t="s">
        <v>142</v>
      </c>
      <c r="D532" s="2" t="s">
        <v>143</v>
      </c>
      <c r="E532" s="2">
        <v>50.0</v>
      </c>
      <c r="F532" s="2">
        <v>27.5174047113531</v>
      </c>
      <c r="G532" s="2">
        <v>28.1828460805048</v>
      </c>
      <c r="H532" s="2">
        <v>8.05794051692844</v>
      </c>
      <c r="I532" s="2">
        <v>1045.0</v>
      </c>
      <c r="J532" s="2">
        <v>1095.0</v>
      </c>
      <c r="K532" s="2">
        <v>8.10257400880896</v>
      </c>
    </row>
    <row r="533">
      <c r="A533" s="2">
        <v>5.0</v>
      </c>
      <c r="B533" s="2" t="s">
        <v>53</v>
      </c>
      <c r="C533" s="2" t="s">
        <v>144</v>
      </c>
      <c r="D533" s="2" t="s">
        <v>145</v>
      </c>
      <c r="E533" s="2">
        <v>-43.0</v>
      </c>
      <c r="F533" s="2">
        <v>25.0</v>
      </c>
      <c r="G533" s="2">
        <v>24.2961683072506</v>
      </c>
      <c r="H533" s="2">
        <v>8.28413143964352</v>
      </c>
      <c r="I533" s="2">
        <v>850.0</v>
      </c>
      <c r="J533" s="2">
        <v>807.0</v>
      </c>
      <c r="K533" s="2">
        <v>8.33333333333333</v>
      </c>
    </row>
    <row r="534">
      <c r="A534" s="2">
        <v>5.0</v>
      </c>
      <c r="B534" s="2" t="s">
        <v>64</v>
      </c>
      <c r="C534" s="2" t="s">
        <v>144</v>
      </c>
      <c r="D534" s="2" t="s">
        <v>145</v>
      </c>
      <c r="E534" s="2">
        <v>-41.0</v>
      </c>
      <c r="F534" s="2">
        <v>27.6840126927214</v>
      </c>
      <c r="G534" s="2">
        <v>27.0185713235697</v>
      </c>
      <c r="H534" s="2">
        <v>8.05794051692844</v>
      </c>
      <c r="I534" s="2">
        <v>1056.0</v>
      </c>
      <c r="J534" s="2">
        <v>1015.0</v>
      </c>
      <c r="K534" s="2">
        <v>8.10257400880896</v>
      </c>
    </row>
    <row r="535">
      <c r="A535" s="2">
        <v>5.0</v>
      </c>
      <c r="B535" s="2" t="s">
        <v>123</v>
      </c>
      <c r="C535" s="2" t="s">
        <v>144</v>
      </c>
      <c r="D535" s="2" t="s">
        <v>145</v>
      </c>
      <c r="E535" s="2">
        <v>-43.0</v>
      </c>
      <c r="F535" s="2">
        <v>25.0</v>
      </c>
      <c r="G535" s="2">
        <v>24.2961683072506</v>
      </c>
      <c r="H535" s="2">
        <v>8.28413143964352</v>
      </c>
      <c r="I535" s="2">
        <v>850.0</v>
      </c>
      <c r="J535" s="2">
        <v>807.0</v>
      </c>
      <c r="K535" s="2">
        <v>8.33333333333333</v>
      </c>
    </row>
    <row r="536">
      <c r="A536" s="2">
        <v>5.0</v>
      </c>
      <c r="B536" s="2" t="s">
        <v>55</v>
      </c>
      <c r="C536" s="2" t="s">
        <v>144</v>
      </c>
      <c r="D536" s="2" t="s">
        <v>145</v>
      </c>
      <c r="E536" s="2">
        <v>-43.0</v>
      </c>
      <c r="F536" s="2">
        <v>25.0</v>
      </c>
      <c r="G536" s="2">
        <v>24.2961683072506</v>
      </c>
      <c r="H536" s="2">
        <v>8.28413143964352</v>
      </c>
      <c r="I536" s="2">
        <v>850.0</v>
      </c>
      <c r="J536" s="2">
        <v>807.0</v>
      </c>
      <c r="K536" s="2">
        <v>8.33333333333333</v>
      </c>
    </row>
    <row r="537">
      <c r="A537" s="2">
        <v>5.0</v>
      </c>
      <c r="B537" s="2" t="s">
        <v>29</v>
      </c>
      <c r="C537" s="2" t="s">
        <v>144</v>
      </c>
      <c r="D537" s="2" t="s">
        <v>145</v>
      </c>
      <c r="E537" s="2">
        <v>-42.0</v>
      </c>
      <c r="F537" s="2">
        <v>25.5085921430037</v>
      </c>
      <c r="G537" s="2">
        <v>24.8247829654663</v>
      </c>
      <c r="H537" s="2">
        <v>8.16698422208713</v>
      </c>
      <c r="I537" s="2">
        <v>897.0</v>
      </c>
      <c r="J537" s="2">
        <v>855.0</v>
      </c>
      <c r="K537" s="2">
        <v>8.21378946285855</v>
      </c>
    </row>
    <row r="538">
      <c r="A538" s="2">
        <v>5.0</v>
      </c>
      <c r="B538" s="2" t="s">
        <v>180</v>
      </c>
      <c r="C538" s="2" t="s">
        <v>144</v>
      </c>
      <c r="D538" s="2" t="s">
        <v>145</v>
      </c>
      <c r="E538" s="2">
        <v>-43.0</v>
      </c>
      <c r="F538" s="2">
        <v>24.2258907982992</v>
      </c>
      <c r="G538" s="2">
        <v>23.5307443557848</v>
      </c>
      <c r="H538" s="2">
        <v>8.23353165129513</v>
      </c>
      <c r="I538" s="2">
        <v>803.0</v>
      </c>
      <c r="J538" s="2">
        <v>760.0</v>
      </c>
      <c r="K538" s="2">
        <v>8.28169020464689</v>
      </c>
    </row>
    <row r="539">
      <c r="A539" s="2">
        <v>5.0</v>
      </c>
      <c r="B539" s="2" t="s">
        <v>113</v>
      </c>
      <c r="C539" s="2" t="s">
        <v>144</v>
      </c>
      <c r="D539" s="2" t="s">
        <v>145</v>
      </c>
      <c r="E539" s="2">
        <v>-42.0</v>
      </c>
      <c r="F539" s="2">
        <v>22.8942496707679</v>
      </c>
      <c r="G539" s="2">
        <v>22.2100215995608</v>
      </c>
      <c r="H539" s="2">
        <v>8.16945319982618</v>
      </c>
      <c r="I539" s="2">
        <v>719.0</v>
      </c>
      <c r="J539" s="2">
        <v>677.0</v>
      </c>
      <c r="K539" s="2">
        <v>8.21630826944937</v>
      </c>
    </row>
    <row r="540">
      <c r="A540" s="2">
        <v>5.0</v>
      </c>
      <c r="B540" s="2" t="s">
        <v>102</v>
      </c>
      <c r="C540" s="2" t="s">
        <v>144</v>
      </c>
      <c r="D540" s="2" t="s">
        <v>145</v>
      </c>
      <c r="E540" s="2">
        <v>-43.0</v>
      </c>
      <c r="F540" s="2">
        <v>25.0</v>
      </c>
      <c r="G540" s="2">
        <v>24.2961683072506</v>
      </c>
      <c r="H540" s="2">
        <v>8.28413143964352</v>
      </c>
      <c r="I540" s="2">
        <v>850.0</v>
      </c>
      <c r="J540" s="2">
        <v>807.0</v>
      </c>
      <c r="K540" s="2">
        <v>8.33333333333333</v>
      </c>
    </row>
    <row r="541">
      <c r="A541" s="2">
        <v>5.0</v>
      </c>
      <c r="B541" s="2" t="s">
        <v>70</v>
      </c>
      <c r="C541" s="2" t="s">
        <v>144</v>
      </c>
      <c r="D541" s="2" t="s">
        <v>145</v>
      </c>
      <c r="E541" s="2">
        <v>-42.0</v>
      </c>
      <c r="F541" s="2">
        <v>25.5085921430037</v>
      </c>
      <c r="G541" s="2">
        <v>24.8247829654663</v>
      </c>
      <c r="H541" s="2">
        <v>8.16698422208713</v>
      </c>
      <c r="I541" s="2">
        <v>897.0</v>
      </c>
      <c r="J541" s="2">
        <v>855.0</v>
      </c>
      <c r="K541" s="2">
        <v>8.21378946285855</v>
      </c>
    </row>
    <row r="542">
      <c r="A542" s="2">
        <v>5.0</v>
      </c>
      <c r="B542" s="2" t="s">
        <v>32</v>
      </c>
      <c r="C542" s="2" t="s">
        <v>144</v>
      </c>
      <c r="D542" s="2" t="s">
        <v>145</v>
      </c>
      <c r="E542" s="2">
        <v>-41.0</v>
      </c>
      <c r="F542" s="2">
        <v>25.4432343670612</v>
      </c>
      <c r="G542" s="2">
        <v>24.7593778970481</v>
      </c>
      <c r="H542" s="2">
        <v>8.16726300536887</v>
      </c>
      <c r="I542" s="2">
        <v>892.0</v>
      </c>
      <c r="J542" s="2">
        <v>851.0</v>
      </c>
      <c r="K542" s="2">
        <v>8.21407387107495</v>
      </c>
    </row>
    <row r="543">
      <c r="A543" s="2">
        <v>4.0</v>
      </c>
      <c r="B543" s="2" t="s">
        <v>46</v>
      </c>
      <c r="C543" s="2" t="s">
        <v>142</v>
      </c>
      <c r="D543" s="2" t="s">
        <v>145</v>
      </c>
      <c r="E543" s="2">
        <v>-82.0</v>
      </c>
      <c r="F543" s="2">
        <v>25.0</v>
      </c>
      <c r="G543" s="2">
        <v>23.6908797854337</v>
      </c>
      <c r="H543" s="2">
        <v>8.26686631865523</v>
      </c>
      <c r="I543" s="2">
        <v>850.0</v>
      </c>
      <c r="J543" s="2">
        <v>768.0</v>
      </c>
      <c r="K543" s="2">
        <v>8.33333333333333</v>
      </c>
    </row>
    <row r="544">
      <c r="A544" s="2">
        <v>4.0</v>
      </c>
      <c r="B544" s="2" t="s">
        <v>85</v>
      </c>
      <c r="C544" s="2" t="s">
        <v>142</v>
      </c>
      <c r="D544" s="2" t="s">
        <v>145</v>
      </c>
      <c r="E544" s="2">
        <v>-82.0</v>
      </c>
      <c r="F544" s="2">
        <v>24.2258907982992</v>
      </c>
      <c r="G544" s="2">
        <v>22.9329250660733</v>
      </c>
      <c r="H544" s="2">
        <v>8.21658672242448</v>
      </c>
      <c r="I544" s="2">
        <v>803.0</v>
      </c>
      <c r="J544" s="2">
        <v>721.0</v>
      </c>
      <c r="K544" s="2">
        <v>8.28169020464689</v>
      </c>
    </row>
    <row r="545">
      <c r="A545" s="2">
        <v>4.0</v>
      </c>
      <c r="B545" s="2" t="s">
        <v>176</v>
      </c>
      <c r="C545" s="2" t="s">
        <v>142</v>
      </c>
      <c r="D545" s="2" t="s">
        <v>145</v>
      </c>
      <c r="E545" s="2">
        <v>-82.0</v>
      </c>
      <c r="F545" s="2">
        <v>25.0</v>
      </c>
      <c r="G545" s="2">
        <v>23.6908797854337</v>
      </c>
      <c r="H545" s="2">
        <v>8.26686631865523</v>
      </c>
      <c r="I545" s="2">
        <v>850.0</v>
      </c>
      <c r="J545" s="2">
        <v>768.0</v>
      </c>
      <c r="K545" s="2">
        <v>8.33333333333333</v>
      </c>
    </row>
    <row r="546">
      <c r="A546" s="2">
        <v>4.0</v>
      </c>
      <c r="B546" s="2" t="s">
        <v>64</v>
      </c>
      <c r="C546" s="2" t="s">
        <v>144</v>
      </c>
      <c r="D546" s="2" t="s">
        <v>143</v>
      </c>
      <c r="E546" s="2">
        <v>92.0</v>
      </c>
      <c r="F546" s="2">
        <v>26.4272875651511</v>
      </c>
      <c r="G546" s="2">
        <v>27.6840126927214</v>
      </c>
      <c r="H546" s="2">
        <v>8.10257400880896</v>
      </c>
      <c r="I546" s="2">
        <v>964.0</v>
      </c>
      <c r="J546" s="2">
        <v>1056.0</v>
      </c>
      <c r="K546" s="2">
        <v>8.16464686417101</v>
      </c>
    </row>
    <row r="547">
      <c r="A547" s="2">
        <v>4.0</v>
      </c>
      <c r="B547" s="2" t="s">
        <v>43</v>
      </c>
      <c r="C547" s="2" t="s">
        <v>144</v>
      </c>
      <c r="D547" s="2" t="s">
        <v>143</v>
      </c>
      <c r="E547" s="2">
        <v>91.0</v>
      </c>
      <c r="F547" s="2">
        <v>24.7565047022246</v>
      </c>
      <c r="G547" s="2">
        <v>26.0132298297948</v>
      </c>
      <c r="H547" s="2">
        <v>8.10257400880896</v>
      </c>
      <c r="I547" s="2">
        <v>851.0</v>
      </c>
      <c r="J547" s="2">
        <v>942.0</v>
      </c>
      <c r="K547" s="2">
        <v>8.16464686417101</v>
      </c>
    </row>
    <row r="548">
      <c r="A548" s="2">
        <v>4.0</v>
      </c>
      <c r="B548" s="2" t="s">
        <v>117</v>
      </c>
      <c r="C548" s="2" t="s">
        <v>144</v>
      </c>
      <c r="D548" s="2" t="s">
        <v>143</v>
      </c>
      <c r="E548" s="2">
        <v>94.0</v>
      </c>
      <c r="F548" s="2">
        <v>26.343983574467</v>
      </c>
      <c r="G548" s="2">
        <v>27.6322310920737</v>
      </c>
      <c r="H548" s="2">
        <v>8.20183930000269</v>
      </c>
      <c r="I548" s="2">
        <v>948.0</v>
      </c>
      <c r="J548" s="2">
        <v>1042.0</v>
      </c>
      <c r="K548" s="2">
        <v>8.26654600100898</v>
      </c>
    </row>
    <row r="549">
      <c r="A549" s="2">
        <v>4.0</v>
      </c>
      <c r="B549" s="2" t="s">
        <v>91</v>
      </c>
      <c r="C549" s="2" t="s">
        <v>144</v>
      </c>
      <c r="D549" s="2" t="s">
        <v>143</v>
      </c>
      <c r="E549" s="2">
        <v>92.0</v>
      </c>
      <c r="F549" s="2">
        <v>22.0685375532906</v>
      </c>
      <c r="G549" s="2">
        <v>23.3252626808608</v>
      </c>
      <c r="H549" s="2">
        <v>8.10257400880896</v>
      </c>
      <c r="I549" s="2">
        <v>668.0</v>
      </c>
      <c r="J549" s="2">
        <v>760.0</v>
      </c>
      <c r="K549" s="2">
        <v>8.16464686417101</v>
      </c>
    </row>
    <row r="550">
      <c r="A550" s="2">
        <v>4.0</v>
      </c>
      <c r="B550" s="2" t="s">
        <v>160</v>
      </c>
      <c r="C550" s="2" t="s">
        <v>144</v>
      </c>
      <c r="D550" s="2" t="s">
        <v>143</v>
      </c>
      <c r="E550" s="2">
        <v>96.0</v>
      </c>
      <c r="F550" s="2">
        <v>25.0</v>
      </c>
      <c r="G550" s="2">
        <v>26.3091202145662</v>
      </c>
      <c r="H550" s="2">
        <v>8.26686631865523</v>
      </c>
      <c r="I550" s="2">
        <v>850.0</v>
      </c>
      <c r="J550" s="2">
        <v>946.0</v>
      </c>
      <c r="K550" s="2">
        <v>8.33333333333333</v>
      </c>
    </row>
    <row r="551">
      <c r="A551" s="2">
        <v>4.0</v>
      </c>
      <c r="B551" s="2" t="s">
        <v>51</v>
      </c>
      <c r="C551" s="2" t="s">
        <v>144</v>
      </c>
      <c r="D551" s="2" t="s">
        <v>143</v>
      </c>
      <c r="E551" s="2">
        <v>96.0</v>
      </c>
      <c r="F551" s="2">
        <v>25.0</v>
      </c>
      <c r="G551" s="2">
        <v>26.3091202145662</v>
      </c>
      <c r="H551" s="2">
        <v>8.26686631865523</v>
      </c>
      <c r="I551" s="2">
        <v>850.0</v>
      </c>
      <c r="J551" s="2">
        <v>946.0</v>
      </c>
      <c r="K551" s="2">
        <v>8.33333333333333</v>
      </c>
    </row>
    <row r="552">
      <c r="A552" s="2">
        <v>4.0</v>
      </c>
      <c r="B552" s="2" t="s">
        <v>32</v>
      </c>
      <c r="C552" s="2" t="s">
        <v>144</v>
      </c>
      <c r="D552" s="2" t="s">
        <v>143</v>
      </c>
      <c r="E552" s="2">
        <v>94.0</v>
      </c>
      <c r="F552" s="2">
        <v>24.1510732254033</v>
      </c>
      <c r="G552" s="2">
        <v>25.4432343670612</v>
      </c>
      <c r="H552" s="2">
        <v>8.21407387107495</v>
      </c>
      <c r="I552" s="2">
        <v>798.0</v>
      </c>
      <c r="J552" s="2">
        <v>892.0</v>
      </c>
      <c r="K552" s="2">
        <v>8.27910964388814</v>
      </c>
    </row>
    <row r="553">
      <c r="A553" s="2">
        <v>4.0</v>
      </c>
      <c r="B553" s="2" t="s">
        <v>18</v>
      </c>
      <c r="C553" s="2" t="s">
        <v>144</v>
      </c>
      <c r="D553" s="2" t="s">
        <v>143</v>
      </c>
      <c r="E553" s="2">
        <v>92.0</v>
      </c>
      <c r="F553" s="2">
        <v>26.2606795837828</v>
      </c>
      <c r="G553" s="2">
        <v>27.5174047113531</v>
      </c>
      <c r="H553" s="2">
        <v>8.10257400880896</v>
      </c>
      <c r="I553" s="2">
        <v>953.0</v>
      </c>
      <c r="J553" s="2">
        <v>1045.0</v>
      </c>
      <c r="K553" s="2">
        <v>8.16464686417101</v>
      </c>
    </row>
    <row r="554">
      <c r="A554" s="2">
        <v>4.0</v>
      </c>
      <c r="B554" s="2" t="s">
        <v>99</v>
      </c>
      <c r="C554" s="2" t="s">
        <v>144</v>
      </c>
      <c r="D554" s="2" t="s">
        <v>143</v>
      </c>
      <c r="E554" s="2">
        <v>94.0</v>
      </c>
      <c r="F554" s="2">
        <v>24.1510732254033</v>
      </c>
      <c r="G554" s="2">
        <v>25.4432343670612</v>
      </c>
      <c r="H554" s="2">
        <v>8.21407387107495</v>
      </c>
      <c r="I554" s="2">
        <v>798.0</v>
      </c>
      <c r="J554" s="2">
        <v>892.0</v>
      </c>
      <c r="K554" s="2">
        <v>8.27910964388814</v>
      </c>
    </row>
    <row r="555">
      <c r="A555" s="2">
        <v>4.0</v>
      </c>
      <c r="B555" s="2" t="s">
        <v>61</v>
      </c>
      <c r="C555" s="2" t="s">
        <v>144</v>
      </c>
      <c r="D555" s="2" t="s">
        <v>143</v>
      </c>
      <c r="E555" s="2">
        <v>93.0</v>
      </c>
      <c r="F555" s="2">
        <v>25.5822168197019</v>
      </c>
      <c r="G555" s="2">
        <v>26.8548744857583</v>
      </c>
      <c r="H555" s="2">
        <v>8.15290788777569</v>
      </c>
      <c r="I555" s="2">
        <v>902.0</v>
      </c>
      <c r="J555" s="2">
        <v>995.0</v>
      </c>
      <c r="K555" s="2">
        <v>8.21630826944937</v>
      </c>
    </row>
    <row r="556">
      <c r="A556" s="2">
        <v>3.0</v>
      </c>
      <c r="B556" s="2" t="s">
        <v>18</v>
      </c>
      <c r="C556" s="2" t="s">
        <v>142</v>
      </c>
      <c r="D556" s="2" t="s">
        <v>143</v>
      </c>
      <c r="E556" s="2">
        <v>56.0</v>
      </c>
      <c r="F556" s="2">
        <v>25.5085921430037</v>
      </c>
      <c r="G556" s="2">
        <v>26.2606795837828</v>
      </c>
      <c r="H556" s="2">
        <v>8.16464686417101</v>
      </c>
      <c r="I556" s="2">
        <v>897.0</v>
      </c>
      <c r="J556" s="2">
        <v>953.0</v>
      </c>
      <c r="K556" s="2">
        <v>8.21378946285855</v>
      </c>
    </row>
    <row r="557">
      <c r="A557" s="2">
        <v>3.0</v>
      </c>
      <c r="B557" s="2" t="s">
        <v>157</v>
      </c>
      <c r="C557" s="2" t="s">
        <v>142</v>
      </c>
      <c r="D557" s="2" t="s">
        <v>143</v>
      </c>
      <c r="E557" s="2">
        <v>58.0</v>
      </c>
      <c r="F557" s="2">
        <v>25.0</v>
      </c>
      <c r="G557" s="2">
        <v>25.7741092017007</v>
      </c>
      <c r="H557" s="2">
        <v>8.28169020464689</v>
      </c>
      <c r="I557" s="2">
        <v>850.0</v>
      </c>
      <c r="J557" s="2">
        <v>908.0</v>
      </c>
      <c r="K557" s="2">
        <v>8.33333333333333</v>
      </c>
    </row>
    <row r="558">
      <c r="A558" s="2">
        <v>3.0</v>
      </c>
      <c r="B558" s="2" t="s">
        <v>82</v>
      </c>
      <c r="C558" s="2" t="s">
        <v>142</v>
      </c>
      <c r="D558" s="2" t="s">
        <v>143</v>
      </c>
      <c r="E558" s="2">
        <v>58.0</v>
      </c>
      <c r="F558" s="2">
        <v>25.0</v>
      </c>
      <c r="G558" s="2">
        <v>25.7741092017007</v>
      </c>
      <c r="H558" s="2">
        <v>8.28169020464689</v>
      </c>
      <c r="I558" s="2">
        <v>850.0</v>
      </c>
      <c r="J558" s="2">
        <v>908.0</v>
      </c>
      <c r="K558" s="2">
        <v>8.33333333333333</v>
      </c>
    </row>
    <row r="559">
      <c r="A559" s="2">
        <v>3.0</v>
      </c>
      <c r="B559" s="2" t="s">
        <v>152</v>
      </c>
      <c r="C559" s="2" t="s">
        <v>144</v>
      </c>
      <c r="D559" s="2" t="s">
        <v>145</v>
      </c>
      <c r="E559" s="2">
        <v>-47.0</v>
      </c>
      <c r="F559" s="2">
        <v>25.0</v>
      </c>
      <c r="G559" s="2">
        <v>24.2258907982992</v>
      </c>
      <c r="H559" s="2">
        <v>8.28169020464689</v>
      </c>
      <c r="I559" s="2">
        <v>850.0</v>
      </c>
      <c r="J559" s="2">
        <v>803.0</v>
      </c>
      <c r="K559" s="2">
        <v>8.33333333333333</v>
      </c>
    </row>
    <row r="560">
      <c r="A560" s="2">
        <v>3.0</v>
      </c>
      <c r="B560" s="2" t="s">
        <v>153</v>
      </c>
      <c r="C560" s="2" t="s">
        <v>144</v>
      </c>
      <c r="D560" s="2" t="s">
        <v>145</v>
      </c>
      <c r="E560" s="2">
        <v>-46.0</v>
      </c>
      <c r="F560" s="2">
        <v>26.343983574467</v>
      </c>
      <c r="G560" s="2">
        <v>25.5822168197019</v>
      </c>
      <c r="H560" s="2">
        <v>8.21630826944937</v>
      </c>
      <c r="I560" s="2">
        <v>948.0</v>
      </c>
      <c r="J560" s="2">
        <v>902.0</v>
      </c>
      <c r="K560" s="2">
        <v>8.26654600100898</v>
      </c>
    </row>
    <row r="561">
      <c r="A561" s="2">
        <v>3.0</v>
      </c>
      <c r="B561" s="2" t="s">
        <v>64</v>
      </c>
      <c r="C561" s="2" t="s">
        <v>144</v>
      </c>
      <c r="D561" s="2" t="s">
        <v>145</v>
      </c>
      <c r="E561" s="2">
        <v>-46.0</v>
      </c>
      <c r="F561" s="2">
        <v>27.1793750059302</v>
      </c>
      <c r="G561" s="2">
        <v>26.4272875651511</v>
      </c>
      <c r="H561" s="2">
        <v>8.16464686417101</v>
      </c>
      <c r="I561" s="2">
        <v>1010.0</v>
      </c>
      <c r="J561" s="2">
        <v>964.0</v>
      </c>
      <c r="K561" s="2">
        <v>8.21378946285855</v>
      </c>
    </row>
    <row r="562">
      <c r="A562" s="2">
        <v>3.0</v>
      </c>
      <c r="B562" s="2" t="s">
        <v>43</v>
      </c>
      <c r="C562" s="2" t="s">
        <v>144</v>
      </c>
      <c r="D562" s="2" t="s">
        <v>145</v>
      </c>
      <c r="E562" s="2">
        <v>-46.0</v>
      </c>
      <c r="F562" s="2">
        <v>25.5085921430037</v>
      </c>
      <c r="G562" s="2">
        <v>24.7565047022246</v>
      </c>
      <c r="H562" s="2">
        <v>8.16464686417101</v>
      </c>
      <c r="I562" s="2">
        <v>897.0</v>
      </c>
      <c r="J562" s="2">
        <v>851.0</v>
      </c>
      <c r="K562" s="2">
        <v>8.21378946285855</v>
      </c>
    </row>
    <row r="563">
      <c r="A563" s="2">
        <v>3.0</v>
      </c>
      <c r="B563" s="2" t="s">
        <v>61</v>
      </c>
      <c r="C563" s="2" t="s">
        <v>144</v>
      </c>
      <c r="D563" s="2" t="s">
        <v>145</v>
      </c>
      <c r="E563" s="2">
        <v>-46.0</v>
      </c>
      <c r="F563" s="2">
        <v>26.343983574467</v>
      </c>
      <c r="G563" s="2">
        <v>25.5822168197019</v>
      </c>
      <c r="H563" s="2">
        <v>8.21630826944937</v>
      </c>
      <c r="I563" s="2">
        <v>948.0</v>
      </c>
      <c r="J563" s="2">
        <v>902.0</v>
      </c>
      <c r="K563" s="2">
        <v>8.26654600100898</v>
      </c>
    </row>
    <row r="564">
      <c r="A564" s="2">
        <v>3.0</v>
      </c>
      <c r="B564" s="2" t="s">
        <v>86</v>
      </c>
      <c r="C564" s="2" t="s">
        <v>144</v>
      </c>
      <c r="D564" s="2" t="s">
        <v>145</v>
      </c>
      <c r="E564" s="2">
        <v>-47.0</v>
      </c>
      <c r="F564" s="2">
        <v>25.0</v>
      </c>
      <c r="G564" s="2">
        <v>24.2258907982992</v>
      </c>
      <c r="H564" s="2">
        <v>8.28169020464689</v>
      </c>
      <c r="I564" s="2">
        <v>850.0</v>
      </c>
      <c r="J564" s="2">
        <v>803.0</v>
      </c>
      <c r="K564" s="2">
        <v>8.33333333333333</v>
      </c>
    </row>
    <row r="565">
      <c r="A565" s="2">
        <v>3.0</v>
      </c>
      <c r="B565" s="2" t="s">
        <v>91</v>
      </c>
      <c r="C565" s="2" t="s">
        <v>144</v>
      </c>
      <c r="D565" s="2" t="s">
        <v>145</v>
      </c>
      <c r="E565" s="2">
        <v>-46.0</v>
      </c>
      <c r="F565" s="2">
        <v>22.8206249940697</v>
      </c>
      <c r="G565" s="2">
        <v>22.0685375532906</v>
      </c>
      <c r="H565" s="2">
        <v>8.16464686417101</v>
      </c>
      <c r="I565" s="2">
        <v>714.0</v>
      </c>
      <c r="J565" s="2">
        <v>668.0</v>
      </c>
      <c r="K565" s="2">
        <v>8.21378946285855</v>
      </c>
    </row>
    <row r="566">
      <c r="A566" s="2">
        <v>3.0</v>
      </c>
      <c r="B566" s="2" t="s">
        <v>180</v>
      </c>
      <c r="C566" s="2" t="s">
        <v>144</v>
      </c>
      <c r="D566" s="2" t="s">
        <v>145</v>
      </c>
      <c r="E566" s="2">
        <v>-47.0</v>
      </c>
      <c r="F566" s="2">
        <v>25.0</v>
      </c>
      <c r="G566" s="2">
        <v>24.2258907982992</v>
      </c>
      <c r="H566" s="2">
        <v>8.28169020464689</v>
      </c>
      <c r="I566" s="2">
        <v>850.0</v>
      </c>
      <c r="J566" s="2">
        <v>803.0</v>
      </c>
      <c r="K566" s="2">
        <v>8.33333333333333</v>
      </c>
    </row>
    <row r="567">
      <c r="A567" s="2">
        <v>3.0</v>
      </c>
      <c r="B567" s="2" t="s">
        <v>85</v>
      </c>
      <c r="C567" s="2" t="s">
        <v>144</v>
      </c>
      <c r="D567" s="2" t="s">
        <v>145</v>
      </c>
      <c r="E567" s="2">
        <v>-47.0</v>
      </c>
      <c r="F567" s="2">
        <v>25.0</v>
      </c>
      <c r="G567" s="2">
        <v>24.2258907982992</v>
      </c>
      <c r="H567" s="2">
        <v>8.28169020464689</v>
      </c>
      <c r="I567" s="2">
        <v>850.0</v>
      </c>
      <c r="J567" s="2">
        <v>803.0</v>
      </c>
      <c r="K567" s="2">
        <v>8.33333333333333</v>
      </c>
    </row>
    <row r="568">
      <c r="A568" s="2">
        <v>3.0</v>
      </c>
      <c r="B568" s="2" t="s">
        <v>113</v>
      </c>
      <c r="C568" s="2" t="s">
        <v>144</v>
      </c>
      <c r="D568" s="2" t="s">
        <v>145</v>
      </c>
      <c r="E568" s="2">
        <v>-46.0</v>
      </c>
      <c r="F568" s="2">
        <v>23.656016425533</v>
      </c>
      <c r="G568" s="2">
        <v>22.8942496707679</v>
      </c>
      <c r="H568" s="2">
        <v>8.21630826944937</v>
      </c>
      <c r="I568" s="2">
        <v>765.0</v>
      </c>
      <c r="J568" s="2">
        <v>719.0</v>
      </c>
      <c r="K568" s="2">
        <v>8.26654600100898</v>
      </c>
    </row>
    <row r="569">
      <c r="A569" s="2">
        <v>2.0</v>
      </c>
      <c r="B569" s="2" t="s">
        <v>77</v>
      </c>
      <c r="C569" s="2" t="s">
        <v>142</v>
      </c>
      <c r="D569" s="2" t="s">
        <v>143</v>
      </c>
      <c r="E569" s="2">
        <v>63.0</v>
      </c>
      <c r="F569" s="2">
        <v>23.656016425533</v>
      </c>
      <c r="G569" s="2">
        <v>24.4914078569962</v>
      </c>
      <c r="H569" s="2">
        <v>8.21378946285855</v>
      </c>
      <c r="I569" s="2">
        <v>765.0</v>
      </c>
      <c r="J569" s="2">
        <v>828.0</v>
      </c>
      <c r="K569" s="2">
        <v>8.26654600100898</v>
      </c>
    </row>
    <row r="570">
      <c r="A570" s="2">
        <v>2.0</v>
      </c>
      <c r="B570" s="2" t="s">
        <v>64</v>
      </c>
      <c r="C570" s="2" t="s">
        <v>142</v>
      </c>
      <c r="D570" s="2" t="s">
        <v>143</v>
      </c>
      <c r="E570" s="2">
        <v>62.0</v>
      </c>
      <c r="F570" s="2">
        <v>26.343983574467</v>
      </c>
      <c r="G570" s="2">
        <v>27.1793750059302</v>
      </c>
      <c r="H570" s="2">
        <v>8.21378946285855</v>
      </c>
      <c r="I570" s="2">
        <v>948.0</v>
      </c>
      <c r="J570" s="2">
        <v>1010.0</v>
      </c>
      <c r="K570" s="2">
        <v>8.26654600100898</v>
      </c>
    </row>
    <row r="571">
      <c r="A571" s="2">
        <v>2.0</v>
      </c>
      <c r="B571" s="2" t="s">
        <v>156</v>
      </c>
      <c r="C571" s="2" t="s">
        <v>142</v>
      </c>
      <c r="D571" s="2" t="s">
        <v>143</v>
      </c>
      <c r="E571" s="2">
        <v>63.0</v>
      </c>
      <c r="F571" s="2">
        <v>25.0</v>
      </c>
      <c r="G571" s="2">
        <v>25.8489267745966</v>
      </c>
      <c r="H571" s="2">
        <v>8.27910964388814</v>
      </c>
      <c r="I571" s="2">
        <v>850.0</v>
      </c>
      <c r="J571" s="2">
        <v>913.0</v>
      </c>
      <c r="K571" s="2">
        <v>8.33333333333333</v>
      </c>
    </row>
    <row r="572">
      <c r="A572" s="2">
        <v>2.0</v>
      </c>
      <c r="B572" s="2" t="s">
        <v>43</v>
      </c>
      <c r="C572" s="2" t="s">
        <v>144</v>
      </c>
      <c r="D572" s="2" t="s">
        <v>145</v>
      </c>
      <c r="E572" s="2">
        <v>-51.0</v>
      </c>
      <c r="F572" s="2">
        <v>26.343983574467</v>
      </c>
      <c r="G572" s="2">
        <v>25.5085921430037</v>
      </c>
      <c r="H572" s="2">
        <v>8.21378946285855</v>
      </c>
      <c r="I572" s="2">
        <v>948.0</v>
      </c>
      <c r="J572" s="2">
        <v>897.0</v>
      </c>
      <c r="K572" s="2">
        <v>8.26654600100898</v>
      </c>
    </row>
    <row r="573">
      <c r="A573" s="2">
        <v>2.0</v>
      </c>
      <c r="B573" s="2" t="s">
        <v>29</v>
      </c>
      <c r="C573" s="2" t="s">
        <v>144</v>
      </c>
      <c r="D573" s="2" t="s">
        <v>145</v>
      </c>
      <c r="E573" s="2">
        <v>-51.0</v>
      </c>
      <c r="F573" s="2">
        <v>26.343983574467</v>
      </c>
      <c r="G573" s="2">
        <v>25.5085921430037</v>
      </c>
      <c r="H573" s="2">
        <v>8.21378946285855</v>
      </c>
      <c r="I573" s="2">
        <v>948.0</v>
      </c>
      <c r="J573" s="2">
        <v>897.0</v>
      </c>
      <c r="K573" s="2">
        <v>8.26654600100898</v>
      </c>
    </row>
    <row r="574">
      <c r="A574" s="2">
        <v>2.0</v>
      </c>
      <c r="B574" s="2" t="s">
        <v>124</v>
      </c>
      <c r="C574" s="2" t="s">
        <v>144</v>
      </c>
      <c r="D574" s="2" t="s">
        <v>145</v>
      </c>
      <c r="E574" s="2">
        <v>-52.0</v>
      </c>
      <c r="F574" s="2">
        <v>25.0</v>
      </c>
      <c r="G574" s="2">
        <v>24.1510732254033</v>
      </c>
      <c r="H574" s="2">
        <v>8.27910964388814</v>
      </c>
      <c r="I574" s="2">
        <v>850.0</v>
      </c>
      <c r="J574" s="2">
        <v>798.0</v>
      </c>
      <c r="K574" s="2">
        <v>8.33333333333333</v>
      </c>
    </row>
    <row r="575">
      <c r="A575" s="2">
        <v>2.0</v>
      </c>
      <c r="B575" s="2" t="s">
        <v>70</v>
      </c>
      <c r="C575" s="2" t="s">
        <v>144</v>
      </c>
      <c r="D575" s="2" t="s">
        <v>145</v>
      </c>
      <c r="E575" s="2">
        <v>-51.0</v>
      </c>
      <c r="F575" s="2">
        <v>26.343983574467</v>
      </c>
      <c r="G575" s="2">
        <v>25.5085921430037</v>
      </c>
      <c r="H575" s="2">
        <v>8.21378946285855</v>
      </c>
      <c r="I575" s="2">
        <v>948.0</v>
      </c>
      <c r="J575" s="2">
        <v>897.0</v>
      </c>
      <c r="K575" s="2">
        <v>8.26654600100898</v>
      </c>
    </row>
    <row r="576">
      <c r="A576" s="2">
        <v>2.0</v>
      </c>
      <c r="B576" s="2" t="s">
        <v>32</v>
      </c>
      <c r="C576" s="2" t="s">
        <v>144</v>
      </c>
      <c r="D576" s="2" t="s">
        <v>145</v>
      </c>
      <c r="E576" s="2">
        <v>-52.0</v>
      </c>
      <c r="F576" s="2">
        <v>25.0</v>
      </c>
      <c r="G576" s="2">
        <v>24.1510732254033</v>
      </c>
      <c r="H576" s="2">
        <v>8.27910964388814</v>
      </c>
      <c r="I576" s="2">
        <v>850.0</v>
      </c>
      <c r="J576" s="2">
        <v>798.0</v>
      </c>
      <c r="K576" s="2">
        <v>8.33333333333333</v>
      </c>
    </row>
    <row r="577">
      <c r="A577" s="2">
        <v>2.0</v>
      </c>
      <c r="B577" s="2" t="s">
        <v>158</v>
      </c>
      <c r="C577" s="2" t="s">
        <v>144</v>
      </c>
      <c r="D577" s="2" t="s">
        <v>145</v>
      </c>
      <c r="E577" s="2">
        <v>-51.0</v>
      </c>
      <c r="F577" s="2">
        <v>26.343983574467</v>
      </c>
      <c r="G577" s="2">
        <v>25.5085921430037</v>
      </c>
      <c r="H577" s="2">
        <v>8.21378946285855</v>
      </c>
      <c r="I577" s="2">
        <v>948.0</v>
      </c>
      <c r="J577" s="2">
        <v>897.0</v>
      </c>
      <c r="K577" s="2">
        <v>8.26654600100898</v>
      </c>
    </row>
    <row r="578">
      <c r="A578" s="2">
        <v>2.0</v>
      </c>
      <c r="B578" s="2" t="s">
        <v>181</v>
      </c>
      <c r="C578" s="2" t="s">
        <v>144</v>
      </c>
      <c r="D578" s="2" t="s">
        <v>145</v>
      </c>
      <c r="E578" s="2">
        <v>-52.0</v>
      </c>
      <c r="F578" s="2">
        <v>25.0</v>
      </c>
      <c r="G578" s="2">
        <v>24.1510732254033</v>
      </c>
      <c r="H578" s="2">
        <v>8.27910964388814</v>
      </c>
      <c r="I578" s="2">
        <v>850.0</v>
      </c>
      <c r="J578" s="2">
        <v>798.0</v>
      </c>
      <c r="K578" s="2">
        <v>8.33333333333333</v>
      </c>
    </row>
    <row r="579">
      <c r="A579" s="2">
        <v>2.0</v>
      </c>
      <c r="B579" s="2" t="s">
        <v>99</v>
      </c>
      <c r="C579" s="2" t="s">
        <v>144</v>
      </c>
      <c r="D579" s="2" t="s">
        <v>145</v>
      </c>
      <c r="E579" s="2">
        <v>-52.0</v>
      </c>
      <c r="F579" s="2">
        <v>25.0</v>
      </c>
      <c r="G579" s="2">
        <v>24.1510732254033</v>
      </c>
      <c r="H579" s="2">
        <v>8.27910964388814</v>
      </c>
      <c r="I579" s="2">
        <v>850.0</v>
      </c>
      <c r="J579" s="2">
        <v>798.0</v>
      </c>
      <c r="K579" s="2">
        <v>8.33333333333333</v>
      </c>
    </row>
    <row r="580">
      <c r="A580" s="2">
        <v>2.0</v>
      </c>
      <c r="B580" s="2" t="s">
        <v>18</v>
      </c>
      <c r="C580" s="2" t="s">
        <v>144</v>
      </c>
      <c r="D580" s="2" t="s">
        <v>145</v>
      </c>
      <c r="E580" s="2">
        <v>-51.0</v>
      </c>
      <c r="F580" s="2">
        <v>26.343983574467</v>
      </c>
      <c r="G580" s="2">
        <v>25.5085921430037</v>
      </c>
      <c r="H580" s="2">
        <v>8.21378946285855</v>
      </c>
      <c r="I580" s="2">
        <v>948.0</v>
      </c>
      <c r="J580" s="2">
        <v>897.0</v>
      </c>
      <c r="K580" s="2">
        <v>8.26654600100898</v>
      </c>
    </row>
    <row r="581">
      <c r="A581" s="2">
        <v>2.0</v>
      </c>
      <c r="B581" s="2" t="s">
        <v>91</v>
      </c>
      <c r="C581" s="2" t="s">
        <v>144</v>
      </c>
      <c r="D581" s="2" t="s">
        <v>145</v>
      </c>
      <c r="E581" s="2">
        <v>-51.0</v>
      </c>
      <c r="F581" s="2">
        <v>23.656016425533</v>
      </c>
      <c r="G581" s="2">
        <v>22.8206249940697</v>
      </c>
      <c r="H581" s="2">
        <v>8.21378946285855</v>
      </c>
      <c r="I581" s="2">
        <v>765.0</v>
      </c>
      <c r="J581" s="2">
        <v>714.0</v>
      </c>
      <c r="K581" s="2">
        <v>8.26654600100898</v>
      </c>
    </row>
    <row r="582">
      <c r="A582" s="2">
        <v>1.0</v>
      </c>
      <c r="B582" s="2" t="s">
        <v>91</v>
      </c>
      <c r="C582" s="2" t="s">
        <v>142</v>
      </c>
      <c r="D582" s="2" t="s">
        <v>145</v>
      </c>
      <c r="E582" s="2">
        <v>-85.0</v>
      </c>
      <c r="F582" s="2">
        <v>25.0</v>
      </c>
      <c r="G582" s="2">
        <v>23.656016425533</v>
      </c>
      <c r="H582" s="2">
        <v>8.26654600100898</v>
      </c>
      <c r="I582" s="2">
        <v>850.0</v>
      </c>
      <c r="J582" s="2">
        <v>765.0</v>
      </c>
      <c r="K582" s="2">
        <v>8.33333333333333</v>
      </c>
    </row>
    <row r="583">
      <c r="A583" s="2">
        <v>1.0</v>
      </c>
      <c r="B583" s="2" t="s">
        <v>77</v>
      </c>
      <c r="C583" s="2" t="s">
        <v>142</v>
      </c>
      <c r="D583" s="2" t="s">
        <v>145</v>
      </c>
      <c r="E583" s="2">
        <v>-85.0</v>
      </c>
      <c r="F583" s="2">
        <v>25.0</v>
      </c>
      <c r="G583" s="2">
        <v>23.656016425533</v>
      </c>
      <c r="H583" s="2">
        <v>8.26654600100898</v>
      </c>
      <c r="I583" s="2">
        <v>850.0</v>
      </c>
      <c r="J583" s="2">
        <v>765.0</v>
      </c>
      <c r="K583" s="2">
        <v>8.33333333333333</v>
      </c>
    </row>
    <row r="584">
      <c r="A584" s="2">
        <v>1.0</v>
      </c>
      <c r="B584" s="2" t="s">
        <v>113</v>
      </c>
      <c r="C584" s="2" t="s">
        <v>142</v>
      </c>
      <c r="D584" s="2" t="s">
        <v>145</v>
      </c>
      <c r="E584" s="2">
        <v>-85.0</v>
      </c>
      <c r="F584" s="2">
        <v>25.0</v>
      </c>
      <c r="G584" s="2">
        <v>23.656016425533</v>
      </c>
      <c r="H584" s="2">
        <v>8.26654600100898</v>
      </c>
      <c r="I584" s="2">
        <v>850.0</v>
      </c>
      <c r="J584" s="2">
        <v>765.0</v>
      </c>
      <c r="K584" s="2">
        <v>8.33333333333333</v>
      </c>
    </row>
    <row r="585">
      <c r="A585" s="2">
        <v>1.0</v>
      </c>
      <c r="B585" s="2" t="s">
        <v>70</v>
      </c>
      <c r="C585" s="2" t="s">
        <v>144</v>
      </c>
      <c r="D585" s="2" t="s">
        <v>143</v>
      </c>
      <c r="E585" s="2">
        <v>98.0</v>
      </c>
      <c r="F585" s="2">
        <v>25.0</v>
      </c>
      <c r="G585" s="2">
        <v>26.343983574467</v>
      </c>
      <c r="H585" s="2">
        <v>8.26654600100898</v>
      </c>
      <c r="I585" s="2">
        <v>850.0</v>
      </c>
      <c r="J585" s="2">
        <v>948.0</v>
      </c>
      <c r="K585" s="2">
        <v>8.33333333333333</v>
      </c>
    </row>
    <row r="586">
      <c r="A586" s="2">
        <v>1.0</v>
      </c>
      <c r="B586" s="2" t="s">
        <v>64</v>
      </c>
      <c r="C586" s="2" t="s">
        <v>144</v>
      </c>
      <c r="D586" s="2" t="s">
        <v>143</v>
      </c>
      <c r="E586" s="2">
        <v>98.0</v>
      </c>
      <c r="F586" s="2">
        <v>25.0</v>
      </c>
      <c r="G586" s="2">
        <v>26.343983574467</v>
      </c>
      <c r="H586" s="2">
        <v>8.26654600100898</v>
      </c>
      <c r="I586" s="2">
        <v>850.0</v>
      </c>
      <c r="J586" s="2">
        <v>948.0</v>
      </c>
      <c r="K586" s="2">
        <v>8.33333333333333</v>
      </c>
    </row>
    <row r="587">
      <c r="A587" s="2">
        <v>1.0</v>
      </c>
      <c r="B587" s="2" t="s">
        <v>117</v>
      </c>
      <c r="C587" s="2" t="s">
        <v>144</v>
      </c>
      <c r="D587" s="2" t="s">
        <v>143</v>
      </c>
      <c r="E587" s="2">
        <v>98.0</v>
      </c>
      <c r="F587" s="2">
        <v>25.0</v>
      </c>
      <c r="G587" s="2">
        <v>26.343983574467</v>
      </c>
      <c r="H587" s="2">
        <v>8.26654600100898</v>
      </c>
      <c r="I587" s="2">
        <v>850.0</v>
      </c>
      <c r="J587" s="2">
        <v>948.0</v>
      </c>
      <c r="K587" s="2">
        <v>8.33333333333333</v>
      </c>
    </row>
    <row r="588">
      <c r="A588" s="2">
        <v>1.0</v>
      </c>
      <c r="B588" s="2" t="s">
        <v>61</v>
      </c>
      <c r="C588" s="2" t="s">
        <v>144</v>
      </c>
      <c r="D588" s="2" t="s">
        <v>143</v>
      </c>
      <c r="E588" s="2">
        <v>98.0</v>
      </c>
      <c r="F588" s="2">
        <v>25.0</v>
      </c>
      <c r="G588" s="2">
        <v>26.343983574467</v>
      </c>
      <c r="H588" s="2">
        <v>8.26654600100898</v>
      </c>
      <c r="I588" s="2">
        <v>850.0</v>
      </c>
      <c r="J588" s="2">
        <v>948.0</v>
      </c>
      <c r="K588" s="2">
        <v>8.33333333333333</v>
      </c>
    </row>
    <row r="589">
      <c r="A589" s="2">
        <v>1.0</v>
      </c>
      <c r="B589" s="2" t="s">
        <v>29</v>
      </c>
      <c r="C589" s="2" t="s">
        <v>144</v>
      </c>
      <c r="D589" s="2" t="s">
        <v>143</v>
      </c>
      <c r="E589" s="2">
        <v>98.0</v>
      </c>
      <c r="F589" s="2">
        <v>25.0</v>
      </c>
      <c r="G589" s="2">
        <v>26.343983574467</v>
      </c>
      <c r="H589" s="2">
        <v>8.26654600100898</v>
      </c>
      <c r="I589" s="2">
        <v>850.0</v>
      </c>
      <c r="J589" s="2">
        <v>948.0</v>
      </c>
      <c r="K589" s="2">
        <v>8.33333333333333</v>
      </c>
    </row>
    <row r="590">
      <c r="A590" s="2">
        <v>1.0</v>
      </c>
      <c r="B590" s="2" t="s">
        <v>153</v>
      </c>
      <c r="C590" s="2" t="s">
        <v>144</v>
      </c>
      <c r="D590" s="2" t="s">
        <v>143</v>
      </c>
      <c r="E590" s="2">
        <v>98.0</v>
      </c>
      <c r="F590" s="2">
        <v>25.0</v>
      </c>
      <c r="G590" s="2">
        <v>26.343983574467</v>
      </c>
      <c r="H590" s="2">
        <v>8.26654600100898</v>
      </c>
      <c r="I590" s="2">
        <v>850.0</v>
      </c>
      <c r="J590" s="2">
        <v>948.0</v>
      </c>
      <c r="K590" s="2">
        <v>8.33333333333333</v>
      </c>
    </row>
    <row r="591">
      <c r="A591" s="2">
        <v>1.0</v>
      </c>
      <c r="B591" s="2" t="s">
        <v>18</v>
      </c>
      <c r="C591" s="2" t="s">
        <v>144</v>
      </c>
      <c r="D591" s="2" t="s">
        <v>143</v>
      </c>
      <c r="E591" s="2">
        <v>98.0</v>
      </c>
      <c r="F591" s="2">
        <v>25.0</v>
      </c>
      <c r="G591" s="2">
        <v>26.343983574467</v>
      </c>
      <c r="H591" s="2">
        <v>8.26654600100898</v>
      </c>
      <c r="I591" s="2">
        <v>850.0</v>
      </c>
      <c r="J591" s="2">
        <v>948.0</v>
      </c>
      <c r="K591" s="2">
        <v>8.33333333333333</v>
      </c>
    </row>
    <row r="592">
      <c r="A592" s="2">
        <v>1.0</v>
      </c>
      <c r="B592" s="2" t="s">
        <v>66</v>
      </c>
      <c r="C592" s="2" t="s">
        <v>144</v>
      </c>
      <c r="D592" s="2" t="s">
        <v>143</v>
      </c>
      <c r="E592" s="2">
        <v>98.0</v>
      </c>
      <c r="F592" s="2">
        <v>25.0</v>
      </c>
      <c r="G592" s="2">
        <v>26.343983574467</v>
      </c>
      <c r="H592" s="2">
        <v>8.26654600100898</v>
      </c>
      <c r="I592" s="2">
        <v>850.0</v>
      </c>
      <c r="J592" s="2">
        <v>948.0</v>
      </c>
      <c r="K592" s="2">
        <v>8.33333333333333</v>
      </c>
    </row>
    <row r="593">
      <c r="A593" s="2">
        <v>1.0</v>
      </c>
      <c r="B593" s="2" t="s">
        <v>158</v>
      </c>
      <c r="C593" s="2" t="s">
        <v>144</v>
      </c>
      <c r="D593" s="2" t="s">
        <v>143</v>
      </c>
      <c r="E593" s="2">
        <v>98.0</v>
      </c>
      <c r="F593" s="2">
        <v>25.0</v>
      </c>
      <c r="G593" s="2">
        <v>26.343983574467</v>
      </c>
      <c r="H593" s="2">
        <v>8.26654600100898</v>
      </c>
      <c r="I593" s="2">
        <v>850.0</v>
      </c>
      <c r="J593" s="2">
        <v>948.0</v>
      </c>
      <c r="K593" s="2">
        <v>8.33333333333333</v>
      </c>
    </row>
    <row r="594">
      <c r="A594" s="2">
        <v>1.0</v>
      </c>
      <c r="B594" s="2" t="s">
        <v>43</v>
      </c>
      <c r="C594" s="2" t="s">
        <v>144</v>
      </c>
      <c r="D594" s="2" t="s">
        <v>143</v>
      </c>
      <c r="E594" s="2">
        <v>98.0</v>
      </c>
      <c r="F594" s="2">
        <v>25.0</v>
      </c>
      <c r="G594" s="2">
        <v>26.343983574467</v>
      </c>
      <c r="H594" s="2">
        <v>8.26654600100898</v>
      </c>
      <c r="I594" s="2">
        <v>850.0</v>
      </c>
      <c r="J594" s="2">
        <v>948.0</v>
      </c>
      <c r="K594" s="2">
        <v>8.33333333333333</v>
      </c>
    </row>
    <row r="595">
      <c r="A595" s="2"/>
      <c r="B595" s="2"/>
      <c r="C595" s="2"/>
      <c r="D595" s="2"/>
      <c r="E595" s="2"/>
      <c r="F595" s="2"/>
      <c r="G595" s="2"/>
      <c r="H595" s="2"/>
      <c r="I595" s="2"/>
      <c r="J595" s="2"/>
      <c r="K595" s="2"/>
    </row>
    <row r="596">
      <c r="A596" s="2"/>
      <c r="B596" s="2"/>
      <c r="C596" s="2"/>
      <c r="D596" s="2"/>
      <c r="E596" s="2"/>
      <c r="F596" s="2"/>
      <c r="G596" s="2"/>
      <c r="H596" s="2"/>
      <c r="I596" s="2"/>
      <c r="J596" s="2"/>
      <c r="K596" s="2"/>
    </row>
    <row r="597">
      <c r="A597" s="2"/>
      <c r="B597" s="2"/>
      <c r="C597" s="2"/>
      <c r="D597" s="2"/>
      <c r="E597" s="2"/>
      <c r="F597" s="2"/>
      <c r="G597" s="2"/>
      <c r="H597" s="2"/>
      <c r="I597" s="2"/>
      <c r="J597" s="2"/>
      <c r="K597" s="2"/>
    </row>
    <row r="598">
      <c r="A598" s="2"/>
      <c r="B598" s="2"/>
      <c r="C598" s="2"/>
      <c r="D598" s="2"/>
      <c r="E598" s="2"/>
      <c r="F598" s="2"/>
      <c r="G598" s="2"/>
      <c r="H598" s="2"/>
      <c r="I598" s="2"/>
      <c r="J598" s="2"/>
      <c r="K598" s="2"/>
    </row>
    <row r="599">
      <c r="A599" s="2"/>
      <c r="B599" s="2"/>
      <c r="C599" s="2"/>
      <c r="D599" s="2"/>
      <c r="E599" s="2"/>
      <c r="F599" s="2"/>
      <c r="G599" s="2"/>
      <c r="H599" s="2"/>
      <c r="I599" s="2"/>
      <c r="J599" s="2"/>
      <c r="K599" s="2"/>
    </row>
    <row r="600">
      <c r="A600" s="2"/>
      <c r="B600" s="2"/>
      <c r="C600" s="2"/>
      <c r="D600" s="2"/>
      <c r="E600" s="2"/>
      <c r="F600" s="2"/>
      <c r="G600" s="2"/>
      <c r="H600" s="2"/>
      <c r="I600" s="2"/>
      <c r="J600" s="2"/>
      <c r="K600" s="2"/>
    </row>
    <row r="601">
      <c r="A601" s="2"/>
      <c r="B601" s="2"/>
      <c r="C601" s="2"/>
      <c r="D601" s="2"/>
      <c r="E601" s="2"/>
      <c r="F601" s="2"/>
      <c r="G601" s="2"/>
      <c r="H601" s="2"/>
      <c r="I601" s="2"/>
      <c r="J601" s="2"/>
      <c r="K601" s="2"/>
    </row>
    <row r="602">
      <c r="A602" s="2"/>
      <c r="B602" s="2"/>
      <c r="C602" s="2"/>
      <c r="D602" s="2"/>
      <c r="E602" s="2"/>
      <c r="F602" s="2"/>
      <c r="G602" s="2"/>
      <c r="H602" s="2"/>
      <c r="I602" s="2"/>
      <c r="J602" s="2"/>
      <c r="K602" s="2"/>
    </row>
    <row r="603">
      <c r="A603" s="2"/>
      <c r="B603" s="2"/>
      <c r="C603" s="2"/>
      <c r="D603" s="2"/>
      <c r="E603" s="2"/>
      <c r="F603" s="2"/>
      <c r="G603" s="2"/>
      <c r="H603" s="2"/>
      <c r="I603" s="2"/>
      <c r="J603" s="2"/>
      <c r="K603" s="2"/>
    </row>
    <row r="604">
      <c r="A604" s="2"/>
      <c r="B604" s="2"/>
      <c r="C604" s="2"/>
      <c r="D604" s="2"/>
      <c r="E604" s="2"/>
      <c r="F604" s="2"/>
      <c r="G604" s="2"/>
      <c r="H604" s="2"/>
      <c r="I604" s="2"/>
      <c r="J604" s="2"/>
      <c r="K604" s="2"/>
    </row>
    <row r="605">
      <c r="A605" s="2"/>
      <c r="B605" s="2"/>
      <c r="C605" s="2"/>
      <c r="D605" s="2"/>
      <c r="E605" s="2"/>
      <c r="F605" s="2"/>
      <c r="G605" s="2"/>
      <c r="H605" s="2"/>
      <c r="I605" s="2"/>
      <c r="J605" s="2"/>
      <c r="K605" s="2"/>
    </row>
    <row r="606">
      <c r="A606" s="2"/>
      <c r="B606" s="2"/>
      <c r="C606" s="2"/>
      <c r="D606" s="2"/>
      <c r="E606" s="2"/>
      <c r="F606" s="2"/>
      <c r="G606" s="2"/>
      <c r="H606" s="2"/>
      <c r="I606" s="2"/>
      <c r="J606" s="2"/>
      <c r="K606" s="2"/>
    </row>
    <row r="607">
      <c r="A607" s="2"/>
      <c r="B607" s="2"/>
      <c r="C607" s="2"/>
      <c r="D607" s="2"/>
      <c r="E607" s="2"/>
      <c r="F607" s="2"/>
      <c r="G607" s="2"/>
      <c r="H607" s="2"/>
      <c r="I607" s="2"/>
      <c r="J607" s="2"/>
      <c r="K607" s="2"/>
    </row>
    <row r="608">
      <c r="A608" s="2"/>
      <c r="B608" s="2"/>
      <c r="C608" s="2"/>
      <c r="D608" s="2"/>
      <c r="E608" s="2"/>
      <c r="F608" s="2"/>
      <c r="G608" s="2"/>
      <c r="H608" s="2"/>
      <c r="I608" s="2"/>
      <c r="J608" s="2"/>
      <c r="K608" s="2"/>
    </row>
    <row r="609">
      <c r="A609" s="2"/>
      <c r="B609" s="2"/>
      <c r="C609" s="2"/>
      <c r="D609" s="2"/>
      <c r="E609" s="2"/>
      <c r="F609" s="2"/>
      <c r="G609" s="2"/>
      <c r="H609" s="2"/>
      <c r="I609" s="2"/>
      <c r="J609" s="2"/>
      <c r="K609" s="2"/>
    </row>
    <row r="610">
      <c r="A610" s="2"/>
      <c r="B610" s="2"/>
      <c r="C610" s="2"/>
      <c r="D610" s="2"/>
      <c r="E610" s="2"/>
      <c r="F610" s="2"/>
      <c r="G610" s="2"/>
      <c r="H610" s="2"/>
      <c r="I610" s="2"/>
      <c r="J610" s="2"/>
      <c r="K610" s="2"/>
    </row>
    <row r="611">
      <c r="A611" s="2"/>
      <c r="B611" s="2"/>
      <c r="C611" s="2"/>
      <c r="D611" s="2"/>
      <c r="E611" s="2"/>
      <c r="F611" s="2"/>
      <c r="G611" s="2"/>
      <c r="H611" s="2"/>
      <c r="I611" s="2"/>
      <c r="J611" s="2"/>
      <c r="K611" s="2"/>
    </row>
    <row r="612">
      <c r="A612" s="2"/>
      <c r="B612" s="2"/>
      <c r="C612" s="2"/>
      <c r="D612" s="2"/>
      <c r="E612" s="2"/>
      <c r="F612" s="2"/>
      <c r="G612" s="2"/>
      <c r="H612" s="2"/>
      <c r="I612" s="2"/>
      <c r="J612" s="2"/>
      <c r="K612" s="2"/>
    </row>
    <row r="613">
      <c r="A613" s="2"/>
      <c r="B613" s="2"/>
      <c r="C613" s="2"/>
      <c r="D613" s="2"/>
      <c r="E613" s="2"/>
      <c r="F613" s="2"/>
      <c r="G613" s="2"/>
      <c r="H613" s="2"/>
      <c r="I613" s="2"/>
      <c r="J613" s="2"/>
      <c r="K613" s="2"/>
    </row>
    <row r="614">
      <c r="A614" s="2"/>
      <c r="B614" s="2"/>
      <c r="C614" s="2"/>
      <c r="D614" s="2"/>
      <c r="E614" s="2"/>
      <c r="F614" s="2"/>
      <c r="G614" s="2"/>
      <c r="H614" s="2"/>
      <c r="I614" s="2"/>
      <c r="J614" s="2"/>
      <c r="K614" s="2"/>
    </row>
    <row r="615">
      <c r="A615" s="2"/>
      <c r="B615" s="2"/>
      <c r="C615" s="2"/>
      <c r="D615" s="2"/>
      <c r="E615" s="2"/>
      <c r="F615" s="2"/>
      <c r="G615" s="2"/>
      <c r="H615" s="2"/>
      <c r="I615" s="2"/>
      <c r="J615" s="2"/>
      <c r="K615" s="2"/>
    </row>
    <row r="616">
      <c r="A616" s="2"/>
      <c r="B616" s="2"/>
      <c r="C616" s="2"/>
      <c r="D616" s="2"/>
      <c r="E616" s="2"/>
      <c r="F616" s="2"/>
      <c r="G616" s="2"/>
      <c r="H616" s="2"/>
      <c r="I616" s="2"/>
      <c r="J616" s="2"/>
      <c r="K616" s="2"/>
    </row>
    <row r="617">
      <c r="A617" s="2"/>
      <c r="B617" s="2"/>
      <c r="C617" s="2"/>
      <c r="D617" s="2"/>
      <c r="E617" s="2"/>
      <c r="F617" s="2"/>
      <c r="G617" s="2"/>
      <c r="H617" s="2"/>
      <c r="I617" s="2"/>
      <c r="J617" s="2"/>
      <c r="K617" s="2"/>
    </row>
    <row r="618">
      <c r="A618" s="2"/>
      <c r="B618" s="2"/>
      <c r="C618" s="2"/>
      <c r="D618" s="2"/>
      <c r="E618" s="2"/>
      <c r="F618" s="2"/>
      <c r="G618" s="2"/>
      <c r="H618" s="2"/>
      <c r="I618" s="2"/>
      <c r="J618" s="2"/>
      <c r="K618" s="2"/>
    </row>
    <row r="619">
      <c r="A619" s="2"/>
      <c r="B619" s="2"/>
      <c r="C619" s="2"/>
      <c r="D619" s="2"/>
      <c r="E619" s="2"/>
      <c r="F619" s="2"/>
      <c r="G619" s="2"/>
      <c r="H619" s="2"/>
      <c r="I619" s="2"/>
      <c r="J619" s="2"/>
      <c r="K619" s="2"/>
    </row>
    <row r="620">
      <c r="A620" s="2"/>
      <c r="B620" s="2"/>
      <c r="C620" s="2"/>
      <c r="D620" s="2"/>
      <c r="E620" s="2"/>
      <c r="F620" s="2"/>
      <c r="G620" s="2"/>
      <c r="H620" s="2"/>
      <c r="I620" s="2"/>
      <c r="J620" s="2"/>
      <c r="K620" s="2"/>
    </row>
    <row r="621">
      <c r="A621" s="2"/>
      <c r="B621" s="2"/>
      <c r="C621" s="2"/>
      <c r="D621" s="2"/>
      <c r="E621" s="2"/>
      <c r="F621" s="2"/>
      <c r="G621" s="2"/>
      <c r="H621" s="2"/>
      <c r="I621" s="2"/>
      <c r="J621" s="2"/>
      <c r="K621" s="2"/>
    </row>
    <row r="622">
      <c r="A622" s="2"/>
      <c r="B622" s="2"/>
      <c r="C622" s="2"/>
      <c r="D622" s="2"/>
      <c r="E622" s="2"/>
      <c r="F622" s="2"/>
      <c r="G622" s="2"/>
      <c r="H622" s="2"/>
      <c r="I622" s="2"/>
      <c r="J622" s="2"/>
      <c r="K622" s="2"/>
    </row>
    <row r="623">
      <c r="A623" s="2"/>
      <c r="B623" s="2"/>
      <c r="C623" s="2"/>
      <c r="D623" s="2"/>
      <c r="E623" s="2"/>
      <c r="F623" s="2"/>
      <c r="G623" s="2"/>
      <c r="H623" s="2"/>
      <c r="I623" s="2"/>
      <c r="J623" s="2"/>
      <c r="K623" s="2"/>
    </row>
    <row r="624">
      <c r="A624" s="2"/>
      <c r="B624" s="2"/>
      <c r="C624" s="2"/>
      <c r="D624" s="2"/>
      <c r="E624" s="2"/>
      <c r="F624" s="2"/>
      <c r="G624" s="2"/>
      <c r="H624" s="2"/>
      <c r="I624" s="2"/>
      <c r="J624" s="2"/>
      <c r="K624" s="2"/>
    </row>
    <row r="625">
      <c r="A625" s="2"/>
      <c r="B625" s="2"/>
      <c r="C625" s="2"/>
      <c r="D625" s="2"/>
      <c r="E625" s="2"/>
      <c r="F625" s="2"/>
      <c r="G625" s="2"/>
      <c r="H625" s="2"/>
      <c r="I625" s="2"/>
      <c r="J625" s="2"/>
      <c r="K625" s="2"/>
    </row>
    <row r="626">
      <c r="A626" s="2"/>
      <c r="B626" s="2"/>
      <c r="C626" s="2"/>
      <c r="D626" s="2"/>
      <c r="E626" s="2"/>
      <c r="F626" s="2"/>
      <c r="G626" s="2"/>
      <c r="H626" s="2"/>
      <c r="I626" s="2"/>
      <c r="J626" s="2"/>
      <c r="K626" s="2"/>
    </row>
    <row r="627">
      <c r="A627" s="2"/>
      <c r="B627" s="2"/>
      <c r="C627" s="2"/>
      <c r="D627" s="2"/>
      <c r="E627" s="2"/>
      <c r="F627" s="2"/>
      <c r="G627" s="2"/>
      <c r="H627" s="2"/>
      <c r="I627" s="2"/>
      <c r="J627" s="2"/>
      <c r="K627" s="2"/>
    </row>
    <row r="628">
      <c r="A628" s="2"/>
      <c r="B628" s="2"/>
      <c r="C628" s="2"/>
      <c r="D628" s="2"/>
      <c r="E628" s="2"/>
      <c r="F628" s="2"/>
      <c r="G628" s="2"/>
      <c r="H628" s="2"/>
      <c r="I628" s="2"/>
      <c r="J628" s="2"/>
      <c r="K628" s="2"/>
    </row>
    <row r="629">
      <c r="A629" s="2"/>
      <c r="B629" s="2"/>
      <c r="C629" s="2"/>
      <c r="D629" s="2"/>
      <c r="E629" s="2"/>
      <c r="F629" s="2"/>
      <c r="G629" s="2"/>
      <c r="H629" s="2"/>
      <c r="I629" s="2"/>
      <c r="J629" s="2"/>
      <c r="K629" s="2"/>
    </row>
    <row r="630">
      <c r="A630" s="2"/>
      <c r="B630" s="2"/>
      <c r="C630" s="2"/>
      <c r="D630" s="2"/>
      <c r="E630" s="2"/>
      <c r="F630" s="2"/>
      <c r="G630" s="2"/>
      <c r="H630" s="2"/>
      <c r="I630" s="2"/>
      <c r="J630" s="2"/>
      <c r="K630" s="2"/>
    </row>
    <row r="631">
      <c r="A631" s="2"/>
      <c r="B631" s="2"/>
      <c r="C631" s="2"/>
      <c r="D631" s="2"/>
      <c r="E631" s="2"/>
      <c r="F631" s="2"/>
      <c r="G631" s="2"/>
      <c r="H631" s="2"/>
      <c r="I631" s="2"/>
      <c r="J631" s="2"/>
      <c r="K631" s="2"/>
    </row>
    <row r="632">
      <c r="A632" s="2"/>
      <c r="B632" s="2"/>
      <c r="C632" s="2"/>
      <c r="D632" s="2"/>
      <c r="E632" s="2"/>
      <c r="F632" s="2"/>
      <c r="G632" s="2"/>
      <c r="H632" s="2"/>
      <c r="I632" s="2"/>
      <c r="J632" s="2"/>
      <c r="K632" s="2"/>
    </row>
    <row r="633">
      <c r="A633" s="2"/>
      <c r="B633" s="2"/>
      <c r="C633" s="2"/>
      <c r="D633" s="2"/>
      <c r="E633" s="2"/>
      <c r="F633" s="2"/>
      <c r="G633" s="2"/>
      <c r="H633" s="2"/>
      <c r="I633" s="2"/>
      <c r="J633" s="2"/>
      <c r="K633" s="2"/>
    </row>
    <row r="634">
      <c r="A634" s="2"/>
      <c r="B634" s="2"/>
      <c r="C634" s="2"/>
      <c r="D634" s="2"/>
      <c r="E634" s="2"/>
      <c r="F634" s="2"/>
      <c r="G634" s="2"/>
      <c r="H634" s="2"/>
      <c r="I634" s="2"/>
      <c r="J634" s="2"/>
      <c r="K634" s="2"/>
    </row>
    <row r="635">
      <c r="A635" s="2"/>
      <c r="B635" s="2"/>
      <c r="C635" s="2"/>
      <c r="D635" s="2"/>
      <c r="E635" s="2"/>
      <c r="F635" s="2"/>
      <c r="G635" s="2"/>
      <c r="H635" s="2"/>
      <c r="I635" s="2"/>
      <c r="J635" s="2"/>
      <c r="K635" s="2"/>
    </row>
    <row r="636">
      <c r="A636" s="2"/>
      <c r="B636" s="2"/>
      <c r="C636" s="2"/>
      <c r="D636" s="2"/>
      <c r="E636" s="2"/>
      <c r="F636" s="2"/>
      <c r="G636" s="2"/>
      <c r="H636" s="2"/>
      <c r="I636" s="2"/>
      <c r="J636" s="2"/>
      <c r="K636" s="2"/>
    </row>
    <row r="637">
      <c r="A637" s="2"/>
      <c r="B637" s="2"/>
      <c r="C637" s="2"/>
      <c r="D637" s="2"/>
      <c r="E637" s="2"/>
      <c r="F637" s="2"/>
      <c r="G637" s="2"/>
      <c r="H637" s="2"/>
      <c r="I637" s="2"/>
      <c r="J637" s="2"/>
      <c r="K637" s="2"/>
    </row>
    <row r="638">
      <c r="A638" s="2"/>
      <c r="B638" s="2"/>
      <c r="C638" s="2"/>
      <c r="D638" s="2"/>
      <c r="E638" s="2"/>
      <c r="F638" s="2"/>
      <c r="G638" s="2"/>
      <c r="H638" s="2"/>
      <c r="I638" s="2"/>
      <c r="J638" s="2"/>
      <c r="K638" s="2"/>
    </row>
    <row r="639">
      <c r="A639" s="2"/>
      <c r="B639" s="2"/>
      <c r="C639" s="2"/>
      <c r="D639" s="2"/>
      <c r="E639" s="2"/>
      <c r="F639" s="2"/>
      <c r="G639" s="2"/>
      <c r="H639" s="2"/>
      <c r="I639" s="2"/>
      <c r="J639" s="2"/>
      <c r="K639" s="2"/>
    </row>
    <row r="640">
      <c r="A640" s="2"/>
      <c r="B640" s="2"/>
      <c r="C640" s="2"/>
      <c r="D640" s="2"/>
      <c r="E640" s="2"/>
      <c r="F640" s="2"/>
      <c r="G640" s="2"/>
      <c r="H640" s="2"/>
      <c r="I640" s="2"/>
      <c r="J640" s="2"/>
      <c r="K640" s="2"/>
    </row>
    <row r="641">
      <c r="A641" s="2"/>
      <c r="B641" s="2"/>
      <c r="C641" s="2"/>
      <c r="D641" s="2"/>
      <c r="E641" s="2"/>
      <c r="F641" s="2"/>
      <c r="G641" s="2"/>
      <c r="H641" s="2"/>
      <c r="I641" s="2"/>
      <c r="J641" s="2"/>
      <c r="K641" s="2"/>
    </row>
    <row r="642">
      <c r="A642" s="2"/>
      <c r="B642" s="2"/>
      <c r="C642" s="2"/>
      <c r="D642" s="2"/>
      <c r="E642" s="2"/>
      <c r="F642" s="2"/>
      <c r="G642" s="2"/>
      <c r="H642" s="2"/>
      <c r="I642" s="2"/>
      <c r="J642" s="2"/>
      <c r="K642" s="2"/>
    </row>
    <row r="643">
      <c r="A643" s="2"/>
      <c r="B643" s="2"/>
      <c r="C643" s="2"/>
      <c r="D643" s="2"/>
      <c r="E643" s="2"/>
      <c r="F643" s="2"/>
      <c r="G643" s="2"/>
      <c r="H643" s="2"/>
      <c r="I643" s="2"/>
      <c r="J643" s="2"/>
      <c r="K643" s="2"/>
    </row>
    <row r="644">
      <c r="A644" s="2"/>
      <c r="B644" s="2"/>
      <c r="C644" s="2"/>
      <c r="D644" s="2"/>
      <c r="E644" s="2"/>
      <c r="F644" s="2"/>
      <c r="G644" s="2"/>
      <c r="H644" s="2"/>
      <c r="I644" s="2"/>
      <c r="J644" s="2"/>
      <c r="K644" s="2"/>
    </row>
    <row r="645">
      <c r="A645" s="2"/>
      <c r="B645" s="2"/>
      <c r="C645" s="2"/>
      <c r="D645" s="2"/>
      <c r="E645" s="2"/>
      <c r="F645" s="2"/>
      <c r="G645" s="2"/>
      <c r="H645" s="2"/>
      <c r="I645" s="2"/>
      <c r="J645" s="2"/>
      <c r="K645" s="2"/>
    </row>
    <row r="646">
      <c r="A646" s="2"/>
      <c r="B646" s="2"/>
      <c r="C646" s="2"/>
      <c r="D646" s="2"/>
      <c r="E646" s="2"/>
      <c r="F646" s="2"/>
      <c r="G646" s="2"/>
      <c r="H646" s="2"/>
      <c r="I646" s="2"/>
      <c r="J646" s="2"/>
      <c r="K646" s="2"/>
    </row>
    <row r="647">
      <c r="A647" s="2"/>
      <c r="B647" s="2"/>
      <c r="C647" s="2"/>
      <c r="D647" s="2"/>
      <c r="E647" s="2"/>
      <c r="F647" s="2"/>
      <c r="G647" s="2"/>
      <c r="H647" s="2"/>
      <c r="I647" s="2"/>
      <c r="J647" s="2"/>
      <c r="K647" s="2"/>
    </row>
    <row r="648">
      <c r="A648" s="2"/>
      <c r="B648" s="2"/>
      <c r="C648" s="2"/>
      <c r="D648" s="2"/>
      <c r="E648" s="2"/>
      <c r="F648" s="2"/>
      <c r="G648" s="2"/>
      <c r="H648" s="2"/>
      <c r="I648" s="2"/>
      <c r="J648" s="2"/>
      <c r="K648" s="2"/>
    </row>
    <row r="649">
      <c r="A649" s="2"/>
      <c r="B649" s="2"/>
      <c r="C649" s="2"/>
      <c r="D649" s="2"/>
      <c r="E649" s="2"/>
      <c r="F649" s="2"/>
      <c r="G649" s="2"/>
      <c r="H649" s="2"/>
      <c r="I649" s="2"/>
      <c r="J649" s="2"/>
      <c r="K649" s="2"/>
    </row>
    <row r="650">
      <c r="A650" s="2"/>
      <c r="B650" s="2"/>
      <c r="C650" s="2"/>
      <c r="D650" s="2"/>
      <c r="E650" s="2"/>
      <c r="F650" s="2"/>
      <c r="G650" s="2"/>
      <c r="H650" s="2"/>
      <c r="I650" s="2"/>
      <c r="J650" s="2"/>
      <c r="K650" s="2"/>
    </row>
    <row r="651">
      <c r="A651" s="2"/>
      <c r="B651" s="2"/>
      <c r="C651" s="2"/>
      <c r="D651" s="2"/>
      <c r="E651" s="2"/>
      <c r="F651" s="2"/>
      <c r="G651" s="2"/>
      <c r="H651" s="2"/>
      <c r="I651" s="2"/>
      <c r="J651" s="2"/>
      <c r="K651" s="2"/>
    </row>
    <row r="652">
      <c r="A652" s="2"/>
      <c r="B652" s="2"/>
      <c r="C652" s="2"/>
      <c r="D652" s="2"/>
      <c r="E652" s="2"/>
      <c r="F652" s="2"/>
      <c r="G652" s="2"/>
      <c r="H652" s="2"/>
      <c r="I652" s="2"/>
      <c r="J652" s="2"/>
      <c r="K652" s="2"/>
    </row>
    <row r="653">
      <c r="A653" s="2"/>
      <c r="B653" s="2"/>
      <c r="C653" s="2"/>
      <c r="D653" s="2"/>
      <c r="E653" s="2"/>
      <c r="F653" s="2"/>
      <c r="G653" s="2"/>
      <c r="H653" s="2"/>
      <c r="I653" s="2"/>
      <c r="J653" s="2"/>
      <c r="K653" s="2"/>
    </row>
    <row r="654">
      <c r="A654" s="2"/>
      <c r="B654" s="2"/>
      <c r="C654" s="2"/>
      <c r="D654" s="2"/>
      <c r="E654" s="2"/>
      <c r="F654" s="2"/>
      <c r="G654" s="2"/>
      <c r="H654" s="2"/>
      <c r="I654" s="2"/>
      <c r="J654" s="2"/>
      <c r="K654" s="2"/>
    </row>
    <row r="655">
      <c r="A655" s="2"/>
      <c r="B655" s="2"/>
      <c r="C655" s="2"/>
      <c r="D655" s="2"/>
      <c r="E655" s="2"/>
      <c r="F655" s="2"/>
      <c r="G655" s="2"/>
      <c r="H655" s="2"/>
      <c r="I655" s="2"/>
      <c r="J655" s="2"/>
      <c r="K655" s="2"/>
    </row>
    <row r="656">
      <c r="A656" s="2"/>
      <c r="B656" s="2"/>
      <c r="C656" s="2"/>
      <c r="D656" s="2"/>
      <c r="E656" s="2"/>
      <c r="F656" s="2"/>
      <c r="G656" s="2"/>
      <c r="H656" s="2"/>
      <c r="I656" s="2"/>
      <c r="J656" s="2"/>
      <c r="K656" s="2"/>
    </row>
    <row r="657">
      <c r="A657" s="2"/>
      <c r="B657" s="2"/>
      <c r="C657" s="2"/>
      <c r="D657" s="2"/>
      <c r="E657" s="2"/>
      <c r="F657" s="2"/>
      <c r="G657" s="2"/>
      <c r="H657" s="2"/>
      <c r="I657" s="2"/>
      <c r="J657" s="2"/>
      <c r="K657" s="2"/>
    </row>
    <row r="658">
      <c r="A658" s="2"/>
      <c r="B658" s="2"/>
      <c r="C658" s="2"/>
      <c r="D658" s="2"/>
      <c r="E658" s="2"/>
      <c r="F658" s="2"/>
      <c r="G658" s="2"/>
      <c r="H658" s="2"/>
      <c r="I658" s="2"/>
      <c r="J658" s="2"/>
      <c r="K658" s="2"/>
    </row>
    <row r="659">
      <c r="A659" s="2"/>
      <c r="B659" s="2"/>
      <c r="C659" s="2"/>
      <c r="D659" s="2"/>
      <c r="E659" s="2"/>
      <c r="F659" s="2"/>
      <c r="G659" s="2"/>
      <c r="H659" s="2"/>
      <c r="I659" s="2"/>
      <c r="J659" s="2"/>
      <c r="K659" s="2"/>
    </row>
    <row r="660">
      <c r="A660" s="2"/>
      <c r="B660" s="2"/>
      <c r="C660" s="2"/>
      <c r="D660" s="2"/>
      <c r="E660" s="2"/>
      <c r="F660" s="2"/>
      <c r="G660" s="2"/>
      <c r="H660" s="2"/>
      <c r="I660" s="2"/>
      <c r="J660" s="2"/>
      <c r="K660" s="2"/>
    </row>
    <row r="661">
      <c r="A661" s="2"/>
      <c r="B661" s="2"/>
      <c r="C661" s="2"/>
      <c r="D661" s="2"/>
      <c r="E661" s="2"/>
      <c r="F661" s="2"/>
      <c r="G661" s="2"/>
      <c r="H661" s="2"/>
      <c r="I661" s="2"/>
      <c r="J661" s="2"/>
      <c r="K661" s="2"/>
    </row>
    <row r="662">
      <c r="A662" s="2"/>
      <c r="B662" s="2"/>
      <c r="C662" s="2"/>
      <c r="D662" s="2"/>
      <c r="E662" s="2"/>
      <c r="F662" s="2"/>
      <c r="G662" s="2"/>
      <c r="H662" s="2"/>
      <c r="I662" s="2"/>
      <c r="J662" s="2"/>
      <c r="K662" s="2"/>
    </row>
    <row r="663">
      <c r="A663" s="2"/>
      <c r="B663" s="2"/>
      <c r="C663" s="2"/>
      <c r="D663" s="2"/>
      <c r="E663" s="2"/>
      <c r="F663" s="2"/>
      <c r="G663" s="2"/>
      <c r="H663" s="2"/>
      <c r="I663" s="2"/>
      <c r="J663" s="2"/>
      <c r="K663" s="2"/>
    </row>
    <row r="664">
      <c r="A664" s="2"/>
      <c r="B664" s="2"/>
      <c r="C664" s="2"/>
      <c r="D664" s="2"/>
      <c r="E664" s="2"/>
      <c r="F664" s="2"/>
      <c r="G664" s="2"/>
      <c r="H664" s="2"/>
      <c r="I664" s="2"/>
      <c r="J664" s="2"/>
      <c r="K664" s="2"/>
    </row>
    <row r="665">
      <c r="A665" s="2"/>
      <c r="B665" s="2"/>
      <c r="C665" s="2"/>
      <c r="D665" s="2"/>
      <c r="E665" s="2"/>
      <c r="F665" s="2"/>
      <c r="G665" s="2"/>
      <c r="H665" s="2"/>
      <c r="I665" s="2"/>
      <c r="J665" s="2"/>
      <c r="K665" s="2"/>
    </row>
    <row r="666">
      <c r="A666" s="2"/>
      <c r="B666" s="2"/>
      <c r="C666" s="2"/>
      <c r="D666" s="2"/>
      <c r="E666" s="2"/>
      <c r="F666" s="2"/>
      <c r="G666" s="2"/>
      <c r="H666" s="2"/>
      <c r="I666" s="2"/>
      <c r="J666" s="2"/>
      <c r="K666" s="2"/>
    </row>
    <row r="667">
      <c r="A667" s="2"/>
      <c r="B667" s="2"/>
      <c r="C667" s="2"/>
      <c r="D667" s="2"/>
      <c r="E667" s="2"/>
      <c r="F667" s="2"/>
      <c r="G667" s="2"/>
      <c r="H667" s="2"/>
      <c r="I667" s="2"/>
      <c r="J667" s="2"/>
      <c r="K667" s="2"/>
    </row>
    <row r="668">
      <c r="A668" s="2"/>
      <c r="B668" s="2"/>
      <c r="C668" s="2"/>
      <c r="D668" s="2"/>
      <c r="E668" s="2"/>
      <c r="F668" s="2"/>
      <c r="G668" s="2"/>
      <c r="H668" s="2"/>
      <c r="I668" s="2"/>
      <c r="J668" s="2"/>
      <c r="K668" s="2"/>
    </row>
    <row r="669">
      <c r="A669" s="2"/>
      <c r="B669" s="2"/>
      <c r="C669" s="2"/>
      <c r="D669" s="2"/>
      <c r="E669" s="2"/>
      <c r="F669" s="2"/>
      <c r="G669" s="2"/>
      <c r="H669" s="2"/>
      <c r="I669" s="2"/>
      <c r="J669" s="2"/>
      <c r="K669" s="2"/>
    </row>
    <row r="670">
      <c r="A670" s="2"/>
      <c r="B670" s="2"/>
      <c r="C670" s="2"/>
      <c r="D670" s="2"/>
      <c r="E670" s="2"/>
      <c r="F670" s="2"/>
      <c r="G670" s="2"/>
      <c r="H670" s="2"/>
      <c r="I670" s="2"/>
      <c r="J670" s="2"/>
      <c r="K670" s="2"/>
    </row>
    <row r="671">
      <c r="A671" s="2"/>
      <c r="B671" s="2"/>
      <c r="C671" s="2"/>
      <c r="D671" s="2"/>
      <c r="E671" s="2"/>
      <c r="F671" s="2"/>
      <c r="G671" s="2"/>
      <c r="H671" s="2"/>
      <c r="I671" s="2"/>
      <c r="J671" s="2"/>
      <c r="K671" s="2"/>
    </row>
    <row r="672">
      <c r="A672" s="2"/>
      <c r="B672" s="2"/>
      <c r="C672" s="2"/>
      <c r="D672" s="2"/>
      <c r="E672" s="2"/>
      <c r="F672" s="2"/>
      <c r="G672" s="2"/>
      <c r="H672" s="2"/>
      <c r="I672" s="2"/>
      <c r="J672" s="2"/>
      <c r="K672" s="2"/>
    </row>
    <row r="673">
      <c r="A673" s="2"/>
      <c r="B673" s="2"/>
      <c r="C673" s="2"/>
      <c r="D673" s="2"/>
      <c r="E673" s="2"/>
      <c r="F673" s="2"/>
      <c r="G673" s="2"/>
      <c r="H673" s="2"/>
      <c r="I673" s="2"/>
      <c r="J673" s="2"/>
      <c r="K673" s="2"/>
    </row>
    <row r="674">
      <c r="A674" s="2"/>
      <c r="B674" s="2"/>
      <c r="C674" s="2"/>
      <c r="D674" s="2"/>
      <c r="E674" s="2"/>
      <c r="F674" s="2"/>
      <c r="G674" s="2"/>
      <c r="H674" s="2"/>
      <c r="I674" s="2"/>
      <c r="J674" s="2"/>
      <c r="K674" s="2"/>
    </row>
    <row r="675">
      <c r="A675" s="2"/>
      <c r="B675" s="2"/>
      <c r="C675" s="2"/>
      <c r="D675" s="2"/>
      <c r="E675" s="2"/>
      <c r="F675" s="2"/>
      <c r="G675" s="2"/>
      <c r="H675" s="2"/>
      <c r="I675" s="2"/>
      <c r="J675" s="2"/>
      <c r="K675" s="2"/>
    </row>
    <row r="676">
      <c r="A676" s="2"/>
      <c r="B676" s="2"/>
      <c r="C676" s="2"/>
      <c r="D676" s="2"/>
      <c r="E676" s="2"/>
      <c r="F676" s="2"/>
      <c r="G676" s="2"/>
      <c r="H676" s="2"/>
      <c r="I676" s="2"/>
      <c r="J676" s="2"/>
      <c r="K676" s="2"/>
    </row>
    <row r="677">
      <c r="A677" s="2"/>
      <c r="B677" s="2"/>
      <c r="C677" s="2"/>
      <c r="D677" s="2"/>
      <c r="E677" s="2"/>
      <c r="F677" s="2"/>
      <c r="G677" s="2"/>
      <c r="H677" s="2"/>
      <c r="I677" s="2"/>
      <c r="J677" s="2"/>
      <c r="K677" s="2"/>
    </row>
    <row r="678">
      <c r="A678" s="2"/>
      <c r="B678" s="2"/>
      <c r="C678" s="2"/>
      <c r="D678" s="2"/>
      <c r="E678" s="2"/>
      <c r="F678" s="2"/>
      <c r="G678" s="2"/>
      <c r="H678" s="2"/>
      <c r="I678" s="2"/>
      <c r="J678" s="2"/>
      <c r="K678" s="2"/>
    </row>
    <row r="679">
      <c r="A679" s="2"/>
      <c r="B679" s="2"/>
      <c r="C679" s="2"/>
      <c r="D679" s="2"/>
      <c r="E679" s="2"/>
      <c r="F679" s="2"/>
      <c r="G679" s="2"/>
      <c r="H679" s="2"/>
      <c r="I679" s="2"/>
      <c r="J679" s="2"/>
      <c r="K679" s="2"/>
    </row>
    <row r="680">
      <c r="A680" s="2"/>
      <c r="B680" s="2"/>
      <c r="C680" s="2"/>
      <c r="D680" s="2"/>
      <c r="E680" s="2"/>
      <c r="F680" s="2"/>
      <c r="G680" s="2"/>
      <c r="H680" s="2"/>
      <c r="I680" s="2"/>
      <c r="J680" s="2"/>
      <c r="K680" s="2"/>
    </row>
    <row r="681">
      <c r="A681" s="2"/>
      <c r="B681" s="2"/>
      <c r="C681" s="2"/>
      <c r="D681" s="2"/>
      <c r="E681" s="2"/>
      <c r="F681" s="2"/>
      <c r="G681" s="2"/>
      <c r="H681" s="2"/>
      <c r="I681" s="2"/>
      <c r="J681" s="2"/>
      <c r="K681" s="2"/>
    </row>
    <row r="682">
      <c r="A682" s="2"/>
      <c r="B682" s="2"/>
      <c r="C682" s="2"/>
      <c r="D682" s="2"/>
      <c r="E682" s="2"/>
      <c r="F682" s="2"/>
      <c r="G682" s="2"/>
      <c r="H682" s="2"/>
      <c r="I682" s="2"/>
      <c r="J682" s="2"/>
      <c r="K682" s="2"/>
    </row>
    <row r="683">
      <c r="A683" s="2"/>
      <c r="B683" s="2"/>
      <c r="C683" s="2"/>
      <c r="D683" s="2"/>
      <c r="E683" s="2"/>
      <c r="F683" s="2"/>
      <c r="G683" s="2"/>
      <c r="H683" s="2"/>
      <c r="I683" s="2"/>
      <c r="J683" s="2"/>
      <c r="K683" s="2"/>
    </row>
    <row r="684">
      <c r="A684" s="2"/>
      <c r="B684" s="2"/>
      <c r="C684" s="2"/>
      <c r="D684" s="2"/>
      <c r="E684" s="2"/>
      <c r="F684" s="2"/>
      <c r="G684" s="2"/>
      <c r="H684" s="2"/>
      <c r="I684" s="2"/>
      <c r="J684" s="2"/>
      <c r="K684" s="2"/>
    </row>
    <row r="685">
      <c r="A685" s="2"/>
      <c r="B685" s="2"/>
      <c r="C685" s="2"/>
      <c r="D685" s="2"/>
      <c r="E685" s="2"/>
      <c r="F685" s="2"/>
      <c r="G685" s="2"/>
      <c r="H685" s="2"/>
      <c r="I685" s="2"/>
      <c r="J685" s="2"/>
      <c r="K685" s="2"/>
    </row>
    <row r="686">
      <c r="A686" s="2"/>
      <c r="B686" s="2"/>
      <c r="C686" s="2"/>
      <c r="D686" s="2"/>
      <c r="E686" s="2"/>
      <c r="F686" s="2"/>
      <c r="G686" s="2"/>
      <c r="H686" s="2"/>
      <c r="I686" s="2"/>
      <c r="J686" s="2"/>
      <c r="K686" s="2"/>
    </row>
    <row r="687">
      <c r="A687" s="2"/>
      <c r="B687" s="2"/>
      <c r="C687" s="2"/>
      <c r="D687" s="2"/>
      <c r="E687" s="2"/>
      <c r="F687" s="2"/>
      <c r="G687" s="2"/>
      <c r="H687" s="2"/>
      <c r="I687" s="2"/>
      <c r="J687" s="2"/>
      <c r="K687" s="2"/>
    </row>
    <row r="688">
      <c r="A688" s="2"/>
      <c r="B688" s="2"/>
      <c r="C688" s="2"/>
      <c r="D688" s="2"/>
      <c r="E688" s="2"/>
      <c r="F688" s="2"/>
      <c r="G688" s="2"/>
      <c r="H688" s="2"/>
      <c r="I688" s="2"/>
      <c r="J688" s="2"/>
      <c r="K688" s="2"/>
    </row>
    <row r="689">
      <c r="A689" s="2"/>
      <c r="B689" s="2"/>
      <c r="C689" s="2"/>
      <c r="D689" s="2"/>
      <c r="E689" s="2"/>
      <c r="F689" s="2"/>
      <c r="G689" s="2"/>
      <c r="H689" s="2"/>
      <c r="I689" s="2"/>
      <c r="J689" s="2"/>
      <c r="K689" s="2"/>
    </row>
    <row r="690">
      <c r="A690" s="2"/>
      <c r="B690" s="2"/>
      <c r="C690" s="2"/>
      <c r="D690" s="2"/>
      <c r="E690" s="2"/>
      <c r="F690" s="2"/>
      <c r="G690" s="2"/>
      <c r="H690" s="2"/>
      <c r="I690" s="2"/>
      <c r="J690" s="2"/>
      <c r="K690" s="2"/>
    </row>
    <row r="691">
      <c r="A691" s="2"/>
      <c r="B691" s="2"/>
      <c r="C691" s="2"/>
      <c r="D691" s="2"/>
      <c r="E691" s="2"/>
      <c r="F691" s="2"/>
      <c r="G691" s="2"/>
      <c r="H691" s="2"/>
      <c r="I691" s="2"/>
      <c r="J691" s="2"/>
      <c r="K691" s="2"/>
    </row>
    <row r="692">
      <c r="A692" s="2"/>
      <c r="B692" s="2"/>
      <c r="C692" s="2"/>
      <c r="D692" s="2"/>
      <c r="E692" s="2"/>
      <c r="F692" s="2"/>
      <c r="G692" s="2"/>
      <c r="H692" s="2"/>
      <c r="I692" s="2"/>
      <c r="J692" s="2"/>
      <c r="K692" s="2"/>
    </row>
    <row r="693">
      <c r="A693" s="2"/>
      <c r="B693" s="2"/>
      <c r="C693" s="2"/>
      <c r="D693" s="2"/>
      <c r="E693" s="2"/>
      <c r="F693" s="2"/>
      <c r="G693" s="2"/>
      <c r="H693" s="2"/>
      <c r="I693" s="2"/>
      <c r="J693" s="2"/>
      <c r="K693" s="2"/>
    </row>
    <row r="694">
      <c r="A694" s="2"/>
      <c r="B694" s="2"/>
      <c r="C694" s="2"/>
      <c r="D694" s="2"/>
      <c r="E694" s="2"/>
      <c r="F694" s="2"/>
      <c r="G694" s="2"/>
      <c r="H694" s="2"/>
      <c r="I694" s="2"/>
      <c r="J694" s="2"/>
      <c r="K694" s="2"/>
    </row>
    <row r="695">
      <c r="A695" s="2"/>
      <c r="B695" s="2"/>
      <c r="C695" s="2"/>
      <c r="D695" s="2"/>
      <c r="E695" s="2"/>
      <c r="F695" s="2"/>
      <c r="G695" s="2"/>
      <c r="H695" s="2"/>
      <c r="I695" s="2"/>
      <c r="J695" s="2"/>
      <c r="K695" s="2"/>
    </row>
    <row r="696">
      <c r="A696" s="2"/>
      <c r="B696" s="2"/>
      <c r="C696" s="2"/>
      <c r="D696" s="2"/>
      <c r="E696" s="2"/>
      <c r="F696" s="2"/>
      <c r="G696" s="2"/>
      <c r="H696" s="2"/>
      <c r="I696" s="2"/>
      <c r="J696" s="2"/>
      <c r="K696" s="2"/>
    </row>
    <row r="697">
      <c r="A697" s="2"/>
      <c r="B697" s="2"/>
      <c r="C697" s="2"/>
      <c r="D697" s="2"/>
      <c r="E697" s="2"/>
      <c r="F697" s="2"/>
      <c r="G697" s="2"/>
      <c r="H697" s="2"/>
      <c r="I697" s="2"/>
      <c r="J697" s="2"/>
      <c r="K697" s="2"/>
    </row>
    <row r="698">
      <c r="A698" s="2"/>
      <c r="B698" s="2"/>
      <c r="C698" s="2"/>
      <c r="D698" s="2"/>
      <c r="E698" s="2"/>
      <c r="F698" s="2"/>
      <c r="G698" s="2"/>
      <c r="H698" s="2"/>
      <c r="I698" s="2"/>
      <c r="J698" s="2"/>
      <c r="K698" s="2"/>
    </row>
    <row r="699">
      <c r="A699" s="2"/>
      <c r="B699" s="2"/>
      <c r="C699" s="2"/>
      <c r="D699" s="2"/>
      <c r="E699" s="2"/>
      <c r="F699" s="2"/>
      <c r="G699" s="2"/>
      <c r="H699" s="2"/>
      <c r="I699" s="2"/>
      <c r="J699" s="2"/>
      <c r="K699" s="2"/>
    </row>
    <row r="700">
      <c r="A700" s="2"/>
      <c r="B700" s="2"/>
      <c r="C700" s="2"/>
      <c r="D700" s="2"/>
      <c r="E700" s="2"/>
      <c r="F700" s="2"/>
      <c r="G700" s="2"/>
      <c r="H700" s="2"/>
      <c r="I700" s="2"/>
      <c r="J700" s="2"/>
      <c r="K700" s="2"/>
    </row>
    <row r="701">
      <c r="A701" s="2"/>
      <c r="B701" s="2"/>
      <c r="C701" s="2"/>
      <c r="D701" s="2"/>
      <c r="E701" s="2"/>
      <c r="F701" s="2"/>
      <c r="G701" s="2"/>
      <c r="H701" s="2"/>
      <c r="I701" s="2"/>
      <c r="J701" s="2"/>
      <c r="K701" s="2"/>
    </row>
    <row r="702">
      <c r="A702" s="2"/>
      <c r="B702" s="2"/>
      <c r="C702" s="2"/>
      <c r="D702" s="2"/>
      <c r="E702" s="2"/>
      <c r="F702" s="2"/>
      <c r="G702" s="2"/>
      <c r="H702" s="2"/>
      <c r="I702" s="2"/>
      <c r="J702" s="2"/>
      <c r="K702" s="2"/>
    </row>
    <row r="703">
      <c r="A703" s="2"/>
      <c r="B703" s="2"/>
      <c r="C703" s="2"/>
      <c r="D703" s="2"/>
      <c r="E703" s="2"/>
      <c r="F703" s="2"/>
      <c r="G703" s="2"/>
      <c r="H703" s="2"/>
      <c r="I703" s="2"/>
      <c r="J703" s="2"/>
      <c r="K703" s="2"/>
    </row>
    <row r="704">
      <c r="A704" s="2"/>
      <c r="B704" s="2"/>
      <c r="C704" s="2"/>
      <c r="D704" s="2"/>
      <c r="E704" s="2"/>
      <c r="F704" s="2"/>
      <c r="G704" s="2"/>
      <c r="H704" s="2"/>
      <c r="I704" s="2"/>
      <c r="J704" s="2"/>
      <c r="K704" s="2"/>
    </row>
    <row r="705">
      <c r="A705" s="2"/>
      <c r="B705" s="2"/>
      <c r="C705" s="2"/>
      <c r="D705" s="2"/>
      <c r="E705" s="2"/>
      <c r="F705" s="2"/>
      <c r="G705" s="2"/>
      <c r="H705" s="2"/>
      <c r="I705" s="2"/>
      <c r="J705" s="2"/>
      <c r="K705" s="2"/>
    </row>
    <row r="706">
      <c r="A706" s="2"/>
      <c r="B706" s="2"/>
      <c r="C706" s="2"/>
      <c r="D706" s="2"/>
      <c r="E706" s="2"/>
      <c r="F706" s="2"/>
      <c r="G706" s="2"/>
      <c r="H706" s="2"/>
      <c r="I706" s="2"/>
      <c r="J706" s="2"/>
      <c r="K706" s="2"/>
    </row>
    <row r="707">
      <c r="A707" s="2"/>
      <c r="B707" s="2"/>
      <c r="C707" s="2"/>
      <c r="D707" s="2"/>
      <c r="E707" s="2"/>
      <c r="F707" s="2"/>
      <c r="G707" s="2"/>
      <c r="H707" s="2"/>
      <c r="I707" s="2"/>
      <c r="J707" s="2"/>
      <c r="K707" s="2"/>
    </row>
    <row r="708">
      <c r="A708" s="2"/>
      <c r="B708" s="2"/>
      <c r="C708" s="2"/>
      <c r="D708" s="2"/>
      <c r="E708" s="2"/>
      <c r="F708" s="2"/>
      <c r="G708" s="2"/>
      <c r="H708" s="2"/>
      <c r="I708" s="2"/>
      <c r="J708" s="2"/>
      <c r="K708" s="2"/>
    </row>
    <row r="709">
      <c r="A709" s="2"/>
      <c r="B709" s="2"/>
      <c r="C709" s="2"/>
      <c r="D709" s="2"/>
      <c r="E709" s="2"/>
      <c r="F709" s="2"/>
      <c r="G709" s="2"/>
      <c r="H709" s="2"/>
      <c r="I709" s="2"/>
      <c r="J709" s="2"/>
      <c r="K709" s="2"/>
    </row>
    <row r="710">
      <c r="A710" s="2"/>
      <c r="B710" s="2"/>
      <c r="C710" s="2"/>
      <c r="D710" s="2"/>
      <c r="E710" s="2"/>
      <c r="F710" s="2"/>
      <c r="G710" s="2"/>
      <c r="H710" s="2"/>
      <c r="I710" s="2"/>
      <c r="J710" s="2"/>
      <c r="K710" s="2"/>
    </row>
    <row r="711">
      <c r="A711" s="2"/>
      <c r="B711" s="2"/>
      <c r="C711" s="2"/>
      <c r="D711" s="2"/>
      <c r="E711" s="2"/>
      <c r="F711" s="2"/>
      <c r="G711" s="2"/>
      <c r="H711" s="2"/>
      <c r="I711" s="2"/>
      <c r="J711" s="2"/>
      <c r="K711" s="2"/>
    </row>
    <row r="712">
      <c r="A712" s="2"/>
      <c r="B712" s="2"/>
      <c r="C712" s="2"/>
      <c r="D712" s="2"/>
      <c r="E712" s="2"/>
      <c r="F712" s="2"/>
      <c r="G712" s="2"/>
      <c r="H712" s="2"/>
      <c r="I712" s="2"/>
      <c r="J712" s="2"/>
      <c r="K712" s="2"/>
    </row>
    <row r="713">
      <c r="A713" s="2"/>
      <c r="B713" s="2"/>
      <c r="C713" s="2"/>
      <c r="D713" s="2"/>
      <c r="E713" s="2"/>
      <c r="F713" s="2"/>
      <c r="G713" s="2"/>
      <c r="H713" s="2"/>
      <c r="I713" s="2"/>
      <c r="J713" s="2"/>
      <c r="K713" s="2"/>
    </row>
    <row r="714">
      <c r="A714" s="2"/>
      <c r="B714" s="2"/>
      <c r="C714" s="2"/>
      <c r="D714" s="2"/>
      <c r="E714" s="2"/>
      <c r="F714" s="2"/>
      <c r="G714" s="2"/>
      <c r="H714" s="2"/>
      <c r="I714" s="2"/>
      <c r="J714" s="2"/>
      <c r="K714" s="2"/>
    </row>
    <row r="715">
      <c r="A715" s="2"/>
      <c r="B715" s="2"/>
      <c r="C715" s="2"/>
      <c r="D715" s="2"/>
      <c r="E715" s="2"/>
      <c r="F715" s="2"/>
      <c r="G715" s="2"/>
      <c r="H715" s="2"/>
      <c r="I715" s="2"/>
      <c r="J715" s="2"/>
      <c r="K715" s="2"/>
    </row>
    <row r="716">
      <c r="A716" s="2"/>
      <c r="B716" s="2"/>
      <c r="C716" s="2"/>
      <c r="D716" s="2"/>
      <c r="E716" s="2"/>
      <c r="F716" s="2"/>
      <c r="G716" s="2"/>
      <c r="H716" s="2"/>
      <c r="I716" s="2"/>
      <c r="J716" s="2"/>
      <c r="K716" s="2"/>
    </row>
    <row r="717">
      <c r="A717" s="2"/>
      <c r="B717" s="2"/>
      <c r="C717" s="2"/>
      <c r="D717" s="2"/>
      <c r="E717" s="2"/>
      <c r="F717" s="2"/>
      <c r="G717" s="2"/>
      <c r="H717" s="2"/>
      <c r="I717" s="2"/>
      <c r="J717" s="2"/>
      <c r="K717" s="2"/>
    </row>
    <row r="718">
      <c r="A718" s="2"/>
      <c r="B718" s="2"/>
      <c r="C718" s="2"/>
      <c r="D718" s="2"/>
      <c r="E718" s="2"/>
      <c r="F718" s="2"/>
      <c r="G718" s="2"/>
      <c r="H718" s="2"/>
      <c r="I718" s="2"/>
      <c r="J718" s="2"/>
      <c r="K718" s="2"/>
    </row>
    <row r="719">
      <c r="A719" s="2"/>
      <c r="B719" s="2"/>
      <c r="C719" s="2"/>
      <c r="D719" s="2"/>
      <c r="E719" s="2"/>
      <c r="F719" s="2"/>
      <c r="G719" s="2"/>
      <c r="H719" s="2"/>
      <c r="I719" s="2"/>
      <c r="J719" s="2"/>
      <c r="K719" s="2"/>
    </row>
    <row r="720">
      <c r="A720" s="2"/>
      <c r="B720" s="2"/>
      <c r="C720" s="2"/>
      <c r="D720" s="2"/>
      <c r="E720" s="2"/>
      <c r="F720" s="2"/>
      <c r="G720" s="2"/>
      <c r="H720" s="2"/>
      <c r="I720" s="2"/>
      <c r="J720" s="2"/>
      <c r="K720" s="2"/>
    </row>
    <row r="721">
      <c r="A721" s="2"/>
      <c r="B721" s="2"/>
      <c r="C721" s="2"/>
      <c r="D721" s="2"/>
      <c r="E721" s="2"/>
      <c r="F721" s="2"/>
      <c r="G721" s="2"/>
      <c r="H721" s="2"/>
      <c r="I721" s="2"/>
      <c r="J721" s="2"/>
      <c r="K721" s="2"/>
    </row>
    <row r="722">
      <c r="A722" s="2"/>
      <c r="B722" s="2"/>
      <c r="C722" s="2"/>
      <c r="D722" s="2"/>
      <c r="E722" s="2"/>
      <c r="F722" s="2"/>
      <c r="G722" s="2"/>
      <c r="H722" s="2"/>
      <c r="I722" s="2"/>
      <c r="J722" s="2"/>
      <c r="K722" s="2"/>
    </row>
    <row r="723">
      <c r="A723" s="2"/>
      <c r="B723" s="2"/>
      <c r="C723" s="2"/>
      <c r="D723" s="2"/>
      <c r="E723" s="2"/>
      <c r="F723" s="2"/>
      <c r="G723" s="2"/>
      <c r="H723" s="2"/>
      <c r="I723" s="2"/>
      <c r="J723" s="2"/>
      <c r="K723" s="2"/>
    </row>
    <row r="724">
      <c r="A724" s="2"/>
      <c r="B724" s="2"/>
      <c r="C724" s="2"/>
      <c r="D724" s="2"/>
      <c r="E724" s="2"/>
      <c r="F724" s="2"/>
      <c r="G724" s="2"/>
      <c r="H724" s="2"/>
      <c r="I724" s="2"/>
      <c r="J724" s="2"/>
      <c r="K724" s="2"/>
    </row>
    <row r="725">
      <c r="A725" s="2"/>
      <c r="B725" s="2"/>
      <c r="C725" s="2"/>
      <c r="D725" s="2"/>
      <c r="E725" s="2"/>
      <c r="F725" s="2"/>
      <c r="G725" s="2"/>
      <c r="H725" s="2"/>
      <c r="I725" s="2"/>
      <c r="J725" s="2"/>
      <c r="K725" s="2"/>
    </row>
    <row r="726">
      <c r="A726" s="2"/>
      <c r="B726" s="2"/>
      <c r="C726" s="2"/>
      <c r="D726" s="2"/>
      <c r="E726" s="2"/>
      <c r="F726" s="2"/>
      <c r="G726" s="2"/>
      <c r="H726" s="2"/>
      <c r="I726" s="2"/>
      <c r="J726" s="2"/>
      <c r="K726" s="2"/>
    </row>
    <row r="727">
      <c r="A727" s="2"/>
      <c r="B727" s="2"/>
      <c r="C727" s="2"/>
      <c r="D727" s="2"/>
      <c r="E727" s="2"/>
      <c r="F727" s="2"/>
      <c r="G727" s="2"/>
      <c r="H727" s="2"/>
      <c r="I727" s="2"/>
      <c r="J727" s="2"/>
      <c r="K727" s="2"/>
    </row>
    <row r="728">
      <c r="A728" s="2"/>
      <c r="B728" s="2"/>
      <c r="C728" s="2"/>
      <c r="D728" s="2"/>
      <c r="E728" s="2"/>
      <c r="F728" s="2"/>
      <c r="G728" s="2"/>
      <c r="H728" s="2"/>
      <c r="I728" s="2"/>
      <c r="J728" s="2"/>
      <c r="K728" s="2"/>
    </row>
    <row r="729">
      <c r="A729" s="2"/>
      <c r="B729" s="2"/>
      <c r="C729" s="2"/>
      <c r="D729" s="2"/>
      <c r="E729" s="2"/>
      <c r="F729" s="2"/>
      <c r="G729" s="2"/>
      <c r="H729" s="2"/>
      <c r="I729" s="2"/>
      <c r="J729" s="2"/>
      <c r="K729" s="2"/>
    </row>
    <row r="730">
      <c r="A730" s="2"/>
      <c r="B730" s="2"/>
      <c r="C730" s="2"/>
      <c r="D730" s="2"/>
      <c r="E730" s="2"/>
      <c r="F730" s="2"/>
      <c r="G730" s="2"/>
      <c r="H730" s="2"/>
      <c r="I730" s="2"/>
      <c r="J730" s="2"/>
      <c r="K730" s="2"/>
    </row>
    <row r="731">
      <c r="A731" s="2"/>
      <c r="B731" s="2"/>
      <c r="C731" s="2"/>
      <c r="D731" s="2"/>
      <c r="E731" s="2"/>
      <c r="F731" s="2"/>
      <c r="G731" s="2"/>
      <c r="H731" s="2"/>
      <c r="I731" s="2"/>
      <c r="J731" s="2"/>
      <c r="K731" s="2"/>
    </row>
    <row r="732">
      <c r="A732" s="2"/>
      <c r="B732" s="2"/>
      <c r="C732" s="2"/>
      <c r="D732" s="2"/>
      <c r="E732" s="2"/>
      <c r="F732" s="2"/>
      <c r="G732" s="2"/>
      <c r="H732" s="2"/>
      <c r="I732" s="2"/>
      <c r="J732" s="2"/>
      <c r="K732" s="2"/>
    </row>
    <row r="733">
      <c r="A733" s="2"/>
      <c r="B733" s="2"/>
      <c r="C733" s="2"/>
      <c r="D733" s="2"/>
      <c r="E733" s="2"/>
      <c r="F733" s="2"/>
      <c r="G733" s="2"/>
      <c r="H733" s="2"/>
      <c r="I733" s="2"/>
      <c r="J733" s="2"/>
      <c r="K733" s="2"/>
    </row>
    <row r="734">
      <c r="A734" s="2"/>
      <c r="B734" s="2"/>
      <c r="C734" s="2"/>
      <c r="D734" s="2"/>
      <c r="E734" s="2"/>
      <c r="F734" s="2"/>
      <c r="G734" s="2"/>
      <c r="H734" s="2"/>
      <c r="I734" s="2"/>
      <c r="J734" s="2"/>
      <c r="K734" s="2"/>
    </row>
    <row r="735">
      <c r="A735" s="2"/>
      <c r="B735" s="2"/>
      <c r="C735" s="2"/>
      <c r="D735" s="2"/>
      <c r="E735" s="2"/>
      <c r="F735" s="2"/>
      <c r="G735" s="2"/>
      <c r="H735" s="2"/>
      <c r="I735" s="2"/>
      <c r="J735" s="2"/>
      <c r="K735" s="2"/>
    </row>
    <row r="736">
      <c r="A736" s="2"/>
      <c r="B736" s="2"/>
      <c r="C736" s="2"/>
      <c r="D736" s="2"/>
      <c r="E736" s="2"/>
      <c r="F736" s="2"/>
      <c r="G736" s="2"/>
      <c r="H736" s="2"/>
      <c r="I736" s="2"/>
      <c r="J736" s="2"/>
      <c r="K736" s="2"/>
    </row>
    <row r="737">
      <c r="A737" s="2"/>
      <c r="B737" s="2"/>
      <c r="C737" s="2"/>
      <c r="D737" s="2"/>
      <c r="E737" s="2"/>
      <c r="F737" s="2"/>
      <c r="G737" s="2"/>
      <c r="H737" s="2"/>
      <c r="I737" s="2"/>
      <c r="J737" s="2"/>
      <c r="K737" s="2"/>
    </row>
    <row r="738">
      <c r="A738" s="2"/>
      <c r="B738" s="2"/>
      <c r="C738" s="2"/>
      <c r="D738" s="2"/>
      <c r="E738" s="2"/>
      <c r="F738" s="2"/>
      <c r="G738" s="2"/>
      <c r="H738" s="2"/>
      <c r="I738" s="2"/>
      <c r="J738" s="2"/>
      <c r="K738" s="2"/>
    </row>
    <row r="739">
      <c r="A739" s="2"/>
      <c r="B739" s="2"/>
      <c r="C739" s="2"/>
      <c r="D739" s="2"/>
      <c r="E739" s="2"/>
      <c r="F739" s="2"/>
      <c r="G739" s="2"/>
      <c r="H739" s="2"/>
      <c r="I739" s="2"/>
      <c r="J739" s="2"/>
      <c r="K739" s="2"/>
    </row>
    <row r="740">
      <c r="A740" s="2"/>
      <c r="B740" s="2"/>
      <c r="C740" s="2"/>
      <c r="D740" s="2"/>
      <c r="E740" s="2"/>
      <c r="F740" s="2"/>
      <c r="G740" s="2"/>
      <c r="H740" s="2"/>
      <c r="I740" s="2"/>
      <c r="J740" s="2"/>
      <c r="K740" s="2"/>
    </row>
    <row r="741">
      <c r="A741" s="2"/>
      <c r="B741" s="2"/>
      <c r="C741" s="2"/>
      <c r="D741" s="2"/>
      <c r="E741" s="2"/>
      <c r="F741" s="2"/>
      <c r="G741" s="2"/>
      <c r="H741" s="2"/>
      <c r="I741" s="2"/>
      <c r="J741" s="2"/>
      <c r="K741" s="2"/>
    </row>
    <row r="742">
      <c r="A742" s="2"/>
      <c r="B742" s="2"/>
      <c r="C742" s="2"/>
      <c r="D742" s="2"/>
      <c r="E742" s="2"/>
      <c r="F742" s="2"/>
      <c r="G742" s="2"/>
      <c r="H742" s="2"/>
      <c r="I742" s="2"/>
      <c r="J742" s="2"/>
      <c r="K742" s="2"/>
    </row>
    <row r="743">
      <c r="A743" s="2"/>
      <c r="B743" s="2"/>
      <c r="C743" s="2"/>
      <c r="D743" s="2"/>
      <c r="E743" s="2"/>
      <c r="F743" s="2"/>
      <c r="G743" s="2"/>
      <c r="H743" s="2"/>
      <c r="I743" s="2"/>
      <c r="J743" s="2"/>
      <c r="K743" s="2"/>
    </row>
    <row r="744">
      <c r="A744" s="2"/>
      <c r="B744" s="2"/>
      <c r="C744" s="2"/>
      <c r="D744" s="2"/>
      <c r="E744" s="2"/>
      <c r="F744" s="2"/>
      <c r="G744" s="2"/>
      <c r="H744" s="2"/>
      <c r="I744" s="2"/>
      <c r="J744" s="2"/>
      <c r="K744" s="2"/>
    </row>
    <row r="745">
      <c r="A745" s="2"/>
      <c r="B745" s="2"/>
      <c r="C745" s="2"/>
      <c r="D745" s="2"/>
      <c r="E745" s="2"/>
      <c r="F745" s="2"/>
      <c r="G745" s="2"/>
      <c r="H745" s="2"/>
      <c r="I745" s="2"/>
      <c r="J745" s="2"/>
      <c r="K745" s="2"/>
    </row>
    <row r="746">
      <c r="A746" s="2"/>
      <c r="B746" s="2"/>
      <c r="C746" s="2"/>
      <c r="D746" s="2"/>
      <c r="E746" s="2"/>
      <c r="F746" s="2"/>
      <c r="G746" s="2"/>
      <c r="H746" s="2"/>
      <c r="I746" s="2"/>
      <c r="J746" s="2"/>
      <c r="K746" s="2"/>
    </row>
    <row r="747">
      <c r="A747" s="2"/>
      <c r="B747" s="2"/>
      <c r="C747" s="2"/>
      <c r="D747" s="2"/>
      <c r="E747" s="2"/>
      <c r="F747" s="2"/>
      <c r="G747" s="2"/>
      <c r="H747" s="2"/>
      <c r="I747" s="2"/>
      <c r="J747" s="2"/>
      <c r="K747" s="2"/>
    </row>
    <row r="748">
      <c r="A748" s="2"/>
      <c r="B748" s="2"/>
      <c r="C748" s="2"/>
      <c r="D748" s="2"/>
      <c r="E748" s="2"/>
      <c r="F748" s="2"/>
      <c r="G748" s="2"/>
      <c r="H748" s="2"/>
      <c r="I748" s="2"/>
      <c r="J748" s="2"/>
      <c r="K748" s="2"/>
    </row>
    <row r="749">
      <c r="A749" s="2"/>
      <c r="B749" s="2"/>
      <c r="C749" s="2"/>
      <c r="D749" s="2"/>
      <c r="E749" s="2"/>
      <c r="F749" s="2"/>
      <c r="G749" s="2"/>
      <c r="H749" s="2"/>
      <c r="I749" s="2"/>
      <c r="J749" s="2"/>
      <c r="K749" s="2"/>
    </row>
    <row r="750">
      <c r="A750" s="2"/>
      <c r="B750" s="2"/>
      <c r="C750" s="2"/>
      <c r="D750" s="2"/>
      <c r="E750" s="2"/>
      <c r="F750" s="2"/>
      <c r="G750" s="2"/>
      <c r="H750" s="2"/>
      <c r="I750" s="2"/>
      <c r="J750" s="2"/>
      <c r="K750" s="2"/>
    </row>
    <row r="751">
      <c r="A751" s="2"/>
      <c r="B751" s="2"/>
      <c r="C751" s="2"/>
      <c r="D751" s="2"/>
      <c r="E751" s="2"/>
      <c r="F751" s="2"/>
      <c r="G751" s="2"/>
      <c r="H751" s="2"/>
      <c r="I751" s="2"/>
      <c r="J751" s="2"/>
      <c r="K751" s="2"/>
    </row>
    <row r="752">
      <c r="A752" s="2"/>
      <c r="B752" s="2"/>
      <c r="C752" s="2"/>
      <c r="D752" s="2"/>
      <c r="E752" s="2"/>
      <c r="F752" s="2"/>
      <c r="G752" s="2"/>
      <c r="H752" s="2"/>
      <c r="I752" s="2"/>
      <c r="J752" s="2"/>
      <c r="K752" s="2"/>
    </row>
    <row r="753">
      <c r="A753" s="2"/>
      <c r="B753" s="2"/>
      <c r="C753" s="2"/>
      <c r="D753" s="2"/>
      <c r="E753" s="2"/>
      <c r="F753" s="2"/>
      <c r="G753" s="2"/>
      <c r="H753" s="2"/>
      <c r="I753" s="2"/>
      <c r="J753" s="2"/>
      <c r="K753" s="2"/>
    </row>
    <row r="754">
      <c r="A754" s="2"/>
      <c r="B754" s="2"/>
      <c r="C754" s="2"/>
      <c r="D754" s="2"/>
      <c r="E754" s="2"/>
      <c r="F754" s="2"/>
      <c r="G754" s="2"/>
      <c r="H754" s="2"/>
      <c r="I754" s="2"/>
      <c r="J754" s="2"/>
      <c r="K754" s="2"/>
    </row>
    <row r="755">
      <c r="A755" s="2"/>
      <c r="B755" s="2"/>
      <c r="C755" s="2"/>
      <c r="D755" s="2"/>
      <c r="E755" s="2"/>
      <c r="F755" s="2"/>
      <c r="G755" s="2"/>
      <c r="H755" s="2"/>
      <c r="I755" s="2"/>
      <c r="J755" s="2"/>
      <c r="K755" s="2"/>
    </row>
    <row r="756">
      <c r="A756" s="2"/>
      <c r="B756" s="2"/>
      <c r="C756" s="2"/>
      <c r="D756" s="2"/>
      <c r="E756" s="2"/>
      <c r="F756" s="2"/>
      <c r="G756" s="2"/>
      <c r="H756" s="2"/>
      <c r="I756" s="2"/>
      <c r="J756" s="2"/>
      <c r="K756" s="2"/>
    </row>
    <row r="757">
      <c r="A757" s="2"/>
      <c r="B757" s="2"/>
      <c r="C757" s="2"/>
      <c r="D757" s="2"/>
      <c r="E757" s="2"/>
      <c r="F757" s="2"/>
      <c r="G757" s="2"/>
      <c r="H757" s="2"/>
      <c r="I757" s="2"/>
      <c r="J757" s="2"/>
      <c r="K757" s="2"/>
    </row>
    <row r="758">
      <c r="A758" s="2"/>
      <c r="B758" s="2"/>
      <c r="C758" s="2"/>
      <c r="D758" s="2"/>
      <c r="E758" s="2"/>
      <c r="F758" s="2"/>
      <c r="G758" s="2"/>
      <c r="H758" s="2"/>
      <c r="I758" s="2"/>
      <c r="J758" s="2"/>
      <c r="K758" s="2"/>
    </row>
    <row r="759">
      <c r="A759" s="2"/>
      <c r="B759" s="2"/>
      <c r="C759" s="2"/>
      <c r="D759" s="2"/>
      <c r="E759" s="2"/>
      <c r="F759" s="2"/>
      <c r="G759" s="2"/>
      <c r="H759" s="2"/>
      <c r="I759" s="2"/>
      <c r="J759" s="2"/>
      <c r="K759" s="2"/>
    </row>
    <row r="760">
      <c r="A760" s="2"/>
      <c r="B760" s="2"/>
      <c r="C760" s="2"/>
      <c r="D760" s="2"/>
      <c r="E760" s="2"/>
      <c r="F760" s="2"/>
      <c r="G760" s="2"/>
      <c r="H760" s="2"/>
      <c r="I760" s="2"/>
      <c r="J760" s="2"/>
      <c r="K760" s="2"/>
    </row>
    <row r="761">
      <c r="A761" s="2"/>
      <c r="B761" s="2"/>
      <c r="C761" s="2"/>
      <c r="D761" s="2"/>
      <c r="E761" s="2"/>
      <c r="F761" s="2"/>
      <c r="G761" s="2"/>
      <c r="H761" s="2"/>
      <c r="I761" s="2"/>
      <c r="J761" s="2"/>
      <c r="K761" s="2"/>
    </row>
    <row r="762">
      <c r="A762" s="2"/>
      <c r="B762" s="2"/>
      <c r="C762" s="2"/>
      <c r="D762" s="2"/>
      <c r="E762" s="2"/>
      <c r="F762" s="2"/>
      <c r="G762" s="2"/>
      <c r="H762" s="2"/>
      <c r="I762" s="2"/>
      <c r="J762" s="2"/>
      <c r="K762" s="2"/>
    </row>
    <row r="763">
      <c r="A763" s="2"/>
      <c r="B763" s="2"/>
      <c r="C763" s="2"/>
      <c r="D763" s="2"/>
      <c r="E763" s="2"/>
      <c r="F763" s="2"/>
      <c r="G763" s="2"/>
      <c r="H763" s="2"/>
      <c r="I763" s="2"/>
      <c r="J763" s="2"/>
      <c r="K763" s="2"/>
    </row>
    <row r="764">
      <c r="A764" s="2"/>
      <c r="B764" s="2"/>
      <c r="C764" s="2"/>
      <c r="D764" s="2"/>
      <c r="E764" s="2"/>
      <c r="F764" s="2"/>
      <c r="G764" s="2"/>
      <c r="H764" s="2"/>
      <c r="I764" s="2"/>
      <c r="J764" s="2"/>
      <c r="K764" s="2"/>
    </row>
    <row r="765">
      <c r="A765" s="2"/>
      <c r="B765" s="2"/>
      <c r="C765" s="2"/>
      <c r="D765" s="2"/>
      <c r="E765" s="2"/>
      <c r="F765" s="2"/>
      <c r="G765" s="2"/>
      <c r="H765" s="2"/>
      <c r="I765" s="2"/>
      <c r="J765" s="2"/>
      <c r="K765" s="2"/>
    </row>
    <row r="766">
      <c r="A766" s="2"/>
      <c r="B766" s="2"/>
      <c r="C766" s="2"/>
      <c r="D766" s="2"/>
      <c r="E766" s="2"/>
      <c r="F766" s="2"/>
      <c r="G766" s="2"/>
      <c r="H766" s="2"/>
      <c r="I766" s="2"/>
      <c r="J766" s="2"/>
      <c r="K766" s="2"/>
    </row>
    <row r="767">
      <c r="A767" s="2"/>
      <c r="B767" s="2"/>
      <c r="C767" s="2"/>
      <c r="D767" s="2"/>
      <c r="E767" s="2"/>
      <c r="F767" s="2"/>
      <c r="G767" s="2"/>
      <c r="H767" s="2"/>
      <c r="I767" s="2"/>
      <c r="J767" s="2"/>
      <c r="K767" s="2"/>
    </row>
    <row r="768">
      <c r="A768" s="2"/>
      <c r="B768" s="2"/>
      <c r="C768" s="2"/>
      <c r="D768" s="2"/>
      <c r="E768" s="2"/>
      <c r="F768" s="2"/>
      <c r="G768" s="2"/>
      <c r="H768" s="2"/>
      <c r="I768" s="2"/>
      <c r="J768" s="2"/>
      <c r="K768" s="2"/>
    </row>
    <row r="769">
      <c r="A769" s="2"/>
      <c r="B769" s="2"/>
      <c r="C769" s="2"/>
      <c r="D769" s="2"/>
      <c r="E769" s="2"/>
      <c r="F769" s="2"/>
      <c r="G769" s="2"/>
      <c r="H769" s="2"/>
      <c r="I769" s="2"/>
      <c r="J769" s="2"/>
      <c r="K769" s="2"/>
    </row>
    <row r="770">
      <c r="A770" s="2"/>
      <c r="B770" s="2"/>
      <c r="C770" s="2"/>
      <c r="D770" s="2"/>
      <c r="E770" s="2"/>
      <c r="F770" s="2"/>
      <c r="G770" s="2"/>
      <c r="H770" s="2"/>
      <c r="I770" s="2"/>
      <c r="J770" s="2"/>
      <c r="K770" s="2"/>
    </row>
    <row r="771">
      <c r="A771" s="2"/>
      <c r="B771" s="2"/>
      <c r="C771" s="2"/>
      <c r="D771" s="2"/>
      <c r="E771" s="2"/>
      <c r="F771" s="2"/>
      <c r="G771" s="2"/>
      <c r="H771" s="2"/>
      <c r="I771" s="2"/>
      <c r="J771" s="2"/>
      <c r="K771" s="2"/>
    </row>
    <row r="772">
      <c r="A772" s="2"/>
      <c r="B772" s="2"/>
      <c r="C772" s="2"/>
      <c r="D772" s="2"/>
      <c r="E772" s="2"/>
      <c r="F772" s="2"/>
      <c r="G772" s="2"/>
      <c r="H772" s="2"/>
      <c r="I772" s="2"/>
      <c r="J772" s="2"/>
      <c r="K772" s="2"/>
    </row>
    <row r="773">
      <c r="A773" s="2"/>
      <c r="B773" s="2"/>
      <c r="C773" s="2"/>
      <c r="D773" s="2"/>
      <c r="E773" s="2"/>
      <c r="F773" s="2"/>
      <c r="G773" s="2"/>
      <c r="H773" s="2"/>
      <c r="I773" s="2"/>
      <c r="J773" s="2"/>
      <c r="K773" s="2"/>
    </row>
    <row r="774">
      <c r="A774" s="2"/>
      <c r="B774" s="2"/>
      <c r="C774" s="2"/>
      <c r="D774" s="2"/>
      <c r="E774" s="2"/>
      <c r="F774" s="2"/>
      <c r="G774" s="2"/>
      <c r="H774" s="2"/>
      <c r="I774" s="2"/>
      <c r="J774" s="2"/>
      <c r="K774" s="2"/>
    </row>
    <row r="775">
      <c r="A775" s="2"/>
      <c r="B775" s="2"/>
      <c r="C775" s="2"/>
      <c r="D775" s="2"/>
      <c r="E775" s="2"/>
      <c r="F775" s="2"/>
      <c r="G775" s="2"/>
      <c r="H775" s="2"/>
      <c r="I775" s="2"/>
      <c r="J775" s="2"/>
      <c r="K775" s="2"/>
    </row>
    <row r="776">
      <c r="A776" s="2"/>
      <c r="B776" s="2"/>
      <c r="C776" s="2"/>
      <c r="D776" s="2"/>
      <c r="E776" s="2"/>
      <c r="F776" s="2"/>
      <c r="G776" s="2"/>
      <c r="H776" s="2"/>
      <c r="I776" s="2"/>
      <c r="J776" s="2"/>
      <c r="K776" s="2"/>
    </row>
    <row r="777">
      <c r="A777" s="2"/>
      <c r="B777" s="2"/>
      <c r="C777" s="2"/>
      <c r="D777" s="2"/>
      <c r="E777" s="2"/>
      <c r="F777" s="2"/>
      <c r="G777" s="2"/>
      <c r="H777" s="2"/>
      <c r="I777" s="2"/>
      <c r="J777" s="2"/>
      <c r="K777" s="2"/>
    </row>
    <row r="778">
      <c r="A778" s="2"/>
      <c r="B778" s="2"/>
      <c r="C778" s="2"/>
      <c r="D778" s="2"/>
      <c r="E778" s="2"/>
      <c r="F778" s="2"/>
      <c r="G778" s="2"/>
      <c r="H778" s="2"/>
      <c r="I778" s="2"/>
      <c r="J778" s="2"/>
      <c r="K778" s="2"/>
    </row>
    <row r="779">
      <c r="A779" s="2"/>
      <c r="B779" s="2"/>
      <c r="C779" s="2"/>
      <c r="D779" s="2"/>
      <c r="E779" s="2"/>
      <c r="F779" s="2"/>
      <c r="G779" s="2"/>
      <c r="H779" s="2"/>
      <c r="I779" s="2"/>
      <c r="J779" s="2"/>
      <c r="K779" s="2"/>
    </row>
    <row r="780">
      <c r="A780" s="2"/>
      <c r="B780" s="2"/>
      <c r="C780" s="2"/>
      <c r="D780" s="2"/>
      <c r="E780" s="2"/>
      <c r="F780" s="2"/>
      <c r="G780" s="2"/>
      <c r="H780" s="2"/>
      <c r="I780" s="2"/>
      <c r="J780" s="2"/>
      <c r="K780" s="2"/>
    </row>
    <row r="781">
      <c r="A781" s="2"/>
      <c r="B781" s="2"/>
      <c r="C781" s="2"/>
      <c r="D781" s="2"/>
      <c r="E781" s="2"/>
      <c r="F781" s="2"/>
      <c r="G781" s="2"/>
      <c r="H781" s="2"/>
      <c r="I781" s="2"/>
      <c r="J781" s="2"/>
      <c r="K781" s="2"/>
    </row>
    <row r="782">
      <c r="A782" s="2"/>
      <c r="B782" s="2"/>
      <c r="C782" s="2"/>
      <c r="D782" s="2"/>
      <c r="E782" s="2"/>
      <c r="F782" s="2"/>
      <c r="G782" s="2"/>
      <c r="H782" s="2"/>
      <c r="I782" s="2"/>
      <c r="J782" s="2"/>
      <c r="K782" s="2"/>
    </row>
    <row r="783">
      <c r="A783" s="2"/>
      <c r="B783" s="2"/>
      <c r="C783" s="2"/>
      <c r="D783" s="2"/>
      <c r="E783" s="2"/>
      <c r="F783" s="2"/>
      <c r="G783" s="2"/>
      <c r="H783" s="2"/>
      <c r="I783" s="2"/>
      <c r="J783" s="2"/>
      <c r="K783" s="2"/>
    </row>
    <row r="784">
      <c r="A784" s="2"/>
      <c r="B784" s="2"/>
      <c r="C784" s="2"/>
      <c r="D784" s="2"/>
      <c r="E784" s="2"/>
      <c r="F784" s="2"/>
      <c r="G784" s="2"/>
      <c r="H784" s="2"/>
      <c r="I784" s="2"/>
      <c r="J784" s="2"/>
      <c r="K784" s="2"/>
    </row>
    <row r="785">
      <c r="A785" s="2"/>
      <c r="B785" s="2"/>
      <c r="C785" s="2"/>
      <c r="D785" s="2"/>
      <c r="E785" s="2"/>
      <c r="F785" s="2"/>
      <c r="G785" s="2"/>
      <c r="H785" s="2"/>
      <c r="I785" s="2"/>
      <c r="J785" s="2"/>
      <c r="K785" s="2"/>
    </row>
    <row r="786">
      <c r="A786" s="2"/>
      <c r="B786" s="2"/>
      <c r="C786" s="2"/>
      <c r="D786" s="2"/>
      <c r="E786" s="2"/>
      <c r="F786" s="2"/>
      <c r="G786" s="2"/>
      <c r="H786" s="2"/>
      <c r="I786" s="2"/>
      <c r="J786" s="2"/>
      <c r="K786" s="2"/>
    </row>
    <row r="787">
      <c r="A787" s="2"/>
      <c r="B787" s="2"/>
      <c r="C787" s="2"/>
      <c r="D787" s="2"/>
      <c r="E787" s="2"/>
      <c r="F787" s="2"/>
      <c r="G787" s="2"/>
      <c r="H787" s="2"/>
      <c r="I787" s="2"/>
      <c r="J787" s="2"/>
      <c r="K787" s="2"/>
    </row>
    <row r="788">
      <c r="A788" s="2"/>
      <c r="B788" s="2"/>
      <c r="C788" s="2"/>
      <c r="D788" s="2"/>
      <c r="E788" s="2"/>
      <c r="F788" s="2"/>
      <c r="G788" s="2"/>
      <c r="H788" s="2"/>
      <c r="I788" s="2"/>
      <c r="J788" s="2"/>
      <c r="K788" s="2"/>
    </row>
    <row r="789">
      <c r="A789" s="2"/>
      <c r="B789" s="2"/>
      <c r="C789" s="2"/>
      <c r="D789" s="2"/>
      <c r="E789" s="2"/>
      <c r="F789" s="2"/>
      <c r="G789" s="2"/>
      <c r="H789" s="2"/>
      <c r="I789" s="2"/>
      <c r="J789" s="2"/>
      <c r="K789" s="2"/>
    </row>
    <row r="790">
      <c r="A790" s="2"/>
      <c r="B790" s="2"/>
      <c r="C790" s="2"/>
      <c r="D790" s="2"/>
      <c r="E790" s="2"/>
      <c r="F790" s="2"/>
      <c r="G790" s="2"/>
      <c r="H790" s="2"/>
      <c r="I790" s="2"/>
      <c r="J790" s="2"/>
      <c r="K790" s="2"/>
    </row>
    <row r="791">
      <c r="A791" s="2"/>
      <c r="B791" s="2"/>
      <c r="C791" s="2"/>
      <c r="D791" s="2"/>
      <c r="E791" s="2"/>
      <c r="F791" s="2"/>
      <c r="G791" s="2"/>
      <c r="H791" s="2"/>
      <c r="I791" s="2"/>
      <c r="J791" s="2"/>
      <c r="K791" s="2"/>
    </row>
    <row r="792">
      <c r="A792" s="2"/>
      <c r="B792" s="2"/>
      <c r="C792" s="2"/>
      <c r="D792" s="2"/>
      <c r="E792" s="2"/>
      <c r="F792" s="2"/>
      <c r="G792" s="2"/>
      <c r="H792" s="2"/>
      <c r="I792" s="2"/>
      <c r="J792" s="2"/>
      <c r="K792" s="2"/>
    </row>
    <row r="793">
      <c r="A793" s="2"/>
      <c r="B793" s="2"/>
      <c r="C793" s="2"/>
      <c r="D793" s="2"/>
      <c r="E793" s="2"/>
      <c r="F793" s="2"/>
      <c r="G793" s="2"/>
      <c r="H793" s="2"/>
      <c r="I793" s="2"/>
      <c r="J793" s="2"/>
      <c r="K793" s="2"/>
    </row>
    <row r="794">
      <c r="A794" s="2"/>
      <c r="B794" s="2"/>
      <c r="C794" s="2"/>
      <c r="D794" s="2"/>
      <c r="E794" s="2"/>
      <c r="F794" s="2"/>
      <c r="G794" s="2"/>
      <c r="H794" s="2"/>
      <c r="I794" s="2"/>
      <c r="J794" s="2"/>
      <c r="K794" s="2"/>
    </row>
    <row r="795">
      <c r="A795" s="2"/>
      <c r="B795" s="2"/>
      <c r="C795" s="2"/>
      <c r="D795" s="2"/>
      <c r="E795" s="2"/>
      <c r="F795" s="2"/>
      <c r="G795" s="2"/>
      <c r="H795" s="2"/>
      <c r="I795" s="2"/>
      <c r="J795" s="2"/>
      <c r="K795" s="2"/>
    </row>
    <row r="796">
      <c r="A796" s="2"/>
      <c r="B796" s="2"/>
      <c r="C796" s="2"/>
      <c r="D796" s="2"/>
      <c r="E796" s="2"/>
      <c r="F796" s="2"/>
      <c r="G796" s="2"/>
      <c r="H796" s="2"/>
      <c r="I796" s="2"/>
      <c r="J796" s="2"/>
      <c r="K796" s="2"/>
    </row>
    <row r="797">
      <c r="A797" s="2"/>
      <c r="B797" s="2"/>
      <c r="C797" s="2"/>
      <c r="D797" s="2"/>
      <c r="E797" s="2"/>
      <c r="F797" s="2"/>
      <c r="G797" s="2"/>
      <c r="H797" s="2"/>
      <c r="I797" s="2"/>
      <c r="J797" s="2"/>
      <c r="K797" s="2"/>
    </row>
    <row r="798">
      <c r="A798" s="2"/>
      <c r="B798" s="2"/>
      <c r="C798" s="2"/>
      <c r="D798" s="2"/>
      <c r="E798" s="2"/>
      <c r="F798" s="2"/>
      <c r="G798" s="2"/>
      <c r="H798" s="2"/>
      <c r="I798" s="2"/>
      <c r="J798" s="2"/>
      <c r="K798" s="2"/>
    </row>
    <row r="799">
      <c r="A799" s="2"/>
      <c r="B799" s="2"/>
      <c r="C799" s="2"/>
      <c r="D799" s="2"/>
      <c r="E799" s="2"/>
      <c r="F799" s="2"/>
      <c r="G799" s="2"/>
      <c r="H799" s="2"/>
      <c r="I799" s="2"/>
      <c r="J799" s="2"/>
      <c r="K799" s="2"/>
    </row>
    <row r="800">
      <c r="A800" s="2"/>
      <c r="B800" s="2"/>
      <c r="C800" s="2"/>
      <c r="D800" s="2"/>
      <c r="E800" s="2"/>
      <c r="F800" s="2"/>
      <c r="G800" s="2"/>
      <c r="H800" s="2"/>
      <c r="I800" s="2"/>
      <c r="J800" s="2"/>
      <c r="K800" s="2"/>
    </row>
    <row r="801">
      <c r="A801" s="2"/>
      <c r="B801" s="2"/>
      <c r="C801" s="2"/>
      <c r="D801" s="2"/>
      <c r="E801" s="2"/>
      <c r="F801" s="2"/>
      <c r="G801" s="2"/>
      <c r="H801" s="2"/>
      <c r="I801" s="2"/>
      <c r="J801" s="2"/>
      <c r="K801" s="2"/>
    </row>
    <row r="802">
      <c r="A802" s="2"/>
      <c r="B802" s="2"/>
      <c r="C802" s="2"/>
      <c r="D802" s="2"/>
      <c r="E802" s="2"/>
      <c r="F802" s="2"/>
      <c r="G802" s="2"/>
      <c r="H802" s="2"/>
      <c r="I802" s="2"/>
      <c r="J802" s="2"/>
      <c r="K802" s="2"/>
    </row>
    <row r="803">
      <c r="A803" s="2"/>
      <c r="B803" s="2"/>
      <c r="C803" s="2"/>
      <c r="D803" s="2"/>
      <c r="E803" s="2"/>
      <c r="F803" s="2"/>
      <c r="G803" s="2"/>
      <c r="H803" s="2"/>
      <c r="I803" s="2"/>
      <c r="J803" s="2"/>
      <c r="K803" s="2"/>
    </row>
    <row r="804">
      <c r="A804" s="2"/>
      <c r="B804" s="2"/>
      <c r="C804" s="2"/>
      <c r="D804" s="2"/>
      <c r="E804" s="2"/>
      <c r="F804" s="2"/>
      <c r="G804" s="2"/>
      <c r="H804" s="2"/>
      <c r="I804" s="2"/>
      <c r="J804" s="2"/>
      <c r="K804" s="2"/>
    </row>
    <row r="805">
      <c r="A805" s="2"/>
      <c r="B805" s="2"/>
      <c r="C805" s="2"/>
      <c r="D805" s="2"/>
      <c r="E805" s="2"/>
      <c r="F805" s="2"/>
      <c r="G805" s="2"/>
      <c r="H805" s="2"/>
      <c r="I805" s="2"/>
      <c r="J805" s="2"/>
      <c r="K805" s="2"/>
    </row>
    <row r="806">
      <c r="A806" s="2"/>
      <c r="B806" s="2"/>
      <c r="C806" s="2"/>
      <c r="D806" s="2"/>
      <c r="E806" s="2"/>
      <c r="F806" s="2"/>
      <c r="G806" s="2"/>
      <c r="H806" s="2"/>
      <c r="I806" s="2"/>
      <c r="J806" s="2"/>
      <c r="K806" s="2"/>
    </row>
    <row r="807">
      <c r="A807" s="2"/>
      <c r="B807" s="2"/>
      <c r="C807" s="2"/>
      <c r="D807" s="2"/>
      <c r="E807" s="2"/>
      <c r="F807" s="2"/>
      <c r="G807" s="2"/>
      <c r="H807" s="2"/>
      <c r="I807" s="2"/>
      <c r="J807" s="2"/>
      <c r="K807" s="2"/>
    </row>
    <row r="808">
      <c r="A808" s="2"/>
      <c r="B808" s="2"/>
      <c r="C808" s="2"/>
      <c r="D808" s="2"/>
      <c r="E808" s="2"/>
      <c r="F808" s="2"/>
      <c r="G808" s="2"/>
      <c r="H808" s="2"/>
      <c r="I808" s="2"/>
      <c r="J808" s="2"/>
      <c r="K808" s="2"/>
    </row>
    <row r="809">
      <c r="A809" s="2"/>
      <c r="B809" s="2"/>
      <c r="C809" s="2"/>
      <c r="D809" s="2"/>
      <c r="E809" s="2"/>
      <c r="F809" s="2"/>
      <c r="G809" s="2"/>
      <c r="H809" s="2"/>
      <c r="I809" s="2"/>
      <c r="J809" s="2"/>
      <c r="K809" s="2"/>
    </row>
    <row r="810">
      <c r="A810" s="2"/>
      <c r="B810" s="2"/>
      <c r="C810" s="2"/>
      <c r="D810" s="2"/>
      <c r="E810" s="2"/>
      <c r="F810" s="2"/>
      <c r="G810" s="2"/>
      <c r="H810" s="2"/>
      <c r="I810" s="2"/>
      <c r="J810" s="2"/>
      <c r="K810" s="2"/>
    </row>
    <row r="811">
      <c r="A811" s="2"/>
      <c r="B811" s="2"/>
      <c r="C811" s="2"/>
      <c r="D811" s="2"/>
      <c r="E811" s="2"/>
      <c r="F811" s="2"/>
      <c r="G811" s="2"/>
      <c r="H811" s="2"/>
      <c r="I811" s="2"/>
      <c r="J811" s="2"/>
      <c r="K811" s="2"/>
    </row>
    <row r="812">
      <c r="A812" s="2"/>
      <c r="B812" s="2"/>
      <c r="C812" s="2"/>
      <c r="D812" s="2"/>
      <c r="E812" s="2"/>
      <c r="F812" s="2"/>
      <c r="G812" s="2"/>
      <c r="H812" s="2"/>
      <c r="I812" s="2"/>
      <c r="J812" s="2"/>
      <c r="K812" s="2"/>
    </row>
    <row r="813">
      <c r="A813" s="2"/>
      <c r="B813" s="2"/>
      <c r="C813" s="2"/>
      <c r="D813" s="2"/>
      <c r="E813" s="2"/>
      <c r="F813" s="2"/>
      <c r="G813" s="2"/>
      <c r="H813" s="2"/>
      <c r="I813" s="2"/>
      <c r="J813" s="2"/>
      <c r="K813" s="2"/>
    </row>
    <row r="814">
      <c r="A814" s="2"/>
      <c r="B814" s="2"/>
      <c r="C814" s="2"/>
      <c r="D814" s="2"/>
      <c r="E814" s="2"/>
      <c r="F814" s="2"/>
      <c r="G814" s="2"/>
      <c r="H814" s="2"/>
      <c r="I814" s="2"/>
      <c r="J814" s="2"/>
      <c r="K814" s="2"/>
    </row>
    <row r="815">
      <c r="A815" s="2"/>
      <c r="B815" s="2"/>
      <c r="C815" s="2"/>
      <c r="D815" s="2"/>
      <c r="E815" s="2"/>
      <c r="F815" s="2"/>
      <c r="G815" s="2"/>
      <c r="H815" s="2"/>
      <c r="I815" s="2"/>
      <c r="J815" s="2"/>
      <c r="K815" s="2"/>
    </row>
    <row r="816">
      <c r="A816" s="2"/>
      <c r="B816" s="2"/>
      <c r="C816" s="2"/>
      <c r="D816" s="2"/>
      <c r="E816" s="2"/>
      <c r="F816" s="2"/>
      <c r="G816" s="2"/>
      <c r="H816" s="2"/>
      <c r="I816" s="2"/>
      <c r="J816" s="2"/>
      <c r="K816" s="2"/>
    </row>
    <row r="817">
      <c r="A817" s="2"/>
      <c r="B817" s="2"/>
      <c r="C817" s="2"/>
      <c r="D817" s="2"/>
      <c r="E817" s="2"/>
      <c r="F817" s="2"/>
      <c r="G817" s="2"/>
      <c r="H817" s="2"/>
      <c r="I817" s="2"/>
      <c r="J817" s="2"/>
      <c r="K817" s="2"/>
    </row>
    <row r="818">
      <c r="A818" s="2"/>
      <c r="B818" s="2"/>
      <c r="C818" s="2"/>
      <c r="D818" s="2"/>
      <c r="E818" s="2"/>
      <c r="F818" s="2"/>
      <c r="G818" s="2"/>
      <c r="H818" s="2"/>
      <c r="I818" s="2"/>
      <c r="J818" s="2"/>
      <c r="K818" s="2"/>
    </row>
    <row r="819">
      <c r="A819" s="2"/>
      <c r="B819" s="2"/>
      <c r="C819" s="2"/>
      <c r="D819" s="2"/>
      <c r="E819" s="2"/>
      <c r="F819" s="2"/>
      <c r="G819" s="2"/>
      <c r="H819" s="2"/>
      <c r="I819" s="2"/>
      <c r="J819" s="2"/>
      <c r="K819" s="2"/>
    </row>
    <row r="820">
      <c r="A820" s="2"/>
      <c r="B820" s="2"/>
      <c r="C820" s="2"/>
      <c r="D820" s="2"/>
      <c r="E820" s="2"/>
      <c r="F820" s="2"/>
      <c r="G820" s="2"/>
      <c r="H820" s="2"/>
      <c r="I820" s="2"/>
      <c r="J820" s="2"/>
      <c r="K820" s="2"/>
    </row>
    <row r="821">
      <c r="A821" s="2"/>
      <c r="B821" s="2"/>
      <c r="C821" s="2"/>
      <c r="D821" s="2"/>
      <c r="E821" s="2"/>
      <c r="F821" s="2"/>
      <c r="G821" s="2"/>
      <c r="H821" s="2"/>
      <c r="I821" s="2"/>
      <c r="J821" s="2"/>
      <c r="K821" s="2"/>
    </row>
    <row r="822">
      <c r="A822" s="2"/>
      <c r="B822" s="2"/>
      <c r="C822" s="2"/>
      <c r="D822" s="2"/>
      <c r="E822" s="2"/>
      <c r="F822" s="2"/>
      <c r="G822" s="2"/>
      <c r="H822" s="2"/>
      <c r="I822" s="2"/>
      <c r="J822" s="2"/>
      <c r="K822" s="2"/>
    </row>
    <row r="823">
      <c r="A823" s="2"/>
      <c r="B823" s="2"/>
      <c r="C823" s="2"/>
      <c r="D823" s="2"/>
      <c r="E823" s="2"/>
      <c r="F823" s="2"/>
      <c r="G823" s="2"/>
      <c r="H823" s="2"/>
      <c r="I823" s="2"/>
      <c r="J823" s="2"/>
      <c r="K823" s="2"/>
    </row>
    <row r="824">
      <c r="A824" s="2"/>
      <c r="B824" s="2"/>
      <c r="C824" s="2"/>
      <c r="D824" s="2"/>
      <c r="E824" s="2"/>
      <c r="F824" s="2"/>
      <c r="G824" s="2"/>
      <c r="H824" s="2"/>
      <c r="I824" s="2"/>
      <c r="J824" s="2"/>
      <c r="K824" s="2"/>
    </row>
    <row r="825">
      <c r="A825" s="2"/>
      <c r="B825" s="2"/>
      <c r="C825" s="2"/>
      <c r="D825" s="2"/>
      <c r="E825" s="2"/>
      <c r="F825" s="2"/>
      <c r="G825" s="2"/>
      <c r="H825" s="2"/>
      <c r="I825" s="2"/>
      <c r="J825" s="2"/>
      <c r="K825" s="2"/>
    </row>
    <row r="826">
      <c r="A826" s="2"/>
      <c r="B826" s="2"/>
      <c r="C826" s="2"/>
      <c r="D826" s="2"/>
      <c r="E826" s="2"/>
      <c r="F826" s="2"/>
      <c r="G826" s="2"/>
      <c r="H826" s="2"/>
      <c r="I826" s="2"/>
      <c r="J826" s="2"/>
      <c r="K826" s="2"/>
    </row>
    <row r="827">
      <c r="A827" s="2"/>
      <c r="B827" s="2"/>
      <c r="C827" s="2"/>
      <c r="D827" s="2"/>
      <c r="E827" s="2"/>
      <c r="F827" s="2"/>
      <c r="G827" s="2"/>
      <c r="H827" s="2"/>
      <c r="I827" s="2"/>
      <c r="J827" s="2"/>
      <c r="K827" s="2"/>
    </row>
    <row r="828">
      <c r="A828" s="2"/>
      <c r="B828" s="2"/>
      <c r="C828" s="2"/>
      <c r="D828" s="2"/>
      <c r="E828" s="2"/>
      <c r="F828" s="2"/>
      <c r="G828" s="2"/>
      <c r="H828" s="2"/>
      <c r="I828" s="2"/>
      <c r="J828" s="2"/>
      <c r="K828" s="2"/>
    </row>
    <row r="829">
      <c r="A829" s="2"/>
      <c r="B829" s="2"/>
      <c r="C829" s="2"/>
      <c r="D829" s="2"/>
      <c r="E829" s="2"/>
      <c r="F829" s="2"/>
      <c r="G829" s="2"/>
      <c r="H829" s="2"/>
      <c r="I829" s="2"/>
      <c r="J829" s="2"/>
      <c r="K829" s="2"/>
    </row>
    <row r="830">
      <c r="A830" s="2"/>
      <c r="B830" s="2"/>
      <c r="C830" s="2"/>
      <c r="D830" s="2"/>
      <c r="E830" s="2"/>
      <c r="F830" s="2"/>
      <c r="G830" s="2"/>
      <c r="H830" s="2"/>
      <c r="I830" s="2"/>
      <c r="J830" s="2"/>
      <c r="K830" s="2"/>
    </row>
    <row r="831">
      <c r="A831" s="2"/>
      <c r="B831" s="2"/>
      <c r="C831" s="2"/>
      <c r="D831" s="2"/>
      <c r="E831" s="2"/>
      <c r="F831" s="2"/>
      <c r="G831" s="2"/>
      <c r="H831" s="2"/>
      <c r="I831" s="2"/>
      <c r="J831" s="2"/>
      <c r="K831" s="2"/>
    </row>
    <row r="832">
      <c r="A832" s="2"/>
      <c r="B832" s="2"/>
      <c r="C832" s="2"/>
      <c r="D832" s="2"/>
      <c r="E832" s="2"/>
      <c r="F832" s="2"/>
      <c r="G832" s="2"/>
      <c r="H832" s="2"/>
      <c r="I832" s="2"/>
      <c r="J832" s="2"/>
      <c r="K832" s="2"/>
    </row>
    <row r="833">
      <c r="A833" s="2"/>
      <c r="B833" s="2"/>
      <c r="C833" s="2"/>
      <c r="D833" s="2"/>
      <c r="E833" s="2"/>
      <c r="F833" s="2"/>
      <c r="G833" s="2"/>
      <c r="H833" s="2"/>
      <c r="I833" s="2"/>
      <c r="J833" s="2"/>
      <c r="K833" s="2"/>
    </row>
    <row r="834">
      <c r="A834" s="2"/>
      <c r="B834" s="2"/>
      <c r="C834" s="2"/>
      <c r="D834" s="2"/>
      <c r="E834" s="2"/>
      <c r="F834" s="2"/>
      <c r="G834" s="2"/>
      <c r="H834" s="2"/>
      <c r="I834" s="2"/>
      <c r="J834" s="2"/>
      <c r="K834" s="2"/>
    </row>
    <row r="835">
      <c r="A835" s="2"/>
      <c r="B835" s="2"/>
      <c r="C835" s="2"/>
      <c r="D835" s="2"/>
      <c r="E835" s="2"/>
      <c r="F835" s="2"/>
      <c r="G835" s="2"/>
      <c r="H835" s="2"/>
      <c r="I835" s="2"/>
      <c r="J835" s="2"/>
      <c r="K835" s="2"/>
    </row>
    <row r="836">
      <c r="A836" s="2"/>
      <c r="B836" s="2"/>
      <c r="C836" s="2"/>
      <c r="D836" s="2"/>
      <c r="E836" s="2"/>
      <c r="F836" s="2"/>
      <c r="G836" s="2"/>
      <c r="H836" s="2"/>
      <c r="I836" s="2"/>
      <c r="J836" s="2"/>
      <c r="K836" s="2"/>
    </row>
    <row r="837">
      <c r="A837" s="2"/>
      <c r="B837" s="2"/>
      <c r="C837" s="2"/>
      <c r="D837" s="2"/>
      <c r="E837" s="2"/>
      <c r="F837" s="2"/>
      <c r="G837" s="2"/>
      <c r="H837" s="2"/>
      <c r="I837" s="2"/>
      <c r="J837" s="2"/>
      <c r="K837" s="2"/>
    </row>
    <row r="838">
      <c r="A838" s="2"/>
      <c r="B838" s="2"/>
      <c r="C838" s="2"/>
      <c r="D838" s="2"/>
      <c r="E838" s="2"/>
      <c r="F838" s="2"/>
      <c r="G838" s="2"/>
      <c r="H838" s="2"/>
      <c r="I838" s="2"/>
      <c r="J838" s="2"/>
      <c r="K838" s="2"/>
    </row>
    <row r="839">
      <c r="A839" s="2"/>
      <c r="B839" s="2"/>
      <c r="C839" s="2"/>
      <c r="D839" s="2"/>
      <c r="E839" s="2"/>
      <c r="F839" s="2"/>
      <c r="G839" s="2"/>
      <c r="H839" s="2"/>
      <c r="I839" s="2"/>
      <c r="J839" s="2"/>
      <c r="K839" s="2"/>
    </row>
    <row r="840">
      <c r="A840" s="2"/>
      <c r="B840" s="2"/>
      <c r="C840" s="2"/>
      <c r="D840" s="2"/>
      <c r="E840" s="2"/>
      <c r="F840" s="2"/>
      <c r="G840" s="2"/>
      <c r="H840" s="2"/>
      <c r="I840" s="2"/>
      <c r="J840" s="2"/>
      <c r="K840" s="2"/>
    </row>
    <row r="841">
      <c r="A841" s="2"/>
      <c r="B841" s="2"/>
      <c r="C841" s="2"/>
      <c r="D841" s="2"/>
      <c r="E841" s="2"/>
      <c r="F841" s="2"/>
      <c r="G841" s="2"/>
      <c r="H841" s="2"/>
      <c r="I841" s="2"/>
      <c r="J841" s="2"/>
      <c r="K841" s="2"/>
    </row>
    <row r="842">
      <c r="A842" s="2"/>
      <c r="B842" s="2"/>
      <c r="C842" s="2"/>
      <c r="D842" s="2"/>
      <c r="E842" s="2"/>
      <c r="F842" s="2"/>
      <c r="G842" s="2"/>
      <c r="H842" s="2"/>
      <c r="I842" s="2"/>
      <c r="J842" s="2"/>
      <c r="K842" s="2"/>
    </row>
    <row r="843">
      <c r="A843" s="2"/>
      <c r="B843" s="2"/>
      <c r="C843" s="2"/>
      <c r="D843" s="2"/>
      <c r="E843" s="2"/>
      <c r="F843" s="2"/>
      <c r="G843" s="2"/>
      <c r="H843" s="2"/>
      <c r="I843" s="2"/>
      <c r="J843" s="2"/>
      <c r="K843" s="2"/>
    </row>
    <row r="844">
      <c r="A844" s="2"/>
      <c r="B844" s="2"/>
      <c r="C844" s="2"/>
      <c r="D844" s="2"/>
      <c r="E844" s="2"/>
      <c r="F844" s="2"/>
      <c r="G844" s="2"/>
      <c r="H844" s="2"/>
      <c r="I844" s="2"/>
      <c r="J844" s="2"/>
      <c r="K844" s="2"/>
    </row>
    <row r="845">
      <c r="A845" s="2"/>
      <c r="B845" s="2"/>
      <c r="C845" s="2"/>
      <c r="D845" s="2"/>
      <c r="E845" s="2"/>
      <c r="F845" s="2"/>
      <c r="G845" s="2"/>
      <c r="H845" s="2"/>
      <c r="I845" s="2"/>
      <c r="J845" s="2"/>
      <c r="K845" s="2"/>
    </row>
    <row r="846">
      <c r="A846" s="2"/>
      <c r="B846" s="2"/>
      <c r="C846" s="2"/>
      <c r="D846" s="2"/>
      <c r="E846" s="2"/>
      <c r="F846" s="2"/>
      <c r="G846" s="2"/>
      <c r="H846" s="2"/>
      <c r="I846" s="2"/>
      <c r="J846" s="2"/>
      <c r="K846" s="2"/>
    </row>
    <row r="847">
      <c r="A847" s="2"/>
      <c r="B847" s="2"/>
      <c r="C847" s="2"/>
      <c r="D847" s="2"/>
      <c r="E847" s="2"/>
      <c r="F847" s="2"/>
      <c r="G847" s="2"/>
      <c r="H847" s="2"/>
      <c r="I847" s="2"/>
      <c r="J847" s="2"/>
      <c r="K847" s="2"/>
    </row>
    <row r="848">
      <c r="A848" s="2"/>
      <c r="B848" s="2"/>
      <c r="C848" s="2"/>
      <c r="D848" s="2"/>
      <c r="E848" s="2"/>
      <c r="F848" s="2"/>
      <c r="G848" s="2"/>
      <c r="H848" s="2"/>
      <c r="I848" s="2"/>
      <c r="J848" s="2"/>
      <c r="K848" s="2"/>
    </row>
    <row r="849">
      <c r="A849" s="2"/>
      <c r="B849" s="2"/>
      <c r="C849" s="2"/>
      <c r="D849" s="2"/>
      <c r="E849" s="2"/>
      <c r="F849" s="2"/>
      <c r="G849" s="2"/>
      <c r="H849" s="2"/>
      <c r="I849" s="2"/>
      <c r="J849" s="2"/>
      <c r="K849" s="2"/>
    </row>
    <row r="850">
      <c r="A850" s="2"/>
      <c r="B850" s="2"/>
      <c r="C850" s="2"/>
      <c r="D850" s="2"/>
      <c r="E850" s="2"/>
      <c r="F850" s="2"/>
      <c r="G850" s="2"/>
      <c r="H850" s="2"/>
      <c r="I850" s="2"/>
      <c r="J850" s="2"/>
      <c r="K850" s="2"/>
    </row>
    <row r="851">
      <c r="A851" s="2"/>
      <c r="B851" s="2"/>
      <c r="C851" s="2"/>
      <c r="D851" s="2"/>
      <c r="E851" s="2"/>
      <c r="F851" s="2"/>
      <c r="G851" s="2"/>
      <c r="H851" s="2"/>
      <c r="I851" s="2"/>
      <c r="J851" s="2"/>
      <c r="K851" s="2"/>
    </row>
    <row r="852">
      <c r="A852" s="2"/>
      <c r="B852" s="2"/>
      <c r="C852" s="2"/>
      <c r="D852" s="2"/>
      <c r="E852" s="2"/>
      <c r="F852" s="2"/>
      <c r="G852" s="2"/>
      <c r="H852" s="2"/>
      <c r="I852" s="2"/>
      <c r="J852" s="2"/>
      <c r="K852" s="2"/>
    </row>
    <row r="853">
      <c r="A853" s="2"/>
      <c r="B853" s="2"/>
      <c r="C853" s="2"/>
      <c r="D853" s="2"/>
      <c r="E853" s="2"/>
      <c r="F853" s="2"/>
      <c r="G853" s="2"/>
      <c r="H853" s="2"/>
      <c r="I853" s="2"/>
      <c r="J853" s="2"/>
      <c r="K853" s="2"/>
    </row>
    <row r="854">
      <c r="A854" s="2"/>
      <c r="B854" s="2"/>
      <c r="C854" s="2"/>
      <c r="D854" s="2"/>
      <c r="E854" s="2"/>
      <c r="F854" s="2"/>
      <c r="G854" s="2"/>
      <c r="H854" s="2"/>
      <c r="I854" s="2"/>
      <c r="J854" s="2"/>
      <c r="K854" s="2"/>
    </row>
    <row r="855">
      <c r="A855" s="2"/>
      <c r="B855" s="2"/>
      <c r="C855" s="2"/>
      <c r="D855" s="2"/>
      <c r="E855" s="2"/>
      <c r="F855" s="2"/>
      <c r="G855" s="2"/>
      <c r="H855" s="2"/>
      <c r="I855" s="2"/>
      <c r="J855" s="2"/>
      <c r="K855" s="2"/>
    </row>
    <row r="856">
      <c r="A856" s="2"/>
      <c r="B856" s="2"/>
      <c r="C856" s="2"/>
      <c r="D856" s="2"/>
      <c r="E856" s="2"/>
      <c r="F856" s="2"/>
      <c r="G856" s="2"/>
      <c r="H856" s="2"/>
      <c r="I856" s="2"/>
      <c r="J856" s="2"/>
      <c r="K856" s="2"/>
    </row>
    <row r="857">
      <c r="A857" s="2"/>
      <c r="B857" s="2"/>
      <c r="C857" s="2"/>
      <c r="D857" s="2"/>
      <c r="E857" s="2"/>
      <c r="F857" s="2"/>
      <c r="G857" s="2"/>
      <c r="H857" s="2"/>
      <c r="I857" s="2"/>
      <c r="J857" s="2"/>
      <c r="K857" s="2"/>
    </row>
    <row r="858">
      <c r="A858" s="2"/>
      <c r="B858" s="2"/>
      <c r="C858" s="2"/>
      <c r="D858" s="2"/>
      <c r="E858" s="2"/>
      <c r="F858" s="2"/>
      <c r="G858" s="2"/>
      <c r="H858" s="2"/>
      <c r="I858" s="2"/>
      <c r="J858" s="2"/>
      <c r="K858" s="2"/>
    </row>
    <row r="859">
      <c r="A859" s="2"/>
      <c r="B859" s="2"/>
      <c r="C859" s="2"/>
      <c r="D859" s="2"/>
      <c r="E859" s="2"/>
      <c r="F859" s="2"/>
      <c r="G859" s="2"/>
      <c r="H859" s="2"/>
      <c r="I859" s="2"/>
      <c r="J859" s="2"/>
      <c r="K859" s="2"/>
    </row>
    <row r="860">
      <c r="A860" s="2"/>
      <c r="B860" s="2"/>
      <c r="C860" s="2"/>
      <c r="D860" s="2"/>
      <c r="E860" s="2"/>
      <c r="F860" s="2"/>
      <c r="G860" s="2"/>
      <c r="H860" s="2"/>
      <c r="I860" s="2"/>
      <c r="J860" s="2"/>
      <c r="K860" s="2"/>
    </row>
    <row r="861">
      <c r="A861" s="2"/>
      <c r="B861" s="2"/>
      <c r="C861" s="2"/>
      <c r="D861" s="2"/>
      <c r="E861" s="2"/>
      <c r="F861" s="2"/>
      <c r="G861" s="2"/>
      <c r="H861" s="2"/>
      <c r="I861" s="2"/>
      <c r="J861" s="2"/>
      <c r="K861" s="2"/>
    </row>
    <row r="862">
      <c r="A862" s="2"/>
      <c r="B862" s="2"/>
      <c r="C862" s="2"/>
      <c r="D862" s="2"/>
      <c r="E862" s="2"/>
      <c r="F862" s="2"/>
      <c r="G862" s="2"/>
      <c r="H862" s="2"/>
      <c r="I862" s="2"/>
      <c r="J862" s="2"/>
      <c r="K862" s="2"/>
    </row>
    <row r="863">
      <c r="A863" s="2"/>
      <c r="B863" s="2"/>
      <c r="C863" s="2"/>
      <c r="D863" s="2"/>
      <c r="E863" s="2"/>
      <c r="F863" s="2"/>
      <c r="G863" s="2"/>
      <c r="H863" s="2"/>
      <c r="I863" s="2"/>
      <c r="J863" s="2"/>
      <c r="K863" s="2"/>
    </row>
    <row r="864">
      <c r="A864" s="2"/>
      <c r="B864" s="2"/>
      <c r="C864" s="2"/>
      <c r="D864" s="2"/>
      <c r="E864" s="2"/>
      <c r="F864" s="2"/>
      <c r="G864" s="2"/>
      <c r="H864" s="2"/>
      <c r="I864" s="2"/>
      <c r="J864" s="2"/>
      <c r="K864" s="2"/>
    </row>
    <row r="865">
      <c r="A865" s="2"/>
      <c r="B865" s="2"/>
      <c r="C865" s="2"/>
      <c r="D865" s="2"/>
      <c r="E865" s="2"/>
      <c r="F865" s="2"/>
      <c r="G865" s="2"/>
      <c r="H865" s="2"/>
      <c r="I865" s="2"/>
      <c r="J865" s="2"/>
      <c r="K865" s="2"/>
    </row>
    <row r="866">
      <c r="A866" s="2"/>
      <c r="B866" s="2"/>
      <c r="C866" s="2"/>
      <c r="D866" s="2"/>
      <c r="E866" s="2"/>
      <c r="F866" s="2"/>
      <c r="G866" s="2"/>
      <c r="H866" s="2"/>
      <c r="I866" s="2"/>
      <c r="J866" s="2"/>
      <c r="K866" s="2"/>
    </row>
    <row r="867">
      <c r="A867" s="2"/>
      <c r="B867" s="2"/>
      <c r="C867" s="2"/>
      <c r="D867" s="2"/>
      <c r="E867" s="2"/>
      <c r="F867" s="2"/>
      <c r="G867" s="2"/>
      <c r="H867" s="2"/>
      <c r="I867" s="2"/>
      <c r="J867" s="2"/>
      <c r="K867" s="2"/>
    </row>
    <row r="868">
      <c r="A868" s="2"/>
      <c r="B868" s="2"/>
      <c r="C868" s="2"/>
      <c r="D868" s="2"/>
      <c r="E868" s="2"/>
      <c r="F868" s="2"/>
      <c r="G868" s="2"/>
      <c r="H868" s="2"/>
      <c r="I868" s="2"/>
      <c r="J868" s="2"/>
      <c r="K868" s="2"/>
    </row>
    <row r="869">
      <c r="A869" s="2"/>
      <c r="B869" s="2"/>
      <c r="C869" s="2"/>
      <c r="D869" s="2"/>
      <c r="E869" s="2"/>
      <c r="F869" s="2"/>
      <c r="G869" s="2"/>
      <c r="H869" s="2"/>
      <c r="I869" s="2"/>
      <c r="J869" s="2"/>
      <c r="K869" s="2"/>
    </row>
    <row r="870">
      <c r="A870" s="2"/>
      <c r="B870" s="2"/>
      <c r="C870" s="2"/>
      <c r="D870" s="2"/>
      <c r="E870" s="2"/>
      <c r="F870" s="2"/>
      <c r="G870" s="2"/>
      <c r="H870" s="2"/>
      <c r="I870" s="2"/>
      <c r="J870" s="2"/>
      <c r="K870" s="2"/>
    </row>
    <row r="871">
      <c r="A871" s="2"/>
      <c r="B871" s="2"/>
      <c r="C871" s="2"/>
      <c r="D871" s="2"/>
      <c r="E871" s="2"/>
      <c r="F871" s="2"/>
      <c r="G871" s="2"/>
      <c r="H871" s="2"/>
      <c r="I871" s="2"/>
      <c r="J871" s="2"/>
      <c r="K871" s="2"/>
    </row>
    <row r="872">
      <c r="A872" s="2"/>
      <c r="B872" s="2"/>
      <c r="C872" s="2"/>
      <c r="D872" s="2"/>
      <c r="E872" s="2"/>
      <c r="F872" s="2"/>
      <c r="G872" s="2"/>
      <c r="H872" s="2"/>
      <c r="I872" s="2"/>
      <c r="J872" s="2"/>
      <c r="K872" s="2"/>
    </row>
    <row r="873">
      <c r="A873" s="2"/>
      <c r="B873" s="2"/>
      <c r="C873" s="2"/>
      <c r="D873" s="2"/>
      <c r="E873" s="2"/>
      <c r="F873" s="2"/>
      <c r="G873" s="2"/>
      <c r="H873" s="2"/>
      <c r="I873" s="2"/>
      <c r="J873" s="2"/>
      <c r="K873" s="2"/>
    </row>
    <row r="874">
      <c r="A874" s="2"/>
      <c r="B874" s="2"/>
      <c r="C874" s="2"/>
      <c r="D874" s="2"/>
      <c r="E874" s="2"/>
      <c r="F874" s="2"/>
      <c r="G874" s="2"/>
      <c r="H874" s="2"/>
      <c r="I874" s="2"/>
      <c r="J874" s="2"/>
      <c r="K874" s="2"/>
    </row>
    <row r="875">
      <c r="A875" s="2"/>
      <c r="B875" s="2"/>
      <c r="C875" s="2"/>
      <c r="D875" s="2"/>
      <c r="E875" s="2"/>
      <c r="F875" s="2"/>
      <c r="G875" s="2"/>
      <c r="H875" s="2"/>
      <c r="I875" s="2"/>
      <c r="J875" s="2"/>
      <c r="K875" s="2"/>
    </row>
    <row r="876">
      <c r="A876" s="2"/>
      <c r="B876" s="2"/>
      <c r="C876" s="2"/>
      <c r="D876" s="2"/>
      <c r="E876" s="2"/>
      <c r="F876" s="2"/>
      <c r="G876" s="2"/>
      <c r="H876" s="2"/>
      <c r="I876" s="2"/>
      <c r="J876" s="2"/>
      <c r="K876" s="2"/>
    </row>
    <row r="877">
      <c r="A877" s="2"/>
      <c r="B877" s="2"/>
      <c r="C877" s="2"/>
      <c r="D877" s="2"/>
      <c r="E877" s="2"/>
      <c r="F877" s="2"/>
      <c r="G877" s="2"/>
      <c r="H877" s="2"/>
      <c r="I877" s="2"/>
      <c r="J877" s="2"/>
      <c r="K877" s="2"/>
    </row>
    <row r="878">
      <c r="A878" s="2"/>
      <c r="B878" s="2"/>
      <c r="C878" s="2"/>
      <c r="D878" s="2"/>
      <c r="E878" s="2"/>
      <c r="F878" s="2"/>
      <c r="G878" s="2"/>
      <c r="H878" s="2"/>
      <c r="I878" s="2"/>
      <c r="J878" s="2"/>
      <c r="K878" s="2"/>
    </row>
    <row r="879">
      <c r="A879" s="2"/>
      <c r="B879" s="2"/>
      <c r="C879" s="2"/>
      <c r="D879" s="2"/>
      <c r="E879" s="2"/>
      <c r="F879" s="2"/>
      <c r="G879" s="2"/>
      <c r="H879" s="2"/>
      <c r="I879" s="2"/>
      <c r="J879" s="2"/>
      <c r="K879" s="2"/>
    </row>
    <row r="880">
      <c r="A880" s="2"/>
      <c r="B880" s="2"/>
      <c r="C880" s="2"/>
      <c r="D880" s="2"/>
      <c r="E880" s="2"/>
      <c r="F880" s="2"/>
      <c r="G880" s="2"/>
      <c r="H880" s="2"/>
      <c r="I880" s="2"/>
      <c r="J880" s="2"/>
      <c r="K880" s="2"/>
    </row>
    <row r="881">
      <c r="A881" s="2"/>
      <c r="B881" s="2"/>
      <c r="C881" s="2"/>
      <c r="D881" s="2"/>
      <c r="E881" s="2"/>
      <c r="F881" s="2"/>
      <c r="G881" s="2"/>
      <c r="H881" s="2"/>
      <c r="I881" s="2"/>
      <c r="J881" s="2"/>
      <c r="K881" s="2"/>
    </row>
    <row r="882">
      <c r="A882" s="2"/>
      <c r="B882" s="2"/>
      <c r="C882" s="2"/>
      <c r="D882" s="2"/>
      <c r="E882" s="2"/>
      <c r="F882" s="2"/>
      <c r="G882" s="2"/>
      <c r="H882" s="2"/>
      <c r="I882" s="2"/>
      <c r="J882" s="2"/>
      <c r="K882" s="2"/>
    </row>
    <row r="883">
      <c r="A883" s="2"/>
      <c r="B883" s="2"/>
      <c r="C883" s="2"/>
      <c r="D883" s="2"/>
      <c r="E883" s="2"/>
      <c r="F883" s="2"/>
      <c r="G883" s="2"/>
      <c r="H883" s="2"/>
      <c r="I883" s="2"/>
      <c r="J883" s="2"/>
      <c r="K883" s="2"/>
    </row>
    <row r="884">
      <c r="A884" s="2"/>
      <c r="B884" s="2"/>
      <c r="C884" s="2"/>
      <c r="D884" s="2"/>
      <c r="E884" s="2"/>
      <c r="F884" s="2"/>
      <c r="G884" s="2"/>
      <c r="H884" s="2"/>
      <c r="I884" s="2"/>
      <c r="J884" s="2"/>
      <c r="K884" s="2"/>
    </row>
    <row r="885">
      <c r="A885" s="2"/>
      <c r="B885" s="2"/>
      <c r="C885" s="2"/>
      <c r="D885" s="2"/>
      <c r="E885" s="2"/>
      <c r="F885" s="2"/>
      <c r="G885" s="2"/>
      <c r="H885" s="2"/>
      <c r="I885" s="2"/>
      <c r="J885" s="2"/>
      <c r="K885" s="2"/>
    </row>
    <row r="886">
      <c r="A886" s="2"/>
      <c r="B886" s="2"/>
      <c r="C886" s="2"/>
      <c r="D886" s="2"/>
      <c r="E886" s="2"/>
      <c r="F886" s="2"/>
      <c r="G886" s="2"/>
      <c r="H886" s="2"/>
      <c r="I886" s="2"/>
      <c r="J886" s="2"/>
      <c r="K886" s="2"/>
    </row>
    <row r="887">
      <c r="A887" s="2"/>
      <c r="B887" s="2"/>
      <c r="C887" s="2"/>
      <c r="D887" s="2"/>
      <c r="E887" s="2"/>
      <c r="F887" s="2"/>
      <c r="G887" s="2"/>
      <c r="H887" s="2"/>
      <c r="I887" s="2"/>
      <c r="J887" s="2"/>
      <c r="K887" s="2"/>
    </row>
    <row r="888">
      <c r="A888" s="2"/>
      <c r="B888" s="2"/>
      <c r="C888" s="2"/>
      <c r="D888" s="2"/>
      <c r="E888" s="2"/>
      <c r="F888" s="2"/>
      <c r="G888" s="2"/>
      <c r="H888" s="2"/>
      <c r="I888" s="2"/>
      <c r="J888" s="2"/>
      <c r="K888" s="2"/>
    </row>
    <row r="889">
      <c r="A889" s="2"/>
      <c r="B889" s="2"/>
      <c r="C889" s="2"/>
      <c r="D889" s="2"/>
      <c r="E889" s="2"/>
      <c r="F889" s="2"/>
      <c r="G889" s="2"/>
      <c r="H889" s="2"/>
      <c r="I889" s="2"/>
      <c r="J889" s="2"/>
      <c r="K889" s="2"/>
    </row>
    <row r="890">
      <c r="A890" s="2"/>
      <c r="B890" s="2"/>
      <c r="C890" s="2"/>
      <c r="D890" s="2"/>
      <c r="E890" s="2"/>
      <c r="F890" s="2"/>
      <c r="G890" s="2"/>
      <c r="H890" s="2"/>
      <c r="I890" s="2"/>
      <c r="J890" s="2"/>
      <c r="K890" s="2"/>
    </row>
    <row r="891">
      <c r="A891" s="2"/>
      <c r="B891" s="2"/>
      <c r="C891" s="2"/>
      <c r="D891" s="2"/>
      <c r="E891" s="2"/>
      <c r="F891" s="2"/>
      <c r="G891" s="2"/>
      <c r="H891" s="2"/>
      <c r="I891" s="2"/>
      <c r="J891" s="2"/>
      <c r="K891" s="2"/>
    </row>
    <row r="892">
      <c r="A892" s="2"/>
      <c r="B892" s="2"/>
      <c r="C892" s="2"/>
      <c r="D892" s="2"/>
      <c r="E892" s="2"/>
      <c r="F892" s="2"/>
      <c r="G892" s="2"/>
      <c r="H892" s="2"/>
      <c r="I892" s="2"/>
      <c r="J892" s="2"/>
      <c r="K892" s="2"/>
    </row>
    <row r="893">
      <c r="A893" s="2"/>
      <c r="B893" s="2"/>
      <c r="C893" s="2"/>
      <c r="D893" s="2"/>
      <c r="E893" s="2"/>
      <c r="F893" s="2"/>
      <c r="G893" s="2"/>
      <c r="H893" s="2"/>
      <c r="I893" s="2"/>
      <c r="J893" s="2"/>
      <c r="K893" s="2"/>
    </row>
    <row r="894">
      <c r="A894" s="2"/>
      <c r="B894" s="2"/>
      <c r="C894" s="2"/>
      <c r="D894" s="2"/>
      <c r="E894" s="2"/>
      <c r="F894" s="2"/>
      <c r="G894" s="2"/>
      <c r="H894" s="2"/>
      <c r="I894" s="2"/>
      <c r="J894" s="2"/>
      <c r="K894" s="2"/>
    </row>
    <row r="895">
      <c r="A895" s="2"/>
      <c r="B895" s="2"/>
      <c r="C895" s="2"/>
      <c r="D895" s="2"/>
      <c r="E895" s="2"/>
      <c r="F895" s="2"/>
      <c r="G895" s="2"/>
      <c r="H895" s="2"/>
      <c r="I895" s="2"/>
      <c r="J895" s="2"/>
      <c r="K895" s="2"/>
    </row>
    <row r="896">
      <c r="A896" s="2"/>
      <c r="B896" s="2"/>
      <c r="C896" s="2"/>
      <c r="D896" s="2"/>
      <c r="E896" s="2"/>
      <c r="F896" s="2"/>
      <c r="G896" s="2"/>
      <c r="H896" s="2"/>
      <c r="I896" s="2"/>
      <c r="J896" s="2"/>
      <c r="K896" s="2"/>
    </row>
    <row r="897">
      <c r="A897" s="2"/>
      <c r="B897" s="2"/>
      <c r="C897" s="2"/>
      <c r="D897" s="2"/>
      <c r="E897" s="2"/>
      <c r="F897" s="2"/>
      <c r="G897" s="2"/>
      <c r="H897" s="2"/>
      <c r="I897" s="2"/>
      <c r="J897" s="2"/>
      <c r="K897" s="2"/>
    </row>
    <row r="898">
      <c r="A898" s="2"/>
      <c r="B898" s="2"/>
      <c r="C898" s="2"/>
      <c r="D898" s="2"/>
      <c r="E898" s="2"/>
      <c r="F898" s="2"/>
      <c r="G898" s="2"/>
      <c r="H898" s="2"/>
      <c r="I898" s="2"/>
      <c r="J898" s="2"/>
      <c r="K898" s="2"/>
    </row>
    <row r="899">
      <c r="A899" s="2"/>
      <c r="B899" s="2"/>
      <c r="C899" s="2"/>
      <c r="D899" s="2"/>
      <c r="E899" s="2"/>
      <c r="F899" s="2"/>
      <c r="G899" s="2"/>
      <c r="H899" s="2"/>
      <c r="I899" s="2"/>
      <c r="J899" s="2"/>
      <c r="K899" s="2"/>
    </row>
    <row r="900">
      <c r="A900" s="2"/>
      <c r="B900" s="2"/>
      <c r="C900" s="2"/>
      <c r="D900" s="2"/>
      <c r="E900" s="2"/>
      <c r="F900" s="2"/>
      <c r="G900" s="2"/>
      <c r="H900" s="2"/>
      <c r="I900" s="2"/>
      <c r="J900" s="2"/>
      <c r="K900" s="2"/>
    </row>
    <row r="901">
      <c r="A901" s="2"/>
      <c r="B901" s="2"/>
      <c r="C901" s="2"/>
      <c r="D901" s="2"/>
      <c r="E901" s="2"/>
      <c r="F901" s="2"/>
      <c r="G901" s="2"/>
      <c r="H901" s="2"/>
      <c r="I901" s="2"/>
      <c r="J901" s="2"/>
      <c r="K901" s="2"/>
    </row>
    <row r="902">
      <c r="A902" s="2"/>
      <c r="B902" s="2"/>
      <c r="C902" s="2"/>
      <c r="D902" s="2"/>
      <c r="E902" s="2"/>
      <c r="F902" s="2"/>
      <c r="G902" s="2"/>
      <c r="H902" s="2"/>
      <c r="I902" s="2"/>
      <c r="J902" s="2"/>
      <c r="K902" s="2"/>
    </row>
    <row r="903">
      <c r="A903" s="2"/>
      <c r="B903" s="2"/>
      <c r="C903" s="2"/>
      <c r="D903" s="2"/>
      <c r="E903" s="2"/>
      <c r="F903" s="2"/>
      <c r="G903" s="2"/>
      <c r="H903" s="2"/>
      <c r="I903" s="2"/>
      <c r="J903" s="2"/>
      <c r="K903" s="2"/>
    </row>
    <row r="904">
      <c r="A904" s="2"/>
      <c r="B904" s="2"/>
      <c r="C904" s="2"/>
      <c r="D904" s="2"/>
      <c r="E904" s="2"/>
      <c r="F904" s="2"/>
      <c r="G904" s="2"/>
      <c r="H904" s="2"/>
      <c r="I904" s="2"/>
      <c r="J904" s="2"/>
      <c r="K904" s="2"/>
    </row>
    <row r="905">
      <c r="A905" s="2"/>
      <c r="B905" s="2"/>
      <c r="C905" s="2"/>
      <c r="D905" s="2"/>
      <c r="E905" s="2"/>
      <c r="F905" s="2"/>
      <c r="G905" s="2"/>
      <c r="H905" s="2"/>
      <c r="I905" s="2"/>
      <c r="J905" s="2"/>
      <c r="K905" s="2"/>
    </row>
    <row r="906">
      <c r="A906" s="2"/>
      <c r="B906" s="2"/>
      <c r="C906" s="2"/>
      <c r="D906" s="2"/>
      <c r="E906" s="2"/>
      <c r="F906" s="2"/>
      <c r="G906" s="2"/>
      <c r="H906" s="2"/>
      <c r="I906" s="2"/>
      <c r="J906" s="2"/>
      <c r="K906" s="2"/>
    </row>
    <row r="907">
      <c r="A907" s="2"/>
      <c r="B907" s="2"/>
      <c r="C907" s="2"/>
      <c r="D907" s="2"/>
      <c r="E907" s="2"/>
      <c r="F907" s="2"/>
      <c r="G907" s="2"/>
      <c r="H907" s="2"/>
      <c r="I907" s="2"/>
      <c r="J907" s="2"/>
      <c r="K907" s="2"/>
    </row>
    <row r="908">
      <c r="A908" s="2"/>
      <c r="B908" s="2"/>
      <c r="C908" s="2"/>
      <c r="D908" s="2"/>
      <c r="E908" s="2"/>
      <c r="F908" s="2"/>
      <c r="G908" s="2"/>
      <c r="H908" s="2"/>
      <c r="I908" s="2"/>
      <c r="J908" s="2"/>
      <c r="K908" s="2"/>
    </row>
    <row r="909">
      <c r="A909" s="2"/>
      <c r="B909" s="2"/>
      <c r="C909" s="2"/>
      <c r="D909" s="2"/>
      <c r="E909" s="2"/>
      <c r="F909" s="2"/>
      <c r="G909" s="2"/>
      <c r="H909" s="2"/>
      <c r="I909" s="2"/>
      <c r="J909" s="2"/>
      <c r="K909" s="2"/>
    </row>
    <row r="910">
      <c r="A910" s="2"/>
      <c r="B910" s="2"/>
      <c r="C910" s="2"/>
      <c r="D910" s="2"/>
      <c r="E910" s="2"/>
      <c r="F910" s="2"/>
      <c r="G910" s="2"/>
      <c r="H910" s="2"/>
      <c r="I910" s="2"/>
      <c r="J910" s="2"/>
      <c r="K910" s="2"/>
    </row>
    <row r="911">
      <c r="A911" s="2"/>
      <c r="B911" s="2"/>
      <c r="C911" s="2"/>
      <c r="D911" s="2"/>
      <c r="E911" s="2"/>
      <c r="F911" s="2"/>
      <c r="G911" s="2"/>
      <c r="H911" s="2"/>
      <c r="I911" s="2"/>
      <c r="J911" s="2"/>
      <c r="K911" s="2"/>
    </row>
    <row r="912">
      <c r="A912" s="2"/>
      <c r="B912" s="2"/>
      <c r="C912" s="2"/>
      <c r="D912" s="2"/>
      <c r="E912" s="2"/>
      <c r="F912" s="2"/>
      <c r="G912" s="2"/>
      <c r="H912" s="2"/>
      <c r="I912" s="2"/>
      <c r="J912" s="2"/>
      <c r="K912" s="2"/>
    </row>
    <row r="913">
      <c r="A913" s="2"/>
      <c r="B913" s="2"/>
      <c r="C913" s="2"/>
      <c r="D913" s="2"/>
      <c r="E913" s="2"/>
      <c r="F913" s="2"/>
      <c r="G913" s="2"/>
      <c r="H913" s="2"/>
      <c r="I913" s="2"/>
      <c r="J913" s="2"/>
      <c r="K913" s="2"/>
    </row>
    <row r="914">
      <c r="A914" s="2"/>
      <c r="B914" s="2"/>
      <c r="C914" s="2"/>
      <c r="D914" s="2"/>
      <c r="E914" s="2"/>
      <c r="F914" s="2"/>
      <c r="G914" s="2"/>
      <c r="H914" s="2"/>
      <c r="I914" s="2"/>
      <c r="J914" s="2"/>
      <c r="K914" s="2"/>
    </row>
    <row r="915">
      <c r="A915" s="2"/>
      <c r="B915" s="2"/>
      <c r="C915" s="2"/>
      <c r="D915" s="2"/>
      <c r="E915" s="2"/>
      <c r="F915" s="2"/>
      <c r="G915" s="2"/>
      <c r="H915" s="2"/>
      <c r="I915" s="2"/>
      <c r="J915" s="2"/>
      <c r="K915" s="2"/>
    </row>
    <row r="916">
      <c r="A916" s="2"/>
      <c r="B916" s="2"/>
      <c r="C916" s="2"/>
      <c r="D916" s="2"/>
      <c r="E916" s="2"/>
      <c r="F916" s="2"/>
      <c r="G916" s="2"/>
      <c r="H916" s="2"/>
      <c r="I916" s="2"/>
      <c r="J916" s="2"/>
      <c r="K916" s="2"/>
    </row>
    <row r="917">
      <c r="A917" s="2"/>
      <c r="B917" s="2"/>
      <c r="C917" s="2"/>
      <c r="D917" s="2"/>
      <c r="E917" s="2"/>
      <c r="F917" s="2"/>
      <c r="G917" s="2"/>
      <c r="H917" s="2"/>
      <c r="I917" s="2"/>
      <c r="J917" s="2"/>
      <c r="K917" s="2"/>
    </row>
    <row r="918">
      <c r="A918" s="2"/>
      <c r="B918" s="2"/>
      <c r="C918" s="2"/>
      <c r="D918" s="2"/>
      <c r="E918" s="2"/>
      <c r="F918" s="2"/>
      <c r="G918" s="2"/>
      <c r="H918" s="2"/>
      <c r="I918" s="2"/>
      <c r="J918" s="2"/>
      <c r="K918" s="2"/>
    </row>
    <row r="919">
      <c r="A919" s="2"/>
      <c r="B919" s="2"/>
      <c r="C919" s="2"/>
      <c r="D919" s="2"/>
      <c r="E919" s="2"/>
      <c r="F919" s="2"/>
      <c r="G919" s="2"/>
      <c r="H919" s="2"/>
      <c r="I919" s="2"/>
      <c r="J919" s="2"/>
      <c r="K919" s="2"/>
    </row>
    <row r="920">
      <c r="A920" s="2"/>
      <c r="B920" s="2"/>
      <c r="C920" s="2"/>
      <c r="D920" s="2"/>
      <c r="E920" s="2"/>
      <c r="F920" s="2"/>
      <c r="G920" s="2"/>
      <c r="H920" s="2"/>
      <c r="I920" s="2"/>
      <c r="J920" s="2"/>
      <c r="K920" s="2"/>
    </row>
    <row r="921">
      <c r="A921" s="2"/>
      <c r="B921" s="2"/>
      <c r="C921" s="2"/>
      <c r="D921" s="2"/>
      <c r="E921" s="2"/>
      <c r="F921" s="2"/>
      <c r="G921" s="2"/>
      <c r="H921" s="2"/>
      <c r="I921" s="2"/>
      <c r="J921" s="2"/>
      <c r="K921" s="2"/>
    </row>
    <row r="922">
      <c r="A922" s="2"/>
      <c r="B922" s="2"/>
      <c r="C922" s="2"/>
      <c r="D922" s="2"/>
      <c r="E922" s="2"/>
      <c r="F922" s="2"/>
      <c r="G922" s="2"/>
      <c r="H922" s="2"/>
      <c r="I922" s="2"/>
      <c r="J922" s="2"/>
      <c r="K922" s="2"/>
    </row>
    <row r="923">
      <c r="A923" s="2"/>
      <c r="B923" s="2"/>
      <c r="C923" s="2"/>
      <c r="D923" s="2"/>
      <c r="E923" s="2"/>
      <c r="F923" s="2"/>
      <c r="G923" s="2"/>
      <c r="H923" s="2"/>
      <c r="I923" s="2"/>
      <c r="J923" s="2"/>
      <c r="K923" s="2"/>
    </row>
    <row r="924">
      <c r="A924" s="2"/>
      <c r="B924" s="2"/>
      <c r="C924" s="2"/>
      <c r="D924" s="2"/>
      <c r="E924" s="2"/>
      <c r="F924" s="2"/>
      <c r="G924" s="2"/>
      <c r="H924" s="2"/>
      <c r="I924" s="2"/>
      <c r="J924" s="2"/>
      <c r="K924" s="2"/>
    </row>
    <row r="925">
      <c r="A925" s="2"/>
      <c r="B925" s="2"/>
      <c r="C925" s="2"/>
      <c r="D925" s="2"/>
      <c r="E925" s="2"/>
      <c r="F925" s="2"/>
      <c r="G925" s="2"/>
      <c r="H925" s="2"/>
      <c r="I925" s="2"/>
      <c r="J925" s="2"/>
      <c r="K925" s="2"/>
    </row>
    <row r="926">
      <c r="A926" s="2"/>
      <c r="B926" s="2"/>
      <c r="C926" s="2"/>
      <c r="D926" s="2"/>
      <c r="E926" s="2"/>
      <c r="F926" s="2"/>
      <c r="G926" s="2"/>
      <c r="H926" s="2"/>
      <c r="I926" s="2"/>
      <c r="J926" s="2"/>
      <c r="K926" s="2"/>
    </row>
    <row r="927">
      <c r="A927" s="2"/>
      <c r="B927" s="2"/>
      <c r="C927" s="2"/>
      <c r="D927" s="2"/>
      <c r="E927" s="2"/>
      <c r="F927" s="2"/>
      <c r="G927" s="2"/>
      <c r="H927" s="2"/>
      <c r="I927" s="2"/>
      <c r="J927" s="2"/>
      <c r="K927" s="2"/>
    </row>
    <row r="928">
      <c r="A928" s="2"/>
      <c r="B928" s="2"/>
      <c r="C928" s="2"/>
      <c r="D928" s="2"/>
      <c r="E928" s="2"/>
      <c r="F928" s="2"/>
      <c r="G928" s="2"/>
      <c r="H928" s="2"/>
      <c r="I928" s="2"/>
      <c r="J928" s="2"/>
      <c r="K928" s="2"/>
    </row>
    <row r="929">
      <c r="A929" s="2"/>
      <c r="B929" s="2"/>
      <c r="C929" s="2"/>
      <c r="D929" s="2"/>
      <c r="E929" s="2"/>
      <c r="F929" s="2"/>
      <c r="G929" s="2"/>
      <c r="H929" s="2"/>
      <c r="I929" s="2"/>
      <c r="J929" s="2"/>
      <c r="K929" s="2"/>
    </row>
    <row r="930">
      <c r="A930" s="2"/>
      <c r="B930" s="2"/>
      <c r="C930" s="2"/>
      <c r="D930" s="2"/>
      <c r="E930" s="2"/>
      <c r="F930" s="2"/>
      <c r="G930" s="2"/>
      <c r="H930" s="2"/>
      <c r="I930" s="2"/>
      <c r="J930" s="2"/>
      <c r="K930" s="2"/>
    </row>
    <row r="931">
      <c r="A931" s="2"/>
      <c r="B931" s="2"/>
      <c r="C931" s="2"/>
      <c r="D931" s="2"/>
      <c r="E931" s="2"/>
      <c r="F931" s="2"/>
      <c r="G931" s="2"/>
      <c r="H931" s="2"/>
      <c r="I931" s="2"/>
      <c r="J931" s="2"/>
      <c r="K931" s="2"/>
    </row>
    <row r="932">
      <c r="A932" s="2"/>
      <c r="B932" s="2"/>
      <c r="C932" s="2"/>
      <c r="D932" s="2"/>
      <c r="E932" s="2"/>
      <c r="F932" s="2"/>
      <c r="G932" s="2"/>
      <c r="H932" s="2"/>
      <c r="I932" s="2"/>
      <c r="J932" s="2"/>
      <c r="K932" s="2"/>
    </row>
    <row r="933">
      <c r="A933" s="2"/>
      <c r="B933" s="2"/>
      <c r="C933" s="2"/>
      <c r="D933" s="2"/>
      <c r="E933" s="2"/>
      <c r="F933" s="2"/>
      <c r="G933" s="2"/>
      <c r="H933" s="2"/>
      <c r="I933" s="2"/>
      <c r="J933" s="2"/>
      <c r="K933" s="2"/>
    </row>
    <row r="934">
      <c r="A934" s="2"/>
      <c r="B934" s="2"/>
      <c r="C934" s="2"/>
      <c r="D934" s="2"/>
      <c r="E934" s="2"/>
      <c r="F934" s="2"/>
      <c r="G934" s="2"/>
      <c r="H934" s="2"/>
      <c r="I934" s="2"/>
      <c r="J934" s="2"/>
      <c r="K934" s="2"/>
    </row>
    <row r="935">
      <c r="A935" s="2"/>
      <c r="B935" s="2"/>
      <c r="C935" s="2"/>
      <c r="D935" s="2"/>
      <c r="E935" s="2"/>
      <c r="F935" s="2"/>
      <c r="G935" s="2"/>
      <c r="H935" s="2"/>
      <c r="I935" s="2"/>
      <c r="J935" s="2"/>
      <c r="K935" s="2"/>
    </row>
    <row r="936">
      <c r="A936" s="2"/>
      <c r="B936" s="2"/>
      <c r="C936" s="2"/>
      <c r="D936" s="2"/>
      <c r="E936" s="2"/>
      <c r="F936" s="2"/>
      <c r="G936" s="2"/>
      <c r="H936" s="2"/>
      <c r="I936" s="2"/>
      <c r="J936" s="2"/>
      <c r="K936" s="2"/>
    </row>
    <row r="937">
      <c r="A937" s="2"/>
      <c r="B937" s="2"/>
      <c r="C937" s="2"/>
      <c r="D937" s="2"/>
      <c r="E937" s="2"/>
      <c r="F937" s="2"/>
      <c r="G937" s="2"/>
      <c r="H937" s="2"/>
      <c r="I937" s="2"/>
      <c r="J937" s="2"/>
      <c r="K937" s="2"/>
    </row>
    <row r="938">
      <c r="A938" s="2"/>
      <c r="B938" s="2"/>
      <c r="C938" s="2"/>
      <c r="D938" s="2"/>
      <c r="E938" s="2"/>
      <c r="F938" s="2"/>
      <c r="G938" s="2"/>
      <c r="H938" s="2"/>
      <c r="I938" s="2"/>
      <c r="J938" s="2"/>
      <c r="K938" s="2"/>
    </row>
    <row r="939">
      <c r="A939" s="2"/>
      <c r="B939" s="2"/>
      <c r="C939" s="2"/>
      <c r="D939" s="2"/>
      <c r="E939" s="2"/>
      <c r="F939" s="2"/>
      <c r="G939" s="2"/>
      <c r="H939" s="2"/>
      <c r="I939" s="2"/>
      <c r="J939" s="2"/>
      <c r="K939" s="2"/>
    </row>
    <row r="940">
      <c r="A940" s="2"/>
      <c r="B940" s="2"/>
      <c r="C940" s="2"/>
      <c r="D940" s="2"/>
      <c r="E940" s="2"/>
      <c r="F940" s="2"/>
      <c r="G940" s="2"/>
      <c r="H940" s="2"/>
      <c r="I940" s="2"/>
      <c r="J940" s="2"/>
      <c r="K940" s="2"/>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c r="B946" s="2"/>
      <c r="C946" s="2"/>
      <c r="D946" s="2"/>
      <c r="E946" s="2"/>
      <c r="F946" s="2"/>
      <c r="G946" s="2"/>
      <c r="H946" s="2"/>
      <c r="I946" s="2"/>
      <c r="J946" s="2"/>
      <c r="K946" s="2"/>
    </row>
    <row r="947">
      <c r="A947" s="2"/>
      <c r="B947" s="2"/>
      <c r="C947" s="2"/>
      <c r="D947" s="2"/>
      <c r="E947" s="2"/>
      <c r="F947" s="2"/>
      <c r="G947" s="2"/>
      <c r="H947" s="2"/>
      <c r="I947" s="2"/>
      <c r="J947" s="2"/>
      <c r="K947" s="2"/>
    </row>
    <row r="948">
      <c r="A948" s="2"/>
      <c r="B948" s="2"/>
      <c r="C948" s="2"/>
      <c r="D948" s="2"/>
      <c r="E948" s="2"/>
      <c r="F948" s="2"/>
      <c r="G948" s="2"/>
      <c r="H948" s="2"/>
      <c r="I948" s="2"/>
      <c r="J948" s="2"/>
      <c r="K948" s="2"/>
    </row>
    <row r="949">
      <c r="A949" s="2"/>
      <c r="B949" s="2"/>
      <c r="C949" s="2"/>
      <c r="D949" s="2"/>
      <c r="E949" s="2"/>
      <c r="F949" s="2"/>
      <c r="G949" s="2"/>
      <c r="H949" s="2"/>
      <c r="I949" s="2"/>
      <c r="J949" s="2"/>
      <c r="K949" s="2"/>
    </row>
    <row r="950">
      <c r="A950" s="2"/>
      <c r="B950" s="2"/>
      <c r="C950" s="2"/>
      <c r="D950" s="2"/>
      <c r="E950" s="2"/>
      <c r="F950" s="2"/>
      <c r="G950" s="2"/>
      <c r="H950" s="2"/>
      <c r="I950" s="2"/>
      <c r="J950" s="2"/>
      <c r="K950" s="2"/>
    </row>
    <row r="951">
      <c r="A951" s="2"/>
      <c r="B951" s="2"/>
      <c r="C951" s="2"/>
      <c r="D951" s="2"/>
      <c r="E951" s="2"/>
      <c r="F951" s="2"/>
      <c r="G951" s="2"/>
      <c r="H951" s="2"/>
      <c r="I951" s="2"/>
      <c r="J951" s="2"/>
      <c r="K951" s="2"/>
    </row>
    <row r="952">
      <c r="A952" s="2"/>
      <c r="B952" s="2"/>
      <c r="C952" s="2"/>
      <c r="D952" s="2"/>
      <c r="E952" s="2"/>
      <c r="F952" s="2"/>
      <c r="G952" s="2"/>
      <c r="H952" s="2"/>
      <c r="I952" s="2"/>
      <c r="J952" s="2"/>
      <c r="K952" s="2"/>
    </row>
    <row r="953">
      <c r="A953" s="2"/>
      <c r="B953" s="2"/>
      <c r="C953" s="2"/>
      <c r="D953" s="2"/>
      <c r="E953" s="2"/>
      <c r="F953" s="2"/>
      <c r="G953" s="2"/>
      <c r="H953" s="2"/>
      <c r="I953" s="2"/>
      <c r="J953" s="2"/>
      <c r="K953" s="2"/>
    </row>
    <row r="954">
      <c r="A954" s="2"/>
      <c r="B954" s="2"/>
      <c r="C954" s="2"/>
      <c r="D954" s="2"/>
      <c r="E954" s="2"/>
      <c r="F954" s="2"/>
      <c r="G954" s="2"/>
      <c r="H954" s="2"/>
      <c r="I954" s="2"/>
      <c r="J954" s="2"/>
      <c r="K954" s="2"/>
    </row>
    <row r="955">
      <c r="A955" s="2"/>
      <c r="B955" s="2"/>
      <c r="C955" s="2"/>
      <c r="D955" s="2"/>
      <c r="E955" s="2"/>
      <c r="F955" s="2"/>
      <c r="G955" s="2"/>
      <c r="H955" s="2"/>
      <c r="I955" s="2"/>
      <c r="J955" s="2"/>
      <c r="K955" s="2"/>
    </row>
    <row r="956">
      <c r="A956" s="2"/>
      <c r="B956" s="2"/>
      <c r="C956" s="2"/>
      <c r="D956" s="2"/>
      <c r="E956" s="2"/>
      <c r="F956" s="2"/>
      <c r="G956" s="2"/>
      <c r="H956" s="2"/>
      <c r="I956" s="2"/>
      <c r="J956" s="2"/>
      <c r="K956" s="2"/>
    </row>
    <row r="957">
      <c r="A957" s="2"/>
      <c r="B957" s="2"/>
      <c r="C957" s="2"/>
      <c r="D957" s="2"/>
      <c r="E957" s="2"/>
      <c r="F957" s="2"/>
      <c r="G957" s="2"/>
      <c r="H957" s="2"/>
      <c r="I957" s="2"/>
      <c r="J957" s="2"/>
      <c r="K957" s="2"/>
    </row>
    <row r="958">
      <c r="A958" s="2"/>
      <c r="B958" s="2"/>
      <c r="C958" s="2"/>
      <c r="D958" s="2"/>
      <c r="E958" s="2"/>
      <c r="F958" s="2"/>
      <c r="G958" s="2"/>
      <c r="H958" s="2"/>
      <c r="I958" s="2"/>
      <c r="J958" s="2"/>
      <c r="K958" s="2"/>
    </row>
    <row r="959">
      <c r="A959" s="2"/>
      <c r="B959" s="2"/>
      <c r="C959" s="2"/>
      <c r="D959" s="2"/>
      <c r="E959" s="2"/>
      <c r="F959" s="2"/>
      <c r="G959" s="2"/>
      <c r="H959" s="2"/>
      <c r="I959" s="2"/>
      <c r="J959" s="2"/>
      <c r="K959" s="2"/>
    </row>
    <row r="960">
      <c r="A960" s="2"/>
      <c r="B960" s="2"/>
      <c r="C960" s="2"/>
      <c r="D960" s="2"/>
      <c r="E960" s="2"/>
      <c r="F960" s="2"/>
      <c r="G960" s="2"/>
      <c r="H960" s="2"/>
      <c r="I960" s="2"/>
      <c r="J960" s="2"/>
      <c r="K960" s="2"/>
    </row>
    <row r="961">
      <c r="A961" s="2"/>
      <c r="B961" s="2"/>
      <c r="C961" s="2"/>
      <c r="D961" s="2"/>
      <c r="E961" s="2"/>
      <c r="F961" s="2"/>
      <c r="G961" s="2"/>
      <c r="H961" s="2"/>
      <c r="I961" s="2"/>
      <c r="J961" s="2"/>
      <c r="K961" s="2"/>
    </row>
    <row r="962">
      <c r="A962" s="2"/>
      <c r="B962" s="2"/>
      <c r="C962" s="2"/>
      <c r="D962" s="2"/>
      <c r="E962" s="2"/>
      <c r="F962" s="2"/>
      <c r="G962" s="2"/>
      <c r="H962" s="2"/>
      <c r="I962" s="2"/>
      <c r="J962" s="2"/>
      <c r="K962" s="2"/>
    </row>
    <row r="963">
      <c r="A963" s="2"/>
      <c r="B963" s="2"/>
      <c r="C963" s="2"/>
      <c r="D963" s="2"/>
      <c r="E963" s="2"/>
      <c r="F963" s="2"/>
      <c r="G963" s="2"/>
      <c r="H963" s="2"/>
      <c r="I963" s="2"/>
      <c r="J963" s="2"/>
      <c r="K963" s="2"/>
    </row>
    <row r="964">
      <c r="A964" s="2"/>
      <c r="B964" s="2"/>
      <c r="C964" s="2"/>
      <c r="D964" s="2"/>
      <c r="E964" s="2"/>
      <c r="F964" s="2"/>
      <c r="G964" s="2"/>
      <c r="H964" s="2"/>
      <c r="I964" s="2"/>
      <c r="J964" s="2"/>
      <c r="K964" s="2"/>
    </row>
    <row r="965">
      <c r="A965" s="2"/>
      <c r="B965" s="2"/>
      <c r="C965" s="2"/>
      <c r="D965" s="2"/>
      <c r="E965" s="2"/>
      <c r="F965" s="2"/>
      <c r="G965" s="2"/>
      <c r="H965" s="2"/>
      <c r="I965" s="2"/>
      <c r="J965" s="2"/>
      <c r="K965" s="2"/>
    </row>
    <row r="966">
      <c r="A966" s="2"/>
      <c r="B966" s="2"/>
      <c r="C966" s="2"/>
      <c r="D966" s="2"/>
      <c r="E966" s="2"/>
      <c r="F966" s="2"/>
      <c r="G966" s="2"/>
      <c r="H966" s="2"/>
      <c r="I966" s="2"/>
      <c r="J966" s="2"/>
      <c r="K966" s="2"/>
    </row>
    <row r="967">
      <c r="A967" s="2"/>
      <c r="B967" s="2"/>
      <c r="C967" s="2"/>
      <c r="D967" s="2"/>
      <c r="E967" s="2"/>
      <c r="F967" s="2"/>
      <c r="G967" s="2"/>
      <c r="H967" s="2"/>
      <c r="I967" s="2"/>
      <c r="J967" s="2"/>
      <c r="K967" s="2"/>
    </row>
    <row r="968">
      <c r="A968" s="2"/>
      <c r="B968" s="2"/>
      <c r="C968" s="2"/>
      <c r="D968" s="2"/>
      <c r="E968" s="2"/>
      <c r="F968" s="2"/>
      <c r="G968" s="2"/>
      <c r="H968" s="2"/>
      <c r="I968" s="2"/>
      <c r="J968" s="2"/>
      <c r="K968" s="2"/>
    </row>
    <row r="969">
      <c r="A969" s="2"/>
      <c r="B969" s="2"/>
      <c r="C969" s="2"/>
      <c r="D969" s="2"/>
      <c r="E969" s="2"/>
      <c r="F969" s="2"/>
      <c r="G969" s="2"/>
      <c r="H969" s="2"/>
      <c r="I969" s="2"/>
      <c r="J969" s="2"/>
      <c r="K969" s="2"/>
    </row>
    <row r="970">
      <c r="A970" s="2"/>
      <c r="B970" s="2"/>
      <c r="C970" s="2"/>
      <c r="D970" s="2"/>
      <c r="E970" s="2"/>
      <c r="F970" s="2"/>
      <c r="G970" s="2"/>
      <c r="H970" s="2"/>
      <c r="I970" s="2"/>
      <c r="J970" s="2"/>
      <c r="K970" s="2"/>
    </row>
    <row r="971">
      <c r="A971" s="2"/>
      <c r="B971" s="2"/>
      <c r="C971" s="2"/>
      <c r="D971" s="2"/>
      <c r="E971" s="2"/>
      <c r="F971" s="2"/>
      <c r="G971" s="2"/>
      <c r="H971" s="2"/>
      <c r="I971" s="2"/>
      <c r="J971" s="2"/>
      <c r="K971" s="2"/>
    </row>
    <row r="972">
      <c r="A972" s="2"/>
      <c r="B972" s="2"/>
      <c r="C972" s="2"/>
      <c r="D972" s="2"/>
      <c r="E972" s="2"/>
      <c r="F972" s="2"/>
      <c r="G972" s="2"/>
      <c r="H972" s="2"/>
      <c r="I972" s="2"/>
      <c r="J972" s="2"/>
      <c r="K972" s="2"/>
    </row>
    <row r="973">
      <c r="A973" s="2"/>
      <c r="B973" s="2"/>
      <c r="C973" s="2"/>
      <c r="D973" s="2"/>
      <c r="E973" s="2"/>
      <c r="F973" s="2"/>
      <c r="G973" s="2"/>
      <c r="H973" s="2"/>
      <c r="I973" s="2"/>
      <c r="J973" s="2"/>
      <c r="K973" s="2"/>
    </row>
    <row r="974">
      <c r="A974" s="2"/>
      <c r="B974" s="2"/>
      <c r="C974" s="2"/>
      <c r="D974" s="2"/>
      <c r="E974" s="2"/>
      <c r="F974" s="2"/>
      <c r="G974" s="2"/>
      <c r="H974" s="2"/>
      <c r="I974" s="2"/>
      <c r="J974" s="2"/>
      <c r="K974" s="2"/>
    </row>
    <row r="975">
      <c r="A975" s="2"/>
      <c r="B975" s="2"/>
      <c r="C975" s="2"/>
      <c r="D975" s="2"/>
      <c r="E975" s="2"/>
      <c r="F975" s="2"/>
      <c r="G975" s="2"/>
      <c r="H975" s="2"/>
      <c r="I975" s="2"/>
      <c r="J975" s="2"/>
      <c r="K975" s="2"/>
    </row>
    <row r="976">
      <c r="A976" s="2"/>
      <c r="B976" s="2"/>
      <c r="C976" s="2"/>
      <c r="D976" s="2"/>
      <c r="E976" s="2"/>
      <c r="F976" s="2"/>
      <c r="G976" s="2"/>
      <c r="H976" s="2"/>
      <c r="I976" s="2"/>
      <c r="J976" s="2"/>
      <c r="K976" s="2"/>
    </row>
    <row r="977">
      <c r="A977" s="2"/>
      <c r="B977" s="2"/>
      <c r="C977" s="2"/>
      <c r="D977" s="2"/>
      <c r="E977" s="2"/>
      <c r="F977" s="2"/>
      <c r="G977" s="2"/>
      <c r="H977" s="2"/>
      <c r="I977" s="2"/>
      <c r="J977" s="2"/>
      <c r="K977" s="2"/>
    </row>
    <row r="978">
      <c r="A978" s="2"/>
      <c r="B978" s="2"/>
      <c r="C978" s="2"/>
      <c r="D978" s="2"/>
      <c r="E978" s="2"/>
      <c r="F978" s="2"/>
      <c r="G978" s="2"/>
      <c r="H978" s="2"/>
      <c r="I978" s="2"/>
      <c r="J978" s="2"/>
      <c r="K978" s="2"/>
    </row>
    <row r="979">
      <c r="A979" s="2"/>
      <c r="B979" s="2"/>
      <c r="C979" s="2"/>
      <c r="D979" s="2"/>
      <c r="E979" s="2"/>
      <c r="F979" s="2"/>
      <c r="G979" s="2"/>
      <c r="H979" s="2"/>
      <c r="I979" s="2"/>
      <c r="J979" s="2"/>
      <c r="K979" s="2"/>
    </row>
    <row r="980">
      <c r="A980" s="2"/>
      <c r="B980" s="2"/>
      <c r="C980" s="2"/>
      <c r="D980" s="2"/>
      <c r="E980" s="2"/>
      <c r="F980" s="2"/>
      <c r="G980" s="2"/>
      <c r="H980" s="2"/>
      <c r="I980" s="2"/>
      <c r="J980" s="2"/>
      <c r="K980" s="2"/>
    </row>
    <row r="981">
      <c r="A981" s="2"/>
      <c r="B981" s="2"/>
      <c r="C981" s="2"/>
      <c r="D981" s="2"/>
      <c r="E981" s="2"/>
      <c r="F981" s="2"/>
      <c r="G981" s="2"/>
      <c r="H981" s="2"/>
      <c r="I981" s="2"/>
      <c r="J981" s="2"/>
      <c r="K981" s="2"/>
    </row>
    <row r="982">
      <c r="A982" s="2"/>
      <c r="B982" s="2"/>
      <c r="C982" s="2"/>
      <c r="D982" s="2"/>
      <c r="E982" s="2"/>
      <c r="F982" s="2"/>
      <c r="G982" s="2"/>
      <c r="H982" s="2"/>
      <c r="I982" s="2"/>
      <c r="J982" s="2"/>
      <c r="K982" s="2"/>
    </row>
    <row r="983">
      <c r="A983" s="2"/>
      <c r="B983" s="2"/>
      <c r="C983" s="2"/>
      <c r="D983" s="2"/>
      <c r="E983" s="2"/>
      <c r="F983" s="2"/>
      <c r="G983" s="2"/>
      <c r="H983" s="2"/>
      <c r="I983" s="2"/>
      <c r="J983" s="2"/>
      <c r="K983" s="2"/>
    </row>
    <row r="984">
      <c r="A984" s="2"/>
      <c r="B984" s="2"/>
      <c r="C984" s="2"/>
      <c r="D984" s="2"/>
      <c r="E984" s="2"/>
      <c r="F984" s="2"/>
      <c r="G984" s="2"/>
      <c r="H984" s="2"/>
      <c r="I984" s="2"/>
      <c r="J984" s="2"/>
      <c r="K984" s="2"/>
    </row>
    <row r="985">
      <c r="A985" s="2"/>
      <c r="B985" s="2"/>
      <c r="C985" s="2"/>
      <c r="D985" s="2"/>
      <c r="E985" s="2"/>
      <c r="F985" s="2"/>
      <c r="G985" s="2"/>
      <c r="H985" s="2"/>
      <c r="I985" s="2"/>
      <c r="J985" s="2"/>
      <c r="K985" s="2"/>
    </row>
    <row r="986">
      <c r="A986" s="2"/>
      <c r="B986" s="2"/>
      <c r="C986" s="2"/>
      <c r="D986" s="2"/>
      <c r="E986" s="2"/>
      <c r="F986" s="2"/>
      <c r="G986" s="2"/>
      <c r="H986" s="2"/>
      <c r="I986" s="2"/>
      <c r="J986" s="2"/>
      <c r="K986" s="2"/>
    </row>
    <row r="987">
      <c r="A987" s="2"/>
      <c r="B987" s="2"/>
      <c r="C987" s="2"/>
      <c r="D987" s="2"/>
      <c r="E987" s="2"/>
      <c r="F987" s="2"/>
      <c r="G987" s="2"/>
      <c r="H987" s="2"/>
      <c r="I987" s="2"/>
      <c r="J987" s="2"/>
      <c r="K987" s="2"/>
    </row>
    <row r="988">
      <c r="A988" s="2"/>
      <c r="B988" s="2"/>
      <c r="C988" s="2"/>
      <c r="D988" s="2"/>
      <c r="E988" s="2"/>
      <c r="F988" s="2"/>
      <c r="G988" s="2"/>
      <c r="H988" s="2"/>
      <c r="I988" s="2"/>
      <c r="J988" s="2"/>
      <c r="K988" s="2"/>
    </row>
    <row r="989">
      <c r="A989" s="2"/>
      <c r="B989" s="2"/>
      <c r="C989" s="2"/>
      <c r="D989" s="2"/>
      <c r="E989" s="2"/>
      <c r="F989" s="2"/>
      <c r="G989" s="2"/>
      <c r="H989" s="2"/>
      <c r="I989" s="2"/>
      <c r="J989" s="2"/>
      <c r="K989" s="2"/>
    </row>
    <row r="990">
      <c r="A990" s="2"/>
      <c r="B990" s="2"/>
      <c r="C990" s="2"/>
      <c r="D990" s="2"/>
      <c r="E990" s="2"/>
      <c r="F990" s="2"/>
      <c r="G990" s="2"/>
      <c r="H990" s="2"/>
      <c r="I990" s="2"/>
      <c r="J990" s="2"/>
      <c r="K990" s="2"/>
    </row>
    <row r="991">
      <c r="A991" s="2"/>
      <c r="B991" s="2"/>
      <c r="C991" s="2"/>
      <c r="D991" s="2"/>
      <c r="E991" s="2"/>
      <c r="F991" s="2"/>
      <c r="G991" s="2"/>
      <c r="H991" s="2"/>
      <c r="I991" s="2"/>
      <c r="J991" s="2"/>
      <c r="K991" s="2"/>
    </row>
    <row r="992">
      <c r="A992" s="2"/>
      <c r="B992" s="2"/>
      <c r="C992" s="2"/>
      <c r="D992" s="2"/>
      <c r="E992" s="2"/>
      <c r="F992" s="2"/>
      <c r="G992" s="2"/>
      <c r="H992" s="2"/>
      <c r="I992" s="2"/>
      <c r="J992" s="2"/>
      <c r="K992" s="2"/>
    </row>
    <row r="993">
      <c r="A993" s="2"/>
      <c r="B993" s="2"/>
      <c r="C993" s="2"/>
      <c r="D993" s="2"/>
      <c r="E993" s="2"/>
      <c r="F993" s="2"/>
      <c r="G993" s="2"/>
      <c r="H993" s="2"/>
      <c r="I993" s="2"/>
      <c r="J993" s="2"/>
      <c r="K993" s="2"/>
    </row>
    <row r="994">
      <c r="A994" s="2"/>
      <c r="B994" s="2"/>
      <c r="C994" s="2"/>
      <c r="D994" s="2"/>
      <c r="E994" s="2"/>
      <c r="F994" s="2"/>
      <c r="G994" s="2"/>
      <c r="H994" s="2"/>
      <c r="I994" s="2"/>
      <c r="J994" s="2"/>
      <c r="K994" s="2"/>
    </row>
    <row r="995">
      <c r="A995" s="2"/>
      <c r="B995" s="2"/>
      <c r="C995" s="2"/>
      <c r="D995" s="2"/>
      <c r="E995" s="2"/>
      <c r="F995" s="2"/>
      <c r="G995" s="2"/>
      <c r="H995" s="2"/>
      <c r="I995" s="2"/>
      <c r="J995" s="2"/>
      <c r="K995" s="2"/>
    </row>
    <row r="996">
      <c r="A996" s="2"/>
      <c r="B996" s="2"/>
      <c r="C996" s="2"/>
      <c r="D996" s="2"/>
      <c r="E996" s="2"/>
      <c r="F996" s="2"/>
      <c r="G996" s="2"/>
      <c r="H996" s="2"/>
      <c r="I996" s="2"/>
      <c r="J996" s="2"/>
      <c r="K996" s="2"/>
    </row>
    <row r="997">
      <c r="A997" s="2"/>
      <c r="B997" s="2"/>
      <c r="C997" s="2"/>
      <c r="D997" s="2"/>
      <c r="E997" s="2"/>
      <c r="F997" s="2"/>
      <c r="G997" s="2"/>
      <c r="H997" s="2"/>
      <c r="I997" s="2"/>
      <c r="J997" s="2"/>
      <c r="K997" s="2"/>
    </row>
    <row r="998">
      <c r="A998" s="2"/>
      <c r="B998" s="2"/>
      <c r="C998" s="2"/>
      <c r="D998" s="2"/>
      <c r="E998" s="2"/>
      <c r="F998" s="2"/>
      <c r="G998" s="2"/>
      <c r="H998" s="2"/>
      <c r="I998" s="2"/>
      <c r="J998" s="2"/>
      <c r="K998" s="2"/>
    </row>
    <row r="999">
      <c r="A999" s="2"/>
      <c r="B999" s="2"/>
      <c r="C999" s="2"/>
      <c r="D999" s="2"/>
      <c r="E999" s="2"/>
      <c r="F999" s="2"/>
      <c r="G999" s="2"/>
      <c r="H999" s="2"/>
      <c r="I999" s="2"/>
      <c r="J999" s="2"/>
      <c r="K999" s="2"/>
    </row>
    <row r="1000">
      <c r="A1000" s="2"/>
      <c r="B1000" s="2"/>
      <c r="C1000" s="2"/>
      <c r="D1000" s="2"/>
      <c r="E1000" s="2"/>
      <c r="F1000" s="2"/>
      <c r="G1000" s="2"/>
      <c r="H1000" s="2"/>
      <c r="I1000" s="2"/>
      <c r="J1000" s="2"/>
      <c r="K1000" s="2"/>
    </row>
    <row r="1001">
      <c r="A1001" s="2"/>
      <c r="B1001" s="2"/>
      <c r="C1001" s="2"/>
      <c r="D1001" s="2"/>
      <c r="E1001" s="2"/>
      <c r="F1001" s="2"/>
      <c r="G1001" s="2"/>
      <c r="H1001" s="2"/>
      <c r="I1001" s="2"/>
      <c r="J1001" s="2"/>
      <c r="K1001" s="2"/>
    </row>
    <row r="1002">
      <c r="A1002" s="2"/>
      <c r="B1002" s="2"/>
      <c r="C1002" s="2"/>
      <c r="D1002" s="2"/>
      <c r="E1002" s="2"/>
      <c r="F1002" s="2"/>
      <c r="G1002" s="2"/>
      <c r="H1002" s="2"/>
      <c r="I1002" s="2"/>
      <c r="J1002" s="2"/>
      <c r="K1002" s="2"/>
    </row>
    <row r="1003">
      <c r="A1003" s="2"/>
      <c r="B1003" s="2"/>
      <c r="C1003" s="2"/>
      <c r="D1003" s="2"/>
      <c r="E1003" s="2"/>
      <c r="F1003" s="2"/>
      <c r="G1003" s="2"/>
      <c r="H1003" s="2"/>
      <c r="I1003" s="2"/>
      <c r="J1003" s="2"/>
      <c r="K1003" s="2"/>
    </row>
    <row r="1004">
      <c r="A1004" s="2"/>
      <c r="B1004" s="2"/>
      <c r="C1004" s="2"/>
      <c r="D1004" s="2"/>
      <c r="E1004" s="2"/>
      <c r="F1004" s="2"/>
      <c r="G1004" s="2"/>
      <c r="H1004" s="2"/>
      <c r="I1004" s="2"/>
      <c r="J1004" s="2"/>
      <c r="K1004" s="2"/>
    </row>
    <row r="1005">
      <c r="A1005" s="2"/>
      <c r="B1005" s="2"/>
      <c r="C1005" s="2"/>
      <c r="D1005" s="2"/>
      <c r="E1005" s="2"/>
      <c r="F1005" s="2"/>
      <c r="G1005" s="2"/>
      <c r="H1005" s="2"/>
      <c r="I1005" s="2"/>
      <c r="J1005" s="2"/>
      <c r="K1005" s="2"/>
    </row>
    <row r="1006">
      <c r="A1006" s="2"/>
      <c r="B1006" s="2"/>
      <c r="C1006" s="2"/>
      <c r="D1006" s="2"/>
      <c r="E1006" s="2"/>
      <c r="F1006" s="2"/>
      <c r="G1006" s="2"/>
      <c r="H1006" s="2"/>
      <c r="I1006" s="2"/>
      <c r="J1006" s="2"/>
      <c r="K1006" s="2"/>
    </row>
    <row r="1007">
      <c r="A1007" s="2"/>
      <c r="B1007" s="2"/>
      <c r="C1007" s="2"/>
      <c r="D1007" s="2"/>
      <c r="E1007" s="2"/>
      <c r="F1007" s="2"/>
      <c r="G1007" s="2"/>
      <c r="H1007" s="2"/>
      <c r="I1007" s="2"/>
      <c r="J1007" s="2"/>
      <c r="K1007" s="2"/>
    </row>
    <row r="1008">
      <c r="A1008" s="2"/>
      <c r="B1008" s="2"/>
      <c r="C1008" s="2"/>
      <c r="D1008" s="2"/>
      <c r="E1008" s="2"/>
      <c r="F1008" s="2"/>
      <c r="G1008" s="2"/>
      <c r="H1008" s="2"/>
      <c r="I1008" s="2"/>
      <c r="J1008" s="2"/>
      <c r="K1008" s="2"/>
    </row>
    <row r="1009">
      <c r="A1009" s="2"/>
      <c r="B1009" s="2"/>
      <c r="C1009" s="2"/>
      <c r="D1009" s="2"/>
      <c r="E1009" s="2"/>
      <c r="F1009" s="2"/>
      <c r="G1009" s="2"/>
      <c r="H1009" s="2"/>
      <c r="I1009" s="2"/>
      <c r="J1009" s="2"/>
      <c r="K1009" s="2"/>
    </row>
    <row r="1010">
      <c r="A1010" s="2"/>
      <c r="B1010" s="2"/>
      <c r="C1010" s="2"/>
      <c r="D1010" s="2"/>
      <c r="E1010" s="2"/>
      <c r="F1010" s="2"/>
      <c r="G1010" s="2"/>
      <c r="H1010" s="2"/>
      <c r="I1010" s="2"/>
      <c r="J1010" s="2"/>
      <c r="K1010" s="2"/>
    </row>
    <row r="1011">
      <c r="A1011" s="2"/>
      <c r="B1011" s="2"/>
      <c r="C1011" s="2"/>
      <c r="D1011" s="2"/>
      <c r="E1011" s="2"/>
      <c r="F1011" s="2"/>
      <c r="G1011" s="2"/>
      <c r="H1011" s="2"/>
      <c r="I1011" s="2"/>
      <c r="J1011" s="2"/>
      <c r="K1011" s="2"/>
    </row>
    <row r="1012">
      <c r="A1012" s="2"/>
      <c r="B1012" s="2"/>
      <c r="C1012" s="2"/>
      <c r="D1012" s="2"/>
      <c r="E1012" s="2"/>
      <c r="F1012" s="2"/>
      <c r="G1012" s="2"/>
      <c r="H1012" s="2"/>
      <c r="I1012" s="2"/>
      <c r="J1012" s="2"/>
      <c r="K1012" s="2"/>
    </row>
    <row r="1013">
      <c r="A1013" s="2"/>
      <c r="B1013" s="2"/>
      <c r="C1013" s="2"/>
      <c r="D1013" s="2"/>
      <c r="E1013" s="2"/>
      <c r="F1013" s="2"/>
      <c r="G1013" s="2"/>
      <c r="H1013" s="2"/>
      <c r="I1013" s="2"/>
      <c r="J1013" s="2"/>
      <c r="K1013" s="2"/>
    </row>
    <row r="1014">
      <c r="A1014" s="2"/>
      <c r="B1014" s="2"/>
      <c r="C1014" s="2"/>
      <c r="D1014" s="2"/>
      <c r="E1014" s="2"/>
      <c r="F1014" s="2"/>
      <c r="G1014" s="2"/>
      <c r="H1014" s="2"/>
      <c r="I1014" s="2"/>
      <c r="J1014" s="2"/>
      <c r="K1014" s="2"/>
    </row>
    <row r="1015">
      <c r="A1015" s="2"/>
      <c r="B1015" s="2"/>
      <c r="C1015" s="2"/>
      <c r="D1015" s="2"/>
      <c r="E1015" s="2"/>
      <c r="F1015" s="2"/>
      <c r="G1015" s="2"/>
      <c r="H1015" s="2"/>
      <c r="I1015" s="2"/>
      <c r="J1015" s="2"/>
      <c r="K1015" s="2"/>
    </row>
    <row r="1016">
      <c r="A1016" s="2"/>
      <c r="B1016" s="2"/>
      <c r="C1016" s="2"/>
      <c r="D1016" s="2"/>
      <c r="E1016" s="2"/>
      <c r="F1016" s="2"/>
      <c r="G1016" s="2"/>
      <c r="H1016" s="2"/>
      <c r="I1016" s="2"/>
      <c r="J1016" s="2"/>
      <c r="K1016" s="2"/>
    </row>
    <row r="1017">
      <c r="A1017" s="2"/>
      <c r="B1017" s="2"/>
      <c r="C1017" s="2"/>
      <c r="D1017" s="2"/>
      <c r="E1017" s="2"/>
      <c r="F1017" s="2"/>
      <c r="G1017" s="2"/>
      <c r="H1017" s="2"/>
      <c r="I1017" s="2"/>
      <c r="J1017" s="2"/>
      <c r="K1017" s="2"/>
    </row>
    <row r="1018">
      <c r="A1018" s="2"/>
      <c r="B1018" s="2"/>
      <c r="C1018" s="2"/>
      <c r="D1018" s="2"/>
      <c r="E1018" s="2"/>
      <c r="F1018" s="2"/>
      <c r="G1018" s="2"/>
      <c r="H1018" s="2"/>
      <c r="I1018" s="2"/>
      <c r="J1018" s="2"/>
      <c r="K1018" s="2"/>
    </row>
    <row r="1019">
      <c r="A1019" s="2"/>
      <c r="B1019" s="2"/>
      <c r="C1019" s="2"/>
      <c r="D1019" s="2"/>
      <c r="E1019" s="2"/>
      <c r="F1019" s="2"/>
      <c r="G1019" s="2"/>
      <c r="H1019" s="2"/>
      <c r="I1019" s="2"/>
      <c r="J1019" s="2"/>
      <c r="K1019" s="2"/>
    </row>
    <row r="1020">
      <c r="A1020" s="2"/>
      <c r="B1020" s="2"/>
      <c r="C1020" s="2"/>
      <c r="D1020" s="2"/>
      <c r="E1020" s="2"/>
      <c r="F1020" s="2"/>
      <c r="G1020" s="2"/>
      <c r="H1020" s="2"/>
      <c r="I1020" s="2"/>
      <c r="J1020" s="2"/>
      <c r="K1020" s="2"/>
    </row>
    <row r="1021">
      <c r="A1021" s="2"/>
      <c r="B1021" s="2"/>
      <c r="C1021" s="2"/>
      <c r="D1021" s="2"/>
      <c r="E1021" s="2"/>
      <c r="F1021" s="2"/>
      <c r="G1021" s="2"/>
      <c r="H1021" s="2"/>
      <c r="I1021" s="2"/>
      <c r="J1021" s="2"/>
      <c r="K1021" s="2"/>
    </row>
    <row r="1022">
      <c r="A1022" s="2"/>
      <c r="B1022" s="2"/>
      <c r="C1022" s="2"/>
      <c r="D1022" s="2"/>
      <c r="E1022" s="2"/>
      <c r="F1022" s="2"/>
      <c r="G1022" s="2"/>
      <c r="H1022" s="2"/>
      <c r="I1022" s="2"/>
      <c r="J1022" s="2"/>
      <c r="K1022" s="2"/>
    </row>
    <row r="1023">
      <c r="A1023" s="2"/>
      <c r="B1023" s="2"/>
      <c r="C1023" s="2"/>
      <c r="D1023" s="2"/>
      <c r="E1023" s="2"/>
      <c r="F1023" s="2"/>
      <c r="G1023" s="2"/>
      <c r="H1023" s="2"/>
      <c r="I1023" s="2"/>
      <c r="J1023" s="2"/>
      <c r="K1023" s="2"/>
    </row>
    <row r="1024">
      <c r="A1024" s="2"/>
      <c r="B1024" s="2"/>
      <c r="C1024" s="2"/>
      <c r="D1024" s="2"/>
      <c r="E1024" s="2"/>
      <c r="F1024" s="2"/>
      <c r="G1024" s="2"/>
      <c r="H1024" s="2"/>
      <c r="I1024" s="2"/>
      <c r="J1024" s="2"/>
      <c r="K1024" s="2"/>
    </row>
    <row r="1025">
      <c r="A1025" s="2"/>
      <c r="B1025" s="2"/>
      <c r="C1025" s="2"/>
      <c r="D1025" s="2"/>
      <c r="E1025" s="2"/>
      <c r="F1025" s="2"/>
      <c r="G1025" s="2"/>
      <c r="H1025" s="2"/>
      <c r="I1025" s="2"/>
      <c r="J1025" s="2"/>
      <c r="K1025" s="2"/>
    </row>
    <row r="1026">
      <c r="A1026" s="2"/>
      <c r="B1026" s="2"/>
      <c r="C1026" s="2"/>
      <c r="D1026" s="2"/>
      <c r="E1026" s="2"/>
      <c r="F1026" s="2"/>
      <c r="G1026" s="2"/>
      <c r="H1026" s="2"/>
      <c r="I1026" s="2"/>
      <c r="J1026" s="2"/>
      <c r="K1026" s="2"/>
    </row>
    <row r="1027">
      <c r="A1027" s="2"/>
      <c r="B1027" s="2"/>
      <c r="C1027" s="2"/>
      <c r="D1027" s="2"/>
      <c r="E1027" s="2"/>
      <c r="F1027" s="2"/>
      <c r="G1027" s="2"/>
      <c r="H1027" s="2"/>
      <c r="I1027" s="2"/>
      <c r="J1027" s="2"/>
      <c r="K1027" s="2"/>
    </row>
    <row r="1028">
      <c r="A1028" s="2"/>
      <c r="B1028" s="2"/>
      <c r="C1028" s="2"/>
      <c r="D1028" s="2"/>
      <c r="E1028" s="2"/>
      <c r="F1028" s="2"/>
      <c r="G1028" s="2"/>
      <c r="H1028" s="2"/>
      <c r="I1028" s="2"/>
      <c r="J1028" s="2"/>
      <c r="K1028" s="2"/>
    </row>
    <row r="1029">
      <c r="A1029" s="2"/>
      <c r="B1029" s="2"/>
      <c r="C1029" s="2"/>
      <c r="D1029" s="2"/>
      <c r="E1029" s="2"/>
      <c r="F1029" s="2"/>
      <c r="G1029" s="2"/>
      <c r="H1029" s="2"/>
      <c r="I1029" s="2"/>
      <c r="J1029" s="2"/>
      <c r="K1029" s="2"/>
    </row>
    <row r="1030">
      <c r="A1030" s="2"/>
      <c r="B1030" s="2"/>
      <c r="C1030" s="2"/>
      <c r="D1030" s="2"/>
      <c r="E1030" s="2"/>
      <c r="F1030" s="2"/>
      <c r="G1030" s="2"/>
      <c r="H1030" s="2"/>
      <c r="I1030" s="2"/>
      <c r="J1030" s="2"/>
      <c r="K1030" s="2"/>
    </row>
    <row r="1031">
      <c r="A1031" s="2"/>
      <c r="B1031" s="2"/>
      <c r="C1031" s="2"/>
      <c r="D1031" s="2"/>
      <c r="E1031" s="2"/>
      <c r="F1031" s="2"/>
      <c r="G1031" s="2"/>
      <c r="H1031" s="2"/>
      <c r="I1031" s="2"/>
      <c r="J1031" s="2"/>
      <c r="K1031" s="2"/>
    </row>
    <row r="1032">
      <c r="A1032" s="2"/>
      <c r="B1032" s="2"/>
      <c r="C1032" s="2"/>
      <c r="D1032" s="2"/>
      <c r="E1032" s="2"/>
      <c r="F1032" s="2"/>
      <c r="G1032" s="2"/>
      <c r="H1032" s="2"/>
      <c r="I1032" s="2"/>
      <c r="J1032" s="2"/>
      <c r="K1032" s="2"/>
    </row>
    <row r="1033">
      <c r="A1033" s="2"/>
      <c r="B1033" s="2"/>
      <c r="C1033" s="2"/>
      <c r="D1033" s="2"/>
      <c r="E1033" s="2"/>
      <c r="F1033" s="2"/>
      <c r="G1033" s="2"/>
      <c r="H1033" s="2"/>
      <c r="I1033" s="2"/>
      <c r="J1033" s="2"/>
      <c r="K1033" s="2"/>
    </row>
    <row r="1034">
      <c r="A1034" s="2"/>
      <c r="B1034" s="2"/>
      <c r="C1034" s="2"/>
      <c r="D1034" s="2"/>
      <c r="E1034" s="2"/>
      <c r="F1034" s="2"/>
      <c r="G1034" s="2"/>
      <c r="H1034" s="2"/>
      <c r="I1034" s="2"/>
      <c r="J1034" s="2"/>
      <c r="K1034" s="2"/>
    </row>
    <row r="1035">
      <c r="A1035" s="2"/>
      <c r="B1035" s="2"/>
      <c r="C1035" s="2"/>
      <c r="D1035" s="2"/>
      <c r="E1035" s="2"/>
      <c r="F1035" s="2"/>
      <c r="G1035" s="2"/>
      <c r="H1035" s="2"/>
      <c r="I1035" s="2"/>
      <c r="J1035" s="2"/>
      <c r="K1035" s="2"/>
    </row>
    <row r="1036">
      <c r="A1036" s="2"/>
      <c r="B1036" s="2"/>
      <c r="C1036" s="2"/>
      <c r="D1036" s="2"/>
      <c r="E1036" s="2"/>
      <c r="F1036" s="2"/>
      <c r="G1036" s="2"/>
      <c r="H1036" s="2"/>
      <c r="I1036" s="2"/>
      <c r="J1036" s="2"/>
      <c r="K1036" s="2"/>
    </row>
    <row r="1037">
      <c r="A1037" s="2"/>
      <c r="B1037" s="2"/>
      <c r="C1037" s="2"/>
      <c r="D1037" s="2"/>
      <c r="E1037" s="2"/>
      <c r="F1037" s="2"/>
      <c r="G1037" s="2"/>
      <c r="H1037" s="2"/>
      <c r="I1037" s="2"/>
      <c r="J1037" s="2"/>
      <c r="K1037" s="2"/>
    </row>
    <row r="1038">
      <c r="A1038" s="2"/>
      <c r="B1038" s="2"/>
      <c r="C1038" s="2"/>
      <c r="D1038" s="2"/>
      <c r="E1038" s="2"/>
      <c r="F1038" s="2"/>
      <c r="G1038" s="2"/>
      <c r="H1038" s="2"/>
      <c r="I1038" s="2"/>
      <c r="J1038" s="2"/>
      <c r="K1038" s="2"/>
    </row>
    <row r="1039">
      <c r="A1039" s="2"/>
      <c r="B1039" s="2"/>
      <c r="C1039" s="2"/>
      <c r="D1039" s="2"/>
      <c r="E1039" s="2"/>
      <c r="F1039" s="2"/>
      <c r="G1039" s="2"/>
      <c r="H1039" s="2"/>
      <c r="I1039" s="2"/>
      <c r="J1039" s="2"/>
      <c r="K1039" s="2"/>
    </row>
    <row r="1040">
      <c r="A1040" s="2"/>
      <c r="B1040" s="2"/>
      <c r="C1040" s="2"/>
      <c r="D1040" s="2"/>
      <c r="E1040" s="2"/>
      <c r="F1040" s="2"/>
      <c r="G1040" s="2"/>
      <c r="H1040" s="2"/>
      <c r="I1040" s="2"/>
      <c r="J1040" s="2"/>
      <c r="K1040" s="2"/>
    </row>
    <row r="1041">
      <c r="A1041" s="2"/>
      <c r="B1041" s="2"/>
      <c r="C1041" s="2"/>
      <c r="D1041" s="2"/>
      <c r="E1041" s="2"/>
      <c r="F1041" s="2"/>
      <c r="G1041" s="2"/>
      <c r="H1041" s="2"/>
      <c r="I1041" s="2"/>
      <c r="J1041" s="2"/>
      <c r="K1041" s="2"/>
    </row>
    <row r="1042">
      <c r="A1042" s="2"/>
      <c r="B1042" s="2"/>
      <c r="C1042" s="2"/>
      <c r="D1042" s="2"/>
      <c r="E1042" s="2"/>
      <c r="F1042" s="2"/>
      <c r="G1042" s="2"/>
      <c r="H1042" s="2"/>
      <c r="I1042" s="2"/>
      <c r="J1042" s="2"/>
      <c r="K1042" s="2"/>
    </row>
    <row r="1043">
      <c r="A1043" s="2"/>
      <c r="B1043" s="2"/>
      <c r="C1043" s="2"/>
      <c r="D1043" s="2"/>
      <c r="E1043" s="2"/>
      <c r="F1043" s="2"/>
      <c r="G1043" s="2"/>
      <c r="H1043" s="2"/>
      <c r="I1043" s="2"/>
      <c r="J1043" s="2"/>
      <c r="K1043" s="2"/>
    </row>
    <row r="1044">
      <c r="A1044" s="2"/>
      <c r="B1044" s="2"/>
      <c r="C1044" s="2"/>
      <c r="D1044" s="2"/>
      <c r="E1044" s="2"/>
      <c r="F1044" s="2"/>
      <c r="G1044" s="2"/>
      <c r="H1044" s="2"/>
      <c r="I1044" s="2"/>
      <c r="J1044" s="2"/>
      <c r="K1044" s="2"/>
    </row>
    <row r="1045">
      <c r="A1045" s="2"/>
      <c r="B1045" s="2"/>
      <c r="C1045" s="2"/>
      <c r="D1045" s="2"/>
      <c r="E1045" s="2"/>
      <c r="F1045" s="2"/>
      <c r="G1045" s="2"/>
      <c r="H1045" s="2"/>
      <c r="I1045" s="2"/>
      <c r="J1045" s="2"/>
      <c r="K1045" s="2"/>
    </row>
    <row r="1046">
      <c r="A1046" s="2"/>
      <c r="B1046" s="2"/>
      <c r="C1046" s="2"/>
      <c r="D1046" s="2"/>
      <c r="E1046" s="2"/>
      <c r="F1046" s="2"/>
      <c r="G1046" s="2"/>
      <c r="H1046" s="2"/>
      <c r="I1046" s="2"/>
      <c r="J1046" s="2"/>
      <c r="K1046" s="2"/>
    </row>
    <row r="1047">
      <c r="A1047" s="2"/>
      <c r="B1047" s="2"/>
      <c r="C1047" s="2"/>
      <c r="D1047" s="2"/>
      <c r="E1047" s="2"/>
      <c r="F1047" s="2"/>
      <c r="G1047" s="2"/>
      <c r="H1047" s="2"/>
      <c r="I1047" s="2"/>
      <c r="J1047" s="2"/>
      <c r="K1047" s="2"/>
    </row>
    <row r="1048">
      <c r="A1048" s="2"/>
      <c r="B1048" s="2"/>
      <c r="C1048" s="2"/>
      <c r="D1048" s="2"/>
      <c r="E1048" s="2"/>
      <c r="F1048" s="2"/>
      <c r="G1048" s="2"/>
      <c r="H1048" s="2"/>
      <c r="I1048" s="2"/>
      <c r="J1048" s="2"/>
      <c r="K1048" s="2"/>
    </row>
    <row r="1049">
      <c r="A1049" s="2"/>
      <c r="B1049" s="2"/>
      <c r="C1049" s="2"/>
      <c r="D1049" s="2"/>
      <c r="E1049" s="2"/>
      <c r="F1049" s="2"/>
      <c r="G1049" s="2"/>
      <c r="H1049" s="2"/>
      <c r="I1049" s="2"/>
      <c r="J1049" s="2"/>
      <c r="K1049" s="2"/>
    </row>
    <row r="1050">
      <c r="A1050" s="2"/>
      <c r="B1050" s="2"/>
      <c r="C1050" s="2"/>
      <c r="D1050" s="2"/>
      <c r="E1050" s="2"/>
      <c r="F1050" s="2"/>
      <c r="G1050" s="2"/>
      <c r="H1050" s="2"/>
      <c r="I1050" s="2"/>
      <c r="J1050" s="2"/>
      <c r="K1050" s="2"/>
    </row>
    <row r="1051">
      <c r="A1051" s="2"/>
      <c r="B1051" s="2"/>
      <c r="C1051" s="2"/>
      <c r="D1051" s="2"/>
      <c r="E1051" s="2"/>
      <c r="F1051" s="2"/>
      <c r="G1051" s="2"/>
      <c r="H1051" s="2"/>
      <c r="I1051" s="2"/>
      <c r="J1051" s="2"/>
      <c r="K1051" s="2"/>
    </row>
    <row r="1052">
      <c r="A1052" s="2"/>
      <c r="B1052" s="2"/>
      <c r="C1052" s="2"/>
      <c r="D1052" s="2"/>
      <c r="E1052" s="2"/>
      <c r="F1052" s="2"/>
      <c r="G1052" s="2"/>
      <c r="H1052" s="2"/>
      <c r="I1052" s="2"/>
      <c r="J1052" s="2"/>
      <c r="K1052" s="2"/>
    </row>
    <row r="1053">
      <c r="A1053" s="2"/>
      <c r="B1053" s="2"/>
      <c r="C1053" s="2"/>
      <c r="D1053" s="2"/>
      <c r="E1053" s="2"/>
      <c r="F1053" s="2"/>
      <c r="G1053" s="2"/>
      <c r="H1053" s="2"/>
      <c r="I1053" s="2"/>
      <c r="J1053" s="2"/>
      <c r="K1053" s="2"/>
    </row>
    <row r="1054">
      <c r="A1054" s="2"/>
      <c r="B1054" s="2"/>
      <c r="C1054" s="2"/>
      <c r="D1054" s="2"/>
      <c r="E1054" s="2"/>
      <c r="F1054" s="2"/>
      <c r="G1054" s="2"/>
      <c r="H1054" s="2"/>
      <c r="I1054" s="2"/>
      <c r="J1054" s="2"/>
      <c r="K1054" s="2"/>
    </row>
    <row r="1055">
      <c r="A1055" s="2"/>
      <c r="B1055" s="2"/>
      <c r="C1055" s="2"/>
      <c r="D1055" s="2"/>
      <c r="E1055" s="2"/>
      <c r="F1055" s="2"/>
      <c r="G1055" s="2"/>
      <c r="H1055" s="2"/>
      <c r="I1055" s="2"/>
      <c r="J1055" s="2"/>
      <c r="K1055" s="2"/>
    </row>
    <row r="1056">
      <c r="A1056" s="2"/>
      <c r="B1056" s="2"/>
      <c r="C1056" s="2"/>
      <c r="D1056" s="2"/>
      <c r="E1056" s="2"/>
      <c r="F1056" s="2"/>
      <c r="G1056" s="2"/>
      <c r="H1056" s="2"/>
      <c r="I1056" s="2"/>
      <c r="J1056" s="2"/>
      <c r="K1056" s="2"/>
    </row>
    <row r="1057">
      <c r="A1057" s="2"/>
      <c r="B1057" s="2"/>
      <c r="C1057" s="2"/>
      <c r="D1057" s="2"/>
      <c r="E1057" s="2"/>
      <c r="F1057" s="2"/>
      <c r="G1057" s="2"/>
      <c r="H1057" s="2"/>
      <c r="I1057" s="2"/>
      <c r="J1057" s="2"/>
      <c r="K1057" s="2"/>
    </row>
    <row r="1058">
      <c r="A1058" s="2"/>
      <c r="B1058" s="2"/>
      <c r="C1058" s="2"/>
      <c r="D1058" s="2"/>
      <c r="E1058" s="2"/>
      <c r="F1058" s="2"/>
      <c r="G1058" s="2"/>
      <c r="H1058" s="2"/>
      <c r="I1058" s="2"/>
      <c r="J1058" s="2"/>
      <c r="K1058" s="2"/>
    </row>
    <row r="1059">
      <c r="A1059" s="2"/>
      <c r="B1059" s="2"/>
      <c r="C1059" s="2"/>
      <c r="D1059" s="2"/>
      <c r="E1059" s="2"/>
      <c r="F1059" s="2"/>
      <c r="G1059" s="2"/>
      <c r="H1059" s="2"/>
      <c r="I1059" s="2"/>
      <c r="J1059" s="2"/>
      <c r="K1059" s="2"/>
    </row>
    <row r="1060">
      <c r="A1060" s="2"/>
      <c r="B1060" s="2"/>
      <c r="C1060" s="2"/>
      <c r="D1060" s="2"/>
      <c r="E1060" s="2"/>
      <c r="F1060" s="2"/>
      <c r="G1060" s="2"/>
      <c r="H1060" s="2"/>
      <c r="I1060" s="2"/>
      <c r="J1060" s="2"/>
      <c r="K1060" s="2"/>
    </row>
    <row r="1061">
      <c r="A1061" s="2"/>
      <c r="B1061" s="2"/>
      <c r="C1061" s="2"/>
      <c r="D1061" s="2"/>
      <c r="E1061" s="2"/>
      <c r="F1061" s="2"/>
      <c r="G1061" s="2"/>
      <c r="H1061" s="2"/>
      <c r="I1061" s="2"/>
      <c r="J1061" s="2"/>
      <c r="K1061" s="2"/>
    </row>
    <row r="1062">
      <c r="A1062" s="2"/>
      <c r="B1062" s="2"/>
      <c r="C1062" s="2"/>
      <c r="D1062" s="2"/>
      <c r="E1062" s="2"/>
      <c r="F1062" s="2"/>
      <c r="G1062" s="2"/>
      <c r="H1062" s="2"/>
      <c r="I1062" s="2"/>
      <c r="J1062" s="2"/>
      <c r="K1062" s="2"/>
    </row>
    <row r="1063">
      <c r="A1063" s="2"/>
      <c r="B1063" s="2"/>
      <c r="C1063" s="2"/>
      <c r="D1063" s="2"/>
      <c r="E1063" s="2"/>
      <c r="F1063" s="2"/>
      <c r="G1063" s="2"/>
      <c r="H1063" s="2"/>
      <c r="I1063" s="2"/>
      <c r="J1063" s="2"/>
      <c r="K1063" s="2"/>
    </row>
    <row r="1064">
      <c r="A1064" s="2"/>
      <c r="B1064" s="2"/>
      <c r="C1064" s="2"/>
      <c r="D1064" s="2"/>
      <c r="E1064" s="2"/>
      <c r="F1064" s="2"/>
      <c r="G1064" s="2"/>
      <c r="H1064" s="2"/>
      <c r="I1064" s="2"/>
      <c r="J1064" s="2"/>
      <c r="K1064" s="2"/>
    </row>
    <row r="1065">
      <c r="A1065" s="2"/>
      <c r="B1065" s="2"/>
      <c r="C1065" s="2"/>
      <c r="D1065" s="2"/>
      <c r="E1065" s="2"/>
      <c r="F1065" s="2"/>
      <c r="G1065" s="2"/>
      <c r="H1065" s="2"/>
      <c r="I1065" s="2"/>
      <c r="J1065" s="2"/>
      <c r="K1065" s="2"/>
    </row>
    <row r="1066">
      <c r="A1066" s="2"/>
      <c r="B1066" s="2"/>
      <c r="C1066" s="2"/>
      <c r="D1066" s="2"/>
      <c r="E1066" s="2"/>
      <c r="F1066" s="2"/>
      <c r="G1066" s="2"/>
      <c r="H1066" s="2"/>
      <c r="I1066" s="2"/>
      <c r="J1066" s="2"/>
      <c r="K1066" s="2"/>
    </row>
    <row r="1067">
      <c r="A1067" s="2"/>
      <c r="B1067" s="2"/>
      <c r="C1067" s="2"/>
      <c r="D1067" s="2"/>
      <c r="E1067" s="2"/>
      <c r="F1067" s="2"/>
      <c r="G1067" s="2"/>
      <c r="H1067" s="2"/>
      <c r="I1067" s="2"/>
      <c r="J1067" s="2"/>
      <c r="K1067" s="2"/>
    </row>
    <row r="1068">
      <c r="A1068" s="2"/>
      <c r="B1068" s="2"/>
      <c r="C1068" s="2"/>
      <c r="D1068" s="2"/>
      <c r="E1068" s="2"/>
      <c r="F1068" s="2"/>
      <c r="G1068" s="2"/>
      <c r="H1068" s="2"/>
      <c r="I1068" s="2"/>
      <c r="J1068" s="2"/>
      <c r="K1068" s="2"/>
    </row>
    <row r="1069">
      <c r="A1069" s="2"/>
      <c r="B1069" s="2"/>
      <c r="C1069" s="2"/>
      <c r="D1069" s="2"/>
      <c r="E1069" s="2"/>
      <c r="F1069" s="2"/>
      <c r="G1069" s="2"/>
      <c r="H1069" s="2"/>
      <c r="I1069" s="2"/>
      <c r="J1069" s="2"/>
      <c r="K1069" s="2"/>
    </row>
    <row r="1070">
      <c r="A1070" s="2"/>
      <c r="B1070" s="2"/>
      <c r="C1070" s="2"/>
      <c r="D1070" s="2"/>
      <c r="E1070" s="2"/>
      <c r="F1070" s="2"/>
      <c r="G1070" s="2"/>
      <c r="H1070" s="2"/>
      <c r="I1070" s="2"/>
      <c r="J1070" s="2"/>
      <c r="K1070" s="2"/>
    </row>
    <row r="1071">
      <c r="A1071" s="2"/>
      <c r="B1071" s="2"/>
      <c r="C1071" s="2"/>
      <c r="D1071" s="2"/>
      <c r="E1071" s="2"/>
      <c r="F1071" s="2"/>
      <c r="G1071" s="2"/>
      <c r="H1071" s="2"/>
      <c r="I1071" s="2"/>
      <c r="J1071" s="2"/>
      <c r="K1071" s="2"/>
    </row>
    <row r="1072">
      <c r="A1072" s="2"/>
      <c r="B1072" s="2"/>
      <c r="C1072" s="2"/>
      <c r="D1072" s="2"/>
      <c r="E1072" s="2"/>
      <c r="F1072" s="2"/>
      <c r="G1072" s="2"/>
      <c r="H1072" s="2"/>
      <c r="I1072" s="2"/>
      <c r="J1072" s="2"/>
      <c r="K1072" s="2"/>
    </row>
    <row r="1073">
      <c r="A1073" s="2"/>
      <c r="B1073" s="2"/>
      <c r="C1073" s="2"/>
      <c r="D1073" s="2"/>
      <c r="E1073" s="2"/>
      <c r="F1073" s="2"/>
      <c r="G1073" s="2"/>
      <c r="H1073" s="2"/>
      <c r="I1073" s="2"/>
      <c r="J1073" s="2"/>
      <c r="K1073" s="2"/>
    </row>
    <row r="1074">
      <c r="A1074" s="2"/>
      <c r="B1074" s="2"/>
      <c r="C1074" s="2"/>
      <c r="D1074" s="2"/>
      <c r="E1074" s="2"/>
      <c r="F1074" s="2"/>
      <c r="G1074" s="2"/>
      <c r="H1074" s="2"/>
      <c r="I1074" s="2"/>
      <c r="J1074" s="2"/>
      <c r="K1074" s="2"/>
    </row>
    <row r="1075">
      <c r="A1075" s="2"/>
      <c r="B1075" s="2"/>
      <c r="C1075" s="2"/>
      <c r="D1075" s="2"/>
      <c r="E1075" s="2"/>
      <c r="F1075" s="2"/>
      <c r="G1075" s="2"/>
      <c r="H1075" s="2"/>
      <c r="I1075" s="2"/>
      <c r="J1075" s="2"/>
      <c r="K1075" s="2"/>
    </row>
    <row r="1076">
      <c r="A1076" s="2"/>
      <c r="B1076" s="2"/>
      <c r="C1076" s="2"/>
      <c r="D1076" s="2"/>
      <c r="E1076" s="2"/>
      <c r="F1076" s="2"/>
      <c r="G1076" s="2"/>
      <c r="H1076" s="2"/>
      <c r="I1076" s="2"/>
      <c r="J1076" s="2"/>
      <c r="K1076" s="2"/>
    </row>
    <row r="1077">
      <c r="A1077" s="2"/>
      <c r="B1077" s="2"/>
      <c r="C1077" s="2"/>
      <c r="D1077" s="2"/>
      <c r="E1077" s="2"/>
      <c r="F1077" s="2"/>
      <c r="G1077" s="2"/>
      <c r="H1077" s="2"/>
      <c r="I1077" s="2"/>
      <c r="J1077" s="2"/>
      <c r="K1077" s="2"/>
    </row>
    <row r="1078">
      <c r="A1078" s="2"/>
      <c r="B1078" s="2"/>
      <c r="C1078" s="2"/>
      <c r="D1078" s="2"/>
      <c r="E1078" s="2"/>
      <c r="F1078" s="2"/>
      <c r="G1078" s="2"/>
      <c r="H1078" s="2"/>
      <c r="I1078" s="2"/>
      <c r="J1078" s="2"/>
      <c r="K1078" s="2"/>
    </row>
    <row r="1079">
      <c r="A1079" s="2"/>
      <c r="B1079" s="2"/>
      <c r="C1079" s="2"/>
      <c r="D1079" s="2"/>
      <c r="E1079" s="2"/>
      <c r="F1079" s="2"/>
      <c r="G1079" s="2"/>
      <c r="H1079" s="2"/>
      <c r="I1079" s="2"/>
      <c r="J1079" s="2"/>
      <c r="K1079" s="2"/>
    </row>
    <row r="1080">
      <c r="A1080" s="2"/>
      <c r="B1080" s="2"/>
      <c r="C1080" s="2"/>
      <c r="D1080" s="2"/>
      <c r="E1080" s="2"/>
      <c r="F1080" s="2"/>
      <c r="G1080" s="2"/>
      <c r="H1080" s="2"/>
      <c r="I1080" s="2"/>
      <c r="J1080" s="2"/>
      <c r="K1080" s="2"/>
    </row>
    <row r="1081">
      <c r="A1081" s="2"/>
      <c r="B1081" s="2"/>
      <c r="C1081" s="2"/>
      <c r="D1081" s="2"/>
      <c r="E1081" s="2"/>
      <c r="F1081" s="2"/>
      <c r="G1081" s="2"/>
      <c r="H1081" s="2"/>
      <c r="I1081" s="2"/>
      <c r="J1081" s="2"/>
      <c r="K1081" s="2"/>
    </row>
    <row r="1082">
      <c r="A1082" s="2"/>
      <c r="B1082" s="2"/>
      <c r="C1082" s="2"/>
      <c r="D1082" s="2"/>
      <c r="E1082" s="2"/>
      <c r="F1082" s="2"/>
      <c r="G1082" s="2"/>
      <c r="H1082" s="2"/>
      <c r="I1082" s="2"/>
      <c r="J1082" s="2"/>
      <c r="K1082" s="2"/>
    </row>
    <row r="1083">
      <c r="A1083" s="2"/>
      <c r="B1083" s="2"/>
      <c r="C1083" s="2"/>
      <c r="D1083" s="2"/>
      <c r="E1083" s="2"/>
      <c r="F1083" s="2"/>
      <c r="G1083" s="2"/>
      <c r="H1083" s="2"/>
      <c r="I1083" s="2"/>
      <c r="J1083" s="2"/>
      <c r="K1083" s="2"/>
    </row>
    <row r="1084">
      <c r="A1084" s="2"/>
      <c r="B1084" s="2"/>
      <c r="C1084" s="2"/>
      <c r="D1084" s="2"/>
      <c r="E1084" s="2"/>
      <c r="F1084" s="2"/>
      <c r="G1084" s="2"/>
      <c r="H1084" s="2"/>
      <c r="I1084" s="2"/>
      <c r="J1084" s="2"/>
      <c r="K1084" s="2"/>
    </row>
    <row r="1085">
      <c r="A1085" s="2"/>
      <c r="B1085" s="2"/>
      <c r="C1085" s="2"/>
      <c r="D1085" s="2"/>
      <c r="E1085" s="2"/>
      <c r="F1085" s="2"/>
      <c r="G1085" s="2"/>
      <c r="H1085" s="2"/>
      <c r="I1085" s="2"/>
      <c r="J1085" s="2"/>
      <c r="K1085" s="2"/>
    </row>
    <row r="1086">
      <c r="A1086" s="2"/>
      <c r="B1086" s="2"/>
      <c r="C1086" s="2"/>
      <c r="D1086" s="2"/>
      <c r="E1086" s="2"/>
      <c r="F1086" s="2"/>
      <c r="G1086" s="2"/>
      <c r="H1086" s="2"/>
      <c r="I1086" s="2"/>
      <c r="J1086" s="2"/>
      <c r="K1086" s="2"/>
    </row>
    <row r="1087">
      <c r="A1087" s="2"/>
      <c r="B1087" s="2"/>
      <c r="C1087" s="2"/>
      <c r="D1087" s="2"/>
      <c r="E1087" s="2"/>
      <c r="F1087" s="2"/>
      <c r="G1087" s="2"/>
      <c r="H1087" s="2"/>
      <c r="I1087" s="2"/>
      <c r="J1087" s="2"/>
      <c r="K1087" s="2"/>
    </row>
    <row r="1088">
      <c r="A1088" s="2"/>
      <c r="B1088" s="2"/>
      <c r="C1088" s="2"/>
      <c r="D1088" s="2"/>
      <c r="E1088" s="2"/>
      <c r="F1088" s="2"/>
      <c r="G1088" s="2"/>
      <c r="H1088" s="2"/>
      <c r="I1088" s="2"/>
      <c r="J1088" s="2"/>
      <c r="K1088" s="2"/>
    </row>
    <row r="1089">
      <c r="A1089" s="2"/>
      <c r="B1089" s="2"/>
      <c r="C1089" s="2"/>
      <c r="D1089" s="2"/>
      <c r="E1089" s="2"/>
      <c r="F1089" s="2"/>
      <c r="G1089" s="2"/>
      <c r="H1089" s="2"/>
      <c r="I1089" s="2"/>
      <c r="J1089" s="2"/>
      <c r="K1089" s="2"/>
    </row>
    <row r="1090">
      <c r="A1090" s="2"/>
      <c r="B1090" s="2"/>
      <c r="C1090" s="2"/>
      <c r="D1090" s="2"/>
      <c r="E1090" s="2"/>
      <c r="F1090" s="2"/>
      <c r="G1090" s="2"/>
      <c r="H1090" s="2"/>
      <c r="I1090" s="2"/>
      <c r="J1090" s="2"/>
      <c r="K1090" s="2"/>
    </row>
    <row r="1091">
      <c r="A1091" s="2"/>
      <c r="B1091" s="2"/>
      <c r="C1091" s="2"/>
      <c r="D1091" s="2"/>
      <c r="E1091" s="2"/>
      <c r="F1091" s="2"/>
      <c r="G1091" s="2"/>
      <c r="H1091" s="2"/>
      <c r="I1091" s="2"/>
      <c r="J1091" s="2"/>
      <c r="K1091" s="2"/>
    </row>
    <row r="1092">
      <c r="A1092" s="2"/>
      <c r="B1092" s="2"/>
      <c r="C1092" s="2"/>
      <c r="D1092" s="2"/>
      <c r="E1092" s="2"/>
      <c r="F1092" s="2"/>
      <c r="G1092" s="2"/>
      <c r="H1092" s="2"/>
      <c r="I1092" s="2"/>
      <c r="J1092" s="2"/>
      <c r="K1092" s="2"/>
    </row>
    <row r="1093">
      <c r="A1093" s="2"/>
      <c r="B1093" s="2"/>
      <c r="C1093" s="2"/>
      <c r="D1093" s="2"/>
      <c r="E1093" s="2"/>
      <c r="F1093" s="2"/>
      <c r="G1093" s="2"/>
      <c r="H1093" s="2"/>
      <c r="I1093" s="2"/>
      <c r="J1093" s="2"/>
      <c r="K1093" s="2"/>
    </row>
    <row r="1094">
      <c r="A1094" s="2"/>
      <c r="B1094" s="2"/>
      <c r="C1094" s="2"/>
      <c r="D1094" s="2"/>
      <c r="E1094" s="2"/>
      <c r="F1094" s="2"/>
      <c r="G1094" s="2"/>
      <c r="H1094" s="2"/>
      <c r="I1094" s="2"/>
      <c r="J1094" s="2"/>
      <c r="K1094" s="2"/>
    </row>
    <row r="1095">
      <c r="A1095" s="2"/>
      <c r="B1095" s="2"/>
      <c r="C1095" s="2"/>
      <c r="D1095" s="2"/>
      <c r="E1095" s="2"/>
      <c r="F1095" s="2"/>
      <c r="G1095" s="2"/>
      <c r="H1095" s="2"/>
      <c r="I1095" s="2"/>
      <c r="J1095" s="2"/>
      <c r="K1095" s="2"/>
    </row>
    <row r="1096">
      <c r="A1096" s="2"/>
      <c r="B1096" s="2"/>
      <c r="C1096" s="2"/>
      <c r="D1096" s="2"/>
      <c r="E1096" s="2"/>
      <c r="F1096" s="2"/>
      <c r="G1096" s="2"/>
      <c r="H1096" s="2"/>
      <c r="I1096" s="2"/>
      <c r="J1096" s="2"/>
      <c r="K1096" s="2"/>
    </row>
    <row r="1097">
      <c r="A1097" s="2"/>
      <c r="B1097" s="2"/>
      <c r="C1097" s="2"/>
      <c r="D1097" s="2"/>
      <c r="E1097" s="2"/>
      <c r="F1097" s="2"/>
      <c r="G1097" s="2"/>
      <c r="H1097" s="2"/>
      <c r="I1097" s="2"/>
      <c r="J1097" s="2"/>
      <c r="K1097" s="2"/>
    </row>
    <row r="1098">
      <c r="A1098" s="2"/>
      <c r="B1098" s="2"/>
      <c r="C1098" s="2"/>
      <c r="D1098" s="2"/>
      <c r="E1098" s="2"/>
      <c r="F1098" s="2"/>
      <c r="G1098" s="2"/>
      <c r="H1098" s="2"/>
      <c r="I1098" s="2"/>
      <c r="J1098" s="2"/>
      <c r="K1098" s="2"/>
    </row>
    <row r="1099">
      <c r="A1099" s="2"/>
      <c r="B1099" s="2"/>
      <c r="C1099" s="2"/>
      <c r="D1099" s="2"/>
      <c r="E1099" s="2"/>
      <c r="F1099" s="2"/>
      <c r="G1099" s="2"/>
      <c r="H1099" s="2"/>
      <c r="I1099" s="2"/>
      <c r="J1099" s="2"/>
      <c r="K1099" s="2"/>
    </row>
    <row r="1100">
      <c r="A1100" s="2"/>
      <c r="B1100" s="2"/>
      <c r="C1100" s="2"/>
      <c r="D1100" s="2"/>
      <c r="E1100" s="2"/>
      <c r="F1100" s="2"/>
      <c r="G1100" s="2"/>
      <c r="H1100" s="2"/>
      <c r="I1100" s="2"/>
      <c r="J1100" s="2"/>
      <c r="K1100" s="2"/>
    </row>
    <row r="1101">
      <c r="A1101" s="2"/>
      <c r="B1101" s="2"/>
      <c r="C1101" s="2"/>
      <c r="D1101" s="2"/>
      <c r="E1101" s="2"/>
      <c r="F1101" s="2"/>
      <c r="G1101" s="2"/>
      <c r="H1101" s="2"/>
      <c r="I1101" s="2"/>
      <c r="J1101" s="2"/>
      <c r="K1101" s="2"/>
    </row>
    <row r="1102">
      <c r="A1102" s="2"/>
      <c r="B1102" s="2"/>
      <c r="C1102" s="2"/>
      <c r="D1102" s="2"/>
      <c r="E1102" s="2"/>
      <c r="F1102" s="2"/>
      <c r="G1102" s="2"/>
      <c r="H1102" s="2"/>
      <c r="I1102" s="2"/>
      <c r="J1102" s="2"/>
      <c r="K1102" s="2"/>
    </row>
    <row r="1103">
      <c r="A1103" s="2"/>
      <c r="B1103" s="2"/>
      <c r="C1103" s="2"/>
      <c r="D1103" s="2"/>
      <c r="E1103" s="2"/>
      <c r="F1103" s="2"/>
      <c r="G1103" s="2"/>
      <c r="H1103" s="2"/>
      <c r="I1103" s="2"/>
      <c r="J1103" s="2"/>
      <c r="K1103" s="2"/>
    </row>
    <row r="1104">
      <c r="A1104" s="2"/>
      <c r="B1104" s="2"/>
      <c r="C1104" s="2"/>
      <c r="D1104" s="2"/>
      <c r="E1104" s="2"/>
      <c r="F1104" s="2"/>
      <c r="G1104" s="2"/>
      <c r="H1104" s="2"/>
      <c r="I1104" s="2"/>
      <c r="J1104" s="2"/>
      <c r="K1104" s="2"/>
    </row>
    <row r="1105">
      <c r="A1105" s="2"/>
      <c r="B1105" s="2"/>
      <c r="C1105" s="2"/>
      <c r="D1105" s="2"/>
      <c r="E1105" s="2"/>
      <c r="F1105" s="2"/>
      <c r="G1105" s="2"/>
      <c r="H1105" s="2"/>
      <c r="I1105" s="2"/>
      <c r="J1105" s="2"/>
      <c r="K1105" s="2"/>
    </row>
    <row r="1106">
      <c r="A1106" s="2"/>
      <c r="B1106" s="2"/>
      <c r="C1106" s="2"/>
      <c r="D1106" s="2"/>
      <c r="E1106" s="2"/>
      <c r="F1106" s="2"/>
      <c r="G1106" s="2"/>
      <c r="H1106" s="2"/>
      <c r="I1106" s="2"/>
      <c r="J1106" s="2"/>
      <c r="K1106" s="2"/>
    </row>
    <row r="1107">
      <c r="A1107" s="2"/>
      <c r="B1107" s="2"/>
      <c r="C1107" s="2"/>
      <c r="D1107" s="2"/>
      <c r="E1107" s="2"/>
      <c r="F1107" s="2"/>
      <c r="G1107" s="2"/>
      <c r="H1107" s="2"/>
      <c r="I1107" s="2"/>
      <c r="J1107" s="2"/>
      <c r="K1107" s="2"/>
    </row>
    <row r="1108">
      <c r="A1108" s="2"/>
      <c r="B1108" s="2"/>
      <c r="C1108" s="2"/>
      <c r="D1108" s="2"/>
      <c r="E1108" s="2"/>
      <c r="F1108" s="2"/>
      <c r="G1108" s="2"/>
      <c r="H1108" s="2"/>
      <c r="I1108" s="2"/>
      <c r="J1108" s="2"/>
      <c r="K1108" s="2"/>
    </row>
    <row r="1109">
      <c r="A1109" s="2"/>
      <c r="B1109" s="2"/>
      <c r="C1109" s="2"/>
      <c r="D1109" s="2"/>
      <c r="E1109" s="2"/>
      <c r="F1109" s="2"/>
      <c r="G1109" s="2"/>
      <c r="H1109" s="2"/>
      <c r="I1109" s="2"/>
      <c r="J1109" s="2"/>
      <c r="K1109" s="2"/>
    </row>
    <row r="1110">
      <c r="A1110" s="2"/>
      <c r="B1110" s="2"/>
      <c r="C1110" s="2"/>
      <c r="D1110" s="2"/>
      <c r="E1110" s="2"/>
      <c r="F1110" s="2"/>
      <c r="G1110" s="2"/>
      <c r="H1110" s="2"/>
      <c r="I1110" s="2"/>
      <c r="J1110" s="2"/>
      <c r="K1110" s="2"/>
    </row>
    <row r="1111">
      <c r="A1111" s="2"/>
      <c r="B1111" s="2"/>
      <c r="C1111" s="2"/>
      <c r="D1111" s="2"/>
      <c r="E1111" s="2"/>
      <c r="F1111" s="2"/>
      <c r="G1111" s="2"/>
      <c r="H1111" s="2"/>
      <c r="I1111" s="2"/>
      <c r="J1111" s="2"/>
      <c r="K1111" s="2"/>
    </row>
    <row r="1112">
      <c r="A1112" s="2"/>
      <c r="B1112" s="2"/>
      <c r="C1112" s="2"/>
      <c r="D1112" s="2"/>
      <c r="E1112" s="2"/>
      <c r="F1112" s="2"/>
      <c r="G1112" s="2"/>
      <c r="H1112" s="2"/>
      <c r="I1112" s="2"/>
      <c r="J1112" s="2"/>
      <c r="K1112" s="2"/>
    </row>
    <row r="1113">
      <c r="A1113" s="2"/>
      <c r="B1113" s="2"/>
      <c r="C1113" s="2"/>
      <c r="D1113" s="2"/>
      <c r="E1113" s="2"/>
      <c r="F1113" s="2"/>
      <c r="G1113" s="2"/>
      <c r="H1113" s="2"/>
      <c r="I1113" s="2"/>
      <c r="J1113" s="2"/>
      <c r="K1113" s="2"/>
    </row>
    <row r="1114">
      <c r="A1114" s="2"/>
      <c r="B1114" s="2"/>
      <c r="C1114" s="2"/>
      <c r="D1114" s="2"/>
      <c r="E1114" s="2"/>
      <c r="F1114" s="2"/>
      <c r="G1114" s="2"/>
      <c r="H1114" s="2"/>
      <c r="I1114" s="2"/>
      <c r="J1114" s="2"/>
      <c r="K1114" s="2"/>
    </row>
    <row r="1115">
      <c r="A1115" s="2"/>
      <c r="B1115" s="2"/>
      <c r="C1115" s="2"/>
      <c r="D1115" s="2"/>
      <c r="E1115" s="2"/>
      <c r="F1115" s="2"/>
      <c r="G1115" s="2"/>
      <c r="H1115" s="2"/>
      <c r="I1115" s="2"/>
      <c r="J1115" s="2"/>
      <c r="K1115" s="2"/>
    </row>
    <row r="1116">
      <c r="A1116" s="2"/>
      <c r="B1116" s="2"/>
      <c r="C1116" s="2"/>
      <c r="D1116" s="2"/>
      <c r="E1116" s="2"/>
      <c r="F1116" s="2"/>
      <c r="G1116" s="2"/>
      <c r="H1116" s="2"/>
      <c r="I1116" s="2"/>
      <c r="J1116" s="2"/>
      <c r="K1116" s="2"/>
    </row>
    <row r="1117">
      <c r="A1117" s="2"/>
      <c r="B1117" s="2"/>
      <c r="C1117" s="2"/>
      <c r="D1117" s="2"/>
      <c r="E1117" s="2"/>
      <c r="F1117" s="2"/>
      <c r="G1117" s="2"/>
      <c r="H1117" s="2"/>
      <c r="I1117" s="2"/>
      <c r="J1117" s="2"/>
      <c r="K1117" s="2"/>
    </row>
    <row r="1118">
      <c r="A1118" s="2"/>
      <c r="B1118" s="2"/>
      <c r="C1118" s="2"/>
      <c r="D1118" s="2"/>
      <c r="E1118" s="2"/>
      <c r="F1118" s="2"/>
      <c r="G1118" s="2"/>
      <c r="H1118" s="2"/>
      <c r="I1118" s="2"/>
      <c r="J1118" s="2"/>
      <c r="K1118" s="2"/>
    </row>
    <row r="1119">
      <c r="A1119" s="2"/>
      <c r="B1119" s="2"/>
      <c r="C1119" s="2"/>
      <c r="D1119" s="2"/>
      <c r="E1119" s="2"/>
      <c r="F1119" s="2"/>
      <c r="G1119" s="2"/>
      <c r="H1119" s="2"/>
      <c r="I1119" s="2"/>
      <c r="J1119" s="2"/>
      <c r="K1119" s="2"/>
    </row>
    <row r="1120">
      <c r="A1120" s="2"/>
      <c r="B1120" s="2"/>
      <c r="C1120" s="2"/>
      <c r="D1120" s="2"/>
      <c r="E1120" s="2"/>
      <c r="F1120" s="2"/>
      <c r="G1120" s="2"/>
      <c r="H1120" s="2"/>
      <c r="I1120" s="2"/>
      <c r="J1120" s="2"/>
      <c r="K1120" s="2"/>
    </row>
    <row r="1121">
      <c r="A1121" s="2"/>
      <c r="B1121" s="2"/>
      <c r="C1121" s="2"/>
      <c r="D1121" s="2"/>
      <c r="E1121" s="2"/>
      <c r="F1121" s="2"/>
      <c r="G1121" s="2"/>
      <c r="H1121" s="2"/>
      <c r="I1121" s="2"/>
      <c r="J1121" s="2"/>
      <c r="K1121" s="2"/>
    </row>
    <row r="1122">
      <c r="A1122" s="2"/>
      <c r="B1122" s="2"/>
      <c r="C1122" s="2"/>
      <c r="D1122" s="2"/>
      <c r="E1122" s="2"/>
      <c r="F1122" s="2"/>
      <c r="G1122" s="2"/>
      <c r="H1122" s="2"/>
      <c r="I1122" s="2"/>
      <c r="J1122" s="2"/>
      <c r="K1122" s="2"/>
    </row>
    <row r="1123">
      <c r="A1123" s="2"/>
      <c r="B1123" s="2"/>
      <c r="C1123" s="2"/>
      <c r="D1123" s="2"/>
      <c r="E1123" s="2"/>
      <c r="F1123" s="2"/>
      <c r="G1123" s="2"/>
      <c r="H1123" s="2"/>
      <c r="I1123" s="2"/>
      <c r="J1123" s="2"/>
      <c r="K1123" s="2"/>
    </row>
    <row r="1124">
      <c r="A1124" s="2"/>
      <c r="B1124" s="2"/>
      <c r="C1124" s="2"/>
      <c r="D1124" s="2"/>
      <c r="E1124" s="2"/>
      <c r="F1124" s="2"/>
      <c r="G1124" s="2"/>
      <c r="H1124" s="2"/>
      <c r="I1124" s="2"/>
      <c r="J1124" s="2"/>
      <c r="K1124" s="2"/>
    </row>
    <row r="1125">
      <c r="A1125" s="2"/>
      <c r="B1125" s="2"/>
      <c r="C1125" s="2"/>
      <c r="D1125" s="2"/>
      <c r="E1125" s="2"/>
      <c r="F1125" s="2"/>
      <c r="G1125" s="2"/>
      <c r="H1125" s="2"/>
      <c r="I1125" s="2"/>
      <c r="J1125" s="2"/>
      <c r="K1125" s="2"/>
    </row>
    <row r="1126">
      <c r="A1126" s="2"/>
      <c r="B1126" s="2"/>
      <c r="C1126" s="2"/>
      <c r="D1126" s="2"/>
      <c r="E1126" s="2"/>
      <c r="F1126" s="2"/>
      <c r="G1126" s="2"/>
      <c r="H1126" s="2"/>
      <c r="I1126" s="2"/>
      <c r="J1126" s="2"/>
      <c r="K1126" s="2"/>
    </row>
    <row r="1127">
      <c r="A1127" s="2"/>
      <c r="B1127" s="2"/>
      <c r="C1127" s="2"/>
      <c r="D1127" s="2"/>
      <c r="E1127" s="2"/>
      <c r="F1127" s="2"/>
      <c r="G1127" s="2"/>
      <c r="H1127" s="2"/>
      <c r="I1127" s="2"/>
      <c r="J1127" s="2"/>
      <c r="K1127" s="2"/>
    </row>
    <row r="1128">
      <c r="A1128" s="2"/>
      <c r="B1128" s="2"/>
      <c r="C1128" s="2"/>
      <c r="D1128" s="2"/>
      <c r="E1128" s="2"/>
      <c r="F1128" s="2"/>
      <c r="G1128" s="2"/>
      <c r="H1128" s="2"/>
      <c r="I1128" s="2"/>
      <c r="J1128" s="2"/>
      <c r="K1128" s="2"/>
    </row>
    <row r="1129">
      <c r="A1129" s="2"/>
      <c r="B1129" s="2"/>
      <c r="C1129" s="2"/>
      <c r="D1129" s="2"/>
      <c r="E1129" s="2"/>
      <c r="F1129" s="2"/>
      <c r="G1129" s="2"/>
      <c r="H1129" s="2"/>
      <c r="I1129" s="2"/>
      <c r="J1129" s="2"/>
      <c r="K1129" s="2"/>
    </row>
    <row r="1130">
      <c r="A1130" s="2"/>
      <c r="B1130" s="2"/>
      <c r="C1130" s="2"/>
      <c r="D1130" s="2"/>
      <c r="E1130" s="2"/>
      <c r="F1130" s="2"/>
      <c r="G1130" s="2"/>
      <c r="H1130" s="2"/>
      <c r="I1130" s="2"/>
      <c r="J1130" s="2"/>
      <c r="K1130" s="2"/>
    </row>
    <row r="1131">
      <c r="A1131" s="2"/>
      <c r="B1131" s="2"/>
      <c r="C1131" s="2"/>
      <c r="D1131" s="2"/>
      <c r="E1131" s="2"/>
      <c r="F1131" s="2"/>
      <c r="G1131" s="2"/>
      <c r="H1131" s="2"/>
      <c r="I1131" s="2"/>
      <c r="J1131" s="2"/>
      <c r="K1131" s="2"/>
    </row>
    <row r="1132">
      <c r="A1132" s="2"/>
      <c r="B1132" s="2"/>
      <c r="C1132" s="2"/>
      <c r="D1132" s="2"/>
      <c r="E1132" s="2"/>
      <c r="F1132" s="2"/>
      <c r="G1132" s="2"/>
      <c r="H1132" s="2"/>
      <c r="I1132" s="2"/>
      <c r="J1132" s="2"/>
      <c r="K1132" s="2"/>
    </row>
    <row r="1133">
      <c r="A1133" s="2"/>
      <c r="B1133" s="2"/>
      <c r="C1133" s="2"/>
      <c r="D1133" s="2"/>
      <c r="E1133" s="2"/>
      <c r="F1133" s="2"/>
      <c r="G1133" s="2"/>
      <c r="H1133" s="2"/>
      <c r="I1133" s="2"/>
      <c r="J1133" s="2"/>
      <c r="K1133" s="2"/>
    </row>
    <row r="1134">
      <c r="A1134" s="2"/>
      <c r="B1134" s="2"/>
      <c r="C1134" s="2"/>
      <c r="D1134" s="2"/>
      <c r="E1134" s="2"/>
      <c r="F1134" s="2"/>
      <c r="G1134" s="2"/>
      <c r="H1134" s="2"/>
      <c r="I1134" s="2"/>
      <c r="J1134" s="2"/>
      <c r="K1134" s="2"/>
    </row>
    <row r="1135">
      <c r="A1135" s="2"/>
      <c r="B1135" s="2"/>
      <c r="C1135" s="2"/>
      <c r="D1135" s="2"/>
      <c r="E1135" s="2"/>
      <c r="F1135" s="2"/>
      <c r="G1135" s="2"/>
      <c r="H1135" s="2"/>
      <c r="I1135" s="2"/>
      <c r="J1135" s="2"/>
      <c r="K1135" s="2"/>
    </row>
    <row r="1136">
      <c r="A1136" s="2"/>
      <c r="B1136" s="2"/>
      <c r="C1136" s="2"/>
      <c r="D1136" s="2"/>
      <c r="E1136" s="2"/>
      <c r="F1136" s="2"/>
      <c r="G1136" s="2"/>
      <c r="H1136" s="2"/>
      <c r="I1136" s="2"/>
      <c r="J1136" s="2"/>
      <c r="K1136" s="2"/>
    </row>
    <row r="1137">
      <c r="A1137" s="2"/>
      <c r="B1137" s="2"/>
      <c r="C1137" s="2"/>
      <c r="D1137" s="2"/>
      <c r="E1137" s="2"/>
      <c r="F1137" s="2"/>
      <c r="G1137" s="2"/>
      <c r="H1137" s="2"/>
      <c r="I1137" s="2"/>
      <c r="J1137" s="2"/>
      <c r="K1137" s="2"/>
    </row>
    <row r="1138">
      <c r="A1138" s="2"/>
      <c r="B1138" s="2"/>
      <c r="C1138" s="2"/>
      <c r="D1138" s="2"/>
      <c r="E1138" s="2"/>
      <c r="F1138" s="2"/>
      <c r="G1138" s="2"/>
      <c r="H1138" s="2"/>
      <c r="I1138" s="2"/>
      <c r="J1138" s="2"/>
      <c r="K1138" s="2"/>
    </row>
    <row r="1139">
      <c r="A1139" s="2"/>
      <c r="B1139" s="2"/>
      <c r="C1139" s="2"/>
      <c r="D1139" s="2"/>
      <c r="E1139" s="2"/>
      <c r="F1139" s="2"/>
      <c r="G1139" s="2"/>
      <c r="H1139" s="2"/>
      <c r="I1139" s="2"/>
      <c r="J1139" s="2"/>
      <c r="K1139" s="2"/>
    </row>
    <row r="1140">
      <c r="A1140" s="2"/>
      <c r="B1140" s="2"/>
      <c r="C1140" s="2"/>
      <c r="D1140" s="2"/>
      <c r="E1140" s="2"/>
      <c r="F1140" s="2"/>
      <c r="G1140" s="2"/>
      <c r="H1140" s="2"/>
      <c r="I1140" s="2"/>
      <c r="J1140" s="2"/>
      <c r="K1140" s="2"/>
    </row>
    <row r="1141">
      <c r="A1141" s="2"/>
      <c r="B1141" s="2"/>
      <c r="C1141" s="2"/>
      <c r="D1141" s="2"/>
      <c r="E1141" s="2"/>
      <c r="F1141" s="2"/>
      <c r="G1141" s="2"/>
      <c r="H1141" s="2"/>
      <c r="I1141" s="2"/>
      <c r="J1141" s="2"/>
      <c r="K1141" s="2"/>
    </row>
    <row r="1142">
      <c r="A1142" s="2"/>
      <c r="B1142" s="2"/>
      <c r="C1142" s="2"/>
      <c r="D1142" s="2"/>
      <c r="E1142" s="2"/>
      <c r="F1142" s="2"/>
      <c r="G1142" s="2"/>
      <c r="H1142" s="2"/>
      <c r="I1142" s="2"/>
      <c r="J1142" s="2"/>
      <c r="K1142" s="2"/>
    </row>
    <row r="1143">
      <c r="A1143" s="2"/>
      <c r="B1143" s="2"/>
      <c r="C1143" s="2"/>
      <c r="D1143" s="2"/>
      <c r="E1143" s="2"/>
      <c r="F1143" s="2"/>
      <c r="G1143" s="2"/>
      <c r="H1143" s="2"/>
      <c r="I1143" s="2"/>
      <c r="J1143" s="2"/>
      <c r="K1143" s="2"/>
    </row>
    <row r="1144">
      <c r="A1144" s="2"/>
      <c r="B1144" s="2"/>
      <c r="C1144" s="2"/>
      <c r="D1144" s="2"/>
      <c r="E1144" s="2"/>
      <c r="F1144" s="2"/>
      <c r="G1144" s="2"/>
      <c r="H1144" s="2"/>
      <c r="I1144" s="2"/>
      <c r="J1144" s="2"/>
      <c r="K1144" s="2"/>
    </row>
    <row r="1145">
      <c r="A1145" s="2"/>
      <c r="B1145" s="2"/>
      <c r="C1145" s="2"/>
      <c r="D1145" s="2"/>
      <c r="E1145" s="2"/>
      <c r="F1145" s="2"/>
      <c r="G1145" s="2"/>
      <c r="H1145" s="2"/>
      <c r="I1145" s="2"/>
      <c r="J1145" s="2"/>
      <c r="K1145" s="2"/>
    </row>
    <row r="1146">
      <c r="A1146" s="2"/>
      <c r="B1146" s="2"/>
      <c r="C1146" s="2"/>
      <c r="D1146" s="2"/>
      <c r="E1146" s="2"/>
      <c r="F1146" s="2"/>
      <c r="G1146" s="2"/>
      <c r="H1146" s="2"/>
      <c r="I1146" s="2"/>
      <c r="J1146" s="2"/>
      <c r="K1146" s="2"/>
    </row>
    <row r="1147">
      <c r="A1147" s="2"/>
      <c r="B1147" s="2"/>
      <c r="C1147" s="2"/>
      <c r="D1147" s="2"/>
      <c r="E1147" s="2"/>
      <c r="F1147" s="2"/>
      <c r="G1147" s="2"/>
      <c r="H1147" s="2"/>
      <c r="I1147" s="2"/>
      <c r="J1147" s="2"/>
      <c r="K1147" s="2"/>
    </row>
    <row r="1148">
      <c r="A1148" s="2"/>
      <c r="B1148" s="2"/>
      <c r="C1148" s="2"/>
      <c r="D1148" s="2"/>
      <c r="E1148" s="2"/>
      <c r="F1148" s="2"/>
      <c r="G1148" s="2"/>
      <c r="H1148" s="2"/>
      <c r="I1148" s="2"/>
      <c r="J1148" s="2"/>
      <c r="K1148" s="2"/>
    </row>
    <row r="1149">
      <c r="A1149" s="2"/>
      <c r="B1149" s="2"/>
      <c r="C1149" s="2"/>
      <c r="D1149" s="2"/>
      <c r="E1149" s="2"/>
      <c r="F1149" s="2"/>
      <c r="G1149" s="2"/>
      <c r="H1149" s="2"/>
      <c r="I1149" s="2"/>
      <c r="J1149" s="2"/>
      <c r="K1149" s="2"/>
    </row>
    <row r="1150">
      <c r="A1150" s="2"/>
      <c r="B1150" s="2"/>
      <c r="C1150" s="2"/>
      <c r="D1150" s="2"/>
      <c r="E1150" s="2"/>
      <c r="F1150" s="2"/>
      <c r="G1150" s="2"/>
      <c r="H1150" s="2"/>
      <c r="I1150" s="2"/>
      <c r="J1150" s="2"/>
      <c r="K1150" s="2"/>
    </row>
    <row r="1151">
      <c r="A1151" s="2"/>
      <c r="B1151" s="2"/>
      <c r="C1151" s="2"/>
      <c r="D1151" s="2"/>
      <c r="E1151" s="2"/>
      <c r="F1151" s="2"/>
      <c r="G1151" s="2"/>
      <c r="H1151" s="2"/>
      <c r="I1151" s="2"/>
      <c r="J1151" s="2"/>
      <c r="K1151" s="2"/>
    </row>
    <row r="1152">
      <c r="A1152" s="2"/>
      <c r="B1152" s="2"/>
      <c r="C1152" s="2"/>
      <c r="D1152" s="2"/>
      <c r="E1152" s="2"/>
      <c r="F1152" s="2"/>
      <c r="G1152" s="2"/>
      <c r="H1152" s="2"/>
      <c r="I1152" s="2"/>
      <c r="J1152" s="2"/>
      <c r="K1152" s="2"/>
    </row>
    <row r="1153">
      <c r="A1153" s="2"/>
      <c r="B1153" s="2"/>
      <c r="C1153" s="2"/>
      <c r="D1153" s="2"/>
      <c r="E1153" s="2"/>
      <c r="F1153" s="2"/>
      <c r="G1153" s="2"/>
      <c r="H1153" s="2"/>
      <c r="I1153" s="2"/>
      <c r="J1153" s="2"/>
      <c r="K1153" s="2"/>
    </row>
    <row r="1154">
      <c r="A1154" s="2"/>
      <c r="B1154" s="2"/>
      <c r="C1154" s="2"/>
      <c r="D1154" s="2"/>
      <c r="E1154" s="2"/>
      <c r="F1154" s="2"/>
      <c r="G1154" s="2"/>
      <c r="H1154" s="2"/>
      <c r="I1154" s="2"/>
      <c r="J1154" s="2"/>
      <c r="K1154" s="2"/>
    </row>
    <row r="1155">
      <c r="A1155" s="2"/>
      <c r="B1155" s="2"/>
      <c r="C1155" s="2"/>
      <c r="D1155" s="2"/>
      <c r="E1155" s="2"/>
      <c r="F1155" s="2"/>
      <c r="G1155" s="2"/>
      <c r="H1155" s="2"/>
      <c r="I1155" s="2"/>
      <c r="J1155" s="2"/>
      <c r="K1155" s="2"/>
    </row>
    <row r="1156">
      <c r="A1156" s="2"/>
      <c r="B1156" s="2"/>
      <c r="C1156" s="2"/>
      <c r="D1156" s="2"/>
      <c r="E1156" s="2"/>
      <c r="F1156" s="2"/>
      <c r="G1156" s="2"/>
      <c r="H1156" s="2"/>
      <c r="I1156" s="2"/>
      <c r="J1156" s="2"/>
      <c r="K1156" s="2"/>
    </row>
    <row r="1157">
      <c r="A1157" s="2"/>
      <c r="B1157" s="2"/>
      <c r="C1157" s="2"/>
      <c r="D1157" s="2"/>
      <c r="E1157" s="2"/>
      <c r="F1157" s="2"/>
      <c r="G1157" s="2"/>
      <c r="H1157" s="2"/>
      <c r="I1157" s="2"/>
      <c r="J1157" s="2"/>
      <c r="K1157" s="2"/>
    </row>
    <row r="1158">
      <c r="A1158" s="2"/>
      <c r="B1158" s="2"/>
      <c r="C1158" s="2"/>
      <c r="D1158" s="2"/>
      <c r="E1158" s="2"/>
      <c r="F1158" s="2"/>
      <c r="G1158" s="2"/>
      <c r="H1158" s="2"/>
      <c r="I1158" s="2"/>
      <c r="J1158" s="2"/>
      <c r="K1158" s="2"/>
    </row>
    <row r="1159">
      <c r="A1159" s="2"/>
      <c r="B1159" s="2"/>
      <c r="C1159" s="2"/>
      <c r="D1159" s="2"/>
      <c r="E1159" s="2"/>
      <c r="F1159" s="2"/>
      <c r="G1159" s="2"/>
      <c r="H1159" s="2"/>
      <c r="I1159" s="2"/>
      <c r="J1159" s="2"/>
      <c r="K1159" s="2"/>
    </row>
    <row r="1160">
      <c r="A1160" s="2"/>
      <c r="B1160" s="2"/>
      <c r="C1160" s="2"/>
      <c r="D1160" s="2"/>
      <c r="E1160" s="2"/>
      <c r="F1160" s="2"/>
      <c r="G1160" s="2"/>
      <c r="H1160" s="2"/>
      <c r="I1160" s="2"/>
      <c r="J1160" s="2"/>
      <c r="K1160" s="2"/>
    </row>
    <row r="1161">
      <c r="A1161" s="2"/>
      <c r="B1161" s="2"/>
      <c r="C1161" s="2"/>
      <c r="D1161" s="2"/>
      <c r="E1161" s="2"/>
      <c r="F1161" s="2"/>
      <c r="G1161" s="2"/>
      <c r="H1161" s="2"/>
      <c r="I1161" s="2"/>
      <c r="J1161" s="2"/>
      <c r="K1161" s="2"/>
    </row>
    <row r="1162">
      <c r="A1162" s="2"/>
      <c r="B1162" s="2"/>
      <c r="C1162" s="2"/>
      <c r="D1162" s="2"/>
      <c r="E1162" s="2"/>
      <c r="F1162" s="2"/>
      <c r="G1162" s="2"/>
      <c r="H1162" s="2"/>
      <c r="I1162" s="2"/>
      <c r="J1162" s="2"/>
      <c r="K1162" s="2"/>
    </row>
    <row r="1163">
      <c r="A1163" s="2"/>
      <c r="B1163" s="2"/>
      <c r="C1163" s="2"/>
      <c r="D1163" s="2"/>
      <c r="E1163" s="2"/>
      <c r="F1163" s="2"/>
      <c r="G1163" s="2"/>
      <c r="H1163" s="2"/>
      <c r="I1163" s="2"/>
      <c r="J1163" s="2"/>
      <c r="K1163" s="2"/>
    </row>
    <row r="1164">
      <c r="A1164" s="2"/>
      <c r="B1164" s="2"/>
      <c r="C1164" s="2"/>
      <c r="D1164" s="2"/>
      <c r="E1164" s="2"/>
      <c r="F1164" s="2"/>
      <c r="G1164" s="2"/>
      <c r="H1164" s="2"/>
      <c r="I1164" s="2"/>
      <c r="J1164" s="2"/>
      <c r="K1164" s="2"/>
    </row>
    <row r="1165">
      <c r="A1165" s="2"/>
      <c r="B1165" s="2"/>
      <c r="C1165" s="2"/>
      <c r="D1165" s="2"/>
      <c r="E1165" s="2"/>
      <c r="F1165" s="2"/>
      <c r="G1165" s="2"/>
      <c r="H1165" s="2"/>
      <c r="I1165" s="2"/>
      <c r="J1165" s="2"/>
      <c r="K1165" s="2"/>
    </row>
    <row r="1166">
      <c r="A1166" s="2"/>
      <c r="B1166" s="2"/>
      <c r="C1166" s="2"/>
      <c r="D1166" s="2"/>
      <c r="E1166" s="2"/>
      <c r="F1166" s="2"/>
      <c r="G1166" s="2"/>
      <c r="H1166" s="2"/>
      <c r="I1166" s="2"/>
      <c r="J1166" s="2"/>
      <c r="K1166" s="2"/>
    </row>
    <row r="1167">
      <c r="A1167" s="2"/>
      <c r="B1167" s="2"/>
      <c r="C1167" s="2"/>
      <c r="D1167" s="2"/>
      <c r="E1167" s="2"/>
      <c r="F1167" s="2"/>
      <c r="G1167" s="2"/>
      <c r="H1167" s="2"/>
      <c r="I1167" s="2"/>
      <c r="J1167" s="2"/>
      <c r="K1167" s="2"/>
    </row>
    <row r="1168">
      <c r="A1168" s="2"/>
      <c r="B1168" s="2"/>
      <c r="C1168" s="2"/>
      <c r="D1168" s="2"/>
      <c r="E1168" s="2"/>
      <c r="F1168" s="2"/>
      <c r="G1168" s="2"/>
      <c r="H1168" s="2"/>
      <c r="I1168" s="2"/>
      <c r="J1168" s="2"/>
      <c r="K1168" s="2"/>
    </row>
    <row r="1169">
      <c r="A1169" s="2"/>
      <c r="B1169" s="2"/>
      <c r="C1169" s="2"/>
      <c r="D1169" s="2"/>
      <c r="E1169" s="2"/>
      <c r="F1169" s="2"/>
      <c r="G1169" s="2"/>
      <c r="H1169" s="2"/>
      <c r="I1169" s="2"/>
      <c r="J1169" s="2"/>
      <c r="K1169" s="2"/>
    </row>
    <row r="1170">
      <c r="A1170" s="2"/>
      <c r="B1170" s="2"/>
      <c r="C1170" s="2"/>
      <c r="D1170" s="2"/>
      <c r="E1170" s="2"/>
      <c r="F1170" s="2"/>
      <c r="G1170" s="2"/>
      <c r="H1170" s="2"/>
      <c r="I1170" s="2"/>
      <c r="J1170" s="2"/>
      <c r="K1170" s="2"/>
    </row>
    <row r="1171">
      <c r="A1171" s="2"/>
      <c r="B1171" s="2"/>
      <c r="C1171" s="2"/>
      <c r="D1171" s="2"/>
      <c r="E1171" s="2"/>
      <c r="F1171" s="2"/>
      <c r="G1171" s="2"/>
      <c r="H1171" s="2"/>
      <c r="I1171" s="2"/>
      <c r="J1171" s="2"/>
      <c r="K1171" s="2"/>
    </row>
    <row r="1172">
      <c r="A1172" s="2"/>
      <c r="B1172" s="2"/>
      <c r="C1172" s="2"/>
      <c r="D1172" s="2"/>
      <c r="E1172" s="2"/>
      <c r="F1172" s="2"/>
      <c r="G1172" s="2"/>
      <c r="H1172" s="2"/>
      <c r="I1172" s="2"/>
      <c r="J1172" s="2"/>
      <c r="K1172" s="2"/>
    </row>
    <row r="1173">
      <c r="A1173" s="2"/>
      <c r="B1173" s="2"/>
      <c r="C1173" s="2"/>
      <c r="D1173" s="2"/>
      <c r="E1173" s="2"/>
      <c r="F1173" s="2"/>
      <c r="G1173" s="2"/>
      <c r="H1173" s="2"/>
      <c r="I1173" s="2"/>
      <c r="J1173" s="2"/>
      <c r="K1173" s="2"/>
    </row>
    <row r="1174">
      <c r="A1174" s="2"/>
      <c r="B1174" s="2"/>
      <c r="C1174" s="2"/>
      <c r="D1174" s="2"/>
      <c r="E1174" s="2"/>
      <c r="F1174" s="2"/>
      <c r="G1174" s="2"/>
      <c r="H1174" s="2"/>
      <c r="I1174" s="2"/>
      <c r="J1174" s="2"/>
      <c r="K1174" s="2"/>
    </row>
    <row r="1175">
      <c r="A1175" s="2"/>
      <c r="B1175" s="2"/>
      <c r="C1175" s="2"/>
      <c r="D1175" s="2"/>
      <c r="E1175" s="2"/>
      <c r="F1175" s="2"/>
      <c r="G1175" s="2"/>
      <c r="H1175" s="2"/>
      <c r="I1175" s="2"/>
      <c r="J1175" s="2"/>
      <c r="K1175" s="2"/>
    </row>
    <row r="1176">
      <c r="A1176" s="2"/>
      <c r="B1176" s="2"/>
      <c r="C1176" s="2"/>
      <c r="D1176" s="2"/>
      <c r="E1176" s="2"/>
      <c r="F1176" s="2"/>
      <c r="G1176" s="2"/>
      <c r="H1176" s="2"/>
      <c r="I1176" s="2"/>
      <c r="J1176" s="2"/>
      <c r="K1176" s="2"/>
    </row>
    <row r="1177">
      <c r="A1177" s="2"/>
      <c r="B1177" s="2"/>
      <c r="C1177" s="2"/>
      <c r="D1177" s="2"/>
      <c r="E1177" s="2"/>
      <c r="F1177" s="2"/>
      <c r="G1177" s="2"/>
      <c r="H1177" s="2"/>
      <c r="I1177" s="2"/>
      <c r="J1177" s="2"/>
      <c r="K1177" s="2"/>
    </row>
    <row r="1178">
      <c r="A1178" s="2"/>
      <c r="B1178" s="2"/>
      <c r="C1178" s="2"/>
      <c r="D1178" s="2"/>
      <c r="E1178" s="2"/>
      <c r="F1178" s="2"/>
      <c r="G1178" s="2"/>
      <c r="H1178" s="2"/>
      <c r="I1178" s="2"/>
      <c r="J1178" s="2"/>
      <c r="K1178" s="2"/>
    </row>
    <row r="1179">
      <c r="A1179" s="2"/>
      <c r="B1179" s="2"/>
      <c r="C1179" s="2"/>
      <c r="D1179" s="2"/>
      <c r="E1179" s="2"/>
      <c r="F1179" s="2"/>
      <c r="G1179" s="2"/>
      <c r="H1179" s="2"/>
      <c r="I1179" s="2"/>
      <c r="J1179" s="2"/>
      <c r="K1179" s="2"/>
    </row>
    <row r="1180">
      <c r="A1180" s="2"/>
      <c r="B1180" s="2"/>
      <c r="C1180" s="2"/>
      <c r="D1180" s="2"/>
      <c r="E1180" s="2"/>
      <c r="F1180" s="2"/>
      <c r="G1180" s="2"/>
      <c r="H1180" s="2"/>
      <c r="I1180" s="2"/>
      <c r="J1180" s="2"/>
      <c r="K1180" s="2"/>
    </row>
    <row r="1181">
      <c r="A1181" s="2"/>
      <c r="B1181" s="2"/>
      <c r="C1181" s="2"/>
      <c r="D1181" s="2"/>
      <c r="E1181" s="2"/>
      <c r="F1181" s="2"/>
      <c r="G1181" s="2"/>
      <c r="H1181" s="2"/>
      <c r="I1181" s="2"/>
      <c r="J1181" s="2"/>
      <c r="K1181" s="2"/>
    </row>
    <row r="1182">
      <c r="A1182" s="2"/>
      <c r="B1182" s="2"/>
      <c r="C1182" s="2"/>
      <c r="D1182" s="2"/>
      <c r="E1182" s="2"/>
      <c r="F1182" s="2"/>
      <c r="G1182" s="2"/>
      <c r="H1182" s="2"/>
      <c r="I1182" s="2"/>
      <c r="J1182" s="2"/>
      <c r="K1182" s="2"/>
    </row>
    <row r="1183">
      <c r="A1183" s="2"/>
      <c r="B1183" s="2"/>
      <c r="C1183" s="2"/>
      <c r="D1183" s="2"/>
      <c r="E1183" s="2"/>
      <c r="F1183" s="2"/>
      <c r="G1183" s="2"/>
      <c r="H1183" s="2"/>
      <c r="I1183" s="2"/>
      <c r="J1183" s="2"/>
      <c r="K1183" s="2"/>
    </row>
    <row r="1184">
      <c r="A1184" s="2"/>
      <c r="B1184" s="2"/>
      <c r="C1184" s="2"/>
      <c r="D1184" s="2"/>
      <c r="E1184" s="2"/>
      <c r="F1184" s="2"/>
      <c r="G1184" s="2"/>
      <c r="H1184" s="2"/>
      <c r="I1184" s="2"/>
      <c r="J1184" s="2"/>
      <c r="K1184" s="2"/>
    </row>
    <row r="1185">
      <c r="A1185" s="2"/>
      <c r="B1185" s="2"/>
      <c r="C1185" s="2"/>
      <c r="D1185" s="2"/>
      <c r="E1185" s="2"/>
      <c r="F1185" s="2"/>
      <c r="G1185" s="2"/>
      <c r="H1185" s="2"/>
      <c r="I1185" s="2"/>
      <c r="J1185" s="2"/>
      <c r="K1185" s="2"/>
    </row>
    <row r="1186">
      <c r="A1186" s="2"/>
      <c r="B1186" s="2"/>
      <c r="C1186" s="2"/>
      <c r="D1186" s="2"/>
      <c r="E1186" s="2"/>
      <c r="F1186" s="2"/>
      <c r="G1186" s="2"/>
      <c r="H1186" s="2"/>
      <c r="I1186" s="2"/>
      <c r="J1186" s="2"/>
      <c r="K1186" s="2"/>
    </row>
    <row r="1187">
      <c r="A1187" s="2"/>
      <c r="B1187" s="2"/>
      <c r="C1187" s="2"/>
      <c r="D1187" s="2"/>
      <c r="E1187" s="2"/>
      <c r="F1187" s="2"/>
      <c r="G1187" s="2"/>
      <c r="H1187" s="2"/>
      <c r="I1187" s="2"/>
      <c r="J1187" s="2"/>
      <c r="K1187" s="2"/>
    </row>
    <row r="1188">
      <c r="A1188" s="2"/>
      <c r="B1188" s="2"/>
      <c r="C1188" s="2"/>
      <c r="D1188" s="2"/>
      <c r="E1188" s="2"/>
      <c r="F1188" s="2"/>
      <c r="G1188" s="2"/>
      <c r="H1188" s="2"/>
      <c r="I1188" s="2"/>
      <c r="J1188" s="2"/>
      <c r="K1188" s="2"/>
    </row>
    <row r="1189">
      <c r="A1189" s="2"/>
      <c r="B1189" s="2"/>
      <c r="C1189" s="2"/>
      <c r="D1189" s="2"/>
      <c r="E1189" s="2"/>
      <c r="F1189" s="2"/>
      <c r="G1189" s="2"/>
      <c r="H1189" s="2"/>
      <c r="I1189" s="2"/>
      <c r="J1189" s="2"/>
      <c r="K1189" s="2"/>
    </row>
    <row r="1190">
      <c r="A1190" s="2"/>
      <c r="B1190" s="2"/>
      <c r="C1190" s="2"/>
      <c r="D1190" s="2"/>
      <c r="E1190" s="2"/>
      <c r="F1190" s="2"/>
      <c r="G1190" s="2"/>
      <c r="H1190" s="2"/>
      <c r="I1190" s="2"/>
      <c r="J1190" s="2"/>
      <c r="K1190" s="2"/>
    </row>
    <row r="1191">
      <c r="A1191" s="2"/>
      <c r="B1191" s="2"/>
      <c r="C1191" s="2"/>
      <c r="D1191" s="2"/>
      <c r="E1191" s="2"/>
      <c r="F1191" s="2"/>
      <c r="G1191" s="2"/>
      <c r="H1191" s="2"/>
      <c r="I1191" s="2"/>
      <c r="J1191" s="2"/>
      <c r="K1191" s="2"/>
    </row>
    <row r="1192">
      <c r="A1192" s="2"/>
      <c r="B1192" s="2"/>
      <c r="C1192" s="2"/>
      <c r="D1192" s="2"/>
      <c r="E1192" s="2"/>
      <c r="F1192" s="2"/>
      <c r="G1192" s="2"/>
      <c r="H1192" s="2"/>
      <c r="I1192" s="2"/>
      <c r="J1192" s="2"/>
      <c r="K1192" s="2"/>
    </row>
    <row r="1193">
      <c r="A1193" s="2"/>
      <c r="B1193" s="2"/>
      <c r="C1193" s="2"/>
      <c r="D1193" s="2"/>
      <c r="E1193" s="2"/>
      <c r="F1193" s="2"/>
      <c r="G1193" s="2"/>
      <c r="H1193" s="2"/>
      <c r="I1193" s="2"/>
      <c r="J1193" s="2"/>
      <c r="K1193" s="2"/>
    </row>
    <row r="1194">
      <c r="A1194" s="2"/>
      <c r="B1194" s="2"/>
      <c r="C1194" s="2"/>
      <c r="D1194" s="2"/>
      <c r="E1194" s="2"/>
      <c r="F1194" s="2"/>
      <c r="G1194" s="2"/>
      <c r="H1194" s="2"/>
      <c r="I1194" s="2"/>
      <c r="J1194" s="2"/>
      <c r="K1194" s="2"/>
    </row>
    <row r="1195">
      <c r="A1195" s="2"/>
      <c r="B1195" s="2"/>
      <c r="C1195" s="2"/>
      <c r="D1195" s="2"/>
      <c r="E1195" s="2"/>
      <c r="F1195" s="2"/>
      <c r="G1195" s="2"/>
      <c r="H1195" s="2"/>
      <c r="I1195" s="2"/>
      <c r="J1195" s="2"/>
      <c r="K1195" s="2"/>
    </row>
    <row r="1196">
      <c r="A1196" s="2"/>
      <c r="B1196" s="2"/>
      <c r="C1196" s="2"/>
      <c r="D1196" s="2"/>
      <c r="E1196" s="2"/>
      <c r="F1196" s="2"/>
      <c r="G1196" s="2"/>
      <c r="H1196" s="2"/>
      <c r="I1196" s="2"/>
      <c r="J1196" s="2"/>
      <c r="K1196" s="2"/>
    </row>
    <row r="1197">
      <c r="A1197" s="2"/>
      <c r="B1197" s="2"/>
      <c r="C1197" s="2"/>
      <c r="D1197" s="2"/>
      <c r="E1197" s="2"/>
      <c r="F1197" s="2"/>
      <c r="G1197" s="2"/>
      <c r="H1197" s="2"/>
      <c r="I1197" s="2"/>
      <c r="J1197" s="2"/>
      <c r="K1197" s="2"/>
    </row>
    <row r="1198">
      <c r="A1198" s="2"/>
      <c r="B1198" s="2"/>
      <c r="C1198" s="2"/>
      <c r="D1198" s="2"/>
      <c r="E1198" s="2"/>
      <c r="F1198" s="2"/>
      <c r="G1198" s="2"/>
      <c r="H1198" s="2"/>
      <c r="I1198" s="2"/>
      <c r="J1198" s="2"/>
      <c r="K1198" s="2"/>
    </row>
    <row r="1199">
      <c r="A1199" s="2"/>
      <c r="B1199" s="2"/>
      <c r="C1199" s="2"/>
      <c r="D1199" s="2"/>
      <c r="E1199" s="2"/>
      <c r="F1199" s="2"/>
      <c r="G1199" s="2"/>
      <c r="H1199" s="2"/>
      <c r="I1199" s="2"/>
      <c r="J1199" s="2"/>
      <c r="K1199" s="2"/>
    </row>
    <row r="1200">
      <c r="A1200" s="2"/>
      <c r="B1200" s="2"/>
      <c r="C1200" s="2"/>
      <c r="D1200" s="2"/>
      <c r="E1200" s="2"/>
      <c r="F1200" s="2"/>
      <c r="G1200" s="2"/>
      <c r="H1200" s="2"/>
      <c r="I1200" s="2"/>
      <c r="J1200" s="2"/>
      <c r="K1200" s="2"/>
    </row>
    <row r="1201">
      <c r="A1201" s="2"/>
      <c r="B1201" s="2"/>
      <c r="C1201" s="2"/>
      <c r="D1201" s="2"/>
      <c r="E1201" s="2"/>
      <c r="F1201" s="2"/>
      <c r="G1201" s="2"/>
      <c r="H1201" s="2"/>
      <c r="I1201" s="2"/>
      <c r="J1201" s="2"/>
      <c r="K1201" s="2"/>
    </row>
    <row r="1202">
      <c r="A1202" s="2"/>
      <c r="B1202" s="2"/>
      <c r="C1202" s="2"/>
      <c r="D1202" s="2"/>
      <c r="E1202" s="2"/>
      <c r="F1202" s="2"/>
      <c r="G1202" s="2"/>
      <c r="H1202" s="2"/>
      <c r="I1202" s="2"/>
      <c r="J1202" s="2"/>
      <c r="K1202" s="2"/>
    </row>
    <row r="1203">
      <c r="A1203" s="2"/>
      <c r="B1203" s="2"/>
      <c r="C1203" s="2"/>
      <c r="D1203" s="2"/>
      <c r="E1203" s="2"/>
      <c r="F1203" s="2"/>
      <c r="G1203" s="2"/>
      <c r="H1203" s="2"/>
      <c r="I1203" s="2"/>
      <c r="J1203" s="2"/>
      <c r="K1203" s="2"/>
    </row>
    <row r="1204">
      <c r="A1204" s="2"/>
      <c r="B1204" s="2"/>
      <c r="C1204" s="2"/>
      <c r="D1204" s="2"/>
      <c r="E1204" s="2"/>
      <c r="F1204" s="2"/>
      <c r="G1204" s="2"/>
      <c r="H1204" s="2"/>
      <c r="I1204" s="2"/>
      <c r="J1204" s="2"/>
      <c r="K1204" s="2"/>
    </row>
    <row r="1205">
      <c r="A1205" s="2"/>
      <c r="B1205" s="2"/>
      <c r="C1205" s="2"/>
      <c r="D1205" s="2"/>
      <c r="E1205" s="2"/>
      <c r="F1205" s="2"/>
      <c r="G1205" s="2"/>
      <c r="H1205" s="2"/>
      <c r="I1205" s="2"/>
      <c r="J1205" s="2"/>
      <c r="K1205" s="2"/>
    </row>
    <row r="1206">
      <c r="A1206" s="2"/>
      <c r="B1206" s="2"/>
      <c r="C1206" s="2"/>
      <c r="D1206" s="2"/>
      <c r="E1206" s="2"/>
      <c r="F1206" s="2"/>
      <c r="G1206" s="2"/>
      <c r="H1206" s="2"/>
      <c r="I1206" s="2"/>
      <c r="J1206" s="2"/>
      <c r="K1206" s="2"/>
    </row>
    <row r="1207">
      <c r="A1207" s="2"/>
      <c r="B1207" s="2"/>
      <c r="C1207" s="2"/>
      <c r="D1207" s="2"/>
      <c r="E1207" s="2"/>
      <c r="F1207" s="2"/>
      <c r="G1207" s="2"/>
      <c r="H1207" s="2"/>
      <c r="I1207" s="2"/>
      <c r="J1207" s="2"/>
      <c r="K1207" s="2"/>
    </row>
    <row r="1208">
      <c r="A1208" s="2"/>
      <c r="B1208" s="2"/>
      <c r="C1208" s="2"/>
      <c r="D1208" s="2"/>
      <c r="E1208" s="2"/>
      <c r="F1208" s="2"/>
      <c r="G1208" s="2"/>
      <c r="H1208" s="2"/>
      <c r="I1208" s="2"/>
      <c r="J1208" s="2"/>
      <c r="K1208" s="2"/>
    </row>
    <row r="1209">
      <c r="A1209" s="2"/>
      <c r="B1209" s="2"/>
      <c r="C1209" s="2"/>
      <c r="D1209" s="2"/>
      <c r="E1209" s="2"/>
      <c r="F1209" s="2"/>
      <c r="G1209" s="2"/>
      <c r="H1209" s="2"/>
      <c r="I1209" s="2"/>
      <c r="J1209" s="2"/>
      <c r="K1209" s="2"/>
    </row>
    <row r="1210">
      <c r="A1210" s="2"/>
      <c r="B1210" s="2"/>
      <c r="C1210" s="2"/>
      <c r="D1210" s="2"/>
      <c r="E1210" s="2"/>
      <c r="F1210" s="2"/>
      <c r="G1210" s="2"/>
      <c r="H1210" s="2"/>
      <c r="I1210" s="2"/>
      <c r="J1210" s="2"/>
      <c r="K1210" s="2"/>
    </row>
    <row r="1211">
      <c r="A1211" s="2"/>
      <c r="B1211" s="2"/>
      <c r="C1211" s="2"/>
      <c r="D1211" s="2"/>
      <c r="E1211" s="2"/>
      <c r="F1211" s="2"/>
      <c r="G1211" s="2"/>
      <c r="H1211" s="2"/>
      <c r="I1211" s="2"/>
      <c r="J1211" s="2"/>
      <c r="K1211" s="2"/>
    </row>
    <row r="1212">
      <c r="A1212" s="2"/>
      <c r="B1212" s="2"/>
      <c r="C1212" s="2"/>
      <c r="D1212" s="2"/>
      <c r="E1212" s="2"/>
      <c r="F1212" s="2"/>
      <c r="G1212" s="2"/>
      <c r="H1212" s="2"/>
      <c r="I1212" s="2"/>
      <c r="J1212" s="2"/>
      <c r="K1212" s="2"/>
    </row>
    <row r="1213">
      <c r="A1213" s="2"/>
      <c r="B1213" s="2"/>
      <c r="C1213" s="2"/>
      <c r="D1213" s="2"/>
      <c r="E1213" s="2"/>
      <c r="F1213" s="2"/>
      <c r="G1213" s="2"/>
      <c r="H1213" s="2"/>
      <c r="I1213" s="2"/>
      <c r="J1213" s="2"/>
      <c r="K1213" s="2"/>
    </row>
    <row r="1214">
      <c r="A1214" s="2"/>
      <c r="B1214" s="2"/>
      <c r="C1214" s="2"/>
      <c r="D1214" s="2"/>
      <c r="E1214" s="2"/>
      <c r="F1214" s="2"/>
      <c r="G1214" s="2"/>
      <c r="H1214" s="2"/>
      <c r="I1214" s="2"/>
      <c r="J1214" s="2"/>
      <c r="K1214" s="2"/>
    </row>
    <row r="1215">
      <c r="A1215" s="2"/>
      <c r="B1215" s="2"/>
      <c r="C1215" s="2"/>
      <c r="D1215" s="2"/>
      <c r="E1215" s="2"/>
      <c r="F1215" s="2"/>
      <c r="G1215" s="2"/>
      <c r="H1215" s="2"/>
      <c r="I1215" s="2"/>
      <c r="J1215" s="2"/>
      <c r="K1215" s="2"/>
    </row>
    <row r="1216">
      <c r="A1216" s="2"/>
      <c r="B1216" s="2"/>
      <c r="C1216" s="2"/>
      <c r="D1216" s="2"/>
      <c r="E1216" s="2"/>
      <c r="F1216" s="2"/>
      <c r="G1216" s="2"/>
      <c r="H1216" s="2"/>
      <c r="I1216" s="2"/>
      <c r="J1216" s="2"/>
      <c r="K1216" s="2"/>
    </row>
    <row r="1217">
      <c r="A1217" s="2"/>
      <c r="B1217" s="2"/>
      <c r="C1217" s="2"/>
      <c r="D1217" s="2"/>
      <c r="E1217" s="2"/>
      <c r="F1217" s="2"/>
      <c r="G1217" s="2"/>
      <c r="H1217" s="2"/>
      <c r="I1217" s="2"/>
      <c r="J1217" s="2"/>
      <c r="K1217" s="2"/>
    </row>
    <row r="1218">
      <c r="A1218" s="2"/>
      <c r="B1218" s="2"/>
      <c r="C1218" s="2"/>
      <c r="D1218" s="2"/>
      <c r="E1218" s="2"/>
      <c r="F1218" s="2"/>
      <c r="G1218" s="2"/>
      <c r="H1218" s="2"/>
      <c r="I1218" s="2"/>
      <c r="J1218" s="2"/>
      <c r="K1218" s="2"/>
    </row>
    <row r="1219">
      <c r="A1219" s="2"/>
      <c r="B1219" s="2"/>
      <c r="C1219" s="2"/>
      <c r="D1219" s="2"/>
      <c r="E1219" s="2"/>
      <c r="F1219" s="2"/>
      <c r="G1219" s="2"/>
      <c r="H1219" s="2"/>
      <c r="I1219" s="2"/>
      <c r="J1219" s="2"/>
      <c r="K1219" s="2"/>
    </row>
    <row r="1220">
      <c r="A1220" s="2"/>
      <c r="B1220" s="2"/>
      <c r="C1220" s="2"/>
      <c r="D1220" s="2"/>
      <c r="E1220" s="2"/>
      <c r="F1220" s="2"/>
      <c r="G1220" s="2"/>
      <c r="H1220" s="2"/>
      <c r="I1220" s="2"/>
      <c r="J1220" s="2"/>
      <c r="K1220" s="2"/>
    </row>
    <row r="1221">
      <c r="A1221" s="2"/>
      <c r="B1221" s="2"/>
      <c r="C1221" s="2"/>
      <c r="D1221" s="2"/>
      <c r="E1221" s="2"/>
      <c r="F1221" s="2"/>
      <c r="G1221" s="2"/>
      <c r="H1221" s="2"/>
      <c r="I1221" s="2"/>
      <c r="J1221" s="2"/>
      <c r="K1221" s="2"/>
    </row>
    <row r="1222">
      <c r="A1222" s="2"/>
      <c r="B1222" s="2"/>
      <c r="C1222" s="2"/>
      <c r="D1222" s="2"/>
      <c r="E1222" s="2"/>
      <c r="F1222" s="2"/>
      <c r="G1222" s="2"/>
      <c r="H1222" s="2"/>
      <c r="I1222" s="2"/>
      <c r="J1222" s="2"/>
      <c r="K1222" s="2"/>
    </row>
    <row r="1223">
      <c r="A1223" s="2"/>
      <c r="B1223" s="2"/>
      <c r="C1223" s="2"/>
      <c r="D1223" s="2"/>
      <c r="E1223" s="2"/>
      <c r="F1223" s="2"/>
      <c r="G1223" s="2"/>
      <c r="H1223" s="2"/>
      <c r="I1223" s="2"/>
      <c r="J1223" s="2"/>
      <c r="K1223" s="2"/>
    </row>
    <row r="1224">
      <c r="A1224" s="2"/>
      <c r="B1224" s="2"/>
      <c r="C1224" s="2"/>
      <c r="D1224" s="2"/>
      <c r="E1224" s="2"/>
      <c r="F1224" s="2"/>
      <c r="G1224" s="2"/>
      <c r="H1224" s="2"/>
      <c r="I1224" s="2"/>
      <c r="J1224" s="2"/>
      <c r="K1224" s="2"/>
    </row>
    <row r="1225">
      <c r="A1225" s="2"/>
      <c r="B1225" s="2"/>
      <c r="C1225" s="2"/>
      <c r="D1225" s="2"/>
      <c r="E1225" s="2"/>
      <c r="F1225" s="2"/>
      <c r="G1225" s="2"/>
      <c r="H1225" s="2"/>
      <c r="I1225" s="2"/>
      <c r="J1225" s="2"/>
      <c r="K1225" s="2"/>
    </row>
    <row r="1226">
      <c r="A1226" s="2"/>
      <c r="B1226" s="2"/>
      <c r="C1226" s="2"/>
      <c r="D1226" s="2"/>
      <c r="E1226" s="2"/>
      <c r="F1226" s="2"/>
      <c r="G1226" s="2"/>
      <c r="H1226" s="2"/>
      <c r="I1226" s="2"/>
      <c r="J1226" s="2"/>
      <c r="K1226" s="2"/>
    </row>
    <row r="1227">
      <c r="A1227" s="2"/>
      <c r="B1227" s="2"/>
      <c r="C1227" s="2"/>
      <c r="D1227" s="2"/>
      <c r="E1227" s="2"/>
      <c r="F1227" s="2"/>
      <c r="G1227" s="2"/>
      <c r="H1227" s="2"/>
      <c r="I1227" s="2"/>
      <c r="J1227" s="2"/>
      <c r="K1227" s="2"/>
    </row>
    <row r="1228">
      <c r="A1228" s="2"/>
      <c r="B1228" s="2"/>
      <c r="C1228" s="2"/>
      <c r="D1228" s="2"/>
      <c r="E1228" s="2"/>
      <c r="F1228" s="2"/>
      <c r="G1228" s="2"/>
      <c r="H1228" s="2"/>
      <c r="I1228" s="2"/>
      <c r="J1228" s="2"/>
      <c r="K1228" s="2"/>
    </row>
    <row r="1229">
      <c r="A1229" s="2"/>
      <c r="B1229" s="2"/>
      <c r="C1229" s="2"/>
      <c r="D1229" s="2"/>
      <c r="E1229" s="2"/>
      <c r="F1229" s="2"/>
      <c r="G1229" s="2"/>
      <c r="H1229" s="2"/>
      <c r="I1229" s="2"/>
      <c r="J1229" s="2"/>
      <c r="K1229" s="2"/>
    </row>
    <row r="1230">
      <c r="A1230" s="2"/>
      <c r="B1230" s="2"/>
      <c r="C1230" s="2"/>
      <c r="D1230" s="2"/>
      <c r="E1230" s="2"/>
      <c r="F1230" s="2"/>
      <c r="G1230" s="2"/>
      <c r="H1230" s="2"/>
      <c r="I1230" s="2"/>
      <c r="J1230" s="2"/>
      <c r="K1230" s="2"/>
    </row>
    <row r="1231">
      <c r="A1231" s="2"/>
      <c r="B1231" s="2"/>
      <c r="C1231" s="2"/>
      <c r="D1231" s="2"/>
      <c r="E1231" s="2"/>
      <c r="F1231" s="2"/>
      <c r="G1231" s="2"/>
      <c r="H1231" s="2"/>
      <c r="I1231" s="2"/>
      <c r="J1231" s="2"/>
      <c r="K1231" s="2"/>
    </row>
    <row r="1232">
      <c r="A1232" s="2"/>
      <c r="B1232" s="2"/>
      <c r="C1232" s="2"/>
      <c r="D1232" s="2"/>
      <c r="E1232" s="2"/>
      <c r="F1232" s="2"/>
      <c r="G1232" s="2"/>
      <c r="H1232" s="2"/>
      <c r="I1232" s="2"/>
      <c r="J1232" s="2"/>
      <c r="K1232" s="2"/>
    </row>
    <row r="1233">
      <c r="A1233" s="2"/>
      <c r="B1233" s="2"/>
      <c r="C1233" s="2"/>
      <c r="D1233" s="2"/>
      <c r="E1233" s="2"/>
      <c r="F1233" s="2"/>
      <c r="G1233" s="2"/>
      <c r="H1233" s="2"/>
      <c r="I1233" s="2"/>
      <c r="J1233" s="2"/>
      <c r="K1233" s="2"/>
    </row>
    <row r="1234">
      <c r="A1234" s="2"/>
      <c r="B1234" s="2"/>
      <c r="C1234" s="2"/>
      <c r="D1234" s="2"/>
      <c r="E1234" s="2"/>
      <c r="F1234" s="2"/>
      <c r="G1234" s="2"/>
      <c r="H1234" s="2"/>
      <c r="I1234" s="2"/>
      <c r="J1234" s="2"/>
      <c r="K1234" s="2"/>
    </row>
    <row r="1235">
      <c r="A1235" s="2"/>
      <c r="B1235" s="2"/>
      <c r="C1235" s="2"/>
      <c r="D1235" s="2"/>
      <c r="E1235" s="2"/>
      <c r="F1235" s="2"/>
      <c r="G1235" s="2"/>
      <c r="H1235" s="2"/>
      <c r="I1235" s="2"/>
      <c r="J1235" s="2"/>
      <c r="K1235" s="2"/>
    </row>
    <row r="1236">
      <c r="A1236" s="2"/>
      <c r="B1236" s="2"/>
      <c r="C1236" s="2"/>
      <c r="D1236" s="2"/>
      <c r="E1236" s="2"/>
      <c r="F1236" s="2"/>
      <c r="G1236" s="2"/>
      <c r="H1236" s="2"/>
      <c r="I1236" s="2"/>
      <c r="J1236" s="2"/>
      <c r="K1236" s="2"/>
    </row>
    <row r="1237">
      <c r="A1237" s="2"/>
      <c r="B1237" s="2"/>
      <c r="C1237" s="2"/>
      <c r="D1237" s="2"/>
      <c r="E1237" s="2"/>
      <c r="F1237" s="2"/>
      <c r="G1237" s="2"/>
      <c r="H1237" s="2"/>
      <c r="I1237" s="2"/>
      <c r="J1237" s="2"/>
      <c r="K1237" s="2"/>
    </row>
    <row r="1238">
      <c r="A1238" s="2"/>
      <c r="B1238" s="2"/>
      <c r="C1238" s="2"/>
      <c r="D1238" s="2"/>
      <c r="E1238" s="2"/>
      <c r="F1238" s="2"/>
      <c r="G1238" s="2"/>
      <c r="H1238" s="2"/>
      <c r="I1238" s="2"/>
      <c r="J1238" s="2"/>
      <c r="K1238" s="2"/>
    </row>
    <row r="1239">
      <c r="A1239" s="2"/>
      <c r="B1239" s="2"/>
      <c r="C1239" s="2"/>
      <c r="D1239" s="2"/>
      <c r="E1239" s="2"/>
      <c r="F1239" s="2"/>
      <c r="G1239" s="2"/>
      <c r="H1239" s="2"/>
      <c r="I1239" s="2"/>
      <c r="J1239" s="2"/>
      <c r="K1239" s="2"/>
    </row>
    <row r="1240">
      <c r="A1240" s="2"/>
      <c r="B1240" s="2"/>
      <c r="C1240" s="2"/>
      <c r="D1240" s="2"/>
      <c r="E1240" s="2"/>
      <c r="F1240" s="2"/>
      <c r="G1240" s="2"/>
      <c r="H1240" s="2"/>
      <c r="I1240" s="2"/>
      <c r="J1240" s="2"/>
      <c r="K1240" s="2"/>
    </row>
    <row r="1241">
      <c r="A1241" s="2"/>
      <c r="B1241" s="2"/>
      <c r="C1241" s="2"/>
      <c r="D1241" s="2"/>
      <c r="E1241" s="2"/>
      <c r="F1241" s="2"/>
      <c r="G1241" s="2"/>
      <c r="H1241" s="2"/>
      <c r="I1241" s="2"/>
      <c r="J1241" s="2"/>
      <c r="K1241" s="2"/>
    </row>
    <row r="1242">
      <c r="A1242" s="2"/>
      <c r="B1242" s="2"/>
      <c r="C1242" s="2"/>
      <c r="D1242" s="2"/>
      <c r="E1242" s="2"/>
      <c r="F1242" s="2"/>
      <c r="G1242" s="2"/>
      <c r="H1242" s="2"/>
      <c r="I1242" s="2"/>
      <c r="J1242" s="2"/>
      <c r="K1242" s="2"/>
    </row>
    <row r="1243">
      <c r="A1243" s="2"/>
      <c r="B1243" s="2"/>
      <c r="C1243" s="2"/>
      <c r="D1243" s="2"/>
      <c r="E1243" s="2"/>
      <c r="F1243" s="2"/>
      <c r="G1243" s="2"/>
      <c r="H1243" s="2"/>
      <c r="I1243" s="2"/>
      <c r="J1243" s="2"/>
      <c r="K1243" s="2"/>
    </row>
    <row r="1244">
      <c r="A1244" s="2"/>
      <c r="B1244" s="2"/>
      <c r="C1244" s="2"/>
      <c r="D1244" s="2"/>
      <c r="E1244" s="2"/>
      <c r="F1244" s="2"/>
      <c r="G1244" s="2"/>
      <c r="H1244" s="2"/>
      <c r="I1244" s="2"/>
      <c r="J1244" s="2"/>
      <c r="K1244" s="2"/>
    </row>
    <row r="1245">
      <c r="A1245" s="2"/>
      <c r="B1245" s="2"/>
      <c r="C1245" s="2"/>
      <c r="D1245" s="2"/>
      <c r="E1245" s="2"/>
      <c r="F1245" s="2"/>
      <c r="G1245" s="2"/>
      <c r="H1245" s="2"/>
      <c r="I1245" s="2"/>
      <c r="J1245" s="2"/>
      <c r="K1245" s="2"/>
    </row>
    <row r="1246">
      <c r="A1246" s="2"/>
      <c r="B1246" s="2"/>
      <c r="C1246" s="2"/>
      <c r="D1246" s="2"/>
      <c r="E1246" s="2"/>
      <c r="F1246" s="2"/>
      <c r="G1246" s="2"/>
      <c r="H1246" s="2"/>
      <c r="I1246" s="2"/>
      <c r="J1246" s="2"/>
      <c r="K1246" s="2"/>
    </row>
    <row r="1247">
      <c r="A1247" s="2"/>
      <c r="B1247" s="2"/>
      <c r="C1247" s="2"/>
      <c r="D1247" s="2"/>
      <c r="E1247" s="2"/>
      <c r="F1247" s="2"/>
      <c r="G1247" s="2"/>
      <c r="H1247" s="2"/>
      <c r="I1247" s="2"/>
      <c r="J1247" s="2"/>
      <c r="K1247" s="2"/>
    </row>
    <row r="1248">
      <c r="A1248" s="2"/>
      <c r="B1248" s="2"/>
      <c r="C1248" s="2"/>
      <c r="D1248" s="2"/>
      <c r="E1248" s="2"/>
      <c r="F1248" s="2"/>
      <c r="G1248" s="2"/>
      <c r="H1248" s="2"/>
      <c r="I1248" s="2"/>
      <c r="J1248" s="2"/>
      <c r="K1248" s="2"/>
    </row>
    <row r="1249">
      <c r="A1249" s="2"/>
      <c r="B1249" s="2"/>
      <c r="C1249" s="2"/>
      <c r="D1249" s="2"/>
      <c r="E1249" s="2"/>
      <c r="F1249" s="2"/>
      <c r="G1249" s="2"/>
      <c r="H1249" s="2"/>
      <c r="I1249" s="2"/>
      <c r="J1249" s="2"/>
      <c r="K1249" s="2"/>
    </row>
    <row r="1250">
      <c r="A1250" s="2"/>
      <c r="B1250" s="2"/>
      <c r="C1250" s="2"/>
      <c r="D1250" s="2"/>
      <c r="E1250" s="2"/>
      <c r="F1250" s="2"/>
      <c r="G1250" s="2"/>
      <c r="H1250" s="2"/>
      <c r="I1250" s="2"/>
      <c r="J1250" s="2"/>
      <c r="K1250" s="2"/>
    </row>
    <row r="1251">
      <c r="A1251" s="2"/>
      <c r="B1251" s="2"/>
      <c r="C1251" s="2"/>
      <c r="D1251" s="2"/>
      <c r="E1251" s="2"/>
      <c r="F1251" s="2"/>
      <c r="G1251" s="2"/>
      <c r="H1251" s="2"/>
      <c r="I1251" s="2"/>
      <c r="J1251" s="2"/>
      <c r="K1251" s="2"/>
    </row>
    <row r="1252">
      <c r="A1252" s="2"/>
      <c r="B1252" s="2"/>
      <c r="C1252" s="2"/>
      <c r="D1252" s="2"/>
      <c r="E1252" s="2"/>
      <c r="F1252" s="2"/>
      <c r="G1252" s="2"/>
      <c r="H1252" s="2"/>
      <c r="I1252" s="2"/>
      <c r="J1252" s="2"/>
      <c r="K1252" s="2"/>
    </row>
    <row r="1253">
      <c r="A1253" s="2"/>
      <c r="B1253" s="2"/>
      <c r="C1253" s="2"/>
      <c r="D1253" s="2"/>
      <c r="E1253" s="2"/>
      <c r="F1253" s="2"/>
      <c r="G1253" s="2"/>
      <c r="H1253" s="2"/>
      <c r="I1253" s="2"/>
      <c r="J1253" s="2"/>
      <c r="K1253" s="2"/>
    </row>
    <row r="1254">
      <c r="A1254" s="2"/>
      <c r="B1254" s="2"/>
      <c r="C1254" s="2"/>
      <c r="D1254" s="2"/>
      <c r="E1254" s="2"/>
      <c r="F1254" s="2"/>
      <c r="G1254" s="2"/>
      <c r="H1254" s="2"/>
      <c r="I1254" s="2"/>
      <c r="J1254" s="2"/>
      <c r="K1254" s="2"/>
    </row>
    <row r="1255">
      <c r="A1255" s="2"/>
      <c r="B1255" s="2"/>
      <c r="C1255" s="2"/>
      <c r="D1255" s="2"/>
      <c r="E1255" s="2"/>
      <c r="F1255" s="2"/>
      <c r="G1255" s="2"/>
      <c r="H1255" s="2"/>
      <c r="I1255" s="2"/>
      <c r="J1255" s="2"/>
      <c r="K1255" s="2"/>
    </row>
    <row r="1256">
      <c r="A1256" s="2"/>
      <c r="B1256" s="2"/>
      <c r="C1256" s="2"/>
      <c r="D1256" s="2"/>
      <c r="E1256" s="2"/>
      <c r="F1256" s="2"/>
      <c r="G1256" s="2"/>
      <c r="H1256" s="2"/>
      <c r="I1256" s="2"/>
      <c r="J1256" s="2"/>
      <c r="K1256" s="2"/>
    </row>
    <row r="1257">
      <c r="A1257" s="2"/>
      <c r="B1257" s="2"/>
      <c r="C1257" s="2"/>
      <c r="D1257" s="2"/>
      <c r="E1257" s="2"/>
      <c r="F1257" s="2"/>
      <c r="G1257" s="2"/>
      <c r="H1257" s="2"/>
      <c r="I1257" s="2"/>
      <c r="J1257" s="2"/>
      <c r="K1257" s="2"/>
    </row>
    <row r="1258">
      <c r="A1258" s="2"/>
      <c r="B1258" s="2"/>
      <c r="C1258" s="2"/>
      <c r="D1258" s="2"/>
      <c r="E1258" s="2"/>
      <c r="F1258" s="2"/>
      <c r="G1258" s="2"/>
      <c r="H1258" s="2"/>
      <c r="I1258" s="2"/>
      <c r="J1258" s="2"/>
      <c r="K1258" s="2"/>
    </row>
    <row r="1259">
      <c r="A1259" s="2"/>
      <c r="B1259" s="2"/>
      <c r="C1259" s="2"/>
      <c r="D1259" s="2"/>
      <c r="E1259" s="2"/>
      <c r="F1259" s="2"/>
      <c r="G1259" s="2"/>
      <c r="H1259" s="2"/>
      <c r="I1259" s="2"/>
      <c r="J1259" s="2"/>
      <c r="K1259" s="2"/>
    </row>
    <row r="1260">
      <c r="A1260" s="2"/>
      <c r="B1260" s="2"/>
      <c r="C1260" s="2"/>
      <c r="D1260" s="2"/>
      <c r="E1260" s="2"/>
      <c r="F1260" s="2"/>
      <c r="G1260" s="2"/>
      <c r="H1260" s="2"/>
      <c r="I1260" s="2"/>
      <c r="J1260" s="2"/>
      <c r="K1260" s="2"/>
    </row>
    <row r="1261">
      <c r="A1261" s="2"/>
      <c r="B1261" s="2"/>
      <c r="C1261" s="2"/>
      <c r="D1261" s="2"/>
      <c r="E1261" s="2"/>
      <c r="F1261" s="2"/>
      <c r="G1261" s="2"/>
      <c r="H1261" s="2"/>
      <c r="I1261" s="2"/>
      <c r="J1261" s="2"/>
      <c r="K1261" s="2"/>
    </row>
    <row r="1262">
      <c r="A1262" s="2"/>
      <c r="B1262" s="2"/>
      <c r="C1262" s="2"/>
      <c r="D1262" s="2"/>
      <c r="E1262" s="2"/>
      <c r="F1262" s="2"/>
      <c r="G1262" s="2"/>
      <c r="H1262" s="2"/>
      <c r="I1262" s="2"/>
      <c r="J1262" s="2"/>
      <c r="K1262" s="2"/>
    </row>
    <row r="1263">
      <c r="A1263" s="2"/>
      <c r="B1263" s="2"/>
      <c r="C1263" s="2"/>
      <c r="D1263" s="2"/>
      <c r="E1263" s="2"/>
      <c r="F1263" s="2"/>
      <c r="G1263" s="2"/>
      <c r="H1263" s="2"/>
      <c r="I1263" s="2"/>
      <c r="J1263" s="2"/>
      <c r="K1263" s="2"/>
    </row>
    <row r="1264">
      <c r="A1264" s="2"/>
      <c r="B1264" s="2"/>
      <c r="C1264" s="2"/>
      <c r="D1264" s="2"/>
      <c r="E1264" s="2"/>
      <c r="F1264" s="2"/>
      <c r="G1264" s="2"/>
      <c r="H1264" s="2"/>
      <c r="I1264" s="2"/>
      <c r="J1264" s="2"/>
      <c r="K1264" s="2"/>
    </row>
    <row r="1265">
      <c r="A1265" s="2"/>
      <c r="B1265" s="2"/>
      <c r="C1265" s="2"/>
      <c r="D1265" s="2"/>
      <c r="E1265" s="2"/>
      <c r="F1265" s="2"/>
      <c r="G1265" s="2"/>
      <c r="H1265" s="2"/>
      <c r="I1265" s="2"/>
      <c r="J1265" s="2"/>
      <c r="K1265" s="2"/>
    </row>
    <row r="1266">
      <c r="A1266" s="2"/>
      <c r="B1266" s="2"/>
      <c r="C1266" s="2"/>
      <c r="D1266" s="2"/>
      <c r="E1266" s="2"/>
      <c r="F1266" s="2"/>
      <c r="G1266" s="2"/>
      <c r="H1266" s="2"/>
      <c r="I1266" s="2"/>
      <c r="J1266" s="2"/>
      <c r="K1266" s="2"/>
    </row>
    <row r="1267">
      <c r="A1267" s="2"/>
      <c r="B1267" s="2"/>
      <c r="C1267" s="2"/>
      <c r="D1267" s="2"/>
      <c r="E1267" s="2"/>
      <c r="F1267" s="2"/>
      <c r="G1267" s="2"/>
      <c r="H1267" s="2"/>
      <c r="I1267" s="2"/>
      <c r="J1267" s="2"/>
      <c r="K1267" s="2"/>
    </row>
    <row r="1268">
      <c r="A1268" s="2"/>
      <c r="B1268" s="2"/>
      <c r="C1268" s="2"/>
      <c r="D1268" s="2"/>
      <c r="E1268" s="2"/>
      <c r="F1268" s="2"/>
      <c r="G1268" s="2"/>
      <c r="H1268" s="2"/>
      <c r="I1268" s="2"/>
      <c r="J1268" s="2"/>
      <c r="K1268" s="2"/>
    </row>
    <row r="1269">
      <c r="A1269" s="2"/>
      <c r="B1269" s="2"/>
      <c r="C1269" s="2"/>
      <c r="D1269" s="2"/>
      <c r="E1269" s="2"/>
      <c r="F1269" s="2"/>
      <c r="G1269" s="2"/>
      <c r="H1269" s="2"/>
      <c r="I1269" s="2"/>
      <c r="J1269" s="2"/>
      <c r="K1269" s="2"/>
    </row>
    <row r="1270">
      <c r="A1270" s="2"/>
      <c r="B1270" s="2"/>
      <c r="C1270" s="2"/>
      <c r="D1270" s="2"/>
      <c r="E1270" s="2"/>
      <c r="F1270" s="2"/>
      <c r="G1270" s="2"/>
      <c r="H1270" s="2"/>
      <c r="I1270" s="2"/>
      <c r="J1270" s="2"/>
      <c r="K1270" s="2"/>
    </row>
    <row r="1271">
      <c r="A1271" s="2"/>
      <c r="B1271" s="2"/>
      <c r="C1271" s="2"/>
      <c r="D1271" s="2"/>
      <c r="E1271" s="2"/>
      <c r="F1271" s="2"/>
      <c r="G1271" s="2"/>
      <c r="H1271" s="2"/>
      <c r="I1271" s="2"/>
      <c r="J1271" s="2"/>
      <c r="K1271" s="2"/>
    </row>
    <row r="1272">
      <c r="A1272" s="2"/>
      <c r="B1272" s="2"/>
      <c r="C1272" s="2"/>
      <c r="D1272" s="2"/>
      <c r="E1272" s="2"/>
      <c r="F1272" s="2"/>
      <c r="G1272" s="2"/>
      <c r="H1272" s="2"/>
      <c r="I1272" s="2"/>
      <c r="J1272" s="2"/>
      <c r="K1272" s="2"/>
    </row>
    <row r="1273">
      <c r="A1273" s="2"/>
      <c r="B1273" s="2"/>
      <c r="C1273" s="2"/>
      <c r="D1273" s="2"/>
      <c r="E1273" s="2"/>
      <c r="F1273" s="2"/>
      <c r="G1273" s="2"/>
      <c r="H1273" s="2"/>
      <c r="I1273" s="2"/>
      <c r="J1273" s="2"/>
      <c r="K1273" s="2"/>
    </row>
    <row r="1274">
      <c r="A1274" s="2"/>
      <c r="B1274" s="2"/>
      <c r="C1274" s="2"/>
      <c r="D1274" s="2"/>
      <c r="E1274" s="2"/>
      <c r="F1274" s="2"/>
      <c r="G1274" s="2"/>
      <c r="H1274" s="2"/>
      <c r="I1274" s="2"/>
      <c r="J1274" s="2"/>
      <c r="K1274" s="2"/>
    </row>
    <row r="1275">
      <c r="A1275" s="2"/>
      <c r="B1275" s="2"/>
      <c r="C1275" s="2"/>
      <c r="D1275" s="2"/>
      <c r="E1275" s="2"/>
      <c r="F1275" s="2"/>
      <c r="G1275" s="2"/>
      <c r="H1275" s="2"/>
      <c r="I1275" s="2"/>
      <c r="J1275" s="2"/>
      <c r="K1275" s="2"/>
    </row>
    <row r="1276">
      <c r="A1276" s="2"/>
      <c r="B1276" s="2"/>
      <c r="C1276" s="2"/>
      <c r="D1276" s="2"/>
      <c r="E1276" s="2"/>
      <c r="F1276" s="2"/>
      <c r="G1276" s="2"/>
      <c r="H1276" s="2"/>
      <c r="I1276" s="2"/>
      <c r="J1276" s="2"/>
      <c r="K1276" s="2"/>
    </row>
    <row r="1277">
      <c r="A1277" s="2"/>
      <c r="B1277" s="2"/>
      <c r="C1277" s="2"/>
      <c r="D1277" s="2"/>
      <c r="E1277" s="2"/>
      <c r="F1277" s="2"/>
      <c r="G1277" s="2"/>
      <c r="H1277" s="2"/>
      <c r="I1277" s="2"/>
      <c r="J1277" s="2"/>
      <c r="K1277" s="2"/>
    </row>
    <row r="1278">
      <c r="A1278" s="2"/>
      <c r="B1278" s="2"/>
      <c r="C1278" s="2"/>
      <c r="D1278" s="2"/>
      <c r="E1278" s="2"/>
      <c r="F1278" s="2"/>
      <c r="G1278" s="2"/>
      <c r="H1278" s="2"/>
      <c r="I1278" s="2"/>
      <c r="J1278" s="2"/>
      <c r="K1278" s="2"/>
    </row>
    <row r="1279">
      <c r="A1279" s="2"/>
      <c r="B1279" s="2"/>
      <c r="C1279" s="2"/>
      <c r="D1279" s="2"/>
      <c r="E1279" s="2"/>
      <c r="F1279" s="2"/>
      <c r="G1279" s="2"/>
      <c r="H1279" s="2"/>
      <c r="I1279" s="2"/>
      <c r="J1279" s="2"/>
      <c r="K1279" s="2"/>
    </row>
    <row r="1280">
      <c r="A1280" s="2"/>
      <c r="B1280" s="2"/>
      <c r="C1280" s="2"/>
      <c r="D1280" s="2"/>
      <c r="E1280" s="2"/>
      <c r="F1280" s="2"/>
      <c r="G1280" s="2"/>
      <c r="H1280" s="2"/>
      <c r="I1280" s="2"/>
      <c r="J1280" s="2"/>
      <c r="K1280" s="2"/>
    </row>
    <row r="1281">
      <c r="A1281" s="2"/>
      <c r="B1281" s="2"/>
      <c r="C1281" s="2"/>
      <c r="D1281" s="2"/>
      <c r="E1281" s="2"/>
      <c r="F1281" s="2"/>
      <c r="G1281" s="2"/>
      <c r="H1281" s="2"/>
      <c r="I1281" s="2"/>
      <c r="J1281" s="2"/>
      <c r="K1281" s="2"/>
    </row>
    <row r="1282">
      <c r="A1282" s="2"/>
      <c r="B1282" s="2"/>
      <c r="C1282" s="2"/>
      <c r="D1282" s="2"/>
      <c r="E1282" s="2"/>
      <c r="F1282" s="2"/>
      <c r="G1282" s="2"/>
      <c r="H1282" s="2"/>
      <c r="I1282" s="2"/>
      <c r="J1282" s="2"/>
      <c r="K1282" s="2"/>
    </row>
    <row r="1283">
      <c r="A1283" s="2"/>
      <c r="B1283" s="2"/>
      <c r="C1283" s="2"/>
      <c r="D1283" s="2"/>
      <c r="E1283" s="2"/>
      <c r="F1283" s="2"/>
      <c r="G1283" s="2"/>
      <c r="H1283" s="2"/>
      <c r="I1283" s="2"/>
      <c r="J1283" s="2"/>
      <c r="K1283" s="2"/>
    </row>
    <row r="1284">
      <c r="A1284" s="2"/>
      <c r="B1284" s="2"/>
      <c r="C1284" s="2"/>
      <c r="D1284" s="2"/>
      <c r="E1284" s="2"/>
      <c r="F1284" s="2"/>
      <c r="G1284" s="2"/>
      <c r="H1284" s="2"/>
      <c r="I1284" s="2"/>
      <c r="J1284" s="2"/>
      <c r="K1284" s="2"/>
    </row>
    <row r="1285">
      <c r="A1285" s="2"/>
      <c r="B1285" s="2"/>
      <c r="C1285" s="2"/>
      <c r="D1285" s="2"/>
      <c r="E1285" s="2"/>
      <c r="F1285" s="2"/>
      <c r="G1285" s="2"/>
      <c r="H1285" s="2"/>
      <c r="I1285" s="2"/>
      <c r="J1285" s="2"/>
      <c r="K1285" s="2"/>
    </row>
    <row r="1286">
      <c r="A1286" s="2"/>
      <c r="B1286" s="2"/>
      <c r="C1286" s="2"/>
      <c r="D1286" s="2"/>
      <c r="E1286" s="2"/>
      <c r="F1286" s="2"/>
      <c r="G1286" s="2"/>
      <c r="H1286" s="2"/>
      <c r="I1286" s="2"/>
      <c r="J1286" s="2"/>
      <c r="K1286" s="2"/>
    </row>
    <row r="1287">
      <c r="A1287" s="2"/>
      <c r="B1287" s="2"/>
      <c r="C1287" s="2"/>
      <c r="D1287" s="2"/>
      <c r="E1287" s="2"/>
      <c r="F1287" s="2"/>
      <c r="G1287" s="2"/>
      <c r="H1287" s="2"/>
      <c r="I1287" s="2"/>
      <c r="J1287" s="2"/>
      <c r="K1287" s="2"/>
    </row>
    <row r="1288">
      <c r="A1288" s="2"/>
      <c r="B1288" s="2"/>
      <c r="C1288" s="2"/>
      <c r="D1288" s="2"/>
      <c r="E1288" s="2"/>
      <c r="F1288" s="2"/>
      <c r="G1288" s="2"/>
      <c r="H1288" s="2"/>
      <c r="I1288" s="2"/>
      <c r="J1288" s="2"/>
      <c r="K1288" s="2"/>
    </row>
    <row r="1289">
      <c r="A1289" s="2"/>
      <c r="B1289" s="2"/>
      <c r="C1289" s="2"/>
      <c r="D1289" s="2"/>
      <c r="E1289" s="2"/>
      <c r="F1289" s="2"/>
      <c r="G1289" s="2"/>
      <c r="H1289" s="2"/>
      <c r="I1289" s="2"/>
      <c r="J1289" s="2"/>
      <c r="K1289" s="2"/>
    </row>
    <row r="1290">
      <c r="A1290" s="2"/>
      <c r="B1290" s="2"/>
      <c r="C1290" s="2"/>
      <c r="D1290" s="2"/>
      <c r="E1290" s="2"/>
      <c r="F1290" s="2"/>
      <c r="G1290" s="2"/>
      <c r="H1290" s="2"/>
      <c r="I1290" s="2"/>
      <c r="J1290" s="2"/>
      <c r="K1290" s="2"/>
    </row>
    <row r="1291">
      <c r="A1291" s="2"/>
      <c r="B1291" s="2"/>
      <c r="C1291" s="2"/>
      <c r="D1291" s="2"/>
      <c r="E1291" s="2"/>
      <c r="F1291" s="2"/>
      <c r="G1291" s="2"/>
      <c r="H1291" s="2"/>
      <c r="I1291" s="2"/>
      <c r="J1291" s="2"/>
      <c r="K1291" s="2"/>
    </row>
    <row r="1292">
      <c r="A1292" s="2"/>
      <c r="B1292" s="2"/>
      <c r="C1292" s="2"/>
      <c r="D1292" s="2"/>
      <c r="E1292" s="2"/>
      <c r="F1292" s="2"/>
      <c r="G1292" s="2"/>
      <c r="H1292" s="2"/>
      <c r="I1292" s="2"/>
      <c r="J1292" s="2"/>
      <c r="K1292" s="2"/>
    </row>
    <row r="1293">
      <c r="A1293" s="2"/>
      <c r="B1293" s="2"/>
      <c r="C1293" s="2"/>
      <c r="D1293" s="2"/>
      <c r="E1293" s="2"/>
      <c r="F1293" s="2"/>
      <c r="G1293" s="2"/>
      <c r="H1293" s="2"/>
      <c r="I1293" s="2"/>
      <c r="J1293" s="2"/>
      <c r="K1293" s="2"/>
    </row>
    <row r="1294">
      <c r="A1294" s="2"/>
      <c r="B1294" s="2"/>
      <c r="C1294" s="2"/>
      <c r="D1294" s="2"/>
      <c r="E1294" s="2"/>
      <c r="F1294" s="2"/>
      <c r="G1294" s="2"/>
      <c r="H1294" s="2"/>
      <c r="I1294" s="2"/>
      <c r="J1294" s="2"/>
      <c r="K1294" s="2"/>
    </row>
    <row r="1295">
      <c r="A1295" s="2"/>
      <c r="B1295" s="2"/>
      <c r="C1295" s="2"/>
      <c r="D1295" s="2"/>
      <c r="E1295" s="2"/>
      <c r="F1295" s="2"/>
      <c r="G1295" s="2"/>
      <c r="H1295" s="2"/>
      <c r="I1295" s="2"/>
      <c r="J1295" s="2"/>
      <c r="K1295" s="2"/>
    </row>
    <row r="1296">
      <c r="A1296" s="2"/>
      <c r="B1296" s="2"/>
      <c r="C1296" s="2"/>
      <c r="D1296" s="2"/>
      <c r="E1296" s="2"/>
      <c r="F1296" s="2"/>
      <c r="G1296" s="2"/>
      <c r="H1296" s="2"/>
      <c r="I1296" s="2"/>
      <c r="J1296" s="2"/>
      <c r="K1296" s="2"/>
    </row>
    <row r="1297">
      <c r="A1297" s="2"/>
      <c r="B1297" s="2"/>
      <c r="C1297" s="2"/>
      <c r="D1297" s="2"/>
      <c r="E1297" s="2"/>
      <c r="F1297" s="2"/>
      <c r="G1297" s="2"/>
      <c r="H1297" s="2"/>
      <c r="I1297" s="2"/>
      <c r="J1297" s="2"/>
      <c r="K1297" s="2"/>
    </row>
    <row r="1298">
      <c r="A1298" s="2"/>
      <c r="B1298" s="2"/>
      <c r="C1298" s="2"/>
      <c r="D1298" s="2"/>
      <c r="E1298" s="2"/>
      <c r="F1298" s="2"/>
      <c r="G1298" s="2"/>
      <c r="H1298" s="2"/>
      <c r="I1298" s="2"/>
      <c r="J1298" s="2"/>
      <c r="K1298" s="2"/>
    </row>
    <row r="1299">
      <c r="A1299" s="2"/>
      <c r="B1299" s="2"/>
      <c r="C1299" s="2"/>
      <c r="D1299" s="2"/>
      <c r="E1299" s="2"/>
      <c r="F1299" s="2"/>
      <c r="G1299" s="2"/>
      <c r="H1299" s="2"/>
      <c r="I1299" s="2"/>
      <c r="J1299" s="2"/>
      <c r="K1299" s="2"/>
    </row>
    <row r="1300">
      <c r="A1300" s="2"/>
      <c r="B1300" s="2"/>
      <c r="C1300" s="2"/>
      <c r="D1300" s="2"/>
      <c r="E1300" s="2"/>
      <c r="F1300" s="2"/>
      <c r="G1300" s="2"/>
      <c r="H1300" s="2"/>
      <c r="I1300" s="2"/>
      <c r="J1300" s="2"/>
      <c r="K1300" s="2"/>
    </row>
    <row r="1301">
      <c r="A1301" s="2"/>
      <c r="B1301" s="2"/>
      <c r="C1301" s="2"/>
      <c r="D1301" s="2"/>
      <c r="E1301" s="2"/>
      <c r="F1301" s="2"/>
      <c r="G1301" s="2"/>
      <c r="H1301" s="2"/>
      <c r="I1301" s="2"/>
      <c r="J1301" s="2"/>
      <c r="K1301" s="2"/>
    </row>
    <row r="1302">
      <c r="A1302" s="2"/>
      <c r="B1302" s="2"/>
      <c r="C1302" s="2"/>
      <c r="D1302" s="2"/>
      <c r="E1302" s="2"/>
      <c r="F1302" s="2"/>
      <c r="G1302" s="2"/>
      <c r="H1302" s="2"/>
      <c r="I1302" s="2"/>
      <c r="J1302" s="2"/>
      <c r="K1302" s="2"/>
    </row>
    <row r="1303">
      <c r="A1303" s="2"/>
      <c r="B1303" s="2"/>
      <c r="C1303" s="2"/>
      <c r="D1303" s="2"/>
      <c r="E1303" s="2"/>
      <c r="F1303" s="2"/>
      <c r="G1303" s="2"/>
      <c r="H1303" s="2"/>
      <c r="I1303" s="2"/>
      <c r="J1303" s="2"/>
      <c r="K1303" s="2"/>
    </row>
    <row r="1304">
      <c r="A1304" s="2"/>
      <c r="B1304" s="2"/>
      <c r="C1304" s="2"/>
      <c r="D1304" s="2"/>
      <c r="E1304" s="2"/>
      <c r="F1304" s="2"/>
      <c r="G1304" s="2"/>
      <c r="H1304" s="2"/>
      <c r="I1304" s="2"/>
      <c r="J1304" s="2"/>
      <c r="K1304" s="2"/>
    </row>
    <row r="1305">
      <c r="A1305" s="2"/>
      <c r="B1305" s="2"/>
      <c r="C1305" s="2"/>
      <c r="D1305" s="2"/>
      <c r="E1305" s="2"/>
      <c r="F1305" s="2"/>
      <c r="G1305" s="2"/>
      <c r="H1305" s="2"/>
      <c r="I1305" s="2"/>
      <c r="J1305" s="2"/>
      <c r="K1305" s="2"/>
    </row>
    <row r="1306">
      <c r="A1306" s="2"/>
      <c r="B1306" s="2"/>
      <c r="C1306" s="2"/>
      <c r="D1306" s="2"/>
      <c r="E1306" s="2"/>
      <c r="F1306" s="2"/>
      <c r="G1306" s="2"/>
      <c r="H1306" s="2"/>
      <c r="I1306" s="2"/>
      <c r="J1306" s="2"/>
      <c r="K1306" s="2"/>
    </row>
    <row r="1307">
      <c r="A1307" s="2"/>
      <c r="B1307" s="2"/>
      <c r="C1307" s="2"/>
      <c r="D1307" s="2"/>
      <c r="E1307" s="2"/>
      <c r="F1307" s="2"/>
      <c r="G1307" s="2"/>
      <c r="H1307" s="2"/>
      <c r="I1307" s="2"/>
      <c r="J1307" s="2"/>
      <c r="K1307" s="2"/>
    </row>
    <row r="1308">
      <c r="A1308" s="2"/>
      <c r="B1308" s="2"/>
      <c r="C1308" s="2"/>
      <c r="D1308" s="2"/>
      <c r="E1308" s="2"/>
      <c r="F1308" s="2"/>
      <c r="G1308" s="2"/>
      <c r="H1308" s="2"/>
      <c r="I1308" s="2"/>
      <c r="J1308" s="2"/>
      <c r="K1308" s="2"/>
    </row>
    <row r="1309">
      <c r="A1309" s="2"/>
      <c r="B1309" s="2"/>
      <c r="C1309" s="2"/>
      <c r="D1309" s="2"/>
      <c r="E1309" s="2"/>
      <c r="F1309" s="2"/>
      <c r="G1309" s="2"/>
      <c r="H1309" s="2"/>
      <c r="I1309" s="2"/>
      <c r="J1309" s="2"/>
      <c r="K1309" s="2"/>
    </row>
    <row r="1310">
      <c r="A1310" s="2"/>
      <c r="B1310" s="2"/>
      <c r="C1310" s="2"/>
      <c r="D1310" s="2"/>
      <c r="E1310" s="2"/>
      <c r="F1310" s="2"/>
      <c r="G1310" s="2"/>
      <c r="H1310" s="2"/>
      <c r="I1310" s="2"/>
      <c r="J1310" s="2"/>
      <c r="K1310" s="2"/>
    </row>
    <row r="1311">
      <c r="A1311" s="2"/>
      <c r="B1311" s="2"/>
      <c r="C1311" s="2"/>
      <c r="D1311" s="2"/>
      <c r="E1311" s="2"/>
      <c r="F1311" s="2"/>
      <c r="G1311" s="2"/>
      <c r="H1311" s="2"/>
      <c r="I1311" s="2"/>
      <c r="J1311" s="2"/>
      <c r="K1311" s="2"/>
    </row>
    <row r="1312">
      <c r="A1312" s="2"/>
      <c r="B1312" s="2"/>
      <c r="C1312" s="2"/>
      <c r="D1312" s="2"/>
      <c r="E1312" s="2"/>
      <c r="F1312" s="2"/>
      <c r="G1312" s="2"/>
      <c r="H1312" s="2"/>
      <c r="I1312" s="2"/>
      <c r="J1312" s="2"/>
      <c r="K1312" s="2"/>
    </row>
    <row r="1313">
      <c r="A1313" s="2"/>
      <c r="B1313" s="2"/>
      <c r="C1313" s="2"/>
      <c r="D1313" s="2"/>
      <c r="E1313" s="2"/>
      <c r="F1313" s="2"/>
      <c r="G1313" s="2"/>
      <c r="H1313" s="2"/>
      <c r="I1313" s="2"/>
      <c r="J1313" s="2"/>
      <c r="K1313" s="2"/>
    </row>
    <row r="1314">
      <c r="A1314" s="2"/>
      <c r="B1314" s="2"/>
      <c r="C1314" s="2"/>
      <c r="D1314" s="2"/>
      <c r="E1314" s="2"/>
      <c r="F1314" s="2"/>
      <c r="G1314" s="2"/>
      <c r="H1314" s="2"/>
      <c r="I1314" s="2"/>
      <c r="J1314" s="2"/>
      <c r="K1314" s="2"/>
    </row>
    <row r="1315">
      <c r="A1315" s="2"/>
      <c r="B1315" s="2"/>
      <c r="C1315" s="2"/>
      <c r="D1315" s="2"/>
      <c r="E1315" s="2"/>
      <c r="F1315" s="2"/>
      <c r="G1315" s="2"/>
      <c r="H1315" s="2"/>
      <c r="I1315" s="2"/>
      <c r="J1315" s="2"/>
      <c r="K1315" s="2"/>
    </row>
    <row r="1316">
      <c r="A1316" s="2"/>
      <c r="B1316" s="2"/>
      <c r="C1316" s="2"/>
      <c r="D1316" s="2"/>
      <c r="E1316" s="2"/>
      <c r="F1316" s="2"/>
      <c r="G1316" s="2"/>
      <c r="H1316" s="2"/>
      <c r="I1316" s="2"/>
      <c r="J1316" s="2"/>
      <c r="K1316" s="2"/>
    </row>
    <row r="1317">
      <c r="A1317" s="2"/>
      <c r="B1317" s="2"/>
      <c r="C1317" s="2"/>
      <c r="D1317" s="2"/>
      <c r="E1317" s="2"/>
      <c r="F1317" s="2"/>
      <c r="G1317" s="2"/>
      <c r="H1317" s="2"/>
      <c r="I1317" s="2"/>
      <c r="J1317" s="2"/>
      <c r="K1317" s="2"/>
    </row>
    <row r="1318">
      <c r="A1318" s="2"/>
      <c r="B1318" s="2"/>
      <c r="C1318" s="2"/>
      <c r="D1318" s="2"/>
      <c r="E1318" s="2"/>
      <c r="F1318" s="2"/>
      <c r="G1318" s="2"/>
      <c r="H1318" s="2"/>
      <c r="I1318" s="2"/>
      <c r="J1318" s="2"/>
      <c r="K1318" s="2"/>
    </row>
    <row r="1319">
      <c r="A1319" s="2"/>
      <c r="B1319" s="2"/>
      <c r="C1319" s="2"/>
      <c r="D1319" s="2"/>
      <c r="E1319" s="2"/>
      <c r="F1319" s="2"/>
      <c r="G1319" s="2"/>
      <c r="H1319" s="2"/>
      <c r="I1319" s="2"/>
      <c r="J1319" s="2"/>
      <c r="K1319" s="2"/>
    </row>
    <row r="1320">
      <c r="A1320" s="2"/>
      <c r="B1320" s="2"/>
      <c r="C1320" s="2"/>
      <c r="D1320" s="2"/>
      <c r="E1320" s="2"/>
      <c r="F1320" s="2"/>
      <c r="G1320" s="2"/>
      <c r="H1320" s="2"/>
      <c r="I1320" s="2"/>
      <c r="J1320" s="2"/>
      <c r="K1320" s="2"/>
    </row>
    <row r="1321">
      <c r="A1321" s="2"/>
      <c r="B1321" s="2"/>
      <c r="C1321" s="2"/>
      <c r="D1321" s="2"/>
      <c r="E1321" s="2"/>
      <c r="F1321" s="2"/>
      <c r="G1321" s="2"/>
      <c r="H1321" s="2"/>
      <c r="I1321" s="2"/>
      <c r="J1321" s="2"/>
      <c r="K1321" s="2"/>
    </row>
    <row r="1322">
      <c r="A1322" s="2"/>
      <c r="B1322" s="2"/>
      <c r="C1322" s="2"/>
      <c r="D1322" s="2"/>
      <c r="E1322" s="2"/>
      <c r="F1322" s="2"/>
      <c r="G1322" s="2"/>
      <c r="H1322" s="2"/>
      <c r="I1322" s="2"/>
      <c r="J1322" s="2"/>
      <c r="K1322" s="2"/>
    </row>
    <row r="1323">
      <c r="A1323" s="2"/>
      <c r="B1323" s="2"/>
      <c r="C1323" s="2"/>
      <c r="D1323" s="2"/>
      <c r="E1323" s="2"/>
      <c r="F1323" s="2"/>
      <c r="G1323" s="2"/>
      <c r="H1323" s="2"/>
      <c r="I1323" s="2"/>
      <c r="J1323" s="2"/>
      <c r="K1323" s="2"/>
    </row>
    <row r="1324">
      <c r="A1324" s="2"/>
      <c r="B1324" s="2"/>
      <c r="C1324" s="2"/>
      <c r="D1324" s="2"/>
      <c r="E1324" s="2"/>
      <c r="F1324" s="2"/>
      <c r="G1324" s="2"/>
      <c r="H1324" s="2"/>
      <c r="I1324" s="2"/>
      <c r="J1324" s="2"/>
      <c r="K1324" s="2"/>
    </row>
    <row r="1325">
      <c r="A1325" s="2"/>
      <c r="B1325" s="2"/>
      <c r="C1325" s="2"/>
      <c r="D1325" s="2"/>
      <c r="E1325" s="2"/>
      <c r="F1325" s="2"/>
      <c r="G1325" s="2"/>
      <c r="H1325" s="2"/>
      <c r="I1325" s="2"/>
      <c r="J1325" s="2"/>
      <c r="K1325" s="2"/>
    </row>
    <row r="1326">
      <c r="A1326" s="2"/>
      <c r="B1326" s="2"/>
      <c r="C1326" s="2"/>
      <c r="D1326" s="2"/>
      <c r="E1326" s="2"/>
      <c r="F1326" s="2"/>
      <c r="G1326" s="2"/>
      <c r="H1326" s="2"/>
      <c r="I1326" s="2"/>
      <c r="J1326" s="2"/>
      <c r="K1326" s="2"/>
    </row>
    <row r="1327">
      <c r="A1327" s="2"/>
      <c r="B1327" s="2"/>
      <c r="C1327" s="2"/>
      <c r="D1327" s="2"/>
      <c r="E1327" s="2"/>
      <c r="F1327" s="2"/>
      <c r="G1327" s="2"/>
      <c r="H1327" s="2"/>
      <c r="I1327" s="2"/>
      <c r="J1327" s="2"/>
      <c r="K1327" s="2"/>
    </row>
    <row r="1328">
      <c r="A1328" s="2"/>
      <c r="B1328" s="2"/>
      <c r="C1328" s="2"/>
      <c r="D1328" s="2"/>
      <c r="E1328" s="2"/>
      <c r="F1328" s="2"/>
      <c r="G1328" s="2"/>
      <c r="H1328" s="2"/>
      <c r="I1328" s="2"/>
      <c r="J1328" s="2"/>
      <c r="K1328" s="2"/>
    </row>
    <row r="1329">
      <c r="A1329" s="2"/>
      <c r="B1329" s="2"/>
      <c r="C1329" s="2"/>
      <c r="D1329" s="2"/>
      <c r="E1329" s="2"/>
      <c r="F1329" s="2"/>
      <c r="G1329" s="2"/>
      <c r="H1329" s="2"/>
      <c r="I1329" s="2"/>
      <c r="J1329" s="2"/>
      <c r="K1329" s="2"/>
    </row>
    <row r="1330">
      <c r="A1330" s="2"/>
      <c r="B1330" s="2"/>
      <c r="C1330" s="2"/>
      <c r="D1330" s="2"/>
      <c r="E1330" s="2"/>
      <c r="F1330" s="2"/>
      <c r="G1330" s="2"/>
      <c r="H1330" s="2"/>
      <c r="I1330" s="2"/>
      <c r="J1330" s="2"/>
      <c r="K1330" s="2"/>
    </row>
    <row r="1331">
      <c r="A1331" s="2"/>
      <c r="B1331" s="2"/>
      <c r="C1331" s="2"/>
      <c r="D1331" s="2"/>
      <c r="E1331" s="2"/>
      <c r="F1331" s="2"/>
      <c r="G1331" s="2"/>
      <c r="H1331" s="2"/>
      <c r="I1331" s="2"/>
      <c r="J1331" s="2"/>
      <c r="K1331" s="2"/>
    </row>
    <row r="1332">
      <c r="A1332" s="2"/>
      <c r="B1332" s="2"/>
      <c r="C1332" s="2"/>
      <c r="D1332" s="2"/>
      <c r="E1332" s="2"/>
      <c r="F1332" s="2"/>
      <c r="G1332" s="2"/>
      <c r="H1332" s="2"/>
      <c r="I1332" s="2"/>
      <c r="J1332" s="2"/>
      <c r="K1332" s="2"/>
    </row>
    <row r="1333">
      <c r="A1333" s="2"/>
      <c r="B1333" s="2"/>
      <c r="C1333" s="2"/>
      <c r="D1333" s="2"/>
      <c r="E1333" s="2"/>
      <c r="F1333" s="2"/>
      <c r="G1333" s="2"/>
      <c r="H1333" s="2"/>
      <c r="I1333" s="2"/>
      <c r="J1333" s="2"/>
      <c r="K1333" s="2"/>
    </row>
    <row r="1334">
      <c r="A1334" s="2"/>
      <c r="B1334" s="2"/>
      <c r="C1334" s="2"/>
      <c r="D1334" s="2"/>
      <c r="E1334" s="2"/>
      <c r="F1334" s="2"/>
      <c r="G1334" s="2"/>
      <c r="H1334" s="2"/>
      <c r="I1334" s="2"/>
      <c r="J1334" s="2"/>
      <c r="K1334" s="2"/>
    </row>
    <row r="1335">
      <c r="A1335" s="2"/>
      <c r="B1335" s="2"/>
      <c r="C1335" s="2"/>
      <c r="D1335" s="2"/>
      <c r="E1335" s="2"/>
      <c r="F1335" s="2"/>
      <c r="G1335" s="2"/>
      <c r="H1335" s="2"/>
      <c r="I1335" s="2"/>
      <c r="J1335" s="2"/>
      <c r="K1335" s="2"/>
    </row>
    <row r="1336">
      <c r="A1336" s="2"/>
      <c r="B1336" s="2"/>
      <c r="C1336" s="2"/>
      <c r="D1336" s="2"/>
      <c r="E1336" s="2"/>
      <c r="F1336" s="2"/>
      <c r="G1336" s="2"/>
      <c r="H1336" s="2"/>
      <c r="I1336" s="2"/>
      <c r="J1336" s="2"/>
      <c r="K1336" s="2"/>
    </row>
    <row r="1337">
      <c r="A1337" s="2"/>
      <c r="B1337" s="2"/>
      <c r="C1337" s="2"/>
      <c r="D1337" s="2"/>
      <c r="E1337" s="2"/>
      <c r="F1337" s="2"/>
      <c r="G1337" s="2"/>
      <c r="H1337" s="2"/>
      <c r="I1337" s="2"/>
      <c r="J1337" s="2"/>
      <c r="K1337" s="2"/>
    </row>
    <row r="1338">
      <c r="A1338" s="2"/>
      <c r="B1338" s="2"/>
      <c r="C1338" s="2"/>
      <c r="D1338" s="2"/>
      <c r="E1338" s="2"/>
      <c r="F1338" s="2"/>
      <c r="G1338" s="2"/>
      <c r="H1338" s="2"/>
      <c r="I1338" s="2"/>
      <c r="J1338" s="2"/>
      <c r="K1338" s="2"/>
    </row>
    <row r="1339">
      <c r="A1339" s="2"/>
      <c r="B1339" s="2"/>
      <c r="C1339" s="2"/>
      <c r="D1339" s="2"/>
      <c r="E1339" s="2"/>
      <c r="F1339" s="2"/>
      <c r="G1339" s="2"/>
      <c r="H1339" s="2"/>
      <c r="I1339" s="2"/>
      <c r="J1339" s="2"/>
      <c r="K1339" s="2"/>
    </row>
    <row r="1340">
      <c r="A1340" s="2"/>
      <c r="B1340" s="2"/>
      <c r="C1340" s="2"/>
      <c r="D1340" s="2"/>
      <c r="E1340" s="2"/>
      <c r="F1340" s="2"/>
      <c r="G1340" s="2"/>
      <c r="H1340" s="2"/>
      <c r="I1340" s="2"/>
      <c r="J1340" s="2"/>
      <c r="K1340" s="2"/>
    </row>
    <row r="1341">
      <c r="A1341" s="2"/>
      <c r="B1341" s="2"/>
      <c r="C1341" s="2"/>
      <c r="D1341" s="2"/>
      <c r="E1341" s="2"/>
      <c r="F1341" s="2"/>
      <c r="G1341" s="2"/>
      <c r="H1341" s="2"/>
      <c r="I1341" s="2"/>
      <c r="J1341" s="2"/>
      <c r="K1341" s="2"/>
    </row>
    <row r="1342">
      <c r="A1342" s="2"/>
      <c r="B1342" s="2"/>
      <c r="C1342" s="2"/>
      <c r="D1342" s="2"/>
      <c r="E1342" s="2"/>
      <c r="F1342" s="2"/>
      <c r="G1342" s="2"/>
      <c r="H1342" s="2"/>
      <c r="I1342" s="2"/>
      <c r="J1342" s="2"/>
      <c r="K1342" s="2"/>
    </row>
    <row r="1343">
      <c r="A1343" s="2"/>
      <c r="B1343" s="2"/>
      <c r="C1343" s="2"/>
      <c r="D1343" s="2"/>
      <c r="E1343" s="2"/>
      <c r="F1343" s="2"/>
      <c r="G1343" s="2"/>
      <c r="H1343" s="2"/>
      <c r="I1343" s="2"/>
      <c r="J1343" s="2"/>
      <c r="K1343" s="2"/>
    </row>
    <row r="1344">
      <c r="A1344" s="2"/>
      <c r="B1344" s="2"/>
      <c r="C1344" s="2"/>
      <c r="D1344" s="2"/>
      <c r="E1344" s="2"/>
      <c r="F1344" s="2"/>
      <c r="G1344" s="2"/>
      <c r="H1344" s="2"/>
      <c r="I1344" s="2"/>
      <c r="J1344" s="2"/>
      <c r="K1344" s="2"/>
    </row>
    <row r="1345">
      <c r="A1345" s="2"/>
      <c r="B1345" s="2"/>
      <c r="C1345" s="2"/>
      <c r="D1345" s="2"/>
      <c r="E1345" s="2"/>
      <c r="F1345" s="2"/>
      <c r="G1345" s="2"/>
      <c r="H1345" s="2"/>
      <c r="I1345" s="2"/>
      <c r="J1345" s="2"/>
      <c r="K1345" s="2"/>
    </row>
    <row r="1346">
      <c r="A1346" s="2"/>
      <c r="B1346" s="2"/>
      <c r="C1346" s="2"/>
      <c r="D1346" s="2"/>
      <c r="E1346" s="2"/>
      <c r="F1346" s="2"/>
      <c r="G1346" s="2"/>
      <c r="H1346" s="2"/>
      <c r="I1346" s="2"/>
      <c r="J1346" s="2"/>
      <c r="K1346" s="2"/>
    </row>
    <row r="1347">
      <c r="A1347" s="2"/>
      <c r="B1347" s="2"/>
      <c r="C1347" s="2"/>
      <c r="D1347" s="2"/>
      <c r="E1347" s="2"/>
      <c r="F1347" s="2"/>
      <c r="G1347" s="2"/>
      <c r="H1347" s="2"/>
      <c r="I1347" s="2"/>
      <c r="J1347" s="2"/>
      <c r="K1347" s="2"/>
    </row>
    <row r="1348">
      <c r="A1348" s="2"/>
      <c r="B1348" s="2"/>
      <c r="C1348" s="2"/>
      <c r="D1348" s="2"/>
      <c r="E1348" s="2"/>
      <c r="F1348" s="2"/>
      <c r="G1348" s="2"/>
      <c r="H1348" s="2"/>
      <c r="I1348" s="2"/>
      <c r="J1348" s="2"/>
      <c r="K1348" s="2"/>
    </row>
    <row r="1349">
      <c r="A1349" s="2"/>
      <c r="B1349" s="2"/>
      <c r="C1349" s="2"/>
      <c r="D1349" s="2"/>
      <c r="E1349" s="2"/>
      <c r="F1349" s="2"/>
      <c r="G1349" s="2"/>
      <c r="H1349" s="2"/>
      <c r="I1349" s="2"/>
      <c r="J1349" s="2"/>
      <c r="K1349" s="2"/>
    </row>
    <row r="1350">
      <c r="A1350" s="2"/>
      <c r="B1350" s="2"/>
      <c r="C1350" s="2"/>
      <c r="D1350" s="2"/>
      <c r="E1350" s="2"/>
      <c r="F1350" s="2"/>
      <c r="G1350" s="2"/>
      <c r="H1350" s="2"/>
      <c r="I1350" s="2"/>
      <c r="J1350" s="2"/>
      <c r="K1350" s="2"/>
    </row>
    <row r="1351">
      <c r="A1351" s="2"/>
      <c r="B1351" s="2"/>
      <c r="C1351" s="2"/>
      <c r="D1351" s="2"/>
      <c r="E1351" s="2"/>
      <c r="F1351" s="2"/>
      <c r="G1351" s="2"/>
      <c r="H1351" s="2"/>
      <c r="I1351" s="2"/>
      <c r="J1351" s="2"/>
      <c r="K1351" s="2"/>
    </row>
    <row r="1352">
      <c r="A1352" s="2"/>
      <c r="B1352" s="2"/>
      <c r="C1352" s="2"/>
      <c r="D1352" s="2"/>
      <c r="E1352" s="2"/>
      <c r="F1352" s="2"/>
      <c r="G1352" s="2"/>
      <c r="H1352" s="2"/>
      <c r="I1352" s="2"/>
      <c r="J1352" s="2"/>
      <c r="K1352" s="2"/>
    </row>
    <row r="1353">
      <c r="A1353" s="2"/>
      <c r="B1353" s="2"/>
      <c r="C1353" s="2"/>
      <c r="D1353" s="2"/>
      <c r="E1353" s="2"/>
      <c r="F1353" s="2"/>
      <c r="G1353" s="2"/>
      <c r="H1353" s="2"/>
      <c r="I1353" s="2"/>
      <c r="J1353" s="2"/>
      <c r="K1353" s="2"/>
    </row>
    <row r="1354">
      <c r="A1354" s="2"/>
      <c r="B1354" s="2"/>
      <c r="C1354" s="2"/>
      <c r="D1354" s="2"/>
      <c r="E1354" s="2"/>
      <c r="F1354" s="2"/>
      <c r="G1354" s="2"/>
      <c r="H1354" s="2"/>
      <c r="I1354" s="2"/>
      <c r="J1354" s="2"/>
      <c r="K1354" s="2"/>
    </row>
    <row r="1355">
      <c r="A1355" s="2"/>
      <c r="B1355" s="2"/>
      <c r="C1355" s="2"/>
      <c r="D1355" s="2"/>
      <c r="E1355" s="2"/>
      <c r="F1355" s="2"/>
      <c r="G1355" s="2"/>
      <c r="H1355" s="2"/>
      <c r="I1355" s="2"/>
      <c r="J1355" s="2"/>
      <c r="K1355" s="2"/>
    </row>
    <row r="1356">
      <c r="A1356" s="2"/>
      <c r="B1356" s="2"/>
      <c r="C1356" s="2"/>
      <c r="D1356" s="2"/>
      <c r="E1356" s="2"/>
      <c r="F1356" s="2"/>
      <c r="G1356" s="2"/>
      <c r="H1356" s="2"/>
      <c r="I1356" s="2"/>
      <c r="J1356" s="2"/>
      <c r="K1356" s="2"/>
    </row>
    <row r="1357">
      <c r="A1357" s="2"/>
      <c r="B1357" s="2"/>
      <c r="C1357" s="2"/>
      <c r="D1357" s="2"/>
      <c r="E1357" s="2"/>
      <c r="F1357" s="2"/>
      <c r="G1357" s="2"/>
      <c r="H1357" s="2"/>
      <c r="I1357" s="2"/>
      <c r="J1357" s="2"/>
      <c r="K1357" s="2"/>
    </row>
    <row r="1358">
      <c r="A1358" s="2"/>
      <c r="B1358" s="2"/>
      <c r="C1358" s="2"/>
      <c r="D1358" s="2"/>
      <c r="E1358" s="2"/>
      <c r="F1358" s="2"/>
      <c r="G1358" s="2"/>
      <c r="H1358" s="2"/>
      <c r="I1358" s="2"/>
      <c r="J1358" s="2"/>
      <c r="K1358" s="2"/>
    </row>
    <row r="1359">
      <c r="A1359" s="2"/>
      <c r="B1359" s="2"/>
      <c r="C1359" s="2"/>
      <c r="D1359" s="2"/>
      <c r="E1359" s="2"/>
      <c r="F1359" s="2"/>
      <c r="G1359" s="2"/>
      <c r="H1359" s="2"/>
      <c r="I1359" s="2"/>
      <c r="J1359" s="2"/>
      <c r="K1359" s="2"/>
    </row>
    <row r="1360">
      <c r="A1360" s="2"/>
      <c r="B1360" s="2"/>
      <c r="C1360" s="2"/>
      <c r="D1360" s="2"/>
      <c r="E1360" s="2"/>
      <c r="F1360" s="2"/>
      <c r="G1360" s="2"/>
      <c r="H1360" s="2"/>
      <c r="I1360" s="2"/>
      <c r="J1360" s="2"/>
      <c r="K1360" s="2"/>
    </row>
    <row r="1361">
      <c r="A1361" s="2"/>
      <c r="B1361" s="2"/>
      <c r="C1361" s="2"/>
      <c r="D1361" s="2"/>
      <c r="E1361" s="2"/>
      <c r="F1361" s="2"/>
      <c r="G1361" s="2"/>
      <c r="H1361" s="2"/>
      <c r="I1361" s="2"/>
      <c r="J1361" s="2"/>
      <c r="K1361" s="2"/>
    </row>
    <row r="1362">
      <c r="A1362" s="2"/>
      <c r="B1362" s="2"/>
      <c r="C1362" s="2"/>
      <c r="D1362" s="2"/>
      <c r="E1362" s="2"/>
      <c r="F1362" s="2"/>
      <c r="G1362" s="2"/>
      <c r="H1362" s="2"/>
      <c r="I1362" s="2"/>
      <c r="J1362" s="2"/>
      <c r="K1362" s="2"/>
    </row>
    <row r="1363">
      <c r="A1363" s="2"/>
      <c r="B1363" s="2"/>
      <c r="C1363" s="2"/>
      <c r="D1363" s="2"/>
      <c r="E1363" s="2"/>
      <c r="F1363" s="2"/>
      <c r="G1363" s="2"/>
      <c r="H1363" s="2"/>
      <c r="I1363" s="2"/>
      <c r="J1363" s="2"/>
      <c r="K1363" s="2"/>
    </row>
    <row r="1364">
      <c r="A1364" s="2"/>
      <c r="B1364" s="2"/>
      <c r="C1364" s="2"/>
      <c r="D1364" s="2"/>
      <c r="E1364" s="2"/>
      <c r="F1364" s="2"/>
      <c r="G1364" s="2"/>
      <c r="H1364" s="2"/>
      <c r="I1364" s="2"/>
      <c r="J1364" s="2"/>
      <c r="K1364" s="2"/>
    </row>
    <row r="1365">
      <c r="A1365" s="2"/>
      <c r="B1365" s="2"/>
      <c r="C1365" s="2"/>
      <c r="D1365" s="2"/>
      <c r="E1365" s="2"/>
      <c r="F1365" s="2"/>
      <c r="G1365" s="2"/>
      <c r="H1365" s="2"/>
      <c r="I1365" s="2"/>
      <c r="J1365" s="2"/>
      <c r="K1365" s="2"/>
    </row>
    <row r="1366">
      <c r="A1366" s="2"/>
      <c r="B1366" s="2"/>
      <c r="C1366" s="2"/>
      <c r="D1366" s="2"/>
      <c r="E1366" s="2"/>
      <c r="F1366" s="2"/>
      <c r="G1366" s="2"/>
      <c r="H1366" s="2"/>
      <c r="I1366" s="2"/>
      <c r="J1366" s="2"/>
      <c r="K1366" s="2"/>
    </row>
    <row r="1367">
      <c r="A1367" s="2"/>
      <c r="B1367" s="2"/>
      <c r="C1367" s="2"/>
      <c r="D1367" s="2"/>
      <c r="E1367" s="2"/>
      <c r="F1367" s="2"/>
      <c r="G1367" s="2"/>
      <c r="H1367" s="2"/>
      <c r="I1367" s="2"/>
      <c r="J1367" s="2"/>
      <c r="K1367" s="2"/>
    </row>
    <row r="1368">
      <c r="A1368" s="2"/>
      <c r="B1368" s="2"/>
      <c r="C1368" s="2"/>
      <c r="D1368" s="2"/>
      <c r="E1368" s="2"/>
      <c r="F1368" s="2"/>
      <c r="G1368" s="2"/>
      <c r="H1368" s="2"/>
      <c r="I1368" s="2"/>
      <c r="J1368" s="2"/>
      <c r="K1368" s="2"/>
    </row>
    <row r="1369">
      <c r="A1369" s="2"/>
      <c r="B1369" s="2"/>
      <c r="C1369" s="2"/>
      <c r="D1369" s="2"/>
      <c r="E1369" s="2"/>
      <c r="F1369" s="2"/>
      <c r="G1369" s="2"/>
      <c r="H1369" s="2"/>
      <c r="I1369" s="2"/>
      <c r="J1369" s="2"/>
      <c r="K1369" s="2"/>
    </row>
    <row r="1370">
      <c r="A1370" s="2"/>
      <c r="B1370" s="2"/>
      <c r="C1370" s="2"/>
      <c r="D1370" s="2"/>
      <c r="E1370" s="2"/>
      <c r="F1370" s="2"/>
      <c r="G1370" s="2"/>
      <c r="H1370" s="2"/>
      <c r="I1370" s="2"/>
      <c r="J1370" s="2"/>
      <c r="K1370" s="2"/>
    </row>
    <row r="1371">
      <c r="A1371" s="2"/>
      <c r="B1371" s="2"/>
      <c r="C1371" s="2"/>
      <c r="D1371" s="2"/>
      <c r="E1371" s="2"/>
      <c r="F1371" s="2"/>
      <c r="G1371" s="2"/>
      <c r="H1371" s="2"/>
      <c r="I1371" s="2"/>
      <c r="J1371" s="2"/>
      <c r="K1371" s="2"/>
    </row>
    <row r="1372">
      <c r="A1372" s="2"/>
      <c r="B1372" s="2"/>
      <c r="C1372" s="2"/>
      <c r="D1372" s="2"/>
      <c r="E1372" s="2"/>
      <c r="F1372" s="2"/>
      <c r="G1372" s="2"/>
      <c r="H1372" s="2"/>
      <c r="I1372" s="2"/>
      <c r="J1372" s="2"/>
      <c r="K1372" s="2"/>
    </row>
    <row r="1373">
      <c r="A1373" s="2"/>
      <c r="B1373" s="2"/>
      <c r="C1373" s="2"/>
      <c r="D1373" s="2"/>
      <c r="E1373" s="2"/>
      <c r="F1373" s="2"/>
      <c r="G1373" s="2"/>
      <c r="H1373" s="2"/>
      <c r="I1373" s="2"/>
      <c r="J1373" s="2"/>
      <c r="K1373" s="2"/>
    </row>
    <row r="1374">
      <c r="A1374" s="2"/>
      <c r="B1374" s="2"/>
      <c r="C1374" s="2"/>
      <c r="D1374" s="2"/>
      <c r="E1374" s="2"/>
      <c r="F1374" s="2"/>
      <c r="G1374" s="2"/>
      <c r="H1374" s="2"/>
      <c r="I1374" s="2"/>
      <c r="J1374" s="2"/>
      <c r="K1374" s="2"/>
    </row>
    <row r="1375">
      <c r="A1375" s="2"/>
      <c r="B1375" s="2"/>
      <c r="C1375" s="2"/>
      <c r="D1375" s="2"/>
      <c r="E1375" s="2"/>
      <c r="F1375" s="2"/>
      <c r="G1375" s="2"/>
      <c r="H1375" s="2"/>
      <c r="I1375" s="2"/>
      <c r="J1375" s="2"/>
      <c r="K1375" s="2"/>
    </row>
    <row r="1376">
      <c r="A1376" s="2"/>
      <c r="B1376" s="2"/>
      <c r="C1376" s="2"/>
      <c r="D1376" s="2"/>
      <c r="E1376" s="2"/>
      <c r="F1376" s="2"/>
      <c r="G1376" s="2"/>
      <c r="H1376" s="2"/>
      <c r="I1376" s="2"/>
      <c r="J1376" s="2"/>
      <c r="K1376" s="2"/>
    </row>
    <row r="1377">
      <c r="A1377" s="2"/>
      <c r="B1377" s="2"/>
      <c r="C1377" s="2"/>
      <c r="D1377" s="2"/>
      <c r="E1377" s="2"/>
      <c r="F1377" s="2"/>
      <c r="G1377" s="2"/>
      <c r="H1377" s="2"/>
      <c r="I1377" s="2"/>
      <c r="J1377" s="2"/>
      <c r="K1377" s="2"/>
    </row>
    <row r="1378">
      <c r="A1378" s="2"/>
      <c r="B1378" s="2"/>
      <c r="C1378" s="2"/>
      <c r="D1378" s="2"/>
      <c r="E1378" s="2"/>
      <c r="F1378" s="2"/>
      <c r="G1378" s="2"/>
      <c r="H1378" s="2"/>
      <c r="I1378" s="2"/>
      <c r="J1378" s="2"/>
      <c r="K1378" s="2"/>
    </row>
    <row r="1379">
      <c r="A1379" s="2"/>
      <c r="B1379" s="2"/>
      <c r="C1379" s="2"/>
      <c r="D1379" s="2"/>
      <c r="E1379" s="2"/>
      <c r="F1379" s="2"/>
      <c r="G1379" s="2"/>
      <c r="H1379" s="2"/>
      <c r="I1379" s="2"/>
      <c r="J1379" s="2"/>
      <c r="K1379" s="2"/>
    </row>
    <row r="1380">
      <c r="A1380" s="2"/>
      <c r="B1380" s="2"/>
      <c r="C1380" s="2"/>
      <c r="D1380" s="2"/>
      <c r="E1380" s="2"/>
      <c r="F1380" s="2"/>
      <c r="G1380" s="2"/>
      <c r="H1380" s="2"/>
      <c r="I1380" s="2"/>
      <c r="J1380" s="2"/>
      <c r="K1380" s="2"/>
    </row>
    <row r="1381">
      <c r="A1381" s="2"/>
      <c r="B1381" s="2"/>
      <c r="C1381" s="2"/>
      <c r="D1381" s="2"/>
      <c r="E1381" s="2"/>
      <c r="F1381" s="2"/>
      <c r="G1381" s="2"/>
      <c r="H1381" s="2"/>
      <c r="I1381" s="2"/>
      <c r="J1381" s="2"/>
      <c r="K1381" s="2"/>
    </row>
    <row r="1382">
      <c r="A1382" s="2"/>
      <c r="B1382" s="2"/>
      <c r="C1382" s="2"/>
      <c r="D1382" s="2"/>
      <c r="E1382" s="2"/>
      <c r="F1382" s="2"/>
      <c r="G1382" s="2"/>
      <c r="H1382" s="2"/>
      <c r="I1382" s="2"/>
      <c r="J1382" s="2"/>
      <c r="K1382" s="2"/>
    </row>
    <row r="1383">
      <c r="A1383" s="2"/>
      <c r="B1383" s="2"/>
      <c r="C1383" s="2"/>
      <c r="D1383" s="2"/>
      <c r="E1383" s="2"/>
      <c r="F1383" s="2"/>
      <c r="G1383" s="2"/>
      <c r="H1383" s="2"/>
      <c r="I1383" s="2"/>
      <c r="J1383" s="2"/>
      <c r="K1383" s="2"/>
    </row>
    <row r="1384">
      <c r="A1384" s="2"/>
      <c r="B1384" s="2"/>
      <c r="C1384" s="2"/>
      <c r="D1384" s="2"/>
      <c r="E1384" s="2"/>
      <c r="F1384" s="2"/>
      <c r="G1384" s="2"/>
      <c r="H1384" s="2"/>
      <c r="I1384" s="2"/>
      <c r="J1384" s="2"/>
      <c r="K1384" s="2"/>
    </row>
    <row r="1385">
      <c r="A1385" s="2"/>
      <c r="B1385" s="2"/>
      <c r="C1385" s="2"/>
      <c r="D1385" s="2"/>
      <c r="E1385" s="2"/>
      <c r="F1385" s="2"/>
      <c r="G1385" s="2"/>
      <c r="H1385" s="2"/>
      <c r="I1385" s="2"/>
      <c r="J1385" s="2"/>
      <c r="K1385" s="2"/>
    </row>
    <row r="1386">
      <c r="A1386" s="2"/>
      <c r="B1386" s="2"/>
      <c r="C1386" s="2"/>
      <c r="D1386" s="2"/>
      <c r="E1386" s="2"/>
      <c r="F1386" s="2"/>
      <c r="G1386" s="2"/>
      <c r="H1386" s="2"/>
      <c r="I1386" s="2"/>
      <c r="J1386" s="2"/>
      <c r="K1386" s="2"/>
    </row>
    <row r="1387">
      <c r="A1387" s="2"/>
      <c r="B1387" s="2"/>
      <c r="C1387" s="2"/>
      <c r="D1387" s="2"/>
      <c r="E1387" s="2"/>
      <c r="F1387" s="2"/>
      <c r="G1387" s="2"/>
      <c r="H1387" s="2"/>
      <c r="I1387" s="2"/>
      <c r="J1387" s="2"/>
      <c r="K1387" s="2"/>
    </row>
    <row r="1388">
      <c r="A1388" s="2"/>
      <c r="B1388" s="2"/>
      <c r="C1388" s="2"/>
      <c r="D1388" s="2"/>
      <c r="E1388" s="2"/>
      <c r="F1388" s="2"/>
      <c r="G1388" s="2"/>
      <c r="H1388" s="2"/>
      <c r="I1388" s="2"/>
      <c r="J1388" s="2"/>
      <c r="K1388" s="2"/>
    </row>
    <row r="1389">
      <c r="A1389" s="2"/>
      <c r="B1389" s="2"/>
      <c r="C1389" s="2"/>
      <c r="D1389" s="2"/>
      <c r="E1389" s="2"/>
      <c r="F1389" s="2"/>
      <c r="G1389" s="2"/>
      <c r="H1389" s="2"/>
      <c r="I1389" s="2"/>
      <c r="J1389" s="2"/>
      <c r="K1389" s="2"/>
    </row>
    <row r="1390">
      <c r="A1390" s="2"/>
      <c r="B1390" s="2"/>
      <c r="C1390" s="2"/>
      <c r="D1390" s="2"/>
      <c r="E1390" s="2"/>
      <c r="F1390" s="2"/>
      <c r="G1390" s="2"/>
      <c r="H1390" s="2"/>
      <c r="I1390" s="2"/>
      <c r="J1390" s="2"/>
      <c r="K1390" s="2"/>
    </row>
    <row r="1391">
      <c r="A1391" s="2"/>
      <c r="B1391" s="2"/>
      <c r="C1391" s="2"/>
      <c r="D1391" s="2"/>
      <c r="E1391" s="2"/>
      <c r="F1391" s="2"/>
      <c r="G1391" s="2"/>
      <c r="H1391" s="2"/>
      <c r="I1391" s="2"/>
      <c r="J1391" s="2"/>
      <c r="K1391" s="2"/>
    </row>
    <row r="1392">
      <c r="A1392" s="2"/>
      <c r="B1392" s="2"/>
      <c r="C1392" s="2"/>
      <c r="D1392" s="2"/>
      <c r="E1392" s="2"/>
      <c r="F1392" s="2"/>
      <c r="G1392" s="2"/>
      <c r="H1392" s="2"/>
      <c r="I1392" s="2"/>
      <c r="J1392" s="2"/>
      <c r="K1392" s="2"/>
    </row>
    <row r="1393">
      <c r="A1393" s="2"/>
      <c r="B1393" s="2"/>
      <c r="C1393" s="2"/>
      <c r="D1393" s="2"/>
      <c r="E1393" s="2"/>
      <c r="F1393" s="2"/>
      <c r="G1393" s="2"/>
      <c r="H1393" s="2"/>
      <c r="I1393" s="2"/>
      <c r="J1393" s="2"/>
      <c r="K1393" s="2"/>
    </row>
    <row r="1394">
      <c r="A1394" s="2"/>
      <c r="B1394" s="2"/>
      <c r="C1394" s="2"/>
      <c r="D1394" s="2"/>
      <c r="E1394" s="2"/>
      <c r="F1394" s="2"/>
      <c r="G1394" s="2"/>
      <c r="H1394" s="2"/>
      <c r="I1394" s="2"/>
      <c r="J1394" s="2"/>
      <c r="K1394" s="2"/>
    </row>
    <row r="1395">
      <c r="A1395" s="2"/>
      <c r="B1395" s="2"/>
      <c r="C1395" s="2"/>
      <c r="D1395" s="2"/>
      <c r="E1395" s="2"/>
      <c r="F1395" s="2"/>
      <c r="G1395" s="2"/>
      <c r="H1395" s="2"/>
      <c r="I1395" s="2"/>
      <c r="J1395" s="2"/>
      <c r="K1395" s="2"/>
    </row>
    <row r="1396">
      <c r="A1396" s="2"/>
      <c r="B1396" s="2"/>
      <c r="C1396" s="2"/>
      <c r="D1396" s="2"/>
      <c r="E1396" s="2"/>
      <c r="F1396" s="2"/>
      <c r="G1396" s="2"/>
      <c r="H1396" s="2"/>
      <c r="I1396" s="2"/>
      <c r="J1396" s="2"/>
      <c r="K1396" s="2"/>
    </row>
    <row r="1397">
      <c r="A1397" s="2"/>
      <c r="B1397" s="2"/>
      <c r="C1397" s="2"/>
      <c r="D1397" s="2"/>
      <c r="E1397" s="2"/>
      <c r="F1397" s="2"/>
      <c r="G1397" s="2"/>
      <c r="H1397" s="2"/>
      <c r="I1397" s="2"/>
      <c r="J1397" s="2"/>
      <c r="K1397" s="2"/>
    </row>
    <row r="1398">
      <c r="A1398" s="2"/>
      <c r="B1398" s="2"/>
      <c r="C1398" s="2"/>
      <c r="D1398" s="2"/>
      <c r="E1398" s="2"/>
      <c r="F1398" s="2"/>
      <c r="G1398" s="2"/>
      <c r="H1398" s="2"/>
      <c r="I1398" s="2"/>
      <c r="J1398" s="2"/>
      <c r="K1398" s="2"/>
    </row>
    <row r="1399">
      <c r="A1399" s="2"/>
      <c r="B1399" s="2"/>
      <c r="C1399" s="2"/>
      <c r="D1399" s="2"/>
      <c r="E1399" s="2"/>
      <c r="F1399" s="2"/>
      <c r="G1399" s="2"/>
      <c r="H1399" s="2"/>
      <c r="I1399" s="2"/>
      <c r="J1399" s="2"/>
      <c r="K1399" s="2"/>
    </row>
    <row r="1400">
      <c r="A1400" s="2"/>
      <c r="B1400" s="2"/>
      <c r="C1400" s="2"/>
      <c r="D1400" s="2"/>
      <c r="E1400" s="2"/>
      <c r="F1400" s="2"/>
      <c r="G1400" s="2"/>
      <c r="H1400" s="2"/>
      <c r="I1400" s="2"/>
      <c r="J1400" s="2"/>
      <c r="K1400" s="2"/>
    </row>
    <row r="1401">
      <c r="A1401" s="2"/>
      <c r="B1401" s="2"/>
      <c r="C1401" s="2"/>
      <c r="D1401" s="2"/>
      <c r="E1401" s="2"/>
      <c r="F1401" s="2"/>
      <c r="G1401" s="2"/>
      <c r="H1401" s="2"/>
      <c r="I1401" s="2"/>
      <c r="J1401" s="2"/>
      <c r="K1401" s="2"/>
    </row>
    <row r="1402">
      <c r="A1402" s="2"/>
      <c r="B1402" s="2"/>
      <c r="C1402" s="2"/>
      <c r="D1402" s="2"/>
      <c r="E1402" s="2"/>
      <c r="F1402" s="2"/>
      <c r="G1402" s="2"/>
      <c r="H1402" s="2"/>
      <c r="I1402" s="2"/>
      <c r="J1402" s="2"/>
      <c r="K1402" s="2"/>
    </row>
    <row r="1403">
      <c r="A1403" s="2"/>
      <c r="B1403" s="2"/>
      <c r="C1403" s="2"/>
      <c r="D1403" s="2"/>
      <c r="E1403" s="2"/>
      <c r="F1403" s="2"/>
      <c r="G1403" s="2"/>
      <c r="H1403" s="2"/>
      <c r="I1403" s="2"/>
      <c r="J1403" s="2"/>
      <c r="K1403" s="2"/>
    </row>
    <row r="1404">
      <c r="A1404" s="2"/>
      <c r="B1404" s="2"/>
      <c r="C1404" s="2"/>
      <c r="D1404" s="2"/>
      <c r="E1404" s="2"/>
      <c r="F1404" s="2"/>
      <c r="G1404" s="2"/>
      <c r="H1404" s="2"/>
      <c r="I1404" s="2"/>
      <c r="J1404" s="2"/>
      <c r="K1404" s="2"/>
    </row>
    <row r="1405">
      <c r="A1405" s="2"/>
      <c r="B1405" s="2"/>
      <c r="C1405" s="2"/>
      <c r="D1405" s="2"/>
      <c r="E1405" s="2"/>
      <c r="F1405" s="2"/>
      <c r="G1405" s="2"/>
      <c r="H1405" s="2"/>
      <c r="I1405" s="2"/>
      <c r="J1405" s="2"/>
      <c r="K1405" s="2"/>
    </row>
    <row r="1406">
      <c r="A1406" s="2"/>
      <c r="B1406" s="2"/>
      <c r="C1406" s="2"/>
      <c r="D1406" s="2"/>
      <c r="E1406" s="2"/>
      <c r="F1406" s="2"/>
      <c r="G1406" s="2"/>
      <c r="H1406" s="2"/>
      <c r="I1406" s="2"/>
      <c r="J1406" s="2"/>
      <c r="K1406" s="2"/>
    </row>
    <row r="1407">
      <c r="A1407" s="2"/>
      <c r="B1407" s="2"/>
      <c r="C1407" s="2"/>
      <c r="D1407" s="2"/>
      <c r="E1407" s="2"/>
      <c r="F1407" s="2"/>
      <c r="G1407" s="2"/>
      <c r="H1407" s="2"/>
      <c r="I1407" s="2"/>
      <c r="J1407" s="2"/>
      <c r="K1407" s="2"/>
    </row>
    <row r="1408">
      <c r="A1408" s="2"/>
      <c r="B1408" s="2"/>
      <c r="C1408" s="2"/>
      <c r="D1408" s="2"/>
      <c r="E1408" s="2"/>
      <c r="F1408" s="2"/>
      <c r="G1408" s="2"/>
      <c r="H1408" s="2"/>
      <c r="I1408" s="2"/>
      <c r="J1408" s="2"/>
      <c r="K1408" s="2"/>
    </row>
    <row r="1409">
      <c r="A1409" s="2"/>
      <c r="B1409" s="2"/>
      <c r="C1409" s="2"/>
      <c r="D1409" s="2"/>
      <c r="E1409" s="2"/>
      <c r="F1409" s="2"/>
      <c r="G1409" s="2"/>
      <c r="H1409" s="2"/>
      <c r="I1409" s="2"/>
      <c r="J1409" s="2"/>
      <c r="K1409" s="2"/>
    </row>
    <row r="1410">
      <c r="A1410" s="2"/>
      <c r="B1410" s="2"/>
      <c r="C1410" s="2"/>
      <c r="D1410" s="2"/>
      <c r="E1410" s="2"/>
      <c r="F1410" s="2"/>
      <c r="G1410" s="2"/>
      <c r="H1410" s="2"/>
      <c r="I1410" s="2"/>
      <c r="J1410" s="2"/>
      <c r="K1410" s="2"/>
    </row>
    <row r="1411">
      <c r="A1411" s="2"/>
      <c r="B1411" s="2"/>
      <c r="C1411" s="2"/>
      <c r="D1411" s="2"/>
      <c r="E1411" s="2"/>
      <c r="F1411" s="2"/>
      <c r="G1411" s="2"/>
      <c r="H1411" s="2"/>
      <c r="I1411" s="2"/>
      <c r="J1411" s="2"/>
      <c r="K1411" s="2"/>
    </row>
    <row r="1412">
      <c r="A1412" s="2"/>
      <c r="B1412" s="2"/>
      <c r="C1412" s="2"/>
      <c r="D1412" s="2"/>
      <c r="E1412" s="2"/>
      <c r="F1412" s="2"/>
      <c r="G1412" s="2"/>
      <c r="H1412" s="2"/>
      <c r="I1412" s="2"/>
      <c r="J1412" s="2"/>
      <c r="K1412" s="2"/>
    </row>
    <row r="1413">
      <c r="A1413" s="2"/>
      <c r="B1413" s="2"/>
      <c r="C1413" s="2"/>
      <c r="D1413" s="2"/>
      <c r="E1413" s="2"/>
      <c r="F1413" s="2"/>
      <c r="G1413" s="2"/>
      <c r="H1413" s="2"/>
      <c r="I1413" s="2"/>
      <c r="J1413" s="2"/>
      <c r="K1413" s="2"/>
    </row>
    <row r="1414">
      <c r="A1414" s="2"/>
      <c r="B1414" s="2"/>
      <c r="C1414" s="2"/>
      <c r="D1414" s="2"/>
      <c r="E1414" s="2"/>
      <c r="F1414" s="2"/>
      <c r="G1414" s="2"/>
      <c r="H1414" s="2"/>
      <c r="I1414" s="2"/>
      <c r="J1414" s="2"/>
      <c r="K1414" s="2"/>
    </row>
    <row r="1415">
      <c r="A1415" s="2"/>
      <c r="B1415" s="2"/>
      <c r="C1415" s="2"/>
      <c r="D1415" s="2"/>
      <c r="E1415" s="2"/>
      <c r="F1415" s="2"/>
      <c r="G1415" s="2"/>
      <c r="H1415" s="2"/>
      <c r="I1415" s="2"/>
      <c r="J1415" s="2"/>
      <c r="K1415" s="2"/>
    </row>
    <row r="1416">
      <c r="A1416" s="2"/>
      <c r="B1416" s="2"/>
      <c r="C1416" s="2"/>
      <c r="D1416" s="2"/>
      <c r="E1416" s="2"/>
      <c r="F1416" s="2"/>
      <c r="G1416" s="2"/>
      <c r="H1416" s="2"/>
      <c r="I1416" s="2"/>
      <c r="J1416" s="2"/>
      <c r="K1416" s="2"/>
    </row>
    <row r="1417">
      <c r="A1417" s="2"/>
      <c r="B1417" s="2"/>
      <c r="C1417" s="2"/>
      <c r="D1417" s="2"/>
      <c r="E1417" s="2"/>
      <c r="F1417" s="2"/>
      <c r="G1417" s="2"/>
      <c r="H1417" s="2"/>
      <c r="I1417" s="2"/>
      <c r="J1417" s="2"/>
      <c r="K1417" s="2"/>
    </row>
    <row r="1418">
      <c r="A1418" s="2"/>
      <c r="B1418" s="2"/>
      <c r="C1418" s="2"/>
      <c r="D1418" s="2"/>
      <c r="E1418" s="2"/>
      <c r="F1418" s="2"/>
      <c r="G1418" s="2"/>
      <c r="H1418" s="2"/>
      <c r="I1418" s="2"/>
      <c r="J1418" s="2"/>
      <c r="K1418" s="2"/>
    </row>
    <row r="1419">
      <c r="A1419" s="2"/>
      <c r="B1419" s="2"/>
      <c r="C1419" s="2"/>
      <c r="D1419" s="2"/>
      <c r="E1419" s="2"/>
      <c r="F1419" s="2"/>
      <c r="G1419" s="2"/>
      <c r="H1419" s="2"/>
      <c r="I1419" s="2"/>
      <c r="J1419" s="2"/>
      <c r="K1419" s="2"/>
    </row>
    <row r="1420">
      <c r="A1420" s="2"/>
      <c r="B1420" s="2"/>
      <c r="C1420" s="2"/>
      <c r="D1420" s="2"/>
      <c r="E1420" s="2"/>
      <c r="F1420" s="2"/>
      <c r="G1420" s="2"/>
      <c r="H1420" s="2"/>
      <c r="I1420" s="2"/>
      <c r="J1420" s="2"/>
      <c r="K1420" s="2"/>
    </row>
    <row r="1421">
      <c r="A1421" s="2"/>
      <c r="B1421" s="2"/>
      <c r="C1421" s="2"/>
      <c r="D1421" s="2"/>
      <c r="E1421" s="2"/>
      <c r="F1421" s="2"/>
      <c r="G1421" s="2"/>
      <c r="H1421" s="2"/>
      <c r="I1421" s="2"/>
      <c r="J1421" s="2"/>
      <c r="K1421" s="2"/>
    </row>
    <row r="1422">
      <c r="A1422" s="2"/>
      <c r="B1422" s="2"/>
      <c r="C1422" s="2"/>
      <c r="D1422" s="2"/>
      <c r="E1422" s="2"/>
      <c r="F1422" s="2"/>
      <c r="G1422" s="2"/>
      <c r="H1422" s="2"/>
      <c r="I1422" s="2"/>
      <c r="J1422" s="2"/>
      <c r="K1422" s="2"/>
    </row>
    <row r="1423">
      <c r="A1423" s="2"/>
      <c r="B1423" s="2"/>
      <c r="C1423" s="2"/>
      <c r="D1423" s="2"/>
      <c r="E1423" s="2"/>
      <c r="F1423" s="2"/>
      <c r="G1423" s="2"/>
      <c r="H1423" s="2"/>
      <c r="I1423" s="2"/>
      <c r="J1423" s="2"/>
      <c r="K1423" s="2"/>
    </row>
    <row r="1424">
      <c r="A1424" s="2"/>
      <c r="B1424" s="2"/>
      <c r="C1424" s="2"/>
      <c r="D1424" s="2"/>
      <c r="E1424" s="2"/>
      <c r="F1424" s="2"/>
      <c r="G1424" s="2"/>
      <c r="H1424" s="2"/>
      <c r="I1424" s="2"/>
      <c r="J1424" s="2"/>
      <c r="K1424" s="2"/>
    </row>
    <row r="1425">
      <c r="A1425" s="2"/>
      <c r="B1425" s="2"/>
      <c r="C1425" s="2"/>
      <c r="D1425" s="2"/>
      <c r="E1425" s="2"/>
      <c r="F1425" s="2"/>
      <c r="G1425" s="2"/>
      <c r="H1425" s="2"/>
      <c r="I1425" s="2"/>
      <c r="J1425" s="2"/>
      <c r="K1425" s="2"/>
    </row>
    <row r="1426">
      <c r="A1426" s="2"/>
      <c r="B1426" s="2"/>
      <c r="C1426" s="2"/>
      <c r="D1426" s="2"/>
      <c r="E1426" s="2"/>
      <c r="F1426" s="2"/>
      <c r="G1426" s="2"/>
      <c r="H1426" s="2"/>
      <c r="I1426" s="2"/>
      <c r="J1426" s="2"/>
      <c r="K1426" s="2"/>
    </row>
    <row r="1427">
      <c r="A1427" s="2"/>
      <c r="B1427" s="2"/>
      <c r="C1427" s="2"/>
      <c r="D1427" s="2"/>
      <c r="E1427" s="2"/>
      <c r="F1427" s="2"/>
      <c r="G1427" s="2"/>
      <c r="H1427" s="2"/>
      <c r="I1427" s="2"/>
      <c r="J1427" s="2"/>
      <c r="K1427" s="2"/>
    </row>
    <row r="1428">
      <c r="A1428" s="2"/>
      <c r="B1428" s="2"/>
      <c r="C1428" s="2"/>
      <c r="D1428" s="2"/>
      <c r="E1428" s="2"/>
      <c r="F1428" s="2"/>
      <c r="G1428" s="2"/>
      <c r="H1428" s="2"/>
      <c r="I1428" s="2"/>
      <c r="J1428" s="2"/>
      <c r="K1428" s="2"/>
    </row>
    <row r="1429">
      <c r="A1429" s="2"/>
      <c r="B1429" s="2"/>
      <c r="C1429" s="2"/>
      <c r="D1429" s="2"/>
      <c r="E1429" s="2"/>
      <c r="F1429" s="2"/>
      <c r="G1429" s="2"/>
      <c r="H1429" s="2"/>
      <c r="I1429" s="2"/>
      <c r="J1429" s="2"/>
      <c r="K1429" s="2"/>
    </row>
    <row r="1430">
      <c r="A1430" s="2"/>
      <c r="B1430" s="2"/>
      <c r="C1430" s="2"/>
      <c r="D1430" s="2"/>
      <c r="E1430" s="2"/>
      <c r="F1430" s="2"/>
      <c r="G1430" s="2"/>
      <c r="H1430" s="2"/>
      <c r="I1430" s="2"/>
      <c r="J1430" s="2"/>
      <c r="K1430" s="2"/>
    </row>
    <row r="1431">
      <c r="A1431" s="2"/>
      <c r="B1431" s="2"/>
      <c r="C1431" s="2"/>
      <c r="D1431" s="2"/>
      <c r="E1431" s="2"/>
      <c r="F1431" s="2"/>
      <c r="G1431" s="2"/>
      <c r="H1431" s="2"/>
      <c r="I1431" s="2"/>
      <c r="J1431" s="2"/>
      <c r="K1431" s="2"/>
    </row>
    <row r="1432">
      <c r="A1432" s="2"/>
      <c r="B1432" s="2"/>
      <c r="C1432" s="2"/>
      <c r="D1432" s="2"/>
      <c r="E1432" s="2"/>
      <c r="F1432" s="2"/>
      <c r="G1432" s="2"/>
      <c r="H1432" s="2"/>
      <c r="I1432" s="2"/>
      <c r="J1432" s="2"/>
      <c r="K1432" s="2"/>
    </row>
    <row r="1433">
      <c r="A1433" s="2"/>
      <c r="B1433" s="2"/>
      <c r="C1433" s="2"/>
      <c r="D1433" s="2"/>
      <c r="E1433" s="2"/>
      <c r="F1433" s="2"/>
      <c r="G1433" s="2"/>
      <c r="H1433" s="2"/>
      <c r="I1433" s="2"/>
      <c r="J1433" s="2"/>
      <c r="K1433" s="2"/>
    </row>
    <row r="1434">
      <c r="A1434" s="2"/>
      <c r="B1434" s="2"/>
      <c r="C1434" s="2"/>
      <c r="D1434" s="2"/>
      <c r="E1434" s="2"/>
      <c r="F1434" s="2"/>
      <c r="G1434" s="2"/>
      <c r="H1434" s="2"/>
      <c r="I1434" s="2"/>
      <c r="J1434" s="2"/>
      <c r="K1434" s="2"/>
    </row>
    <row r="1435">
      <c r="A1435" s="2"/>
      <c r="B1435" s="2"/>
      <c r="C1435" s="2"/>
      <c r="D1435" s="2"/>
      <c r="E1435" s="2"/>
      <c r="F1435" s="2"/>
      <c r="G1435" s="2"/>
      <c r="H1435" s="2"/>
      <c r="I1435" s="2"/>
      <c r="J1435" s="2"/>
      <c r="K1435" s="2"/>
    </row>
    <row r="1436">
      <c r="A1436" s="2"/>
      <c r="B1436" s="2"/>
      <c r="C1436" s="2"/>
      <c r="D1436" s="2"/>
      <c r="E1436" s="2"/>
      <c r="F1436" s="2"/>
      <c r="G1436" s="2"/>
      <c r="H1436" s="2"/>
      <c r="I1436" s="2"/>
      <c r="J1436" s="2"/>
      <c r="K1436" s="2"/>
    </row>
    <row r="1437">
      <c r="A1437" s="2"/>
      <c r="B1437" s="2"/>
      <c r="C1437" s="2"/>
      <c r="D1437" s="2"/>
      <c r="E1437" s="2"/>
      <c r="F1437" s="2"/>
      <c r="G1437" s="2"/>
      <c r="H1437" s="2"/>
      <c r="I1437" s="2"/>
      <c r="J1437" s="2"/>
      <c r="K1437" s="2"/>
    </row>
    <row r="1438">
      <c r="A1438" s="2"/>
      <c r="B1438" s="2"/>
      <c r="C1438" s="2"/>
      <c r="D1438" s="2"/>
      <c r="E1438" s="2"/>
      <c r="F1438" s="2"/>
      <c r="G1438" s="2"/>
      <c r="H1438" s="2"/>
      <c r="I1438" s="2"/>
      <c r="J1438" s="2"/>
      <c r="K1438" s="2"/>
    </row>
    <row r="1439">
      <c r="A1439" s="2"/>
      <c r="B1439" s="2"/>
      <c r="C1439" s="2"/>
      <c r="D1439" s="2"/>
      <c r="E1439" s="2"/>
      <c r="F1439" s="2"/>
      <c r="G1439" s="2"/>
      <c r="H1439" s="2"/>
      <c r="I1439" s="2"/>
      <c r="J1439" s="2"/>
      <c r="K1439" s="2"/>
    </row>
    <row r="1440">
      <c r="A1440" s="2"/>
      <c r="B1440" s="2"/>
      <c r="C1440" s="2"/>
      <c r="D1440" s="2"/>
      <c r="E1440" s="2"/>
      <c r="F1440" s="2"/>
      <c r="G1440" s="2"/>
      <c r="H1440" s="2"/>
      <c r="I1440" s="2"/>
      <c r="J1440" s="2"/>
      <c r="K1440" s="2"/>
    </row>
    <row r="1441">
      <c r="A1441" s="2"/>
      <c r="B1441" s="2"/>
      <c r="C1441" s="2"/>
      <c r="D1441" s="2"/>
      <c r="E1441" s="2"/>
      <c r="F1441" s="2"/>
      <c r="G1441" s="2"/>
      <c r="H1441" s="2"/>
      <c r="I1441" s="2"/>
      <c r="J1441" s="2"/>
      <c r="K1441" s="2"/>
    </row>
    <row r="1442">
      <c r="A1442" s="2"/>
      <c r="B1442" s="2"/>
      <c r="C1442" s="2"/>
      <c r="D1442" s="2"/>
      <c r="E1442" s="2"/>
      <c r="F1442" s="2"/>
      <c r="G1442" s="2"/>
      <c r="H1442" s="2"/>
      <c r="I1442" s="2"/>
      <c r="J1442" s="2"/>
      <c r="K1442" s="2"/>
    </row>
    <row r="1443">
      <c r="A1443" s="2"/>
      <c r="B1443" s="2"/>
      <c r="C1443" s="2"/>
      <c r="D1443" s="2"/>
      <c r="E1443" s="2"/>
      <c r="F1443" s="2"/>
      <c r="G1443" s="2"/>
      <c r="H1443" s="2"/>
      <c r="I1443" s="2"/>
      <c r="J1443" s="2"/>
      <c r="K1443" s="2"/>
    </row>
    <row r="1444">
      <c r="A1444" s="2"/>
      <c r="B1444" s="2"/>
      <c r="C1444" s="2"/>
      <c r="D1444" s="2"/>
      <c r="E1444" s="2"/>
      <c r="F1444" s="2"/>
      <c r="G1444" s="2"/>
      <c r="H1444" s="2"/>
      <c r="I1444" s="2"/>
      <c r="J1444" s="2"/>
      <c r="K1444" s="2"/>
    </row>
    <row r="1445">
      <c r="A1445" s="2"/>
      <c r="B1445" s="2"/>
      <c r="C1445" s="2"/>
      <c r="D1445" s="2"/>
      <c r="E1445" s="2"/>
      <c r="F1445" s="2"/>
      <c r="G1445" s="2"/>
      <c r="H1445" s="2"/>
      <c r="I1445" s="2"/>
      <c r="J1445" s="2"/>
      <c r="K1445" s="2"/>
    </row>
    <row r="1446">
      <c r="A1446" s="2"/>
      <c r="B1446" s="2"/>
      <c r="C1446" s="2"/>
      <c r="D1446" s="2"/>
      <c r="E1446" s="2"/>
      <c r="F1446" s="2"/>
      <c r="G1446" s="2"/>
      <c r="H1446" s="2"/>
      <c r="I1446" s="2"/>
      <c r="J1446" s="2"/>
      <c r="K1446" s="2"/>
    </row>
    <row r="1447">
      <c r="A1447" s="2"/>
      <c r="B1447" s="2"/>
      <c r="C1447" s="2"/>
      <c r="D1447" s="2"/>
      <c r="E1447" s="2"/>
      <c r="F1447" s="2"/>
      <c r="G1447" s="2"/>
      <c r="H1447" s="2"/>
      <c r="I1447" s="2"/>
      <c r="J1447" s="2"/>
      <c r="K1447" s="2"/>
    </row>
    <row r="1448">
      <c r="A1448" s="2"/>
      <c r="B1448" s="2"/>
      <c r="C1448" s="2"/>
      <c r="D1448" s="2"/>
      <c r="E1448" s="2"/>
      <c r="F1448" s="2"/>
      <c r="G1448" s="2"/>
      <c r="H1448" s="2"/>
      <c r="I1448" s="2"/>
      <c r="J1448" s="2"/>
      <c r="K1448" s="2"/>
    </row>
    <row r="1449">
      <c r="A1449" s="2"/>
      <c r="B1449" s="2"/>
      <c r="C1449" s="2"/>
      <c r="D1449" s="2"/>
      <c r="E1449" s="2"/>
      <c r="F1449" s="2"/>
      <c r="G1449" s="2"/>
      <c r="H1449" s="2"/>
      <c r="I1449" s="2"/>
      <c r="J1449" s="2"/>
      <c r="K1449" s="2"/>
    </row>
    <row r="1450">
      <c r="A1450" s="2"/>
      <c r="B1450" s="2"/>
      <c r="C1450" s="2"/>
      <c r="D1450" s="2"/>
      <c r="E1450" s="2"/>
      <c r="F1450" s="2"/>
      <c r="G1450" s="2"/>
      <c r="H1450" s="2"/>
      <c r="I1450" s="2"/>
      <c r="J1450" s="2"/>
      <c r="K1450" s="2"/>
    </row>
    <row r="1451">
      <c r="A1451" s="2"/>
      <c r="B1451" s="2"/>
      <c r="C1451" s="2"/>
      <c r="D1451" s="2"/>
      <c r="E1451" s="2"/>
      <c r="F1451" s="2"/>
      <c r="G1451" s="2"/>
      <c r="H1451" s="2"/>
      <c r="I1451" s="2"/>
      <c r="J1451" s="2"/>
      <c r="K1451" s="2"/>
    </row>
    <row r="1452">
      <c r="A1452" s="2"/>
      <c r="B1452" s="2"/>
      <c r="C1452" s="2"/>
      <c r="D1452" s="2"/>
      <c r="E1452" s="2"/>
      <c r="F1452" s="2"/>
      <c r="G1452" s="2"/>
      <c r="H1452" s="2"/>
      <c r="I1452" s="2"/>
      <c r="J1452" s="2"/>
      <c r="K1452" s="2"/>
    </row>
    <row r="1453">
      <c r="A1453" s="2"/>
      <c r="B1453" s="2"/>
      <c r="C1453" s="2"/>
      <c r="D1453" s="2"/>
      <c r="E1453" s="2"/>
      <c r="F1453" s="2"/>
      <c r="G1453" s="2"/>
      <c r="H1453" s="2"/>
      <c r="I1453" s="2"/>
      <c r="J1453" s="2"/>
      <c r="K1453" s="2"/>
    </row>
    <row r="1454">
      <c r="A1454" s="2"/>
      <c r="B1454" s="2"/>
      <c r="C1454" s="2"/>
      <c r="D1454" s="2"/>
      <c r="E1454" s="2"/>
      <c r="F1454" s="2"/>
      <c r="G1454" s="2"/>
      <c r="H1454" s="2"/>
      <c r="I1454" s="2"/>
      <c r="J1454" s="2"/>
      <c r="K1454" s="2"/>
    </row>
    <row r="1455">
      <c r="A1455" s="2"/>
      <c r="B1455" s="2"/>
      <c r="C1455" s="2"/>
      <c r="D1455" s="2"/>
      <c r="E1455" s="2"/>
      <c r="F1455" s="2"/>
      <c r="G1455" s="2"/>
      <c r="H1455" s="2"/>
      <c r="I1455" s="2"/>
      <c r="J1455" s="2"/>
      <c r="K1455" s="2"/>
    </row>
    <row r="1456">
      <c r="A1456" s="2"/>
      <c r="B1456" s="2"/>
      <c r="C1456" s="2"/>
      <c r="D1456" s="2"/>
      <c r="E1456" s="2"/>
      <c r="F1456" s="2"/>
      <c r="G1456" s="2"/>
      <c r="H1456" s="2"/>
      <c r="I1456" s="2"/>
      <c r="J1456" s="2"/>
      <c r="K1456" s="2"/>
    </row>
    <row r="1457">
      <c r="A1457" s="2"/>
      <c r="B1457" s="2"/>
      <c r="C1457" s="2"/>
      <c r="D1457" s="2"/>
      <c r="E1457" s="2"/>
      <c r="F1457" s="2"/>
      <c r="G1457" s="2"/>
      <c r="H1457" s="2"/>
      <c r="I1457" s="2"/>
      <c r="J1457" s="2"/>
      <c r="K1457" s="2"/>
    </row>
    <row r="1458">
      <c r="A1458" s="2"/>
      <c r="B1458" s="2"/>
      <c r="C1458" s="2"/>
      <c r="D1458" s="2"/>
      <c r="E1458" s="2"/>
      <c r="F1458" s="2"/>
      <c r="G1458" s="2"/>
      <c r="H1458" s="2"/>
      <c r="I1458" s="2"/>
      <c r="J1458" s="2"/>
      <c r="K1458" s="2"/>
    </row>
    <row r="1459">
      <c r="A1459" s="2"/>
      <c r="B1459" s="2"/>
      <c r="C1459" s="2"/>
      <c r="D1459" s="2"/>
      <c r="E1459" s="2"/>
      <c r="F1459" s="2"/>
      <c r="G1459" s="2"/>
      <c r="H1459" s="2"/>
      <c r="I1459" s="2"/>
      <c r="J1459" s="2"/>
      <c r="K1459" s="2"/>
    </row>
    <row r="1460">
      <c r="A1460" s="2"/>
      <c r="B1460" s="2"/>
      <c r="C1460" s="2"/>
      <c r="D1460" s="2"/>
      <c r="E1460" s="2"/>
      <c r="F1460" s="2"/>
      <c r="G1460" s="2"/>
      <c r="H1460" s="2"/>
      <c r="I1460" s="2"/>
      <c r="J1460" s="2"/>
      <c r="K1460" s="2"/>
    </row>
    <row r="1461">
      <c r="A1461" s="2"/>
      <c r="B1461" s="2"/>
      <c r="C1461" s="2"/>
      <c r="D1461" s="2"/>
      <c r="E1461" s="2"/>
      <c r="F1461" s="2"/>
      <c r="G1461" s="2"/>
      <c r="H1461" s="2"/>
      <c r="I1461" s="2"/>
      <c r="J1461" s="2"/>
      <c r="K1461" s="2"/>
    </row>
    <row r="1462">
      <c r="A1462" s="2"/>
      <c r="B1462" s="2"/>
      <c r="C1462" s="2"/>
      <c r="D1462" s="2"/>
      <c r="E1462" s="2"/>
      <c r="F1462" s="2"/>
      <c r="G1462" s="2"/>
      <c r="H1462" s="2"/>
      <c r="I1462" s="2"/>
      <c r="J1462" s="2"/>
      <c r="K1462" s="2"/>
    </row>
    <row r="1463">
      <c r="A1463" s="2"/>
      <c r="B1463" s="2"/>
      <c r="C1463" s="2"/>
      <c r="D1463" s="2"/>
      <c r="E1463" s="2"/>
      <c r="F1463" s="2"/>
      <c r="G1463" s="2"/>
      <c r="H1463" s="2"/>
      <c r="I1463" s="2"/>
      <c r="J1463" s="2"/>
      <c r="K1463" s="2"/>
    </row>
    <row r="1464">
      <c r="A1464" s="2"/>
      <c r="B1464" s="2"/>
      <c r="C1464" s="2"/>
      <c r="D1464" s="2"/>
      <c r="E1464" s="2"/>
      <c r="F1464" s="2"/>
      <c r="G1464" s="2"/>
      <c r="H1464" s="2"/>
      <c r="I1464" s="2"/>
      <c r="J1464" s="2"/>
      <c r="K1464" s="2"/>
    </row>
    <row r="1465">
      <c r="A1465" s="2"/>
      <c r="B1465" s="2"/>
      <c r="C1465" s="2"/>
      <c r="D1465" s="2"/>
      <c r="E1465" s="2"/>
      <c r="F1465" s="2"/>
      <c r="G1465" s="2"/>
      <c r="H1465" s="2"/>
      <c r="I1465" s="2"/>
      <c r="J1465" s="2"/>
      <c r="K1465" s="2"/>
    </row>
    <row r="1466">
      <c r="A1466" s="2"/>
      <c r="B1466" s="2"/>
      <c r="C1466" s="2"/>
      <c r="D1466" s="2"/>
      <c r="E1466" s="2"/>
      <c r="F1466" s="2"/>
      <c r="G1466" s="2"/>
      <c r="H1466" s="2"/>
      <c r="I1466" s="2"/>
      <c r="J1466" s="2"/>
      <c r="K1466" s="2"/>
    </row>
    <row r="1467">
      <c r="A1467" s="2"/>
      <c r="B1467" s="2"/>
      <c r="C1467" s="2"/>
      <c r="D1467" s="2"/>
      <c r="E1467" s="2"/>
      <c r="F1467" s="2"/>
      <c r="G1467" s="2"/>
      <c r="H1467" s="2"/>
      <c r="I1467" s="2"/>
      <c r="J1467" s="2"/>
      <c r="K1467" s="2"/>
    </row>
    <row r="1468">
      <c r="A1468" s="2"/>
      <c r="B1468" s="2"/>
      <c r="C1468" s="2"/>
      <c r="D1468" s="2"/>
      <c r="E1468" s="2"/>
      <c r="F1468" s="2"/>
      <c r="G1468" s="2"/>
      <c r="H1468" s="2"/>
      <c r="I1468" s="2"/>
      <c r="J1468" s="2"/>
      <c r="K1468" s="2"/>
    </row>
    <row r="1469">
      <c r="A1469" s="2"/>
      <c r="B1469" s="2"/>
      <c r="C1469" s="2"/>
      <c r="D1469" s="2"/>
      <c r="E1469" s="2"/>
      <c r="F1469" s="2"/>
      <c r="G1469" s="2"/>
      <c r="H1469" s="2"/>
      <c r="I1469" s="2"/>
      <c r="J1469" s="2"/>
      <c r="K1469" s="2"/>
    </row>
    <row r="1470">
      <c r="A1470" s="2"/>
      <c r="B1470" s="2"/>
      <c r="C1470" s="2"/>
      <c r="D1470" s="2"/>
      <c r="E1470" s="2"/>
      <c r="F1470" s="2"/>
      <c r="G1470" s="2"/>
      <c r="H1470" s="2"/>
      <c r="I1470" s="2"/>
      <c r="J1470" s="2"/>
      <c r="K1470" s="2"/>
    </row>
    <row r="1471">
      <c r="A1471" s="2"/>
      <c r="B1471" s="2"/>
      <c r="C1471" s="2"/>
      <c r="D1471" s="2"/>
      <c r="E1471" s="2"/>
      <c r="F1471" s="2"/>
      <c r="G1471" s="2"/>
      <c r="H1471" s="2"/>
      <c r="I1471" s="2"/>
      <c r="J1471" s="2"/>
      <c r="K1471" s="2"/>
    </row>
    <row r="1472">
      <c r="A1472" s="2"/>
      <c r="B1472" s="2"/>
      <c r="C1472" s="2"/>
      <c r="D1472" s="2"/>
      <c r="E1472" s="2"/>
      <c r="F1472" s="2"/>
      <c r="G1472" s="2"/>
      <c r="H1472" s="2"/>
      <c r="I1472" s="2"/>
      <c r="J1472" s="2"/>
      <c r="K1472" s="2"/>
    </row>
    <row r="1473">
      <c r="A1473" s="2"/>
      <c r="B1473" s="2"/>
      <c r="C1473" s="2"/>
      <c r="D1473" s="2"/>
      <c r="E1473" s="2"/>
      <c r="F1473" s="2"/>
      <c r="G1473" s="2"/>
      <c r="H1473" s="2"/>
      <c r="I1473" s="2"/>
      <c r="J1473" s="2"/>
      <c r="K1473" s="2"/>
    </row>
    <row r="1474">
      <c r="A1474" s="2"/>
      <c r="B1474" s="2"/>
      <c r="C1474" s="2"/>
      <c r="D1474" s="2"/>
      <c r="E1474" s="2"/>
      <c r="F1474" s="2"/>
      <c r="G1474" s="2"/>
      <c r="H1474" s="2"/>
      <c r="I1474" s="2"/>
      <c r="J1474" s="2"/>
      <c r="K1474" s="2"/>
    </row>
    <row r="1475">
      <c r="A1475" s="2"/>
      <c r="B1475" s="2"/>
      <c r="C1475" s="2"/>
      <c r="D1475" s="2"/>
      <c r="E1475" s="2"/>
      <c r="F1475" s="2"/>
      <c r="G1475" s="2"/>
      <c r="H1475" s="2"/>
      <c r="I1475" s="2"/>
      <c r="J1475" s="2"/>
      <c r="K1475" s="2"/>
    </row>
    <row r="1476">
      <c r="A1476" s="2"/>
      <c r="B1476" s="2"/>
      <c r="C1476" s="2"/>
      <c r="D1476" s="2"/>
      <c r="E1476" s="2"/>
      <c r="F1476" s="2"/>
      <c r="G1476" s="2"/>
      <c r="H1476" s="2"/>
      <c r="I1476" s="2"/>
      <c r="J1476" s="2"/>
      <c r="K1476" s="2"/>
    </row>
    <row r="1477">
      <c r="A1477" s="2"/>
      <c r="B1477" s="2"/>
      <c r="C1477" s="2"/>
      <c r="D1477" s="2"/>
      <c r="E1477" s="2"/>
      <c r="F1477" s="2"/>
      <c r="G1477" s="2"/>
      <c r="H1477" s="2"/>
      <c r="I1477" s="2"/>
      <c r="J1477" s="2"/>
      <c r="K1477" s="2"/>
    </row>
    <row r="1478">
      <c r="A1478" s="2"/>
      <c r="B1478" s="2"/>
      <c r="C1478" s="2"/>
      <c r="D1478" s="2"/>
      <c r="E1478" s="2"/>
      <c r="F1478" s="2"/>
      <c r="G1478" s="2"/>
      <c r="H1478" s="2"/>
      <c r="I1478" s="2"/>
      <c r="J1478" s="2"/>
      <c r="K1478" s="2"/>
    </row>
    <row r="1479">
      <c r="A1479" s="2"/>
      <c r="B1479" s="2"/>
      <c r="C1479" s="2"/>
      <c r="D1479" s="2"/>
      <c r="E1479" s="2"/>
      <c r="F1479" s="2"/>
      <c r="G1479" s="2"/>
      <c r="H1479" s="2"/>
      <c r="I1479" s="2"/>
      <c r="J1479" s="2"/>
      <c r="K1479" s="2"/>
    </row>
    <row r="1480">
      <c r="A1480" s="2"/>
      <c r="B1480" s="2"/>
      <c r="C1480" s="2"/>
      <c r="D1480" s="2"/>
      <c r="E1480" s="2"/>
      <c r="F1480" s="2"/>
      <c r="G1480" s="2"/>
      <c r="H1480" s="2"/>
      <c r="I1480" s="2"/>
      <c r="J1480" s="2"/>
      <c r="K1480" s="2"/>
    </row>
    <row r="1481">
      <c r="A1481" s="2"/>
      <c r="B1481" s="2"/>
      <c r="C1481" s="2"/>
      <c r="D1481" s="2"/>
      <c r="E1481" s="2"/>
      <c r="F1481" s="2"/>
      <c r="G1481" s="2"/>
      <c r="H1481" s="2"/>
      <c r="I1481" s="2"/>
      <c r="J1481" s="2"/>
      <c r="K1481" s="2"/>
    </row>
    <row r="1482">
      <c r="A1482" s="2"/>
      <c r="B1482" s="2"/>
      <c r="C1482" s="2"/>
      <c r="D1482" s="2"/>
      <c r="E1482" s="2"/>
      <c r="F1482" s="2"/>
      <c r="G1482" s="2"/>
      <c r="H1482" s="2"/>
      <c r="I1482" s="2"/>
      <c r="J1482" s="2"/>
      <c r="K1482" s="2"/>
    </row>
    <row r="1483">
      <c r="A1483" s="2"/>
      <c r="B1483" s="2"/>
      <c r="C1483" s="2"/>
      <c r="D1483" s="2"/>
      <c r="E1483" s="2"/>
      <c r="F1483" s="2"/>
      <c r="G1483" s="2"/>
      <c r="H1483" s="2"/>
      <c r="I1483" s="2"/>
      <c r="J1483" s="2"/>
      <c r="K1483" s="2"/>
    </row>
    <row r="1484">
      <c r="A1484" s="2"/>
      <c r="B1484" s="2"/>
      <c r="C1484" s="2"/>
      <c r="D1484" s="2"/>
      <c r="E1484" s="2"/>
      <c r="F1484" s="2"/>
      <c r="G1484" s="2"/>
      <c r="H1484" s="2"/>
      <c r="I1484" s="2"/>
      <c r="J1484" s="2"/>
      <c r="K1484" s="2"/>
    </row>
    <row r="1485">
      <c r="A1485" s="2"/>
      <c r="B1485" s="2"/>
      <c r="C1485" s="2"/>
      <c r="D1485" s="2"/>
      <c r="E1485" s="2"/>
      <c r="F1485" s="2"/>
      <c r="G1485" s="2"/>
      <c r="H1485" s="2"/>
      <c r="I1485" s="2"/>
      <c r="J1485" s="2"/>
      <c r="K1485" s="2"/>
    </row>
    <row r="1486">
      <c r="A1486" s="2"/>
      <c r="B1486" s="2"/>
      <c r="C1486" s="2"/>
      <c r="D1486" s="2"/>
      <c r="E1486" s="2"/>
      <c r="F1486" s="2"/>
      <c r="G1486" s="2"/>
      <c r="H1486" s="2"/>
      <c r="I1486" s="2"/>
      <c r="J1486" s="2"/>
      <c r="K1486" s="2"/>
    </row>
    <row r="1487">
      <c r="A1487" s="2"/>
      <c r="B1487" s="2"/>
      <c r="C1487" s="2"/>
      <c r="D1487" s="2"/>
      <c r="E1487" s="2"/>
      <c r="F1487" s="2"/>
      <c r="G1487" s="2"/>
      <c r="H1487" s="2"/>
      <c r="I1487" s="2"/>
      <c r="J1487" s="2"/>
      <c r="K1487" s="2"/>
    </row>
    <row r="1488">
      <c r="A1488" s="2"/>
      <c r="B1488" s="2"/>
      <c r="C1488" s="2"/>
      <c r="D1488" s="2"/>
      <c r="E1488" s="2"/>
      <c r="F1488" s="2"/>
      <c r="G1488" s="2"/>
      <c r="H1488" s="2"/>
      <c r="I1488" s="2"/>
      <c r="J1488" s="2"/>
      <c r="K1488" s="2"/>
    </row>
    <row r="1489">
      <c r="A1489" s="2"/>
      <c r="B1489" s="2"/>
      <c r="C1489" s="2"/>
      <c r="D1489" s="2"/>
      <c r="E1489" s="2"/>
      <c r="F1489" s="2"/>
      <c r="G1489" s="2"/>
      <c r="H1489" s="2"/>
      <c r="I1489" s="2"/>
      <c r="J1489" s="2"/>
      <c r="K1489" s="2"/>
    </row>
    <row r="1490">
      <c r="A1490" s="2"/>
      <c r="B1490" s="2"/>
      <c r="C1490" s="2"/>
      <c r="D1490" s="2"/>
      <c r="E1490" s="2"/>
      <c r="F1490" s="2"/>
      <c r="G1490" s="2"/>
      <c r="H1490" s="2"/>
      <c r="I1490" s="2"/>
      <c r="J1490" s="2"/>
      <c r="K1490" s="2"/>
    </row>
    <row r="1491">
      <c r="A1491" s="2"/>
      <c r="B1491" s="2"/>
      <c r="C1491" s="2"/>
      <c r="D1491" s="2"/>
      <c r="E1491" s="2"/>
      <c r="F1491" s="2"/>
      <c r="G1491" s="2"/>
      <c r="H1491" s="2"/>
      <c r="I1491" s="2"/>
      <c r="J1491" s="2"/>
      <c r="K1491" s="2"/>
    </row>
    <row r="1492">
      <c r="A1492" s="2"/>
      <c r="B1492" s="2"/>
      <c r="C1492" s="2"/>
      <c r="D1492" s="2"/>
      <c r="E1492" s="2"/>
      <c r="F1492" s="2"/>
      <c r="G1492" s="2"/>
      <c r="H1492" s="2"/>
      <c r="I1492" s="2"/>
      <c r="J1492" s="2"/>
      <c r="K1492" s="2"/>
    </row>
    <row r="1493">
      <c r="A1493" s="2"/>
      <c r="B1493" s="2"/>
      <c r="C1493" s="2"/>
      <c r="D1493" s="2"/>
      <c r="E1493" s="2"/>
      <c r="F1493" s="2"/>
      <c r="G1493" s="2"/>
      <c r="H1493" s="2"/>
      <c r="I1493" s="2"/>
      <c r="J1493" s="2"/>
      <c r="K1493" s="2"/>
    </row>
    <row r="1494">
      <c r="A1494" s="2"/>
      <c r="B1494" s="2"/>
      <c r="C1494" s="2"/>
      <c r="D1494" s="2"/>
      <c r="E1494" s="2"/>
      <c r="F1494" s="2"/>
      <c r="G1494" s="2"/>
      <c r="H1494" s="2"/>
      <c r="I1494" s="2"/>
      <c r="J1494" s="2"/>
      <c r="K1494" s="2"/>
    </row>
    <row r="1495">
      <c r="A1495" s="2"/>
      <c r="B1495" s="2"/>
      <c r="C1495" s="2"/>
      <c r="D1495" s="2"/>
      <c r="E1495" s="2"/>
      <c r="F1495" s="2"/>
      <c r="G1495" s="2"/>
      <c r="H1495" s="2"/>
      <c r="I1495" s="2"/>
      <c r="J1495" s="2"/>
      <c r="K1495" s="2"/>
    </row>
    <row r="1496">
      <c r="A1496" s="2"/>
      <c r="B1496" s="2"/>
      <c r="C1496" s="2"/>
      <c r="D1496" s="2"/>
      <c r="E1496" s="2"/>
      <c r="F1496" s="2"/>
      <c r="G1496" s="2"/>
      <c r="H1496" s="2"/>
      <c r="I1496" s="2"/>
      <c r="J1496" s="2"/>
      <c r="K1496" s="2"/>
    </row>
    <row r="1497">
      <c r="A1497" s="2"/>
      <c r="B1497" s="2"/>
      <c r="C1497" s="2"/>
      <c r="D1497" s="2"/>
      <c r="E1497" s="2"/>
      <c r="F1497" s="2"/>
      <c r="G1497" s="2"/>
      <c r="H1497" s="2"/>
      <c r="I1497" s="2"/>
      <c r="J1497" s="2"/>
      <c r="K1497" s="2"/>
    </row>
    <row r="1498">
      <c r="A1498" s="2"/>
      <c r="B1498" s="2"/>
      <c r="C1498" s="2"/>
      <c r="D1498" s="2"/>
      <c r="E1498" s="2"/>
      <c r="F1498" s="2"/>
      <c r="G1498" s="2"/>
      <c r="H1498" s="2"/>
      <c r="I1498" s="2"/>
      <c r="J1498" s="2"/>
      <c r="K1498" s="2"/>
    </row>
    <row r="1499">
      <c r="A1499" s="2"/>
      <c r="B1499" s="2"/>
      <c r="C1499" s="2"/>
      <c r="D1499" s="2"/>
      <c r="E1499" s="2"/>
      <c r="F1499" s="2"/>
      <c r="G1499" s="2"/>
      <c r="H1499" s="2"/>
      <c r="I1499" s="2"/>
      <c r="J1499" s="2"/>
      <c r="K1499" s="2"/>
    </row>
    <row r="1500">
      <c r="A1500" s="2"/>
      <c r="B1500" s="2"/>
      <c r="C1500" s="2"/>
      <c r="D1500" s="2"/>
      <c r="E1500" s="2"/>
      <c r="F1500" s="2"/>
      <c r="G1500" s="2"/>
      <c r="H1500" s="2"/>
      <c r="I1500" s="2"/>
      <c r="J1500" s="2"/>
      <c r="K1500" s="2"/>
    </row>
    <row r="1501">
      <c r="A1501" s="2"/>
      <c r="B1501" s="2"/>
      <c r="C1501" s="2"/>
      <c r="D1501" s="2"/>
      <c r="E1501" s="2"/>
      <c r="F1501" s="2"/>
      <c r="G1501" s="2"/>
      <c r="H1501" s="2"/>
      <c r="I1501" s="2"/>
      <c r="J1501" s="2"/>
      <c r="K1501" s="2"/>
    </row>
    <row r="1502">
      <c r="A1502" s="2"/>
      <c r="B1502" s="2"/>
      <c r="C1502" s="2"/>
      <c r="D1502" s="2"/>
      <c r="E1502" s="2"/>
      <c r="F1502" s="2"/>
      <c r="G1502" s="2"/>
      <c r="H1502" s="2"/>
      <c r="I1502" s="2"/>
      <c r="J1502" s="2"/>
      <c r="K1502" s="2"/>
    </row>
    <row r="1503">
      <c r="A1503" s="2"/>
      <c r="B1503" s="2"/>
      <c r="C1503" s="2"/>
      <c r="D1503" s="2"/>
      <c r="E1503" s="2"/>
      <c r="F1503" s="2"/>
      <c r="G1503" s="2"/>
      <c r="H1503" s="2"/>
      <c r="I1503" s="2"/>
      <c r="J1503" s="2"/>
      <c r="K1503" s="2"/>
    </row>
    <row r="1504">
      <c r="A1504" s="2"/>
      <c r="B1504" s="2"/>
      <c r="C1504" s="2"/>
      <c r="D1504" s="2"/>
      <c r="E1504" s="2"/>
      <c r="F1504" s="2"/>
      <c r="G1504" s="2"/>
      <c r="H1504" s="2"/>
      <c r="I1504" s="2"/>
      <c r="J1504" s="2"/>
      <c r="K1504" s="2"/>
    </row>
    <row r="1505">
      <c r="A1505" s="2"/>
      <c r="B1505" s="2"/>
      <c r="C1505" s="2"/>
      <c r="D1505" s="2"/>
      <c r="E1505" s="2"/>
      <c r="F1505" s="2"/>
      <c r="G1505" s="2"/>
      <c r="H1505" s="2"/>
      <c r="I1505" s="2"/>
      <c r="J1505" s="2"/>
      <c r="K1505" s="2"/>
    </row>
    <row r="1506">
      <c r="A1506" s="2"/>
      <c r="B1506" s="2"/>
      <c r="C1506" s="2"/>
      <c r="D1506" s="2"/>
      <c r="E1506" s="2"/>
      <c r="F1506" s="2"/>
      <c r="G1506" s="2"/>
      <c r="H1506" s="2"/>
      <c r="I1506" s="2"/>
      <c r="J1506" s="2"/>
      <c r="K1506" s="2"/>
    </row>
    <row r="1507">
      <c r="A1507" s="2"/>
      <c r="B1507" s="2"/>
      <c r="C1507" s="2"/>
      <c r="D1507" s="2"/>
      <c r="E1507" s="2"/>
      <c r="F1507" s="2"/>
      <c r="G1507" s="2"/>
      <c r="H1507" s="2"/>
      <c r="I1507" s="2"/>
      <c r="J1507" s="2"/>
      <c r="K1507" s="2"/>
    </row>
    <row r="1508">
      <c r="A1508" s="2"/>
      <c r="B1508" s="2"/>
      <c r="C1508" s="2"/>
      <c r="D1508" s="2"/>
      <c r="E1508" s="2"/>
      <c r="F1508" s="2"/>
      <c r="G1508" s="2"/>
      <c r="H1508" s="2"/>
      <c r="I1508" s="2"/>
      <c r="J1508" s="2"/>
      <c r="K1508" s="2"/>
    </row>
    <row r="1509">
      <c r="A1509" s="2"/>
      <c r="B1509" s="2"/>
      <c r="C1509" s="2"/>
      <c r="D1509" s="2"/>
      <c r="E1509" s="2"/>
      <c r="F1509" s="2"/>
      <c r="G1509" s="2"/>
      <c r="H1509" s="2"/>
      <c r="I1509" s="2"/>
      <c r="J1509" s="2"/>
      <c r="K1509" s="2"/>
    </row>
    <row r="1510">
      <c r="A1510" s="2"/>
      <c r="B1510" s="2"/>
      <c r="C1510" s="2"/>
      <c r="D1510" s="2"/>
      <c r="E1510" s="2"/>
      <c r="F1510" s="2"/>
      <c r="G1510" s="2"/>
      <c r="H1510" s="2"/>
      <c r="I1510" s="2"/>
      <c r="J1510" s="2"/>
      <c r="K1510" s="2"/>
    </row>
    <row r="1511">
      <c r="A1511" s="2"/>
      <c r="B1511" s="2"/>
      <c r="C1511" s="2"/>
      <c r="D1511" s="2"/>
      <c r="E1511" s="2"/>
      <c r="F1511" s="2"/>
      <c r="G1511" s="2"/>
      <c r="H1511" s="2"/>
      <c r="I1511" s="2"/>
      <c r="J1511" s="2"/>
      <c r="K1511" s="2"/>
    </row>
    <row r="1512">
      <c r="A1512" s="2"/>
      <c r="B1512" s="2"/>
      <c r="C1512" s="2"/>
      <c r="D1512" s="2"/>
      <c r="E1512" s="2"/>
      <c r="F1512" s="2"/>
      <c r="G1512" s="2"/>
      <c r="H1512" s="2"/>
      <c r="I1512" s="2"/>
      <c r="J1512" s="2"/>
      <c r="K1512" s="2"/>
    </row>
    <row r="1513">
      <c r="A1513" s="2"/>
      <c r="B1513" s="2"/>
      <c r="C1513" s="2"/>
      <c r="D1513" s="2"/>
      <c r="E1513" s="2"/>
      <c r="F1513" s="2"/>
      <c r="G1513" s="2"/>
      <c r="H1513" s="2"/>
      <c r="I1513" s="2"/>
      <c r="J1513" s="2"/>
      <c r="K1513" s="2"/>
    </row>
    <row r="1514">
      <c r="A1514" s="2"/>
      <c r="B1514" s="2"/>
      <c r="C1514" s="2"/>
      <c r="D1514" s="2"/>
      <c r="E1514" s="2"/>
      <c r="F1514" s="2"/>
      <c r="G1514" s="2"/>
      <c r="H1514" s="2"/>
      <c r="I1514" s="2"/>
      <c r="J1514" s="2"/>
      <c r="K1514" s="2"/>
    </row>
    <row r="1515">
      <c r="A1515" s="2"/>
      <c r="B1515" s="2"/>
      <c r="C1515" s="2"/>
      <c r="D1515" s="2"/>
      <c r="E1515" s="2"/>
      <c r="F1515" s="2"/>
      <c r="G1515" s="2"/>
      <c r="H1515" s="2"/>
      <c r="I1515" s="2"/>
      <c r="J1515" s="2"/>
      <c r="K1515" s="2"/>
    </row>
    <row r="1516">
      <c r="A1516" s="2"/>
      <c r="B1516" s="2"/>
      <c r="C1516" s="2"/>
      <c r="D1516" s="2"/>
      <c r="E1516" s="2"/>
      <c r="F1516" s="2"/>
      <c r="G1516" s="2"/>
      <c r="H1516" s="2"/>
      <c r="I1516" s="2"/>
      <c r="J1516" s="2"/>
      <c r="K1516" s="2"/>
    </row>
    <row r="1517">
      <c r="A1517" s="2"/>
      <c r="B1517" s="2"/>
      <c r="C1517" s="2"/>
      <c r="D1517" s="2"/>
      <c r="E1517" s="2"/>
      <c r="F1517" s="2"/>
      <c r="G1517" s="2"/>
      <c r="H1517" s="2"/>
      <c r="I1517" s="2"/>
      <c r="J1517" s="2"/>
      <c r="K1517" s="2"/>
    </row>
    <row r="1518">
      <c r="A1518" s="2"/>
      <c r="B1518" s="2"/>
      <c r="C1518" s="2"/>
      <c r="D1518" s="2"/>
      <c r="E1518" s="2"/>
      <c r="F1518" s="2"/>
      <c r="G1518" s="2"/>
      <c r="H1518" s="2"/>
      <c r="I1518" s="2"/>
      <c r="J1518" s="2"/>
      <c r="K1518" s="2"/>
    </row>
    <row r="1519">
      <c r="A1519" s="2"/>
      <c r="B1519" s="2"/>
      <c r="C1519" s="2"/>
      <c r="D1519" s="2"/>
      <c r="E1519" s="2"/>
      <c r="F1519" s="2"/>
      <c r="G1519" s="2"/>
      <c r="H1519" s="2"/>
      <c r="I1519" s="2"/>
      <c r="J1519" s="2"/>
      <c r="K1519" s="2"/>
    </row>
    <row r="1520">
      <c r="A1520" s="2"/>
      <c r="B1520" s="2"/>
      <c r="C1520" s="2"/>
      <c r="D1520" s="2"/>
      <c r="E1520" s="2"/>
      <c r="F1520" s="2"/>
      <c r="G1520" s="2"/>
      <c r="H1520" s="2"/>
      <c r="I1520" s="2"/>
      <c r="J1520" s="2"/>
      <c r="K1520" s="2"/>
    </row>
    <row r="1521">
      <c r="A1521" s="2"/>
      <c r="B1521" s="2"/>
      <c r="C1521" s="2"/>
      <c r="D1521" s="2"/>
      <c r="E1521" s="2"/>
      <c r="F1521" s="2"/>
      <c r="G1521" s="2"/>
      <c r="H1521" s="2"/>
      <c r="I1521" s="2"/>
      <c r="J1521" s="2"/>
      <c r="K1521" s="2"/>
    </row>
    <row r="1522">
      <c r="A1522" s="2"/>
      <c r="B1522" s="2"/>
      <c r="C1522" s="2"/>
      <c r="D1522" s="2"/>
      <c r="E1522" s="2"/>
      <c r="F1522" s="2"/>
      <c r="G1522" s="2"/>
      <c r="H1522" s="2"/>
      <c r="I1522" s="2"/>
      <c r="J1522" s="2"/>
      <c r="K1522" s="2"/>
    </row>
    <row r="1523">
      <c r="A1523" s="2"/>
      <c r="B1523" s="2"/>
      <c r="C1523" s="2"/>
      <c r="D1523" s="2"/>
      <c r="E1523" s="2"/>
      <c r="F1523" s="2"/>
      <c r="G1523" s="2"/>
      <c r="H1523" s="2"/>
      <c r="I1523" s="2"/>
      <c r="J1523" s="2"/>
      <c r="K1523" s="2"/>
    </row>
    <row r="1524">
      <c r="A1524" s="2"/>
      <c r="B1524" s="2"/>
      <c r="C1524" s="2"/>
      <c r="D1524" s="2"/>
      <c r="E1524" s="2"/>
      <c r="F1524" s="2"/>
      <c r="G1524" s="2"/>
      <c r="H1524" s="2"/>
      <c r="I1524" s="2"/>
      <c r="J1524" s="2"/>
      <c r="K1524" s="2"/>
    </row>
    <row r="1525">
      <c r="A1525" s="2"/>
      <c r="B1525" s="2"/>
      <c r="C1525" s="2"/>
      <c r="D1525" s="2"/>
      <c r="E1525" s="2"/>
      <c r="F1525" s="2"/>
      <c r="G1525" s="2"/>
      <c r="H1525" s="2"/>
      <c r="I1525" s="2"/>
      <c r="J1525" s="2"/>
      <c r="K1525" s="2"/>
    </row>
    <row r="1526">
      <c r="A1526" s="2"/>
      <c r="B1526" s="2"/>
      <c r="C1526" s="2"/>
      <c r="D1526" s="2"/>
      <c r="E1526" s="2"/>
      <c r="F1526" s="2"/>
      <c r="G1526" s="2"/>
      <c r="H1526" s="2"/>
      <c r="I1526" s="2"/>
      <c r="J1526" s="2"/>
      <c r="K1526" s="2"/>
    </row>
    <row r="1527">
      <c r="A1527" s="2"/>
      <c r="B1527" s="2"/>
      <c r="C1527" s="2"/>
      <c r="D1527" s="2"/>
      <c r="E1527" s="2"/>
      <c r="F1527" s="2"/>
      <c r="G1527" s="2"/>
      <c r="H1527" s="2"/>
      <c r="I1527" s="2"/>
      <c r="J1527" s="2"/>
      <c r="K1527" s="2"/>
    </row>
    <row r="1528">
      <c r="A1528" s="2"/>
      <c r="B1528" s="2"/>
      <c r="C1528" s="2"/>
      <c r="D1528" s="2"/>
      <c r="E1528" s="2"/>
      <c r="F1528" s="2"/>
      <c r="G1528" s="2"/>
      <c r="H1528" s="2"/>
      <c r="I1528" s="2"/>
      <c r="J1528" s="2"/>
      <c r="K1528" s="2"/>
    </row>
    <row r="1529">
      <c r="A1529" s="2"/>
      <c r="B1529" s="2"/>
      <c r="C1529" s="2"/>
      <c r="D1529" s="2"/>
      <c r="E1529" s="2"/>
      <c r="F1529" s="2"/>
      <c r="G1529" s="2"/>
      <c r="H1529" s="2"/>
      <c r="I1529" s="2"/>
      <c r="J1529" s="2"/>
      <c r="K1529" s="2"/>
    </row>
    <row r="1530">
      <c r="A1530" s="2"/>
      <c r="B1530" s="2"/>
      <c r="C1530" s="2"/>
      <c r="D1530" s="2"/>
      <c r="E1530" s="2"/>
      <c r="F1530" s="2"/>
      <c r="G1530" s="2"/>
      <c r="H1530" s="2"/>
      <c r="I1530" s="2"/>
      <c r="J1530" s="2"/>
      <c r="K1530" s="2"/>
    </row>
    <row r="1531">
      <c r="A1531" s="2"/>
      <c r="B1531" s="2"/>
      <c r="C1531" s="2"/>
      <c r="D1531" s="2"/>
      <c r="E1531" s="2"/>
      <c r="F1531" s="2"/>
      <c r="G1531" s="2"/>
      <c r="H1531" s="2"/>
      <c r="I1531" s="2"/>
      <c r="J1531" s="2"/>
      <c r="K1531" s="2"/>
    </row>
    <row r="1532">
      <c r="A1532" s="2"/>
      <c r="B1532" s="2"/>
      <c r="C1532" s="2"/>
      <c r="D1532" s="2"/>
      <c r="E1532" s="2"/>
      <c r="F1532" s="2"/>
      <c r="G1532" s="2"/>
      <c r="H1532" s="2"/>
      <c r="I1532" s="2"/>
      <c r="J1532" s="2"/>
      <c r="K1532" s="2"/>
    </row>
    <row r="1533">
      <c r="A1533" s="2"/>
      <c r="B1533" s="2"/>
      <c r="C1533" s="2"/>
      <c r="D1533" s="2"/>
      <c r="E1533" s="2"/>
      <c r="F1533" s="2"/>
      <c r="G1533" s="2"/>
      <c r="H1533" s="2"/>
      <c r="I1533" s="2"/>
      <c r="J1533" s="2"/>
      <c r="K1533" s="2"/>
    </row>
    <row r="1534">
      <c r="A1534" s="2"/>
      <c r="B1534" s="2"/>
      <c r="C1534" s="2"/>
      <c r="D1534" s="2"/>
      <c r="E1534" s="2"/>
      <c r="F1534" s="2"/>
      <c r="G1534" s="2"/>
      <c r="H1534" s="2"/>
      <c r="I1534" s="2"/>
      <c r="J1534" s="2"/>
      <c r="K1534" s="2"/>
    </row>
    <row r="1535">
      <c r="A1535" s="2"/>
      <c r="B1535" s="2"/>
      <c r="C1535" s="2"/>
      <c r="D1535" s="2"/>
      <c r="E1535" s="2"/>
      <c r="F1535" s="2"/>
      <c r="G1535" s="2"/>
      <c r="H1535" s="2"/>
      <c r="I1535" s="2"/>
      <c r="J1535" s="2"/>
      <c r="K1535" s="2"/>
    </row>
    <row r="1536">
      <c r="A1536" s="2"/>
      <c r="B1536" s="2"/>
      <c r="C1536" s="2"/>
      <c r="D1536" s="2"/>
      <c r="E1536" s="2"/>
      <c r="F1536" s="2"/>
      <c r="G1536" s="2"/>
      <c r="H1536" s="2"/>
      <c r="I1536" s="2"/>
      <c r="J1536" s="2"/>
      <c r="K1536" s="2"/>
    </row>
    <row r="1537">
      <c r="A1537" s="2"/>
      <c r="B1537" s="2"/>
      <c r="C1537" s="2"/>
      <c r="D1537" s="2"/>
      <c r="E1537" s="2"/>
      <c r="F1537" s="2"/>
      <c r="G1537" s="2"/>
      <c r="H1537" s="2"/>
      <c r="I1537" s="2"/>
      <c r="J1537" s="2"/>
      <c r="K1537" s="2"/>
    </row>
    <row r="1538">
      <c r="A1538" s="2"/>
      <c r="B1538" s="2"/>
      <c r="C1538" s="2"/>
      <c r="D1538" s="2"/>
      <c r="E1538" s="2"/>
      <c r="F1538" s="2"/>
      <c r="G1538" s="2"/>
      <c r="H1538" s="2"/>
      <c r="I1538" s="2"/>
      <c r="J1538" s="2"/>
      <c r="K1538" s="2"/>
    </row>
    <row r="1539">
      <c r="A1539" s="2"/>
      <c r="B1539" s="2"/>
      <c r="C1539" s="2"/>
      <c r="D1539" s="2"/>
      <c r="E1539" s="2"/>
      <c r="F1539" s="2"/>
      <c r="G1539" s="2"/>
      <c r="H1539" s="2"/>
      <c r="I1539" s="2"/>
      <c r="J1539" s="2"/>
      <c r="K1539" s="2"/>
    </row>
    <row r="1540">
      <c r="A1540" s="2"/>
      <c r="B1540" s="2"/>
      <c r="C1540" s="2"/>
      <c r="D1540" s="2"/>
      <c r="E1540" s="2"/>
      <c r="F1540" s="2"/>
      <c r="G1540" s="2"/>
      <c r="H1540" s="2"/>
      <c r="I1540" s="2"/>
      <c r="J1540" s="2"/>
      <c r="K1540" s="2"/>
    </row>
    <row r="1541">
      <c r="A1541" s="2"/>
      <c r="B1541" s="2"/>
      <c r="C1541" s="2"/>
      <c r="D1541" s="2"/>
      <c r="E1541" s="2"/>
      <c r="F1541" s="2"/>
      <c r="G1541" s="2"/>
      <c r="H1541" s="2"/>
      <c r="I1541" s="2"/>
      <c r="J1541" s="2"/>
      <c r="K1541" s="2"/>
    </row>
    <row r="1542">
      <c r="A1542" s="2"/>
      <c r="B1542" s="2"/>
      <c r="C1542" s="2"/>
      <c r="D1542" s="2"/>
      <c r="E1542" s="2"/>
      <c r="F1542" s="2"/>
      <c r="G1542" s="2"/>
      <c r="H1542" s="2"/>
      <c r="I1542" s="2"/>
      <c r="J1542" s="2"/>
      <c r="K1542" s="2"/>
    </row>
    <row r="1543">
      <c r="A1543" s="2"/>
      <c r="B1543" s="2"/>
      <c r="C1543" s="2"/>
      <c r="D1543" s="2"/>
      <c r="E1543" s="2"/>
      <c r="F1543" s="2"/>
      <c r="G1543" s="2"/>
      <c r="H1543" s="2"/>
      <c r="I1543" s="2"/>
      <c r="J1543" s="2"/>
      <c r="K1543" s="2"/>
    </row>
    <row r="1544">
      <c r="A1544" s="2"/>
      <c r="B1544" s="2"/>
      <c r="C1544" s="2"/>
      <c r="D1544" s="2"/>
      <c r="E1544" s="2"/>
      <c r="F1544" s="2"/>
      <c r="G1544" s="2"/>
      <c r="H1544" s="2"/>
      <c r="I1544" s="2"/>
      <c r="J1544" s="2"/>
      <c r="K1544" s="2"/>
    </row>
    <row r="1545">
      <c r="A1545" s="2"/>
      <c r="B1545" s="2"/>
      <c r="C1545" s="2"/>
      <c r="D1545" s="2"/>
      <c r="E1545" s="2"/>
      <c r="F1545" s="2"/>
      <c r="G1545" s="2"/>
      <c r="H1545" s="2"/>
      <c r="I1545" s="2"/>
      <c r="J1545" s="2"/>
      <c r="K1545" s="2"/>
    </row>
    <row r="1546">
      <c r="A1546" s="2"/>
      <c r="B1546" s="2"/>
      <c r="C1546" s="2"/>
      <c r="D1546" s="2"/>
      <c r="E1546" s="2"/>
      <c r="F1546" s="2"/>
      <c r="G1546" s="2"/>
      <c r="H1546" s="2"/>
      <c r="I1546" s="2"/>
      <c r="J1546" s="2"/>
      <c r="K1546" s="2"/>
    </row>
    <row r="1547">
      <c r="A1547" s="2"/>
      <c r="B1547" s="2"/>
      <c r="C1547" s="2"/>
      <c r="D1547" s="2"/>
      <c r="E1547" s="2"/>
      <c r="F1547" s="2"/>
      <c r="G1547" s="2"/>
      <c r="H1547" s="2"/>
      <c r="I1547" s="2"/>
      <c r="J1547" s="2"/>
      <c r="K1547" s="2"/>
    </row>
    <row r="1548">
      <c r="A1548" s="2"/>
      <c r="B1548" s="2"/>
      <c r="C1548" s="2"/>
      <c r="D1548" s="2"/>
      <c r="E1548" s="2"/>
      <c r="F1548" s="2"/>
      <c r="G1548" s="2"/>
      <c r="H1548" s="2"/>
      <c r="I1548" s="2"/>
      <c r="J1548" s="2"/>
      <c r="K1548" s="2"/>
    </row>
    <row r="1549">
      <c r="A1549" s="2"/>
      <c r="B1549" s="2"/>
      <c r="C1549" s="2"/>
      <c r="D1549" s="2"/>
      <c r="E1549" s="2"/>
      <c r="F1549" s="2"/>
      <c r="G1549" s="2"/>
      <c r="H1549" s="2"/>
      <c r="I1549" s="2"/>
      <c r="J1549" s="2"/>
      <c r="K1549" s="2"/>
    </row>
    <row r="1550">
      <c r="A1550" s="2"/>
      <c r="B1550" s="2"/>
      <c r="C1550" s="2"/>
      <c r="D1550" s="2"/>
      <c r="E1550" s="2"/>
      <c r="F1550" s="2"/>
      <c r="G1550" s="2"/>
      <c r="H1550" s="2"/>
      <c r="I1550" s="2"/>
      <c r="J1550" s="2"/>
      <c r="K1550" s="2"/>
    </row>
    <row r="1551">
      <c r="A1551" s="2"/>
      <c r="B1551" s="2"/>
      <c r="C1551" s="2"/>
      <c r="D1551" s="2"/>
      <c r="E1551" s="2"/>
      <c r="F1551" s="2"/>
      <c r="G1551" s="2"/>
      <c r="H1551" s="2"/>
      <c r="I1551" s="2"/>
      <c r="J1551" s="2"/>
      <c r="K1551" s="2"/>
    </row>
    <row r="1552">
      <c r="A1552" s="2"/>
      <c r="B1552" s="2"/>
      <c r="C1552" s="2"/>
      <c r="D1552" s="2"/>
      <c r="E1552" s="2"/>
      <c r="F1552" s="2"/>
      <c r="G1552" s="2"/>
      <c r="H1552" s="2"/>
      <c r="I1552" s="2"/>
      <c r="J1552" s="2"/>
      <c r="K1552" s="2"/>
    </row>
    <row r="1553">
      <c r="A1553" s="2"/>
      <c r="B1553" s="2"/>
      <c r="C1553" s="2"/>
      <c r="D1553" s="2"/>
      <c r="E1553" s="2"/>
      <c r="F1553" s="2"/>
      <c r="G1553" s="2"/>
      <c r="H1553" s="2"/>
      <c r="I1553" s="2"/>
      <c r="J1553" s="2"/>
      <c r="K1553" s="2"/>
    </row>
    <row r="1554">
      <c r="A1554" s="2"/>
      <c r="B1554" s="2"/>
      <c r="C1554" s="2"/>
      <c r="D1554" s="2"/>
      <c r="E1554" s="2"/>
      <c r="F1554" s="2"/>
      <c r="G1554" s="2"/>
      <c r="H1554" s="2"/>
      <c r="I1554" s="2"/>
      <c r="J1554" s="2"/>
      <c r="K1554" s="2"/>
    </row>
    <row r="1555">
      <c r="A1555" s="2"/>
      <c r="B1555" s="2"/>
      <c r="C1555" s="2"/>
      <c r="D1555" s="2"/>
      <c r="E1555" s="2"/>
      <c r="F1555" s="2"/>
      <c r="G1555" s="2"/>
      <c r="H1555" s="2"/>
      <c r="I1555" s="2"/>
      <c r="J1555" s="2"/>
      <c r="K1555" s="2"/>
    </row>
    <row r="1556">
      <c r="A1556" s="2"/>
      <c r="B1556" s="2"/>
      <c r="C1556" s="2"/>
      <c r="D1556" s="2"/>
      <c r="E1556" s="2"/>
      <c r="F1556" s="2"/>
      <c r="G1556" s="2"/>
      <c r="H1556" s="2"/>
      <c r="I1556" s="2"/>
      <c r="J1556" s="2"/>
      <c r="K1556" s="2"/>
    </row>
    <row r="1557">
      <c r="A1557" s="2"/>
      <c r="B1557" s="2"/>
      <c r="C1557" s="2"/>
      <c r="D1557" s="2"/>
      <c r="E1557" s="2"/>
      <c r="F1557" s="2"/>
      <c r="G1557" s="2"/>
      <c r="H1557" s="2"/>
      <c r="I1557" s="2"/>
      <c r="J1557" s="2"/>
      <c r="K1557" s="2"/>
    </row>
    <row r="1558">
      <c r="A1558" s="2"/>
      <c r="B1558" s="2"/>
      <c r="C1558" s="2"/>
      <c r="D1558" s="2"/>
      <c r="E1558" s="2"/>
      <c r="F1558" s="2"/>
      <c r="G1558" s="2"/>
      <c r="H1558" s="2"/>
      <c r="I1558" s="2"/>
      <c r="J1558" s="2"/>
      <c r="K1558" s="2"/>
    </row>
    <row r="1559">
      <c r="A1559" s="2"/>
      <c r="B1559" s="2"/>
      <c r="C1559" s="2"/>
      <c r="D1559" s="2"/>
      <c r="E1559" s="2"/>
      <c r="F1559" s="2"/>
      <c r="G1559" s="2"/>
      <c r="H1559" s="2"/>
      <c r="I1559" s="2"/>
      <c r="J1559" s="2"/>
      <c r="K1559" s="2"/>
    </row>
    <row r="1560">
      <c r="A1560" s="2"/>
      <c r="B1560" s="2"/>
      <c r="C1560" s="2"/>
      <c r="D1560" s="2"/>
      <c r="E1560" s="2"/>
      <c r="F1560" s="2"/>
      <c r="G1560" s="2"/>
      <c r="H1560" s="2"/>
      <c r="I1560" s="2"/>
      <c r="J1560" s="2"/>
      <c r="K1560" s="2"/>
    </row>
    <row r="1561">
      <c r="A1561" s="2"/>
      <c r="B1561" s="2"/>
      <c r="C1561" s="2"/>
      <c r="D1561" s="2"/>
      <c r="E1561" s="2"/>
      <c r="F1561" s="2"/>
      <c r="G1561" s="2"/>
      <c r="H1561" s="2"/>
      <c r="I1561" s="2"/>
      <c r="J1561" s="2"/>
      <c r="K1561" s="2"/>
    </row>
    <row r="1562">
      <c r="A1562" s="2"/>
      <c r="B1562" s="2"/>
      <c r="C1562" s="2"/>
      <c r="D1562" s="2"/>
      <c r="E1562" s="2"/>
      <c r="F1562" s="2"/>
      <c r="G1562" s="2"/>
      <c r="H1562" s="2"/>
      <c r="I1562" s="2"/>
      <c r="J1562" s="2"/>
      <c r="K1562" s="2"/>
    </row>
    <row r="1563">
      <c r="A1563" s="2"/>
      <c r="B1563" s="2"/>
      <c r="C1563" s="2"/>
      <c r="D1563" s="2"/>
      <c r="E1563" s="2"/>
      <c r="F1563" s="2"/>
      <c r="G1563" s="2"/>
      <c r="H1563" s="2"/>
      <c r="I1563" s="2"/>
      <c r="J1563" s="2"/>
      <c r="K1563" s="2"/>
    </row>
    <row r="1564">
      <c r="A1564" s="2"/>
      <c r="B1564" s="2"/>
      <c r="C1564" s="2"/>
      <c r="D1564" s="2"/>
      <c r="E1564" s="2"/>
      <c r="F1564" s="2"/>
      <c r="G1564" s="2"/>
      <c r="H1564" s="2"/>
      <c r="I1564" s="2"/>
      <c r="J1564" s="2"/>
      <c r="K1564" s="2"/>
    </row>
    <row r="1565">
      <c r="A1565" s="2"/>
      <c r="B1565" s="2"/>
      <c r="C1565" s="2"/>
      <c r="D1565" s="2"/>
      <c r="E1565" s="2"/>
      <c r="F1565" s="2"/>
      <c r="G1565" s="2"/>
      <c r="H1565" s="2"/>
      <c r="I1565" s="2"/>
      <c r="J1565" s="2"/>
      <c r="K1565" s="2"/>
    </row>
    <row r="1566">
      <c r="A1566" s="2"/>
      <c r="B1566" s="2"/>
      <c r="C1566" s="2"/>
      <c r="D1566" s="2"/>
      <c r="E1566" s="2"/>
      <c r="F1566" s="2"/>
      <c r="G1566" s="2"/>
      <c r="H1566" s="2"/>
      <c r="I1566" s="2"/>
      <c r="J1566" s="2"/>
      <c r="K1566" s="2"/>
    </row>
    <row r="1567">
      <c r="A1567" s="2"/>
      <c r="B1567" s="2"/>
      <c r="C1567" s="2"/>
      <c r="D1567" s="2"/>
      <c r="E1567" s="2"/>
      <c r="F1567" s="2"/>
      <c r="G1567" s="2"/>
      <c r="H1567" s="2"/>
      <c r="I1567" s="2"/>
      <c r="J1567" s="2"/>
      <c r="K1567" s="2"/>
    </row>
    <row r="1568">
      <c r="A1568" s="2"/>
      <c r="B1568" s="2"/>
      <c r="C1568" s="2"/>
      <c r="D1568" s="2"/>
      <c r="E1568" s="2"/>
      <c r="F1568" s="2"/>
      <c r="G1568" s="2"/>
      <c r="H1568" s="2"/>
      <c r="I1568" s="2"/>
      <c r="J1568" s="2"/>
      <c r="K1568" s="2"/>
    </row>
    <row r="1569">
      <c r="A1569" s="2"/>
      <c r="B1569" s="2"/>
      <c r="C1569" s="2"/>
      <c r="D1569" s="2"/>
      <c r="E1569" s="2"/>
      <c r="F1569" s="2"/>
      <c r="G1569" s="2"/>
      <c r="H1569" s="2"/>
      <c r="I1569" s="2"/>
      <c r="J1569" s="2"/>
      <c r="K1569" s="2"/>
    </row>
    <row r="1570">
      <c r="A1570" s="2"/>
      <c r="B1570" s="2"/>
      <c r="C1570" s="2"/>
      <c r="D1570" s="2"/>
      <c r="E1570" s="2"/>
      <c r="F1570" s="2"/>
      <c r="G1570" s="2"/>
      <c r="H1570" s="2"/>
      <c r="I1570" s="2"/>
      <c r="J1570" s="2"/>
      <c r="K1570" s="2"/>
    </row>
    <row r="1571">
      <c r="A1571" s="2"/>
      <c r="B1571" s="2"/>
      <c r="C1571" s="2"/>
      <c r="D1571" s="2"/>
      <c r="E1571" s="2"/>
      <c r="F1571" s="2"/>
      <c r="G1571" s="2"/>
      <c r="H1571" s="2"/>
      <c r="I1571" s="2"/>
      <c r="J1571" s="2"/>
      <c r="K1571" s="2"/>
    </row>
    <row r="1572">
      <c r="A1572" s="2"/>
      <c r="B1572" s="2"/>
      <c r="C1572" s="2"/>
      <c r="D1572" s="2"/>
      <c r="E1572" s="2"/>
      <c r="F1572" s="2"/>
      <c r="G1572" s="2"/>
      <c r="H1572" s="2"/>
      <c r="I1572" s="2"/>
      <c r="J1572" s="2"/>
      <c r="K1572" s="2"/>
    </row>
    <row r="1573">
      <c r="A1573" s="2"/>
      <c r="B1573" s="2"/>
      <c r="C1573" s="2"/>
      <c r="D1573" s="2"/>
      <c r="E1573" s="2"/>
      <c r="F1573" s="2"/>
      <c r="G1573" s="2"/>
      <c r="H1573" s="2"/>
      <c r="I1573" s="2"/>
      <c r="J1573" s="2"/>
      <c r="K1573" s="2"/>
    </row>
    <row r="1574">
      <c r="A1574" s="2"/>
      <c r="B1574" s="2"/>
      <c r="C1574" s="2"/>
      <c r="D1574" s="2"/>
      <c r="E1574" s="2"/>
      <c r="F1574" s="2"/>
      <c r="G1574" s="2"/>
      <c r="H1574" s="2"/>
      <c r="I1574" s="2"/>
      <c r="J1574" s="2"/>
      <c r="K1574" s="2"/>
    </row>
    <row r="1575">
      <c r="A1575" s="2"/>
      <c r="B1575" s="2"/>
      <c r="C1575" s="2"/>
      <c r="D1575" s="2"/>
      <c r="E1575" s="2"/>
      <c r="F1575" s="2"/>
      <c r="G1575" s="2"/>
      <c r="H1575" s="2"/>
      <c r="I1575" s="2"/>
      <c r="J1575" s="2"/>
      <c r="K1575" s="2"/>
    </row>
    <row r="1576">
      <c r="A1576" s="2"/>
      <c r="B1576" s="2"/>
      <c r="C1576" s="2"/>
      <c r="D1576" s="2"/>
      <c r="E1576" s="2"/>
      <c r="F1576" s="2"/>
      <c r="G1576" s="2"/>
      <c r="H1576" s="2"/>
      <c r="I1576" s="2"/>
      <c r="J1576" s="2"/>
      <c r="K1576" s="2"/>
    </row>
    <row r="1577">
      <c r="A1577" s="2"/>
      <c r="B1577" s="2"/>
      <c r="C1577" s="2"/>
      <c r="D1577" s="2"/>
      <c r="E1577" s="2"/>
      <c r="F1577" s="2"/>
      <c r="G1577" s="2"/>
      <c r="H1577" s="2"/>
      <c r="I1577" s="2"/>
      <c r="J1577" s="2"/>
      <c r="K1577" s="2"/>
    </row>
    <row r="1578">
      <c r="A1578" s="2"/>
      <c r="B1578" s="2"/>
      <c r="C1578" s="2"/>
      <c r="D1578" s="2"/>
      <c r="E1578" s="2"/>
      <c r="F1578" s="2"/>
      <c r="G1578" s="2"/>
      <c r="H1578" s="2"/>
      <c r="I1578" s="2"/>
      <c r="J1578" s="2"/>
      <c r="K1578" s="2"/>
    </row>
    <row r="1579">
      <c r="A1579" s="2"/>
      <c r="B1579" s="2"/>
      <c r="C1579" s="2"/>
      <c r="D1579" s="2"/>
      <c r="E1579" s="2"/>
      <c r="F1579" s="2"/>
      <c r="G1579" s="2"/>
      <c r="H1579" s="2"/>
      <c r="I1579" s="2"/>
      <c r="J1579" s="2"/>
      <c r="K1579" s="2"/>
    </row>
    <row r="1580">
      <c r="A1580" s="2"/>
      <c r="B1580" s="2"/>
      <c r="C1580" s="2"/>
      <c r="D1580" s="2"/>
      <c r="E1580" s="2"/>
      <c r="F1580" s="2"/>
      <c r="G1580" s="2"/>
      <c r="H1580" s="2"/>
      <c r="I1580" s="2"/>
      <c r="J1580" s="2"/>
      <c r="K1580" s="2"/>
    </row>
    <row r="1581">
      <c r="A1581" s="2"/>
      <c r="B1581" s="2"/>
      <c r="C1581" s="2"/>
      <c r="D1581" s="2"/>
      <c r="E1581" s="2"/>
      <c r="F1581" s="2"/>
      <c r="G1581" s="2"/>
      <c r="H1581" s="2"/>
      <c r="I1581" s="2"/>
      <c r="J1581" s="2"/>
      <c r="K1581" s="2"/>
    </row>
    <row r="1582">
      <c r="A1582" s="2"/>
      <c r="B1582" s="2"/>
      <c r="C1582" s="2"/>
      <c r="D1582" s="2"/>
      <c r="E1582" s="2"/>
      <c r="F1582" s="2"/>
      <c r="G1582" s="2"/>
      <c r="H1582" s="2"/>
      <c r="I1582" s="2"/>
      <c r="J1582" s="2"/>
      <c r="K1582" s="2"/>
    </row>
    <row r="1583">
      <c r="A1583" s="2"/>
      <c r="B1583" s="2"/>
      <c r="C1583" s="2"/>
      <c r="D1583" s="2"/>
      <c r="E1583" s="2"/>
      <c r="F1583" s="2"/>
      <c r="G1583" s="2"/>
      <c r="H1583" s="2"/>
      <c r="I1583" s="2"/>
      <c r="J1583" s="2"/>
      <c r="K1583" s="2"/>
    </row>
    <row r="1584">
      <c r="A1584" s="2"/>
      <c r="B1584" s="2"/>
      <c r="C1584" s="2"/>
      <c r="D1584" s="2"/>
      <c r="E1584" s="2"/>
      <c r="F1584" s="2"/>
      <c r="G1584" s="2"/>
      <c r="H1584" s="2"/>
      <c r="I1584" s="2"/>
      <c r="J1584" s="2"/>
      <c r="K1584" s="2"/>
    </row>
    <row r="1585">
      <c r="A1585" s="2"/>
      <c r="B1585" s="2"/>
      <c r="C1585" s="2"/>
      <c r="D1585" s="2"/>
      <c r="E1585" s="2"/>
      <c r="F1585" s="2"/>
      <c r="G1585" s="2"/>
      <c r="H1585" s="2"/>
      <c r="I1585" s="2"/>
      <c r="J1585" s="2"/>
      <c r="K1585" s="2"/>
    </row>
    <row r="1586">
      <c r="A1586" s="2"/>
      <c r="B1586" s="2"/>
      <c r="C1586" s="2"/>
      <c r="D1586" s="2"/>
      <c r="E1586" s="2"/>
      <c r="F1586" s="2"/>
      <c r="G1586" s="2"/>
      <c r="H1586" s="2"/>
      <c r="I1586" s="2"/>
      <c r="J1586" s="2"/>
      <c r="K1586" s="2"/>
    </row>
    <row r="1587">
      <c r="A1587" s="2"/>
      <c r="B1587" s="2"/>
      <c r="C1587" s="2"/>
      <c r="D1587" s="2"/>
      <c r="E1587" s="2"/>
      <c r="F1587" s="2"/>
      <c r="G1587" s="2"/>
      <c r="H1587" s="2"/>
      <c r="I1587" s="2"/>
      <c r="J1587" s="2"/>
      <c r="K1587" s="2"/>
    </row>
    <row r="1588">
      <c r="A1588" s="2"/>
      <c r="B1588" s="2"/>
      <c r="C1588" s="2"/>
      <c r="D1588" s="2"/>
      <c r="E1588" s="2"/>
      <c r="F1588" s="2"/>
      <c r="G1588" s="2"/>
      <c r="H1588" s="2"/>
      <c r="I1588" s="2"/>
      <c r="J1588" s="2"/>
      <c r="K1588" s="2"/>
    </row>
    <row r="1589">
      <c r="A1589" s="2"/>
      <c r="B1589" s="2"/>
      <c r="C1589" s="2"/>
      <c r="D1589" s="2"/>
      <c r="E1589" s="2"/>
      <c r="F1589" s="2"/>
      <c r="G1589" s="2"/>
      <c r="H1589" s="2"/>
      <c r="I1589" s="2"/>
      <c r="J1589" s="2"/>
      <c r="K1589" s="2"/>
    </row>
    <row r="1590">
      <c r="A1590" s="2"/>
      <c r="B1590" s="2"/>
      <c r="C1590" s="2"/>
      <c r="D1590" s="2"/>
      <c r="E1590" s="2"/>
      <c r="F1590" s="2"/>
      <c r="G1590" s="2"/>
      <c r="H1590" s="2"/>
      <c r="I1590" s="2"/>
      <c r="J1590" s="2"/>
      <c r="K1590" s="2"/>
    </row>
    <row r="1591">
      <c r="A1591" s="2"/>
      <c r="B1591" s="2"/>
      <c r="C1591" s="2"/>
      <c r="D1591" s="2"/>
      <c r="E1591" s="2"/>
      <c r="F1591" s="2"/>
      <c r="G1591" s="2"/>
      <c r="H1591" s="2"/>
      <c r="I1591" s="2"/>
      <c r="J1591" s="2"/>
      <c r="K1591" s="2"/>
    </row>
    <row r="1592">
      <c r="A1592" s="2"/>
      <c r="B1592" s="2"/>
      <c r="C1592" s="2"/>
      <c r="D1592" s="2"/>
      <c r="E1592" s="2"/>
      <c r="F1592" s="2"/>
      <c r="G1592" s="2"/>
      <c r="H1592" s="2"/>
      <c r="I1592" s="2"/>
      <c r="J1592" s="2"/>
      <c r="K1592" s="2"/>
    </row>
    <row r="1593">
      <c r="A1593" s="2"/>
      <c r="B1593" s="2"/>
      <c r="C1593" s="2"/>
      <c r="D1593" s="2"/>
      <c r="E1593" s="2"/>
      <c r="F1593" s="2"/>
      <c r="G1593" s="2"/>
      <c r="H1593" s="2"/>
      <c r="I1593" s="2"/>
      <c r="J1593" s="2"/>
      <c r="K1593" s="2"/>
    </row>
    <row r="1594">
      <c r="A1594" s="2"/>
      <c r="B1594" s="2"/>
      <c r="C1594" s="2"/>
      <c r="D1594" s="2"/>
      <c r="E1594" s="2"/>
      <c r="F1594" s="2"/>
      <c r="G1594" s="2"/>
      <c r="H1594" s="2"/>
      <c r="I1594" s="2"/>
      <c r="J1594" s="2"/>
      <c r="K1594" s="2"/>
    </row>
    <row r="1595">
      <c r="A1595" s="2"/>
      <c r="B1595" s="2"/>
      <c r="C1595" s="2"/>
      <c r="D1595" s="2"/>
      <c r="E1595" s="2"/>
      <c r="F1595" s="2"/>
      <c r="G1595" s="2"/>
      <c r="H1595" s="2"/>
      <c r="I1595" s="2"/>
      <c r="J1595" s="2"/>
      <c r="K1595" s="2"/>
    </row>
    <row r="1596">
      <c r="A1596" s="2"/>
      <c r="B1596" s="2"/>
      <c r="C1596" s="2"/>
      <c r="D1596" s="2"/>
      <c r="E1596" s="2"/>
      <c r="F1596" s="2"/>
      <c r="G1596" s="2"/>
      <c r="H1596" s="2"/>
      <c r="I1596" s="2"/>
      <c r="J1596" s="2"/>
      <c r="K1596" s="2"/>
    </row>
    <row r="1597">
      <c r="A1597" s="2"/>
      <c r="B1597" s="2"/>
      <c r="C1597" s="2"/>
      <c r="D1597" s="2"/>
      <c r="E1597" s="2"/>
      <c r="F1597" s="2"/>
      <c r="G1597" s="2"/>
      <c r="H1597" s="2"/>
      <c r="I1597" s="2"/>
      <c r="J1597" s="2"/>
      <c r="K1597" s="2"/>
    </row>
    <row r="1598">
      <c r="A1598" s="2"/>
      <c r="B1598" s="2"/>
      <c r="C1598" s="2"/>
      <c r="D1598" s="2"/>
      <c r="E1598" s="2"/>
      <c r="F1598" s="2"/>
      <c r="G1598" s="2"/>
      <c r="H1598" s="2"/>
      <c r="I1598" s="2"/>
      <c r="J1598" s="2"/>
      <c r="K1598" s="2"/>
    </row>
    <row r="1599">
      <c r="A1599" s="2"/>
      <c r="B1599" s="2"/>
      <c r="C1599" s="2"/>
      <c r="D1599" s="2"/>
      <c r="E1599" s="2"/>
      <c r="F1599" s="2"/>
      <c r="G1599" s="2"/>
      <c r="H1599" s="2"/>
      <c r="I1599" s="2"/>
      <c r="J1599" s="2"/>
      <c r="K1599" s="2"/>
    </row>
    <row r="1600">
      <c r="A1600" s="2"/>
      <c r="B1600" s="2"/>
      <c r="C1600" s="2"/>
      <c r="D1600" s="2"/>
      <c r="E1600" s="2"/>
      <c r="F1600" s="2"/>
      <c r="G1600" s="2"/>
      <c r="H1600" s="2"/>
      <c r="I1600" s="2"/>
      <c r="J1600" s="2"/>
      <c r="K1600" s="2"/>
    </row>
    <row r="1601">
      <c r="A1601" s="2"/>
      <c r="B1601" s="2"/>
      <c r="C1601" s="2"/>
      <c r="D1601" s="2"/>
      <c r="E1601" s="2"/>
      <c r="F1601" s="2"/>
      <c r="G1601" s="2"/>
      <c r="H1601" s="2"/>
      <c r="I1601" s="2"/>
      <c r="J1601" s="2"/>
      <c r="K1601" s="2"/>
    </row>
    <row r="1602">
      <c r="A1602" s="2"/>
      <c r="B1602" s="2"/>
      <c r="C1602" s="2"/>
      <c r="D1602" s="2"/>
      <c r="E1602" s="2"/>
      <c r="F1602" s="2"/>
      <c r="G1602" s="2"/>
      <c r="H1602" s="2"/>
      <c r="I1602" s="2"/>
      <c r="J1602" s="2"/>
      <c r="K1602" s="2"/>
    </row>
    <row r="1603">
      <c r="A1603" s="2"/>
      <c r="B1603" s="2"/>
      <c r="C1603" s="2"/>
      <c r="D1603" s="2"/>
      <c r="E1603" s="2"/>
      <c r="F1603" s="2"/>
      <c r="G1603" s="2"/>
      <c r="H1603" s="2"/>
      <c r="I1603" s="2"/>
      <c r="J1603" s="2"/>
      <c r="K1603" s="2"/>
    </row>
    <row r="1604">
      <c r="A1604" s="2"/>
      <c r="B1604" s="2"/>
      <c r="C1604" s="2"/>
      <c r="D1604" s="2"/>
      <c r="E1604" s="2"/>
      <c r="F1604" s="2"/>
      <c r="G1604" s="2"/>
      <c r="H1604" s="2"/>
      <c r="I1604" s="2"/>
      <c r="J1604" s="2"/>
      <c r="K1604" s="2"/>
    </row>
    <row r="1605">
      <c r="A1605" s="2"/>
      <c r="B1605" s="2"/>
      <c r="C1605" s="2"/>
      <c r="D1605" s="2"/>
      <c r="E1605" s="2"/>
      <c r="F1605" s="2"/>
      <c r="G1605" s="2"/>
      <c r="H1605" s="2"/>
      <c r="I1605" s="2"/>
      <c r="J1605" s="2"/>
      <c r="K1605" s="2"/>
    </row>
    <row r="1606">
      <c r="A1606" s="2"/>
      <c r="B1606" s="2"/>
      <c r="C1606" s="2"/>
      <c r="D1606" s="2"/>
      <c r="E1606" s="2"/>
      <c r="F1606" s="2"/>
      <c r="G1606" s="2"/>
      <c r="H1606" s="2"/>
      <c r="I1606" s="2"/>
      <c r="J1606" s="2"/>
      <c r="K1606" s="2"/>
    </row>
    <row r="1607">
      <c r="A1607" s="2"/>
      <c r="B1607" s="2"/>
      <c r="C1607" s="2"/>
      <c r="D1607" s="2"/>
      <c r="E1607" s="2"/>
      <c r="F1607" s="2"/>
      <c r="G1607" s="2"/>
      <c r="H1607" s="2"/>
      <c r="I1607" s="2"/>
      <c r="J1607" s="2"/>
      <c r="K1607" s="2"/>
    </row>
    <row r="1608">
      <c r="A1608" s="2"/>
      <c r="B1608" s="2"/>
      <c r="C1608" s="2"/>
      <c r="D1608" s="2"/>
      <c r="E1608" s="2"/>
      <c r="F1608" s="2"/>
      <c r="G1608" s="2"/>
      <c r="H1608" s="2"/>
      <c r="I1608" s="2"/>
      <c r="J1608" s="2"/>
      <c r="K1608" s="2"/>
    </row>
    <row r="1609">
      <c r="A1609" s="2"/>
      <c r="B1609" s="2"/>
      <c r="C1609" s="2"/>
      <c r="D1609" s="2"/>
      <c r="E1609" s="2"/>
      <c r="F1609" s="2"/>
      <c r="G1609" s="2"/>
      <c r="H1609" s="2"/>
      <c r="I1609" s="2"/>
      <c r="J1609" s="2"/>
      <c r="K1609" s="2"/>
    </row>
    <row r="1610">
      <c r="A1610" s="2"/>
      <c r="B1610" s="2"/>
      <c r="C1610" s="2"/>
      <c r="D1610" s="2"/>
      <c r="E1610" s="2"/>
      <c r="F1610" s="2"/>
      <c r="G1610" s="2"/>
      <c r="H1610" s="2"/>
      <c r="I1610" s="2"/>
      <c r="J1610" s="2"/>
      <c r="K1610" s="2"/>
    </row>
    <row r="1611">
      <c r="A1611" s="2"/>
      <c r="B1611" s="2"/>
      <c r="C1611" s="2"/>
      <c r="D1611" s="2"/>
      <c r="E1611" s="2"/>
      <c r="F1611" s="2"/>
      <c r="G1611" s="2"/>
      <c r="H1611" s="2"/>
      <c r="I1611" s="2"/>
      <c r="J1611" s="2"/>
      <c r="K1611" s="2"/>
    </row>
    <row r="1612">
      <c r="A1612" s="2"/>
      <c r="B1612" s="2"/>
      <c r="C1612" s="2"/>
      <c r="D1612" s="2"/>
      <c r="E1612" s="2"/>
      <c r="F1612" s="2"/>
      <c r="G1612" s="2"/>
      <c r="H1612" s="2"/>
      <c r="I1612" s="2"/>
      <c r="J1612" s="2"/>
      <c r="K1612" s="2"/>
    </row>
    <row r="1613">
      <c r="A1613" s="2"/>
      <c r="B1613" s="2"/>
      <c r="C1613" s="2"/>
      <c r="D1613" s="2"/>
      <c r="E1613" s="2"/>
      <c r="F1613" s="2"/>
      <c r="G1613" s="2"/>
      <c r="H1613" s="2"/>
      <c r="I1613" s="2"/>
      <c r="J1613" s="2"/>
      <c r="K1613" s="2"/>
    </row>
    <row r="1614">
      <c r="A1614" s="2"/>
      <c r="B1614" s="2"/>
      <c r="C1614" s="2"/>
      <c r="D1614" s="2"/>
      <c r="E1614" s="2"/>
      <c r="F1614" s="2"/>
      <c r="G1614" s="2"/>
      <c r="H1614" s="2"/>
      <c r="I1614" s="2"/>
      <c r="J1614" s="2"/>
      <c r="K1614" s="2"/>
    </row>
    <row r="1615">
      <c r="A1615" s="2"/>
      <c r="B1615" s="2"/>
      <c r="C1615" s="2"/>
      <c r="D1615" s="2"/>
      <c r="E1615" s="2"/>
      <c r="F1615" s="2"/>
      <c r="G1615" s="2"/>
      <c r="H1615" s="2"/>
      <c r="I1615" s="2"/>
      <c r="J1615" s="2"/>
      <c r="K1615" s="2"/>
    </row>
    <row r="1616">
      <c r="A1616" s="2"/>
      <c r="B1616" s="2"/>
      <c r="C1616" s="2"/>
      <c r="D1616" s="2"/>
      <c r="E1616" s="2"/>
      <c r="F1616" s="2"/>
      <c r="G1616" s="2"/>
      <c r="H1616" s="2"/>
      <c r="I1616" s="2"/>
      <c r="J1616" s="2"/>
      <c r="K1616" s="2"/>
    </row>
    <row r="1617">
      <c r="A1617" s="2"/>
      <c r="B1617" s="2"/>
      <c r="C1617" s="2"/>
      <c r="D1617" s="2"/>
      <c r="E1617" s="2"/>
      <c r="F1617" s="2"/>
      <c r="G1617" s="2"/>
      <c r="H1617" s="2"/>
      <c r="I1617" s="2"/>
      <c r="J1617" s="2"/>
      <c r="K1617" s="2"/>
    </row>
    <row r="1618">
      <c r="A1618" s="2"/>
      <c r="B1618" s="2"/>
      <c r="C1618" s="2"/>
      <c r="D1618" s="2"/>
      <c r="E1618" s="2"/>
      <c r="F1618" s="2"/>
      <c r="G1618" s="2"/>
      <c r="H1618" s="2"/>
      <c r="I1618" s="2"/>
      <c r="J1618" s="2"/>
      <c r="K1618" s="2"/>
    </row>
    <row r="1619">
      <c r="A1619" s="2"/>
      <c r="B1619" s="2"/>
      <c r="C1619" s="2"/>
      <c r="D1619" s="2"/>
      <c r="E1619" s="2"/>
      <c r="F1619" s="2"/>
      <c r="G1619" s="2"/>
      <c r="H1619" s="2"/>
      <c r="I1619" s="2"/>
      <c r="J1619" s="2"/>
      <c r="K1619" s="2"/>
    </row>
    <row r="1620">
      <c r="A1620" s="2"/>
      <c r="B1620" s="2"/>
      <c r="C1620" s="2"/>
      <c r="D1620" s="2"/>
      <c r="E1620" s="2"/>
      <c r="F1620" s="2"/>
      <c r="G1620" s="2"/>
      <c r="H1620" s="2"/>
      <c r="I1620" s="2"/>
      <c r="J1620" s="2"/>
      <c r="K1620" s="2"/>
    </row>
    <row r="1621">
      <c r="A1621" s="2"/>
      <c r="B1621" s="2"/>
      <c r="C1621" s="2"/>
      <c r="D1621" s="2"/>
      <c r="E1621" s="2"/>
      <c r="F1621" s="2"/>
      <c r="G1621" s="2"/>
      <c r="H1621" s="2"/>
      <c r="I1621" s="2"/>
      <c r="J1621" s="2"/>
      <c r="K1621" s="2"/>
    </row>
    <row r="1622">
      <c r="A1622" s="2"/>
      <c r="B1622" s="2"/>
      <c r="C1622" s="2"/>
      <c r="D1622" s="2"/>
      <c r="E1622" s="2"/>
      <c r="F1622" s="2"/>
      <c r="G1622" s="2"/>
      <c r="H1622" s="2"/>
      <c r="I1622" s="2"/>
      <c r="J1622" s="2"/>
      <c r="K1622"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v>114.0</v>
      </c>
      <c r="B1" s="107" t="s">
        <v>23</v>
      </c>
      <c r="C1" s="107" t="s">
        <v>142</v>
      </c>
      <c r="D1" s="107" t="s">
        <v>143</v>
      </c>
    </row>
    <row r="2">
      <c r="A2" s="95">
        <v>114.0</v>
      </c>
      <c r="B2" s="107" t="s">
        <v>42</v>
      </c>
      <c r="C2" s="107" t="s">
        <v>142</v>
      </c>
      <c r="D2" s="107" t="s">
        <v>143</v>
      </c>
    </row>
    <row r="3">
      <c r="A3" s="95">
        <v>114.0</v>
      </c>
      <c r="B3" s="107" t="s">
        <v>26</v>
      </c>
      <c r="C3" s="107" t="s">
        <v>142</v>
      </c>
      <c r="D3" s="107" t="s">
        <v>143</v>
      </c>
    </row>
    <row r="4">
      <c r="A4" s="95">
        <v>114.0</v>
      </c>
      <c r="B4" s="107" t="s">
        <v>128</v>
      </c>
      <c r="C4" s="107" t="s">
        <v>144</v>
      </c>
      <c r="D4" s="107" t="s">
        <v>145</v>
      </c>
    </row>
    <row r="5">
      <c r="A5" s="95">
        <v>114.0</v>
      </c>
      <c r="B5" s="107" t="s">
        <v>28</v>
      </c>
      <c r="C5" s="107" t="s">
        <v>144</v>
      </c>
      <c r="D5" s="107" t="s">
        <v>145</v>
      </c>
    </row>
    <row r="6">
      <c r="A6" s="95">
        <v>114.0</v>
      </c>
      <c r="B6" s="107" t="s">
        <v>32</v>
      </c>
      <c r="C6" s="107" t="s">
        <v>144</v>
      </c>
      <c r="D6" s="107" t="s">
        <v>148</v>
      </c>
    </row>
    <row r="7">
      <c r="A7" s="95">
        <v>114.0</v>
      </c>
      <c r="B7" s="107" t="s">
        <v>18</v>
      </c>
      <c r="C7" s="107" t="s">
        <v>144</v>
      </c>
      <c r="D7" s="107" t="s">
        <v>145</v>
      </c>
    </row>
    <row r="8">
      <c r="A8" s="95">
        <v>114.0</v>
      </c>
      <c r="B8" s="107" t="s">
        <v>34</v>
      </c>
      <c r="C8" s="107" t="s">
        <v>144</v>
      </c>
      <c r="D8" s="107" t="s">
        <v>145</v>
      </c>
    </row>
    <row r="9">
      <c r="A9" s="95">
        <v>114.0</v>
      </c>
      <c r="B9" s="107" t="s">
        <v>50</v>
      </c>
      <c r="C9" s="107" t="s">
        <v>144</v>
      </c>
      <c r="D9" s="107" t="s">
        <v>145</v>
      </c>
    </row>
    <row r="10">
      <c r="A10" s="95">
        <v>114.0</v>
      </c>
      <c r="B10" s="107" t="s">
        <v>22</v>
      </c>
      <c r="C10" s="107" t="s">
        <v>144</v>
      </c>
      <c r="D10" s="107" t="s">
        <v>145</v>
      </c>
    </row>
    <row r="11">
      <c r="A11" s="95">
        <v>114.0</v>
      </c>
      <c r="B11" s="107" t="s">
        <v>47</v>
      </c>
      <c r="C11" s="107" t="s">
        <v>144</v>
      </c>
      <c r="D11" s="107" t="s">
        <v>145</v>
      </c>
    </row>
    <row r="12">
      <c r="A12" s="95">
        <v>114.0</v>
      </c>
      <c r="B12" s="107" t="s">
        <v>41</v>
      </c>
      <c r="C12" s="107" t="s">
        <v>144</v>
      </c>
      <c r="D12" s="107" t="s">
        <v>145</v>
      </c>
    </row>
    <row r="13">
      <c r="A13" s="95">
        <v>114.0</v>
      </c>
      <c r="B13" s="107" t="s">
        <v>38</v>
      </c>
      <c r="C13" s="107" t="s">
        <v>144</v>
      </c>
      <c r="D13" s="107" t="s">
        <v>145</v>
      </c>
    </row>
    <row r="14">
      <c r="A14" s="95">
        <v>114.0</v>
      </c>
      <c r="B14" s="107" t="s">
        <v>29</v>
      </c>
      <c r="C14" s="107" t="s">
        <v>144</v>
      </c>
      <c r="D14" s="107" t="s">
        <v>145</v>
      </c>
    </row>
    <row r="15">
      <c r="A15" s="95">
        <v>114.0</v>
      </c>
      <c r="B15" s="107" t="s">
        <v>27</v>
      </c>
      <c r="C15" s="107" t="s">
        <v>144</v>
      </c>
      <c r="D15" s="107" t="s">
        <v>145</v>
      </c>
    </row>
    <row r="16">
      <c r="A16" s="95">
        <v>113.0</v>
      </c>
      <c r="B16" s="107" t="s">
        <v>47</v>
      </c>
      <c r="C16" s="107" t="s">
        <v>142</v>
      </c>
      <c r="D16" s="107" t="s">
        <v>143</v>
      </c>
    </row>
    <row r="17">
      <c r="A17" s="95">
        <v>113.0</v>
      </c>
      <c r="B17" s="107" t="s">
        <v>18</v>
      </c>
      <c r="C17" s="107" t="s">
        <v>142</v>
      </c>
      <c r="D17" s="107" t="s">
        <v>143</v>
      </c>
    </row>
    <row r="18">
      <c r="A18" s="95">
        <v>113.0</v>
      </c>
      <c r="B18" s="107" t="s">
        <v>23</v>
      </c>
      <c r="C18" s="107" t="s">
        <v>142</v>
      </c>
      <c r="D18" s="107" t="s">
        <v>143</v>
      </c>
    </row>
    <row r="19">
      <c r="A19" s="95">
        <v>113.0</v>
      </c>
      <c r="B19" s="107" t="s">
        <v>44</v>
      </c>
      <c r="C19" s="107" t="s">
        <v>144</v>
      </c>
      <c r="D19" s="107" t="s">
        <v>145</v>
      </c>
    </row>
    <row r="20">
      <c r="A20" s="95">
        <v>113.0</v>
      </c>
      <c r="B20" s="107" t="s">
        <v>67</v>
      </c>
      <c r="C20" s="107" t="s">
        <v>144</v>
      </c>
      <c r="D20" s="107" t="s">
        <v>148</v>
      </c>
    </row>
    <row r="21">
      <c r="A21" s="95">
        <v>113.0</v>
      </c>
      <c r="B21" s="107" t="s">
        <v>34</v>
      </c>
      <c r="C21" s="107" t="s">
        <v>144</v>
      </c>
      <c r="D21" s="107" t="s">
        <v>145</v>
      </c>
    </row>
    <row r="22">
      <c r="A22" s="95">
        <v>113.0</v>
      </c>
      <c r="B22" s="107" t="s">
        <v>41</v>
      </c>
      <c r="C22" s="107" t="s">
        <v>144</v>
      </c>
      <c r="D22" s="107" t="s">
        <v>145</v>
      </c>
    </row>
    <row r="23">
      <c r="A23" s="95">
        <v>113.0</v>
      </c>
      <c r="B23" s="107" t="s">
        <v>32</v>
      </c>
      <c r="C23" s="107" t="s">
        <v>144</v>
      </c>
      <c r="D23" s="107" t="s">
        <v>145</v>
      </c>
    </row>
    <row r="24">
      <c r="A24" s="95">
        <v>113.0</v>
      </c>
      <c r="B24" s="107" t="s">
        <v>22</v>
      </c>
      <c r="C24" s="107" t="s">
        <v>144</v>
      </c>
      <c r="D24" s="107" t="s">
        <v>145</v>
      </c>
    </row>
    <row r="25">
      <c r="A25" s="95">
        <v>113.0</v>
      </c>
      <c r="B25" s="107" t="s">
        <v>16</v>
      </c>
      <c r="C25" s="107" t="s">
        <v>144</v>
      </c>
      <c r="D25" s="107" t="s">
        <v>145</v>
      </c>
    </row>
    <row r="26">
      <c r="A26" s="95">
        <v>113.0</v>
      </c>
      <c r="B26" s="107" t="s">
        <v>42</v>
      </c>
      <c r="C26" s="107" t="s">
        <v>144</v>
      </c>
      <c r="D26" s="107" t="s">
        <v>145</v>
      </c>
    </row>
    <row r="27">
      <c r="A27" s="95">
        <v>113.0</v>
      </c>
      <c r="B27" s="107" t="s">
        <v>50</v>
      </c>
      <c r="C27" s="107" t="s">
        <v>144</v>
      </c>
      <c r="D27" s="107" t="s">
        <v>145</v>
      </c>
    </row>
    <row r="28">
      <c r="A28" s="95">
        <v>113.0</v>
      </c>
      <c r="B28" s="107" t="s">
        <v>115</v>
      </c>
      <c r="C28" s="107" t="s">
        <v>144</v>
      </c>
      <c r="D28" s="107" t="s">
        <v>145</v>
      </c>
    </row>
    <row r="29">
      <c r="A29" s="95">
        <v>113.0</v>
      </c>
      <c r="B29" s="107" t="s">
        <v>38</v>
      </c>
      <c r="C29" s="107" t="s">
        <v>144</v>
      </c>
      <c r="D29" s="107" t="s">
        <v>145</v>
      </c>
    </row>
    <row r="30">
      <c r="A30" s="95">
        <v>113.0</v>
      </c>
      <c r="B30" s="107" t="s">
        <v>28</v>
      </c>
      <c r="C30" s="107" t="s">
        <v>144</v>
      </c>
      <c r="D30" s="107" t="s">
        <v>148</v>
      </c>
    </row>
    <row r="31">
      <c r="A31" s="95">
        <v>112.0</v>
      </c>
      <c r="B31" s="107" t="s">
        <v>34</v>
      </c>
      <c r="C31" s="107" t="s">
        <v>142</v>
      </c>
      <c r="D31" s="107" t="s">
        <v>145</v>
      </c>
    </row>
    <row r="32">
      <c r="A32" s="95">
        <v>112.0</v>
      </c>
      <c r="B32" s="107" t="s">
        <v>33</v>
      </c>
      <c r="C32" s="107" t="s">
        <v>142</v>
      </c>
      <c r="D32" s="107" t="s">
        <v>145</v>
      </c>
    </row>
    <row r="33">
      <c r="A33" s="95">
        <v>112.0</v>
      </c>
      <c r="B33" s="107" t="s">
        <v>78</v>
      </c>
      <c r="C33" s="107" t="s">
        <v>142</v>
      </c>
      <c r="D33" s="107" t="s">
        <v>145</v>
      </c>
    </row>
    <row r="34">
      <c r="A34" s="95">
        <v>112.0</v>
      </c>
      <c r="B34" s="107" t="s">
        <v>26</v>
      </c>
      <c r="C34" s="107" t="s">
        <v>144</v>
      </c>
      <c r="D34" s="107" t="s">
        <v>143</v>
      </c>
    </row>
    <row r="35">
      <c r="A35" s="95">
        <v>112.0</v>
      </c>
      <c r="B35" s="107" t="s">
        <v>22</v>
      </c>
      <c r="C35" s="107" t="s">
        <v>144</v>
      </c>
      <c r="D35" s="107" t="s">
        <v>143</v>
      </c>
    </row>
    <row r="36">
      <c r="A36" s="95">
        <v>112.0</v>
      </c>
      <c r="B36" s="107" t="s">
        <v>97</v>
      </c>
      <c r="C36" s="107" t="s">
        <v>144</v>
      </c>
      <c r="D36" s="107" t="s">
        <v>143</v>
      </c>
    </row>
    <row r="37">
      <c r="A37" s="95">
        <v>112.0</v>
      </c>
      <c r="B37" s="107" t="s">
        <v>29</v>
      </c>
      <c r="C37" s="107" t="s">
        <v>144</v>
      </c>
      <c r="D37" s="107" t="s">
        <v>143</v>
      </c>
    </row>
    <row r="38">
      <c r="A38" s="95">
        <v>112.0</v>
      </c>
      <c r="B38" s="107" t="s">
        <v>146</v>
      </c>
      <c r="C38" s="107" t="s">
        <v>144</v>
      </c>
      <c r="D38" s="107" t="s">
        <v>148</v>
      </c>
    </row>
    <row r="39">
      <c r="A39" s="95">
        <v>112.0</v>
      </c>
      <c r="B39" s="107" t="s">
        <v>38</v>
      </c>
      <c r="C39" s="107" t="s">
        <v>144</v>
      </c>
      <c r="D39" s="107" t="s">
        <v>143</v>
      </c>
    </row>
    <row r="40">
      <c r="A40" s="95">
        <v>112.0</v>
      </c>
      <c r="B40" s="107" t="s">
        <v>146</v>
      </c>
      <c r="C40" s="107" t="s">
        <v>144</v>
      </c>
      <c r="D40" s="107" t="s">
        <v>148</v>
      </c>
    </row>
    <row r="41">
      <c r="A41" s="95">
        <v>112.0</v>
      </c>
      <c r="B41" s="107" t="s">
        <v>50</v>
      </c>
      <c r="C41" s="107" t="s">
        <v>144</v>
      </c>
      <c r="D41" s="107" t="s">
        <v>143</v>
      </c>
    </row>
    <row r="42">
      <c r="A42" s="95">
        <v>112.0</v>
      </c>
      <c r="B42" s="107" t="s">
        <v>36</v>
      </c>
      <c r="C42" s="107" t="s">
        <v>144</v>
      </c>
      <c r="D42" s="107" t="s">
        <v>143</v>
      </c>
    </row>
    <row r="43">
      <c r="A43" s="95">
        <v>112.0</v>
      </c>
      <c r="B43" s="107" t="s">
        <v>115</v>
      </c>
      <c r="C43" s="107" t="s">
        <v>144</v>
      </c>
      <c r="D43" s="107" t="s">
        <v>143</v>
      </c>
    </row>
    <row r="44">
      <c r="A44" s="95">
        <v>112.0</v>
      </c>
      <c r="B44" s="107" t="s">
        <v>16</v>
      </c>
      <c r="C44" s="107" t="s">
        <v>144</v>
      </c>
      <c r="D44" s="107" t="s">
        <v>143</v>
      </c>
    </row>
    <row r="45">
      <c r="A45" s="95">
        <v>112.0</v>
      </c>
      <c r="B45" s="107" t="s">
        <v>82</v>
      </c>
      <c r="C45" s="107" t="s">
        <v>144</v>
      </c>
      <c r="D45" s="107" t="s">
        <v>143</v>
      </c>
    </row>
  </sheetData>
  <drawing r:id="rId1"/>
</worksheet>
</file>